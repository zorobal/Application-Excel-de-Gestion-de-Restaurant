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pp Excel Resto\GestionRestaurant\"/>
    </mc:Choice>
  </mc:AlternateContent>
  <xr:revisionPtr revIDLastSave="0" documentId="8_{BE6C247D-EEF1-4A2C-8CA8-458F05D8D8E5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ACCUEIL" sheetId="1" r:id="rId1"/>
    <sheet name="DASHBOARD" sheetId="2" r:id="rId2"/>
    <sheet name="VENTES" sheetId="3" r:id="rId3"/>
    <sheet name="FOURNISSEURS" sheetId="4" r:id="rId4"/>
    <sheet name="STOCK_CUISINE" sheetId="5" r:id="rId5"/>
    <sheet name="INGREDIENTS" sheetId="6" r:id="rId6"/>
    <sheet name="INVENTAIRES" sheetId="7" r:id="rId7"/>
    <sheet name="RECETTES" sheetId="8" r:id="rId8"/>
    <sheet name="PLATS" sheetId="9" r:id="rId9"/>
    <sheet name="AIDE" sheetId="10" r:id="rId10"/>
    <sheet name="MATIERES_PREMIERES" sheetId="11" r:id="rId11"/>
    <sheet name="TABLEAUX_BORD" sheetId="12" r:id="rId12"/>
    <sheet name="CATEGORIES" sheetId="13" r:id="rId13"/>
    <sheet name="PRODUITS" sheetId="14" r:id="rId1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08" i="11" l="1"/>
  <c r="J108" i="11" s="1"/>
  <c r="H107" i="11"/>
  <c r="J107" i="11" s="1"/>
  <c r="H106" i="11"/>
  <c r="J106" i="11" s="1"/>
  <c r="H105" i="11"/>
  <c r="J105" i="11" s="1"/>
  <c r="H104" i="11"/>
  <c r="J104" i="11" s="1"/>
  <c r="H103" i="11"/>
  <c r="J103" i="11" s="1"/>
  <c r="H102" i="11"/>
  <c r="J102" i="11" s="1"/>
  <c r="H101" i="11"/>
  <c r="J101" i="11" s="1"/>
  <c r="H100" i="11"/>
  <c r="J100" i="11" s="1"/>
  <c r="H99" i="11"/>
  <c r="J99" i="11" s="1"/>
  <c r="H98" i="11"/>
  <c r="J98" i="11" s="1"/>
  <c r="H97" i="11"/>
  <c r="J97" i="11" s="1"/>
  <c r="H96" i="11"/>
  <c r="J96" i="11" s="1"/>
  <c r="H95" i="11"/>
  <c r="J95" i="11" s="1"/>
  <c r="H94" i="11"/>
  <c r="J94" i="11" s="1"/>
  <c r="H93" i="11"/>
  <c r="J93" i="11" s="1"/>
  <c r="H92" i="11"/>
  <c r="J92" i="11" s="1"/>
  <c r="H91" i="11"/>
  <c r="J91" i="11" s="1"/>
  <c r="H90" i="11"/>
  <c r="J90" i="11" s="1"/>
  <c r="H89" i="11"/>
  <c r="J89" i="11" s="1"/>
  <c r="H88" i="11"/>
  <c r="J88" i="11" s="1"/>
  <c r="H87" i="11"/>
  <c r="J87" i="11" s="1"/>
  <c r="H86" i="11"/>
  <c r="J86" i="11" s="1"/>
  <c r="H85" i="11"/>
  <c r="J85" i="11" s="1"/>
  <c r="H84" i="11"/>
  <c r="J84" i="11" s="1"/>
  <c r="H83" i="11"/>
  <c r="J83" i="11" s="1"/>
  <c r="H82" i="11"/>
  <c r="J82" i="11" s="1"/>
  <c r="H81" i="11"/>
  <c r="J81" i="11" s="1"/>
  <c r="H80" i="11"/>
  <c r="J80" i="11" s="1"/>
  <c r="H79" i="11"/>
  <c r="J79" i="11" s="1"/>
  <c r="H78" i="11"/>
  <c r="J78" i="11" s="1"/>
  <c r="H77" i="11"/>
  <c r="J77" i="11" s="1"/>
  <c r="H76" i="11"/>
  <c r="J76" i="11" s="1"/>
  <c r="H75" i="11"/>
  <c r="J75" i="11" s="1"/>
  <c r="H74" i="11"/>
  <c r="J74" i="11" s="1"/>
  <c r="H73" i="11"/>
  <c r="J73" i="11" s="1"/>
  <c r="H72" i="11"/>
  <c r="J72" i="11" s="1"/>
  <c r="H71" i="11"/>
  <c r="J71" i="11" s="1"/>
  <c r="H70" i="11"/>
  <c r="J70" i="11" s="1"/>
  <c r="H69" i="11"/>
  <c r="J69" i="11" s="1"/>
  <c r="H68" i="11"/>
  <c r="J68" i="11" s="1"/>
  <c r="H67" i="11"/>
  <c r="J67" i="11" s="1"/>
  <c r="H66" i="11"/>
  <c r="J66" i="11" s="1"/>
  <c r="H65" i="11"/>
  <c r="J65" i="11" s="1"/>
  <c r="H64" i="11"/>
  <c r="J64" i="11" s="1"/>
  <c r="H63" i="11"/>
  <c r="J63" i="11" s="1"/>
  <c r="H62" i="11"/>
  <c r="J62" i="11" s="1"/>
  <c r="H61" i="11"/>
  <c r="J61" i="11" s="1"/>
  <c r="H60" i="11"/>
  <c r="J60" i="11" s="1"/>
  <c r="H59" i="11"/>
  <c r="J59" i="11" s="1"/>
  <c r="H58" i="11"/>
  <c r="J58" i="11" s="1"/>
  <c r="H57" i="11"/>
  <c r="J57" i="11" s="1"/>
  <c r="H56" i="11"/>
  <c r="J56" i="11" s="1"/>
  <c r="H55" i="11"/>
  <c r="J55" i="11" s="1"/>
  <c r="H54" i="11"/>
  <c r="J54" i="11" s="1"/>
  <c r="H53" i="11"/>
  <c r="J53" i="11" s="1"/>
  <c r="H52" i="11"/>
  <c r="J52" i="11" s="1"/>
  <c r="H51" i="11"/>
  <c r="J51" i="11" s="1"/>
  <c r="H50" i="11"/>
  <c r="J50" i="11" s="1"/>
  <c r="H49" i="11"/>
  <c r="J49" i="11" s="1"/>
  <c r="H48" i="11"/>
  <c r="J48" i="11" s="1"/>
  <c r="H47" i="11"/>
  <c r="J47" i="11" s="1"/>
  <c r="H46" i="11"/>
  <c r="J46" i="11" s="1"/>
  <c r="H45" i="11"/>
  <c r="J45" i="11" s="1"/>
  <c r="H44" i="11"/>
  <c r="J44" i="11" s="1"/>
  <c r="H43" i="11"/>
  <c r="J43" i="11" s="1"/>
  <c r="H42" i="11"/>
  <c r="J42" i="11" s="1"/>
  <c r="H41" i="11"/>
  <c r="J41" i="11" s="1"/>
  <c r="H40" i="11"/>
  <c r="J40" i="11" s="1"/>
  <c r="H39" i="11"/>
  <c r="J39" i="11" s="1"/>
  <c r="H38" i="11"/>
  <c r="J38" i="11" s="1"/>
  <c r="H37" i="11"/>
  <c r="J37" i="11" s="1"/>
  <c r="H36" i="11"/>
  <c r="J36" i="11" s="1"/>
  <c r="H35" i="11"/>
  <c r="J35" i="11" s="1"/>
  <c r="H34" i="11"/>
  <c r="J34" i="11" s="1"/>
  <c r="J33" i="11"/>
  <c r="H33" i="11"/>
  <c r="H32" i="11"/>
  <c r="J32" i="11" s="1"/>
  <c r="H31" i="11"/>
  <c r="J31" i="11" s="1"/>
  <c r="H30" i="11"/>
  <c r="J30" i="11" s="1"/>
  <c r="H29" i="11"/>
  <c r="J29" i="11" s="1"/>
  <c r="H28" i="11"/>
  <c r="J28" i="11" s="1"/>
  <c r="H27" i="11"/>
  <c r="J27" i="11" s="1"/>
  <c r="H26" i="11"/>
  <c r="J26" i="11" s="1"/>
  <c r="J25" i="11"/>
  <c r="H25" i="11"/>
  <c r="H24" i="11"/>
  <c r="J24" i="11" s="1"/>
  <c r="H23" i="11"/>
  <c r="J23" i="11" s="1"/>
  <c r="H22" i="11"/>
  <c r="J22" i="11" s="1"/>
  <c r="H21" i="11"/>
  <c r="J21" i="11" s="1"/>
  <c r="H20" i="11"/>
  <c r="J20" i="11" s="1"/>
  <c r="H19" i="11"/>
  <c r="J19" i="11" s="1"/>
  <c r="H18" i="11"/>
  <c r="J18" i="11" s="1"/>
  <c r="J17" i="11"/>
  <c r="H17" i="11"/>
  <c r="H16" i="11"/>
  <c r="J16" i="11" s="1"/>
  <c r="H15" i="11"/>
  <c r="J15" i="11" s="1"/>
  <c r="H14" i="11"/>
  <c r="J14" i="11" s="1"/>
  <c r="H13" i="11"/>
  <c r="J13" i="11" s="1"/>
  <c r="H12" i="11"/>
  <c r="J12" i="11" s="1"/>
  <c r="H11" i="11"/>
  <c r="J11" i="11" s="1"/>
  <c r="H10" i="11"/>
  <c r="J10" i="11" s="1"/>
  <c r="J9" i="11"/>
  <c r="H9" i="11"/>
  <c r="H8" i="11"/>
  <c r="J8" i="11" s="1"/>
  <c r="H7" i="11"/>
  <c r="J7" i="11" s="1"/>
  <c r="H6" i="11"/>
  <c r="J6" i="11" s="1"/>
  <c r="H5" i="11"/>
  <c r="J5" i="11" s="1"/>
  <c r="H4" i="11"/>
  <c r="J4" i="11" s="1"/>
  <c r="F13" i="8"/>
  <c r="F12" i="8"/>
  <c r="F11" i="8"/>
  <c r="F10" i="8"/>
  <c r="F9" i="8"/>
  <c r="F8" i="8"/>
  <c r="F7" i="8"/>
  <c r="F6" i="8"/>
  <c r="F5" i="8"/>
  <c r="F4" i="8"/>
  <c r="F14" i="7"/>
  <c r="I14" i="7" s="1"/>
  <c r="I13" i="7"/>
  <c r="F13" i="7"/>
  <c r="F12" i="7"/>
  <c r="I12" i="7" s="1"/>
  <c r="F11" i="7"/>
  <c r="I11" i="7" s="1"/>
  <c r="F10" i="7"/>
  <c r="I10" i="7" s="1"/>
  <c r="F9" i="7"/>
  <c r="I9" i="7" s="1"/>
  <c r="F8" i="7"/>
  <c r="I8" i="7" s="1"/>
  <c r="F7" i="7"/>
  <c r="I7" i="7" s="1"/>
  <c r="F6" i="7"/>
  <c r="I6" i="7" s="1"/>
  <c r="I5" i="7"/>
  <c r="F5" i="7"/>
  <c r="F152" i="5"/>
  <c r="F151" i="5"/>
  <c r="F150" i="5"/>
  <c r="F149" i="5"/>
  <c r="F148" i="5"/>
  <c r="F147" i="5"/>
  <c r="F146" i="5"/>
  <c r="F142" i="5"/>
  <c r="F141" i="5"/>
  <c r="F140" i="5"/>
  <c r="F139" i="5"/>
  <c r="F138" i="5"/>
  <c r="F134" i="5"/>
  <c r="F133" i="5"/>
  <c r="F132" i="5"/>
  <c r="F131" i="5"/>
  <c r="F130" i="5"/>
  <c r="F126" i="5"/>
  <c r="F125" i="5"/>
  <c r="F124" i="5"/>
  <c r="F123" i="5"/>
  <c r="F122" i="5"/>
  <c r="F121" i="5"/>
  <c r="F117" i="5"/>
  <c r="F116" i="5"/>
  <c r="F115" i="5"/>
  <c r="F114" i="5"/>
  <c r="F113" i="5"/>
  <c r="F109" i="5"/>
  <c r="F108" i="5"/>
  <c r="F107" i="5"/>
  <c r="F106" i="5"/>
  <c r="F105" i="5"/>
  <c r="F104" i="5"/>
  <c r="F100" i="5"/>
  <c r="F99" i="5"/>
  <c r="F98" i="5"/>
  <c r="F97" i="5"/>
  <c r="F96" i="5"/>
  <c r="F95" i="5"/>
  <c r="F91" i="5"/>
  <c r="F90" i="5"/>
  <c r="F89" i="5"/>
  <c r="F88" i="5"/>
  <c r="F87" i="5"/>
  <c r="F86" i="5"/>
  <c r="F82" i="5"/>
  <c r="F81" i="5"/>
  <c r="F80" i="5"/>
  <c r="F79" i="5"/>
  <c r="F78" i="5"/>
  <c r="F77" i="5"/>
  <c r="F73" i="5"/>
  <c r="F72" i="5"/>
  <c r="F71" i="5"/>
  <c r="F70" i="5"/>
  <c r="F69" i="5"/>
  <c r="F68" i="5"/>
  <c r="F64" i="5"/>
  <c r="F63" i="5"/>
  <c r="F62" i="5"/>
  <c r="F61" i="5"/>
  <c r="F60" i="5"/>
  <c r="F59" i="5"/>
  <c r="F58" i="5"/>
  <c r="F57" i="5"/>
  <c r="F53" i="5"/>
  <c r="F52" i="5"/>
  <c r="F51" i="5"/>
  <c r="F50" i="5"/>
  <c r="F49" i="5"/>
  <c r="F48" i="5"/>
  <c r="F47" i="5"/>
  <c r="F46" i="5"/>
  <c r="F45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1" i="5"/>
  <c r="F20" i="5"/>
  <c r="F19" i="5"/>
  <c r="F18" i="5"/>
  <c r="F17" i="5"/>
  <c r="F13" i="5"/>
  <c r="F12" i="5"/>
  <c r="F11" i="5"/>
  <c r="F10" i="5"/>
  <c r="F9" i="5"/>
  <c r="F8" i="5"/>
  <c r="F7" i="5"/>
  <c r="F6" i="5"/>
  <c r="D2" i="5"/>
  <c r="C32" i="3"/>
  <c r="C31" i="3"/>
  <c r="B15" i="2" s="1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B3" i="3"/>
</calcChain>
</file>

<file path=xl/sharedStrings.xml><?xml version="1.0" encoding="utf-8"?>
<sst xmlns="http://schemas.openxmlformats.org/spreadsheetml/2006/main" count="1114" uniqueCount="403">
  <si>
    <t>🍽️ GESTION DU RESTAURANT</t>
  </si>
  <si>
    <t>Application Professionnelle de Gestion - Version 3.0</t>
  </si>
  <si>
    <t>📂 MODULES PRINCIPAUX</t>
  </si>
  <si>
    <t>🔔 ALERTES EN TEMPS RÉEL</t>
  </si>
  <si>
    <t xml:space="preserve">  📊 Dashboard  </t>
  </si>
  <si>
    <t>⚠️ Ruptures de stock</t>
  </si>
  <si>
    <t xml:space="preserve">  🍔 Carte &amp; Produits  </t>
  </si>
  <si>
    <t>• Aucun produit en rupture actuellement</t>
  </si>
  <si>
    <t xml:space="preserve">  📦 Matières Premières &amp; Stocks  </t>
  </si>
  <si>
    <t xml:space="preserve">  👨‍🍳 Recettes &amp; Coûts  </t>
  </si>
  <si>
    <t>📉 Ventes du jour</t>
  </si>
  <si>
    <t xml:space="preserve">  💰 Ventes Journalières  </t>
  </si>
  <si>
    <t>• En attente de saisie</t>
  </si>
  <si>
    <t xml:space="preserve">  🚚 Fournisseurs &amp; Achats  </t>
  </si>
  <si>
    <t xml:space="preserve">  📝 Inventaires  </t>
  </si>
  <si>
    <t xml:space="preserve">  📈 Tableaux de Bord  </t>
  </si>
  <si>
    <t xml:space="preserve">  ⚙️ Catégories  </t>
  </si>
  <si>
    <t xml:space="preserve">  ❓ Aide  </t>
  </si>
  <si>
    <t>📊 TABLEAU DE BORD</t>
  </si>
  <si>
    <t>Ventes du Jour</t>
  </si>
  <si>
    <t>Marge Estimée</t>
  </si>
  <si>
    <t>VENTES!F26</t>
  </si>
  <si>
    <t>0 FCFA</t>
  </si>
  <si>
    <t>Nombre de Ventes</t>
  </si>
  <si>
    <t>Alertes Stock</t>
  </si>
  <si>
    <t>0</t>
  </si>
  <si>
    <t>Voir Onglet Stocks</t>
  </si>
  <si>
    <t>Ventes du jour (nouveau):</t>
  </si>
  <si>
    <t>VENTES JOURNALIÈRES RESTAURANT</t>
  </si>
  <si>
    <t>Date:</t>
  </si>
  <si>
    <t>Heure début:</t>
  </si>
  <si>
    <t>Heure fin:</t>
  </si>
  <si>
    <t>Plat vendu</t>
  </si>
  <si>
    <t>Quantité vendue</t>
  </si>
  <si>
    <t>Prix Unitaire</t>
  </si>
  <si>
    <t>Total</t>
  </si>
  <si>
    <t>Observation</t>
  </si>
  <si>
    <t>Statut Stock</t>
  </si>
  <si>
    <t>TOTAUX</t>
  </si>
  <si>
    <t>Total Ventes:</t>
  </si>
  <si>
    <t>Nombre de plats vendus:</t>
  </si>
  <si>
    <t>Panier moyen:</t>
  </si>
  <si>
    <t>Signature pour validation:</t>
  </si>
  <si>
    <t>VALIDER</t>
  </si>
  <si>
    <t>ID</t>
  </si>
  <si>
    <t>Nom Fournisseur</t>
  </si>
  <si>
    <t>Contact</t>
  </si>
  <si>
    <t>Téléphone</t>
  </si>
  <si>
    <t>Email</t>
  </si>
  <si>
    <t>Adresse</t>
  </si>
  <si>
    <t>Spécialité</t>
  </si>
  <si>
    <t>SUIVI STOCK EN CUISINE</t>
  </si>
  <si>
    <t>VIANDES</t>
  </si>
  <si>
    <t>Sous-catégorie</t>
  </si>
  <si>
    <t>Unité</t>
  </si>
  <si>
    <t>Stock initial</t>
  </si>
  <si>
    <t>Entrées</t>
  </si>
  <si>
    <t>Sorties</t>
  </si>
  <si>
    <t>Stock final</t>
  </si>
  <si>
    <t>Alerte</t>
  </si>
  <si>
    <t>Poulet entier</t>
  </si>
  <si>
    <t>Morceau</t>
  </si>
  <si>
    <t>Aile de Poulet</t>
  </si>
  <si>
    <t>Cuisse de poulet</t>
  </si>
  <si>
    <t>Bœuf</t>
  </si>
  <si>
    <t>Saucisse</t>
  </si>
  <si>
    <t>Pièce</t>
  </si>
  <si>
    <t>Porc</t>
  </si>
  <si>
    <t>Œuf</t>
  </si>
  <si>
    <t>Alvéole</t>
  </si>
  <si>
    <t>Viandes hachées</t>
  </si>
  <si>
    <t>POISSONS &amp; FRUITS DE MER</t>
  </si>
  <si>
    <t>Carpe</t>
  </si>
  <si>
    <t>Sole</t>
  </si>
  <si>
    <t>Bar</t>
  </si>
  <si>
    <t>Gambas</t>
  </si>
  <si>
    <t>Crevette</t>
  </si>
  <si>
    <t>LÉGUMES FRAIS</t>
  </si>
  <si>
    <t>Carottes</t>
  </si>
  <si>
    <t>Lot</t>
  </si>
  <si>
    <t>Pommes de terre</t>
  </si>
  <si>
    <t>Gingembre</t>
  </si>
  <si>
    <t>Choux</t>
  </si>
  <si>
    <t>Salade</t>
  </si>
  <si>
    <t>Tomates</t>
  </si>
  <si>
    <t>Cageot</t>
  </si>
  <si>
    <t>Poivrons</t>
  </si>
  <si>
    <t>Aubergines</t>
  </si>
  <si>
    <t>Oignons</t>
  </si>
  <si>
    <t>Ail</t>
  </si>
  <si>
    <t>Poireaux</t>
  </si>
  <si>
    <t>Haricots verts</t>
  </si>
  <si>
    <t>Persil</t>
  </si>
  <si>
    <t>Curcuma</t>
  </si>
  <si>
    <t>Boite</t>
  </si>
  <si>
    <t>Poivre</t>
  </si>
  <si>
    <t>Courgettes</t>
  </si>
  <si>
    <t>Piments</t>
  </si>
  <si>
    <t>FRUITS FRAIS</t>
  </si>
  <si>
    <t>Orange</t>
  </si>
  <si>
    <t>Papaye</t>
  </si>
  <si>
    <t>Mangue</t>
  </si>
  <si>
    <t>Citron</t>
  </si>
  <si>
    <t>Goyave</t>
  </si>
  <si>
    <t>Mandarine</t>
  </si>
  <si>
    <t>Pastèque</t>
  </si>
  <si>
    <t>Pamplemousse</t>
  </si>
  <si>
    <t>Fruits pour jus</t>
  </si>
  <si>
    <t>PRODUITS SECS &amp; ÉPICERIE</t>
  </si>
  <si>
    <t>Riz</t>
  </si>
  <si>
    <t>Kg</t>
  </si>
  <si>
    <t>Pâtes</t>
  </si>
  <si>
    <t>Haricots</t>
  </si>
  <si>
    <t>Farines</t>
  </si>
  <si>
    <t>Sucres</t>
  </si>
  <si>
    <t>Sel</t>
  </si>
  <si>
    <t>Bouillons &amp; cubes</t>
  </si>
  <si>
    <t>Paquet</t>
  </si>
  <si>
    <t>Semoule</t>
  </si>
  <si>
    <t>PRODUITS LAITIERS &amp; FROMAGES</t>
  </si>
  <si>
    <t>Lait &amp; crème</t>
  </si>
  <si>
    <t>Litre</t>
  </si>
  <si>
    <t>Beurres &amp; margarines</t>
  </si>
  <si>
    <t>Fromages tranchés</t>
  </si>
  <si>
    <t>Fromages râpés</t>
  </si>
  <si>
    <t>Fromages en bloc</t>
  </si>
  <si>
    <t>Yaourts</t>
  </si>
  <si>
    <t>CHARCUTERIE</t>
  </si>
  <si>
    <t>Jambons</t>
  </si>
  <si>
    <t>Tranche</t>
  </si>
  <si>
    <t>Bacons</t>
  </si>
  <si>
    <t>Saucissons</t>
  </si>
  <si>
    <t>Pepperoni</t>
  </si>
  <si>
    <t>Charcuterie cuite</t>
  </si>
  <si>
    <t>Charcuterie fumée</t>
  </si>
  <si>
    <t>SURGELÉS</t>
  </si>
  <si>
    <t>Frites surgelées</t>
  </si>
  <si>
    <t>Légumes surgelés</t>
  </si>
  <si>
    <t>Viandes surgelées</t>
  </si>
  <si>
    <t>Poissons surgelés</t>
  </si>
  <si>
    <t>Produits panés</t>
  </si>
  <si>
    <t>Pâtes surgelées</t>
  </si>
  <si>
    <t>SAUCES &amp; CONDIMENTS</t>
  </si>
  <si>
    <t>Ketchup</t>
  </si>
  <si>
    <t>Bouteille</t>
  </si>
  <si>
    <t>Mayonnaise</t>
  </si>
  <si>
    <t>Moutarde</t>
  </si>
  <si>
    <t>Vinaigres</t>
  </si>
  <si>
    <t>Marinades</t>
  </si>
  <si>
    <t>Bouillons liquides</t>
  </si>
  <si>
    <t>BOULANGERIE &amp; PAINS</t>
  </si>
  <si>
    <t>Pains burgers</t>
  </si>
  <si>
    <t>Nombre</t>
  </si>
  <si>
    <t>Pains hot-dog</t>
  </si>
  <si>
    <t>Pains sandwich</t>
  </si>
  <si>
    <t>Baguettes</t>
  </si>
  <si>
    <t>Tortillas / wraps</t>
  </si>
  <si>
    <t>Pain spécial</t>
  </si>
  <si>
    <t>HERBES &amp; ÉPICES</t>
  </si>
  <si>
    <t>Herbes fraîches</t>
  </si>
  <si>
    <t>Bouquet</t>
  </si>
  <si>
    <t>Herbes sèches</t>
  </si>
  <si>
    <t>Épices moulues</t>
  </si>
  <si>
    <t>Sachet</t>
  </si>
  <si>
    <t>Épices entières</t>
  </si>
  <si>
    <t>Mélanges d'épices</t>
  </si>
  <si>
    <t>PRODUITS DE PÂTISSERIE</t>
  </si>
  <si>
    <t>Chocolats</t>
  </si>
  <si>
    <t>Levures</t>
  </si>
  <si>
    <t>Arômes</t>
  </si>
  <si>
    <t>Sucre glace</t>
  </si>
  <si>
    <t>Cacao</t>
  </si>
  <si>
    <t>Fruits secs</t>
  </si>
  <si>
    <t>HUILES &amp; MATIÈRES GRASSES</t>
  </si>
  <si>
    <t>Huiles végétales</t>
  </si>
  <si>
    <t>Huiles spéciales</t>
  </si>
  <si>
    <t>Beurres</t>
  </si>
  <si>
    <t>Margarines</t>
  </si>
  <si>
    <t>Graisses de friture</t>
  </si>
  <si>
    <t>PRODUITS DE NETTOYAGE</t>
  </si>
  <si>
    <t>Détergents</t>
  </si>
  <si>
    <t>Désinfectants</t>
  </si>
  <si>
    <t>Produits vaisselle</t>
  </si>
  <si>
    <t>Produits sol</t>
  </si>
  <si>
    <t>Éponges, gants</t>
  </si>
  <si>
    <t>EMBALLAGES CUISINE</t>
  </si>
  <si>
    <t>Barquettes</t>
  </si>
  <si>
    <t>Boîtes</t>
  </si>
  <si>
    <t>Films alimentaires</t>
  </si>
  <si>
    <t>Rouleau</t>
  </si>
  <si>
    <t>Sacs kraft</t>
  </si>
  <si>
    <t>Bouteille de Gaz</t>
  </si>
  <si>
    <t>Couverts jetables</t>
  </si>
  <si>
    <t>Charbon</t>
  </si>
  <si>
    <t>Sac</t>
  </si>
  <si>
    <t>Recette</t>
  </si>
  <si>
    <t>Matière Première</t>
  </si>
  <si>
    <t>Quantité Requise</t>
  </si>
  <si>
    <t>Coût Unitaire MP</t>
  </si>
  <si>
    <t>Coût Ligne</t>
  </si>
  <si>
    <t>📝 FICHE INVENTAIRE PÉRIODIQUE</t>
  </si>
  <si>
    <t>Date :</t>
  </si>
  <si>
    <t>Matière</t>
  </si>
  <si>
    <t>Catégorie</t>
  </si>
  <si>
    <t>Stock Théorique</t>
  </si>
  <si>
    <t>Stock Réel</t>
  </si>
  <si>
    <t>Écart</t>
  </si>
  <si>
    <t>Type Écart</t>
  </si>
  <si>
    <t>Coût Unitaire</t>
  </si>
  <si>
    <t>Valeur Écart</t>
  </si>
  <si>
    <t>À sélectionner</t>
  </si>
  <si>
    <t>Nom de la Recette</t>
  </si>
  <si>
    <t>Coût Matière Total</t>
  </si>
  <si>
    <t>Prix Vente Conseillé</t>
  </si>
  <si>
    <t>Marge Brute</t>
  </si>
  <si>
    <t>% Marge</t>
  </si>
  <si>
    <t>Chicken Burger</t>
  </si>
  <si>
    <t>Burger</t>
  </si>
  <si>
    <t>Burger Normal</t>
  </si>
  <si>
    <t>Brochette de porc</t>
  </si>
  <si>
    <t>Brochette</t>
  </si>
  <si>
    <t>Ndole Royal (Viande/Poisson/Crevette)</t>
  </si>
  <si>
    <t>Plat Principal</t>
  </si>
  <si>
    <t>Portion Ndole</t>
  </si>
  <si>
    <t>Free Rice Crevette</t>
  </si>
  <si>
    <t>Riz Accompagné</t>
  </si>
  <si>
    <t>Free Rice Poulet</t>
  </si>
  <si>
    <t>Poulet Pané (1/4)</t>
  </si>
  <si>
    <t>Poulet</t>
  </si>
  <si>
    <t>Poulet Braisé (1/4)</t>
  </si>
  <si>
    <t>Porc Moutarde</t>
  </si>
  <si>
    <t>GESTION DES PLATS</t>
  </si>
  <si>
    <t>Liste des Plats</t>
  </si>
  <si>
    <t>Plat</t>
  </si>
  <si>
    <t>Variante</t>
  </si>
  <si>
    <t>Prix (FCFA)</t>
  </si>
  <si>
    <t>Trois Brochettes</t>
  </si>
  <si>
    <t>Ndole Royal</t>
  </si>
  <si>
    <t>Viande</t>
  </si>
  <si>
    <t>Poisson fumé</t>
  </si>
  <si>
    <t>Portion</t>
  </si>
  <si>
    <t>Free Rice</t>
  </si>
  <si>
    <t>Pané</t>
  </si>
  <si>
    <t>un quart</t>
  </si>
  <si>
    <t>Braisé</t>
  </si>
  <si>
    <t>À l'ail</t>
  </si>
  <si>
    <t>6500/10000</t>
  </si>
  <si>
    <t>x 2</t>
  </si>
  <si>
    <t>Tacos</t>
  </si>
  <si>
    <t>Pizza</t>
  </si>
  <si>
    <t>Seven - Solo</t>
  </si>
  <si>
    <t>Seven - Duo</t>
  </si>
  <si>
    <t>Seven - Familiale</t>
  </si>
  <si>
    <t>Spices Bonita - Solo</t>
  </si>
  <si>
    <t>Spices Bonita - Duo</t>
  </si>
  <si>
    <t>Spices Bonita - Familiale</t>
  </si>
  <si>
    <t>Bimbia Cheese - Solo</t>
  </si>
  <si>
    <t>Bimbia Cheese - Duo</t>
  </si>
  <si>
    <t>Bimbia Cheese - Familiale</t>
  </si>
  <si>
    <t>Végétarienne - Solo</t>
  </si>
  <si>
    <t>Végétarienne - Duo</t>
  </si>
  <si>
    <t>Végétarienne - Familiale</t>
  </si>
  <si>
    <t>Poisson</t>
  </si>
  <si>
    <t>5000-8000</t>
  </si>
  <si>
    <t>9000-11000</t>
  </si>
  <si>
    <t>7000-10000</t>
  </si>
  <si>
    <t>Jus Naturel / Bissap</t>
  </si>
  <si>
    <t>Conso à 1000</t>
  </si>
  <si>
    <t>Fruit de Saison</t>
  </si>
  <si>
    <t>En litre</t>
  </si>
  <si>
    <t>Accompagnement</t>
  </si>
  <si>
    <t>Pour chaque plat</t>
  </si>
  <si>
    <t>Frites</t>
  </si>
  <si>
    <t>Plantain</t>
  </si>
  <si>
    <t>Miondo</t>
  </si>
  <si>
    <t>Ajouter un Plat</t>
  </si>
  <si>
    <t>Nom du plat:</t>
  </si>
  <si>
    <t>Variante:</t>
  </si>
  <si>
    <t>Prix:</t>
  </si>
  <si>
    <t>Observation:</t>
  </si>
  <si>
    <t>Ajouter</t>
  </si>
  <si>
    <t>PACKS</t>
  </si>
  <si>
    <t>Pack</t>
  </si>
  <si>
    <t>Composition</t>
  </si>
  <si>
    <t>Pack Brise Snack</t>
  </si>
  <si>
    <t>Deux morceaux de poulet, portion de frit, un verre de jus</t>
  </si>
  <si>
    <t>Pack Sunset Combo</t>
  </si>
  <si>
    <t>Un burger, un morceau de poulet, portion de frit, un verre de fruit</t>
  </si>
  <si>
    <t>Pack Ocean Duo</t>
  </si>
  <si>
    <t>Double cheese burger, un tacos, portion de frit, jus Top</t>
  </si>
  <si>
    <t>Pack Bonita Family</t>
  </si>
  <si>
    <t>Un demi poulet pané, deux burgers, un litre de jus, deux portions de frit</t>
  </si>
  <si>
    <t>PLANCHES</t>
  </si>
  <si>
    <t>Nom recommandé</t>
  </si>
  <si>
    <t>Planche Brise Marine</t>
  </si>
  <si>
    <t>Planche Sunset</t>
  </si>
  <si>
    <t>Planche Océan Royale</t>
  </si>
  <si>
    <t>Planche Paradise</t>
  </si>
  <si>
    <t>Planche Isla Prestige</t>
  </si>
  <si>
    <t>Planche Bonita Supreme</t>
  </si>
  <si>
    <t>❓ GUIDE D'UTILISATION RAPIDE</t>
  </si>
  <si>
    <t>1. COMMENCER :</t>
  </si>
  <si>
    <t>- Allez dans l'onglet 'CATEGORIES' pour vérifier vos catégories.</t>
  </si>
  <si>
    <t>- Allez dans 'PRODUITS' : Vos plats sont déjà pré-enregistrés ! Vérifiez les prix.</t>
  </si>
  <si>
    <t>- Allez dans 'MATIERES_PREMIERES' : Saisissez vos stocks initiaux et coûts unitaires.</t>
  </si>
  <si>
    <t>2. QUOTIDIEN :</t>
  </si>
  <si>
    <t>- Enregistrement des achats : Mettez à jour les 'Entrées' dans 'MATIERES_PREMIERES'.</t>
  </si>
  <si>
    <t>- Enregistrement des ventes : Utilisez l'onglet 'VENTES'. Sélectionnez le plat, la quantité se calcule seule.</t>
  </si>
  <si>
    <t>3. SUIVI :</t>
  </si>
  <si>
    <t>- Consultez le 'DASHBOARD' pour les totaux du jour.</t>
  </si>
  <si>
    <t>- Faites l'inventaire dans 'INVENTAIRES' en fin de semaine/mois.</t>
  </si>
  <si>
    <t>4. ASTUCES :</t>
  </si>
  <si>
    <t>- Les listes déroulantes vous aident à ne pas faire d'erreur de frappe.</t>
  </si>
  <si>
    <t>- Ne modifiez pas les colonnes avec des formules (texte en gris ou calcul automatique).</t>
  </si>
  <si>
    <t>Sous-Catégorie</t>
  </si>
  <si>
    <t>Stock Initial</t>
  </si>
  <si>
    <t>Stock Final</t>
  </si>
  <si>
    <t>Valeur Totale</t>
  </si>
  <si>
    <t>Viandes</t>
  </si>
  <si>
    <t>Poissons &amp; Fruits de mer</t>
  </si>
  <si>
    <t>Légumes frais</t>
  </si>
  <si>
    <t>Fruits frais</t>
  </si>
  <si>
    <t>Produits secs &amp; épicerie</t>
  </si>
  <si>
    <t>gm</t>
  </si>
  <si>
    <t>Levure</t>
  </si>
  <si>
    <t>Produits laitiers &amp; fromages</t>
  </si>
  <si>
    <t>Pièces</t>
  </si>
  <si>
    <t>Charcuterie</t>
  </si>
  <si>
    <t>Surgelés</t>
  </si>
  <si>
    <t>Sauces &amp; condiments</t>
  </si>
  <si>
    <t>Boulangerie &amp; pains</t>
  </si>
  <si>
    <t>Herbes &amp; épices</t>
  </si>
  <si>
    <t>Produits de pâtisserie</t>
  </si>
  <si>
    <t>Huiles &amp; matières grasses</t>
  </si>
  <si>
    <t>Produits de nettoyage</t>
  </si>
  <si>
    <t>Accessoires (éponges, gants)</t>
  </si>
  <si>
    <t>Emballages cuisine</t>
  </si>
  <si>
    <t>📈 ANALYTIQUES AVANCÉS</t>
  </si>
  <si>
    <t>Les tableaux croisés dynamiques seront générés ici une fois les données saisies.</t>
  </si>
  <si>
    <t>Allez dans Insertion &gt; Tableau Croisé Dynamique pour analyser les ventes et stocks.</t>
  </si>
  <si>
    <t>Nom de la Catégorie</t>
  </si>
  <si>
    <t>Description</t>
  </si>
  <si>
    <t>Nombre de Produits</t>
  </si>
  <si>
    <t>Gestion de Accompagnement</t>
  </si>
  <si>
    <t>Boisson</t>
  </si>
  <si>
    <t>Gestion de Boisson</t>
  </si>
  <si>
    <t>Gestion de Brochette</t>
  </si>
  <si>
    <t>Gestion de Burger</t>
  </si>
  <si>
    <t>Gestion de Charcuterie</t>
  </si>
  <si>
    <t>Fruits de mer</t>
  </si>
  <si>
    <t>Gestion de Fruits de mer</t>
  </si>
  <si>
    <t>Gestion de Pack</t>
  </si>
  <si>
    <t>Gestion de Pizza</t>
  </si>
  <si>
    <t>Planche</t>
  </si>
  <si>
    <t>Gestion de Planche</t>
  </si>
  <si>
    <t>Gestion de Plat Principal</t>
  </si>
  <si>
    <t>Gestion de Poisson</t>
  </si>
  <si>
    <t>Gestion de Porc</t>
  </si>
  <si>
    <t>Gestion de Poulet</t>
  </si>
  <si>
    <t>Gestion de Riz Accompagné</t>
  </si>
  <si>
    <t>Gestion de Tacos</t>
  </si>
  <si>
    <t>Nom du Plat</t>
  </si>
  <si>
    <t>Variante/Détail</t>
  </si>
  <si>
    <t>Prix Vente (FCFA)</t>
  </si>
  <si>
    <t>Statut</t>
  </si>
  <si>
    <t>Date Maj</t>
  </si>
  <si>
    <t>Actif</t>
  </si>
  <si>
    <t>Porc Braisé</t>
  </si>
  <si>
    <t>Gambas à l'ail (Petit)</t>
  </si>
  <si>
    <t>Gambas à l'ail (Grand)</t>
  </si>
  <si>
    <t>Gambas Braisées (Petit)</t>
  </si>
  <si>
    <t>Gambas Braisées (Grand)</t>
  </si>
  <si>
    <t>Saucisse (x2)</t>
  </si>
  <si>
    <t>Tacos Poulet</t>
  </si>
  <si>
    <t>Tacos Viande</t>
  </si>
  <si>
    <t>Pizza Saeven (Solo)</t>
  </si>
  <si>
    <t>Pizza Spices Bonita (Solo)</t>
  </si>
  <si>
    <t>Pizza Bimbia Cheese (Solo)</t>
  </si>
  <si>
    <t>Pizza Végétarienne (Solo)</t>
  </si>
  <si>
    <t>Pizza Saeven (Duo)</t>
  </si>
  <si>
    <t>Pizza Spices Bonita (Duo)</t>
  </si>
  <si>
    <t>Pizza Bimbia Cheese (Duo)</t>
  </si>
  <si>
    <t>Pizza Végétarienne (Duo)</t>
  </si>
  <si>
    <t>Pizza Saeven (Familiale)</t>
  </si>
  <si>
    <t>Pizza Spices Bonita (Familiale)</t>
  </si>
  <si>
    <t>Pizza Bimbia Cheese (Familiale)</t>
  </si>
  <si>
    <t>Pizza Végétarienne (Familiale)</t>
  </si>
  <si>
    <t>Carpe (Petit)</t>
  </si>
  <si>
    <t>Carpe (Grand)</t>
  </si>
  <si>
    <t>Sol (Petit)</t>
  </si>
  <si>
    <t>Sol (Grand)</t>
  </si>
  <si>
    <t>Bar (Petit)</t>
  </si>
  <si>
    <t>Bar (Grand)</t>
  </si>
  <si>
    <t>Jus Naturel / Bisap (Litre)</t>
  </si>
  <si>
    <t>Jus de Saison (Verre)</t>
  </si>
  <si>
    <t>Jus de Saison (Litre)</t>
  </si>
  <si>
    <t>Inclus ou à définir</t>
  </si>
  <si>
    <t>Frites de pomme de terre</t>
  </si>
  <si>
    <t>Frites de plantain</t>
  </si>
  <si>
    <t>2 poulet, frit, jus</t>
  </si>
  <si>
    <t>Burger, poulet, frit, jus</t>
  </si>
  <si>
    <t>2 burger, tacos, frit, jus</t>
  </si>
  <si>
    <t>1/2 poulet, 2 burger, litre jus, 2 frit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</si>
</sst>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\ \F\C\F\A"/>
  </numFmts>
  <fonts count="21" x14ac:knownFonts="1">
    <font>
      <sz val="11"/>
      <color theme="1"/>
      <name val="Calibri"/>
      <family val="2"/>
      <scheme val="minor"/>
    </font>
    <font>
      <b/>
      <sz val="20"/>
      <color rgb="FF2C3E50"/>
      <name val="Calibri"/>
    </font>
    <font>
      <sz val="11"/>
      <color rgb="FF2C3E50"/>
      <name val="Calibri"/>
    </font>
    <font>
      <b/>
      <sz val="14"/>
      <color rgb="FF34495E"/>
      <name val="Calibri"/>
    </font>
    <font>
      <u/>
      <sz val="11"/>
      <color rgb="FF0066CC"/>
      <name val="Calibri"/>
    </font>
    <font>
      <b/>
      <sz val="11"/>
      <color rgb="FF2C3E50"/>
      <name val="Calibri"/>
    </font>
    <font>
      <b/>
      <sz val="11"/>
      <color rgb="FFFFFFFF"/>
      <name val="Calibri"/>
    </font>
    <font>
      <b/>
      <sz val="16"/>
      <color rgb="FF2ECC71"/>
      <name val="Calibri"/>
    </font>
    <font>
      <b/>
      <sz val="16"/>
      <color rgb="FF34495E"/>
      <name val="Calibri"/>
    </font>
    <font>
      <b/>
      <sz val="16"/>
      <color rgb="FFF39C12"/>
      <name val="Calibri"/>
    </font>
    <font>
      <b/>
      <sz val="16"/>
      <color rgb="FFE74C3C"/>
      <name val="Calibri"/>
    </font>
    <font>
      <b/>
      <sz val="20"/>
      <color rgb="FFFFFFFF"/>
      <name val="Arial"/>
    </font>
    <font>
      <b/>
      <sz val="14"/>
      <color rgb="FF2C3E50"/>
      <name val="Arial"/>
    </font>
    <font>
      <b/>
      <sz val="12"/>
      <color rgb="FFFFFFFF"/>
      <name val="Arial"/>
    </font>
    <font>
      <sz val="11"/>
      <name val="Arial"/>
    </font>
    <font>
      <b/>
      <sz val="11"/>
      <color rgb="FFFFFFFF"/>
      <name val="Calibri"/>
    </font>
    <font>
      <b/>
      <sz val="14"/>
      <color rgb="FFFFFFFF"/>
      <name val="Calibri"/>
    </font>
    <font>
      <b/>
      <sz val="13"/>
      <color rgb="FF2ECC71"/>
      <name val="Calibri"/>
    </font>
    <font>
      <i/>
      <sz val="11"/>
      <color rgb="FF666666"/>
      <name val="Calibri"/>
    </font>
    <font>
      <b/>
      <sz val="12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CF0F1"/>
        <bgColor rgb="FFECF0F1"/>
      </patternFill>
    </fill>
    <fill>
      <patternFill patternType="solid">
        <fgColor rgb="FF2C3E50"/>
        <bgColor rgb="FF2C3E50"/>
      </patternFill>
    </fill>
    <fill>
      <patternFill patternType="solid">
        <fgColor rgb="FF2ECC71"/>
        <bgColor rgb="FF2ECC71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3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0" fillId="0" borderId="0" xfId="0" applyNumberFormat="1"/>
    <xf numFmtId="0" fontId="13" fillId="3" borderId="0" xfId="0" applyFont="1" applyFill="1" applyAlignment="1">
      <alignment horizontal="center" vertical="center"/>
    </xf>
    <xf numFmtId="0" fontId="18" fillId="0" borderId="0" xfId="0" applyFont="1"/>
    <xf numFmtId="1" fontId="0" fillId="0" borderId="0" xfId="0" applyNumberFormat="1"/>
    <xf numFmtId="0" fontId="16" fillId="3" borderId="0" xfId="0" applyFont="1" applyFill="1"/>
    <xf numFmtId="165" fontId="19" fillId="0" borderId="0" xfId="0" applyNumberFormat="1" applyFont="1"/>
    <xf numFmtId="0" fontId="19" fillId="0" borderId="0" xfId="0" applyFont="1"/>
    <xf numFmtId="0" fontId="20" fillId="0" borderId="0" xfId="0" applyFont="1"/>
    <xf numFmtId="0" fontId="17" fillId="0" borderId="0" xfId="0" applyFont="1"/>
    <xf numFmtId="0" fontId="14" fillId="0" borderId="0" xfId="0" applyFont="1"/>
    <xf numFmtId="0" fontId="12" fillId="0" borderId="0" xfId="0" applyFont="1"/>
    <xf numFmtId="0" fontId="15" fillId="4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/>
    <xf numFmtId="0" fontId="16" fillId="4" borderId="0" xfId="0" applyFont="1" applyFill="1" applyAlignment="1">
      <alignment horizontal="center" vertical="center"/>
    </xf>
    <xf numFmtId="0" fontId="11" fillId="3" borderId="0" xfId="0" applyFont="1" applyFill="1"/>
  </cellXfs>
  <cellStyles count="1">
    <cellStyle name="Normal" xfId="0" builtinId="0"/>
  </cellStyles>
  <dxfs count="2">
    <dxf>
      <fill>
        <patternFill patternType="solid">
          <fgColor rgb="FFFFEBEE"/>
          <bgColor rgb="FFFFEB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showGridLines="0" workbookViewId="0">
      <selection sqref="A1:E1"/>
    </sheetView>
  </sheetViews>
  <sheetFormatPr baseColWidth="10" defaultColWidth="9.140625" defaultRowHeight="15" x14ac:dyDescent="0.25"/>
  <cols>
    <col min="1" max="1" width="5" customWidth="1"/>
    <col min="2" max="2" width="40" customWidth="1"/>
    <col min="8" max="8" width="40" customWidth="1"/>
  </cols>
  <sheetData>
    <row r="1" spans="1:8" ht="26.25" x14ac:dyDescent="0.25">
      <c r="A1" s="27" t="s">
        <v>0</v>
      </c>
      <c r="B1" s="28"/>
      <c r="C1" s="28"/>
      <c r="D1" s="28"/>
      <c r="E1" s="28"/>
    </row>
    <row r="2" spans="1:8" x14ac:dyDescent="0.25">
      <c r="A2" s="1" t="s">
        <v>1</v>
      </c>
    </row>
    <row r="4" spans="1:8" ht="18.75" x14ac:dyDescent="0.25">
      <c r="A4" s="2" t="s">
        <v>2</v>
      </c>
      <c r="H4" s="2" t="s">
        <v>3</v>
      </c>
    </row>
    <row r="6" spans="1:8" x14ac:dyDescent="0.25">
      <c r="B6" s="3" t="s">
        <v>4</v>
      </c>
      <c r="H6" s="4" t="s">
        <v>5</v>
      </c>
    </row>
    <row r="7" spans="1:8" x14ac:dyDescent="0.25">
      <c r="B7" s="3" t="s">
        <v>6</v>
      </c>
      <c r="H7" s="1" t="s">
        <v>7</v>
      </c>
    </row>
    <row r="8" spans="1:8" x14ac:dyDescent="0.25">
      <c r="B8" s="3" t="s">
        <v>8</v>
      </c>
    </row>
    <row r="9" spans="1:8" x14ac:dyDescent="0.25">
      <c r="B9" s="3" t="s">
        <v>9</v>
      </c>
      <c r="H9" s="4" t="s">
        <v>10</v>
      </c>
    </row>
    <row r="10" spans="1:8" x14ac:dyDescent="0.25">
      <c r="B10" s="3" t="s">
        <v>11</v>
      </c>
      <c r="H10" s="1" t="s">
        <v>12</v>
      </c>
    </row>
    <row r="11" spans="1:8" x14ac:dyDescent="0.25">
      <c r="B11" s="3" t="s">
        <v>13</v>
      </c>
    </row>
    <row r="12" spans="1:8" x14ac:dyDescent="0.25">
      <c r="B12" s="3" t="s">
        <v>14</v>
      </c>
    </row>
    <row r="13" spans="1:8" x14ac:dyDescent="0.25">
      <c r="B13" s="3" t="s">
        <v>15</v>
      </c>
    </row>
    <row r="14" spans="1:8" x14ac:dyDescent="0.25">
      <c r="B14" s="3" t="s">
        <v>16</v>
      </c>
    </row>
    <row r="15" spans="1:8" x14ac:dyDescent="0.25">
      <c r="B15" s="3" t="s">
        <v>17</v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workbookViewId="0"/>
  </sheetViews>
  <sheetFormatPr baseColWidth="10" defaultColWidth="9.140625" defaultRowHeight="15" x14ac:dyDescent="0.25"/>
  <cols>
    <col min="2" max="2" width="20" customWidth="1"/>
    <col min="6" max="6" width="20" customWidth="1"/>
  </cols>
  <sheetData>
    <row r="1" spans="1:8" ht="26.25" x14ac:dyDescent="0.25">
      <c r="A1" s="27" t="s">
        <v>18</v>
      </c>
      <c r="B1" s="28"/>
      <c r="C1" s="28"/>
      <c r="D1" s="28"/>
    </row>
    <row r="4" spans="1:8" ht="18.75" x14ac:dyDescent="0.3">
      <c r="B4" s="9" t="s">
        <v>19</v>
      </c>
      <c r="C4" s="10"/>
      <c r="D4" s="10"/>
      <c r="F4" s="9" t="s">
        <v>20</v>
      </c>
      <c r="G4" s="10"/>
      <c r="H4" s="10"/>
    </row>
    <row r="5" spans="1:8" ht="21" x14ac:dyDescent="0.25">
      <c r="B5" s="11" t="s">
        <v>21</v>
      </c>
      <c r="C5" s="10"/>
      <c r="D5" s="10"/>
      <c r="F5" s="12" t="s">
        <v>22</v>
      </c>
      <c r="G5" s="10"/>
      <c r="H5" s="10"/>
    </row>
    <row r="6" spans="1:8" x14ac:dyDescent="0.25">
      <c r="B6" s="10"/>
      <c r="C6" s="10"/>
      <c r="D6" s="10"/>
      <c r="F6" s="10"/>
      <c r="G6" s="10"/>
      <c r="H6" s="10"/>
    </row>
    <row r="8" spans="1:8" ht="18.75" x14ac:dyDescent="0.3">
      <c r="B8" s="9" t="s">
        <v>23</v>
      </c>
      <c r="C8" s="10"/>
      <c r="D8" s="10"/>
      <c r="F8" s="9" t="s">
        <v>24</v>
      </c>
      <c r="G8" s="10"/>
      <c r="H8" s="10"/>
    </row>
    <row r="9" spans="1:8" ht="21" x14ac:dyDescent="0.25">
      <c r="B9" s="13" t="s">
        <v>25</v>
      </c>
      <c r="C9" s="10"/>
      <c r="D9" s="10"/>
      <c r="F9" s="14" t="s">
        <v>26</v>
      </c>
      <c r="G9" s="10"/>
      <c r="H9" s="10"/>
    </row>
    <row r="10" spans="1:8" x14ac:dyDescent="0.25">
      <c r="B10" s="10"/>
      <c r="C10" s="10"/>
      <c r="D10" s="10"/>
      <c r="F10" s="10"/>
      <c r="G10" s="10"/>
      <c r="H10" s="10"/>
    </row>
    <row r="15" spans="1:8" x14ac:dyDescent="0.25">
      <c r="A15" t="s">
        <v>27</v>
      </c>
      <c r="B15" s="15" t="e">
        <f ca="1">VENTES!C31</f>
        <v>#NAME?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"/>
  <sheetViews>
    <sheetView tabSelected="1" workbookViewId="0">
      <selection activeCell="A7" sqref="A7"/>
    </sheetView>
  </sheetViews>
  <sheetFormatPr baseColWidth="10" defaultColWidth="9.140625" defaultRowHeight="15" x14ac:dyDescent="0.25"/>
  <cols>
    <col min="1" max="1" width="30" customWidth="1"/>
    <col min="2" max="3" width="15" customWidth="1"/>
    <col min="4" max="4" width="18" customWidth="1"/>
    <col min="5" max="5" width="25" customWidth="1"/>
    <col min="6" max="6" width="15" customWidth="1"/>
  </cols>
  <sheetData>
    <row r="1" spans="1:6" ht="26.25" x14ac:dyDescent="0.4">
      <c r="A1" s="30" t="s">
        <v>28</v>
      </c>
      <c r="B1" s="28"/>
      <c r="C1" s="28"/>
      <c r="D1" s="28"/>
      <c r="E1" s="28"/>
      <c r="F1" s="28"/>
    </row>
    <row r="3" spans="1:6" x14ac:dyDescent="0.25">
      <c r="A3" t="s">
        <v>29</v>
      </c>
      <c r="B3" s="8" t="e">
        <f ca="1">AUJOURDHUI()</f>
        <v>#NAME?</v>
      </c>
      <c r="D3" t="s">
        <v>30</v>
      </c>
    </row>
    <row r="4" spans="1:6" x14ac:dyDescent="0.25">
      <c r="A4" t="s">
        <v>31</v>
      </c>
    </row>
    <row r="6" spans="1:6" ht="15.75" x14ac:dyDescent="0.25">
      <c r="A6" s="16" t="s">
        <v>32</v>
      </c>
      <c r="B6" s="16" t="s">
        <v>33</v>
      </c>
      <c r="C6" s="16" t="s">
        <v>34</v>
      </c>
      <c r="D6" s="16" t="s">
        <v>35</v>
      </c>
      <c r="E6" s="16" t="s">
        <v>36</v>
      </c>
      <c r="F6" s="16" t="s">
        <v>37</v>
      </c>
    </row>
    <row r="8" spans="1:6" x14ac:dyDescent="0.25">
      <c r="A8" s="17"/>
      <c r="B8" s="18">
        <v>0</v>
      </c>
      <c r="D8" s="15">
        <f t="shared" ref="D8:D27" si="0">B8*C8</f>
        <v>0</v>
      </c>
    </row>
    <row r="9" spans="1:6" x14ac:dyDescent="0.25">
      <c r="B9" s="18">
        <v>0</v>
      </c>
      <c r="D9" s="15">
        <f t="shared" si="0"/>
        <v>0</v>
      </c>
    </row>
    <row r="10" spans="1:6" x14ac:dyDescent="0.25">
      <c r="B10" s="18">
        <v>0</v>
      </c>
      <c r="D10" s="15">
        <f t="shared" si="0"/>
        <v>0</v>
      </c>
    </row>
    <row r="11" spans="1:6" x14ac:dyDescent="0.25">
      <c r="B11" s="18">
        <v>0</v>
      </c>
      <c r="D11" s="15">
        <f t="shared" si="0"/>
        <v>0</v>
      </c>
    </row>
    <row r="12" spans="1:6" x14ac:dyDescent="0.25">
      <c r="B12" s="18">
        <v>0</v>
      </c>
      <c r="D12" s="15">
        <f t="shared" si="0"/>
        <v>0</v>
      </c>
    </row>
    <row r="13" spans="1:6" x14ac:dyDescent="0.25">
      <c r="B13" s="18">
        <v>0</v>
      </c>
      <c r="D13" s="15">
        <f t="shared" si="0"/>
        <v>0</v>
      </c>
    </row>
    <row r="14" spans="1:6" x14ac:dyDescent="0.25">
      <c r="B14" s="18">
        <v>0</v>
      </c>
      <c r="D14" s="15">
        <f t="shared" si="0"/>
        <v>0</v>
      </c>
    </row>
    <row r="15" spans="1:6" x14ac:dyDescent="0.25">
      <c r="B15" s="18">
        <v>0</v>
      </c>
      <c r="D15" s="15">
        <f t="shared" si="0"/>
        <v>0</v>
      </c>
    </row>
    <row r="16" spans="1:6" x14ac:dyDescent="0.25">
      <c r="B16" s="18">
        <v>0</v>
      </c>
      <c r="D16" s="15">
        <f t="shared" si="0"/>
        <v>0</v>
      </c>
    </row>
    <row r="17" spans="1:4" x14ac:dyDescent="0.25">
      <c r="B17" s="18">
        <v>0</v>
      </c>
      <c r="D17" s="15">
        <f t="shared" si="0"/>
        <v>0</v>
      </c>
    </row>
    <row r="18" spans="1:4" x14ac:dyDescent="0.25">
      <c r="B18" s="18">
        <v>0</v>
      </c>
      <c r="D18" s="15">
        <f t="shared" si="0"/>
        <v>0</v>
      </c>
    </row>
    <row r="19" spans="1:4" x14ac:dyDescent="0.25">
      <c r="B19" s="18">
        <v>0</v>
      </c>
      <c r="D19" s="15">
        <f t="shared" si="0"/>
        <v>0</v>
      </c>
    </row>
    <row r="20" spans="1:4" x14ac:dyDescent="0.25">
      <c r="B20" s="18">
        <v>0</v>
      </c>
      <c r="D20" s="15">
        <f t="shared" si="0"/>
        <v>0</v>
      </c>
    </row>
    <row r="21" spans="1:4" x14ac:dyDescent="0.25">
      <c r="B21" s="18">
        <v>0</v>
      </c>
      <c r="D21" s="15">
        <f t="shared" si="0"/>
        <v>0</v>
      </c>
    </row>
    <row r="22" spans="1:4" x14ac:dyDescent="0.25">
      <c r="B22" s="18">
        <v>0</v>
      </c>
      <c r="D22" s="15">
        <f t="shared" si="0"/>
        <v>0</v>
      </c>
    </row>
    <row r="23" spans="1:4" x14ac:dyDescent="0.25">
      <c r="B23" s="18">
        <v>0</v>
      </c>
      <c r="D23" s="15">
        <f t="shared" si="0"/>
        <v>0</v>
      </c>
    </row>
    <row r="24" spans="1:4" x14ac:dyDescent="0.25">
      <c r="B24" s="18">
        <v>0</v>
      </c>
      <c r="D24" s="15">
        <f t="shared" si="0"/>
        <v>0</v>
      </c>
    </row>
    <row r="25" spans="1:4" x14ac:dyDescent="0.25">
      <c r="B25" s="18">
        <v>0</v>
      </c>
      <c r="D25" s="15">
        <f t="shared" si="0"/>
        <v>0</v>
      </c>
    </row>
    <row r="26" spans="1:4" x14ac:dyDescent="0.25">
      <c r="B26" s="18">
        <v>0</v>
      </c>
      <c r="D26" s="15">
        <f t="shared" si="0"/>
        <v>0</v>
      </c>
    </row>
    <row r="27" spans="1:4" x14ac:dyDescent="0.25">
      <c r="B27" s="18">
        <v>0</v>
      </c>
      <c r="D27" s="15">
        <f t="shared" si="0"/>
        <v>0</v>
      </c>
    </row>
    <row r="30" spans="1:4" ht="18.75" x14ac:dyDescent="0.3">
      <c r="A30" s="19" t="s">
        <v>38</v>
      </c>
    </row>
    <row r="31" spans="1:4" ht="15.75" x14ac:dyDescent="0.25">
      <c r="B31" t="s">
        <v>39</v>
      </c>
      <c r="C31" s="20" t="e">
        <f ca="1">SOMME(D8:D27)</f>
        <v>#NAME?</v>
      </c>
    </row>
    <row r="32" spans="1:4" ht="15.75" x14ac:dyDescent="0.25">
      <c r="B32" t="s">
        <v>40</v>
      </c>
      <c r="C32" s="21" t="e">
        <f ca="1">SOMME(B8:B27)</f>
        <v>#NAME?</v>
      </c>
    </row>
    <row r="33" spans="1:3" x14ac:dyDescent="0.25">
      <c r="B33" t="s">
        <v>41</v>
      </c>
      <c r="C33" s="15"/>
    </row>
    <row r="36" spans="1:3" x14ac:dyDescent="0.25">
      <c r="A36" s="22" t="s">
        <v>42</v>
      </c>
    </row>
    <row r="38" spans="1:3" ht="18.75" x14ac:dyDescent="0.25">
      <c r="A38" s="29" t="s">
        <v>43</v>
      </c>
      <c r="B38" s="28"/>
      <c r="C38" s="28"/>
    </row>
  </sheetData>
  <mergeCells count="2">
    <mergeCell ref="A38:C38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G3"/>
  <sheetViews>
    <sheetView workbookViewId="0"/>
  </sheetViews>
  <sheetFormatPr baseColWidth="10" defaultColWidth="9.140625" defaultRowHeight="15" x14ac:dyDescent="0.25"/>
  <cols>
    <col min="1" max="1" width="5" customWidth="1"/>
    <col min="2" max="3" width="25" customWidth="1"/>
    <col min="4" max="4" width="15" customWidth="1"/>
    <col min="5" max="5" width="25" customWidth="1"/>
    <col min="6" max="6" width="30" customWidth="1"/>
    <col min="7" max="7" width="20" customWidth="1"/>
  </cols>
  <sheetData>
    <row r="3" spans="1:7" x14ac:dyDescent="0.25">
      <c r="A3" s="5" t="s">
        <v>44</v>
      </c>
      <c r="B3" s="5" t="s">
        <v>45</v>
      </c>
      <c r="C3" s="5" t="s">
        <v>46</v>
      </c>
      <c r="D3" s="5" t="s">
        <v>47</v>
      </c>
      <c r="E3" s="5" t="s">
        <v>48</v>
      </c>
      <c r="F3" s="5" t="s">
        <v>49</v>
      </c>
      <c r="G3" s="5" t="s">
        <v>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52"/>
  <sheetViews>
    <sheetView workbookViewId="0"/>
  </sheetViews>
  <sheetFormatPr baseColWidth="10" defaultColWidth="9.140625" defaultRowHeight="15" x14ac:dyDescent="0.25"/>
  <cols>
    <col min="1" max="1" width="25" customWidth="1"/>
    <col min="2" max="2" width="12" customWidth="1"/>
    <col min="3" max="3" width="15" customWidth="1"/>
    <col min="4" max="5" width="12" customWidth="1"/>
    <col min="6" max="7" width="15" customWidth="1"/>
  </cols>
  <sheetData>
    <row r="1" spans="1:7" ht="26.25" x14ac:dyDescent="0.4">
      <c r="A1" s="30" t="s">
        <v>51</v>
      </c>
      <c r="B1" s="28"/>
      <c r="C1" s="28"/>
      <c r="D1" s="28"/>
      <c r="E1" s="28"/>
      <c r="F1" s="28"/>
      <c r="G1" s="28"/>
    </row>
    <row r="2" spans="1:7" x14ac:dyDescent="0.25">
      <c r="C2" t="s">
        <v>29</v>
      </c>
      <c r="D2" s="8" t="e">
        <f ca="1">AUJOURDHUI()</f>
        <v>#NAME?</v>
      </c>
    </row>
    <row r="4" spans="1:7" ht="17.25" x14ac:dyDescent="0.3">
      <c r="A4" s="23" t="s">
        <v>52</v>
      </c>
    </row>
    <row r="5" spans="1:7" ht="15.75" x14ac:dyDescent="0.25">
      <c r="A5" s="16" t="s">
        <v>53</v>
      </c>
      <c r="B5" s="16" t="s">
        <v>54</v>
      </c>
      <c r="C5" s="16" t="s">
        <v>55</v>
      </c>
      <c r="D5" s="16" t="s">
        <v>56</v>
      </c>
      <c r="E5" s="16" t="s">
        <v>57</v>
      </c>
      <c r="F5" s="16" t="s">
        <v>58</v>
      </c>
      <c r="G5" s="16" t="s">
        <v>59</v>
      </c>
    </row>
    <row r="6" spans="1:7" x14ac:dyDescent="0.25">
      <c r="A6" s="24" t="s">
        <v>60</v>
      </c>
      <c r="B6" s="24" t="s">
        <v>61</v>
      </c>
      <c r="C6" s="18">
        <v>0</v>
      </c>
      <c r="D6" s="18">
        <v>0</v>
      </c>
      <c r="E6" s="18">
        <v>0</v>
      </c>
      <c r="F6" s="18">
        <f t="shared" ref="F6:F13" si="0">C6+D6-E6</f>
        <v>0</v>
      </c>
    </row>
    <row r="7" spans="1:7" x14ac:dyDescent="0.25">
      <c r="A7" s="24" t="s">
        <v>62</v>
      </c>
      <c r="B7" s="24" t="s">
        <v>61</v>
      </c>
      <c r="C7" s="18">
        <v>0</v>
      </c>
      <c r="D7" s="18">
        <v>0</v>
      </c>
      <c r="E7" s="18">
        <v>0</v>
      </c>
      <c r="F7" s="18">
        <f t="shared" si="0"/>
        <v>0</v>
      </c>
    </row>
    <row r="8" spans="1:7" x14ac:dyDescent="0.25">
      <c r="A8" s="24" t="s">
        <v>63</v>
      </c>
      <c r="B8" s="24" t="s">
        <v>61</v>
      </c>
      <c r="C8" s="18">
        <v>0</v>
      </c>
      <c r="D8" s="18">
        <v>0</v>
      </c>
      <c r="E8" s="18">
        <v>0</v>
      </c>
      <c r="F8" s="18">
        <f t="shared" si="0"/>
        <v>0</v>
      </c>
    </row>
    <row r="9" spans="1:7" x14ac:dyDescent="0.25">
      <c r="A9" s="24" t="s">
        <v>64</v>
      </c>
      <c r="B9" s="24" t="s">
        <v>61</v>
      </c>
      <c r="C9" s="18">
        <v>0</v>
      </c>
      <c r="D9" s="18">
        <v>0</v>
      </c>
      <c r="E9" s="18">
        <v>0</v>
      </c>
      <c r="F9" s="18">
        <f t="shared" si="0"/>
        <v>0</v>
      </c>
    </row>
    <row r="10" spans="1:7" x14ac:dyDescent="0.25">
      <c r="A10" s="24" t="s">
        <v>65</v>
      </c>
      <c r="B10" s="24" t="s">
        <v>66</v>
      </c>
      <c r="C10" s="18">
        <v>0</v>
      </c>
      <c r="D10" s="18">
        <v>0</v>
      </c>
      <c r="E10" s="18">
        <v>0</v>
      </c>
      <c r="F10" s="18">
        <f t="shared" si="0"/>
        <v>0</v>
      </c>
    </row>
    <row r="11" spans="1:7" x14ac:dyDescent="0.25">
      <c r="A11" s="24" t="s">
        <v>67</v>
      </c>
      <c r="B11" s="24" t="s">
        <v>61</v>
      </c>
      <c r="C11" s="18">
        <v>0</v>
      </c>
      <c r="D11" s="18">
        <v>0</v>
      </c>
      <c r="E11" s="18">
        <v>0</v>
      </c>
      <c r="F11" s="18">
        <f t="shared" si="0"/>
        <v>0</v>
      </c>
    </row>
    <row r="12" spans="1:7" x14ac:dyDescent="0.25">
      <c r="A12" s="24" t="s">
        <v>68</v>
      </c>
      <c r="B12" s="24" t="s">
        <v>69</v>
      </c>
      <c r="C12" s="18">
        <v>0</v>
      </c>
      <c r="D12" s="18">
        <v>0</v>
      </c>
      <c r="E12" s="18">
        <v>0</v>
      </c>
      <c r="F12" s="18">
        <f t="shared" si="0"/>
        <v>0</v>
      </c>
    </row>
    <row r="13" spans="1:7" x14ac:dyDescent="0.25">
      <c r="A13" s="24" t="s">
        <v>70</v>
      </c>
      <c r="B13" s="24" t="s">
        <v>66</v>
      </c>
      <c r="C13" s="18">
        <v>0</v>
      </c>
      <c r="D13" s="18">
        <v>0</v>
      </c>
      <c r="E13" s="18">
        <v>0</v>
      </c>
      <c r="F13" s="18">
        <f t="shared" si="0"/>
        <v>0</v>
      </c>
    </row>
    <row r="15" spans="1:7" ht="17.25" x14ac:dyDescent="0.3">
      <c r="A15" s="23" t="s">
        <v>71</v>
      </c>
    </row>
    <row r="16" spans="1:7" ht="15.75" x14ac:dyDescent="0.25">
      <c r="A16" s="16" t="s">
        <v>53</v>
      </c>
      <c r="B16" s="16" t="s">
        <v>54</v>
      </c>
      <c r="C16" s="16" t="s">
        <v>55</v>
      </c>
      <c r="D16" s="16" t="s">
        <v>56</v>
      </c>
      <c r="E16" s="16" t="s">
        <v>57</v>
      </c>
      <c r="F16" s="16" t="s">
        <v>58</v>
      </c>
      <c r="G16" s="16" t="s">
        <v>59</v>
      </c>
    </row>
    <row r="17" spans="1:7" x14ac:dyDescent="0.25">
      <c r="A17" s="24" t="s">
        <v>72</v>
      </c>
      <c r="B17" s="24" t="s">
        <v>66</v>
      </c>
      <c r="C17" s="18">
        <v>0</v>
      </c>
      <c r="D17" s="18">
        <v>0</v>
      </c>
      <c r="E17" s="18">
        <v>0</v>
      </c>
      <c r="F17" s="18">
        <f>C17+D17-E17</f>
        <v>0</v>
      </c>
    </row>
    <row r="18" spans="1:7" x14ac:dyDescent="0.25">
      <c r="A18" s="24" t="s">
        <v>73</v>
      </c>
      <c r="B18" s="24" t="s">
        <v>66</v>
      </c>
      <c r="C18" s="18">
        <v>0</v>
      </c>
      <c r="D18" s="18">
        <v>0</v>
      </c>
      <c r="E18" s="18">
        <v>0</v>
      </c>
      <c r="F18" s="18">
        <f>C18+D18-E18</f>
        <v>0</v>
      </c>
    </row>
    <row r="19" spans="1:7" x14ac:dyDescent="0.25">
      <c r="A19" s="24" t="s">
        <v>74</v>
      </c>
      <c r="B19" s="24" t="s">
        <v>66</v>
      </c>
      <c r="C19" s="18">
        <v>0</v>
      </c>
      <c r="D19" s="18">
        <v>0</v>
      </c>
      <c r="E19" s="18">
        <v>0</v>
      </c>
      <c r="F19" s="18">
        <f>C19+D19-E19</f>
        <v>0</v>
      </c>
    </row>
    <row r="20" spans="1:7" x14ac:dyDescent="0.25">
      <c r="A20" s="24" t="s">
        <v>75</v>
      </c>
      <c r="B20" s="24" t="s">
        <v>66</v>
      </c>
      <c r="C20" s="18">
        <v>0</v>
      </c>
      <c r="D20" s="18">
        <v>0</v>
      </c>
      <c r="E20" s="18">
        <v>0</v>
      </c>
      <c r="F20" s="18">
        <f>C20+D20-E20</f>
        <v>0</v>
      </c>
    </row>
    <row r="21" spans="1:7" x14ac:dyDescent="0.25">
      <c r="A21" s="24" t="s">
        <v>76</v>
      </c>
      <c r="B21" s="24" t="s">
        <v>66</v>
      </c>
      <c r="C21" s="18">
        <v>0</v>
      </c>
      <c r="D21" s="18">
        <v>0</v>
      </c>
      <c r="E21" s="18">
        <v>0</v>
      </c>
      <c r="F21" s="18">
        <f>C21+D21-E21</f>
        <v>0</v>
      </c>
    </row>
    <row r="23" spans="1:7" ht="17.25" x14ac:dyDescent="0.3">
      <c r="A23" s="23" t="s">
        <v>77</v>
      </c>
    </row>
    <row r="24" spans="1:7" ht="15.75" x14ac:dyDescent="0.25">
      <c r="A24" s="16" t="s">
        <v>53</v>
      </c>
      <c r="B24" s="16" t="s">
        <v>54</v>
      </c>
      <c r="C24" s="16" t="s">
        <v>55</v>
      </c>
      <c r="D24" s="16" t="s">
        <v>56</v>
      </c>
      <c r="E24" s="16" t="s">
        <v>57</v>
      </c>
      <c r="F24" s="16" t="s">
        <v>58</v>
      </c>
      <c r="G24" s="16" t="s">
        <v>59</v>
      </c>
    </row>
    <row r="25" spans="1:7" x14ac:dyDescent="0.25">
      <c r="A25" s="24" t="s">
        <v>78</v>
      </c>
      <c r="B25" s="24" t="s">
        <v>79</v>
      </c>
      <c r="C25" s="18">
        <v>0</v>
      </c>
      <c r="D25" s="18">
        <v>0</v>
      </c>
      <c r="E25" s="18">
        <v>0</v>
      </c>
      <c r="F25" s="18">
        <f t="shared" ref="F25:F41" si="1">C25+D25-E25</f>
        <v>0</v>
      </c>
    </row>
    <row r="26" spans="1:7" x14ac:dyDescent="0.25">
      <c r="A26" s="24" t="s">
        <v>80</v>
      </c>
      <c r="B26" s="24" t="s">
        <v>79</v>
      </c>
      <c r="C26" s="18">
        <v>0</v>
      </c>
      <c r="D26" s="18">
        <v>0</v>
      </c>
      <c r="E26" s="18">
        <v>0</v>
      </c>
      <c r="F26" s="18">
        <f t="shared" si="1"/>
        <v>0</v>
      </c>
    </row>
    <row r="27" spans="1:7" x14ac:dyDescent="0.25">
      <c r="A27" s="24" t="s">
        <v>81</v>
      </c>
      <c r="B27" s="24" t="s">
        <v>79</v>
      </c>
      <c r="C27" s="18">
        <v>0</v>
      </c>
      <c r="D27" s="18">
        <v>0</v>
      </c>
      <c r="E27" s="18">
        <v>0</v>
      </c>
      <c r="F27" s="18">
        <f t="shared" si="1"/>
        <v>0</v>
      </c>
    </row>
    <row r="28" spans="1:7" x14ac:dyDescent="0.25">
      <c r="A28" s="24" t="s">
        <v>82</v>
      </c>
      <c r="B28" s="24" t="s">
        <v>79</v>
      </c>
      <c r="C28" s="18">
        <v>0</v>
      </c>
      <c r="D28" s="18">
        <v>0</v>
      </c>
      <c r="E28" s="18">
        <v>0</v>
      </c>
      <c r="F28" s="18">
        <f t="shared" si="1"/>
        <v>0</v>
      </c>
    </row>
    <row r="29" spans="1:7" x14ac:dyDescent="0.25">
      <c r="A29" s="24" t="s">
        <v>83</v>
      </c>
      <c r="B29" s="24" t="s">
        <v>79</v>
      </c>
      <c r="C29" s="18">
        <v>0</v>
      </c>
      <c r="D29" s="18">
        <v>0</v>
      </c>
      <c r="E29" s="18">
        <v>0</v>
      </c>
      <c r="F29" s="18">
        <f t="shared" si="1"/>
        <v>0</v>
      </c>
    </row>
    <row r="30" spans="1:7" x14ac:dyDescent="0.25">
      <c r="A30" s="24" t="s">
        <v>84</v>
      </c>
      <c r="B30" s="24" t="s">
        <v>85</v>
      </c>
      <c r="C30" s="18">
        <v>0</v>
      </c>
      <c r="D30" s="18">
        <v>0</v>
      </c>
      <c r="E30" s="18">
        <v>0</v>
      </c>
      <c r="F30" s="18">
        <f t="shared" si="1"/>
        <v>0</v>
      </c>
    </row>
    <row r="31" spans="1:7" x14ac:dyDescent="0.25">
      <c r="A31" s="24" t="s">
        <v>86</v>
      </c>
      <c r="B31" s="24" t="s">
        <v>79</v>
      </c>
      <c r="C31" s="18">
        <v>0</v>
      </c>
      <c r="D31" s="18">
        <v>0</v>
      </c>
      <c r="E31" s="18">
        <v>0</v>
      </c>
      <c r="F31" s="18">
        <f t="shared" si="1"/>
        <v>0</v>
      </c>
    </row>
    <row r="32" spans="1:7" x14ac:dyDescent="0.25">
      <c r="A32" s="24" t="s">
        <v>87</v>
      </c>
      <c r="B32" s="24" t="s">
        <v>79</v>
      </c>
      <c r="C32" s="18">
        <v>0</v>
      </c>
      <c r="D32" s="18">
        <v>0</v>
      </c>
      <c r="E32" s="18">
        <v>0</v>
      </c>
      <c r="F32" s="18">
        <f t="shared" si="1"/>
        <v>0</v>
      </c>
    </row>
    <row r="33" spans="1:7" x14ac:dyDescent="0.25">
      <c r="A33" s="24" t="s">
        <v>88</v>
      </c>
      <c r="B33" s="24" t="s">
        <v>79</v>
      </c>
      <c r="C33" s="18">
        <v>0</v>
      </c>
      <c r="D33" s="18">
        <v>0</v>
      </c>
      <c r="E33" s="18">
        <v>0</v>
      </c>
      <c r="F33" s="18">
        <f t="shared" si="1"/>
        <v>0</v>
      </c>
    </row>
    <row r="34" spans="1:7" x14ac:dyDescent="0.25">
      <c r="A34" s="24" t="s">
        <v>89</v>
      </c>
      <c r="B34" s="24" t="s">
        <v>79</v>
      </c>
      <c r="C34" s="18">
        <v>0</v>
      </c>
      <c r="D34" s="18">
        <v>0</v>
      </c>
      <c r="E34" s="18">
        <v>0</v>
      </c>
      <c r="F34" s="18">
        <f t="shared" si="1"/>
        <v>0</v>
      </c>
    </row>
    <row r="35" spans="1:7" x14ac:dyDescent="0.25">
      <c r="A35" s="24" t="s">
        <v>90</v>
      </c>
      <c r="B35" s="24" t="s">
        <v>79</v>
      </c>
      <c r="C35" s="18">
        <v>0</v>
      </c>
      <c r="D35" s="18">
        <v>0</v>
      </c>
      <c r="E35" s="18">
        <v>0</v>
      </c>
      <c r="F35" s="18">
        <f t="shared" si="1"/>
        <v>0</v>
      </c>
    </row>
    <row r="36" spans="1:7" x14ac:dyDescent="0.25">
      <c r="A36" s="24" t="s">
        <v>91</v>
      </c>
      <c r="B36" s="24" t="s">
        <v>79</v>
      </c>
      <c r="C36" s="18">
        <v>0</v>
      </c>
      <c r="D36" s="18">
        <v>0</v>
      </c>
      <c r="E36" s="18">
        <v>0</v>
      </c>
      <c r="F36" s="18">
        <f t="shared" si="1"/>
        <v>0</v>
      </c>
    </row>
    <row r="37" spans="1:7" x14ac:dyDescent="0.25">
      <c r="A37" s="24" t="s">
        <v>92</v>
      </c>
      <c r="B37" s="24" t="s">
        <v>79</v>
      </c>
      <c r="C37" s="18">
        <v>0</v>
      </c>
      <c r="D37" s="18">
        <v>0</v>
      </c>
      <c r="E37" s="18">
        <v>0</v>
      </c>
      <c r="F37" s="18">
        <f t="shared" si="1"/>
        <v>0</v>
      </c>
    </row>
    <row r="38" spans="1:7" x14ac:dyDescent="0.25">
      <c r="A38" s="24" t="s">
        <v>93</v>
      </c>
      <c r="B38" s="24" t="s">
        <v>94</v>
      </c>
      <c r="C38" s="18">
        <v>0</v>
      </c>
      <c r="D38" s="18">
        <v>0</v>
      </c>
      <c r="E38" s="18">
        <v>0</v>
      </c>
      <c r="F38" s="18">
        <f t="shared" si="1"/>
        <v>0</v>
      </c>
    </row>
    <row r="39" spans="1:7" x14ac:dyDescent="0.25">
      <c r="A39" s="24" t="s">
        <v>95</v>
      </c>
      <c r="B39" s="24" t="s">
        <v>79</v>
      </c>
      <c r="C39" s="18">
        <v>0</v>
      </c>
      <c r="D39" s="18">
        <v>0</v>
      </c>
      <c r="E39" s="18">
        <v>0</v>
      </c>
      <c r="F39" s="18">
        <f t="shared" si="1"/>
        <v>0</v>
      </c>
    </row>
    <row r="40" spans="1:7" x14ac:dyDescent="0.25">
      <c r="A40" s="24" t="s">
        <v>96</v>
      </c>
      <c r="B40" s="24" t="s">
        <v>79</v>
      </c>
      <c r="C40" s="18">
        <v>0</v>
      </c>
      <c r="D40" s="18">
        <v>0</v>
      </c>
      <c r="E40" s="18">
        <v>0</v>
      </c>
      <c r="F40" s="18">
        <f t="shared" si="1"/>
        <v>0</v>
      </c>
    </row>
    <row r="41" spans="1:7" x14ac:dyDescent="0.25">
      <c r="A41" s="24" t="s">
        <v>97</v>
      </c>
      <c r="B41" s="24" t="s">
        <v>79</v>
      </c>
      <c r="C41" s="18">
        <v>0</v>
      </c>
      <c r="D41" s="18">
        <v>0</v>
      </c>
      <c r="E41" s="18">
        <v>0</v>
      </c>
      <c r="F41" s="18">
        <f t="shared" si="1"/>
        <v>0</v>
      </c>
    </row>
    <row r="43" spans="1:7" ht="17.25" x14ac:dyDescent="0.3">
      <c r="A43" s="23" t="s">
        <v>98</v>
      </c>
    </row>
    <row r="44" spans="1:7" ht="15.75" x14ac:dyDescent="0.25">
      <c r="A44" s="16" t="s">
        <v>53</v>
      </c>
      <c r="B44" s="16" t="s">
        <v>54</v>
      </c>
      <c r="C44" s="16" t="s">
        <v>55</v>
      </c>
      <c r="D44" s="16" t="s">
        <v>56</v>
      </c>
      <c r="E44" s="16" t="s">
        <v>57</v>
      </c>
      <c r="F44" s="16" t="s">
        <v>58</v>
      </c>
      <c r="G44" s="16" t="s">
        <v>59</v>
      </c>
    </row>
    <row r="45" spans="1:7" x14ac:dyDescent="0.25">
      <c r="A45" s="24" t="s">
        <v>99</v>
      </c>
      <c r="B45" s="24" t="s">
        <v>66</v>
      </c>
      <c r="C45" s="18">
        <v>0</v>
      </c>
      <c r="D45" s="18">
        <v>0</v>
      </c>
      <c r="E45" s="18">
        <v>0</v>
      </c>
      <c r="F45" s="18">
        <f t="shared" ref="F45:F53" si="2">C45+D45-E45</f>
        <v>0</v>
      </c>
    </row>
    <row r="46" spans="1:7" x14ac:dyDescent="0.25">
      <c r="A46" s="24" t="s">
        <v>100</v>
      </c>
      <c r="B46" s="24" t="s">
        <v>66</v>
      </c>
      <c r="C46" s="18">
        <v>0</v>
      </c>
      <c r="D46" s="18">
        <v>0</v>
      </c>
      <c r="E46" s="18">
        <v>0</v>
      </c>
      <c r="F46" s="18">
        <f t="shared" si="2"/>
        <v>0</v>
      </c>
    </row>
    <row r="47" spans="1:7" x14ac:dyDescent="0.25">
      <c r="A47" s="24" t="s">
        <v>101</v>
      </c>
      <c r="B47" s="24" t="s">
        <v>66</v>
      </c>
      <c r="C47" s="18">
        <v>0</v>
      </c>
      <c r="D47" s="18">
        <v>0</v>
      </c>
      <c r="E47" s="18">
        <v>0</v>
      </c>
      <c r="F47" s="18">
        <f t="shared" si="2"/>
        <v>0</v>
      </c>
    </row>
    <row r="48" spans="1:7" x14ac:dyDescent="0.25">
      <c r="A48" s="24" t="s">
        <v>102</v>
      </c>
      <c r="B48" s="24" t="s">
        <v>66</v>
      </c>
      <c r="C48" s="18">
        <v>0</v>
      </c>
      <c r="D48" s="18">
        <v>0</v>
      </c>
      <c r="E48" s="18">
        <v>0</v>
      </c>
      <c r="F48" s="18">
        <f t="shared" si="2"/>
        <v>0</v>
      </c>
    </row>
    <row r="49" spans="1:7" x14ac:dyDescent="0.25">
      <c r="A49" s="24" t="s">
        <v>103</v>
      </c>
      <c r="B49" s="24" t="s">
        <v>66</v>
      </c>
      <c r="C49" s="18">
        <v>0</v>
      </c>
      <c r="D49" s="18">
        <v>0</v>
      </c>
      <c r="E49" s="18">
        <v>0</v>
      </c>
      <c r="F49" s="18">
        <f t="shared" si="2"/>
        <v>0</v>
      </c>
    </row>
    <row r="50" spans="1:7" x14ac:dyDescent="0.25">
      <c r="A50" s="24" t="s">
        <v>104</v>
      </c>
      <c r="B50" s="24" t="s">
        <v>66</v>
      </c>
      <c r="C50" s="18">
        <v>0</v>
      </c>
      <c r="D50" s="18">
        <v>0</v>
      </c>
      <c r="E50" s="18">
        <v>0</v>
      </c>
      <c r="F50" s="18">
        <f t="shared" si="2"/>
        <v>0</v>
      </c>
    </row>
    <row r="51" spans="1:7" x14ac:dyDescent="0.25">
      <c r="A51" s="24" t="s">
        <v>105</v>
      </c>
      <c r="B51" s="24" t="s">
        <v>66</v>
      </c>
      <c r="C51" s="18">
        <v>0</v>
      </c>
      <c r="D51" s="18">
        <v>0</v>
      </c>
      <c r="E51" s="18">
        <v>0</v>
      </c>
      <c r="F51" s="18">
        <f t="shared" si="2"/>
        <v>0</v>
      </c>
    </row>
    <row r="52" spans="1:7" x14ac:dyDescent="0.25">
      <c r="A52" s="24" t="s">
        <v>106</v>
      </c>
      <c r="B52" s="24" t="s">
        <v>66</v>
      </c>
      <c r="C52" s="18">
        <v>0</v>
      </c>
      <c r="D52" s="18">
        <v>0</v>
      </c>
      <c r="E52" s="18">
        <v>0</v>
      </c>
      <c r="F52" s="18">
        <f t="shared" si="2"/>
        <v>0</v>
      </c>
    </row>
    <row r="53" spans="1:7" x14ac:dyDescent="0.25">
      <c r="A53" s="24" t="s">
        <v>107</v>
      </c>
      <c r="B53" s="24" t="s">
        <v>66</v>
      </c>
      <c r="C53" s="18">
        <v>0</v>
      </c>
      <c r="D53" s="18">
        <v>0</v>
      </c>
      <c r="E53" s="18">
        <v>0</v>
      </c>
      <c r="F53" s="18">
        <f t="shared" si="2"/>
        <v>0</v>
      </c>
    </row>
    <row r="55" spans="1:7" ht="17.25" x14ac:dyDescent="0.3">
      <c r="A55" s="23" t="s">
        <v>108</v>
      </c>
    </row>
    <row r="56" spans="1:7" ht="15.75" x14ac:dyDescent="0.25">
      <c r="A56" s="16" t="s">
        <v>53</v>
      </c>
      <c r="B56" s="16" t="s">
        <v>54</v>
      </c>
      <c r="C56" s="16" t="s">
        <v>55</v>
      </c>
      <c r="D56" s="16" t="s">
        <v>56</v>
      </c>
      <c r="E56" s="16" t="s">
        <v>57</v>
      </c>
      <c r="F56" s="16" t="s">
        <v>58</v>
      </c>
      <c r="G56" s="16" t="s">
        <v>59</v>
      </c>
    </row>
    <row r="57" spans="1:7" x14ac:dyDescent="0.25">
      <c r="A57" s="24" t="s">
        <v>109</v>
      </c>
      <c r="B57" s="24" t="s">
        <v>110</v>
      </c>
      <c r="C57" s="18">
        <v>0</v>
      </c>
      <c r="D57" s="18">
        <v>0</v>
      </c>
      <c r="E57" s="18">
        <v>0</v>
      </c>
      <c r="F57" s="18">
        <f t="shared" ref="F57:F64" si="3">C57+D57-E57</f>
        <v>0</v>
      </c>
    </row>
    <row r="58" spans="1:7" x14ac:dyDescent="0.25">
      <c r="A58" s="24" t="s">
        <v>111</v>
      </c>
      <c r="B58" s="24" t="s">
        <v>110</v>
      </c>
      <c r="C58" s="18">
        <v>0</v>
      </c>
      <c r="D58" s="18">
        <v>0</v>
      </c>
      <c r="E58" s="18">
        <v>0</v>
      </c>
      <c r="F58" s="18">
        <f t="shared" si="3"/>
        <v>0</v>
      </c>
    </row>
    <row r="59" spans="1:7" x14ac:dyDescent="0.25">
      <c r="A59" s="24" t="s">
        <v>112</v>
      </c>
      <c r="B59" s="24" t="s">
        <v>110</v>
      </c>
      <c r="C59" s="18">
        <v>0</v>
      </c>
      <c r="D59" s="18">
        <v>0</v>
      </c>
      <c r="E59" s="18">
        <v>0</v>
      </c>
      <c r="F59" s="18">
        <f t="shared" si="3"/>
        <v>0</v>
      </c>
    </row>
    <row r="60" spans="1:7" x14ac:dyDescent="0.25">
      <c r="A60" s="24" t="s">
        <v>113</v>
      </c>
      <c r="B60" s="24" t="s">
        <v>110</v>
      </c>
      <c r="C60" s="18">
        <v>0</v>
      </c>
      <c r="D60" s="18">
        <v>0</v>
      </c>
      <c r="E60" s="18">
        <v>0</v>
      </c>
      <c r="F60" s="18">
        <f t="shared" si="3"/>
        <v>0</v>
      </c>
    </row>
    <row r="61" spans="1:7" x14ac:dyDescent="0.25">
      <c r="A61" s="24" t="s">
        <v>114</v>
      </c>
      <c r="B61" s="24" t="s">
        <v>110</v>
      </c>
      <c r="C61" s="18">
        <v>0</v>
      </c>
      <c r="D61" s="18">
        <v>0</v>
      </c>
      <c r="E61" s="18">
        <v>0</v>
      </c>
      <c r="F61" s="18">
        <f t="shared" si="3"/>
        <v>0</v>
      </c>
    </row>
    <row r="62" spans="1:7" x14ac:dyDescent="0.25">
      <c r="A62" s="24" t="s">
        <v>115</v>
      </c>
      <c r="B62" s="24" t="s">
        <v>110</v>
      </c>
      <c r="C62" s="18">
        <v>0</v>
      </c>
      <c r="D62" s="18">
        <v>0</v>
      </c>
      <c r="E62" s="18">
        <v>0</v>
      </c>
      <c r="F62" s="18">
        <f t="shared" si="3"/>
        <v>0</v>
      </c>
    </row>
    <row r="63" spans="1:7" x14ac:dyDescent="0.25">
      <c r="A63" s="24" t="s">
        <v>116</v>
      </c>
      <c r="B63" s="24" t="s">
        <v>117</v>
      </c>
      <c r="C63" s="18">
        <v>0</v>
      </c>
      <c r="D63" s="18">
        <v>0</v>
      </c>
      <c r="E63" s="18">
        <v>0</v>
      </c>
      <c r="F63" s="18">
        <f t="shared" si="3"/>
        <v>0</v>
      </c>
    </row>
    <row r="64" spans="1:7" x14ac:dyDescent="0.25">
      <c r="A64" s="24" t="s">
        <v>118</v>
      </c>
      <c r="B64" s="24" t="s">
        <v>110</v>
      </c>
      <c r="C64" s="18">
        <v>0</v>
      </c>
      <c r="D64" s="18">
        <v>0</v>
      </c>
      <c r="E64" s="18">
        <v>0</v>
      </c>
      <c r="F64" s="18">
        <f t="shared" si="3"/>
        <v>0</v>
      </c>
    </row>
    <row r="66" spans="1:7" ht="17.25" x14ac:dyDescent="0.3">
      <c r="A66" s="23" t="s">
        <v>119</v>
      </c>
    </row>
    <row r="67" spans="1:7" ht="15.75" x14ac:dyDescent="0.25">
      <c r="A67" s="16" t="s">
        <v>53</v>
      </c>
      <c r="B67" s="16" t="s">
        <v>54</v>
      </c>
      <c r="C67" s="16" t="s">
        <v>55</v>
      </c>
      <c r="D67" s="16" t="s">
        <v>56</v>
      </c>
      <c r="E67" s="16" t="s">
        <v>57</v>
      </c>
      <c r="F67" s="16" t="s">
        <v>58</v>
      </c>
      <c r="G67" s="16" t="s">
        <v>59</v>
      </c>
    </row>
    <row r="68" spans="1:7" x14ac:dyDescent="0.25">
      <c r="A68" s="24" t="s">
        <v>120</v>
      </c>
      <c r="B68" s="24" t="s">
        <v>121</v>
      </c>
      <c r="C68" s="18">
        <v>0</v>
      </c>
      <c r="D68" s="18">
        <v>0</v>
      </c>
      <c r="E68" s="18">
        <v>0</v>
      </c>
      <c r="F68" s="18">
        <f t="shared" ref="F68:F73" si="4">C68+D68-E68</f>
        <v>0</v>
      </c>
    </row>
    <row r="69" spans="1:7" x14ac:dyDescent="0.25">
      <c r="A69" s="24" t="s">
        <v>122</v>
      </c>
      <c r="B69" s="24" t="s">
        <v>94</v>
      </c>
      <c r="C69" s="18">
        <v>0</v>
      </c>
      <c r="D69" s="18">
        <v>0</v>
      </c>
      <c r="E69" s="18">
        <v>0</v>
      </c>
      <c r="F69" s="18">
        <f t="shared" si="4"/>
        <v>0</v>
      </c>
    </row>
    <row r="70" spans="1:7" x14ac:dyDescent="0.25">
      <c r="A70" s="24" t="s">
        <v>123</v>
      </c>
      <c r="B70" s="24" t="s">
        <v>66</v>
      </c>
      <c r="C70" s="18">
        <v>0</v>
      </c>
      <c r="D70" s="18">
        <v>0</v>
      </c>
      <c r="E70" s="18">
        <v>0</v>
      </c>
      <c r="F70" s="18">
        <f t="shared" si="4"/>
        <v>0</v>
      </c>
    </row>
    <row r="71" spans="1:7" x14ac:dyDescent="0.25">
      <c r="A71" s="24" t="s">
        <v>124</v>
      </c>
      <c r="B71" s="24" t="s">
        <v>66</v>
      </c>
      <c r="C71" s="18">
        <v>0</v>
      </c>
      <c r="D71" s="18">
        <v>0</v>
      </c>
      <c r="E71" s="18">
        <v>0</v>
      </c>
      <c r="F71" s="18">
        <f t="shared" si="4"/>
        <v>0</v>
      </c>
    </row>
    <row r="72" spans="1:7" x14ac:dyDescent="0.25">
      <c r="A72" s="24" t="s">
        <v>125</v>
      </c>
      <c r="B72" s="24" t="s">
        <v>66</v>
      </c>
      <c r="C72" s="18">
        <v>0</v>
      </c>
      <c r="D72" s="18">
        <v>0</v>
      </c>
      <c r="E72" s="18">
        <v>0</v>
      </c>
      <c r="F72" s="18">
        <f t="shared" si="4"/>
        <v>0</v>
      </c>
    </row>
    <row r="73" spans="1:7" x14ac:dyDescent="0.25">
      <c r="A73" s="24" t="s">
        <v>126</v>
      </c>
      <c r="B73" s="24" t="s">
        <v>121</v>
      </c>
      <c r="C73" s="18">
        <v>0</v>
      </c>
      <c r="D73" s="18">
        <v>0</v>
      </c>
      <c r="E73" s="18">
        <v>0</v>
      </c>
      <c r="F73" s="18">
        <f t="shared" si="4"/>
        <v>0</v>
      </c>
    </row>
    <row r="75" spans="1:7" ht="17.25" x14ac:dyDescent="0.3">
      <c r="A75" s="23" t="s">
        <v>127</v>
      </c>
    </row>
    <row r="76" spans="1:7" ht="15.75" x14ac:dyDescent="0.25">
      <c r="A76" s="16" t="s">
        <v>53</v>
      </c>
      <c r="B76" s="16" t="s">
        <v>54</v>
      </c>
      <c r="C76" s="16" t="s">
        <v>55</v>
      </c>
      <c r="D76" s="16" t="s">
        <v>56</v>
      </c>
      <c r="E76" s="16" t="s">
        <v>57</v>
      </c>
      <c r="F76" s="16" t="s">
        <v>58</v>
      </c>
      <c r="G76" s="16" t="s">
        <v>59</v>
      </c>
    </row>
    <row r="77" spans="1:7" x14ac:dyDescent="0.25">
      <c r="A77" s="24" t="s">
        <v>128</v>
      </c>
      <c r="B77" s="24" t="s">
        <v>129</v>
      </c>
      <c r="C77" s="18">
        <v>0</v>
      </c>
      <c r="D77" s="18">
        <v>0</v>
      </c>
      <c r="E77" s="18">
        <v>0</v>
      </c>
      <c r="F77" s="18">
        <f t="shared" ref="F77:F82" si="5">C77+D77-E77</f>
        <v>0</v>
      </c>
    </row>
    <row r="78" spans="1:7" x14ac:dyDescent="0.25">
      <c r="A78" s="24" t="s">
        <v>130</v>
      </c>
      <c r="B78" s="24" t="s">
        <v>129</v>
      </c>
      <c r="C78" s="18">
        <v>0</v>
      </c>
      <c r="D78" s="18">
        <v>0</v>
      </c>
      <c r="E78" s="18">
        <v>0</v>
      </c>
      <c r="F78" s="18">
        <f t="shared" si="5"/>
        <v>0</v>
      </c>
    </row>
    <row r="79" spans="1:7" x14ac:dyDescent="0.25">
      <c r="A79" s="24" t="s">
        <v>131</v>
      </c>
      <c r="B79" s="24" t="s">
        <v>129</v>
      </c>
      <c r="C79" s="18">
        <v>0</v>
      </c>
      <c r="D79" s="18">
        <v>0</v>
      </c>
      <c r="E79" s="18">
        <v>0</v>
      </c>
      <c r="F79" s="18">
        <f t="shared" si="5"/>
        <v>0</v>
      </c>
    </row>
    <row r="80" spans="1:7" x14ac:dyDescent="0.25">
      <c r="A80" s="24" t="s">
        <v>132</v>
      </c>
      <c r="B80" s="24" t="s">
        <v>129</v>
      </c>
      <c r="C80" s="18">
        <v>0</v>
      </c>
      <c r="D80" s="18">
        <v>0</v>
      </c>
      <c r="E80" s="18">
        <v>0</v>
      </c>
      <c r="F80" s="18">
        <f t="shared" si="5"/>
        <v>0</v>
      </c>
    </row>
    <row r="81" spans="1:7" x14ac:dyDescent="0.25">
      <c r="A81" s="24" t="s">
        <v>133</v>
      </c>
      <c r="B81" s="24" t="s">
        <v>129</v>
      </c>
      <c r="C81" s="18">
        <v>0</v>
      </c>
      <c r="D81" s="18">
        <v>0</v>
      </c>
      <c r="E81" s="18">
        <v>0</v>
      </c>
      <c r="F81" s="18">
        <f t="shared" si="5"/>
        <v>0</v>
      </c>
    </row>
    <row r="82" spans="1:7" x14ac:dyDescent="0.25">
      <c r="A82" s="24" t="s">
        <v>134</v>
      </c>
      <c r="B82" s="24" t="s">
        <v>129</v>
      </c>
      <c r="C82" s="18">
        <v>0</v>
      </c>
      <c r="D82" s="18">
        <v>0</v>
      </c>
      <c r="E82" s="18">
        <v>0</v>
      </c>
      <c r="F82" s="18">
        <f t="shared" si="5"/>
        <v>0</v>
      </c>
    </row>
    <row r="84" spans="1:7" ht="17.25" x14ac:dyDescent="0.3">
      <c r="A84" s="23" t="s">
        <v>135</v>
      </c>
    </row>
    <row r="85" spans="1:7" ht="15.75" x14ac:dyDescent="0.25">
      <c r="A85" s="16" t="s">
        <v>53</v>
      </c>
      <c r="B85" s="16" t="s">
        <v>54</v>
      </c>
      <c r="C85" s="16" t="s">
        <v>55</v>
      </c>
      <c r="D85" s="16" t="s">
        <v>56</v>
      </c>
      <c r="E85" s="16" t="s">
        <v>57</v>
      </c>
      <c r="F85" s="16" t="s">
        <v>58</v>
      </c>
      <c r="G85" s="16" t="s">
        <v>59</v>
      </c>
    </row>
    <row r="86" spans="1:7" x14ac:dyDescent="0.25">
      <c r="A86" s="24" t="s">
        <v>136</v>
      </c>
      <c r="B86" s="24" t="s">
        <v>117</v>
      </c>
      <c r="C86" s="18">
        <v>0</v>
      </c>
      <c r="D86" s="18">
        <v>0</v>
      </c>
      <c r="E86" s="18">
        <v>0</v>
      </c>
      <c r="F86" s="18">
        <f t="shared" ref="F86:F91" si="6">C86+D86-E86</f>
        <v>0</v>
      </c>
    </row>
    <row r="87" spans="1:7" x14ac:dyDescent="0.25">
      <c r="A87" s="24" t="s">
        <v>137</v>
      </c>
      <c r="B87" s="24" t="s">
        <v>117</v>
      </c>
      <c r="C87" s="18">
        <v>0</v>
      </c>
      <c r="D87" s="18">
        <v>0</v>
      </c>
      <c r="E87" s="18">
        <v>0</v>
      </c>
      <c r="F87" s="18">
        <f t="shared" si="6"/>
        <v>0</v>
      </c>
    </row>
    <row r="88" spans="1:7" x14ac:dyDescent="0.25">
      <c r="A88" s="24" t="s">
        <v>138</v>
      </c>
      <c r="B88" s="24" t="s">
        <v>117</v>
      </c>
      <c r="C88" s="18">
        <v>0</v>
      </c>
      <c r="D88" s="18">
        <v>0</v>
      </c>
      <c r="E88" s="18">
        <v>0</v>
      </c>
      <c r="F88" s="18">
        <f t="shared" si="6"/>
        <v>0</v>
      </c>
    </row>
    <row r="89" spans="1:7" x14ac:dyDescent="0.25">
      <c r="A89" s="24" t="s">
        <v>139</v>
      </c>
      <c r="B89" s="24" t="s">
        <v>117</v>
      </c>
      <c r="C89" s="18">
        <v>0</v>
      </c>
      <c r="D89" s="18">
        <v>0</v>
      </c>
      <c r="E89" s="18">
        <v>0</v>
      </c>
      <c r="F89" s="18">
        <f t="shared" si="6"/>
        <v>0</v>
      </c>
    </row>
    <row r="90" spans="1:7" x14ac:dyDescent="0.25">
      <c r="A90" s="24" t="s">
        <v>140</v>
      </c>
      <c r="B90" s="24" t="s">
        <v>117</v>
      </c>
      <c r="C90" s="18">
        <v>0</v>
      </c>
      <c r="D90" s="18">
        <v>0</v>
      </c>
      <c r="E90" s="18">
        <v>0</v>
      </c>
      <c r="F90" s="18">
        <f t="shared" si="6"/>
        <v>0</v>
      </c>
    </row>
    <row r="91" spans="1:7" x14ac:dyDescent="0.25">
      <c r="A91" s="24" t="s">
        <v>141</v>
      </c>
      <c r="B91" s="24" t="s">
        <v>117</v>
      </c>
      <c r="C91" s="18">
        <v>0</v>
      </c>
      <c r="D91" s="18">
        <v>0</v>
      </c>
      <c r="E91" s="18">
        <v>0</v>
      </c>
      <c r="F91" s="18">
        <f t="shared" si="6"/>
        <v>0</v>
      </c>
    </row>
    <row r="93" spans="1:7" ht="17.25" x14ac:dyDescent="0.3">
      <c r="A93" s="23" t="s">
        <v>142</v>
      </c>
    </row>
    <row r="94" spans="1:7" ht="15.75" x14ac:dyDescent="0.25">
      <c r="A94" s="16" t="s">
        <v>53</v>
      </c>
      <c r="B94" s="16" t="s">
        <v>54</v>
      </c>
      <c r="C94" s="16" t="s">
        <v>55</v>
      </c>
      <c r="D94" s="16" t="s">
        <v>56</v>
      </c>
      <c r="E94" s="16" t="s">
        <v>57</v>
      </c>
      <c r="F94" s="16" t="s">
        <v>58</v>
      </c>
      <c r="G94" s="16" t="s">
        <v>59</v>
      </c>
    </row>
    <row r="95" spans="1:7" x14ac:dyDescent="0.25">
      <c r="A95" s="24" t="s">
        <v>143</v>
      </c>
      <c r="B95" s="24" t="s">
        <v>144</v>
      </c>
      <c r="C95" s="18">
        <v>0</v>
      </c>
      <c r="D95" s="18">
        <v>0</v>
      </c>
      <c r="E95" s="18">
        <v>0</v>
      </c>
      <c r="F95" s="18">
        <f t="shared" ref="F95:F100" si="7">C95+D95-E95</f>
        <v>0</v>
      </c>
    </row>
    <row r="96" spans="1:7" x14ac:dyDescent="0.25">
      <c r="A96" s="24" t="s">
        <v>145</v>
      </c>
      <c r="B96" s="24" t="s">
        <v>144</v>
      </c>
      <c r="C96" s="18">
        <v>0</v>
      </c>
      <c r="D96" s="18">
        <v>0</v>
      </c>
      <c r="E96" s="18">
        <v>0</v>
      </c>
      <c r="F96" s="18">
        <f t="shared" si="7"/>
        <v>0</v>
      </c>
    </row>
    <row r="97" spans="1:7" x14ac:dyDescent="0.25">
      <c r="A97" s="24" t="s">
        <v>146</v>
      </c>
      <c r="B97" s="24" t="s">
        <v>144</v>
      </c>
      <c r="C97" s="18">
        <v>0</v>
      </c>
      <c r="D97" s="18">
        <v>0</v>
      </c>
      <c r="E97" s="18">
        <v>0</v>
      </c>
      <c r="F97" s="18">
        <f t="shared" si="7"/>
        <v>0</v>
      </c>
    </row>
    <row r="98" spans="1:7" x14ac:dyDescent="0.25">
      <c r="A98" s="24" t="s">
        <v>147</v>
      </c>
      <c r="B98" s="24" t="s">
        <v>144</v>
      </c>
      <c r="C98" s="18">
        <v>0</v>
      </c>
      <c r="D98" s="18">
        <v>0</v>
      </c>
      <c r="E98" s="18">
        <v>0</v>
      </c>
      <c r="F98" s="18">
        <f t="shared" si="7"/>
        <v>0</v>
      </c>
    </row>
    <row r="99" spans="1:7" x14ac:dyDescent="0.25">
      <c r="A99" s="24" t="s">
        <v>148</v>
      </c>
      <c r="B99" s="24" t="s">
        <v>144</v>
      </c>
      <c r="C99" s="18">
        <v>0</v>
      </c>
      <c r="D99" s="18">
        <v>0</v>
      </c>
      <c r="E99" s="18">
        <v>0</v>
      </c>
      <c r="F99" s="18">
        <f t="shared" si="7"/>
        <v>0</v>
      </c>
    </row>
    <row r="100" spans="1:7" x14ac:dyDescent="0.25">
      <c r="A100" s="24" t="s">
        <v>149</v>
      </c>
      <c r="B100" s="24" t="s">
        <v>144</v>
      </c>
      <c r="C100" s="18">
        <v>0</v>
      </c>
      <c r="D100" s="18">
        <v>0</v>
      </c>
      <c r="E100" s="18">
        <v>0</v>
      </c>
      <c r="F100" s="18">
        <f t="shared" si="7"/>
        <v>0</v>
      </c>
    </row>
    <row r="102" spans="1:7" ht="17.25" x14ac:dyDescent="0.3">
      <c r="A102" s="23" t="s">
        <v>150</v>
      </c>
    </row>
    <row r="103" spans="1:7" ht="15.75" x14ac:dyDescent="0.25">
      <c r="A103" s="16" t="s">
        <v>53</v>
      </c>
      <c r="B103" s="16" t="s">
        <v>54</v>
      </c>
      <c r="C103" s="16" t="s">
        <v>55</v>
      </c>
      <c r="D103" s="16" t="s">
        <v>56</v>
      </c>
      <c r="E103" s="16" t="s">
        <v>57</v>
      </c>
      <c r="F103" s="16" t="s">
        <v>58</v>
      </c>
      <c r="G103" s="16" t="s">
        <v>59</v>
      </c>
    </row>
    <row r="104" spans="1:7" x14ac:dyDescent="0.25">
      <c r="A104" s="24" t="s">
        <v>151</v>
      </c>
      <c r="B104" s="24" t="s">
        <v>152</v>
      </c>
      <c r="C104" s="18">
        <v>0</v>
      </c>
      <c r="D104" s="18">
        <v>0</v>
      </c>
      <c r="E104" s="18">
        <v>0</v>
      </c>
      <c r="F104" s="18">
        <f t="shared" ref="F104:F109" si="8">C104+D104-E104</f>
        <v>0</v>
      </c>
    </row>
    <row r="105" spans="1:7" x14ac:dyDescent="0.25">
      <c r="A105" s="24" t="s">
        <v>153</v>
      </c>
      <c r="B105" s="24" t="s">
        <v>152</v>
      </c>
      <c r="C105" s="18">
        <v>0</v>
      </c>
      <c r="D105" s="18">
        <v>0</v>
      </c>
      <c r="E105" s="18">
        <v>0</v>
      </c>
      <c r="F105" s="18">
        <f t="shared" si="8"/>
        <v>0</v>
      </c>
    </row>
    <row r="106" spans="1:7" x14ac:dyDescent="0.25">
      <c r="A106" s="24" t="s">
        <v>154</v>
      </c>
      <c r="B106" s="24" t="s">
        <v>152</v>
      </c>
      <c r="C106" s="18">
        <v>0</v>
      </c>
      <c r="D106" s="18">
        <v>0</v>
      </c>
      <c r="E106" s="18">
        <v>0</v>
      </c>
      <c r="F106" s="18">
        <f t="shared" si="8"/>
        <v>0</v>
      </c>
    </row>
    <row r="107" spans="1:7" x14ac:dyDescent="0.25">
      <c r="A107" s="24" t="s">
        <v>155</v>
      </c>
      <c r="B107" s="24" t="s">
        <v>152</v>
      </c>
      <c r="C107" s="18">
        <v>0</v>
      </c>
      <c r="D107" s="18">
        <v>0</v>
      </c>
      <c r="E107" s="18">
        <v>0</v>
      </c>
      <c r="F107" s="18">
        <f t="shared" si="8"/>
        <v>0</v>
      </c>
    </row>
    <row r="108" spans="1:7" x14ac:dyDescent="0.25">
      <c r="A108" s="24" t="s">
        <v>156</v>
      </c>
      <c r="B108" s="24" t="s">
        <v>152</v>
      </c>
      <c r="C108" s="18">
        <v>0</v>
      </c>
      <c r="D108" s="18">
        <v>0</v>
      </c>
      <c r="E108" s="18">
        <v>0</v>
      </c>
      <c r="F108" s="18">
        <f t="shared" si="8"/>
        <v>0</v>
      </c>
    </row>
    <row r="109" spans="1:7" x14ac:dyDescent="0.25">
      <c r="A109" s="24" t="s">
        <v>157</v>
      </c>
      <c r="B109" s="24" t="s">
        <v>152</v>
      </c>
      <c r="C109" s="18">
        <v>0</v>
      </c>
      <c r="D109" s="18">
        <v>0</v>
      </c>
      <c r="E109" s="18">
        <v>0</v>
      </c>
      <c r="F109" s="18">
        <f t="shared" si="8"/>
        <v>0</v>
      </c>
    </row>
    <row r="111" spans="1:7" ht="17.25" x14ac:dyDescent="0.3">
      <c r="A111" s="23" t="s">
        <v>158</v>
      </c>
    </row>
    <row r="112" spans="1:7" ht="15.75" x14ac:dyDescent="0.25">
      <c r="A112" s="16" t="s">
        <v>53</v>
      </c>
      <c r="B112" s="16" t="s">
        <v>54</v>
      </c>
      <c r="C112" s="16" t="s">
        <v>55</v>
      </c>
      <c r="D112" s="16" t="s">
        <v>56</v>
      </c>
      <c r="E112" s="16" t="s">
        <v>57</v>
      </c>
      <c r="F112" s="16" t="s">
        <v>58</v>
      </c>
      <c r="G112" s="16" t="s">
        <v>59</v>
      </c>
    </row>
    <row r="113" spans="1:7" x14ac:dyDescent="0.25">
      <c r="A113" s="24" t="s">
        <v>159</v>
      </c>
      <c r="B113" s="24" t="s">
        <v>160</v>
      </c>
      <c r="C113" s="18">
        <v>0</v>
      </c>
      <c r="D113" s="18">
        <v>0</v>
      </c>
      <c r="E113" s="18">
        <v>0</v>
      </c>
      <c r="F113" s="18">
        <f>C113+D113-E113</f>
        <v>0</v>
      </c>
    </row>
    <row r="114" spans="1:7" x14ac:dyDescent="0.25">
      <c r="A114" s="24" t="s">
        <v>161</v>
      </c>
      <c r="B114" s="24" t="s">
        <v>160</v>
      </c>
      <c r="C114" s="18">
        <v>0</v>
      </c>
      <c r="D114" s="18">
        <v>0</v>
      </c>
      <c r="E114" s="18">
        <v>0</v>
      </c>
      <c r="F114" s="18">
        <f>C114+D114-E114</f>
        <v>0</v>
      </c>
    </row>
    <row r="115" spans="1:7" x14ac:dyDescent="0.25">
      <c r="A115" s="24" t="s">
        <v>162</v>
      </c>
      <c r="B115" s="24" t="s">
        <v>163</v>
      </c>
      <c r="C115" s="18">
        <v>0</v>
      </c>
      <c r="D115" s="18">
        <v>0</v>
      </c>
      <c r="E115" s="18">
        <v>0</v>
      </c>
      <c r="F115" s="18">
        <f>C115+D115-E115</f>
        <v>0</v>
      </c>
    </row>
    <row r="116" spans="1:7" x14ac:dyDescent="0.25">
      <c r="A116" s="24" t="s">
        <v>164</v>
      </c>
      <c r="B116" s="24" t="s">
        <v>163</v>
      </c>
      <c r="C116" s="18">
        <v>0</v>
      </c>
      <c r="D116" s="18">
        <v>0</v>
      </c>
      <c r="E116" s="18">
        <v>0</v>
      </c>
      <c r="F116" s="18">
        <f>C116+D116-E116</f>
        <v>0</v>
      </c>
    </row>
    <row r="117" spans="1:7" x14ac:dyDescent="0.25">
      <c r="A117" s="24" t="s">
        <v>165</v>
      </c>
      <c r="B117" s="24" t="s">
        <v>163</v>
      </c>
      <c r="C117" s="18">
        <v>0</v>
      </c>
      <c r="D117" s="18">
        <v>0</v>
      </c>
      <c r="E117" s="18">
        <v>0</v>
      </c>
      <c r="F117" s="18">
        <f>C117+D117-E117</f>
        <v>0</v>
      </c>
    </row>
    <row r="119" spans="1:7" ht="17.25" x14ac:dyDescent="0.3">
      <c r="A119" s="23" t="s">
        <v>166</v>
      </c>
    </row>
    <row r="120" spans="1:7" ht="15.75" x14ac:dyDescent="0.25">
      <c r="A120" s="16" t="s">
        <v>53</v>
      </c>
      <c r="B120" s="16" t="s">
        <v>54</v>
      </c>
      <c r="C120" s="16" t="s">
        <v>55</v>
      </c>
      <c r="D120" s="16" t="s">
        <v>56</v>
      </c>
      <c r="E120" s="16" t="s">
        <v>57</v>
      </c>
      <c r="F120" s="16" t="s">
        <v>58</v>
      </c>
      <c r="G120" s="16" t="s">
        <v>59</v>
      </c>
    </row>
    <row r="121" spans="1:7" x14ac:dyDescent="0.25">
      <c r="A121" s="24" t="s">
        <v>167</v>
      </c>
      <c r="B121" s="24" t="s">
        <v>94</v>
      </c>
      <c r="C121" s="18">
        <v>0</v>
      </c>
      <c r="D121" s="18">
        <v>0</v>
      </c>
      <c r="E121" s="18">
        <v>0</v>
      </c>
      <c r="F121" s="18">
        <f t="shared" ref="F121:F126" si="9">C121+D121-E121</f>
        <v>0</v>
      </c>
    </row>
    <row r="122" spans="1:7" x14ac:dyDescent="0.25">
      <c r="A122" s="24" t="s">
        <v>168</v>
      </c>
      <c r="B122" s="24" t="s">
        <v>163</v>
      </c>
      <c r="C122" s="18">
        <v>0</v>
      </c>
      <c r="D122" s="18">
        <v>0</v>
      </c>
      <c r="E122" s="18">
        <v>0</v>
      </c>
      <c r="F122" s="18">
        <f t="shared" si="9"/>
        <v>0</v>
      </c>
    </row>
    <row r="123" spans="1:7" x14ac:dyDescent="0.25">
      <c r="A123" s="24" t="s">
        <v>169</v>
      </c>
      <c r="B123" s="24" t="s">
        <v>144</v>
      </c>
      <c r="C123" s="18">
        <v>0</v>
      </c>
      <c r="D123" s="18">
        <v>0</v>
      </c>
      <c r="E123" s="18">
        <v>0</v>
      </c>
      <c r="F123" s="18">
        <f t="shared" si="9"/>
        <v>0</v>
      </c>
    </row>
    <row r="124" spans="1:7" x14ac:dyDescent="0.25">
      <c r="A124" s="24" t="s">
        <v>170</v>
      </c>
      <c r="B124" s="24" t="s">
        <v>110</v>
      </c>
      <c r="C124" s="18">
        <v>0</v>
      </c>
      <c r="D124" s="18">
        <v>0</v>
      </c>
      <c r="E124" s="18">
        <v>0</v>
      </c>
      <c r="F124" s="18">
        <f t="shared" si="9"/>
        <v>0</v>
      </c>
    </row>
    <row r="125" spans="1:7" x14ac:dyDescent="0.25">
      <c r="A125" s="24" t="s">
        <v>171</v>
      </c>
      <c r="B125" s="24" t="s">
        <v>110</v>
      </c>
      <c r="C125" s="18">
        <v>0</v>
      </c>
      <c r="D125" s="18">
        <v>0</v>
      </c>
      <c r="E125" s="18">
        <v>0</v>
      </c>
      <c r="F125" s="18">
        <f t="shared" si="9"/>
        <v>0</v>
      </c>
    </row>
    <row r="126" spans="1:7" x14ac:dyDescent="0.25">
      <c r="A126" s="24" t="s">
        <v>172</v>
      </c>
      <c r="B126" s="24" t="s">
        <v>110</v>
      </c>
      <c r="C126" s="18">
        <v>0</v>
      </c>
      <c r="D126" s="18">
        <v>0</v>
      </c>
      <c r="E126" s="18">
        <v>0</v>
      </c>
      <c r="F126" s="18">
        <f t="shared" si="9"/>
        <v>0</v>
      </c>
    </row>
    <row r="128" spans="1:7" ht="17.25" x14ac:dyDescent="0.3">
      <c r="A128" s="23" t="s">
        <v>173</v>
      </c>
    </row>
    <row r="129" spans="1:7" ht="15.75" x14ac:dyDescent="0.25">
      <c r="A129" s="16" t="s">
        <v>53</v>
      </c>
      <c r="B129" s="16" t="s">
        <v>54</v>
      </c>
      <c r="C129" s="16" t="s">
        <v>55</v>
      </c>
      <c r="D129" s="16" t="s">
        <v>56</v>
      </c>
      <c r="E129" s="16" t="s">
        <v>57</v>
      </c>
      <c r="F129" s="16" t="s">
        <v>58</v>
      </c>
      <c r="G129" s="16" t="s">
        <v>59</v>
      </c>
    </row>
    <row r="130" spans="1:7" x14ac:dyDescent="0.25">
      <c r="A130" s="24" t="s">
        <v>174</v>
      </c>
      <c r="B130" s="24" t="s">
        <v>121</v>
      </c>
      <c r="C130" s="18">
        <v>0</v>
      </c>
      <c r="D130" s="18">
        <v>0</v>
      </c>
      <c r="E130" s="18">
        <v>0</v>
      </c>
      <c r="F130" s="18">
        <f>C130+D130-E130</f>
        <v>0</v>
      </c>
    </row>
    <row r="131" spans="1:7" x14ac:dyDescent="0.25">
      <c r="A131" s="24" t="s">
        <v>175</v>
      </c>
      <c r="B131" s="24" t="s">
        <v>121</v>
      </c>
      <c r="C131" s="18">
        <v>0</v>
      </c>
      <c r="D131" s="18">
        <v>0</v>
      </c>
      <c r="E131" s="18">
        <v>0</v>
      </c>
      <c r="F131" s="18">
        <f>C131+D131-E131</f>
        <v>0</v>
      </c>
    </row>
    <row r="132" spans="1:7" x14ac:dyDescent="0.25">
      <c r="A132" s="24" t="s">
        <v>176</v>
      </c>
      <c r="B132" s="24" t="s">
        <v>110</v>
      </c>
      <c r="C132" s="18">
        <v>0</v>
      </c>
      <c r="D132" s="18">
        <v>0</v>
      </c>
      <c r="E132" s="18">
        <v>0</v>
      </c>
      <c r="F132" s="18">
        <f>C132+D132-E132</f>
        <v>0</v>
      </c>
    </row>
    <row r="133" spans="1:7" x14ac:dyDescent="0.25">
      <c r="A133" s="24" t="s">
        <v>177</v>
      </c>
      <c r="B133" s="24" t="s">
        <v>110</v>
      </c>
      <c r="C133" s="18">
        <v>0</v>
      </c>
      <c r="D133" s="18">
        <v>0</v>
      </c>
      <c r="E133" s="18">
        <v>0</v>
      </c>
      <c r="F133" s="18">
        <f>C133+D133-E133</f>
        <v>0</v>
      </c>
    </row>
    <row r="134" spans="1:7" x14ac:dyDescent="0.25">
      <c r="A134" s="24" t="s">
        <v>178</v>
      </c>
      <c r="B134" s="24" t="s">
        <v>121</v>
      </c>
      <c r="C134" s="18">
        <v>0</v>
      </c>
      <c r="D134" s="18">
        <v>0</v>
      </c>
      <c r="E134" s="18">
        <v>0</v>
      </c>
      <c r="F134" s="18">
        <f>C134+D134-E134</f>
        <v>0</v>
      </c>
    </row>
    <row r="136" spans="1:7" ht="17.25" x14ac:dyDescent="0.3">
      <c r="A136" s="23" t="s">
        <v>179</v>
      </c>
    </row>
    <row r="137" spans="1:7" ht="15.75" x14ac:dyDescent="0.25">
      <c r="A137" s="16" t="s">
        <v>53</v>
      </c>
      <c r="B137" s="16" t="s">
        <v>54</v>
      </c>
      <c r="C137" s="16" t="s">
        <v>55</v>
      </c>
      <c r="D137" s="16" t="s">
        <v>56</v>
      </c>
      <c r="E137" s="16" t="s">
        <v>57</v>
      </c>
      <c r="F137" s="16" t="s">
        <v>58</v>
      </c>
      <c r="G137" s="16" t="s">
        <v>59</v>
      </c>
    </row>
    <row r="138" spans="1:7" x14ac:dyDescent="0.25">
      <c r="A138" s="24" t="s">
        <v>180</v>
      </c>
      <c r="B138" s="24" t="s">
        <v>144</v>
      </c>
      <c r="C138" s="18">
        <v>0</v>
      </c>
      <c r="D138" s="18">
        <v>0</v>
      </c>
      <c r="E138" s="18">
        <v>0</v>
      </c>
      <c r="F138" s="18">
        <f>C138+D138-E138</f>
        <v>0</v>
      </c>
    </row>
    <row r="139" spans="1:7" x14ac:dyDescent="0.25">
      <c r="A139" s="24" t="s">
        <v>181</v>
      </c>
      <c r="B139" s="24" t="s">
        <v>144</v>
      </c>
      <c r="C139" s="18">
        <v>0</v>
      </c>
      <c r="D139" s="18">
        <v>0</v>
      </c>
      <c r="E139" s="18">
        <v>0</v>
      </c>
      <c r="F139" s="18">
        <f>C139+D139-E139</f>
        <v>0</v>
      </c>
    </row>
    <row r="140" spans="1:7" x14ac:dyDescent="0.25">
      <c r="A140" s="24" t="s">
        <v>182</v>
      </c>
      <c r="B140" s="24" t="s">
        <v>144</v>
      </c>
      <c r="C140" s="18">
        <v>0</v>
      </c>
      <c r="D140" s="18">
        <v>0</v>
      </c>
      <c r="E140" s="18">
        <v>0</v>
      </c>
      <c r="F140" s="18">
        <f>C140+D140-E140</f>
        <v>0</v>
      </c>
    </row>
    <row r="141" spans="1:7" x14ac:dyDescent="0.25">
      <c r="A141" s="24" t="s">
        <v>183</v>
      </c>
      <c r="B141" s="24" t="s">
        <v>144</v>
      </c>
      <c r="C141" s="18">
        <v>0</v>
      </c>
      <c r="D141" s="18">
        <v>0</v>
      </c>
      <c r="E141" s="18">
        <v>0</v>
      </c>
      <c r="F141" s="18">
        <f>C141+D141-E141</f>
        <v>0</v>
      </c>
    </row>
    <row r="142" spans="1:7" x14ac:dyDescent="0.25">
      <c r="A142" s="24" t="s">
        <v>184</v>
      </c>
      <c r="B142" s="24" t="s">
        <v>79</v>
      </c>
      <c r="C142" s="18">
        <v>0</v>
      </c>
      <c r="D142" s="18">
        <v>0</v>
      </c>
      <c r="E142" s="18">
        <v>0</v>
      </c>
      <c r="F142" s="18">
        <f>C142+D142-E142</f>
        <v>0</v>
      </c>
    </row>
    <row r="144" spans="1:7" ht="17.25" x14ac:dyDescent="0.3">
      <c r="A144" s="23" t="s">
        <v>185</v>
      </c>
    </row>
    <row r="145" spans="1:7" ht="15.75" x14ac:dyDescent="0.25">
      <c r="A145" s="16" t="s">
        <v>53</v>
      </c>
      <c r="B145" s="16" t="s">
        <v>54</v>
      </c>
      <c r="C145" s="16" t="s">
        <v>55</v>
      </c>
      <c r="D145" s="16" t="s">
        <v>56</v>
      </c>
      <c r="E145" s="16" t="s">
        <v>57</v>
      </c>
      <c r="F145" s="16" t="s">
        <v>58</v>
      </c>
      <c r="G145" s="16" t="s">
        <v>59</v>
      </c>
    </row>
    <row r="146" spans="1:7" x14ac:dyDescent="0.25">
      <c r="A146" s="24" t="s">
        <v>186</v>
      </c>
      <c r="B146" s="24" t="s">
        <v>79</v>
      </c>
      <c r="C146" s="18">
        <v>0</v>
      </c>
      <c r="D146" s="18">
        <v>0</v>
      </c>
      <c r="E146" s="18">
        <v>0</v>
      </c>
      <c r="F146" s="18">
        <f t="shared" ref="F146:F152" si="10">C146+D146-E146</f>
        <v>0</v>
      </c>
    </row>
    <row r="147" spans="1:7" x14ac:dyDescent="0.25">
      <c r="A147" s="24" t="s">
        <v>187</v>
      </c>
      <c r="B147" s="24" t="s">
        <v>79</v>
      </c>
      <c r="C147" s="18">
        <v>0</v>
      </c>
      <c r="D147" s="18">
        <v>0</v>
      </c>
      <c r="E147" s="18">
        <v>0</v>
      </c>
      <c r="F147" s="18">
        <f t="shared" si="10"/>
        <v>0</v>
      </c>
    </row>
    <row r="148" spans="1:7" x14ac:dyDescent="0.25">
      <c r="A148" s="24" t="s">
        <v>188</v>
      </c>
      <c r="B148" s="24" t="s">
        <v>189</v>
      </c>
      <c r="C148" s="18">
        <v>0</v>
      </c>
      <c r="D148" s="18">
        <v>0</v>
      </c>
      <c r="E148" s="18">
        <v>0</v>
      </c>
      <c r="F148" s="18">
        <f t="shared" si="10"/>
        <v>0</v>
      </c>
    </row>
    <row r="149" spans="1:7" x14ac:dyDescent="0.25">
      <c r="A149" s="24" t="s">
        <v>190</v>
      </c>
      <c r="B149" s="24" t="s">
        <v>79</v>
      </c>
      <c r="C149" s="18">
        <v>0</v>
      </c>
      <c r="D149" s="18">
        <v>0</v>
      </c>
      <c r="E149" s="18">
        <v>0</v>
      </c>
      <c r="F149" s="18">
        <f t="shared" si="10"/>
        <v>0</v>
      </c>
    </row>
    <row r="150" spans="1:7" x14ac:dyDescent="0.25">
      <c r="A150" s="24" t="s">
        <v>191</v>
      </c>
      <c r="B150" s="24" t="s">
        <v>66</v>
      </c>
      <c r="C150" s="18">
        <v>0</v>
      </c>
      <c r="D150" s="18">
        <v>0</v>
      </c>
      <c r="E150" s="18">
        <v>0</v>
      </c>
      <c r="F150" s="18">
        <f t="shared" si="10"/>
        <v>0</v>
      </c>
    </row>
    <row r="151" spans="1:7" x14ac:dyDescent="0.25">
      <c r="A151" s="24" t="s">
        <v>192</v>
      </c>
      <c r="B151" s="24" t="s">
        <v>79</v>
      </c>
      <c r="C151" s="18">
        <v>0</v>
      </c>
      <c r="D151" s="18">
        <v>0</v>
      </c>
      <c r="E151" s="18">
        <v>0</v>
      </c>
      <c r="F151" s="18">
        <f t="shared" si="10"/>
        <v>0</v>
      </c>
    </row>
    <row r="152" spans="1:7" x14ac:dyDescent="0.25">
      <c r="A152" s="24" t="s">
        <v>193</v>
      </c>
      <c r="B152" s="24" t="s">
        <v>194</v>
      </c>
      <c r="C152" s="18">
        <v>0</v>
      </c>
      <c r="D152" s="18">
        <v>0</v>
      </c>
      <c r="E152" s="18">
        <v>0</v>
      </c>
      <c r="F152" s="18">
        <f t="shared" si="10"/>
        <v>0</v>
      </c>
    </row>
  </sheetData>
  <mergeCells count="1">
    <mergeCell ref="A1:G1"/>
  </mergeCells>
  <conditionalFormatting sqref="G6:G200">
    <cfRule type="expression" dxfId="1" priority="1">
      <formula>ISNUMBER(SEARCH("CRITIQUE", G6))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F3"/>
  <sheetViews>
    <sheetView workbookViewId="0"/>
  </sheetViews>
  <sheetFormatPr baseColWidth="10" defaultColWidth="9.140625" defaultRowHeight="15" x14ac:dyDescent="0.25"/>
  <cols>
    <col min="1" max="1" width="25" customWidth="1"/>
    <col min="2" max="2" width="30" customWidth="1"/>
    <col min="3" max="3" width="15" customWidth="1"/>
    <col min="4" max="4" width="10" customWidth="1"/>
    <col min="5" max="6" width="15" customWidth="1"/>
  </cols>
  <sheetData>
    <row r="3" spans="1:6" x14ac:dyDescent="0.25">
      <c r="A3" s="5" t="s">
        <v>195</v>
      </c>
      <c r="B3" s="5" t="s">
        <v>196</v>
      </c>
      <c r="C3" s="5" t="s">
        <v>197</v>
      </c>
      <c r="D3" s="5" t="s">
        <v>54</v>
      </c>
      <c r="E3" s="5" t="s">
        <v>198</v>
      </c>
      <c r="F3" s="5" t="s">
        <v>199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4"/>
  <sheetViews>
    <sheetView workbookViewId="0"/>
  </sheetViews>
  <sheetFormatPr baseColWidth="10" defaultColWidth="9.140625" defaultRowHeight="15" x14ac:dyDescent="0.25"/>
  <cols>
    <col min="1" max="1" width="25" customWidth="1"/>
    <col min="2" max="2" width="20" customWidth="1"/>
    <col min="3" max="3" width="10" customWidth="1"/>
    <col min="4" max="5" width="15" customWidth="1"/>
    <col min="6" max="6" width="10" customWidth="1"/>
    <col min="7" max="7" width="12" customWidth="1"/>
    <col min="8" max="9" width="15" customWidth="1"/>
  </cols>
  <sheetData>
    <row r="1" spans="1:9" ht="26.25" x14ac:dyDescent="0.25">
      <c r="A1" s="27" t="s">
        <v>200</v>
      </c>
      <c r="B1" s="28"/>
      <c r="C1" s="28"/>
      <c r="D1" s="28"/>
      <c r="E1" s="28"/>
      <c r="F1" s="28"/>
    </row>
    <row r="2" spans="1:9" x14ac:dyDescent="0.25">
      <c r="A2" s="4" t="s">
        <v>201</v>
      </c>
      <c r="B2" s="8">
        <v>46168</v>
      </c>
    </row>
    <row r="4" spans="1:9" x14ac:dyDescent="0.25">
      <c r="A4" s="5" t="s">
        <v>202</v>
      </c>
      <c r="B4" s="5" t="s">
        <v>203</v>
      </c>
      <c r="C4" s="5" t="s">
        <v>54</v>
      </c>
      <c r="D4" s="5" t="s">
        <v>204</v>
      </c>
      <c r="E4" s="5" t="s">
        <v>205</v>
      </c>
      <c r="F4" s="5" t="s">
        <v>206</v>
      </c>
      <c r="G4" s="5" t="s">
        <v>207</v>
      </c>
      <c r="H4" s="5" t="s">
        <v>208</v>
      </c>
      <c r="I4" s="5" t="s">
        <v>209</v>
      </c>
    </row>
    <row r="5" spans="1:9" x14ac:dyDescent="0.25">
      <c r="B5" t="s">
        <v>210</v>
      </c>
      <c r="D5">
        <v>0</v>
      </c>
      <c r="E5">
        <v>0</v>
      </c>
      <c r="F5">
        <f t="shared" ref="F5:F14" si="0">E5-D5</f>
        <v>0</v>
      </c>
      <c r="H5">
        <v>0</v>
      </c>
      <c r="I5">
        <f t="shared" ref="I5:I14" si="1">F5*H5</f>
        <v>0</v>
      </c>
    </row>
    <row r="6" spans="1:9" x14ac:dyDescent="0.25">
      <c r="B6" t="s">
        <v>210</v>
      </c>
      <c r="D6">
        <v>0</v>
      </c>
      <c r="E6">
        <v>0</v>
      </c>
      <c r="F6">
        <f t="shared" si="0"/>
        <v>0</v>
      </c>
      <c r="H6">
        <v>0</v>
      </c>
      <c r="I6">
        <f t="shared" si="1"/>
        <v>0</v>
      </c>
    </row>
    <row r="7" spans="1:9" x14ac:dyDescent="0.25">
      <c r="B7" t="s">
        <v>210</v>
      </c>
      <c r="D7">
        <v>0</v>
      </c>
      <c r="E7">
        <v>0</v>
      </c>
      <c r="F7">
        <f t="shared" si="0"/>
        <v>0</v>
      </c>
      <c r="H7">
        <v>0</v>
      </c>
      <c r="I7">
        <f t="shared" si="1"/>
        <v>0</v>
      </c>
    </row>
    <row r="8" spans="1:9" x14ac:dyDescent="0.25">
      <c r="B8" t="s">
        <v>210</v>
      </c>
      <c r="D8">
        <v>0</v>
      </c>
      <c r="E8">
        <v>0</v>
      </c>
      <c r="F8">
        <f t="shared" si="0"/>
        <v>0</v>
      </c>
      <c r="H8">
        <v>0</v>
      </c>
      <c r="I8">
        <f t="shared" si="1"/>
        <v>0</v>
      </c>
    </row>
    <row r="9" spans="1:9" x14ac:dyDescent="0.25">
      <c r="B9" t="s">
        <v>210</v>
      </c>
      <c r="D9">
        <v>0</v>
      </c>
      <c r="E9">
        <v>0</v>
      </c>
      <c r="F9">
        <f t="shared" si="0"/>
        <v>0</v>
      </c>
      <c r="H9">
        <v>0</v>
      </c>
      <c r="I9">
        <f t="shared" si="1"/>
        <v>0</v>
      </c>
    </row>
    <row r="10" spans="1:9" x14ac:dyDescent="0.25">
      <c r="B10" t="s">
        <v>210</v>
      </c>
      <c r="D10">
        <v>0</v>
      </c>
      <c r="E10">
        <v>0</v>
      </c>
      <c r="F10">
        <f t="shared" si="0"/>
        <v>0</v>
      </c>
      <c r="H10">
        <v>0</v>
      </c>
      <c r="I10">
        <f t="shared" si="1"/>
        <v>0</v>
      </c>
    </row>
    <row r="11" spans="1:9" x14ac:dyDescent="0.25">
      <c r="B11" t="s">
        <v>210</v>
      </c>
      <c r="D11">
        <v>0</v>
      </c>
      <c r="E11">
        <v>0</v>
      </c>
      <c r="F11">
        <f t="shared" si="0"/>
        <v>0</v>
      </c>
      <c r="H11">
        <v>0</v>
      </c>
      <c r="I11">
        <f t="shared" si="1"/>
        <v>0</v>
      </c>
    </row>
    <row r="12" spans="1:9" x14ac:dyDescent="0.25">
      <c r="B12" t="s">
        <v>210</v>
      </c>
      <c r="D12">
        <v>0</v>
      </c>
      <c r="E12">
        <v>0</v>
      </c>
      <c r="F12">
        <f t="shared" si="0"/>
        <v>0</v>
      </c>
      <c r="H12">
        <v>0</v>
      </c>
      <c r="I12">
        <f t="shared" si="1"/>
        <v>0</v>
      </c>
    </row>
    <row r="13" spans="1:9" x14ac:dyDescent="0.25">
      <c r="B13" t="s">
        <v>210</v>
      </c>
      <c r="D13">
        <v>0</v>
      </c>
      <c r="E13">
        <v>0</v>
      </c>
      <c r="F13">
        <f t="shared" si="0"/>
        <v>0</v>
      </c>
      <c r="H13">
        <v>0</v>
      </c>
      <c r="I13">
        <f t="shared" si="1"/>
        <v>0</v>
      </c>
    </row>
    <row r="14" spans="1:9" x14ac:dyDescent="0.25">
      <c r="B14" t="s">
        <v>210</v>
      </c>
      <c r="D14">
        <v>0</v>
      </c>
      <c r="E14">
        <v>0</v>
      </c>
      <c r="F14">
        <f t="shared" si="0"/>
        <v>0</v>
      </c>
      <c r="H14">
        <v>0</v>
      </c>
      <c r="I14">
        <f t="shared" si="1"/>
        <v>0</v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G13"/>
  <sheetViews>
    <sheetView workbookViewId="0"/>
  </sheetViews>
  <sheetFormatPr baseColWidth="10" defaultColWidth="9.140625" defaultRowHeight="15" x14ac:dyDescent="0.25"/>
  <cols>
    <col min="1" max="1" width="5" customWidth="1"/>
    <col min="2" max="2" width="30" customWidth="1"/>
    <col min="3" max="3" width="20" customWidth="1"/>
    <col min="4" max="6" width="15" customWidth="1"/>
    <col min="7" max="7" width="10" customWidth="1"/>
  </cols>
  <sheetData>
    <row r="3" spans="1:7" x14ac:dyDescent="0.25">
      <c r="A3" s="5" t="s">
        <v>44</v>
      </c>
      <c r="B3" s="5" t="s">
        <v>211</v>
      </c>
      <c r="C3" s="5" t="s">
        <v>203</v>
      </c>
      <c r="D3" s="5" t="s">
        <v>212</v>
      </c>
      <c r="E3" s="5" t="s">
        <v>213</v>
      </c>
      <c r="F3" s="5" t="s">
        <v>214</v>
      </c>
      <c r="G3" s="5" t="s">
        <v>215</v>
      </c>
    </row>
    <row r="4" spans="1:7" x14ac:dyDescent="0.25">
      <c r="A4">
        <v>1</v>
      </c>
      <c r="B4" t="s">
        <v>216</v>
      </c>
      <c r="C4" t="s">
        <v>217</v>
      </c>
      <c r="D4">
        <v>0</v>
      </c>
      <c r="E4">
        <v>3500</v>
      </c>
      <c r="F4">
        <f t="shared" ref="F4:F13" si="0">E4-D4</f>
        <v>3500</v>
      </c>
    </row>
    <row r="5" spans="1:7" x14ac:dyDescent="0.25">
      <c r="A5">
        <v>2</v>
      </c>
      <c r="B5" t="s">
        <v>218</v>
      </c>
      <c r="C5" t="s">
        <v>217</v>
      </c>
      <c r="D5">
        <v>0</v>
      </c>
      <c r="E5">
        <v>3500</v>
      </c>
      <c r="F5">
        <f t="shared" si="0"/>
        <v>3500</v>
      </c>
    </row>
    <row r="6" spans="1:7" x14ac:dyDescent="0.25">
      <c r="A6">
        <v>3</v>
      </c>
      <c r="B6" t="s">
        <v>219</v>
      </c>
      <c r="C6" t="s">
        <v>220</v>
      </c>
      <c r="D6">
        <v>0</v>
      </c>
      <c r="E6">
        <v>3000</v>
      </c>
      <c r="F6">
        <f t="shared" si="0"/>
        <v>3000</v>
      </c>
    </row>
    <row r="7" spans="1:7" x14ac:dyDescent="0.25">
      <c r="A7">
        <v>4</v>
      </c>
      <c r="B7" t="s">
        <v>221</v>
      </c>
      <c r="C7" t="s">
        <v>222</v>
      </c>
      <c r="D7">
        <v>0</v>
      </c>
      <c r="E7">
        <v>3500</v>
      </c>
      <c r="F7">
        <f t="shared" si="0"/>
        <v>3500</v>
      </c>
    </row>
    <row r="8" spans="1:7" x14ac:dyDescent="0.25">
      <c r="A8">
        <v>5</v>
      </c>
      <c r="B8" t="s">
        <v>223</v>
      </c>
      <c r="C8" t="s">
        <v>222</v>
      </c>
      <c r="D8">
        <v>0</v>
      </c>
      <c r="E8">
        <v>1000</v>
      </c>
      <c r="F8">
        <f t="shared" si="0"/>
        <v>1000</v>
      </c>
    </row>
    <row r="9" spans="1:7" x14ac:dyDescent="0.25">
      <c r="A9">
        <v>6</v>
      </c>
      <c r="B9" t="s">
        <v>224</v>
      </c>
      <c r="C9" t="s">
        <v>225</v>
      </c>
      <c r="D9">
        <v>0</v>
      </c>
      <c r="E9">
        <v>4000</v>
      </c>
      <c r="F9">
        <f t="shared" si="0"/>
        <v>4000</v>
      </c>
    </row>
    <row r="10" spans="1:7" x14ac:dyDescent="0.25">
      <c r="A10">
        <v>7</v>
      </c>
      <c r="B10" t="s">
        <v>226</v>
      </c>
      <c r="C10" t="s">
        <v>225</v>
      </c>
      <c r="D10">
        <v>0</v>
      </c>
      <c r="E10">
        <v>3500</v>
      </c>
      <c r="F10">
        <f t="shared" si="0"/>
        <v>3500</v>
      </c>
    </row>
    <row r="11" spans="1:7" x14ac:dyDescent="0.25">
      <c r="A11">
        <v>8</v>
      </c>
      <c r="B11" t="s">
        <v>227</v>
      </c>
      <c r="C11" t="s">
        <v>228</v>
      </c>
      <c r="D11">
        <v>0</v>
      </c>
      <c r="E11">
        <v>3500</v>
      </c>
      <c r="F11">
        <f t="shared" si="0"/>
        <v>3500</v>
      </c>
    </row>
    <row r="12" spans="1:7" x14ac:dyDescent="0.25">
      <c r="A12">
        <v>9</v>
      </c>
      <c r="B12" t="s">
        <v>229</v>
      </c>
      <c r="C12" t="s">
        <v>228</v>
      </c>
      <c r="D12">
        <v>0</v>
      </c>
      <c r="E12">
        <v>3000</v>
      </c>
      <c r="F12">
        <f t="shared" si="0"/>
        <v>3000</v>
      </c>
    </row>
    <row r="13" spans="1:7" x14ac:dyDescent="0.25">
      <c r="A13">
        <v>10</v>
      </c>
      <c r="B13" t="s">
        <v>230</v>
      </c>
      <c r="C13" t="s">
        <v>67</v>
      </c>
      <c r="D13">
        <v>0</v>
      </c>
      <c r="E13">
        <v>3500</v>
      </c>
      <c r="F13">
        <f t="shared" si="0"/>
        <v>3500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82"/>
  <sheetViews>
    <sheetView workbookViewId="0"/>
  </sheetViews>
  <sheetFormatPr baseColWidth="10" defaultColWidth="9.140625" defaultRowHeight="15" x14ac:dyDescent="0.25"/>
  <cols>
    <col min="1" max="1" width="25" customWidth="1"/>
    <col min="2" max="2" width="30" customWidth="1"/>
    <col min="3" max="3" width="15" customWidth="1"/>
    <col min="4" max="4" width="25" customWidth="1"/>
  </cols>
  <sheetData>
    <row r="1" spans="1:4" ht="26.25" x14ac:dyDescent="0.4">
      <c r="A1" s="30" t="s">
        <v>231</v>
      </c>
      <c r="B1" s="28"/>
      <c r="C1" s="28"/>
      <c r="D1" s="28"/>
    </row>
    <row r="3" spans="1:4" ht="18" x14ac:dyDescent="0.25">
      <c r="A3" s="25" t="s">
        <v>232</v>
      </c>
    </row>
    <row r="5" spans="1:4" ht="15.75" x14ac:dyDescent="0.25">
      <c r="A5" s="16" t="s">
        <v>233</v>
      </c>
      <c r="B5" s="16" t="s">
        <v>234</v>
      </c>
      <c r="C5" s="16" t="s">
        <v>235</v>
      </c>
      <c r="D5" s="16" t="s">
        <v>36</v>
      </c>
    </row>
    <row r="6" spans="1:4" x14ac:dyDescent="0.25">
      <c r="A6" s="24" t="s">
        <v>217</v>
      </c>
      <c r="B6" s="24" t="s">
        <v>216</v>
      </c>
      <c r="C6" s="24">
        <v>3500</v>
      </c>
      <c r="D6" s="24"/>
    </row>
    <row r="7" spans="1:4" x14ac:dyDescent="0.25">
      <c r="A7" s="24" t="s">
        <v>217</v>
      </c>
      <c r="B7" s="24" t="s">
        <v>218</v>
      </c>
      <c r="C7" s="24">
        <v>3500</v>
      </c>
      <c r="D7" s="24"/>
    </row>
    <row r="8" spans="1:4" x14ac:dyDescent="0.25">
      <c r="A8" s="24" t="s">
        <v>219</v>
      </c>
      <c r="B8" s="24"/>
      <c r="C8" s="24">
        <v>3000</v>
      </c>
      <c r="D8" s="24" t="s">
        <v>236</v>
      </c>
    </row>
    <row r="9" spans="1:4" x14ac:dyDescent="0.25">
      <c r="A9" s="24" t="s">
        <v>237</v>
      </c>
      <c r="B9" s="24" t="s">
        <v>238</v>
      </c>
      <c r="C9" s="24">
        <v>3500</v>
      </c>
      <c r="D9" s="24"/>
    </row>
    <row r="10" spans="1:4" x14ac:dyDescent="0.25">
      <c r="A10" s="24" t="s">
        <v>237</v>
      </c>
      <c r="B10" s="24" t="s">
        <v>239</v>
      </c>
      <c r="C10" s="24">
        <v>3500</v>
      </c>
      <c r="D10" s="24"/>
    </row>
    <row r="11" spans="1:4" x14ac:dyDescent="0.25">
      <c r="A11" s="24" t="s">
        <v>237</v>
      </c>
      <c r="B11" s="24" t="s">
        <v>76</v>
      </c>
      <c r="C11" s="24">
        <v>3500</v>
      </c>
      <c r="D11" s="24"/>
    </row>
    <row r="12" spans="1:4" x14ac:dyDescent="0.25">
      <c r="A12" s="24" t="s">
        <v>237</v>
      </c>
      <c r="B12" s="24" t="s">
        <v>240</v>
      </c>
      <c r="C12" s="24">
        <v>1000</v>
      </c>
      <c r="D12" s="24"/>
    </row>
    <row r="13" spans="1:4" x14ac:dyDescent="0.25">
      <c r="A13" s="24" t="s">
        <v>241</v>
      </c>
      <c r="B13" s="24" t="s">
        <v>76</v>
      </c>
      <c r="C13" s="24">
        <v>4000</v>
      </c>
      <c r="D13" s="24"/>
    </row>
    <row r="14" spans="1:4" x14ac:dyDescent="0.25">
      <c r="A14" s="24" t="s">
        <v>241</v>
      </c>
      <c r="B14" s="24" t="s">
        <v>228</v>
      </c>
      <c r="C14" s="24">
        <v>3500</v>
      </c>
      <c r="D14" s="24"/>
    </row>
    <row r="15" spans="1:4" x14ac:dyDescent="0.25">
      <c r="A15" s="24" t="s">
        <v>228</v>
      </c>
      <c r="B15" s="24" t="s">
        <v>242</v>
      </c>
      <c r="C15" s="24">
        <v>3500</v>
      </c>
      <c r="D15" s="24" t="s">
        <v>243</v>
      </c>
    </row>
    <row r="16" spans="1:4" x14ac:dyDescent="0.25">
      <c r="A16" s="24" t="s">
        <v>228</v>
      </c>
      <c r="B16" s="24" t="s">
        <v>244</v>
      </c>
      <c r="C16" s="24">
        <v>3000</v>
      </c>
      <c r="D16" s="24" t="s">
        <v>243</v>
      </c>
    </row>
    <row r="17" spans="1:4" x14ac:dyDescent="0.25">
      <c r="A17" s="24" t="s">
        <v>67</v>
      </c>
      <c r="B17" s="24" t="s">
        <v>146</v>
      </c>
      <c r="C17" s="24">
        <v>3500</v>
      </c>
      <c r="D17" s="24"/>
    </row>
    <row r="18" spans="1:4" x14ac:dyDescent="0.25">
      <c r="A18" s="24" t="s">
        <v>67</v>
      </c>
      <c r="B18" s="24" t="s">
        <v>244</v>
      </c>
      <c r="C18" s="24">
        <v>3000</v>
      </c>
      <c r="D18" s="24"/>
    </row>
    <row r="19" spans="1:4" x14ac:dyDescent="0.25">
      <c r="A19" s="24" t="s">
        <v>75</v>
      </c>
      <c r="B19" s="24" t="s">
        <v>245</v>
      </c>
      <c r="C19" s="24">
        <v>6500</v>
      </c>
      <c r="D19" s="24" t="s">
        <v>246</v>
      </c>
    </row>
    <row r="20" spans="1:4" x14ac:dyDescent="0.25">
      <c r="A20" s="24" t="s">
        <v>75</v>
      </c>
      <c r="B20" s="24" t="s">
        <v>244</v>
      </c>
      <c r="C20" s="24">
        <v>6500</v>
      </c>
      <c r="D20" s="24" t="s">
        <v>246</v>
      </c>
    </row>
    <row r="21" spans="1:4" x14ac:dyDescent="0.25">
      <c r="A21" s="24" t="s">
        <v>65</v>
      </c>
      <c r="B21" s="24"/>
      <c r="C21" s="24">
        <v>3500</v>
      </c>
      <c r="D21" s="24" t="s">
        <v>247</v>
      </c>
    </row>
    <row r="22" spans="1:4" x14ac:dyDescent="0.25">
      <c r="A22" s="24" t="s">
        <v>248</v>
      </c>
      <c r="B22" s="24" t="s">
        <v>228</v>
      </c>
      <c r="C22" s="24">
        <v>4000</v>
      </c>
      <c r="D22" s="24"/>
    </row>
    <row r="23" spans="1:4" x14ac:dyDescent="0.25">
      <c r="A23" s="24" t="s">
        <v>248</v>
      </c>
      <c r="B23" s="24" t="s">
        <v>238</v>
      </c>
      <c r="C23" s="24">
        <v>3500</v>
      </c>
      <c r="D23" s="24"/>
    </row>
    <row r="24" spans="1:4" x14ac:dyDescent="0.25">
      <c r="A24" s="24" t="s">
        <v>249</v>
      </c>
      <c r="B24" s="24" t="s">
        <v>250</v>
      </c>
      <c r="C24" s="24">
        <v>3500</v>
      </c>
      <c r="D24" s="24"/>
    </row>
    <row r="25" spans="1:4" x14ac:dyDescent="0.25">
      <c r="A25" s="24" t="s">
        <v>249</v>
      </c>
      <c r="B25" s="24" t="s">
        <v>251</v>
      </c>
      <c r="C25" s="24">
        <v>7000</v>
      </c>
      <c r="D25" s="24"/>
    </row>
    <row r="26" spans="1:4" x14ac:dyDescent="0.25">
      <c r="A26" s="24" t="s">
        <v>249</v>
      </c>
      <c r="B26" s="24" t="s">
        <v>252</v>
      </c>
      <c r="C26" s="24">
        <v>13500</v>
      </c>
      <c r="D26" s="24"/>
    </row>
    <row r="27" spans="1:4" x14ac:dyDescent="0.25">
      <c r="A27" s="24" t="s">
        <v>249</v>
      </c>
      <c r="B27" s="24" t="s">
        <v>253</v>
      </c>
      <c r="C27" s="24">
        <v>3000</v>
      </c>
      <c r="D27" s="24"/>
    </row>
    <row r="28" spans="1:4" x14ac:dyDescent="0.25">
      <c r="A28" s="24" t="s">
        <v>249</v>
      </c>
      <c r="B28" s="24" t="s">
        <v>254</v>
      </c>
      <c r="C28" s="24">
        <v>6000</v>
      </c>
      <c r="D28" s="24"/>
    </row>
    <row r="29" spans="1:4" x14ac:dyDescent="0.25">
      <c r="A29" s="24" t="s">
        <v>249</v>
      </c>
      <c r="B29" s="24" t="s">
        <v>255</v>
      </c>
      <c r="C29" s="24">
        <v>12000</v>
      </c>
      <c r="D29" s="24"/>
    </row>
    <row r="30" spans="1:4" x14ac:dyDescent="0.25">
      <c r="A30" s="24" t="s">
        <v>249</v>
      </c>
      <c r="B30" s="24" t="s">
        <v>256</v>
      </c>
      <c r="C30" s="24">
        <v>2500</v>
      </c>
      <c r="D30" s="24"/>
    </row>
    <row r="31" spans="1:4" x14ac:dyDescent="0.25">
      <c r="A31" s="24" t="s">
        <v>249</v>
      </c>
      <c r="B31" s="24" t="s">
        <v>257</v>
      </c>
      <c r="C31" s="24">
        <v>4500</v>
      </c>
      <c r="D31" s="24"/>
    </row>
    <row r="32" spans="1:4" x14ac:dyDescent="0.25">
      <c r="A32" s="24" t="s">
        <v>249</v>
      </c>
      <c r="B32" s="24" t="s">
        <v>258</v>
      </c>
      <c r="C32" s="24">
        <v>10000</v>
      </c>
      <c r="D32" s="24"/>
    </row>
    <row r="33" spans="1:4" x14ac:dyDescent="0.25">
      <c r="A33" s="24" t="s">
        <v>249</v>
      </c>
      <c r="B33" s="24" t="s">
        <v>259</v>
      </c>
      <c r="C33" s="24">
        <v>2500</v>
      </c>
      <c r="D33" s="24"/>
    </row>
    <row r="34" spans="1:4" x14ac:dyDescent="0.25">
      <c r="A34" s="24" t="s">
        <v>249</v>
      </c>
      <c r="B34" s="24" t="s">
        <v>260</v>
      </c>
      <c r="C34" s="24">
        <v>5000</v>
      </c>
      <c r="D34" s="24"/>
    </row>
    <row r="35" spans="1:4" x14ac:dyDescent="0.25">
      <c r="A35" s="24" t="s">
        <v>249</v>
      </c>
      <c r="B35" s="24" t="s">
        <v>261</v>
      </c>
      <c r="C35" s="24">
        <v>11000</v>
      </c>
      <c r="D35" s="24"/>
    </row>
    <row r="36" spans="1:4" x14ac:dyDescent="0.25">
      <c r="A36" s="24" t="s">
        <v>262</v>
      </c>
      <c r="B36" s="24" t="s">
        <v>72</v>
      </c>
      <c r="C36" s="24">
        <v>5000</v>
      </c>
      <c r="D36" s="24" t="s">
        <v>263</v>
      </c>
    </row>
    <row r="37" spans="1:4" x14ac:dyDescent="0.25">
      <c r="A37" s="24" t="s">
        <v>262</v>
      </c>
      <c r="B37" s="24" t="s">
        <v>73</v>
      </c>
      <c r="C37" s="24">
        <v>9000</v>
      </c>
      <c r="D37" s="24" t="s">
        <v>264</v>
      </c>
    </row>
    <row r="38" spans="1:4" x14ac:dyDescent="0.25">
      <c r="A38" s="24" t="s">
        <v>262</v>
      </c>
      <c r="B38" s="24" t="s">
        <v>74</v>
      </c>
      <c r="C38" s="24">
        <v>7000</v>
      </c>
      <c r="D38" s="24" t="s">
        <v>265</v>
      </c>
    </row>
    <row r="39" spans="1:4" x14ac:dyDescent="0.25">
      <c r="A39" s="24" t="s">
        <v>266</v>
      </c>
      <c r="B39" s="24" t="s">
        <v>121</v>
      </c>
      <c r="C39" s="24">
        <v>2000</v>
      </c>
      <c r="D39" s="24" t="s">
        <v>267</v>
      </c>
    </row>
    <row r="40" spans="1:4" x14ac:dyDescent="0.25">
      <c r="A40" s="24" t="s">
        <v>266</v>
      </c>
      <c r="B40" s="24" t="s">
        <v>268</v>
      </c>
      <c r="C40" s="24">
        <v>3500</v>
      </c>
      <c r="D40" s="24" t="s">
        <v>269</v>
      </c>
    </row>
    <row r="41" spans="1:4" x14ac:dyDescent="0.25">
      <c r="A41" s="24" t="s">
        <v>270</v>
      </c>
      <c r="B41" s="24" t="s">
        <v>109</v>
      </c>
      <c r="C41" s="24">
        <v>0</v>
      </c>
      <c r="D41" s="24" t="s">
        <v>271</v>
      </c>
    </row>
    <row r="42" spans="1:4" x14ac:dyDescent="0.25">
      <c r="A42" s="24" t="s">
        <v>270</v>
      </c>
      <c r="B42" s="24" t="s">
        <v>272</v>
      </c>
      <c r="C42" s="24">
        <v>0</v>
      </c>
      <c r="D42" s="24" t="s">
        <v>271</v>
      </c>
    </row>
    <row r="43" spans="1:4" x14ac:dyDescent="0.25">
      <c r="A43" s="24" t="s">
        <v>270</v>
      </c>
      <c r="B43" s="24" t="s">
        <v>273</v>
      </c>
      <c r="C43" s="24">
        <v>0</v>
      </c>
      <c r="D43" s="24" t="s">
        <v>271</v>
      </c>
    </row>
    <row r="44" spans="1:4" x14ac:dyDescent="0.25">
      <c r="A44" s="24" t="s">
        <v>270</v>
      </c>
      <c r="B44" s="24" t="s">
        <v>274</v>
      </c>
      <c r="C44" s="24">
        <v>0</v>
      </c>
      <c r="D44" s="24" t="s">
        <v>271</v>
      </c>
    </row>
    <row r="52" spans="1:2" ht="18" x14ac:dyDescent="0.25">
      <c r="A52" s="25" t="s">
        <v>275</v>
      </c>
    </row>
    <row r="54" spans="1:2" x14ac:dyDescent="0.25">
      <c r="B54" s="24" t="s">
        <v>276</v>
      </c>
    </row>
    <row r="55" spans="1:2" x14ac:dyDescent="0.25">
      <c r="B55" s="24" t="s">
        <v>277</v>
      </c>
    </row>
    <row r="56" spans="1:2" x14ac:dyDescent="0.25">
      <c r="B56" s="24" t="s">
        <v>278</v>
      </c>
    </row>
    <row r="57" spans="1:2" x14ac:dyDescent="0.25">
      <c r="B57" s="24" t="s">
        <v>279</v>
      </c>
    </row>
    <row r="62" spans="1:2" x14ac:dyDescent="0.25">
      <c r="B62" s="26" t="s">
        <v>280</v>
      </c>
    </row>
    <row r="64" spans="1:2" ht="18.75" x14ac:dyDescent="0.3">
      <c r="A64" s="19" t="s">
        <v>281</v>
      </c>
    </row>
    <row r="66" spans="1:3" ht="15.75" x14ac:dyDescent="0.25">
      <c r="A66" s="16" t="s">
        <v>282</v>
      </c>
      <c r="B66" s="16" t="s">
        <v>283</v>
      </c>
      <c r="C66" s="16" t="s">
        <v>235</v>
      </c>
    </row>
    <row r="67" spans="1:3" x14ac:dyDescent="0.25">
      <c r="A67" s="24" t="s">
        <v>284</v>
      </c>
      <c r="B67" s="24" t="s">
        <v>285</v>
      </c>
      <c r="C67" s="24">
        <v>4000</v>
      </c>
    </row>
    <row r="68" spans="1:3" x14ac:dyDescent="0.25">
      <c r="A68" s="24" t="s">
        <v>286</v>
      </c>
      <c r="B68" s="24" t="s">
        <v>287</v>
      </c>
      <c r="C68" s="24">
        <v>6000</v>
      </c>
    </row>
    <row r="69" spans="1:3" x14ac:dyDescent="0.25">
      <c r="A69" s="24" t="s">
        <v>288</v>
      </c>
      <c r="B69" s="24" t="s">
        <v>289</v>
      </c>
      <c r="C69" s="24">
        <v>8500</v>
      </c>
    </row>
    <row r="70" spans="1:3" x14ac:dyDescent="0.25">
      <c r="A70" s="24" t="s">
        <v>290</v>
      </c>
      <c r="B70" s="24" t="s">
        <v>291</v>
      </c>
      <c r="C70" s="24">
        <v>15000</v>
      </c>
    </row>
    <row r="74" spans="1:3" ht="18.75" x14ac:dyDescent="0.3">
      <c r="A74" s="19" t="s">
        <v>292</v>
      </c>
    </row>
    <row r="76" spans="1:3" ht="15.75" x14ac:dyDescent="0.25">
      <c r="A76" s="16" t="s">
        <v>235</v>
      </c>
      <c r="B76" s="16" t="s">
        <v>293</v>
      </c>
    </row>
    <row r="77" spans="1:3" x14ac:dyDescent="0.25">
      <c r="A77" s="24">
        <v>10000</v>
      </c>
      <c r="B77" s="24" t="s">
        <v>294</v>
      </c>
    </row>
    <row r="78" spans="1:3" x14ac:dyDescent="0.25">
      <c r="A78" s="24">
        <v>25000</v>
      </c>
      <c r="B78" s="24" t="s">
        <v>295</v>
      </c>
    </row>
    <row r="79" spans="1:3" x14ac:dyDescent="0.25">
      <c r="A79" s="24">
        <v>50000</v>
      </c>
      <c r="B79" s="24" t="s">
        <v>296</v>
      </c>
    </row>
    <row r="80" spans="1:3" x14ac:dyDescent="0.25">
      <c r="A80" s="24">
        <v>75000</v>
      </c>
      <c r="B80" s="24" t="s">
        <v>297</v>
      </c>
    </row>
    <row r="81" spans="1:2" x14ac:dyDescent="0.25">
      <c r="A81" s="24">
        <v>100000</v>
      </c>
      <c r="B81" s="24" t="s">
        <v>298</v>
      </c>
    </row>
    <row r="82" spans="1:2" x14ac:dyDescent="0.25">
      <c r="A82" s="24">
        <v>200000</v>
      </c>
      <c r="B82" s="24" t="s">
        <v>299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8"/>
  <sheetViews>
    <sheetView workbookViewId="0"/>
  </sheetViews>
  <sheetFormatPr baseColWidth="10" defaultColWidth="9.140625" defaultRowHeight="15" x14ac:dyDescent="0.25"/>
  <cols>
    <col min="1" max="1" width="80" customWidth="1"/>
  </cols>
  <sheetData>
    <row r="1" spans="1:4" ht="26.25" x14ac:dyDescent="0.25">
      <c r="A1" s="27" t="s">
        <v>300</v>
      </c>
      <c r="B1" s="28"/>
      <c r="C1" s="28"/>
      <c r="D1" s="28"/>
    </row>
    <row r="3" spans="1:4" x14ac:dyDescent="0.25">
      <c r="A3" s="4" t="s">
        <v>301</v>
      </c>
    </row>
    <row r="4" spans="1:4" x14ac:dyDescent="0.25">
      <c r="A4" s="1" t="s">
        <v>302</v>
      </c>
    </row>
    <row r="5" spans="1:4" x14ac:dyDescent="0.25">
      <c r="A5" s="1" t="s">
        <v>303</v>
      </c>
    </row>
    <row r="6" spans="1:4" x14ac:dyDescent="0.25">
      <c r="A6" s="1" t="s">
        <v>304</v>
      </c>
    </row>
    <row r="7" spans="1:4" x14ac:dyDescent="0.25">
      <c r="A7" s="1"/>
    </row>
    <row r="8" spans="1:4" x14ac:dyDescent="0.25">
      <c r="A8" s="4" t="s">
        <v>305</v>
      </c>
    </row>
    <row r="9" spans="1:4" x14ac:dyDescent="0.25">
      <c r="A9" s="1" t="s">
        <v>306</v>
      </c>
    </row>
    <row r="10" spans="1:4" x14ac:dyDescent="0.25">
      <c r="A10" s="1" t="s">
        <v>307</v>
      </c>
    </row>
    <row r="11" spans="1:4" x14ac:dyDescent="0.25">
      <c r="A11" s="1"/>
    </row>
    <row r="12" spans="1:4" x14ac:dyDescent="0.25">
      <c r="A12" s="4" t="s">
        <v>308</v>
      </c>
    </row>
    <row r="13" spans="1:4" x14ac:dyDescent="0.25">
      <c r="A13" s="1" t="s">
        <v>309</v>
      </c>
    </row>
    <row r="14" spans="1:4" x14ac:dyDescent="0.25">
      <c r="A14" s="1" t="s">
        <v>310</v>
      </c>
    </row>
    <row r="15" spans="1:4" x14ac:dyDescent="0.25">
      <c r="A15" s="1"/>
    </row>
    <row r="16" spans="1:4" x14ac:dyDescent="0.25">
      <c r="A16" s="4" t="s">
        <v>311</v>
      </c>
    </row>
    <row r="17" spans="1:1" x14ac:dyDescent="0.25">
      <c r="A17" s="1" t="s">
        <v>312</v>
      </c>
    </row>
    <row r="18" spans="1:1" x14ac:dyDescent="0.25">
      <c r="A18" s="1" t="s">
        <v>313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J108"/>
  <sheetViews>
    <sheetView workbookViewId="0"/>
  </sheetViews>
  <sheetFormatPr baseColWidth="10" defaultColWidth="9.140625" defaultRowHeight="15" x14ac:dyDescent="0.25"/>
  <cols>
    <col min="1" max="1" width="5" customWidth="1"/>
    <col min="2" max="3" width="25" customWidth="1"/>
    <col min="4" max="4" width="10" customWidth="1"/>
    <col min="5" max="8" width="12" customWidth="1"/>
    <col min="9" max="10" width="15" customWidth="1"/>
  </cols>
  <sheetData>
    <row r="3" spans="1:10" x14ac:dyDescent="0.25">
      <c r="A3" s="5" t="s">
        <v>44</v>
      </c>
      <c r="B3" s="5" t="s">
        <v>203</v>
      </c>
      <c r="C3" s="5" t="s">
        <v>314</v>
      </c>
      <c r="D3" s="5" t="s">
        <v>54</v>
      </c>
      <c r="E3" s="5" t="s">
        <v>315</v>
      </c>
      <c r="F3" s="5" t="s">
        <v>56</v>
      </c>
      <c r="G3" s="5" t="s">
        <v>57</v>
      </c>
      <c r="H3" s="5" t="s">
        <v>316</v>
      </c>
      <c r="I3" s="5" t="s">
        <v>208</v>
      </c>
      <c r="J3" s="5" t="s">
        <v>317</v>
      </c>
    </row>
    <row r="4" spans="1:10" x14ac:dyDescent="0.25">
      <c r="A4">
        <v>1</v>
      </c>
      <c r="B4" t="s">
        <v>318</v>
      </c>
      <c r="C4" t="s">
        <v>60</v>
      </c>
      <c r="D4" t="s">
        <v>61</v>
      </c>
      <c r="E4" s="6">
        <v>0</v>
      </c>
      <c r="F4" s="6">
        <v>0</v>
      </c>
      <c r="G4" s="6">
        <v>0</v>
      </c>
      <c r="H4" s="6">
        <f t="shared" ref="H4:H35" si="0">E4+F4-G4</f>
        <v>0</v>
      </c>
      <c r="I4" s="6">
        <v>0</v>
      </c>
      <c r="J4" s="6">
        <f t="shared" ref="J4:J35" si="1">H4*I4</f>
        <v>0</v>
      </c>
    </row>
    <row r="5" spans="1:10" x14ac:dyDescent="0.25">
      <c r="A5">
        <v>2</v>
      </c>
      <c r="B5" t="s">
        <v>318</v>
      </c>
      <c r="C5" t="s">
        <v>62</v>
      </c>
      <c r="D5" t="s">
        <v>61</v>
      </c>
      <c r="E5" s="6">
        <v>0</v>
      </c>
      <c r="F5" s="6">
        <v>0</v>
      </c>
      <c r="G5" s="6">
        <v>0</v>
      </c>
      <c r="H5" s="6">
        <f t="shared" si="0"/>
        <v>0</v>
      </c>
      <c r="I5" s="6">
        <v>0</v>
      </c>
      <c r="J5" s="6">
        <f t="shared" si="1"/>
        <v>0</v>
      </c>
    </row>
    <row r="6" spans="1:10" x14ac:dyDescent="0.25">
      <c r="A6">
        <v>3</v>
      </c>
      <c r="B6" t="s">
        <v>318</v>
      </c>
      <c r="C6" t="s">
        <v>63</v>
      </c>
      <c r="D6" t="s">
        <v>61</v>
      </c>
      <c r="E6" s="6">
        <v>0</v>
      </c>
      <c r="F6" s="6">
        <v>0</v>
      </c>
      <c r="G6" s="6">
        <v>0</v>
      </c>
      <c r="H6" s="6">
        <f t="shared" si="0"/>
        <v>0</v>
      </c>
      <c r="I6" s="6">
        <v>0</v>
      </c>
      <c r="J6" s="6">
        <f t="shared" si="1"/>
        <v>0</v>
      </c>
    </row>
    <row r="7" spans="1:10" x14ac:dyDescent="0.25">
      <c r="A7">
        <v>4</v>
      </c>
      <c r="B7" t="s">
        <v>318</v>
      </c>
      <c r="C7" t="s">
        <v>64</v>
      </c>
      <c r="D7" t="s">
        <v>61</v>
      </c>
      <c r="E7" s="6">
        <v>0</v>
      </c>
      <c r="F7" s="6">
        <v>0</v>
      </c>
      <c r="G7" s="6">
        <v>0</v>
      </c>
      <c r="H7" s="6">
        <f t="shared" si="0"/>
        <v>0</v>
      </c>
      <c r="I7" s="6">
        <v>0</v>
      </c>
      <c r="J7" s="6">
        <f t="shared" si="1"/>
        <v>0</v>
      </c>
    </row>
    <row r="8" spans="1:10" x14ac:dyDescent="0.25">
      <c r="A8">
        <v>5</v>
      </c>
      <c r="B8" t="s">
        <v>318</v>
      </c>
      <c r="C8" t="s">
        <v>65</v>
      </c>
      <c r="D8" t="s">
        <v>66</v>
      </c>
      <c r="E8" s="6">
        <v>0</v>
      </c>
      <c r="F8" s="6">
        <v>0</v>
      </c>
      <c r="G8" s="6">
        <v>0</v>
      </c>
      <c r="H8" s="6">
        <f t="shared" si="0"/>
        <v>0</v>
      </c>
      <c r="I8" s="6">
        <v>0</v>
      </c>
      <c r="J8" s="6">
        <f t="shared" si="1"/>
        <v>0</v>
      </c>
    </row>
    <row r="9" spans="1:10" x14ac:dyDescent="0.25">
      <c r="A9">
        <v>6</v>
      </c>
      <c r="B9" t="s">
        <v>318</v>
      </c>
      <c r="C9" t="s">
        <v>67</v>
      </c>
      <c r="D9" t="s">
        <v>61</v>
      </c>
      <c r="E9" s="6">
        <v>0</v>
      </c>
      <c r="F9" s="6">
        <v>0</v>
      </c>
      <c r="G9" s="6">
        <v>0</v>
      </c>
      <c r="H9" s="6">
        <f t="shared" si="0"/>
        <v>0</v>
      </c>
      <c r="I9" s="6">
        <v>0</v>
      </c>
      <c r="J9" s="6">
        <f t="shared" si="1"/>
        <v>0</v>
      </c>
    </row>
    <row r="10" spans="1:10" x14ac:dyDescent="0.25">
      <c r="A10">
        <v>7</v>
      </c>
      <c r="B10" t="s">
        <v>318</v>
      </c>
      <c r="C10" t="s">
        <v>68</v>
      </c>
      <c r="D10" t="s">
        <v>69</v>
      </c>
      <c r="E10" s="6">
        <v>0</v>
      </c>
      <c r="F10" s="6">
        <v>0</v>
      </c>
      <c r="G10" s="6">
        <v>0</v>
      </c>
      <c r="H10" s="6">
        <f t="shared" si="0"/>
        <v>0</v>
      </c>
      <c r="I10" s="6">
        <v>0</v>
      </c>
      <c r="J10" s="6">
        <f t="shared" si="1"/>
        <v>0</v>
      </c>
    </row>
    <row r="11" spans="1:10" x14ac:dyDescent="0.25">
      <c r="A11">
        <v>8</v>
      </c>
      <c r="B11" t="s">
        <v>318</v>
      </c>
      <c r="C11" t="s">
        <v>70</v>
      </c>
      <c r="D11" t="s">
        <v>66</v>
      </c>
      <c r="E11" s="6">
        <v>0</v>
      </c>
      <c r="F11" s="6">
        <v>0</v>
      </c>
      <c r="G11" s="6">
        <v>0</v>
      </c>
      <c r="H11" s="6">
        <f t="shared" si="0"/>
        <v>0</v>
      </c>
      <c r="I11" s="6">
        <v>0</v>
      </c>
      <c r="J11" s="6">
        <f t="shared" si="1"/>
        <v>0</v>
      </c>
    </row>
    <row r="12" spans="1:10" x14ac:dyDescent="0.25">
      <c r="A12">
        <v>9</v>
      </c>
      <c r="B12" t="s">
        <v>319</v>
      </c>
      <c r="C12" t="s">
        <v>72</v>
      </c>
      <c r="D12" t="s">
        <v>66</v>
      </c>
      <c r="E12" s="6">
        <v>0</v>
      </c>
      <c r="F12" s="6">
        <v>0</v>
      </c>
      <c r="G12" s="6">
        <v>0</v>
      </c>
      <c r="H12" s="6">
        <f t="shared" si="0"/>
        <v>0</v>
      </c>
      <c r="I12" s="6">
        <v>0</v>
      </c>
      <c r="J12" s="6">
        <f t="shared" si="1"/>
        <v>0</v>
      </c>
    </row>
    <row r="13" spans="1:10" x14ac:dyDescent="0.25">
      <c r="A13">
        <v>10</v>
      </c>
      <c r="B13" t="s">
        <v>319</v>
      </c>
      <c r="C13" t="s">
        <v>73</v>
      </c>
      <c r="D13" t="s">
        <v>66</v>
      </c>
      <c r="E13" s="6">
        <v>0</v>
      </c>
      <c r="F13" s="6">
        <v>0</v>
      </c>
      <c r="G13" s="6">
        <v>0</v>
      </c>
      <c r="H13" s="6">
        <f t="shared" si="0"/>
        <v>0</v>
      </c>
      <c r="I13" s="6">
        <v>0</v>
      </c>
      <c r="J13" s="6">
        <f t="shared" si="1"/>
        <v>0</v>
      </c>
    </row>
    <row r="14" spans="1:10" x14ac:dyDescent="0.25">
      <c r="A14">
        <v>11</v>
      </c>
      <c r="B14" t="s">
        <v>319</v>
      </c>
      <c r="C14" t="s">
        <v>74</v>
      </c>
      <c r="D14" t="s">
        <v>66</v>
      </c>
      <c r="E14" s="6">
        <v>0</v>
      </c>
      <c r="F14" s="6">
        <v>0</v>
      </c>
      <c r="G14" s="6">
        <v>0</v>
      </c>
      <c r="H14" s="6">
        <f t="shared" si="0"/>
        <v>0</v>
      </c>
      <c r="I14" s="6">
        <v>0</v>
      </c>
      <c r="J14" s="6">
        <f t="shared" si="1"/>
        <v>0</v>
      </c>
    </row>
    <row r="15" spans="1:10" x14ac:dyDescent="0.25">
      <c r="A15">
        <v>12</v>
      </c>
      <c r="B15" t="s">
        <v>319</v>
      </c>
      <c r="C15" t="s">
        <v>75</v>
      </c>
      <c r="D15" t="s">
        <v>66</v>
      </c>
      <c r="E15" s="6">
        <v>0</v>
      </c>
      <c r="F15" s="6">
        <v>0</v>
      </c>
      <c r="G15" s="6">
        <v>0</v>
      </c>
      <c r="H15" s="6">
        <f t="shared" si="0"/>
        <v>0</v>
      </c>
      <c r="I15" s="6">
        <v>0</v>
      </c>
      <c r="J15" s="6">
        <f t="shared" si="1"/>
        <v>0</v>
      </c>
    </row>
    <row r="16" spans="1:10" x14ac:dyDescent="0.25">
      <c r="A16">
        <v>13</v>
      </c>
      <c r="B16" t="s">
        <v>319</v>
      </c>
      <c r="C16" t="s">
        <v>76</v>
      </c>
      <c r="D16" t="s">
        <v>66</v>
      </c>
      <c r="E16" s="6">
        <v>0</v>
      </c>
      <c r="F16" s="6">
        <v>0</v>
      </c>
      <c r="G16" s="6">
        <v>0</v>
      </c>
      <c r="H16" s="6">
        <f t="shared" si="0"/>
        <v>0</v>
      </c>
      <c r="I16" s="6">
        <v>0</v>
      </c>
      <c r="J16" s="6">
        <f t="shared" si="1"/>
        <v>0</v>
      </c>
    </row>
    <row r="17" spans="1:10" x14ac:dyDescent="0.25">
      <c r="A17">
        <v>14</v>
      </c>
      <c r="B17" t="s">
        <v>320</v>
      </c>
      <c r="C17" t="s">
        <v>78</v>
      </c>
      <c r="D17" t="s">
        <v>79</v>
      </c>
      <c r="E17" s="6">
        <v>0</v>
      </c>
      <c r="F17" s="6">
        <v>0</v>
      </c>
      <c r="G17" s="6">
        <v>0</v>
      </c>
      <c r="H17" s="6">
        <f t="shared" si="0"/>
        <v>0</v>
      </c>
      <c r="I17" s="6">
        <v>0</v>
      </c>
      <c r="J17" s="6">
        <f t="shared" si="1"/>
        <v>0</v>
      </c>
    </row>
    <row r="18" spans="1:10" x14ac:dyDescent="0.25">
      <c r="A18">
        <v>15</v>
      </c>
      <c r="B18" t="s">
        <v>320</v>
      </c>
      <c r="C18" t="s">
        <v>80</v>
      </c>
      <c r="D18" t="s">
        <v>79</v>
      </c>
      <c r="E18" s="6">
        <v>0</v>
      </c>
      <c r="F18" s="6">
        <v>0</v>
      </c>
      <c r="G18" s="6">
        <v>0</v>
      </c>
      <c r="H18" s="6">
        <f t="shared" si="0"/>
        <v>0</v>
      </c>
      <c r="I18" s="6">
        <v>0</v>
      </c>
      <c r="J18" s="6">
        <f t="shared" si="1"/>
        <v>0</v>
      </c>
    </row>
    <row r="19" spans="1:10" x14ac:dyDescent="0.25">
      <c r="A19">
        <v>16</v>
      </c>
      <c r="B19" t="s">
        <v>320</v>
      </c>
      <c r="C19" t="s">
        <v>81</v>
      </c>
      <c r="D19" t="s">
        <v>79</v>
      </c>
      <c r="E19" s="6">
        <v>0</v>
      </c>
      <c r="F19" s="6">
        <v>0</v>
      </c>
      <c r="G19" s="6">
        <v>0</v>
      </c>
      <c r="H19" s="6">
        <f t="shared" si="0"/>
        <v>0</v>
      </c>
      <c r="I19" s="6">
        <v>0</v>
      </c>
      <c r="J19" s="6">
        <f t="shared" si="1"/>
        <v>0</v>
      </c>
    </row>
    <row r="20" spans="1:10" x14ac:dyDescent="0.25">
      <c r="A20">
        <v>17</v>
      </c>
      <c r="B20" t="s">
        <v>320</v>
      </c>
      <c r="C20" t="s">
        <v>82</v>
      </c>
      <c r="D20" t="s">
        <v>79</v>
      </c>
      <c r="E20" s="6">
        <v>0</v>
      </c>
      <c r="F20" s="6">
        <v>0</v>
      </c>
      <c r="G20" s="6">
        <v>0</v>
      </c>
      <c r="H20" s="6">
        <f t="shared" si="0"/>
        <v>0</v>
      </c>
      <c r="I20" s="6">
        <v>0</v>
      </c>
      <c r="J20" s="6">
        <f t="shared" si="1"/>
        <v>0</v>
      </c>
    </row>
    <row r="21" spans="1:10" x14ac:dyDescent="0.25">
      <c r="A21">
        <v>18</v>
      </c>
      <c r="B21" t="s">
        <v>320</v>
      </c>
      <c r="C21" t="s">
        <v>83</v>
      </c>
      <c r="D21" t="s">
        <v>79</v>
      </c>
      <c r="E21" s="6">
        <v>0</v>
      </c>
      <c r="F21" s="6">
        <v>0</v>
      </c>
      <c r="G21" s="6">
        <v>0</v>
      </c>
      <c r="H21" s="6">
        <f t="shared" si="0"/>
        <v>0</v>
      </c>
      <c r="I21" s="6">
        <v>0</v>
      </c>
      <c r="J21" s="6">
        <f t="shared" si="1"/>
        <v>0</v>
      </c>
    </row>
    <row r="22" spans="1:10" x14ac:dyDescent="0.25">
      <c r="A22">
        <v>19</v>
      </c>
      <c r="B22" t="s">
        <v>320</v>
      </c>
      <c r="C22" t="s">
        <v>84</v>
      </c>
      <c r="D22" t="s">
        <v>85</v>
      </c>
      <c r="E22" s="6">
        <v>0</v>
      </c>
      <c r="F22" s="6">
        <v>0</v>
      </c>
      <c r="G22" s="6">
        <v>0</v>
      </c>
      <c r="H22" s="6">
        <f t="shared" si="0"/>
        <v>0</v>
      </c>
      <c r="I22" s="6">
        <v>0</v>
      </c>
      <c r="J22" s="6">
        <f t="shared" si="1"/>
        <v>0</v>
      </c>
    </row>
    <row r="23" spans="1:10" x14ac:dyDescent="0.25">
      <c r="A23">
        <v>20</v>
      </c>
      <c r="B23" t="s">
        <v>320</v>
      </c>
      <c r="C23" t="s">
        <v>86</v>
      </c>
      <c r="D23" t="s">
        <v>79</v>
      </c>
      <c r="E23" s="6">
        <v>0</v>
      </c>
      <c r="F23" s="6">
        <v>0</v>
      </c>
      <c r="G23" s="6">
        <v>0</v>
      </c>
      <c r="H23" s="6">
        <f t="shared" si="0"/>
        <v>0</v>
      </c>
      <c r="I23" s="6">
        <v>0</v>
      </c>
      <c r="J23" s="6">
        <f t="shared" si="1"/>
        <v>0</v>
      </c>
    </row>
    <row r="24" spans="1:10" x14ac:dyDescent="0.25">
      <c r="A24">
        <v>21</v>
      </c>
      <c r="B24" t="s">
        <v>320</v>
      </c>
      <c r="C24" t="s">
        <v>87</v>
      </c>
      <c r="D24" t="s">
        <v>79</v>
      </c>
      <c r="E24" s="6">
        <v>0</v>
      </c>
      <c r="F24" s="6">
        <v>0</v>
      </c>
      <c r="G24" s="6">
        <v>0</v>
      </c>
      <c r="H24" s="6">
        <f t="shared" si="0"/>
        <v>0</v>
      </c>
      <c r="I24" s="6">
        <v>0</v>
      </c>
      <c r="J24" s="6">
        <f t="shared" si="1"/>
        <v>0</v>
      </c>
    </row>
    <row r="25" spans="1:10" x14ac:dyDescent="0.25">
      <c r="A25">
        <v>22</v>
      </c>
      <c r="B25" t="s">
        <v>320</v>
      </c>
      <c r="C25" t="s">
        <v>88</v>
      </c>
      <c r="D25" t="s">
        <v>79</v>
      </c>
      <c r="E25" s="6">
        <v>0</v>
      </c>
      <c r="F25" s="6">
        <v>0</v>
      </c>
      <c r="G25" s="6">
        <v>0</v>
      </c>
      <c r="H25" s="6">
        <f t="shared" si="0"/>
        <v>0</v>
      </c>
      <c r="I25" s="6">
        <v>0</v>
      </c>
      <c r="J25" s="6">
        <f t="shared" si="1"/>
        <v>0</v>
      </c>
    </row>
    <row r="26" spans="1:10" x14ac:dyDescent="0.25">
      <c r="A26">
        <v>23</v>
      </c>
      <c r="B26" t="s">
        <v>320</v>
      </c>
      <c r="C26" t="s">
        <v>89</v>
      </c>
      <c r="D26" t="s">
        <v>79</v>
      </c>
      <c r="E26" s="6">
        <v>0</v>
      </c>
      <c r="F26" s="6">
        <v>0</v>
      </c>
      <c r="G26" s="6">
        <v>0</v>
      </c>
      <c r="H26" s="6">
        <f t="shared" si="0"/>
        <v>0</v>
      </c>
      <c r="I26" s="6">
        <v>0</v>
      </c>
      <c r="J26" s="6">
        <f t="shared" si="1"/>
        <v>0</v>
      </c>
    </row>
    <row r="27" spans="1:10" x14ac:dyDescent="0.25">
      <c r="A27">
        <v>24</v>
      </c>
      <c r="B27" t="s">
        <v>320</v>
      </c>
      <c r="C27" t="s">
        <v>90</v>
      </c>
      <c r="D27" t="s">
        <v>79</v>
      </c>
      <c r="E27" s="6">
        <v>0</v>
      </c>
      <c r="F27" s="6">
        <v>0</v>
      </c>
      <c r="G27" s="6">
        <v>0</v>
      </c>
      <c r="H27" s="6">
        <f t="shared" si="0"/>
        <v>0</v>
      </c>
      <c r="I27" s="6">
        <v>0</v>
      </c>
      <c r="J27" s="6">
        <f t="shared" si="1"/>
        <v>0</v>
      </c>
    </row>
    <row r="28" spans="1:10" x14ac:dyDescent="0.25">
      <c r="A28">
        <v>25</v>
      </c>
      <c r="B28" t="s">
        <v>320</v>
      </c>
      <c r="C28" t="s">
        <v>91</v>
      </c>
      <c r="D28" t="s">
        <v>79</v>
      </c>
      <c r="E28" s="6">
        <v>0</v>
      </c>
      <c r="F28" s="6">
        <v>0</v>
      </c>
      <c r="G28" s="6">
        <v>0</v>
      </c>
      <c r="H28" s="6">
        <f t="shared" si="0"/>
        <v>0</v>
      </c>
      <c r="I28" s="6">
        <v>0</v>
      </c>
      <c r="J28" s="6">
        <f t="shared" si="1"/>
        <v>0</v>
      </c>
    </row>
    <row r="29" spans="1:10" x14ac:dyDescent="0.25">
      <c r="A29">
        <v>26</v>
      </c>
      <c r="B29" t="s">
        <v>320</v>
      </c>
      <c r="C29" t="s">
        <v>92</v>
      </c>
      <c r="D29" t="s">
        <v>79</v>
      </c>
      <c r="E29" s="6">
        <v>0</v>
      </c>
      <c r="F29" s="6">
        <v>0</v>
      </c>
      <c r="G29" s="6">
        <v>0</v>
      </c>
      <c r="H29" s="6">
        <f t="shared" si="0"/>
        <v>0</v>
      </c>
      <c r="I29" s="6">
        <v>0</v>
      </c>
      <c r="J29" s="6">
        <f t="shared" si="1"/>
        <v>0</v>
      </c>
    </row>
    <row r="30" spans="1:10" x14ac:dyDescent="0.25">
      <c r="A30">
        <v>27</v>
      </c>
      <c r="B30" t="s">
        <v>320</v>
      </c>
      <c r="C30" t="s">
        <v>93</v>
      </c>
      <c r="D30" t="s">
        <v>94</v>
      </c>
      <c r="E30" s="6">
        <v>0</v>
      </c>
      <c r="F30" s="6">
        <v>0</v>
      </c>
      <c r="G30" s="6">
        <v>0</v>
      </c>
      <c r="H30" s="6">
        <f t="shared" si="0"/>
        <v>0</v>
      </c>
      <c r="I30" s="6">
        <v>0</v>
      </c>
      <c r="J30" s="6">
        <f t="shared" si="1"/>
        <v>0</v>
      </c>
    </row>
    <row r="31" spans="1:10" x14ac:dyDescent="0.25">
      <c r="A31">
        <v>28</v>
      </c>
      <c r="B31" t="s">
        <v>320</v>
      </c>
      <c r="C31" t="s">
        <v>95</v>
      </c>
      <c r="D31" t="s">
        <v>79</v>
      </c>
      <c r="E31" s="6">
        <v>0</v>
      </c>
      <c r="F31" s="6">
        <v>0</v>
      </c>
      <c r="G31" s="6">
        <v>0</v>
      </c>
      <c r="H31" s="6">
        <f t="shared" si="0"/>
        <v>0</v>
      </c>
      <c r="I31" s="6">
        <v>0</v>
      </c>
      <c r="J31" s="6">
        <f t="shared" si="1"/>
        <v>0</v>
      </c>
    </row>
    <row r="32" spans="1:10" x14ac:dyDescent="0.25">
      <c r="A32">
        <v>29</v>
      </c>
      <c r="B32" t="s">
        <v>320</v>
      </c>
      <c r="C32" t="s">
        <v>96</v>
      </c>
      <c r="D32" t="s">
        <v>79</v>
      </c>
      <c r="E32" s="6">
        <v>0</v>
      </c>
      <c r="F32" s="6">
        <v>0</v>
      </c>
      <c r="G32" s="6">
        <v>0</v>
      </c>
      <c r="H32" s="6">
        <f t="shared" si="0"/>
        <v>0</v>
      </c>
      <c r="I32" s="6">
        <v>0</v>
      </c>
      <c r="J32" s="6">
        <f t="shared" si="1"/>
        <v>0</v>
      </c>
    </row>
    <row r="33" spans="1:10" x14ac:dyDescent="0.25">
      <c r="A33">
        <v>30</v>
      </c>
      <c r="B33" t="s">
        <v>320</v>
      </c>
      <c r="C33" t="s">
        <v>97</v>
      </c>
      <c r="D33" t="s">
        <v>79</v>
      </c>
      <c r="E33" s="6">
        <v>0</v>
      </c>
      <c r="F33" s="6">
        <v>0</v>
      </c>
      <c r="G33" s="6">
        <v>0</v>
      </c>
      <c r="H33" s="6">
        <f t="shared" si="0"/>
        <v>0</v>
      </c>
      <c r="I33" s="6">
        <v>0</v>
      </c>
      <c r="J33" s="6">
        <f t="shared" si="1"/>
        <v>0</v>
      </c>
    </row>
    <row r="34" spans="1:10" x14ac:dyDescent="0.25">
      <c r="A34">
        <v>31</v>
      </c>
      <c r="B34" t="s">
        <v>321</v>
      </c>
      <c r="C34" t="s">
        <v>99</v>
      </c>
      <c r="D34" t="s">
        <v>66</v>
      </c>
      <c r="E34" s="6">
        <v>0</v>
      </c>
      <c r="F34" s="6">
        <v>0</v>
      </c>
      <c r="G34" s="6">
        <v>0</v>
      </c>
      <c r="H34" s="6">
        <f t="shared" si="0"/>
        <v>0</v>
      </c>
      <c r="I34" s="6">
        <v>0</v>
      </c>
      <c r="J34" s="6">
        <f t="shared" si="1"/>
        <v>0</v>
      </c>
    </row>
    <row r="35" spans="1:10" x14ac:dyDescent="0.25">
      <c r="A35">
        <v>32</v>
      </c>
      <c r="B35" t="s">
        <v>321</v>
      </c>
      <c r="C35" t="s">
        <v>100</v>
      </c>
      <c r="D35" t="s">
        <v>66</v>
      </c>
      <c r="E35" s="6">
        <v>0</v>
      </c>
      <c r="F35" s="6">
        <v>0</v>
      </c>
      <c r="G35" s="6">
        <v>0</v>
      </c>
      <c r="H35" s="6">
        <f t="shared" si="0"/>
        <v>0</v>
      </c>
      <c r="I35" s="6">
        <v>0</v>
      </c>
      <c r="J35" s="6">
        <f t="shared" si="1"/>
        <v>0</v>
      </c>
    </row>
    <row r="36" spans="1:10" x14ac:dyDescent="0.25">
      <c r="A36">
        <v>33</v>
      </c>
      <c r="B36" t="s">
        <v>321</v>
      </c>
      <c r="C36" t="s">
        <v>101</v>
      </c>
      <c r="D36" t="s">
        <v>66</v>
      </c>
      <c r="E36" s="6">
        <v>0</v>
      </c>
      <c r="F36" s="6">
        <v>0</v>
      </c>
      <c r="G36" s="6">
        <v>0</v>
      </c>
      <c r="H36" s="6">
        <f t="shared" ref="H36:H67" si="2">E36+F36-G36</f>
        <v>0</v>
      </c>
      <c r="I36" s="6">
        <v>0</v>
      </c>
      <c r="J36" s="6">
        <f t="shared" ref="J36:J67" si="3">H36*I36</f>
        <v>0</v>
      </c>
    </row>
    <row r="37" spans="1:10" x14ac:dyDescent="0.25">
      <c r="A37">
        <v>34</v>
      </c>
      <c r="B37" t="s">
        <v>321</v>
      </c>
      <c r="C37" t="s">
        <v>102</v>
      </c>
      <c r="D37" t="s">
        <v>66</v>
      </c>
      <c r="E37" s="6">
        <v>0</v>
      </c>
      <c r="F37" s="6">
        <v>0</v>
      </c>
      <c r="G37" s="6">
        <v>0</v>
      </c>
      <c r="H37" s="6">
        <f t="shared" si="2"/>
        <v>0</v>
      </c>
      <c r="I37" s="6">
        <v>0</v>
      </c>
      <c r="J37" s="6">
        <f t="shared" si="3"/>
        <v>0</v>
      </c>
    </row>
    <row r="38" spans="1:10" x14ac:dyDescent="0.25">
      <c r="A38">
        <v>35</v>
      </c>
      <c r="B38" t="s">
        <v>321</v>
      </c>
      <c r="C38" t="s">
        <v>103</v>
      </c>
      <c r="D38" t="s">
        <v>66</v>
      </c>
      <c r="E38" s="6">
        <v>0</v>
      </c>
      <c r="F38" s="6">
        <v>0</v>
      </c>
      <c r="G38" s="6">
        <v>0</v>
      </c>
      <c r="H38" s="6">
        <f t="shared" si="2"/>
        <v>0</v>
      </c>
      <c r="I38" s="6">
        <v>0</v>
      </c>
      <c r="J38" s="6">
        <f t="shared" si="3"/>
        <v>0</v>
      </c>
    </row>
    <row r="39" spans="1:10" x14ac:dyDescent="0.25">
      <c r="A39">
        <v>36</v>
      </c>
      <c r="B39" t="s">
        <v>321</v>
      </c>
      <c r="C39" t="s">
        <v>104</v>
      </c>
      <c r="D39" t="s">
        <v>66</v>
      </c>
      <c r="E39" s="6">
        <v>0</v>
      </c>
      <c r="F39" s="6">
        <v>0</v>
      </c>
      <c r="G39" s="6">
        <v>0</v>
      </c>
      <c r="H39" s="6">
        <f t="shared" si="2"/>
        <v>0</v>
      </c>
      <c r="I39" s="6">
        <v>0</v>
      </c>
      <c r="J39" s="6">
        <f t="shared" si="3"/>
        <v>0</v>
      </c>
    </row>
    <row r="40" spans="1:10" x14ac:dyDescent="0.25">
      <c r="A40">
        <v>37</v>
      </c>
      <c r="B40" t="s">
        <v>321</v>
      </c>
      <c r="C40" t="s">
        <v>105</v>
      </c>
      <c r="D40" t="s">
        <v>66</v>
      </c>
      <c r="E40" s="6">
        <v>0</v>
      </c>
      <c r="F40" s="6">
        <v>0</v>
      </c>
      <c r="G40" s="6">
        <v>0</v>
      </c>
      <c r="H40" s="6">
        <f t="shared" si="2"/>
        <v>0</v>
      </c>
      <c r="I40" s="6">
        <v>0</v>
      </c>
      <c r="J40" s="6">
        <f t="shared" si="3"/>
        <v>0</v>
      </c>
    </row>
    <row r="41" spans="1:10" x14ac:dyDescent="0.25">
      <c r="A41">
        <v>38</v>
      </c>
      <c r="B41" t="s">
        <v>321</v>
      </c>
      <c r="C41" t="s">
        <v>106</v>
      </c>
      <c r="D41" t="s">
        <v>66</v>
      </c>
      <c r="E41" s="6">
        <v>0</v>
      </c>
      <c r="F41" s="6">
        <v>0</v>
      </c>
      <c r="G41" s="6">
        <v>0</v>
      </c>
      <c r="H41" s="6">
        <f t="shared" si="2"/>
        <v>0</v>
      </c>
      <c r="I41" s="6">
        <v>0</v>
      </c>
      <c r="J41" s="6">
        <f t="shared" si="3"/>
        <v>0</v>
      </c>
    </row>
    <row r="42" spans="1:10" x14ac:dyDescent="0.25">
      <c r="A42">
        <v>39</v>
      </c>
      <c r="B42" t="s">
        <v>321</v>
      </c>
      <c r="C42" t="s">
        <v>107</v>
      </c>
      <c r="D42" t="s">
        <v>66</v>
      </c>
      <c r="E42" s="6">
        <v>0</v>
      </c>
      <c r="F42" s="6">
        <v>0</v>
      </c>
      <c r="G42" s="6">
        <v>0</v>
      </c>
      <c r="H42" s="6">
        <f t="shared" si="2"/>
        <v>0</v>
      </c>
      <c r="I42" s="6">
        <v>0</v>
      </c>
      <c r="J42" s="6">
        <f t="shared" si="3"/>
        <v>0</v>
      </c>
    </row>
    <row r="43" spans="1:10" x14ac:dyDescent="0.25">
      <c r="A43">
        <v>40</v>
      </c>
      <c r="B43" t="s">
        <v>322</v>
      </c>
      <c r="C43" t="s">
        <v>109</v>
      </c>
      <c r="D43" t="s">
        <v>110</v>
      </c>
      <c r="E43" s="6">
        <v>0</v>
      </c>
      <c r="F43" s="6">
        <v>0</v>
      </c>
      <c r="G43" s="6">
        <v>0</v>
      </c>
      <c r="H43" s="6">
        <f t="shared" si="2"/>
        <v>0</v>
      </c>
      <c r="I43" s="6">
        <v>0</v>
      </c>
      <c r="J43" s="6">
        <f t="shared" si="3"/>
        <v>0</v>
      </c>
    </row>
    <row r="44" spans="1:10" x14ac:dyDescent="0.25">
      <c r="A44">
        <v>41</v>
      </c>
      <c r="B44" t="s">
        <v>322</v>
      </c>
      <c r="C44" t="s">
        <v>111</v>
      </c>
      <c r="D44" t="s">
        <v>323</v>
      </c>
      <c r="E44" s="6">
        <v>0</v>
      </c>
      <c r="F44" s="6">
        <v>0</v>
      </c>
      <c r="G44" s="6">
        <v>0</v>
      </c>
      <c r="H44" s="6">
        <f t="shared" si="2"/>
        <v>0</v>
      </c>
      <c r="I44" s="6">
        <v>0</v>
      </c>
      <c r="J44" s="6">
        <f t="shared" si="3"/>
        <v>0</v>
      </c>
    </row>
    <row r="45" spans="1:10" x14ac:dyDescent="0.25">
      <c r="A45">
        <v>42</v>
      </c>
      <c r="B45" t="s">
        <v>322</v>
      </c>
      <c r="C45" t="s">
        <v>112</v>
      </c>
      <c r="D45" t="s">
        <v>110</v>
      </c>
      <c r="E45" s="6">
        <v>0</v>
      </c>
      <c r="F45" s="6">
        <v>0</v>
      </c>
      <c r="G45" s="6">
        <v>0</v>
      </c>
      <c r="H45" s="6">
        <f t="shared" si="2"/>
        <v>0</v>
      </c>
      <c r="I45" s="6">
        <v>0</v>
      </c>
      <c r="J45" s="6">
        <f t="shared" si="3"/>
        <v>0</v>
      </c>
    </row>
    <row r="46" spans="1:10" x14ac:dyDescent="0.25">
      <c r="A46">
        <v>43</v>
      </c>
      <c r="B46" t="s">
        <v>322</v>
      </c>
      <c r="C46" t="s">
        <v>113</v>
      </c>
      <c r="D46" t="s">
        <v>110</v>
      </c>
      <c r="E46" s="6">
        <v>0</v>
      </c>
      <c r="F46" s="6">
        <v>0</v>
      </c>
      <c r="G46" s="6">
        <v>0</v>
      </c>
      <c r="H46" s="6">
        <f t="shared" si="2"/>
        <v>0</v>
      </c>
      <c r="I46" s="6">
        <v>0</v>
      </c>
      <c r="J46" s="6">
        <f t="shared" si="3"/>
        <v>0</v>
      </c>
    </row>
    <row r="47" spans="1:10" x14ac:dyDescent="0.25">
      <c r="A47">
        <v>44</v>
      </c>
      <c r="B47" t="s">
        <v>322</v>
      </c>
      <c r="C47" t="s">
        <v>114</v>
      </c>
      <c r="D47" t="s">
        <v>110</v>
      </c>
      <c r="E47" s="6">
        <v>0</v>
      </c>
      <c r="F47" s="6">
        <v>0</v>
      </c>
      <c r="G47" s="6">
        <v>0</v>
      </c>
      <c r="H47" s="6">
        <f t="shared" si="2"/>
        <v>0</v>
      </c>
      <c r="I47" s="6">
        <v>0</v>
      </c>
      <c r="J47" s="6">
        <f t="shared" si="3"/>
        <v>0</v>
      </c>
    </row>
    <row r="48" spans="1:10" x14ac:dyDescent="0.25">
      <c r="A48">
        <v>45</v>
      </c>
      <c r="B48" t="s">
        <v>322</v>
      </c>
      <c r="C48" t="s">
        <v>115</v>
      </c>
      <c r="D48" t="s">
        <v>110</v>
      </c>
      <c r="E48" s="6">
        <v>0</v>
      </c>
      <c r="F48" s="6">
        <v>0</v>
      </c>
      <c r="G48" s="6">
        <v>0</v>
      </c>
      <c r="H48" s="6">
        <f t="shared" si="2"/>
        <v>0</v>
      </c>
      <c r="I48" s="6">
        <v>0</v>
      </c>
      <c r="J48" s="6">
        <f t="shared" si="3"/>
        <v>0</v>
      </c>
    </row>
    <row r="49" spans="1:10" x14ac:dyDescent="0.25">
      <c r="A49">
        <v>46</v>
      </c>
      <c r="B49" t="s">
        <v>322</v>
      </c>
      <c r="C49" t="s">
        <v>116</v>
      </c>
      <c r="D49" t="s">
        <v>117</v>
      </c>
      <c r="E49" s="6">
        <v>0</v>
      </c>
      <c r="F49" s="6">
        <v>0</v>
      </c>
      <c r="G49" s="6">
        <v>0</v>
      </c>
      <c r="H49" s="6">
        <f t="shared" si="2"/>
        <v>0</v>
      </c>
      <c r="I49" s="6">
        <v>0</v>
      </c>
      <c r="J49" s="6">
        <f t="shared" si="3"/>
        <v>0</v>
      </c>
    </row>
    <row r="50" spans="1:10" x14ac:dyDescent="0.25">
      <c r="A50">
        <v>47</v>
      </c>
      <c r="B50" t="s">
        <v>322</v>
      </c>
      <c r="C50" t="s">
        <v>324</v>
      </c>
      <c r="D50" t="s">
        <v>94</v>
      </c>
      <c r="E50" s="6">
        <v>0</v>
      </c>
      <c r="F50" s="6">
        <v>0</v>
      </c>
      <c r="G50" s="6">
        <v>0</v>
      </c>
      <c r="H50" s="6">
        <f t="shared" si="2"/>
        <v>0</v>
      </c>
      <c r="I50" s="6">
        <v>0</v>
      </c>
      <c r="J50" s="6">
        <f t="shared" si="3"/>
        <v>0</v>
      </c>
    </row>
    <row r="51" spans="1:10" x14ac:dyDescent="0.25">
      <c r="A51">
        <v>48</v>
      </c>
      <c r="B51" t="s">
        <v>325</v>
      </c>
      <c r="C51" t="s">
        <v>120</v>
      </c>
      <c r="D51" t="s">
        <v>121</v>
      </c>
      <c r="E51" s="6">
        <v>0</v>
      </c>
      <c r="F51" s="6">
        <v>0</v>
      </c>
      <c r="G51" s="6">
        <v>0</v>
      </c>
      <c r="H51" s="6">
        <f t="shared" si="2"/>
        <v>0</v>
      </c>
      <c r="I51" s="6">
        <v>0</v>
      </c>
      <c r="J51" s="6">
        <f t="shared" si="3"/>
        <v>0</v>
      </c>
    </row>
    <row r="52" spans="1:10" x14ac:dyDescent="0.25">
      <c r="A52">
        <v>49</v>
      </c>
      <c r="B52" t="s">
        <v>325</v>
      </c>
      <c r="C52" t="s">
        <v>122</v>
      </c>
      <c r="D52" t="s">
        <v>94</v>
      </c>
      <c r="E52" s="6">
        <v>0</v>
      </c>
      <c r="F52" s="6">
        <v>0</v>
      </c>
      <c r="G52" s="6">
        <v>0</v>
      </c>
      <c r="H52" s="6">
        <f t="shared" si="2"/>
        <v>0</v>
      </c>
      <c r="I52" s="6">
        <v>0</v>
      </c>
      <c r="J52" s="6">
        <f t="shared" si="3"/>
        <v>0</v>
      </c>
    </row>
    <row r="53" spans="1:10" x14ac:dyDescent="0.25">
      <c r="A53">
        <v>50</v>
      </c>
      <c r="B53" t="s">
        <v>325</v>
      </c>
      <c r="C53" t="s">
        <v>123</v>
      </c>
      <c r="D53" t="s">
        <v>326</v>
      </c>
      <c r="E53" s="6">
        <v>0</v>
      </c>
      <c r="F53" s="6">
        <v>0</v>
      </c>
      <c r="G53" s="6">
        <v>0</v>
      </c>
      <c r="H53" s="6">
        <f t="shared" si="2"/>
        <v>0</v>
      </c>
      <c r="I53" s="6">
        <v>0</v>
      </c>
      <c r="J53" s="6">
        <f t="shared" si="3"/>
        <v>0</v>
      </c>
    </row>
    <row r="54" spans="1:10" x14ac:dyDescent="0.25">
      <c r="A54">
        <v>51</v>
      </c>
      <c r="B54" t="s">
        <v>325</v>
      </c>
      <c r="C54" t="s">
        <v>124</v>
      </c>
      <c r="D54" t="s">
        <v>326</v>
      </c>
      <c r="E54" s="6">
        <v>0</v>
      </c>
      <c r="F54" s="6">
        <v>0</v>
      </c>
      <c r="G54" s="6">
        <v>0</v>
      </c>
      <c r="H54" s="6">
        <f t="shared" si="2"/>
        <v>0</v>
      </c>
      <c r="I54" s="6">
        <v>0</v>
      </c>
      <c r="J54" s="6">
        <f t="shared" si="3"/>
        <v>0</v>
      </c>
    </row>
    <row r="55" spans="1:10" x14ac:dyDescent="0.25">
      <c r="A55">
        <v>52</v>
      </c>
      <c r="B55" t="s">
        <v>325</v>
      </c>
      <c r="C55" t="s">
        <v>125</v>
      </c>
      <c r="D55" t="s">
        <v>326</v>
      </c>
      <c r="E55" s="6">
        <v>0</v>
      </c>
      <c r="F55" s="6">
        <v>0</v>
      </c>
      <c r="G55" s="6">
        <v>0</v>
      </c>
      <c r="H55" s="6">
        <f t="shared" si="2"/>
        <v>0</v>
      </c>
      <c r="I55" s="6">
        <v>0</v>
      </c>
      <c r="J55" s="6">
        <f t="shared" si="3"/>
        <v>0</v>
      </c>
    </row>
    <row r="56" spans="1:10" x14ac:dyDescent="0.25">
      <c r="A56">
        <v>53</v>
      </c>
      <c r="B56" t="s">
        <v>325</v>
      </c>
      <c r="C56" t="s">
        <v>126</v>
      </c>
      <c r="D56" t="s">
        <v>121</v>
      </c>
      <c r="E56" s="6">
        <v>0</v>
      </c>
      <c r="F56" s="6">
        <v>0</v>
      </c>
      <c r="G56" s="6">
        <v>0</v>
      </c>
      <c r="H56" s="6">
        <f t="shared" si="2"/>
        <v>0</v>
      </c>
      <c r="I56" s="6">
        <v>0</v>
      </c>
      <c r="J56" s="6">
        <f t="shared" si="3"/>
        <v>0</v>
      </c>
    </row>
    <row r="57" spans="1:10" x14ac:dyDescent="0.25">
      <c r="A57">
        <v>54</v>
      </c>
      <c r="B57" t="s">
        <v>327</v>
      </c>
      <c r="C57" t="s">
        <v>128</v>
      </c>
      <c r="D57" t="s">
        <v>129</v>
      </c>
      <c r="E57" s="6">
        <v>0</v>
      </c>
      <c r="F57" s="6">
        <v>0</v>
      </c>
      <c r="G57" s="6">
        <v>0</v>
      </c>
      <c r="H57" s="6">
        <f t="shared" si="2"/>
        <v>0</v>
      </c>
      <c r="I57" s="6">
        <v>0</v>
      </c>
      <c r="J57" s="6">
        <f t="shared" si="3"/>
        <v>0</v>
      </c>
    </row>
    <row r="58" spans="1:10" x14ac:dyDescent="0.25">
      <c r="A58">
        <v>55</v>
      </c>
      <c r="B58" t="s">
        <v>327</v>
      </c>
      <c r="C58" t="s">
        <v>130</v>
      </c>
      <c r="D58" t="s">
        <v>129</v>
      </c>
      <c r="E58" s="6">
        <v>0</v>
      </c>
      <c r="F58" s="6">
        <v>0</v>
      </c>
      <c r="G58" s="6">
        <v>0</v>
      </c>
      <c r="H58" s="6">
        <f t="shared" si="2"/>
        <v>0</v>
      </c>
      <c r="I58" s="6">
        <v>0</v>
      </c>
      <c r="J58" s="6">
        <f t="shared" si="3"/>
        <v>0</v>
      </c>
    </row>
    <row r="59" spans="1:10" x14ac:dyDescent="0.25">
      <c r="A59">
        <v>56</v>
      </c>
      <c r="B59" t="s">
        <v>327</v>
      </c>
      <c r="C59" t="s">
        <v>131</v>
      </c>
      <c r="D59" t="s">
        <v>129</v>
      </c>
      <c r="E59" s="6">
        <v>0</v>
      </c>
      <c r="F59" s="6">
        <v>0</v>
      </c>
      <c r="G59" s="6">
        <v>0</v>
      </c>
      <c r="H59" s="6">
        <f t="shared" si="2"/>
        <v>0</v>
      </c>
      <c r="I59" s="6">
        <v>0</v>
      </c>
      <c r="J59" s="6">
        <f t="shared" si="3"/>
        <v>0</v>
      </c>
    </row>
    <row r="60" spans="1:10" x14ac:dyDescent="0.25">
      <c r="A60">
        <v>57</v>
      </c>
      <c r="B60" t="s">
        <v>327</v>
      </c>
      <c r="C60" t="s">
        <v>132</v>
      </c>
      <c r="D60" t="s">
        <v>129</v>
      </c>
      <c r="E60" s="6">
        <v>0</v>
      </c>
      <c r="F60" s="6">
        <v>0</v>
      </c>
      <c r="G60" s="6">
        <v>0</v>
      </c>
      <c r="H60" s="6">
        <f t="shared" si="2"/>
        <v>0</v>
      </c>
      <c r="I60" s="6">
        <v>0</v>
      </c>
      <c r="J60" s="6">
        <f t="shared" si="3"/>
        <v>0</v>
      </c>
    </row>
    <row r="61" spans="1:10" x14ac:dyDescent="0.25">
      <c r="A61">
        <v>58</v>
      </c>
      <c r="B61" t="s">
        <v>327</v>
      </c>
      <c r="C61" t="s">
        <v>133</v>
      </c>
      <c r="D61" t="s">
        <v>129</v>
      </c>
      <c r="E61" s="6">
        <v>0</v>
      </c>
      <c r="F61" s="6">
        <v>0</v>
      </c>
      <c r="G61" s="6">
        <v>0</v>
      </c>
      <c r="H61" s="6">
        <f t="shared" si="2"/>
        <v>0</v>
      </c>
      <c r="I61" s="6">
        <v>0</v>
      </c>
      <c r="J61" s="6">
        <f t="shared" si="3"/>
        <v>0</v>
      </c>
    </row>
    <row r="62" spans="1:10" x14ac:dyDescent="0.25">
      <c r="A62">
        <v>59</v>
      </c>
      <c r="B62" t="s">
        <v>327</v>
      </c>
      <c r="C62" t="s">
        <v>134</v>
      </c>
      <c r="D62" t="s">
        <v>129</v>
      </c>
      <c r="E62" s="6">
        <v>0</v>
      </c>
      <c r="F62" s="6">
        <v>0</v>
      </c>
      <c r="G62" s="6">
        <v>0</v>
      </c>
      <c r="H62" s="6">
        <f t="shared" si="2"/>
        <v>0</v>
      </c>
      <c r="I62" s="6">
        <v>0</v>
      </c>
      <c r="J62" s="6">
        <f t="shared" si="3"/>
        <v>0</v>
      </c>
    </row>
    <row r="63" spans="1:10" x14ac:dyDescent="0.25">
      <c r="A63">
        <v>60</v>
      </c>
      <c r="B63" t="s">
        <v>328</v>
      </c>
      <c r="C63" t="s">
        <v>136</v>
      </c>
      <c r="D63" t="s">
        <v>117</v>
      </c>
      <c r="E63" s="6">
        <v>0</v>
      </c>
      <c r="F63" s="6">
        <v>0</v>
      </c>
      <c r="G63" s="6">
        <v>0</v>
      </c>
      <c r="H63" s="6">
        <f t="shared" si="2"/>
        <v>0</v>
      </c>
      <c r="I63" s="6">
        <v>0</v>
      </c>
      <c r="J63" s="6">
        <f t="shared" si="3"/>
        <v>0</v>
      </c>
    </row>
    <row r="64" spans="1:10" x14ac:dyDescent="0.25">
      <c r="A64">
        <v>61</v>
      </c>
      <c r="B64" t="s">
        <v>328</v>
      </c>
      <c r="C64" t="s">
        <v>137</v>
      </c>
      <c r="D64" t="s">
        <v>117</v>
      </c>
      <c r="E64" s="6">
        <v>0</v>
      </c>
      <c r="F64" s="6">
        <v>0</v>
      </c>
      <c r="G64" s="6">
        <v>0</v>
      </c>
      <c r="H64" s="6">
        <f t="shared" si="2"/>
        <v>0</v>
      </c>
      <c r="I64" s="6">
        <v>0</v>
      </c>
      <c r="J64" s="6">
        <f t="shared" si="3"/>
        <v>0</v>
      </c>
    </row>
    <row r="65" spans="1:10" x14ac:dyDescent="0.25">
      <c r="A65">
        <v>62</v>
      </c>
      <c r="B65" t="s">
        <v>328</v>
      </c>
      <c r="C65" t="s">
        <v>138</v>
      </c>
      <c r="D65" t="s">
        <v>117</v>
      </c>
      <c r="E65" s="6">
        <v>0</v>
      </c>
      <c r="F65" s="6">
        <v>0</v>
      </c>
      <c r="G65" s="6">
        <v>0</v>
      </c>
      <c r="H65" s="6">
        <f t="shared" si="2"/>
        <v>0</v>
      </c>
      <c r="I65" s="6">
        <v>0</v>
      </c>
      <c r="J65" s="6">
        <f t="shared" si="3"/>
        <v>0</v>
      </c>
    </row>
    <row r="66" spans="1:10" x14ac:dyDescent="0.25">
      <c r="A66">
        <v>63</v>
      </c>
      <c r="B66" t="s">
        <v>328</v>
      </c>
      <c r="C66" t="s">
        <v>139</v>
      </c>
      <c r="D66" t="s">
        <v>117</v>
      </c>
      <c r="E66" s="6">
        <v>0</v>
      </c>
      <c r="F66" s="6">
        <v>0</v>
      </c>
      <c r="G66" s="6">
        <v>0</v>
      </c>
      <c r="H66" s="6">
        <f t="shared" si="2"/>
        <v>0</v>
      </c>
      <c r="I66" s="6">
        <v>0</v>
      </c>
      <c r="J66" s="6">
        <f t="shared" si="3"/>
        <v>0</v>
      </c>
    </row>
    <row r="67" spans="1:10" x14ac:dyDescent="0.25">
      <c r="A67">
        <v>64</v>
      </c>
      <c r="B67" t="s">
        <v>328</v>
      </c>
      <c r="C67" t="s">
        <v>140</v>
      </c>
      <c r="D67" t="s">
        <v>117</v>
      </c>
      <c r="E67" s="6">
        <v>0</v>
      </c>
      <c r="F67" s="6">
        <v>0</v>
      </c>
      <c r="G67" s="6">
        <v>0</v>
      </c>
      <c r="H67" s="6">
        <f t="shared" si="2"/>
        <v>0</v>
      </c>
      <c r="I67" s="6">
        <v>0</v>
      </c>
      <c r="J67" s="6">
        <f t="shared" si="3"/>
        <v>0</v>
      </c>
    </row>
    <row r="68" spans="1:10" x14ac:dyDescent="0.25">
      <c r="A68">
        <v>65</v>
      </c>
      <c r="B68" t="s">
        <v>328</v>
      </c>
      <c r="C68" t="s">
        <v>141</v>
      </c>
      <c r="D68" t="s">
        <v>117</v>
      </c>
      <c r="E68" s="6">
        <v>0</v>
      </c>
      <c r="F68" s="6">
        <v>0</v>
      </c>
      <c r="G68" s="6">
        <v>0</v>
      </c>
      <c r="H68" s="6">
        <f t="shared" ref="H68:H99" si="4">E68+F68-G68</f>
        <v>0</v>
      </c>
      <c r="I68" s="6">
        <v>0</v>
      </c>
      <c r="J68" s="6">
        <f t="shared" ref="J68:J99" si="5">H68*I68</f>
        <v>0</v>
      </c>
    </row>
    <row r="69" spans="1:10" x14ac:dyDescent="0.25">
      <c r="A69">
        <v>66</v>
      </c>
      <c r="B69" t="s">
        <v>329</v>
      </c>
      <c r="C69" t="s">
        <v>143</v>
      </c>
      <c r="D69" t="s">
        <v>144</v>
      </c>
      <c r="E69" s="6">
        <v>0</v>
      </c>
      <c r="F69" s="6">
        <v>0</v>
      </c>
      <c r="G69" s="6">
        <v>0</v>
      </c>
      <c r="H69" s="6">
        <f t="shared" si="4"/>
        <v>0</v>
      </c>
      <c r="I69" s="6">
        <v>0</v>
      </c>
      <c r="J69" s="6">
        <f t="shared" si="5"/>
        <v>0</v>
      </c>
    </row>
    <row r="70" spans="1:10" x14ac:dyDescent="0.25">
      <c r="A70">
        <v>67</v>
      </c>
      <c r="B70" t="s">
        <v>329</v>
      </c>
      <c r="C70" t="s">
        <v>145</v>
      </c>
      <c r="D70" t="s">
        <v>144</v>
      </c>
      <c r="E70" s="6">
        <v>0</v>
      </c>
      <c r="F70" s="6">
        <v>0</v>
      </c>
      <c r="G70" s="6">
        <v>0</v>
      </c>
      <c r="H70" s="6">
        <f t="shared" si="4"/>
        <v>0</v>
      </c>
      <c r="I70" s="6">
        <v>0</v>
      </c>
      <c r="J70" s="6">
        <f t="shared" si="5"/>
        <v>0</v>
      </c>
    </row>
    <row r="71" spans="1:10" x14ac:dyDescent="0.25">
      <c r="A71">
        <v>68</v>
      </c>
      <c r="B71" t="s">
        <v>329</v>
      </c>
      <c r="C71" t="s">
        <v>146</v>
      </c>
      <c r="D71" t="s">
        <v>144</v>
      </c>
      <c r="E71" s="6">
        <v>0</v>
      </c>
      <c r="F71" s="6">
        <v>0</v>
      </c>
      <c r="G71" s="6">
        <v>0</v>
      </c>
      <c r="H71" s="6">
        <f t="shared" si="4"/>
        <v>0</v>
      </c>
      <c r="I71" s="6">
        <v>0</v>
      </c>
      <c r="J71" s="6">
        <f t="shared" si="5"/>
        <v>0</v>
      </c>
    </row>
    <row r="72" spans="1:10" x14ac:dyDescent="0.25">
      <c r="A72">
        <v>69</v>
      </c>
      <c r="B72" t="s">
        <v>329</v>
      </c>
      <c r="C72" t="s">
        <v>147</v>
      </c>
      <c r="D72" t="s">
        <v>144</v>
      </c>
      <c r="E72" s="6">
        <v>0</v>
      </c>
      <c r="F72" s="6">
        <v>0</v>
      </c>
      <c r="G72" s="6">
        <v>0</v>
      </c>
      <c r="H72" s="6">
        <f t="shared" si="4"/>
        <v>0</v>
      </c>
      <c r="I72" s="6">
        <v>0</v>
      </c>
      <c r="J72" s="6">
        <f t="shared" si="5"/>
        <v>0</v>
      </c>
    </row>
    <row r="73" spans="1:10" x14ac:dyDescent="0.25">
      <c r="A73">
        <v>70</v>
      </c>
      <c r="B73" t="s">
        <v>329</v>
      </c>
      <c r="C73" t="s">
        <v>148</v>
      </c>
      <c r="D73" t="s">
        <v>144</v>
      </c>
      <c r="E73" s="6">
        <v>0</v>
      </c>
      <c r="F73" s="6">
        <v>0</v>
      </c>
      <c r="G73" s="6">
        <v>0</v>
      </c>
      <c r="H73" s="6">
        <f t="shared" si="4"/>
        <v>0</v>
      </c>
      <c r="I73" s="6">
        <v>0</v>
      </c>
      <c r="J73" s="6">
        <f t="shared" si="5"/>
        <v>0</v>
      </c>
    </row>
    <row r="74" spans="1:10" x14ac:dyDescent="0.25">
      <c r="A74">
        <v>71</v>
      </c>
      <c r="B74" t="s">
        <v>329</v>
      </c>
      <c r="C74" t="s">
        <v>149</v>
      </c>
      <c r="D74" t="s">
        <v>144</v>
      </c>
      <c r="E74" s="6">
        <v>0</v>
      </c>
      <c r="F74" s="6">
        <v>0</v>
      </c>
      <c r="G74" s="6">
        <v>0</v>
      </c>
      <c r="H74" s="6">
        <f t="shared" si="4"/>
        <v>0</v>
      </c>
      <c r="I74" s="6">
        <v>0</v>
      </c>
      <c r="J74" s="6">
        <f t="shared" si="5"/>
        <v>0</v>
      </c>
    </row>
    <row r="75" spans="1:10" x14ac:dyDescent="0.25">
      <c r="A75">
        <v>72</v>
      </c>
      <c r="B75" t="s">
        <v>330</v>
      </c>
      <c r="C75" t="s">
        <v>151</v>
      </c>
      <c r="D75" t="s">
        <v>152</v>
      </c>
      <c r="E75" s="6">
        <v>0</v>
      </c>
      <c r="F75" s="6">
        <v>0</v>
      </c>
      <c r="G75" s="6">
        <v>0</v>
      </c>
      <c r="H75" s="6">
        <f t="shared" si="4"/>
        <v>0</v>
      </c>
      <c r="I75" s="6">
        <v>0</v>
      </c>
      <c r="J75" s="6">
        <f t="shared" si="5"/>
        <v>0</v>
      </c>
    </row>
    <row r="76" spans="1:10" x14ac:dyDescent="0.25">
      <c r="A76">
        <v>73</v>
      </c>
      <c r="B76" t="s">
        <v>330</v>
      </c>
      <c r="C76" t="s">
        <v>153</v>
      </c>
      <c r="D76" t="s">
        <v>152</v>
      </c>
      <c r="E76" s="6">
        <v>0</v>
      </c>
      <c r="F76" s="6">
        <v>0</v>
      </c>
      <c r="G76" s="6">
        <v>0</v>
      </c>
      <c r="H76" s="6">
        <f t="shared" si="4"/>
        <v>0</v>
      </c>
      <c r="I76" s="6">
        <v>0</v>
      </c>
      <c r="J76" s="6">
        <f t="shared" si="5"/>
        <v>0</v>
      </c>
    </row>
    <row r="77" spans="1:10" x14ac:dyDescent="0.25">
      <c r="A77">
        <v>74</v>
      </c>
      <c r="B77" t="s">
        <v>330</v>
      </c>
      <c r="C77" t="s">
        <v>154</v>
      </c>
      <c r="D77" t="s">
        <v>152</v>
      </c>
      <c r="E77" s="6">
        <v>0</v>
      </c>
      <c r="F77" s="6">
        <v>0</v>
      </c>
      <c r="G77" s="6">
        <v>0</v>
      </c>
      <c r="H77" s="6">
        <f t="shared" si="4"/>
        <v>0</v>
      </c>
      <c r="I77" s="6">
        <v>0</v>
      </c>
      <c r="J77" s="6">
        <f t="shared" si="5"/>
        <v>0</v>
      </c>
    </row>
    <row r="78" spans="1:10" x14ac:dyDescent="0.25">
      <c r="A78">
        <v>75</v>
      </c>
      <c r="B78" t="s">
        <v>330</v>
      </c>
      <c r="C78" t="s">
        <v>155</v>
      </c>
      <c r="D78" t="s">
        <v>152</v>
      </c>
      <c r="E78" s="6">
        <v>0</v>
      </c>
      <c r="F78" s="6">
        <v>0</v>
      </c>
      <c r="G78" s="6">
        <v>0</v>
      </c>
      <c r="H78" s="6">
        <f t="shared" si="4"/>
        <v>0</v>
      </c>
      <c r="I78" s="6">
        <v>0</v>
      </c>
      <c r="J78" s="6">
        <f t="shared" si="5"/>
        <v>0</v>
      </c>
    </row>
    <row r="79" spans="1:10" x14ac:dyDescent="0.25">
      <c r="A79">
        <v>76</v>
      </c>
      <c r="B79" t="s">
        <v>330</v>
      </c>
      <c r="C79" t="s">
        <v>156</v>
      </c>
      <c r="D79" t="s">
        <v>152</v>
      </c>
      <c r="E79" s="6">
        <v>0</v>
      </c>
      <c r="F79" s="6">
        <v>0</v>
      </c>
      <c r="G79" s="6">
        <v>0</v>
      </c>
      <c r="H79" s="6">
        <f t="shared" si="4"/>
        <v>0</v>
      </c>
      <c r="I79" s="6">
        <v>0</v>
      </c>
      <c r="J79" s="6">
        <f t="shared" si="5"/>
        <v>0</v>
      </c>
    </row>
    <row r="80" spans="1:10" x14ac:dyDescent="0.25">
      <c r="A80">
        <v>77</v>
      </c>
      <c r="B80" t="s">
        <v>330</v>
      </c>
      <c r="C80" t="s">
        <v>157</v>
      </c>
      <c r="D80" t="s">
        <v>152</v>
      </c>
      <c r="E80" s="6">
        <v>0</v>
      </c>
      <c r="F80" s="6">
        <v>0</v>
      </c>
      <c r="G80" s="6">
        <v>0</v>
      </c>
      <c r="H80" s="6">
        <f t="shared" si="4"/>
        <v>0</v>
      </c>
      <c r="I80" s="6">
        <v>0</v>
      </c>
      <c r="J80" s="6">
        <f t="shared" si="5"/>
        <v>0</v>
      </c>
    </row>
    <row r="81" spans="1:10" x14ac:dyDescent="0.25">
      <c r="A81">
        <v>78</v>
      </c>
      <c r="B81" t="s">
        <v>331</v>
      </c>
      <c r="C81" t="s">
        <v>159</v>
      </c>
      <c r="D81" t="s">
        <v>160</v>
      </c>
      <c r="E81" s="6">
        <v>0</v>
      </c>
      <c r="F81" s="6">
        <v>0</v>
      </c>
      <c r="G81" s="6">
        <v>0</v>
      </c>
      <c r="H81" s="6">
        <f t="shared" si="4"/>
        <v>0</v>
      </c>
      <c r="I81" s="6">
        <v>0</v>
      </c>
      <c r="J81" s="6">
        <f t="shared" si="5"/>
        <v>0</v>
      </c>
    </row>
    <row r="82" spans="1:10" x14ac:dyDescent="0.25">
      <c r="A82">
        <v>79</v>
      </c>
      <c r="B82" t="s">
        <v>331</v>
      </c>
      <c r="C82" t="s">
        <v>161</v>
      </c>
      <c r="D82" t="s">
        <v>160</v>
      </c>
      <c r="E82" s="6">
        <v>0</v>
      </c>
      <c r="F82" s="6">
        <v>0</v>
      </c>
      <c r="G82" s="6">
        <v>0</v>
      </c>
      <c r="H82" s="6">
        <f t="shared" si="4"/>
        <v>0</v>
      </c>
      <c r="I82" s="6">
        <v>0</v>
      </c>
      <c r="J82" s="6">
        <f t="shared" si="5"/>
        <v>0</v>
      </c>
    </row>
    <row r="83" spans="1:10" x14ac:dyDescent="0.25">
      <c r="A83">
        <v>80</v>
      </c>
      <c r="B83" t="s">
        <v>331</v>
      </c>
      <c r="C83" t="s">
        <v>162</v>
      </c>
      <c r="D83" t="s">
        <v>163</v>
      </c>
      <c r="E83" s="6">
        <v>0</v>
      </c>
      <c r="F83" s="6">
        <v>0</v>
      </c>
      <c r="G83" s="6">
        <v>0</v>
      </c>
      <c r="H83" s="6">
        <f t="shared" si="4"/>
        <v>0</v>
      </c>
      <c r="I83" s="6">
        <v>0</v>
      </c>
      <c r="J83" s="6">
        <f t="shared" si="5"/>
        <v>0</v>
      </c>
    </row>
    <row r="84" spans="1:10" x14ac:dyDescent="0.25">
      <c r="A84">
        <v>81</v>
      </c>
      <c r="B84" t="s">
        <v>331</v>
      </c>
      <c r="C84" t="s">
        <v>164</v>
      </c>
      <c r="D84" t="s">
        <v>163</v>
      </c>
      <c r="E84" s="6">
        <v>0</v>
      </c>
      <c r="F84" s="6">
        <v>0</v>
      </c>
      <c r="G84" s="6">
        <v>0</v>
      </c>
      <c r="H84" s="6">
        <f t="shared" si="4"/>
        <v>0</v>
      </c>
      <c r="I84" s="6">
        <v>0</v>
      </c>
      <c r="J84" s="6">
        <f t="shared" si="5"/>
        <v>0</v>
      </c>
    </row>
    <row r="85" spans="1:10" x14ac:dyDescent="0.25">
      <c r="A85">
        <v>82</v>
      </c>
      <c r="B85" t="s">
        <v>331</v>
      </c>
      <c r="C85" t="s">
        <v>165</v>
      </c>
      <c r="D85" t="s">
        <v>163</v>
      </c>
      <c r="E85" s="6">
        <v>0</v>
      </c>
      <c r="F85" s="6">
        <v>0</v>
      </c>
      <c r="G85" s="6">
        <v>0</v>
      </c>
      <c r="H85" s="6">
        <f t="shared" si="4"/>
        <v>0</v>
      </c>
      <c r="I85" s="6">
        <v>0</v>
      </c>
      <c r="J85" s="6">
        <f t="shared" si="5"/>
        <v>0</v>
      </c>
    </row>
    <row r="86" spans="1:10" x14ac:dyDescent="0.25">
      <c r="A86">
        <v>83</v>
      </c>
      <c r="B86" t="s">
        <v>332</v>
      </c>
      <c r="C86" t="s">
        <v>167</v>
      </c>
      <c r="D86" t="s">
        <v>94</v>
      </c>
      <c r="E86" s="6">
        <v>0</v>
      </c>
      <c r="F86" s="6">
        <v>0</v>
      </c>
      <c r="G86" s="6">
        <v>0</v>
      </c>
      <c r="H86" s="6">
        <f t="shared" si="4"/>
        <v>0</v>
      </c>
      <c r="I86" s="6">
        <v>0</v>
      </c>
      <c r="J86" s="6">
        <f t="shared" si="5"/>
        <v>0</v>
      </c>
    </row>
    <row r="87" spans="1:10" x14ac:dyDescent="0.25">
      <c r="A87">
        <v>84</v>
      </c>
      <c r="B87" t="s">
        <v>332</v>
      </c>
      <c r="C87" t="s">
        <v>168</v>
      </c>
      <c r="D87" t="s">
        <v>163</v>
      </c>
      <c r="E87" s="6">
        <v>0</v>
      </c>
      <c r="F87" s="6">
        <v>0</v>
      </c>
      <c r="G87" s="6">
        <v>0</v>
      </c>
      <c r="H87" s="6">
        <f t="shared" si="4"/>
        <v>0</v>
      </c>
      <c r="I87" s="6">
        <v>0</v>
      </c>
      <c r="J87" s="6">
        <f t="shared" si="5"/>
        <v>0</v>
      </c>
    </row>
    <row r="88" spans="1:10" x14ac:dyDescent="0.25">
      <c r="A88">
        <v>85</v>
      </c>
      <c r="B88" t="s">
        <v>332</v>
      </c>
      <c r="C88" t="s">
        <v>169</v>
      </c>
      <c r="D88" t="s">
        <v>144</v>
      </c>
      <c r="E88" s="6">
        <v>0</v>
      </c>
      <c r="F88" s="6">
        <v>0</v>
      </c>
      <c r="G88" s="6">
        <v>0</v>
      </c>
      <c r="H88" s="6">
        <f t="shared" si="4"/>
        <v>0</v>
      </c>
      <c r="I88" s="6">
        <v>0</v>
      </c>
      <c r="J88" s="6">
        <f t="shared" si="5"/>
        <v>0</v>
      </c>
    </row>
    <row r="89" spans="1:10" x14ac:dyDescent="0.25">
      <c r="A89">
        <v>86</v>
      </c>
      <c r="B89" t="s">
        <v>332</v>
      </c>
      <c r="C89" t="s">
        <v>170</v>
      </c>
      <c r="D89" t="s">
        <v>110</v>
      </c>
      <c r="E89" s="6">
        <v>0</v>
      </c>
      <c r="F89" s="6">
        <v>0</v>
      </c>
      <c r="G89" s="6">
        <v>0</v>
      </c>
      <c r="H89" s="6">
        <f t="shared" si="4"/>
        <v>0</v>
      </c>
      <c r="I89" s="6">
        <v>0</v>
      </c>
      <c r="J89" s="6">
        <f t="shared" si="5"/>
        <v>0</v>
      </c>
    </row>
    <row r="90" spans="1:10" x14ac:dyDescent="0.25">
      <c r="A90">
        <v>87</v>
      </c>
      <c r="B90" t="s">
        <v>332</v>
      </c>
      <c r="C90" t="s">
        <v>171</v>
      </c>
      <c r="D90" t="s">
        <v>94</v>
      </c>
      <c r="E90" s="6">
        <v>0</v>
      </c>
      <c r="F90" s="6">
        <v>0</v>
      </c>
      <c r="G90" s="6">
        <v>0</v>
      </c>
      <c r="H90" s="6">
        <f t="shared" si="4"/>
        <v>0</v>
      </c>
      <c r="I90" s="6">
        <v>0</v>
      </c>
      <c r="J90" s="6">
        <f t="shared" si="5"/>
        <v>0</v>
      </c>
    </row>
    <row r="91" spans="1:10" x14ac:dyDescent="0.25">
      <c r="A91">
        <v>88</v>
      </c>
      <c r="B91" t="s">
        <v>332</v>
      </c>
      <c r="C91" t="s">
        <v>172</v>
      </c>
      <c r="D91" t="s">
        <v>110</v>
      </c>
      <c r="E91" s="6">
        <v>0</v>
      </c>
      <c r="F91" s="6">
        <v>0</v>
      </c>
      <c r="G91" s="6">
        <v>0</v>
      </c>
      <c r="H91" s="6">
        <f t="shared" si="4"/>
        <v>0</v>
      </c>
      <c r="I91" s="6">
        <v>0</v>
      </c>
      <c r="J91" s="6">
        <f t="shared" si="5"/>
        <v>0</v>
      </c>
    </row>
    <row r="92" spans="1:10" x14ac:dyDescent="0.25">
      <c r="A92">
        <v>89</v>
      </c>
      <c r="B92" t="s">
        <v>333</v>
      </c>
      <c r="C92" t="s">
        <v>174</v>
      </c>
      <c r="D92" t="s">
        <v>121</v>
      </c>
      <c r="E92" s="6">
        <v>0</v>
      </c>
      <c r="F92" s="6">
        <v>0</v>
      </c>
      <c r="G92" s="6">
        <v>0</v>
      </c>
      <c r="H92" s="6">
        <f t="shared" si="4"/>
        <v>0</v>
      </c>
      <c r="I92" s="6">
        <v>0</v>
      </c>
      <c r="J92" s="6">
        <f t="shared" si="5"/>
        <v>0</v>
      </c>
    </row>
    <row r="93" spans="1:10" x14ac:dyDescent="0.25">
      <c r="A93">
        <v>90</v>
      </c>
      <c r="B93" t="s">
        <v>333</v>
      </c>
      <c r="C93" t="s">
        <v>175</v>
      </c>
      <c r="D93" t="s">
        <v>121</v>
      </c>
      <c r="E93" s="6">
        <v>0</v>
      </c>
      <c r="F93" s="6">
        <v>0</v>
      </c>
      <c r="G93" s="6">
        <v>0</v>
      </c>
      <c r="H93" s="6">
        <f t="shared" si="4"/>
        <v>0</v>
      </c>
      <c r="I93" s="6">
        <v>0</v>
      </c>
      <c r="J93" s="6">
        <f t="shared" si="5"/>
        <v>0</v>
      </c>
    </row>
    <row r="94" spans="1:10" x14ac:dyDescent="0.25">
      <c r="A94">
        <v>91</v>
      </c>
      <c r="B94" t="s">
        <v>333</v>
      </c>
      <c r="C94" t="s">
        <v>176</v>
      </c>
      <c r="D94" t="s">
        <v>110</v>
      </c>
      <c r="E94" s="6">
        <v>0</v>
      </c>
      <c r="F94" s="6">
        <v>0</v>
      </c>
      <c r="G94" s="6">
        <v>0</v>
      </c>
      <c r="H94" s="6">
        <f t="shared" si="4"/>
        <v>0</v>
      </c>
      <c r="I94" s="6">
        <v>0</v>
      </c>
      <c r="J94" s="6">
        <f t="shared" si="5"/>
        <v>0</v>
      </c>
    </row>
    <row r="95" spans="1:10" x14ac:dyDescent="0.25">
      <c r="A95">
        <v>92</v>
      </c>
      <c r="B95" t="s">
        <v>333</v>
      </c>
      <c r="C95" t="s">
        <v>177</v>
      </c>
      <c r="D95" t="s">
        <v>110</v>
      </c>
      <c r="E95" s="6">
        <v>0</v>
      </c>
      <c r="F95" s="6">
        <v>0</v>
      </c>
      <c r="G95" s="6">
        <v>0</v>
      </c>
      <c r="H95" s="6">
        <f t="shared" si="4"/>
        <v>0</v>
      </c>
      <c r="I95" s="6">
        <v>0</v>
      </c>
      <c r="J95" s="6">
        <f t="shared" si="5"/>
        <v>0</v>
      </c>
    </row>
    <row r="96" spans="1:10" x14ac:dyDescent="0.25">
      <c r="A96">
        <v>93</v>
      </c>
      <c r="B96" t="s">
        <v>333</v>
      </c>
      <c r="C96" t="s">
        <v>178</v>
      </c>
      <c r="D96" t="s">
        <v>121</v>
      </c>
      <c r="E96" s="6">
        <v>0</v>
      </c>
      <c r="F96" s="6">
        <v>0</v>
      </c>
      <c r="G96" s="6">
        <v>0</v>
      </c>
      <c r="H96" s="6">
        <f t="shared" si="4"/>
        <v>0</v>
      </c>
      <c r="I96" s="6">
        <v>0</v>
      </c>
      <c r="J96" s="6">
        <f t="shared" si="5"/>
        <v>0</v>
      </c>
    </row>
    <row r="97" spans="1:10" x14ac:dyDescent="0.25">
      <c r="A97">
        <v>94</v>
      </c>
      <c r="B97" t="s">
        <v>334</v>
      </c>
      <c r="C97" t="s">
        <v>180</v>
      </c>
      <c r="D97" t="s">
        <v>144</v>
      </c>
      <c r="E97" s="6">
        <v>0</v>
      </c>
      <c r="F97" s="6">
        <v>0</v>
      </c>
      <c r="G97" s="6">
        <v>0</v>
      </c>
      <c r="H97" s="6">
        <f t="shared" si="4"/>
        <v>0</v>
      </c>
      <c r="I97" s="6">
        <v>0</v>
      </c>
      <c r="J97" s="6">
        <f t="shared" si="5"/>
        <v>0</v>
      </c>
    </row>
    <row r="98" spans="1:10" x14ac:dyDescent="0.25">
      <c r="A98">
        <v>95</v>
      </c>
      <c r="B98" t="s">
        <v>334</v>
      </c>
      <c r="C98" t="s">
        <v>181</v>
      </c>
      <c r="D98" t="s">
        <v>144</v>
      </c>
      <c r="E98" s="6">
        <v>0</v>
      </c>
      <c r="F98" s="6">
        <v>0</v>
      </c>
      <c r="G98" s="6">
        <v>0</v>
      </c>
      <c r="H98" s="6">
        <f t="shared" si="4"/>
        <v>0</v>
      </c>
      <c r="I98" s="6">
        <v>0</v>
      </c>
      <c r="J98" s="6">
        <f t="shared" si="5"/>
        <v>0</v>
      </c>
    </row>
    <row r="99" spans="1:10" x14ac:dyDescent="0.25">
      <c r="A99">
        <v>96</v>
      </c>
      <c r="B99" t="s">
        <v>334</v>
      </c>
      <c r="C99" t="s">
        <v>182</v>
      </c>
      <c r="D99" t="s">
        <v>144</v>
      </c>
      <c r="E99" s="6">
        <v>0</v>
      </c>
      <c r="F99" s="6">
        <v>0</v>
      </c>
      <c r="G99" s="6">
        <v>0</v>
      </c>
      <c r="H99" s="6">
        <f t="shared" si="4"/>
        <v>0</v>
      </c>
      <c r="I99" s="6">
        <v>0</v>
      </c>
      <c r="J99" s="6">
        <f t="shared" si="5"/>
        <v>0</v>
      </c>
    </row>
    <row r="100" spans="1:10" x14ac:dyDescent="0.25">
      <c r="A100">
        <v>97</v>
      </c>
      <c r="B100" t="s">
        <v>334</v>
      </c>
      <c r="C100" t="s">
        <v>183</v>
      </c>
      <c r="D100" t="s">
        <v>144</v>
      </c>
      <c r="E100" s="6">
        <v>0</v>
      </c>
      <c r="F100" s="6">
        <v>0</v>
      </c>
      <c r="G100" s="6">
        <v>0</v>
      </c>
      <c r="H100" s="6">
        <f t="shared" ref="H100:H131" si="6">E100+F100-G100</f>
        <v>0</v>
      </c>
      <c r="I100" s="6">
        <v>0</v>
      </c>
      <c r="J100" s="6">
        <f t="shared" ref="J100:J131" si="7">H100*I100</f>
        <v>0</v>
      </c>
    </row>
    <row r="101" spans="1:10" x14ac:dyDescent="0.25">
      <c r="A101">
        <v>98</v>
      </c>
      <c r="B101" t="s">
        <v>334</v>
      </c>
      <c r="C101" t="s">
        <v>335</v>
      </c>
      <c r="D101" t="s">
        <v>79</v>
      </c>
      <c r="E101" s="6">
        <v>0</v>
      </c>
      <c r="F101" s="6">
        <v>0</v>
      </c>
      <c r="G101" s="6">
        <v>0</v>
      </c>
      <c r="H101" s="6">
        <f t="shared" si="6"/>
        <v>0</v>
      </c>
      <c r="I101" s="6">
        <v>0</v>
      </c>
      <c r="J101" s="6">
        <f t="shared" si="7"/>
        <v>0</v>
      </c>
    </row>
    <row r="102" spans="1:10" x14ac:dyDescent="0.25">
      <c r="A102">
        <v>99</v>
      </c>
      <c r="B102" t="s">
        <v>336</v>
      </c>
      <c r="C102" t="s">
        <v>186</v>
      </c>
      <c r="D102" t="s">
        <v>79</v>
      </c>
      <c r="E102" s="6">
        <v>0</v>
      </c>
      <c r="F102" s="6">
        <v>0</v>
      </c>
      <c r="G102" s="6">
        <v>0</v>
      </c>
      <c r="H102" s="6">
        <f t="shared" si="6"/>
        <v>0</v>
      </c>
      <c r="I102" s="6">
        <v>0</v>
      </c>
      <c r="J102" s="6">
        <f t="shared" si="7"/>
        <v>0</v>
      </c>
    </row>
    <row r="103" spans="1:10" x14ac:dyDescent="0.25">
      <c r="A103">
        <v>100</v>
      </c>
      <c r="B103" t="s">
        <v>336</v>
      </c>
      <c r="C103" t="s">
        <v>187</v>
      </c>
      <c r="D103" t="s">
        <v>79</v>
      </c>
      <c r="E103" s="6">
        <v>0</v>
      </c>
      <c r="F103" s="6">
        <v>0</v>
      </c>
      <c r="G103" s="6">
        <v>0</v>
      </c>
      <c r="H103" s="6">
        <f t="shared" si="6"/>
        <v>0</v>
      </c>
      <c r="I103" s="6">
        <v>0</v>
      </c>
      <c r="J103" s="6">
        <f t="shared" si="7"/>
        <v>0</v>
      </c>
    </row>
    <row r="104" spans="1:10" x14ac:dyDescent="0.25">
      <c r="A104">
        <v>101</v>
      </c>
      <c r="B104" t="s">
        <v>336</v>
      </c>
      <c r="C104" t="s">
        <v>188</v>
      </c>
      <c r="D104" t="s">
        <v>189</v>
      </c>
      <c r="E104" s="6">
        <v>0</v>
      </c>
      <c r="F104" s="6">
        <v>0</v>
      </c>
      <c r="G104" s="6">
        <v>0</v>
      </c>
      <c r="H104" s="6">
        <f t="shared" si="6"/>
        <v>0</v>
      </c>
      <c r="I104" s="6">
        <v>0</v>
      </c>
      <c r="J104" s="6">
        <f t="shared" si="7"/>
        <v>0</v>
      </c>
    </row>
    <row r="105" spans="1:10" x14ac:dyDescent="0.25">
      <c r="A105">
        <v>102</v>
      </c>
      <c r="B105" t="s">
        <v>336</v>
      </c>
      <c r="C105" t="s">
        <v>190</v>
      </c>
      <c r="D105" t="s">
        <v>79</v>
      </c>
      <c r="E105" s="6">
        <v>0</v>
      </c>
      <c r="F105" s="6">
        <v>0</v>
      </c>
      <c r="G105" s="6">
        <v>0</v>
      </c>
      <c r="H105" s="6">
        <f t="shared" si="6"/>
        <v>0</v>
      </c>
      <c r="I105" s="6">
        <v>0</v>
      </c>
      <c r="J105" s="6">
        <f t="shared" si="7"/>
        <v>0</v>
      </c>
    </row>
    <row r="106" spans="1:10" x14ac:dyDescent="0.25">
      <c r="A106">
        <v>103</v>
      </c>
      <c r="B106" t="s">
        <v>336</v>
      </c>
      <c r="C106" t="s">
        <v>191</v>
      </c>
      <c r="D106" t="s">
        <v>66</v>
      </c>
      <c r="E106" s="6">
        <v>0</v>
      </c>
      <c r="F106" s="6">
        <v>0</v>
      </c>
      <c r="G106" s="6">
        <v>0</v>
      </c>
      <c r="H106" s="6">
        <f t="shared" si="6"/>
        <v>0</v>
      </c>
      <c r="I106" s="6">
        <v>0</v>
      </c>
      <c r="J106" s="6">
        <f t="shared" si="7"/>
        <v>0</v>
      </c>
    </row>
    <row r="107" spans="1:10" x14ac:dyDescent="0.25">
      <c r="A107">
        <v>104</v>
      </c>
      <c r="B107" t="s">
        <v>336</v>
      </c>
      <c r="C107" t="s">
        <v>192</v>
      </c>
      <c r="D107" t="s">
        <v>79</v>
      </c>
      <c r="E107" s="6">
        <v>0</v>
      </c>
      <c r="F107" s="6">
        <v>0</v>
      </c>
      <c r="G107" s="6">
        <v>0</v>
      </c>
      <c r="H107" s="6">
        <f t="shared" si="6"/>
        <v>0</v>
      </c>
      <c r="I107" s="6">
        <v>0</v>
      </c>
      <c r="J107" s="6">
        <f t="shared" si="7"/>
        <v>0</v>
      </c>
    </row>
    <row r="108" spans="1:10" x14ac:dyDescent="0.25">
      <c r="A108">
        <v>105</v>
      </c>
      <c r="B108" t="s">
        <v>336</v>
      </c>
      <c r="C108" t="s">
        <v>193</v>
      </c>
      <c r="D108" t="s">
        <v>194</v>
      </c>
      <c r="E108" s="6">
        <v>0</v>
      </c>
      <c r="F108" s="6">
        <v>0</v>
      </c>
      <c r="G108" s="6">
        <v>0</v>
      </c>
      <c r="H108" s="6">
        <f t="shared" si="6"/>
        <v>0</v>
      </c>
      <c r="I108" s="6">
        <v>0</v>
      </c>
      <c r="J108" s="6">
        <f t="shared" si="7"/>
        <v>0</v>
      </c>
    </row>
  </sheetData>
  <conditionalFormatting sqref="H4:H108">
    <cfRule type="cellIs" dxfId="0" priority="1" operator="lessThan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4"/>
  <sheetViews>
    <sheetView workbookViewId="0"/>
  </sheetViews>
  <sheetFormatPr baseColWidth="10" defaultColWidth="9.140625" defaultRowHeight="15" x14ac:dyDescent="0.25"/>
  <sheetData>
    <row r="1" spans="1:4" ht="26.25" x14ac:dyDescent="0.25">
      <c r="A1" s="27" t="s">
        <v>337</v>
      </c>
      <c r="B1" s="28"/>
      <c r="C1" s="28"/>
      <c r="D1" s="28"/>
    </row>
    <row r="3" spans="1:4" x14ac:dyDescent="0.25">
      <c r="A3" s="1" t="s">
        <v>338</v>
      </c>
    </row>
    <row r="4" spans="1:4" x14ac:dyDescent="0.25">
      <c r="A4" s="1" t="s">
        <v>339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3:D18"/>
  <sheetViews>
    <sheetView workbookViewId="0"/>
  </sheetViews>
  <sheetFormatPr baseColWidth="10" defaultColWidth="9.140625" defaultRowHeight="15" x14ac:dyDescent="0.25"/>
  <cols>
    <col min="1" max="1" width="5" customWidth="1"/>
    <col min="2" max="2" width="25" customWidth="1"/>
    <col min="3" max="3" width="40" customWidth="1"/>
    <col min="4" max="4" width="15" customWidth="1"/>
  </cols>
  <sheetData>
    <row r="3" spans="1:4" x14ac:dyDescent="0.25">
      <c r="A3" s="5" t="s">
        <v>44</v>
      </c>
      <c r="B3" s="5" t="s">
        <v>340</v>
      </c>
      <c r="C3" s="5" t="s">
        <v>341</v>
      </c>
      <c r="D3" s="5" t="s">
        <v>342</v>
      </c>
    </row>
    <row r="4" spans="1:4" x14ac:dyDescent="0.25">
      <c r="A4">
        <v>1</v>
      </c>
      <c r="B4" t="s">
        <v>270</v>
      </c>
      <c r="C4" t="s">
        <v>343</v>
      </c>
    </row>
    <row r="5" spans="1:4" x14ac:dyDescent="0.25">
      <c r="A5">
        <v>2</v>
      </c>
      <c r="B5" t="s">
        <v>344</v>
      </c>
      <c r="C5" t="s">
        <v>345</v>
      </c>
    </row>
    <row r="6" spans="1:4" x14ac:dyDescent="0.25">
      <c r="A6">
        <v>3</v>
      </c>
      <c r="B6" t="s">
        <v>220</v>
      </c>
      <c r="C6" t="s">
        <v>346</v>
      </c>
    </row>
    <row r="7" spans="1:4" x14ac:dyDescent="0.25">
      <c r="A7">
        <v>4</v>
      </c>
      <c r="B7" t="s">
        <v>217</v>
      </c>
      <c r="C7" t="s">
        <v>347</v>
      </c>
    </row>
    <row r="8" spans="1:4" x14ac:dyDescent="0.25">
      <c r="A8">
        <v>5</v>
      </c>
      <c r="B8" t="s">
        <v>327</v>
      </c>
      <c r="C8" t="s">
        <v>348</v>
      </c>
    </row>
    <row r="9" spans="1:4" x14ac:dyDescent="0.25">
      <c r="A9">
        <v>6</v>
      </c>
      <c r="B9" t="s">
        <v>349</v>
      </c>
      <c r="C9" t="s">
        <v>350</v>
      </c>
    </row>
    <row r="10" spans="1:4" x14ac:dyDescent="0.25">
      <c r="A10">
        <v>7</v>
      </c>
      <c r="B10" t="s">
        <v>282</v>
      </c>
      <c r="C10" t="s">
        <v>351</v>
      </c>
    </row>
    <row r="11" spans="1:4" x14ac:dyDescent="0.25">
      <c r="A11">
        <v>8</v>
      </c>
      <c r="B11" t="s">
        <v>249</v>
      </c>
      <c r="C11" t="s">
        <v>352</v>
      </c>
    </row>
    <row r="12" spans="1:4" x14ac:dyDescent="0.25">
      <c r="A12">
        <v>9</v>
      </c>
      <c r="B12" t="s">
        <v>353</v>
      </c>
      <c r="C12" t="s">
        <v>354</v>
      </c>
    </row>
    <row r="13" spans="1:4" x14ac:dyDescent="0.25">
      <c r="A13">
        <v>10</v>
      </c>
      <c r="B13" t="s">
        <v>222</v>
      </c>
      <c r="C13" t="s">
        <v>355</v>
      </c>
    </row>
    <row r="14" spans="1:4" x14ac:dyDescent="0.25">
      <c r="A14">
        <v>11</v>
      </c>
      <c r="B14" t="s">
        <v>262</v>
      </c>
      <c r="C14" t="s">
        <v>356</v>
      </c>
    </row>
    <row r="15" spans="1:4" x14ac:dyDescent="0.25">
      <c r="A15">
        <v>12</v>
      </c>
      <c r="B15" t="s">
        <v>67</v>
      </c>
      <c r="C15" t="s">
        <v>357</v>
      </c>
    </row>
    <row r="16" spans="1:4" x14ac:dyDescent="0.25">
      <c r="A16">
        <v>13</v>
      </c>
      <c r="B16" t="s">
        <v>228</v>
      </c>
      <c r="C16" t="s">
        <v>358</v>
      </c>
    </row>
    <row r="17" spans="1:3" x14ac:dyDescent="0.25">
      <c r="A17">
        <v>14</v>
      </c>
      <c r="B17" t="s">
        <v>225</v>
      </c>
      <c r="C17" t="s">
        <v>359</v>
      </c>
    </row>
    <row r="18" spans="1:3" x14ac:dyDescent="0.25">
      <c r="A18">
        <v>15</v>
      </c>
      <c r="B18" t="s">
        <v>248</v>
      </c>
      <c r="C18" t="s">
        <v>360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3:H56"/>
  <sheetViews>
    <sheetView workbookViewId="0"/>
  </sheetViews>
  <sheetFormatPr baseColWidth="10" defaultColWidth="9.140625" defaultRowHeight="15" x14ac:dyDescent="0.25"/>
  <cols>
    <col min="1" max="1" width="5" customWidth="1"/>
    <col min="2" max="2" width="30" customWidth="1"/>
    <col min="3" max="3" width="20" customWidth="1"/>
    <col min="4" max="4" width="25" customWidth="1"/>
    <col min="5" max="5" width="15" customWidth="1"/>
    <col min="6" max="6" width="30" customWidth="1"/>
  </cols>
  <sheetData>
    <row r="3" spans="1:8" x14ac:dyDescent="0.25">
      <c r="A3" s="5" t="s">
        <v>44</v>
      </c>
      <c r="B3" s="5" t="s">
        <v>361</v>
      </c>
      <c r="C3" s="5" t="s">
        <v>203</v>
      </c>
      <c r="D3" s="5" t="s">
        <v>362</v>
      </c>
      <c r="E3" s="5" t="s">
        <v>363</v>
      </c>
      <c r="F3" s="5" t="s">
        <v>36</v>
      </c>
      <c r="G3" s="5" t="s">
        <v>364</v>
      </c>
      <c r="H3" s="5" t="s">
        <v>365</v>
      </c>
    </row>
    <row r="4" spans="1:8" x14ac:dyDescent="0.25">
      <c r="A4">
        <v>1</v>
      </c>
      <c r="B4" t="s">
        <v>216</v>
      </c>
      <c r="C4" t="s">
        <v>217</v>
      </c>
      <c r="E4" s="6">
        <v>3500</v>
      </c>
      <c r="G4" t="s">
        <v>366</v>
      </c>
      <c r="H4" s="7">
        <v>46168</v>
      </c>
    </row>
    <row r="5" spans="1:8" x14ac:dyDescent="0.25">
      <c r="A5">
        <v>2</v>
      </c>
      <c r="B5" t="s">
        <v>218</v>
      </c>
      <c r="C5" t="s">
        <v>217</v>
      </c>
      <c r="E5" s="6">
        <v>3500</v>
      </c>
      <c r="G5" t="s">
        <v>366</v>
      </c>
      <c r="H5" s="7">
        <v>46168</v>
      </c>
    </row>
    <row r="6" spans="1:8" x14ac:dyDescent="0.25">
      <c r="A6">
        <v>3</v>
      </c>
      <c r="B6" t="s">
        <v>219</v>
      </c>
      <c r="C6" t="s">
        <v>220</v>
      </c>
      <c r="E6" s="6">
        <v>3000</v>
      </c>
      <c r="F6" t="s">
        <v>236</v>
      </c>
      <c r="G6" t="s">
        <v>366</v>
      </c>
      <c r="H6" s="7">
        <v>46168</v>
      </c>
    </row>
    <row r="7" spans="1:8" x14ac:dyDescent="0.25">
      <c r="A7">
        <v>4</v>
      </c>
      <c r="B7" t="s">
        <v>221</v>
      </c>
      <c r="C7" t="s">
        <v>222</v>
      </c>
      <c r="E7" s="6">
        <v>3500</v>
      </c>
      <c r="G7" t="s">
        <v>366</v>
      </c>
      <c r="H7" s="7">
        <v>46168</v>
      </c>
    </row>
    <row r="8" spans="1:8" x14ac:dyDescent="0.25">
      <c r="A8">
        <v>5</v>
      </c>
      <c r="B8" t="s">
        <v>223</v>
      </c>
      <c r="C8" t="s">
        <v>222</v>
      </c>
      <c r="E8" s="6">
        <v>1000</v>
      </c>
      <c r="G8" t="s">
        <v>366</v>
      </c>
      <c r="H8" s="7">
        <v>46168</v>
      </c>
    </row>
    <row r="9" spans="1:8" x14ac:dyDescent="0.25">
      <c r="A9">
        <v>6</v>
      </c>
      <c r="B9" t="s">
        <v>224</v>
      </c>
      <c r="C9" t="s">
        <v>225</v>
      </c>
      <c r="E9" s="6">
        <v>4000</v>
      </c>
      <c r="G9" t="s">
        <v>366</v>
      </c>
      <c r="H9" s="7">
        <v>46168</v>
      </c>
    </row>
    <row r="10" spans="1:8" x14ac:dyDescent="0.25">
      <c r="A10">
        <v>7</v>
      </c>
      <c r="B10" t="s">
        <v>226</v>
      </c>
      <c r="C10" t="s">
        <v>225</v>
      </c>
      <c r="E10" s="6">
        <v>3500</v>
      </c>
      <c r="G10" t="s">
        <v>366</v>
      </c>
      <c r="H10" s="7">
        <v>46168</v>
      </c>
    </row>
    <row r="11" spans="1:8" x14ac:dyDescent="0.25">
      <c r="A11">
        <v>8</v>
      </c>
      <c r="B11" t="s">
        <v>227</v>
      </c>
      <c r="C11" t="s">
        <v>228</v>
      </c>
      <c r="E11" s="6">
        <v>3500</v>
      </c>
      <c r="F11" t="s">
        <v>243</v>
      </c>
      <c r="G11" t="s">
        <v>366</v>
      </c>
      <c r="H11" s="7">
        <v>46168</v>
      </c>
    </row>
    <row r="12" spans="1:8" x14ac:dyDescent="0.25">
      <c r="A12">
        <v>9</v>
      </c>
      <c r="B12" t="s">
        <v>229</v>
      </c>
      <c r="C12" t="s">
        <v>228</v>
      </c>
      <c r="E12" s="6">
        <v>3000</v>
      </c>
      <c r="F12" t="s">
        <v>243</v>
      </c>
      <c r="G12" t="s">
        <v>366</v>
      </c>
      <c r="H12" s="7">
        <v>46168</v>
      </c>
    </row>
    <row r="13" spans="1:8" x14ac:dyDescent="0.25">
      <c r="A13">
        <v>10</v>
      </c>
      <c r="B13" t="s">
        <v>230</v>
      </c>
      <c r="C13" t="s">
        <v>67</v>
      </c>
      <c r="E13" s="6">
        <v>3500</v>
      </c>
      <c r="G13" t="s">
        <v>366</v>
      </c>
      <c r="H13" s="7">
        <v>46168</v>
      </c>
    </row>
    <row r="14" spans="1:8" x14ac:dyDescent="0.25">
      <c r="A14">
        <v>11</v>
      </c>
      <c r="B14" t="s">
        <v>367</v>
      </c>
      <c r="C14" t="s">
        <v>67</v>
      </c>
      <c r="E14" s="6">
        <v>3000</v>
      </c>
      <c r="G14" t="s">
        <v>366</v>
      </c>
      <c r="H14" s="7">
        <v>46168</v>
      </c>
    </row>
    <row r="15" spans="1:8" x14ac:dyDescent="0.25">
      <c r="A15">
        <v>12</v>
      </c>
      <c r="B15" t="s">
        <v>368</v>
      </c>
      <c r="C15" t="s">
        <v>349</v>
      </c>
      <c r="E15" s="6">
        <v>6500</v>
      </c>
      <c r="G15" t="s">
        <v>366</v>
      </c>
      <c r="H15" s="7">
        <v>46168</v>
      </c>
    </row>
    <row r="16" spans="1:8" x14ac:dyDescent="0.25">
      <c r="A16">
        <v>13</v>
      </c>
      <c r="B16" t="s">
        <v>369</v>
      </c>
      <c r="C16" t="s">
        <v>349</v>
      </c>
      <c r="E16" s="6">
        <v>10000</v>
      </c>
      <c r="G16" t="s">
        <v>366</v>
      </c>
      <c r="H16" s="7">
        <v>46168</v>
      </c>
    </row>
    <row r="17" spans="1:8" x14ac:dyDescent="0.25">
      <c r="A17">
        <v>14</v>
      </c>
      <c r="B17" t="s">
        <v>370</v>
      </c>
      <c r="C17" t="s">
        <v>349</v>
      </c>
      <c r="E17" s="6">
        <v>6500</v>
      </c>
      <c r="G17" t="s">
        <v>366</v>
      </c>
      <c r="H17" s="7">
        <v>46168</v>
      </c>
    </row>
    <row r="18" spans="1:8" x14ac:dyDescent="0.25">
      <c r="A18">
        <v>15</v>
      </c>
      <c r="B18" t="s">
        <v>371</v>
      </c>
      <c r="C18" t="s">
        <v>349</v>
      </c>
      <c r="E18" s="6">
        <v>10000</v>
      </c>
      <c r="G18" t="s">
        <v>366</v>
      </c>
      <c r="H18" s="7">
        <v>46168</v>
      </c>
    </row>
    <row r="19" spans="1:8" x14ac:dyDescent="0.25">
      <c r="A19">
        <v>16</v>
      </c>
      <c r="B19" t="s">
        <v>372</v>
      </c>
      <c r="C19" t="s">
        <v>327</v>
      </c>
      <c r="E19" s="6">
        <v>3500</v>
      </c>
      <c r="F19" t="s">
        <v>247</v>
      </c>
      <c r="G19" t="s">
        <v>366</v>
      </c>
      <c r="H19" s="7">
        <v>46168</v>
      </c>
    </row>
    <row r="20" spans="1:8" x14ac:dyDescent="0.25">
      <c r="A20">
        <v>17</v>
      </c>
      <c r="B20" t="s">
        <v>373</v>
      </c>
      <c r="C20" t="s">
        <v>248</v>
      </c>
      <c r="E20" s="6">
        <v>4000</v>
      </c>
      <c r="G20" t="s">
        <v>366</v>
      </c>
      <c r="H20" s="7">
        <v>46168</v>
      </c>
    </row>
    <row r="21" spans="1:8" x14ac:dyDescent="0.25">
      <c r="A21">
        <v>18</v>
      </c>
      <c r="B21" t="s">
        <v>374</v>
      </c>
      <c r="C21" t="s">
        <v>248</v>
      </c>
      <c r="E21" s="6">
        <v>3500</v>
      </c>
      <c r="G21" t="s">
        <v>366</v>
      </c>
      <c r="H21" s="7">
        <v>46168</v>
      </c>
    </row>
    <row r="22" spans="1:8" x14ac:dyDescent="0.25">
      <c r="A22">
        <v>19</v>
      </c>
      <c r="B22" t="s">
        <v>375</v>
      </c>
      <c r="C22" t="s">
        <v>249</v>
      </c>
      <c r="E22" s="6">
        <v>3500</v>
      </c>
      <c r="G22" t="s">
        <v>366</v>
      </c>
      <c r="H22" s="7">
        <v>46168</v>
      </c>
    </row>
    <row r="23" spans="1:8" x14ac:dyDescent="0.25">
      <c r="A23">
        <v>20</v>
      </c>
      <c r="B23" t="s">
        <v>376</v>
      </c>
      <c r="C23" t="s">
        <v>249</v>
      </c>
      <c r="E23" s="6">
        <v>3000</v>
      </c>
      <c r="G23" t="s">
        <v>366</v>
      </c>
      <c r="H23" s="7">
        <v>46168</v>
      </c>
    </row>
    <row r="24" spans="1:8" x14ac:dyDescent="0.25">
      <c r="A24">
        <v>21</v>
      </c>
      <c r="B24" t="s">
        <v>377</v>
      </c>
      <c r="C24" t="s">
        <v>249</v>
      </c>
      <c r="E24" s="6">
        <v>2500</v>
      </c>
      <c r="G24" t="s">
        <v>366</v>
      </c>
      <c r="H24" s="7">
        <v>46168</v>
      </c>
    </row>
    <row r="25" spans="1:8" x14ac:dyDescent="0.25">
      <c r="A25">
        <v>22</v>
      </c>
      <c r="B25" t="s">
        <v>378</v>
      </c>
      <c r="C25" t="s">
        <v>249</v>
      </c>
      <c r="E25" s="6">
        <v>2500</v>
      </c>
      <c r="G25" t="s">
        <v>366</v>
      </c>
      <c r="H25" s="7">
        <v>46168</v>
      </c>
    </row>
    <row r="26" spans="1:8" x14ac:dyDescent="0.25">
      <c r="A26">
        <v>23</v>
      </c>
      <c r="B26" t="s">
        <v>379</v>
      </c>
      <c r="C26" t="s">
        <v>249</v>
      </c>
      <c r="E26" s="6">
        <v>7000</v>
      </c>
      <c r="G26" t="s">
        <v>366</v>
      </c>
      <c r="H26" s="7">
        <v>46168</v>
      </c>
    </row>
    <row r="27" spans="1:8" x14ac:dyDescent="0.25">
      <c r="A27">
        <v>24</v>
      </c>
      <c r="B27" t="s">
        <v>380</v>
      </c>
      <c r="C27" t="s">
        <v>249</v>
      </c>
      <c r="E27" s="6">
        <v>6000</v>
      </c>
      <c r="G27" t="s">
        <v>366</v>
      </c>
      <c r="H27" s="7">
        <v>46168</v>
      </c>
    </row>
    <row r="28" spans="1:8" x14ac:dyDescent="0.25">
      <c r="A28">
        <v>25</v>
      </c>
      <c r="B28" t="s">
        <v>381</v>
      </c>
      <c r="C28" t="s">
        <v>249</v>
      </c>
      <c r="E28" s="6">
        <v>4500</v>
      </c>
      <c r="G28" t="s">
        <v>366</v>
      </c>
      <c r="H28" s="7">
        <v>46168</v>
      </c>
    </row>
    <row r="29" spans="1:8" x14ac:dyDescent="0.25">
      <c r="A29">
        <v>26</v>
      </c>
      <c r="B29" t="s">
        <v>382</v>
      </c>
      <c r="C29" t="s">
        <v>249</v>
      </c>
      <c r="E29" s="6">
        <v>5000</v>
      </c>
      <c r="G29" t="s">
        <v>366</v>
      </c>
      <c r="H29" s="7">
        <v>46168</v>
      </c>
    </row>
    <row r="30" spans="1:8" x14ac:dyDescent="0.25">
      <c r="A30">
        <v>27</v>
      </c>
      <c r="B30" t="s">
        <v>383</v>
      </c>
      <c r="C30" t="s">
        <v>249</v>
      </c>
      <c r="E30" s="6">
        <v>13500</v>
      </c>
      <c r="G30" t="s">
        <v>366</v>
      </c>
      <c r="H30" s="7">
        <v>46168</v>
      </c>
    </row>
    <row r="31" spans="1:8" x14ac:dyDescent="0.25">
      <c r="A31">
        <v>28</v>
      </c>
      <c r="B31" t="s">
        <v>384</v>
      </c>
      <c r="C31" t="s">
        <v>249</v>
      </c>
      <c r="E31" s="6">
        <v>12000</v>
      </c>
      <c r="G31" t="s">
        <v>366</v>
      </c>
      <c r="H31" s="7">
        <v>46168</v>
      </c>
    </row>
    <row r="32" spans="1:8" x14ac:dyDescent="0.25">
      <c r="A32">
        <v>29</v>
      </c>
      <c r="B32" t="s">
        <v>385</v>
      </c>
      <c r="C32" t="s">
        <v>249</v>
      </c>
      <c r="E32" s="6">
        <v>10000</v>
      </c>
      <c r="G32" t="s">
        <v>366</v>
      </c>
      <c r="H32" s="7">
        <v>46168</v>
      </c>
    </row>
    <row r="33" spans="1:8" x14ac:dyDescent="0.25">
      <c r="A33">
        <v>30</v>
      </c>
      <c r="B33" t="s">
        <v>386</v>
      </c>
      <c r="C33" t="s">
        <v>249</v>
      </c>
      <c r="E33" s="6">
        <v>11000</v>
      </c>
      <c r="G33" t="s">
        <v>366</v>
      </c>
      <c r="H33" s="7">
        <v>46168</v>
      </c>
    </row>
    <row r="34" spans="1:8" x14ac:dyDescent="0.25">
      <c r="A34">
        <v>31</v>
      </c>
      <c r="B34" t="s">
        <v>387</v>
      </c>
      <c r="C34" t="s">
        <v>262</v>
      </c>
      <c r="E34" s="6">
        <v>5000</v>
      </c>
      <c r="G34" t="s">
        <v>366</v>
      </c>
      <c r="H34" s="7">
        <v>46168</v>
      </c>
    </row>
    <row r="35" spans="1:8" x14ac:dyDescent="0.25">
      <c r="A35">
        <v>32</v>
      </c>
      <c r="B35" t="s">
        <v>388</v>
      </c>
      <c r="C35" t="s">
        <v>262</v>
      </c>
      <c r="E35" s="6">
        <v>8000</v>
      </c>
      <c r="G35" t="s">
        <v>366</v>
      </c>
      <c r="H35" s="7">
        <v>46168</v>
      </c>
    </row>
    <row r="36" spans="1:8" x14ac:dyDescent="0.25">
      <c r="A36">
        <v>33</v>
      </c>
      <c r="B36" t="s">
        <v>389</v>
      </c>
      <c r="C36" t="s">
        <v>262</v>
      </c>
      <c r="E36" s="6">
        <v>9000</v>
      </c>
      <c r="G36" t="s">
        <v>366</v>
      </c>
      <c r="H36" s="7">
        <v>46168</v>
      </c>
    </row>
    <row r="37" spans="1:8" x14ac:dyDescent="0.25">
      <c r="A37">
        <v>34</v>
      </c>
      <c r="B37" t="s">
        <v>390</v>
      </c>
      <c r="C37" t="s">
        <v>262</v>
      </c>
      <c r="E37" s="6">
        <v>11000</v>
      </c>
      <c r="G37" t="s">
        <v>366</v>
      </c>
      <c r="H37" s="7">
        <v>46168</v>
      </c>
    </row>
    <row r="38" spans="1:8" x14ac:dyDescent="0.25">
      <c r="A38">
        <v>35</v>
      </c>
      <c r="B38" t="s">
        <v>391</v>
      </c>
      <c r="C38" t="s">
        <v>262</v>
      </c>
      <c r="E38" s="6">
        <v>7000</v>
      </c>
      <c r="G38" t="s">
        <v>366</v>
      </c>
      <c r="H38" s="7">
        <v>46168</v>
      </c>
    </row>
    <row r="39" spans="1:8" x14ac:dyDescent="0.25">
      <c r="A39">
        <v>36</v>
      </c>
      <c r="B39" t="s">
        <v>392</v>
      </c>
      <c r="C39" t="s">
        <v>262</v>
      </c>
      <c r="E39" s="6">
        <v>10000</v>
      </c>
      <c r="G39" t="s">
        <v>366</v>
      </c>
      <c r="H39" s="7">
        <v>46168</v>
      </c>
    </row>
    <row r="40" spans="1:8" x14ac:dyDescent="0.25">
      <c r="A40">
        <v>37</v>
      </c>
      <c r="B40" t="s">
        <v>393</v>
      </c>
      <c r="C40" t="s">
        <v>344</v>
      </c>
      <c r="E40" s="6">
        <v>2000</v>
      </c>
      <c r="F40" t="s">
        <v>267</v>
      </c>
      <c r="G40" t="s">
        <v>366</v>
      </c>
      <c r="H40" s="7">
        <v>46168</v>
      </c>
    </row>
    <row r="41" spans="1:8" x14ac:dyDescent="0.25">
      <c r="A41">
        <v>38</v>
      </c>
      <c r="B41" t="s">
        <v>394</v>
      </c>
      <c r="C41" t="s">
        <v>344</v>
      </c>
      <c r="E41" s="6">
        <v>3500</v>
      </c>
      <c r="G41" t="s">
        <v>366</v>
      </c>
      <c r="H41" s="7">
        <v>46168</v>
      </c>
    </row>
    <row r="42" spans="1:8" x14ac:dyDescent="0.25">
      <c r="A42">
        <v>39</v>
      </c>
      <c r="B42" t="s">
        <v>395</v>
      </c>
      <c r="C42" t="s">
        <v>344</v>
      </c>
      <c r="E42" s="6">
        <v>2000</v>
      </c>
      <c r="G42" t="s">
        <v>366</v>
      </c>
      <c r="H42" s="7">
        <v>46168</v>
      </c>
    </row>
    <row r="43" spans="1:8" x14ac:dyDescent="0.25">
      <c r="A43">
        <v>40</v>
      </c>
      <c r="B43" t="s">
        <v>109</v>
      </c>
      <c r="C43" t="s">
        <v>270</v>
      </c>
      <c r="E43" s="6">
        <v>0</v>
      </c>
      <c r="F43" t="s">
        <v>396</v>
      </c>
      <c r="G43" t="s">
        <v>366</v>
      </c>
      <c r="H43" s="7">
        <v>46168</v>
      </c>
    </row>
    <row r="44" spans="1:8" x14ac:dyDescent="0.25">
      <c r="A44">
        <v>41</v>
      </c>
      <c r="B44" t="s">
        <v>397</v>
      </c>
      <c r="C44" t="s">
        <v>270</v>
      </c>
      <c r="E44" s="6">
        <v>0</v>
      </c>
      <c r="G44" t="s">
        <v>366</v>
      </c>
      <c r="H44" s="7">
        <v>46168</v>
      </c>
    </row>
    <row r="45" spans="1:8" x14ac:dyDescent="0.25">
      <c r="A45">
        <v>42</v>
      </c>
      <c r="B45" t="s">
        <v>398</v>
      </c>
      <c r="C45" t="s">
        <v>270</v>
      </c>
      <c r="E45" s="6">
        <v>0</v>
      </c>
      <c r="G45" t="s">
        <v>366</v>
      </c>
      <c r="H45" s="7">
        <v>46168</v>
      </c>
    </row>
    <row r="46" spans="1:8" x14ac:dyDescent="0.25">
      <c r="A46">
        <v>43</v>
      </c>
      <c r="B46" t="s">
        <v>274</v>
      </c>
      <c r="C46" t="s">
        <v>270</v>
      </c>
      <c r="E46" s="6">
        <v>0</v>
      </c>
      <c r="G46" t="s">
        <v>366</v>
      </c>
      <c r="H46" s="7">
        <v>46168</v>
      </c>
    </row>
    <row r="47" spans="1:8" x14ac:dyDescent="0.25">
      <c r="A47">
        <v>44</v>
      </c>
      <c r="B47" t="s">
        <v>284</v>
      </c>
      <c r="C47" t="s">
        <v>282</v>
      </c>
      <c r="E47" s="6">
        <v>4000</v>
      </c>
      <c r="F47" t="s">
        <v>399</v>
      </c>
      <c r="G47" t="s">
        <v>366</v>
      </c>
      <c r="H47" s="7">
        <v>46168</v>
      </c>
    </row>
    <row r="48" spans="1:8" x14ac:dyDescent="0.25">
      <c r="A48">
        <v>45</v>
      </c>
      <c r="B48" t="s">
        <v>286</v>
      </c>
      <c r="C48" t="s">
        <v>282</v>
      </c>
      <c r="E48" s="6">
        <v>6000</v>
      </c>
      <c r="F48" t="s">
        <v>400</v>
      </c>
      <c r="G48" t="s">
        <v>366</v>
      </c>
      <c r="H48" s="7">
        <v>46168</v>
      </c>
    </row>
    <row r="49" spans="1:8" x14ac:dyDescent="0.25">
      <c r="A49">
        <v>46</v>
      </c>
      <c r="B49" t="s">
        <v>288</v>
      </c>
      <c r="C49" t="s">
        <v>282</v>
      </c>
      <c r="E49" s="6">
        <v>8500</v>
      </c>
      <c r="F49" t="s">
        <v>401</v>
      </c>
      <c r="G49" t="s">
        <v>366</v>
      </c>
      <c r="H49" s="7">
        <v>46168</v>
      </c>
    </row>
    <row r="50" spans="1:8" x14ac:dyDescent="0.25">
      <c r="A50">
        <v>47</v>
      </c>
      <c r="B50" t="s">
        <v>290</v>
      </c>
      <c r="C50" t="s">
        <v>282</v>
      </c>
      <c r="E50" s="6">
        <v>15000</v>
      </c>
      <c r="F50" t="s">
        <v>402</v>
      </c>
      <c r="G50" t="s">
        <v>366</v>
      </c>
      <c r="H50" s="7">
        <v>46168</v>
      </c>
    </row>
    <row r="51" spans="1:8" x14ac:dyDescent="0.25">
      <c r="A51">
        <v>48</v>
      </c>
      <c r="B51" t="s">
        <v>294</v>
      </c>
      <c r="C51" t="s">
        <v>353</v>
      </c>
      <c r="E51" s="6">
        <v>10000</v>
      </c>
      <c r="G51" t="s">
        <v>366</v>
      </c>
      <c r="H51" s="7">
        <v>46168</v>
      </c>
    </row>
    <row r="52" spans="1:8" x14ac:dyDescent="0.25">
      <c r="A52">
        <v>49</v>
      </c>
      <c r="B52" t="s">
        <v>295</v>
      </c>
      <c r="C52" t="s">
        <v>353</v>
      </c>
      <c r="E52" s="6">
        <v>25000</v>
      </c>
      <c r="G52" t="s">
        <v>366</v>
      </c>
      <c r="H52" s="7">
        <v>46168</v>
      </c>
    </row>
    <row r="53" spans="1:8" x14ac:dyDescent="0.25">
      <c r="A53">
        <v>50</v>
      </c>
      <c r="B53" t="s">
        <v>296</v>
      </c>
      <c r="C53" t="s">
        <v>353</v>
      </c>
      <c r="E53" s="6">
        <v>50000</v>
      </c>
      <c r="G53" t="s">
        <v>366</v>
      </c>
      <c r="H53" s="7">
        <v>46168</v>
      </c>
    </row>
    <row r="54" spans="1:8" x14ac:dyDescent="0.25">
      <c r="A54">
        <v>51</v>
      </c>
      <c r="B54" t="s">
        <v>297</v>
      </c>
      <c r="C54" t="s">
        <v>353</v>
      </c>
      <c r="E54" s="6">
        <v>75000</v>
      </c>
      <c r="G54" t="s">
        <v>366</v>
      </c>
      <c r="H54" s="7">
        <v>46168</v>
      </c>
    </row>
    <row r="55" spans="1:8" x14ac:dyDescent="0.25">
      <c r="A55">
        <v>52</v>
      </c>
      <c r="B55" t="s">
        <v>298</v>
      </c>
      <c r="C55" t="s">
        <v>353</v>
      </c>
      <c r="E55" s="6">
        <v>100000</v>
      </c>
      <c r="G55" t="s">
        <v>366</v>
      </c>
      <c r="H55" s="7">
        <v>46168</v>
      </c>
    </row>
    <row r="56" spans="1:8" x14ac:dyDescent="0.25">
      <c r="A56">
        <v>53</v>
      </c>
      <c r="B56" t="s">
        <v>299</v>
      </c>
      <c r="C56" t="s">
        <v>353</v>
      </c>
      <c r="E56" s="6">
        <v>200000</v>
      </c>
      <c r="G56" t="s">
        <v>366</v>
      </c>
      <c r="H56" s="7">
        <v>46168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="Veuillez sélectionner une catégorie existante." xr:uid="{00000000-0002-0000-0D00-000000000000}">
          <x14:formula1>
            <xm:f>CATEGORIES!$B$4:$B$18</xm:f>
          </x14:formula1>
          <xm:sqref>C4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DASHBOARD</vt:lpstr>
      <vt:lpstr>VENTES</vt:lpstr>
      <vt:lpstr>FOURNISSEURS</vt:lpstr>
      <vt:lpstr>STOCK_CUISINE</vt:lpstr>
      <vt:lpstr>INGREDIENTS</vt:lpstr>
      <vt:lpstr>INVENTAIRES</vt:lpstr>
      <vt:lpstr>RECETTES</vt:lpstr>
      <vt:lpstr>PLATS</vt:lpstr>
      <vt:lpstr>AIDE</vt:lpstr>
      <vt:lpstr>MATIERES_PREMIERES</vt:lpstr>
      <vt:lpstr>TABLEAUX_BORD</vt:lpstr>
      <vt:lpstr>CATEGORIES</vt:lpstr>
      <vt:lpstr>PRODUITS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Alain Patrick NKOUMOU</cp:lastModifiedBy>
  <dcterms:created xsi:type="dcterms:W3CDTF">2026-05-26T11:20:11Z</dcterms:created>
  <dcterms:modified xsi:type="dcterms:W3CDTF">2026-05-26T11:59:22Z</dcterms:modified>
</cp:coreProperties>
</file>