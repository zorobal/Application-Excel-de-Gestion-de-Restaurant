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CATEGORIES" sheetId="2" state="visible" r:id="rId2"/>
    <sheet xmlns:r="http://schemas.openxmlformats.org/officeDocument/2006/relationships" name="PRODUITS" sheetId="3" state="visible" r:id="rId3"/>
    <sheet xmlns:r="http://schemas.openxmlformats.org/officeDocument/2006/relationships" name="MATIERES_PREMIERES" sheetId="4" state="visible" r:id="rId4"/>
    <sheet xmlns:r="http://schemas.openxmlformats.org/officeDocument/2006/relationships" name="RECETTES" sheetId="5" state="visible" r:id="rId5"/>
    <sheet xmlns:r="http://schemas.openxmlformats.org/officeDocument/2006/relationships" name="INGREDIENTS" sheetId="6" state="visible" r:id="rId6"/>
    <sheet xmlns:r="http://schemas.openxmlformats.org/officeDocument/2006/relationships" name="VENTES" sheetId="7" state="visible" r:id="rId7"/>
    <sheet xmlns:r="http://schemas.openxmlformats.org/officeDocument/2006/relationships" name="FOURNISSEURS" sheetId="8" state="visible" r:id="rId8"/>
    <sheet xmlns:r="http://schemas.openxmlformats.org/officeDocument/2006/relationships" name="INVENTAIRE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TABLEAUX_BORD" sheetId="11" state="visible" r:id="rId11"/>
    <sheet xmlns:r="http://schemas.openxmlformats.org/officeDocument/2006/relationships" name="AID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 FCFA"/>
  </numFmts>
  <fonts count="11">
    <font>
      <name val="Calibri"/>
      <family val="2"/>
      <color theme="1"/>
      <sz val="11"/>
      <scheme val="minor"/>
    </font>
    <font>
      <name val="Calibri"/>
      <b val="1"/>
      <color rgb="002C3E50"/>
      <sz val="20"/>
    </font>
    <font>
      <name val="Calibri"/>
      <color rgb="002C3E50"/>
      <sz val="11"/>
    </font>
    <font>
      <name val="Calibri"/>
      <b val="1"/>
      <color rgb="0034495E"/>
      <sz val="14"/>
    </font>
    <font>
      <name val="Calibri"/>
      <color rgb="000066CC"/>
      <sz val="11"/>
      <u val="single"/>
    </font>
    <font>
      <name val="Calibri"/>
      <b val="1"/>
      <color rgb="002C3E50"/>
      <sz val="11"/>
    </font>
    <font>
      <name val="Calibri"/>
      <b val="1"/>
      <color rgb="00FFFFFF"/>
      <sz val="11"/>
    </font>
    <font>
      <b val="1"/>
      <color rgb="002ECC71"/>
      <sz val="16"/>
    </font>
    <font>
      <b val="1"/>
      <color rgb="0034495E"/>
      <sz val="16"/>
    </font>
    <font>
      <b val="1"/>
      <color rgb="00F39C12"/>
      <sz val="16"/>
    </font>
    <font>
      <b val="1"/>
      <color rgb="00E74C3C"/>
      <sz val="16"/>
    </font>
  </fonts>
  <fills count="4">
    <fill>
      <patternFill/>
    </fill>
    <fill>
      <patternFill patternType="gray125"/>
    </fill>
    <fill>
      <patternFill patternType="solid">
        <fgColor rgb="00ECF0F1"/>
        <bgColor rgb="00ECF0F1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BEE"/>
          <b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40" customWidth="1" min="8" max="8"/>
  </cols>
  <sheetData>
    <row r="1">
      <c r="A1" s="1" t="inlineStr">
        <is>
          <t>🍽️ GESTION DU RESTAURANT</t>
        </is>
      </c>
    </row>
    <row r="2">
      <c r="A2" s="2" t="inlineStr">
        <is>
          <t>Application Professionnelle de Gestion - Version 3.0</t>
        </is>
      </c>
    </row>
    <row r="4">
      <c r="A4" s="3" t="inlineStr">
        <is>
          <t>📂 MODULES PRINCIPAUX</t>
        </is>
      </c>
      <c r="H4" s="3" t="inlineStr">
        <is>
          <t>🔔 ALERTES EN TEMPS RÉEL</t>
        </is>
      </c>
    </row>
    <row r="6">
      <c r="B6" s="4" t="inlineStr">
        <is>
          <t xml:space="preserve">  📊 Dashboard  </t>
        </is>
      </c>
      <c r="H6" s="5" t="inlineStr">
        <is>
          <t>⚠️ Ruptures de stock</t>
        </is>
      </c>
    </row>
    <row r="7">
      <c r="B7" s="4" t="inlineStr">
        <is>
          <t xml:space="preserve">  🍔 Carte &amp; Produits  </t>
        </is>
      </c>
      <c r="H7" s="2" t="inlineStr">
        <is>
          <t>• Aucun produit en rupture actuellement</t>
        </is>
      </c>
    </row>
    <row r="8">
      <c r="B8" s="4" t="inlineStr">
        <is>
          <t xml:space="preserve">  📦 Matières Premières &amp; Stocks  </t>
        </is>
      </c>
    </row>
    <row r="9">
      <c r="B9" s="4" t="inlineStr">
        <is>
          <t xml:space="preserve">  👨‍🍳 Recettes &amp; Coûts  </t>
        </is>
      </c>
      <c r="H9" s="5" t="inlineStr">
        <is>
          <t>📉 Ventes du jour</t>
        </is>
      </c>
    </row>
    <row r="10">
      <c r="B10" s="4" t="inlineStr">
        <is>
          <t xml:space="preserve">  💰 Ventes Journalières  </t>
        </is>
      </c>
      <c r="H10" s="2" t="inlineStr">
        <is>
          <t>• En attente de saisie</t>
        </is>
      </c>
    </row>
    <row r="11">
      <c r="B11" s="4" t="inlineStr">
        <is>
          <t xml:space="preserve">  🚚 Fournisseurs &amp; Achats  </t>
        </is>
      </c>
    </row>
    <row r="12">
      <c r="B12" s="4" t="inlineStr">
        <is>
          <t xml:space="preserve">  📝 Inventaires  </t>
        </is>
      </c>
    </row>
    <row r="13">
      <c r="B13" s="4" t="inlineStr">
        <is>
          <t xml:space="preserve">  📈 Tableaux de Bord  </t>
        </is>
      </c>
    </row>
    <row r="14">
      <c r="B14" s="4" t="inlineStr">
        <is>
          <t xml:space="preserve">  ⚙️ Catégories  </t>
        </is>
      </c>
    </row>
    <row r="15">
      <c r="B15" s="4" t="inlineStr">
        <is>
          <t xml:space="preserve">  ❓ Aide  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D18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40" customWidth="1" min="3" max="3"/>
    <col width="15" customWidth="1" min="4" max="4"/>
  </cols>
  <sheetData>
    <row r="3">
      <c r="A3" s="6" t="inlineStr">
        <is>
          <t>ID</t>
        </is>
      </c>
      <c r="B3" s="6" t="inlineStr">
        <is>
          <t>Nom de la Catégorie</t>
        </is>
      </c>
      <c r="C3" s="6" t="inlineStr">
        <is>
          <t>Description</t>
        </is>
      </c>
      <c r="D3" s="6" t="inlineStr">
        <is>
          <t>Nombre de Produits</t>
        </is>
      </c>
    </row>
    <row r="4">
      <c r="A4" t="n">
        <v>1</v>
      </c>
      <c r="B4" t="inlineStr">
        <is>
          <t>Accompagnement</t>
        </is>
      </c>
      <c r="C4" t="inlineStr">
        <is>
          <t>Gestion de Accompagnement</t>
        </is>
      </c>
      <c r="D4">
        <f>NB.SI(PRODUITS!C:C; "Accompagnement")</f>
        <v/>
      </c>
    </row>
    <row r="5">
      <c r="A5" t="n">
        <v>2</v>
      </c>
      <c r="B5" t="inlineStr">
        <is>
          <t>Boisson</t>
        </is>
      </c>
      <c r="C5" t="inlineStr">
        <is>
          <t>Gestion de Boisson</t>
        </is>
      </c>
      <c r="D5">
        <f>NB.SI(PRODUITS!C:C; "Boisson")</f>
        <v/>
      </c>
    </row>
    <row r="6">
      <c r="A6" t="n">
        <v>3</v>
      </c>
      <c r="B6" t="inlineStr">
        <is>
          <t>Brochette</t>
        </is>
      </c>
      <c r="C6" t="inlineStr">
        <is>
          <t>Gestion de Brochette</t>
        </is>
      </c>
      <c r="D6">
        <f>NB.SI(PRODUITS!C:C; "Brochette")</f>
        <v/>
      </c>
    </row>
    <row r="7">
      <c r="A7" t="n">
        <v>4</v>
      </c>
      <c r="B7" t="inlineStr">
        <is>
          <t>Burger</t>
        </is>
      </c>
      <c r="C7" t="inlineStr">
        <is>
          <t>Gestion de Burger</t>
        </is>
      </c>
      <c r="D7">
        <f>NB.SI(PRODUITS!C:C; "Burger")</f>
        <v/>
      </c>
    </row>
    <row r="8">
      <c r="A8" t="n">
        <v>5</v>
      </c>
      <c r="B8" t="inlineStr">
        <is>
          <t>Charcuterie</t>
        </is>
      </c>
      <c r="C8" t="inlineStr">
        <is>
          <t>Gestion de Charcuterie</t>
        </is>
      </c>
      <c r="D8">
        <f>NB.SI(PRODUITS!C:C; "Charcuterie")</f>
        <v/>
      </c>
    </row>
    <row r="9">
      <c r="A9" t="n">
        <v>6</v>
      </c>
      <c r="B9" t="inlineStr">
        <is>
          <t>Fruits de mer</t>
        </is>
      </c>
      <c r="C9" t="inlineStr">
        <is>
          <t>Gestion de Fruits de mer</t>
        </is>
      </c>
      <c r="D9">
        <f>NB.SI(PRODUITS!C:C; "Fruits de mer")</f>
        <v/>
      </c>
    </row>
    <row r="10">
      <c r="A10" t="n">
        <v>7</v>
      </c>
      <c r="B10" t="inlineStr">
        <is>
          <t>Pack</t>
        </is>
      </c>
      <c r="C10" t="inlineStr">
        <is>
          <t>Gestion de Pack</t>
        </is>
      </c>
      <c r="D10">
        <f>NB.SI(PRODUITS!C:C; "Pack")</f>
        <v/>
      </c>
    </row>
    <row r="11">
      <c r="A11" t="n">
        <v>8</v>
      </c>
      <c r="B11" t="inlineStr">
        <is>
          <t>Pizza</t>
        </is>
      </c>
      <c r="C11" t="inlineStr">
        <is>
          <t>Gestion de Pizza</t>
        </is>
      </c>
      <c r="D11">
        <f>NB.SI(PRODUITS!C:C; "Pizza")</f>
        <v/>
      </c>
    </row>
    <row r="12">
      <c r="A12" t="n">
        <v>9</v>
      </c>
      <c r="B12" t="inlineStr">
        <is>
          <t>Planche</t>
        </is>
      </c>
      <c r="C12" t="inlineStr">
        <is>
          <t>Gestion de Planche</t>
        </is>
      </c>
      <c r="D12">
        <f>NB.SI(PRODUITS!C:C; "Planche")</f>
        <v/>
      </c>
    </row>
    <row r="13">
      <c r="A13" t="n">
        <v>10</v>
      </c>
      <c r="B13" t="inlineStr">
        <is>
          <t>Plat Principal</t>
        </is>
      </c>
      <c r="C13" t="inlineStr">
        <is>
          <t>Gestion de Plat Principal</t>
        </is>
      </c>
      <c r="D13">
        <f>NB.SI(PRODUITS!C:C; "Plat Principal")</f>
        <v/>
      </c>
    </row>
    <row r="14">
      <c r="A14" t="n">
        <v>11</v>
      </c>
      <c r="B14" t="inlineStr">
        <is>
          <t>Poisson</t>
        </is>
      </c>
      <c r="C14" t="inlineStr">
        <is>
          <t>Gestion de Poisson</t>
        </is>
      </c>
      <c r="D14">
        <f>NB.SI(PRODUITS!C:C; "Poisson")</f>
        <v/>
      </c>
    </row>
    <row r="15">
      <c r="A15" t="n">
        <v>12</v>
      </c>
      <c r="B15" t="inlineStr">
        <is>
          <t>Porc</t>
        </is>
      </c>
      <c r="C15" t="inlineStr">
        <is>
          <t>Gestion de Porc</t>
        </is>
      </c>
      <c r="D15">
        <f>NB.SI(PRODUITS!C:C; "Porc")</f>
        <v/>
      </c>
    </row>
    <row r="16">
      <c r="A16" t="n">
        <v>13</v>
      </c>
      <c r="B16" t="inlineStr">
        <is>
          <t>Poulet</t>
        </is>
      </c>
      <c r="C16" t="inlineStr">
        <is>
          <t>Gestion de Poulet</t>
        </is>
      </c>
      <c r="D16">
        <f>NB.SI(PRODUITS!C:C; "Poulet")</f>
        <v/>
      </c>
    </row>
    <row r="17">
      <c r="A17" t="n">
        <v>14</v>
      </c>
      <c r="B17" t="inlineStr">
        <is>
          <t>Riz Accompagné</t>
        </is>
      </c>
      <c r="C17" t="inlineStr">
        <is>
          <t>Gestion de Riz Accompagné</t>
        </is>
      </c>
      <c r="D17">
        <f>NB.SI(PRODUITS!C:C; "Riz Accompagné")</f>
        <v/>
      </c>
    </row>
    <row r="18">
      <c r="A18" t="n">
        <v>15</v>
      </c>
      <c r="B18" t="inlineStr">
        <is>
          <t>Tacos</t>
        </is>
      </c>
      <c r="C18" t="inlineStr">
        <is>
          <t>Gestion de Tacos</t>
        </is>
      </c>
      <c r="D18">
        <f>NB.SI(PRODUITS!C:C; "Tacos")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H5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25" customWidth="1" min="4" max="4"/>
    <col width="15" customWidth="1" min="5" max="5"/>
    <col width="30" customWidth="1" min="6" max="6"/>
  </cols>
  <sheetData>
    <row r="3">
      <c r="A3" s="6" t="inlineStr">
        <is>
          <t>ID</t>
        </is>
      </c>
      <c r="B3" s="6" t="inlineStr">
        <is>
          <t>Nom du Plat</t>
        </is>
      </c>
      <c r="C3" s="6" t="inlineStr">
        <is>
          <t>Catégorie</t>
        </is>
      </c>
      <c r="D3" s="6" t="inlineStr">
        <is>
          <t>Variante/Détail</t>
        </is>
      </c>
      <c r="E3" s="6" t="inlineStr">
        <is>
          <t>Prix Vente (FCFA)</t>
        </is>
      </c>
      <c r="F3" s="6" t="inlineStr">
        <is>
          <t>Observation</t>
        </is>
      </c>
      <c r="G3" s="6" t="inlineStr">
        <is>
          <t>Statut</t>
        </is>
      </c>
      <c r="H3" s="6" t="inlineStr">
        <is>
          <t>Date Maj</t>
        </is>
      </c>
    </row>
    <row r="4">
      <c r="A4" t="n">
        <v>1</v>
      </c>
      <c r="B4" t="inlineStr">
        <is>
          <t>Chicken Burger</t>
        </is>
      </c>
      <c r="C4" t="inlineStr">
        <is>
          <t>Burger</t>
        </is>
      </c>
      <c r="D4" t="inlineStr"/>
      <c r="E4" s="7" t="n">
        <v>3500</v>
      </c>
      <c r="F4" t="inlineStr"/>
      <c r="G4" t="inlineStr">
        <is>
          <t>Actif</t>
        </is>
      </c>
      <c r="H4" s="8" t="n">
        <v>46168</v>
      </c>
    </row>
    <row r="5">
      <c r="A5" t="n">
        <v>2</v>
      </c>
      <c r="B5" t="inlineStr">
        <is>
          <t>Burger Normal</t>
        </is>
      </c>
      <c r="C5" t="inlineStr">
        <is>
          <t>Burger</t>
        </is>
      </c>
      <c r="D5" t="inlineStr"/>
      <c r="E5" s="7" t="n">
        <v>3500</v>
      </c>
      <c r="F5" t="inlineStr"/>
      <c r="G5" t="inlineStr">
        <is>
          <t>Actif</t>
        </is>
      </c>
      <c r="H5" s="8" t="n">
        <v>46168</v>
      </c>
    </row>
    <row r="6">
      <c r="A6" t="n">
        <v>3</v>
      </c>
      <c r="B6" t="inlineStr">
        <is>
          <t>Brochette de porc</t>
        </is>
      </c>
      <c r="C6" t="inlineStr">
        <is>
          <t>Brochette</t>
        </is>
      </c>
      <c r="D6" t="inlineStr"/>
      <c r="E6" s="7" t="n">
        <v>3000</v>
      </c>
      <c r="F6" t="inlineStr">
        <is>
          <t>Trois Brochettes</t>
        </is>
      </c>
      <c r="G6" t="inlineStr">
        <is>
          <t>Actif</t>
        </is>
      </c>
      <c r="H6" s="8" t="n">
        <v>46168</v>
      </c>
    </row>
    <row r="7">
      <c r="A7" t="n">
        <v>4</v>
      </c>
      <c r="B7" t="inlineStr">
        <is>
          <t>Ndole Royal (Viande/Poisson/Crevette)</t>
        </is>
      </c>
      <c r="C7" t="inlineStr">
        <is>
          <t>Plat Principal</t>
        </is>
      </c>
      <c r="D7" t="inlineStr"/>
      <c r="E7" s="7" t="n">
        <v>3500</v>
      </c>
      <c r="F7" t="inlineStr"/>
      <c r="G7" t="inlineStr">
        <is>
          <t>Actif</t>
        </is>
      </c>
      <c r="H7" s="8" t="n">
        <v>46168</v>
      </c>
    </row>
    <row r="8">
      <c r="A8" t="n">
        <v>5</v>
      </c>
      <c r="B8" t="inlineStr">
        <is>
          <t>Portion Ndole</t>
        </is>
      </c>
      <c r="C8" t="inlineStr">
        <is>
          <t>Plat Principal</t>
        </is>
      </c>
      <c r="D8" t="inlineStr"/>
      <c r="E8" s="7" t="n">
        <v>1000</v>
      </c>
      <c r="F8" t="inlineStr"/>
      <c r="G8" t="inlineStr">
        <is>
          <t>Actif</t>
        </is>
      </c>
      <c r="H8" s="8" t="n">
        <v>46168</v>
      </c>
    </row>
    <row r="9">
      <c r="A9" t="n">
        <v>6</v>
      </c>
      <c r="B9" t="inlineStr">
        <is>
          <t>Free Rice Crevette</t>
        </is>
      </c>
      <c r="C9" t="inlineStr">
        <is>
          <t>Riz Accompagné</t>
        </is>
      </c>
      <c r="D9" t="inlineStr"/>
      <c r="E9" s="7" t="n">
        <v>4000</v>
      </c>
      <c r="F9" t="inlineStr"/>
      <c r="G9" t="inlineStr">
        <is>
          <t>Actif</t>
        </is>
      </c>
      <c r="H9" s="8" t="n">
        <v>46168</v>
      </c>
    </row>
    <row r="10">
      <c r="A10" t="n">
        <v>7</v>
      </c>
      <c r="B10" t="inlineStr">
        <is>
          <t>Free Rice Poulet</t>
        </is>
      </c>
      <c r="C10" t="inlineStr">
        <is>
          <t>Riz Accompagné</t>
        </is>
      </c>
      <c r="D10" t="inlineStr"/>
      <c r="E10" s="7" t="n">
        <v>3500</v>
      </c>
      <c r="F10" t="inlineStr"/>
      <c r="G10" t="inlineStr">
        <is>
          <t>Actif</t>
        </is>
      </c>
      <c r="H10" s="8" t="n">
        <v>46168</v>
      </c>
    </row>
    <row r="11">
      <c r="A11" t="n">
        <v>8</v>
      </c>
      <c r="B11" t="inlineStr">
        <is>
          <t>Poulet Pané (1/4)</t>
        </is>
      </c>
      <c r="C11" t="inlineStr">
        <is>
          <t>Poulet</t>
        </is>
      </c>
      <c r="D11" t="inlineStr"/>
      <c r="E11" s="7" t="n">
        <v>3500</v>
      </c>
      <c r="F11" t="inlineStr">
        <is>
          <t>un quart</t>
        </is>
      </c>
      <c r="G11" t="inlineStr">
        <is>
          <t>Actif</t>
        </is>
      </c>
      <c r="H11" s="8" t="n">
        <v>46168</v>
      </c>
    </row>
    <row r="12">
      <c r="A12" t="n">
        <v>9</v>
      </c>
      <c r="B12" t="inlineStr">
        <is>
          <t>Poulet Braisé (1/4)</t>
        </is>
      </c>
      <c r="C12" t="inlineStr">
        <is>
          <t>Poulet</t>
        </is>
      </c>
      <c r="D12" t="inlineStr"/>
      <c r="E12" s="7" t="n">
        <v>3000</v>
      </c>
      <c r="F12" t="inlineStr">
        <is>
          <t>un quart</t>
        </is>
      </c>
      <c r="G12" t="inlineStr">
        <is>
          <t>Actif</t>
        </is>
      </c>
      <c r="H12" s="8" t="n">
        <v>46168</v>
      </c>
    </row>
    <row r="13">
      <c r="A13" t="n">
        <v>10</v>
      </c>
      <c r="B13" t="inlineStr">
        <is>
          <t>Porc Moutarde</t>
        </is>
      </c>
      <c r="C13" t="inlineStr">
        <is>
          <t>Porc</t>
        </is>
      </c>
      <c r="D13" t="inlineStr"/>
      <c r="E13" s="7" t="n">
        <v>3500</v>
      </c>
      <c r="F13" t="inlineStr"/>
      <c r="G13" t="inlineStr">
        <is>
          <t>Actif</t>
        </is>
      </c>
      <c r="H13" s="8" t="n">
        <v>46168</v>
      </c>
    </row>
    <row r="14">
      <c r="A14" t="n">
        <v>11</v>
      </c>
      <c r="B14" t="inlineStr">
        <is>
          <t>Porc Braisé</t>
        </is>
      </c>
      <c r="C14" t="inlineStr">
        <is>
          <t>Porc</t>
        </is>
      </c>
      <c r="D14" t="inlineStr"/>
      <c r="E14" s="7" t="n">
        <v>3000</v>
      </c>
      <c r="F14" t="inlineStr"/>
      <c r="G14" t="inlineStr">
        <is>
          <t>Actif</t>
        </is>
      </c>
      <c r="H14" s="8" t="n">
        <v>46168</v>
      </c>
    </row>
    <row r="15">
      <c r="A15" t="n">
        <v>12</v>
      </c>
      <c r="B15" t="inlineStr">
        <is>
          <t>Gambas à l'ail (Petit)</t>
        </is>
      </c>
      <c r="C15" t="inlineStr">
        <is>
          <t>Fruits de mer</t>
        </is>
      </c>
      <c r="D15" t="inlineStr"/>
      <c r="E15" s="7" t="n">
        <v>6500</v>
      </c>
      <c r="F15" t="inlineStr"/>
      <c r="G15" t="inlineStr">
        <is>
          <t>Actif</t>
        </is>
      </c>
      <c r="H15" s="8" t="n">
        <v>46168</v>
      </c>
    </row>
    <row r="16">
      <c r="A16" t="n">
        <v>13</v>
      </c>
      <c r="B16" t="inlineStr">
        <is>
          <t>Gambas à l'ail (Grand)</t>
        </is>
      </c>
      <c r="C16" t="inlineStr">
        <is>
          <t>Fruits de mer</t>
        </is>
      </c>
      <c r="D16" t="inlineStr"/>
      <c r="E16" s="7" t="n">
        <v>10000</v>
      </c>
      <c r="F16" t="inlineStr"/>
      <c r="G16" t="inlineStr">
        <is>
          <t>Actif</t>
        </is>
      </c>
      <c r="H16" s="8" t="n">
        <v>46168</v>
      </c>
    </row>
    <row r="17">
      <c r="A17" t="n">
        <v>14</v>
      </c>
      <c r="B17" t="inlineStr">
        <is>
          <t>Gambas Braisées (Petit)</t>
        </is>
      </c>
      <c r="C17" t="inlineStr">
        <is>
          <t>Fruits de mer</t>
        </is>
      </c>
      <c r="D17" t="inlineStr"/>
      <c r="E17" s="7" t="n">
        <v>6500</v>
      </c>
      <c r="F17" t="inlineStr"/>
      <c r="G17" t="inlineStr">
        <is>
          <t>Actif</t>
        </is>
      </c>
      <c r="H17" s="8" t="n">
        <v>46168</v>
      </c>
    </row>
    <row r="18">
      <c r="A18" t="n">
        <v>15</v>
      </c>
      <c r="B18" t="inlineStr">
        <is>
          <t>Gambas Braisées (Grand)</t>
        </is>
      </c>
      <c r="C18" t="inlineStr">
        <is>
          <t>Fruits de mer</t>
        </is>
      </c>
      <c r="D18" t="inlineStr"/>
      <c r="E18" s="7" t="n">
        <v>10000</v>
      </c>
      <c r="F18" t="inlineStr"/>
      <c r="G18" t="inlineStr">
        <is>
          <t>Actif</t>
        </is>
      </c>
      <c r="H18" s="8" t="n">
        <v>46168</v>
      </c>
    </row>
    <row r="19">
      <c r="A19" t="n">
        <v>16</v>
      </c>
      <c r="B19" t="inlineStr">
        <is>
          <t>Saucisse (x2)</t>
        </is>
      </c>
      <c r="C19" t="inlineStr">
        <is>
          <t>Charcuterie</t>
        </is>
      </c>
      <c r="D19" t="inlineStr"/>
      <c r="E19" s="7" t="n">
        <v>3500</v>
      </c>
      <c r="F19" t="inlineStr">
        <is>
          <t>x 2</t>
        </is>
      </c>
      <c r="G19" t="inlineStr">
        <is>
          <t>Actif</t>
        </is>
      </c>
      <c r="H19" s="8" t="n">
        <v>46168</v>
      </c>
    </row>
    <row r="20">
      <c r="A20" t="n">
        <v>17</v>
      </c>
      <c r="B20" t="inlineStr">
        <is>
          <t>Tacos Poulet</t>
        </is>
      </c>
      <c r="C20" t="inlineStr">
        <is>
          <t>Tacos</t>
        </is>
      </c>
      <c r="D20" t="inlineStr"/>
      <c r="E20" s="7" t="n">
        <v>4000</v>
      </c>
      <c r="F20" t="inlineStr"/>
      <c r="G20" t="inlineStr">
        <is>
          <t>Actif</t>
        </is>
      </c>
      <c r="H20" s="8" t="n">
        <v>46168</v>
      </c>
    </row>
    <row r="21">
      <c r="A21" t="n">
        <v>18</v>
      </c>
      <c r="B21" t="inlineStr">
        <is>
          <t>Tacos Viande</t>
        </is>
      </c>
      <c r="C21" t="inlineStr">
        <is>
          <t>Tacos</t>
        </is>
      </c>
      <c r="D21" t="inlineStr"/>
      <c r="E21" s="7" t="n">
        <v>3500</v>
      </c>
      <c r="F21" t="inlineStr"/>
      <c r="G21" t="inlineStr">
        <is>
          <t>Actif</t>
        </is>
      </c>
      <c r="H21" s="8" t="n">
        <v>46168</v>
      </c>
    </row>
    <row r="22">
      <c r="A22" t="n">
        <v>19</v>
      </c>
      <c r="B22" t="inlineStr">
        <is>
          <t>Pizza Saeven (Solo)</t>
        </is>
      </c>
      <c r="C22" t="inlineStr">
        <is>
          <t>Pizza</t>
        </is>
      </c>
      <c r="D22" t="inlineStr"/>
      <c r="E22" s="7" t="n">
        <v>3500</v>
      </c>
      <c r="F22" t="inlineStr"/>
      <c r="G22" t="inlineStr">
        <is>
          <t>Actif</t>
        </is>
      </c>
      <c r="H22" s="8" t="n">
        <v>46168</v>
      </c>
    </row>
    <row r="23">
      <c r="A23" t="n">
        <v>20</v>
      </c>
      <c r="B23" t="inlineStr">
        <is>
          <t>Pizza Spices Bonita (Solo)</t>
        </is>
      </c>
      <c r="C23" t="inlineStr">
        <is>
          <t>Pizza</t>
        </is>
      </c>
      <c r="D23" t="inlineStr"/>
      <c r="E23" s="7" t="n">
        <v>3000</v>
      </c>
      <c r="F23" t="inlineStr"/>
      <c r="G23" t="inlineStr">
        <is>
          <t>Actif</t>
        </is>
      </c>
      <c r="H23" s="8" t="n">
        <v>46168</v>
      </c>
    </row>
    <row r="24">
      <c r="A24" t="n">
        <v>21</v>
      </c>
      <c r="B24" t="inlineStr">
        <is>
          <t>Pizza Bimbia Cheese (Solo)</t>
        </is>
      </c>
      <c r="C24" t="inlineStr">
        <is>
          <t>Pizza</t>
        </is>
      </c>
      <c r="D24" t="inlineStr"/>
      <c r="E24" s="7" t="n">
        <v>2500</v>
      </c>
      <c r="F24" t="inlineStr"/>
      <c r="G24" t="inlineStr">
        <is>
          <t>Actif</t>
        </is>
      </c>
      <c r="H24" s="8" t="n">
        <v>46168</v>
      </c>
    </row>
    <row r="25">
      <c r="A25" t="n">
        <v>22</v>
      </c>
      <c r="B25" t="inlineStr">
        <is>
          <t>Pizza Végétarienne (Solo)</t>
        </is>
      </c>
      <c r="C25" t="inlineStr">
        <is>
          <t>Pizza</t>
        </is>
      </c>
      <c r="D25" t="inlineStr"/>
      <c r="E25" s="7" t="n">
        <v>2500</v>
      </c>
      <c r="F25" t="inlineStr"/>
      <c r="G25" t="inlineStr">
        <is>
          <t>Actif</t>
        </is>
      </c>
      <c r="H25" s="8" t="n">
        <v>46168</v>
      </c>
    </row>
    <row r="26">
      <c r="A26" t="n">
        <v>23</v>
      </c>
      <c r="B26" t="inlineStr">
        <is>
          <t>Pizza Saeven (Duo)</t>
        </is>
      </c>
      <c r="C26" t="inlineStr">
        <is>
          <t>Pizza</t>
        </is>
      </c>
      <c r="D26" t="inlineStr"/>
      <c r="E26" s="7" t="n">
        <v>7000</v>
      </c>
      <c r="F26" t="inlineStr"/>
      <c r="G26" t="inlineStr">
        <is>
          <t>Actif</t>
        </is>
      </c>
      <c r="H26" s="8" t="n">
        <v>46168</v>
      </c>
    </row>
    <row r="27">
      <c r="A27" t="n">
        <v>24</v>
      </c>
      <c r="B27" t="inlineStr">
        <is>
          <t>Pizza Spices Bonita (Duo)</t>
        </is>
      </c>
      <c r="C27" t="inlineStr">
        <is>
          <t>Pizza</t>
        </is>
      </c>
      <c r="D27" t="inlineStr"/>
      <c r="E27" s="7" t="n">
        <v>6000</v>
      </c>
      <c r="F27" t="inlineStr"/>
      <c r="G27" t="inlineStr">
        <is>
          <t>Actif</t>
        </is>
      </c>
      <c r="H27" s="8" t="n">
        <v>46168</v>
      </c>
    </row>
    <row r="28">
      <c r="A28" t="n">
        <v>25</v>
      </c>
      <c r="B28" t="inlineStr">
        <is>
          <t>Pizza Bimbia Cheese (Duo)</t>
        </is>
      </c>
      <c r="C28" t="inlineStr">
        <is>
          <t>Pizza</t>
        </is>
      </c>
      <c r="D28" t="inlineStr"/>
      <c r="E28" s="7" t="n">
        <v>4500</v>
      </c>
      <c r="F28" t="inlineStr"/>
      <c r="G28" t="inlineStr">
        <is>
          <t>Actif</t>
        </is>
      </c>
      <c r="H28" s="8" t="n">
        <v>46168</v>
      </c>
    </row>
    <row r="29">
      <c r="A29" t="n">
        <v>26</v>
      </c>
      <c r="B29" t="inlineStr">
        <is>
          <t>Pizza Végétarienne (Duo)</t>
        </is>
      </c>
      <c r="C29" t="inlineStr">
        <is>
          <t>Pizza</t>
        </is>
      </c>
      <c r="D29" t="inlineStr"/>
      <c r="E29" s="7" t="n">
        <v>5000</v>
      </c>
      <c r="F29" t="inlineStr"/>
      <c r="G29" t="inlineStr">
        <is>
          <t>Actif</t>
        </is>
      </c>
      <c r="H29" s="8" t="n">
        <v>46168</v>
      </c>
    </row>
    <row r="30">
      <c r="A30" t="n">
        <v>27</v>
      </c>
      <c r="B30" t="inlineStr">
        <is>
          <t>Pizza Saeven (Familiale)</t>
        </is>
      </c>
      <c r="C30" t="inlineStr">
        <is>
          <t>Pizza</t>
        </is>
      </c>
      <c r="D30" t="inlineStr"/>
      <c r="E30" s="7" t="n">
        <v>13500</v>
      </c>
      <c r="F30" t="inlineStr"/>
      <c r="G30" t="inlineStr">
        <is>
          <t>Actif</t>
        </is>
      </c>
      <c r="H30" s="8" t="n">
        <v>46168</v>
      </c>
    </row>
    <row r="31">
      <c r="A31" t="n">
        <v>28</v>
      </c>
      <c r="B31" t="inlineStr">
        <is>
          <t>Pizza Spices Bonita (Familiale)</t>
        </is>
      </c>
      <c r="C31" t="inlineStr">
        <is>
          <t>Pizza</t>
        </is>
      </c>
      <c r="D31" t="inlineStr"/>
      <c r="E31" s="7" t="n">
        <v>12000</v>
      </c>
      <c r="F31" t="inlineStr"/>
      <c r="G31" t="inlineStr">
        <is>
          <t>Actif</t>
        </is>
      </c>
      <c r="H31" s="8" t="n">
        <v>46168</v>
      </c>
    </row>
    <row r="32">
      <c r="A32" t="n">
        <v>29</v>
      </c>
      <c r="B32" t="inlineStr">
        <is>
          <t>Pizza Bimbia Cheese (Familiale)</t>
        </is>
      </c>
      <c r="C32" t="inlineStr">
        <is>
          <t>Pizza</t>
        </is>
      </c>
      <c r="D32" t="inlineStr"/>
      <c r="E32" s="7" t="n">
        <v>10000</v>
      </c>
      <c r="F32" t="inlineStr"/>
      <c r="G32" t="inlineStr">
        <is>
          <t>Actif</t>
        </is>
      </c>
      <c r="H32" s="8" t="n">
        <v>46168</v>
      </c>
    </row>
    <row r="33">
      <c r="A33" t="n">
        <v>30</v>
      </c>
      <c r="B33" t="inlineStr">
        <is>
          <t>Pizza Végétarienne (Familiale)</t>
        </is>
      </c>
      <c r="C33" t="inlineStr">
        <is>
          <t>Pizza</t>
        </is>
      </c>
      <c r="D33" t="inlineStr"/>
      <c r="E33" s="7" t="n">
        <v>11000</v>
      </c>
      <c r="F33" t="inlineStr"/>
      <c r="G33" t="inlineStr">
        <is>
          <t>Actif</t>
        </is>
      </c>
      <c r="H33" s="8" t="n">
        <v>46168</v>
      </c>
    </row>
    <row r="34">
      <c r="A34" t="n">
        <v>31</v>
      </c>
      <c r="B34" t="inlineStr">
        <is>
          <t>Carpe (Petit)</t>
        </is>
      </c>
      <c r="C34" t="inlineStr">
        <is>
          <t>Poisson</t>
        </is>
      </c>
      <c r="D34" t="inlineStr"/>
      <c r="E34" s="7" t="n">
        <v>5000</v>
      </c>
      <c r="F34" t="inlineStr"/>
      <c r="G34" t="inlineStr">
        <is>
          <t>Actif</t>
        </is>
      </c>
      <c r="H34" s="8" t="n">
        <v>46168</v>
      </c>
    </row>
    <row r="35">
      <c r="A35" t="n">
        <v>32</v>
      </c>
      <c r="B35" t="inlineStr">
        <is>
          <t>Carpe (Grand)</t>
        </is>
      </c>
      <c r="C35" t="inlineStr">
        <is>
          <t>Poisson</t>
        </is>
      </c>
      <c r="D35" t="inlineStr"/>
      <c r="E35" s="7" t="n">
        <v>8000</v>
      </c>
      <c r="F35" t="inlineStr"/>
      <c r="G35" t="inlineStr">
        <is>
          <t>Actif</t>
        </is>
      </c>
      <c r="H35" s="8" t="n">
        <v>46168</v>
      </c>
    </row>
    <row r="36">
      <c r="A36" t="n">
        <v>33</v>
      </c>
      <c r="B36" t="inlineStr">
        <is>
          <t>Sol (Petit)</t>
        </is>
      </c>
      <c r="C36" t="inlineStr">
        <is>
          <t>Poisson</t>
        </is>
      </c>
      <c r="D36" t="inlineStr"/>
      <c r="E36" s="7" t="n">
        <v>9000</v>
      </c>
      <c r="F36" t="inlineStr"/>
      <c r="G36" t="inlineStr">
        <is>
          <t>Actif</t>
        </is>
      </c>
      <c r="H36" s="8" t="n">
        <v>46168</v>
      </c>
    </row>
    <row r="37">
      <c r="A37" t="n">
        <v>34</v>
      </c>
      <c r="B37" t="inlineStr">
        <is>
          <t>Sol (Grand)</t>
        </is>
      </c>
      <c r="C37" t="inlineStr">
        <is>
          <t>Poisson</t>
        </is>
      </c>
      <c r="D37" t="inlineStr"/>
      <c r="E37" s="7" t="n">
        <v>11000</v>
      </c>
      <c r="F37" t="inlineStr"/>
      <c r="G37" t="inlineStr">
        <is>
          <t>Actif</t>
        </is>
      </c>
      <c r="H37" s="8" t="n">
        <v>46168</v>
      </c>
    </row>
    <row r="38">
      <c r="A38" t="n">
        <v>35</v>
      </c>
      <c r="B38" t="inlineStr">
        <is>
          <t>Bar (Petit)</t>
        </is>
      </c>
      <c r="C38" t="inlineStr">
        <is>
          <t>Poisson</t>
        </is>
      </c>
      <c r="D38" t="inlineStr"/>
      <c r="E38" s="7" t="n">
        <v>7000</v>
      </c>
      <c r="F38" t="inlineStr"/>
      <c r="G38" t="inlineStr">
        <is>
          <t>Actif</t>
        </is>
      </c>
      <c r="H38" s="8" t="n">
        <v>46168</v>
      </c>
    </row>
    <row r="39">
      <c r="A39" t="n">
        <v>36</v>
      </c>
      <c r="B39" t="inlineStr">
        <is>
          <t>Bar (Grand)</t>
        </is>
      </c>
      <c r="C39" t="inlineStr">
        <is>
          <t>Poisson</t>
        </is>
      </c>
      <c r="D39" t="inlineStr"/>
      <c r="E39" s="7" t="n">
        <v>10000</v>
      </c>
      <c r="F39" t="inlineStr"/>
      <c r="G39" t="inlineStr">
        <is>
          <t>Actif</t>
        </is>
      </c>
      <c r="H39" s="8" t="n">
        <v>46168</v>
      </c>
    </row>
    <row r="40">
      <c r="A40" t="n">
        <v>37</v>
      </c>
      <c r="B40" t="inlineStr">
        <is>
          <t>Jus Naturel / Bisap (Litre)</t>
        </is>
      </c>
      <c r="C40" t="inlineStr">
        <is>
          <t>Boisson</t>
        </is>
      </c>
      <c r="D40" t="inlineStr"/>
      <c r="E40" s="7" t="n">
        <v>2000</v>
      </c>
      <c r="F40" t="inlineStr">
        <is>
          <t>Conso à 1000</t>
        </is>
      </c>
      <c r="G40" t="inlineStr">
        <is>
          <t>Actif</t>
        </is>
      </c>
      <c r="H40" s="8" t="n">
        <v>46168</v>
      </c>
    </row>
    <row r="41">
      <c r="A41" t="n">
        <v>38</v>
      </c>
      <c r="B41" t="inlineStr">
        <is>
          <t>Jus de Saison (Verre)</t>
        </is>
      </c>
      <c r="C41" t="inlineStr">
        <is>
          <t>Boisson</t>
        </is>
      </c>
      <c r="D41" t="inlineStr"/>
      <c r="E41" s="7" t="n">
        <v>3500</v>
      </c>
      <c r="F41" t="inlineStr"/>
      <c r="G41" t="inlineStr">
        <is>
          <t>Actif</t>
        </is>
      </c>
      <c r="H41" s="8" t="n">
        <v>46168</v>
      </c>
    </row>
    <row r="42">
      <c r="A42" t="n">
        <v>39</v>
      </c>
      <c r="B42" t="inlineStr">
        <is>
          <t>Jus de Saison (Litre)</t>
        </is>
      </c>
      <c r="C42" t="inlineStr">
        <is>
          <t>Boisson</t>
        </is>
      </c>
      <c r="D42" t="inlineStr"/>
      <c r="E42" s="7" t="n">
        <v>2000</v>
      </c>
      <c r="F42" t="inlineStr"/>
      <c r="G42" t="inlineStr">
        <is>
          <t>Actif</t>
        </is>
      </c>
      <c r="H42" s="8" t="n">
        <v>46168</v>
      </c>
    </row>
    <row r="43">
      <c r="A43" t="n">
        <v>40</v>
      </c>
      <c r="B43" t="inlineStr">
        <is>
          <t>Riz</t>
        </is>
      </c>
      <c r="C43" t="inlineStr">
        <is>
          <t>Accompagnement</t>
        </is>
      </c>
      <c r="D43" t="inlineStr"/>
      <c r="E43" s="7" t="n">
        <v>0</v>
      </c>
      <c r="F43" t="inlineStr">
        <is>
          <t>Inclus ou à définir</t>
        </is>
      </c>
      <c r="G43" t="inlineStr">
        <is>
          <t>Actif</t>
        </is>
      </c>
      <c r="H43" s="8" t="n">
        <v>46168</v>
      </c>
    </row>
    <row r="44">
      <c r="A44" t="n">
        <v>41</v>
      </c>
      <c r="B44" t="inlineStr">
        <is>
          <t>Frites de pomme de terre</t>
        </is>
      </c>
      <c r="C44" t="inlineStr">
        <is>
          <t>Accompagnement</t>
        </is>
      </c>
      <c r="D44" t="inlineStr"/>
      <c r="E44" s="7" t="n">
        <v>0</v>
      </c>
      <c r="F44" t="inlineStr"/>
      <c r="G44" t="inlineStr">
        <is>
          <t>Actif</t>
        </is>
      </c>
      <c r="H44" s="8" t="n">
        <v>46168</v>
      </c>
    </row>
    <row r="45">
      <c r="A45" t="n">
        <v>42</v>
      </c>
      <c r="B45" t="inlineStr">
        <is>
          <t>Frites de plantain</t>
        </is>
      </c>
      <c r="C45" t="inlineStr">
        <is>
          <t>Accompagnement</t>
        </is>
      </c>
      <c r="D45" t="inlineStr"/>
      <c r="E45" s="7" t="n">
        <v>0</v>
      </c>
      <c r="F45" t="inlineStr"/>
      <c r="G45" t="inlineStr">
        <is>
          <t>Actif</t>
        </is>
      </c>
      <c r="H45" s="8" t="n">
        <v>46168</v>
      </c>
    </row>
    <row r="46">
      <c r="A46" t="n">
        <v>43</v>
      </c>
      <c r="B46" t="inlineStr">
        <is>
          <t>Miondo</t>
        </is>
      </c>
      <c r="C46" t="inlineStr">
        <is>
          <t>Accompagnement</t>
        </is>
      </c>
      <c r="D46" t="inlineStr"/>
      <c r="E46" s="7" t="n">
        <v>0</v>
      </c>
      <c r="F46" t="inlineStr"/>
      <c r="G46" t="inlineStr">
        <is>
          <t>Actif</t>
        </is>
      </c>
      <c r="H46" s="8" t="n">
        <v>46168</v>
      </c>
    </row>
    <row r="47">
      <c r="A47" t="n">
        <v>44</v>
      </c>
      <c r="B47" t="inlineStr">
        <is>
          <t>Pack Brise Snack</t>
        </is>
      </c>
      <c r="C47" t="inlineStr">
        <is>
          <t>Pack</t>
        </is>
      </c>
      <c r="D47" t="inlineStr"/>
      <c r="E47" s="7" t="n">
        <v>4000</v>
      </c>
      <c r="F47" t="inlineStr">
        <is>
          <t>2 poulet, frit, jus</t>
        </is>
      </c>
      <c r="G47" t="inlineStr">
        <is>
          <t>Actif</t>
        </is>
      </c>
      <c r="H47" s="8" t="n">
        <v>46168</v>
      </c>
    </row>
    <row r="48">
      <c r="A48" t="n">
        <v>45</v>
      </c>
      <c r="B48" t="inlineStr">
        <is>
          <t>Pack Sunset Combo</t>
        </is>
      </c>
      <c r="C48" t="inlineStr">
        <is>
          <t>Pack</t>
        </is>
      </c>
      <c r="D48" t="inlineStr"/>
      <c r="E48" s="7" t="n">
        <v>6000</v>
      </c>
      <c r="F48" t="inlineStr">
        <is>
          <t>Burger, poulet, frit, jus</t>
        </is>
      </c>
      <c r="G48" t="inlineStr">
        <is>
          <t>Actif</t>
        </is>
      </c>
      <c r="H48" s="8" t="n">
        <v>46168</v>
      </c>
    </row>
    <row r="49">
      <c r="A49" t="n">
        <v>46</v>
      </c>
      <c r="B49" t="inlineStr">
        <is>
          <t>Pack Ocean Duo</t>
        </is>
      </c>
      <c r="C49" t="inlineStr">
        <is>
          <t>Pack</t>
        </is>
      </c>
      <c r="D49" t="inlineStr"/>
      <c r="E49" s="7" t="n">
        <v>8500</v>
      </c>
      <c r="F49" t="inlineStr">
        <is>
          <t>2 burger, tacos, frit, jus</t>
        </is>
      </c>
      <c r="G49" t="inlineStr">
        <is>
          <t>Actif</t>
        </is>
      </c>
      <c r="H49" s="8" t="n">
        <v>46168</v>
      </c>
    </row>
    <row r="50">
      <c r="A50" t="n">
        <v>47</v>
      </c>
      <c r="B50" t="inlineStr">
        <is>
          <t>Pack Bonita Family</t>
        </is>
      </c>
      <c r="C50" t="inlineStr">
        <is>
          <t>Pack</t>
        </is>
      </c>
      <c r="D50" t="inlineStr"/>
      <c r="E50" s="7" t="n">
        <v>15000</v>
      </c>
      <c r="F50" t="inlineStr">
        <is>
          <t>1/2 poulet, 2 burger, litre jus, 2 frit</t>
        </is>
      </c>
      <c r="G50" t="inlineStr">
        <is>
          <t>Actif</t>
        </is>
      </c>
      <c r="H50" s="8" t="n">
        <v>46168</v>
      </c>
    </row>
    <row r="51">
      <c r="A51" t="n">
        <v>48</v>
      </c>
      <c r="B51" t="inlineStr">
        <is>
          <t>Planche Brise Marine</t>
        </is>
      </c>
      <c r="C51" t="inlineStr">
        <is>
          <t>Planche</t>
        </is>
      </c>
      <c r="D51" t="inlineStr"/>
      <c r="E51" s="7" t="n">
        <v>10000</v>
      </c>
      <c r="F51" t="inlineStr"/>
      <c r="G51" t="inlineStr">
        <is>
          <t>Actif</t>
        </is>
      </c>
      <c r="H51" s="8" t="n">
        <v>46168</v>
      </c>
    </row>
    <row r="52">
      <c r="A52" t="n">
        <v>49</v>
      </c>
      <c r="B52" t="inlineStr">
        <is>
          <t>Planche Sunset</t>
        </is>
      </c>
      <c r="C52" t="inlineStr">
        <is>
          <t>Planche</t>
        </is>
      </c>
      <c r="D52" t="inlineStr"/>
      <c r="E52" s="7" t="n">
        <v>25000</v>
      </c>
      <c r="F52" t="inlineStr"/>
      <c r="G52" t="inlineStr">
        <is>
          <t>Actif</t>
        </is>
      </c>
      <c r="H52" s="8" t="n">
        <v>46168</v>
      </c>
    </row>
    <row r="53">
      <c r="A53" t="n">
        <v>50</v>
      </c>
      <c r="B53" t="inlineStr">
        <is>
          <t>Planche Océan Royale</t>
        </is>
      </c>
      <c r="C53" t="inlineStr">
        <is>
          <t>Planche</t>
        </is>
      </c>
      <c r="D53" t="inlineStr"/>
      <c r="E53" s="7" t="n">
        <v>50000</v>
      </c>
      <c r="F53" t="inlineStr"/>
      <c r="G53" t="inlineStr">
        <is>
          <t>Actif</t>
        </is>
      </c>
      <c r="H53" s="8" t="n">
        <v>46168</v>
      </c>
    </row>
    <row r="54">
      <c r="A54" t="n">
        <v>51</v>
      </c>
      <c r="B54" t="inlineStr">
        <is>
          <t>Planche Paradise</t>
        </is>
      </c>
      <c r="C54" t="inlineStr">
        <is>
          <t>Planche</t>
        </is>
      </c>
      <c r="D54" t="inlineStr"/>
      <c r="E54" s="7" t="n">
        <v>75000</v>
      </c>
      <c r="F54" t="inlineStr"/>
      <c r="G54" t="inlineStr">
        <is>
          <t>Actif</t>
        </is>
      </c>
      <c r="H54" s="8" t="n">
        <v>46168</v>
      </c>
    </row>
    <row r="55">
      <c r="A55" t="n">
        <v>52</v>
      </c>
      <c r="B55" t="inlineStr">
        <is>
          <t>Planche Isla Prestige</t>
        </is>
      </c>
      <c r="C55" t="inlineStr">
        <is>
          <t>Planche</t>
        </is>
      </c>
      <c r="D55" t="inlineStr"/>
      <c r="E55" s="7" t="n">
        <v>100000</v>
      </c>
      <c r="F55" t="inlineStr"/>
      <c r="G55" t="inlineStr">
        <is>
          <t>Actif</t>
        </is>
      </c>
      <c r="H55" s="8" t="n">
        <v>46168</v>
      </c>
    </row>
    <row r="56">
      <c r="A56" t="n">
        <v>53</v>
      </c>
      <c r="B56" t="inlineStr">
        <is>
          <t>Planche Bonita Supreme</t>
        </is>
      </c>
      <c r="C56" t="inlineStr">
        <is>
          <t>Planche</t>
        </is>
      </c>
      <c r="D56" t="inlineStr"/>
      <c r="E56" s="7" t="n">
        <v>200000</v>
      </c>
      <c r="F56" t="inlineStr"/>
      <c r="G56" t="inlineStr">
        <is>
          <t>Actif</t>
        </is>
      </c>
      <c r="H56" s="8" t="n">
        <v>46168</v>
      </c>
    </row>
  </sheetData>
  <dataValidations count="1">
    <dataValidation sqref="C4" showDropDown="0" showInputMessage="0" showErrorMessage="0" allowBlank="1" error="Veuillez sélectionner une catégorie existante." type="list">
      <formula1>CATEGORIES!$B$4:$B$18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J108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2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5" customWidth="1" min="10" max="10"/>
  </cols>
  <sheetData>
    <row r="3">
      <c r="A3" s="6" t="inlineStr">
        <is>
          <t>ID</t>
        </is>
      </c>
      <c r="B3" s="6" t="inlineStr">
        <is>
          <t>Catégorie</t>
        </is>
      </c>
      <c r="C3" s="6" t="inlineStr">
        <is>
          <t>Sous-Catégorie</t>
        </is>
      </c>
      <c r="D3" s="6" t="inlineStr">
        <is>
          <t>Unité</t>
        </is>
      </c>
      <c r="E3" s="6" t="inlineStr">
        <is>
          <t>Stock Initial</t>
        </is>
      </c>
      <c r="F3" s="6" t="inlineStr">
        <is>
          <t>Entrées</t>
        </is>
      </c>
      <c r="G3" s="6" t="inlineStr">
        <is>
          <t>Sorties</t>
        </is>
      </c>
      <c r="H3" s="6" t="inlineStr">
        <is>
          <t>Stock Final</t>
        </is>
      </c>
      <c r="I3" s="6" t="inlineStr">
        <is>
          <t>Coût Unitaire</t>
        </is>
      </c>
      <c r="J3" s="6" t="inlineStr">
        <is>
          <t>Valeur Totale</t>
        </is>
      </c>
    </row>
    <row r="4">
      <c r="A4" t="n">
        <v>1</v>
      </c>
      <c r="B4" t="inlineStr">
        <is>
          <t>Viandes</t>
        </is>
      </c>
      <c r="C4" t="inlineStr">
        <is>
          <t>Poulet entier</t>
        </is>
      </c>
      <c r="D4" t="inlineStr">
        <is>
          <t>Morceau</t>
        </is>
      </c>
      <c r="E4" s="7" t="n">
        <v>0</v>
      </c>
      <c r="F4" s="7" t="n">
        <v>0</v>
      </c>
      <c r="G4" s="7" t="n">
        <v>0</v>
      </c>
      <c r="H4" s="7">
        <f>E4+F4-G4</f>
        <v/>
      </c>
      <c r="I4" s="7" t="n">
        <v>0</v>
      </c>
      <c r="J4" s="7">
        <f>H4*I4</f>
        <v/>
      </c>
    </row>
    <row r="5">
      <c r="A5" t="n">
        <v>2</v>
      </c>
      <c r="B5" t="inlineStr">
        <is>
          <t>Viandes</t>
        </is>
      </c>
      <c r="C5" t="inlineStr">
        <is>
          <t>Aile de Poulet</t>
        </is>
      </c>
      <c r="D5" t="inlineStr">
        <is>
          <t>Morceau</t>
        </is>
      </c>
      <c r="E5" s="7" t="n">
        <v>0</v>
      </c>
      <c r="F5" s="7" t="n">
        <v>0</v>
      </c>
      <c r="G5" s="7" t="n">
        <v>0</v>
      </c>
      <c r="H5" s="7">
        <f>E5+F5-G5</f>
        <v/>
      </c>
      <c r="I5" s="7" t="n">
        <v>0</v>
      </c>
      <c r="J5" s="7">
        <f>H5*I5</f>
        <v/>
      </c>
    </row>
    <row r="6">
      <c r="A6" t="n">
        <v>3</v>
      </c>
      <c r="B6" t="inlineStr">
        <is>
          <t>Viandes</t>
        </is>
      </c>
      <c r="C6" t="inlineStr">
        <is>
          <t>Cuisse de poulet</t>
        </is>
      </c>
      <c r="D6" t="inlineStr">
        <is>
          <t>Morceau</t>
        </is>
      </c>
      <c r="E6" s="7" t="n">
        <v>0</v>
      </c>
      <c r="F6" s="7" t="n">
        <v>0</v>
      </c>
      <c r="G6" s="7" t="n">
        <v>0</v>
      </c>
      <c r="H6" s="7">
        <f>E6+F6-G6</f>
        <v/>
      </c>
      <c r="I6" s="7" t="n">
        <v>0</v>
      </c>
      <c r="J6" s="7">
        <f>H6*I6</f>
        <v/>
      </c>
    </row>
    <row r="7">
      <c r="A7" t="n">
        <v>4</v>
      </c>
      <c r="B7" t="inlineStr">
        <is>
          <t>Viandes</t>
        </is>
      </c>
      <c r="C7" t="inlineStr">
        <is>
          <t>Bœuf</t>
        </is>
      </c>
      <c r="D7" t="inlineStr">
        <is>
          <t>Morceau</t>
        </is>
      </c>
      <c r="E7" s="7" t="n">
        <v>0</v>
      </c>
      <c r="F7" s="7" t="n">
        <v>0</v>
      </c>
      <c r="G7" s="7" t="n">
        <v>0</v>
      </c>
      <c r="H7" s="7">
        <f>E7+F7-G7</f>
        <v/>
      </c>
      <c r="I7" s="7" t="n">
        <v>0</v>
      </c>
      <c r="J7" s="7">
        <f>H7*I7</f>
        <v/>
      </c>
    </row>
    <row r="8">
      <c r="A8" t="n">
        <v>5</v>
      </c>
      <c r="B8" t="inlineStr">
        <is>
          <t>Viandes</t>
        </is>
      </c>
      <c r="C8" t="inlineStr">
        <is>
          <t>Saucisse</t>
        </is>
      </c>
      <c r="D8" t="inlineStr">
        <is>
          <t>Pièce</t>
        </is>
      </c>
      <c r="E8" s="7" t="n">
        <v>0</v>
      </c>
      <c r="F8" s="7" t="n">
        <v>0</v>
      </c>
      <c r="G8" s="7" t="n">
        <v>0</v>
      </c>
      <c r="H8" s="7">
        <f>E8+F8-G8</f>
        <v/>
      </c>
      <c r="I8" s="7" t="n">
        <v>0</v>
      </c>
      <c r="J8" s="7">
        <f>H8*I8</f>
        <v/>
      </c>
    </row>
    <row r="9">
      <c r="A9" t="n">
        <v>6</v>
      </c>
      <c r="B9" t="inlineStr">
        <is>
          <t>Viandes</t>
        </is>
      </c>
      <c r="C9" t="inlineStr">
        <is>
          <t>Porc</t>
        </is>
      </c>
      <c r="D9" t="inlineStr">
        <is>
          <t>Morceau</t>
        </is>
      </c>
      <c r="E9" s="7" t="n">
        <v>0</v>
      </c>
      <c r="F9" s="7" t="n">
        <v>0</v>
      </c>
      <c r="G9" s="7" t="n">
        <v>0</v>
      </c>
      <c r="H9" s="7">
        <f>E9+F9-G9</f>
        <v/>
      </c>
      <c r="I9" s="7" t="n">
        <v>0</v>
      </c>
      <c r="J9" s="7">
        <f>H9*I9</f>
        <v/>
      </c>
    </row>
    <row r="10">
      <c r="A10" t="n">
        <v>7</v>
      </c>
      <c r="B10" t="inlineStr">
        <is>
          <t>Viandes</t>
        </is>
      </c>
      <c r="C10" t="inlineStr">
        <is>
          <t>Œuf</t>
        </is>
      </c>
      <c r="D10" t="inlineStr">
        <is>
          <t>Alvéole</t>
        </is>
      </c>
      <c r="E10" s="7" t="n">
        <v>0</v>
      </c>
      <c r="F10" s="7" t="n">
        <v>0</v>
      </c>
      <c r="G10" s="7" t="n">
        <v>0</v>
      </c>
      <c r="H10" s="7">
        <f>E10+F10-G10</f>
        <v/>
      </c>
      <c r="I10" s="7" t="n">
        <v>0</v>
      </c>
      <c r="J10" s="7">
        <f>H10*I10</f>
        <v/>
      </c>
    </row>
    <row r="11">
      <c r="A11" t="n">
        <v>8</v>
      </c>
      <c r="B11" t="inlineStr">
        <is>
          <t>Viandes</t>
        </is>
      </c>
      <c r="C11" t="inlineStr">
        <is>
          <t>Viandes hachées</t>
        </is>
      </c>
      <c r="D11" t="inlineStr">
        <is>
          <t>Pièce</t>
        </is>
      </c>
      <c r="E11" s="7" t="n">
        <v>0</v>
      </c>
      <c r="F11" s="7" t="n">
        <v>0</v>
      </c>
      <c r="G11" s="7" t="n">
        <v>0</v>
      </c>
      <c r="H11" s="7">
        <f>E11+F11-G11</f>
        <v/>
      </c>
      <c r="I11" s="7" t="n">
        <v>0</v>
      </c>
      <c r="J11" s="7">
        <f>H11*I11</f>
        <v/>
      </c>
    </row>
    <row r="12">
      <c r="A12" t="n">
        <v>9</v>
      </c>
      <c r="B12" t="inlineStr">
        <is>
          <t>Poissons &amp; Fruits de mer</t>
        </is>
      </c>
      <c r="C12" t="inlineStr">
        <is>
          <t>Carpe</t>
        </is>
      </c>
      <c r="D12" t="inlineStr">
        <is>
          <t>Pièce</t>
        </is>
      </c>
      <c r="E12" s="7" t="n">
        <v>0</v>
      </c>
      <c r="F12" s="7" t="n">
        <v>0</v>
      </c>
      <c r="G12" s="7" t="n">
        <v>0</v>
      </c>
      <c r="H12" s="7">
        <f>E12+F12-G12</f>
        <v/>
      </c>
      <c r="I12" s="7" t="n">
        <v>0</v>
      </c>
      <c r="J12" s="7">
        <f>H12*I12</f>
        <v/>
      </c>
    </row>
    <row r="13">
      <c r="A13" t="n">
        <v>10</v>
      </c>
      <c r="B13" t="inlineStr">
        <is>
          <t>Poissons &amp; Fruits de mer</t>
        </is>
      </c>
      <c r="C13" t="inlineStr">
        <is>
          <t>Sole</t>
        </is>
      </c>
      <c r="D13" t="inlineStr">
        <is>
          <t>Pièce</t>
        </is>
      </c>
      <c r="E13" s="7" t="n">
        <v>0</v>
      </c>
      <c r="F13" s="7" t="n">
        <v>0</v>
      </c>
      <c r="G13" s="7" t="n">
        <v>0</v>
      </c>
      <c r="H13" s="7">
        <f>E13+F13-G13</f>
        <v/>
      </c>
      <c r="I13" s="7" t="n">
        <v>0</v>
      </c>
      <c r="J13" s="7">
        <f>H13*I13</f>
        <v/>
      </c>
    </row>
    <row r="14">
      <c r="A14" t="n">
        <v>11</v>
      </c>
      <c r="B14" t="inlineStr">
        <is>
          <t>Poissons &amp; Fruits de mer</t>
        </is>
      </c>
      <c r="C14" t="inlineStr">
        <is>
          <t>Bar</t>
        </is>
      </c>
      <c r="D14" t="inlineStr">
        <is>
          <t>Pièce</t>
        </is>
      </c>
      <c r="E14" s="7" t="n">
        <v>0</v>
      </c>
      <c r="F14" s="7" t="n">
        <v>0</v>
      </c>
      <c r="G14" s="7" t="n">
        <v>0</v>
      </c>
      <c r="H14" s="7">
        <f>E14+F14-G14</f>
        <v/>
      </c>
      <c r="I14" s="7" t="n">
        <v>0</v>
      </c>
      <c r="J14" s="7">
        <f>H14*I14</f>
        <v/>
      </c>
    </row>
    <row r="15">
      <c r="A15" t="n">
        <v>12</v>
      </c>
      <c r="B15" t="inlineStr">
        <is>
          <t>Poissons &amp; Fruits de mer</t>
        </is>
      </c>
      <c r="C15" t="inlineStr">
        <is>
          <t>Gambas</t>
        </is>
      </c>
      <c r="D15" t="inlineStr">
        <is>
          <t>Pièce</t>
        </is>
      </c>
      <c r="E15" s="7" t="n">
        <v>0</v>
      </c>
      <c r="F15" s="7" t="n">
        <v>0</v>
      </c>
      <c r="G15" s="7" t="n">
        <v>0</v>
      </c>
      <c r="H15" s="7">
        <f>E15+F15-G15</f>
        <v/>
      </c>
      <c r="I15" s="7" t="n">
        <v>0</v>
      </c>
      <c r="J15" s="7">
        <f>H15*I15</f>
        <v/>
      </c>
    </row>
    <row r="16">
      <c r="A16" t="n">
        <v>13</v>
      </c>
      <c r="B16" t="inlineStr">
        <is>
          <t>Poissons &amp; Fruits de mer</t>
        </is>
      </c>
      <c r="C16" t="inlineStr">
        <is>
          <t>Crevette</t>
        </is>
      </c>
      <c r="D16" t="inlineStr">
        <is>
          <t>Pièce</t>
        </is>
      </c>
      <c r="E16" s="7" t="n">
        <v>0</v>
      </c>
      <c r="F16" s="7" t="n">
        <v>0</v>
      </c>
      <c r="G16" s="7" t="n">
        <v>0</v>
      </c>
      <c r="H16" s="7">
        <f>E16+F16-G16</f>
        <v/>
      </c>
      <c r="I16" s="7" t="n">
        <v>0</v>
      </c>
      <c r="J16" s="7">
        <f>H16*I16</f>
        <v/>
      </c>
    </row>
    <row r="17">
      <c r="A17" t="n">
        <v>14</v>
      </c>
      <c r="B17" t="inlineStr">
        <is>
          <t>Légumes frais</t>
        </is>
      </c>
      <c r="C17" t="inlineStr">
        <is>
          <t>Carottes</t>
        </is>
      </c>
      <c r="D17" t="inlineStr">
        <is>
          <t>Lot</t>
        </is>
      </c>
      <c r="E17" s="7" t="n">
        <v>0</v>
      </c>
      <c r="F17" s="7" t="n">
        <v>0</v>
      </c>
      <c r="G17" s="7" t="n">
        <v>0</v>
      </c>
      <c r="H17" s="7">
        <f>E17+F17-G17</f>
        <v/>
      </c>
      <c r="I17" s="7" t="n">
        <v>0</v>
      </c>
      <c r="J17" s="7">
        <f>H17*I17</f>
        <v/>
      </c>
    </row>
    <row r="18">
      <c r="A18" t="n">
        <v>15</v>
      </c>
      <c r="B18" t="inlineStr">
        <is>
          <t>Légumes frais</t>
        </is>
      </c>
      <c r="C18" t="inlineStr">
        <is>
          <t>Pommes de terre</t>
        </is>
      </c>
      <c r="D18" t="inlineStr">
        <is>
          <t>Lot</t>
        </is>
      </c>
      <c r="E18" s="7" t="n">
        <v>0</v>
      </c>
      <c r="F18" s="7" t="n">
        <v>0</v>
      </c>
      <c r="G18" s="7" t="n">
        <v>0</v>
      </c>
      <c r="H18" s="7">
        <f>E18+F18-G18</f>
        <v/>
      </c>
      <c r="I18" s="7" t="n">
        <v>0</v>
      </c>
      <c r="J18" s="7">
        <f>H18*I18</f>
        <v/>
      </c>
    </row>
    <row r="19">
      <c r="A19" t="n">
        <v>16</v>
      </c>
      <c r="B19" t="inlineStr">
        <is>
          <t>Légumes frais</t>
        </is>
      </c>
      <c r="C19" t="inlineStr">
        <is>
          <t>Gingembre</t>
        </is>
      </c>
      <c r="D19" t="inlineStr">
        <is>
          <t>Lot</t>
        </is>
      </c>
      <c r="E19" s="7" t="n">
        <v>0</v>
      </c>
      <c r="F19" s="7" t="n">
        <v>0</v>
      </c>
      <c r="G19" s="7" t="n">
        <v>0</v>
      </c>
      <c r="H19" s="7">
        <f>E19+F19-G19</f>
        <v/>
      </c>
      <c r="I19" s="7" t="n">
        <v>0</v>
      </c>
      <c r="J19" s="7">
        <f>H19*I19</f>
        <v/>
      </c>
    </row>
    <row r="20">
      <c r="A20" t="n">
        <v>17</v>
      </c>
      <c r="B20" t="inlineStr">
        <is>
          <t>Légumes frais</t>
        </is>
      </c>
      <c r="C20" t="inlineStr">
        <is>
          <t>Choux</t>
        </is>
      </c>
      <c r="D20" t="inlineStr">
        <is>
          <t>Lot</t>
        </is>
      </c>
      <c r="E20" s="7" t="n">
        <v>0</v>
      </c>
      <c r="F20" s="7" t="n">
        <v>0</v>
      </c>
      <c r="G20" s="7" t="n">
        <v>0</v>
      </c>
      <c r="H20" s="7">
        <f>E20+F20-G20</f>
        <v/>
      </c>
      <c r="I20" s="7" t="n">
        <v>0</v>
      </c>
      <c r="J20" s="7">
        <f>H20*I20</f>
        <v/>
      </c>
    </row>
    <row r="21">
      <c r="A21" t="n">
        <v>18</v>
      </c>
      <c r="B21" t="inlineStr">
        <is>
          <t>Légumes frais</t>
        </is>
      </c>
      <c r="C21" t="inlineStr">
        <is>
          <t>Salade</t>
        </is>
      </c>
      <c r="D21" t="inlineStr">
        <is>
          <t>Lot</t>
        </is>
      </c>
      <c r="E21" s="7" t="n">
        <v>0</v>
      </c>
      <c r="F21" s="7" t="n">
        <v>0</v>
      </c>
      <c r="G21" s="7" t="n">
        <v>0</v>
      </c>
      <c r="H21" s="7">
        <f>E21+F21-G21</f>
        <v/>
      </c>
      <c r="I21" s="7" t="n">
        <v>0</v>
      </c>
      <c r="J21" s="7">
        <f>H21*I21</f>
        <v/>
      </c>
    </row>
    <row r="22">
      <c r="A22" t="n">
        <v>19</v>
      </c>
      <c r="B22" t="inlineStr">
        <is>
          <t>Légumes frais</t>
        </is>
      </c>
      <c r="C22" t="inlineStr">
        <is>
          <t>Tomates</t>
        </is>
      </c>
      <c r="D22" t="inlineStr">
        <is>
          <t>Cageot</t>
        </is>
      </c>
      <c r="E22" s="7" t="n">
        <v>0</v>
      </c>
      <c r="F22" s="7" t="n">
        <v>0</v>
      </c>
      <c r="G22" s="7" t="n">
        <v>0</v>
      </c>
      <c r="H22" s="7">
        <f>E22+F22-G22</f>
        <v/>
      </c>
      <c r="I22" s="7" t="n">
        <v>0</v>
      </c>
      <c r="J22" s="7">
        <f>H22*I22</f>
        <v/>
      </c>
    </row>
    <row r="23">
      <c r="A23" t="n">
        <v>20</v>
      </c>
      <c r="B23" t="inlineStr">
        <is>
          <t>Légumes frais</t>
        </is>
      </c>
      <c r="C23" t="inlineStr">
        <is>
          <t>Poivrons</t>
        </is>
      </c>
      <c r="D23" t="inlineStr">
        <is>
          <t>Lot</t>
        </is>
      </c>
      <c r="E23" s="7" t="n">
        <v>0</v>
      </c>
      <c r="F23" s="7" t="n">
        <v>0</v>
      </c>
      <c r="G23" s="7" t="n">
        <v>0</v>
      </c>
      <c r="H23" s="7">
        <f>E23+F23-G23</f>
        <v/>
      </c>
      <c r="I23" s="7" t="n">
        <v>0</v>
      </c>
      <c r="J23" s="7">
        <f>H23*I23</f>
        <v/>
      </c>
    </row>
    <row r="24">
      <c r="A24" t="n">
        <v>21</v>
      </c>
      <c r="B24" t="inlineStr">
        <is>
          <t>Légumes frais</t>
        </is>
      </c>
      <c r="C24" t="inlineStr">
        <is>
          <t>Aubergines</t>
        </is>
      </c>
      <c r="D24" t="inlineStr">
        <is>
          <t>Lot</t>
        </is>
      </c>
      <c r="E24" s="7" t="n">
        <v>0</v>
      </c>
      <c r="F24" s="7" t="n">
        <v>0</v>
      </c>
      <c r="G24" s="7" t="n">
        <v>0</v>
      </c>
      <c r="H24" s="7">
        <f>E24+F24-G24</f>
        <v/>
      </c>
      <c r="I24" s="7" t="n">
        <v>0</v>
      </c>
      <c r="J24" s="7">
        <f>H24*I24</f>
        <v/>
      </c>
    </row>
    <row r="25">
      <c r="A25" t="n">
        <v>22</v>
      </c>
      <c r="B25" t="inlineStr">
        <is>
          <t>Légumes frais</t>
        </is>
      </c>
      <c r="C25" t="inlineStr">
        <is>
          <t>Oignons</t>
        </is>
      </c>
      <c r="D25" t="inlineStr">
        <is>
          <t>Lot</t>
        </is>
      </c>
      <c r="E25" s="7" t="n">
        <v>0</v>
      </c>
      <c r="F25" s="7" t="n">
        <v>0</v>
      </c>
      <c r="G25" s="7" t="n">
        <v>0</v>
      </c>
      <c r="H25" s="7">
        <f>E25+F25-G25</f>
        <v/>
      </c>
      <c r="I25" s="7" t="n">
        <v>0</v>
      </c>
      <c r="J25" s="7">
        <f>H25*I25</f>
        <v/>
      </c>
    </row>
    <row r="26">
      <c r="A26" t="n">
        <v>23</v>
      </c>
      <c r="B26" t="inlineStr">
        <is>
          <t>Légumes frais</t>
        </is>
      </c>
      <c r="C26" t="inlineStr">
        <is>
          <t>Ail</t>
        </is>
      </c>
      <c r="D26" t="inlineStr">
        <is>
          <t>Lot</t>
        </is>
      </c>
      <c r="E26" s="7" t="n">
        <v>0</v>
      </c>
      <c r="F26" s="7" t="n">
        <v>0</v>
      </c>
      <c r="G26" s="7" t="n">
        <v>0</v>
      </c>
      <c r="H26" s="7">
        <f>E26+F26-G26</f>
        <v/>
      </c>
      <c r="I26" s="7" t="n">
        <v>0</v>
      </c>
      <c r="J26" s="7">
        <f>H26*I26</f>
        <v/>
      </c>
    </row>
    <row r="27">
      <c r="A27" t="n">
        <v>24</v>
      </c>
      <c r="B27" t="inlineStr">
        <is>
          <t>Légumes frais</t>
        </is>
      </c>
      <c r="C27" t="inlineStr">
        <is>
          <t>Poireaux</t>
        </is>
      </c>
      <c r="D27" t="inlineStr">
        <is>
          <t>Lot</t>
        </is>
      </c>
      <c r="E27" s="7" t="n">
        <v>0</v>
      </c>
      <c r="F27" s="7" t="n">
        <v>0</v>
      </c>
      <c r="G27" s="7" t="n">
        <v>0</v>
      </c>
      <c r="H27" s="7">
        <f>E27+F27-G27</f>
        <v/>
      </c>
      <c r="I27" s="7" t="n">
        <v>0</v>
      </c>
      <c r="J27" s="7">
        <f>H27*I27</f>
        <v/>
      </c>
    </row>
    <row r="28">
      <c r="A28" t="n">
        <v>25</v>
      </c>
      <c r="B28" t="inlineStr">
        <is>
          <t>Légumes frais</t>
        </is>
      </c>
      <c r="C28" t="inlineStr">
        <is>
          <t>Haricots verts</t>
        </is>
      </c>
      <c r="D28" t="inlineStr">
        <is>
          <t>Lot</t>
        </is>
      </c>
      <c r="E28" s="7" t="n">
        <v>0</v>
      </c>
      <c r="F28" s="7" t="n">
        <v>0</v>
      </c>
      <c r="G28" s="7" t="n">
        <v>0</v>
      </c>
      <c r="H28" s="7">
        <f>E28+F28-G28</f>
        <v/>
      </c>
      <c r="I28" s="7" t="n">
        <v>0</v>
      </c>
      <c r="J28" s="7">
        <f>H28*I28</f>
        <v/>
      </c>
    </row>
    <row r="29">
      <c r="A29" t="n">
        <v>26</v>
      </c>
      <c r="B29" t="inlineStr">
        <is>
          <t>Légumes frais</t>
        </is>
      </c>
      <c r="C29" t="inlineStr">
        <is>
          <t>Persil</t>
        </is>
      </c>
      <c r="D29" t="inlineStr">
        <is>
          <t>Lot</t>
        </is>
      </c>
      <c r="E29" s="7" t="n">
        <v>0</v>
      </c>
      <c r="F29" s="7" t="n">
        <v>0</v>
      </c>
      <c r="G29" s="7" t="n">
        <v>0</v>
      </c>
      <c r="H29" s="7">
        <f>E29+F29-G29</f>
        <v/>
      </c>
      <c r="I29" s="7" t="n">
        <v>0</v>
      </c>
      <c r="J29" s="7">
        <f>H29*I29</f>
        <v/>
      </c>
    </row>
    <row r="30">
      <c r="A30" t="n">
        <v>27</v>
      </c>
      <c r="B30" t="inlineStr">
        <is>
          <t>Légumes frais</t>
        </is>
      </c>
      <c r="C30" t="inlineStr">
        <is>
          <t>Curcuma</t>
        </is>
      </c>
      <c r="D30" t="inlineStr">
        <is>
          <t>Boite</t>
        </is>
      </c>
      <c r="E30" s="7" t="n">
        <v>0</v>
      </c>
      <c r="F30" s="7" t="n">
        <v>0</v>
      </c>
      <c r="G30" s="7" t="n">
        <v>0</v>
      </c>
      <c r="H30" s="7">
        <f>E30+F30-G30</f>
        <v/>
      </c>
      <c r="I30" s="7" t="n">
        <v>0</v>
      </c>
      <c r="J30" s="7">
        <f>H30*I30</f>
        <v/>
      </c>
    </row>
    <row r="31">
      <c r="A31" t="n">
        <v>28</v>
      </c>
      <c r="B31" t="inlineStr">
        <is>
          <t>Légumes frais</t>
        </is>
      </c>
      <c r="C31" t="inlineStr">
        <is>
          <t>Poivre</t>
        </is>
      </c>
      <c r="D31" t="inlineStr">
        <is>
          <t>Lot</t>
        </is>
      </c>
      <c r="E31" s="7" t="n">
        <v>0</v>
      </c>
      <c r="F31" s="7" t="n">
        <v>0</v>
      </c>
      <c r="G31" s="7" t="n">
        <v>0</v>
      </c>
      <c r="H31" s="7">
        <f>E31+F31-G31</f>
        <v/>
      </c>
      <c r="I31" s="7" t="n">
        <v>0</v>
      </c>
      <c r="J31" s="7">
        <f>H31*I31</f>
        <v/>
      </c>
    </row>
    <row r="32">
      <c r="A32" t="n">
        <v>29</v>
      </c>
      <c r="B32" t="inlineStr">
        <is>
          <t>Légumes frais</t>
        </is>
      </c>
      <c r="C32" t="inlineStr">
        <is>
          <t>Courgettes</t>
        </is>
      </c>
      <c r="D32" t="inlineStr">
        <is>
          <t>Lot</t>
        </is>
      </c>
      <c r="E32" s="7" t="n">
        <v>0</v>
      </c>
      <c r="F32" s="7" t="n">
        <v>0</v>
      </c>
      <c r="G32" s="7" t="n">
        <v>0</v>
      </c>
      <c r="H32" s="7">
        <f>E32+F32-G32</f>
        <v/>
      </c>
      <c r="I32" s="7" t="n">
        <v>0</v>
      </c>
      <c r="J32" s="7">
        <f>H32*I32</f>
        <v/>
      </c>
    </row>
    <row r="33">
      <c r="A33" t="n">
        <v>30</v>
      </c>
      <c r="B33" t="inlineStr">
        <is>
          <t>Légumes frais</t>
        </is>
      </c>
      <c r="C33" t="inlineStr">
        <is>
          <t>Piments</t>
        </is>
      </c>
      <c r="D33" t="inlineStr">
        <is>
          <t>Lot</t>
        </is>
      </c>
      <c r="E33" s="7" t="n">
        <v>0</v>
      </c>
      <c r="F33" s="7" t="n">
        <v>0</v>
      </c>
      <c r="G33" s="7" t="n">
        <v>0</v>
      </c>
      <c r="H33" s="7">
        <f>E33+F33-G33</f>
        <v/>
      </c>
      <c r="I33" s="7" t="n">
        <v>0</v>
      </c>
      <c r="J33" s="7">
        <f>H33*I33</f>
        <v/>
      </c>
    </row>
    <row r="34">
      <c r="A34" t="n">
        <v>31</v>
      </c>
      <c r="B34" t="inlineStr">
        <is>
          <t>Fruits frais</t>
        </is>
      </c>
      <c r="C34" t="inlineStr">
        <is>
          <t>Orange</t>
        </is>
      </c>
      <c r="D34" t="inlineStr">
        <is>
          <t>Pièce</t>
        </is>
      </c>
      <c r="E34" s="7" t="n">
        <v>0</v>
      </c>
      <c r="F34" s="7" t="n">
        <v>0</v>
      </c>
      <c r="G34" s="7" t="n">
        <v>0</v>
      </c>
      <c r="H34" s="7">
        <f>E34+F34-G34</f>
        <v/>
      </c>
      <c r="I34" s="7" t="n">
        <v>0</v>
      </c>
      <c r="J34" s="7">
        <f>H34*I34</f>
        <v/>
      </c>
    </row>
    <row r="35">
      <c r="A35" t="n">
        <v>32</v>
      </c>
      <c r="B35" t="inlineStr">
        <is>
          <t>Fruits frais</t>
        </is>
      </c>
      <c r="C35" t="inlineStr">
        <is>
          <t>Papaye</t>
        </is>
      </c>
      <c r="D35" t="inlineStr">
        <is>
          <t>Pièce</t>
        </is>
      </c>
      <c r="E35" s="7" t="n">
        <v>0</v>
      </c>
      <c r="F35" s="7" t="n">
        <v>0</v>
      </c>
      <c r="G35" s="7" t="n">
        <v>0</v>
      </c>
      <c r="H35" s="7">
        <f>E35+F35-G35</f>
        <v/>
      </c>
      <c r="I35" s="7" t="n">
        <v>0</v>
      </c>
      <c r="J35" s="7">
        <f>H35*I35</f>
        <v/>
      </c>
    </row>
    <row r="36">
      <c r="A36" t="n">
        <v>33</v>
      </c>
      <c r="B36" t="inlineStr">
        <is>
          <t>Fruits frais</t>
        </is>
      </c>
      <c r="C36" t="inlineStr">
        <is>
          <t>Mangue</t>
        </is>
      </c>
      <c r="D36" t="inlineStr">
        <is>
          <t>Pièce</t>
        </is>
      </c>
      <c r="E36" s="7" t="n">
        <v>0</v>
      </c>
      <c r="F36" s="7" t="n">
        <v>0</v>
      </c>
      <c r="G36" s="7" t="n">
        <v>0</v>
      </c>
      <c r="H36" s="7">
        <f>E36+F36-G36</f>
        <v/>
      </c>
      <c r="I36" s="7" t="n">
        <v>0</v>
      </c>
      <c r="J36" s="7">
        <f>H36*I36</f>
        <v/>
      </c>
    </row>
    <row r="37">
      <c r="A37" t="n">
        <v>34</v>
      </c>
      <c r="B37" t="inlineStr">
        <is>
          <t>Fruits frais</t>
        </is>
      </c>
      <c r="C37" t="inlineStr">
        <is>
          <t>Citron</t>
        </is>
      </c>
      <c r="D37" t="inlineStr">
        <is>
          <t>Pièce</t>
        </is>
      </c>
      <c r="E37" s="7" t="n">
        <v>0</v>
      </c>
      <c r="F37" s="7" t="n">
        <v>0</v>
      </c>
      <c r="G37" s="7" t="n">
        <v>0</v>
      </c>
      <c r="H37" s="7">
        <f>E37+F37-G37</f>
        <v/>
      </c>
      <c r="I37" s="7" t="n">
        <v>0</v>
      </c>
      <c r="J37" s="7">
        <f>H37*I37</f>
        <v/>
      </c>
    </row>
    <row r="38">
      <c r="A38" t="n">
        <v>35</v>
      </c>
      <c r="B38" t="inlineStr">
        <is>
          <t>Fruits frais</t>
        </is>
      </c>
      <c r="C38" t="inlineStr">
        <is>
          <t>Goyave</t>
        </is>
      </c>
      <c r="D38" t="inlineStr">
        <is>
          <t>Pièce</t>
        </is>
      </c>
      <c r="E38" s="7" t="n">
        <v>0</v>
      </c>
      <c r="F38" s="7" t="n">
        <v>0</v>
      </c>
      <c r="G38" s="7" t="n">
        <v>0</v>
      </c>
      <c r="H38" s="7">
        <f>E38+F38-G38</f>
        <v/>
      </c>
      <c r="I38" s="7" t="n">
        <v>0</v>
      </c>
      <c r="J38" s="7">
        <f>H38*I38</f>
        <v/>
      </c>
    </row>
    <row r="39">
      <c r="A39" t="n">
        <v>36</v>
      </c>
      <c r="B39" t="inlineStr">
        <is>
          <t>Fruits frais</t>
        </is>
      </c>
      <c r="C39" t="inlineStr">
        <is>
          <t>Mandarine</t>
        </is>
      </c>
      <c r="D39" t="inlineStr">
        <is>
          <t>Pièce</t>
        </is>
      </c>
      <c r="E39" s="7" t="n">
        <v>0</v>
      </c>
      <c r="F39" s="7" t="n">
        <v>0</v>
      </c>
      <c r="G39" s="7" t="n">
        <v>0</v>
      </c>
      <c r="H39" s="7">
        <f>E39+F39-G39</f>
        <v/>
      </c>
      <c r="I39" s="7" t="n">
        <v>0</v>
      </c>
      <c r="J39" s="7">
        <f>H39*I39</f>
        <v/>
      </c>
    </row>
    <row r="40">
      <c r="A40" t="n">
        <v>37</v>
      </c>
      <c r="B40" t="inlineStr">
        <is>
          <t>Fruits frais</t>
        </is>
      </c>
      <c r="C40" t="inlineStr">
        <is>
          <t>Pastèque</t>
        </is>
      </c>
      <c r="D40" t="inlineStr">
        <is>
          <t>Pièce</t>
        </is>
      </c>
      <c r="E40" s="7" t="n">
        <v>0</v>
      </c>
      <c r="F40" s="7" t="n">
        <v>0</v>
      </c>
      <c r="G40" s="7" t="n">
        <v>0</v>
      </c>
      <c r="H40" s="7">
        <f>E40+F40-G40</f>
        <v/>
      </c>
      <c r="I40" s="7" t="n">
        <v>0</v>
      </c>
      <c r="J40" s="7">
        <f>H40*I40</f>
        <v/>
      </c>
    </row>
    <row r="41">
      <c r="A41" t="n">
        <v>38</v>
      </c>
      <c r="B41" t="inlineStr">
        <is>
          <t>Fruits frais</t>
        </is>
      </c>
      <c r="C41" t="inlineStr">
        <is>
          <t>Pamplemousse</t>
        </is>
      </c>
      <c r="D41" t="inlineStr">
        <is>
          <t>Pièce</t>
        </is>
      </c>
      <c r="E41" s="7" t="n">
        <v>0</v>
      </c>
      <c r="F41" s="7" t="n">
        <v>0</v>
      </c>
      <c r="G41" s="7" t="n">
        <v>0</v>
      </c>
      <c r="H41" s="7">
        <f>E41+F41-G41</f>
        <v/>
      </c>
      <c r="I41" s="7" t="n">
        <v>0</v>
      </c>
      <c r="J41" s="7">
        <f>H41*I41</f>
        <v/>
      </c>
    </row>
    <row r="42">
      <c r="A42" t="n">
        <v>39</v>
      </c>
      <c r="B42" t="inlineStr">
        <is>
          <t>Fruits frais</t>
        </is>
      </c>
      <c r="C42" t="inlineStr">
        <is>
          <t>Fruits pour jus</t>
        </is>
      </c>
      <c r="D42" t="inlineStr">
        <is>
          <t>Pièce</t>
        </is>
      </c>
      <c r="E42" s="7" t="n">
        <v>0</v>
      </c>
      <c r="F42" s="7" t="n">
        <v>0</v>
      </c>
      <c r="G42" s="7" t="n">
        <v>0</v>
      </c>
      <c r="H42" s="7">
        <f>E42+F42-G42</f>
        <v/>
      </c>
      <c r="I42" s="7" t="n">
        <v>0</v>
      </c>
      <c r="J42" s="7">
        <f>H42*I42</f>
        <v/>
      </c>
    </row>
    <row r="43">
      <c r="A43" t="n">
        <v>40</v>
      </c>
      <c r="B43" t="inlineStr">
        <is>
          <t>Produits secs &amp; épicerie</t>
        </is>
      </c>
      <c r="C43" t="inlineStr">
        <is>
          <t>Riz</t>
        </is>
      </c>
      <c r="D43" t="inlineStr">
        <is>
          <t>Kg</t>
        </is>
      </c>
      <c r="E43" s="7" t="n">
        <v>0</v>
      </c>
      <c r="F43" s="7" t="n">
        <v>0</v>
      </c>
      <c r="G43" s="7" t="n">
        <v>0</v>
      </c>
      <c r="H43" s="7">
        <f>E43+F43-G43</f>
        <v/>
      </c>
      <c r="I43" s="7" t="n">
        <v>0</v>
      </c>
      <c r="J43" s="7">
        <f>H43*I43</f>
        <v/>
      </c>
    </row>
    <row r="44">
      <c r="A44" t="n">
        <v>41</v>
      </c>
      <c r="B44" t="inlineStr">
        <is>
          <t>Produits secs &amp; épicerie</t>
        </is>
      </c>
      <c r="C44" t="inlineStr">
        <is>
          <t>Pâtes</t>
        </is>
      </c>
      <c r="D44" t="inlineStr">
        <is>
          <t>gm</t>
        </is>
      </c>
      <c r="E44" s="7" t="n">
        <v>0</v>
      </c>
      <c r="F44" s="7" t="n">
        <v>0</v>
      </c>
      <c r="G44" s="7" t="n">
        <v>0</v>
      </c>
      <c r="H44" s="7">
        <f>E44+F44-G44</f>
        <v/>
      </c>
      <c r="I44" s="7" t="n">
        <v>0</v>
      </c>
      <c r="J44" s="7">
        <f>H44*I44</f>
        <v/>
      </c>
    </row>
    <row r="45">
      <c r="A45" t="n">
        <v>42</v>
      </c>
      <c r="B45" t="inlineStr">
        <is>
          <t>Produits secs &amp; épicerie</t>
        </is>
      </c>
      <c r="C45" t="inlineStr">
        <is>
          <t>Haricots</t>
        </is>
      </c>
      <c r="D45" t="inlineStr">
        <is>
          <t>Kg</t>
        </is>
      </c>
      <c r="E45" s="7" t="n">
        <v>0</v>
      </c>
      <c r="F45" s="7" t="n">
        <v>0</v>
      </c>
      <c r="G45" s="7" t="n">
        <v>0</v>
      </c>
      <c r="H45" s="7">
        <f>E45+F45-G45</f>
        <v/>
      </c>
      <c r="I45" s="7" t="n">
        <v>0</v>
      </c>
      <c r="J45" s="7">
        <f>H45*I45</f>
        <v/>
      </c>
    </row>
    <row r="46">
      <c r="A46" t="n">
        <v>43</v>
      </c>
      <c r="B46" t="inlineStr">
        <is>
          <t>Produits secs &amp; épicerie</t>
        </is>
      </c>
      <c r="C46" t="inlineStr">
        <is>
          <t>Farines</t>
        </is>
      </c>
      <c r="D46" t="inlineStr">
        <is>
          <t>Kg</t>
        </is>
      </c>
      <c r="E46" s="7" t="n">
        <v>0</v>
      </c>
      <c r="F46" s="7" t="n">
        <v>0</v>
      </c>
      <c r="G46" s="7" t="n">
        <v>0</v>
      </c>
      <c r="H46" s="7">
        <f>E46+F46-G46</f>
        <v/>
      </c>
      <c r="I46" s="7" t="n">
        <v>0</v>
      </c>
      <c r="J46" s="7">
        <f>H46*I46</f>
        <v/>
      </c>
    </row>
    <row r="47">
      <c r="A47" t="n">
        <v>44</v>
      </c>
      <c r="B47" t="inlineStr">
        <is>
          <t>Produits secs &amp; épicerie</t>
        </is>
      </c>
      <c r="C47" t="inlineStr">
        <is>
          <t>Sucres</t>
        </is>
      </c>
      <c r="D47" t="inlineStr">
        <is>
          <t>Kg</t>
        </is>
      </c>
      <c r="E47" s="7" t="n">
        <v>0</v>
      </c>
      <c r="F47" s="7" t="n">
        <v>0</v>
      </c>
      <c r="G47" s="7" t="n">
        <v>0</v>
      </c>
      <c r="H47" s="7">
        <f>E47+F47-G47</f>
        <v/>
      </c>
      <c r="I47" s="7" t="n">
        <v>0</v>
      </c>
      <c r="J47" s="7">
        <f>H47*I47</f>
        <v/>
      </c>
    </row>
    <row r="48">
      <c r="A48" t="n">
        <v>45</v>
      </c>
      <c r="B48" t="inlineStr">
        <is>
          <t>Produits secs &amp; épicerie</t>
        </is>
      </c>
      <c r="C48" t="inlineStr">
        <is>
          <t>Sel</t>
        </is>
      </c>
      <c r="D48" t="inlineStr">
        <is>
          <t>Kg</t>
        </is>
      </c>
      <c r="E48" s="7" t="n">
        <v>0</v>
      </c>
      <c r="F48" s="7" t="n">
        <v>0</v>
      </c>
      <c r="G48" s="7" t="n">
        <v>0</v>
      </c>
      <c r="H48" s="7">
        <f>E48+F48-G48</f>
        <v/>
      </c>
      <c r="I48" s="7" t="n">
        <v>0</v>
      </c>
      <c r="J48" s="7">
        <f>H48*I48</f>
        <v/>
      </c>
    </row>
    <row r="49">
      <c r="A49" t="n">
        <v>46</v>
      </c>
      <c r="B49" t="inlineStr">
        <is>
          <t>Produits secs &amp; épicerie</t>
        </is>
      </c>
      <c r="C49" t="inlineStr">
        <is>
          <t>Bouillons &amp; cubes</t>
        </is>
      </c>
      <c r="D49" t="inlineStr">
        <is>
          <t>Paquet</t>
        </is>
      </c>
      <c r="E49" s="7" t="n">
        <v>0</v>
      </c>
      <c r="F49" s="7" t="n">
        <v>0</v>
      </c>
      <c r="G49" s="7" t="n">
        <v>0</v>
      </c>
      <c r="H49" s="7">
        <f>E49+F49-G49</f>
        <v/>
      </c>
      <c r="I49" s="7" t="n">
        <v>0</v>
      </c>
      <c r="J49" s="7">
        <f>H49*I49</f>
        <v/>
      </c>
    </row>
    <row r="50">
      <c r="A50" t="n">
        <v>47</v>
      </c>
      <c r="B50" t="inlineStr">
        <is>
          <t>Produits secs &amp; épicerie</t>
        </is>
      </c>
      <c r="C50" t="inlineStr">
        <is>
          <t>Levure</t>
        </is>
      </c>
      <c r="D50" t="inlineStr">
        <is>
          <t>Boite</t>
        </is>
      </c>
      <c r="E50" s="7" t="n">
        <v>0</v>
      </c>
      <c r="F50" s="7" t="n">
        <v>0</v>
      </c>
      <c r="G50" s="7" t="n">
        <v>0</v>
      </c>
      <c r="H50" s="7">
        <f>E50+F50-G50</f>
        <v/>
      </c>
      <c r="I50" s="7" t="n">
        <v>0</v>
      </c>
      <c r="J50" s="7">
        <f>H50*I50</f>
        <v/>
      </c>
    </row>
    <row r="51">
      <c r="A51" t="n">
        <v>48</v>
      </c>
      <c r="B51" t="inlineStr">
        <is>
          <t>Produits laitiers &amp; fromages</t>
        </is>
      </c>
      <c r="C51" t="inlineStr">
        <is>
          <t>Lait &amp; crème</t>
        </is>
      </c>
      <c r="D51" t="inlineStr">
        <is>
          <t>Litre</t>
        </is>
      </c>
      <c r="E51" s="7" t="n">
        <v>0</v>
      </c>
      <c r="F51" s="7" t="n">
        <v>0</v>
      </c>
      <c r="G51" s="7" t="n">
        <v>0</v>
      </c>
      <c r="H51" s="7">
        <f>E51+F51-G51</f>
        <v/>
      </c>
      <c r="I51" s="7" t="n">
        <v>0</v>
      </c>
      <c r="J51" s="7">
        <f>H51*I51</f>
        <v/>
      </c>
    </row>
    <row r="52">
      <c r="A52" t="n">
        <v>49</v>
      </c>
      <c r="B52" t="inlineStr">
        <is>
          <t>Produits laitiers &amp; fromages</t>
        </is>
      </c>
      <c r="C52" t="inlineStr">
        <is>
          <t>Beurres &amp; margarines</t>
        </is>
      </c>
      <c r="D52" t="inlineStr">
        <is>
          <t>Boite</t>
        </is>
      </c>
      <c r="E52" s="7" t="n">
        <v>0</v>
      </c>
      <c r="F52" s="7" t="n">
        <v>0</v>
      </c>
      <c r="G52" s="7" t="n">
        <v>0</v>
      </c>
      <c r="H52" s="7">
        <f>E52+F52-G52</f>
        <v/>
      </c>
      <c r="I52" s="7" t="n">
        <v>0</v>
      </c>
      <c r="J52" s="7">
        <f>H52*I52</f>
        <v/>
      </c>
    </row>
    <row r="53">
      <c r="A53" t="n">
        <v>50</v>
      </c>
      <c r="B53" t="inlineStr">
        <is>
          <t>Produits laitiers &amp; fromages</t>
        </is>
      </c>
      <c r="C53" t="inlineStr">
        <is>
          <t>Fromages tranchés</t>
        </is>
      </c>
      <c r="D53" t="inlineStr">
        <is>
          <t>Pièces</t>
        </is>
      </c>
      <c r="E53" s="7" t="n">
        <v>0</v>
      </c>
      <c r="F53" s="7" t="n">
        <v>0</v>
      </c>
      <c r="G53" s="7" t="n">
        <v>0</v>
      </c>
      <c r="H53" s="7">
        <f>E53+F53-G53</f>
        <v/>
      </c>
      <c r="I53" s="7" t="n">
        <v>0</v>
      </c>
      <c r="J53" s="7">
        <f>H53*I53</f>
        <v/>
      </c>
    </row>
    <row r="54">
      <c r="A54" t="n">
        <v>51</v>
      </c>
      <c r="B54" t="inlineStr">
        <is>
          <t>Produits laitiers &amp; fromages</t>
        </is>
      </c>
      <c r="C54" t="inlineStr">
        <is>
          <t>Fromages râpés</t>
        </is>
      </c>
      <c r="D54" t="inlineStr">
        <is>
          <t>Pièces</t>
        </is>
      </c>
      <c r="E54" s="7" t="n">
        <v>0</v>
      </c>
      <c r="F54" s="7" t="n">
        <v>0</v>
      </c>
      <c r="G54" s="7" t="n">
        <v>0</v>
      </c>
      <c r="H54" s="7">
        <f>E54+F54-G54</f>
        <v/>
      </c>
      <c r="I54" s="7" t="n">
        <v>0</v>
      </c>
      <c r="J54" s="7">
        <f>H54*I54</f>
        <v/>
      </c>
    </row>
    <row r="55">
      <c r="A55" t="n">
        <v>52</v>
      </c>
      <c r="B55" t="inlineStr">
        <is>
          <t>Produits laitiers &amp; fromages</t>
        </is>
      </c>
      <c r="C55" t="inlineStr">
        <is>
          <t>Fromages en bloc</t>
        </is>
      </c>
      <c r="D55" t="inlineStr">
        <is>
          <t>Pièces</t>
        </is>
      </c>
      <c r="E55" s="7" t="n">
        <v>0</v>
      </c>
      <c r="F55" s="7" t="n">
        <v>0</v>
      </c>
      <c r="G55" s="7" t="n">
        <v>0</v>
      </c>
      <c r="H55" s="7">
        <f>E55+F55-G55</f>
        <v/>
      </c>
      <c r="I55" s="7" t="n">
        <v>0</v>
      </c>
      <c r="J55" s="7">
        <f>H55*I55</f>
        <v/>
      </c>
    </row>
    <row r="56">
      <c r="A56" t="n">
        <v>53</v>
      </c>
      <c r="B56" t="inlineStr">
        <is>
          <t>Produits laitiers &amp; fromages</t>
        </is>
      </c>
      <c r="C56" t="inlineStr">
        <is>
          <t>Yaourts</t>
        </is>
      </c>
      <c r="D56" t="inlineStr">
        <is>
          <t>Litre</t>
        </is>
      </c>
      <c r="E56" s="7" t="n">
        <v>0</v>
      </c>
      <c r="F56" s="7" t="n">
        <v>0</v>
      </c>
      <c r="G56" s="7" t="n">
        <v>0</v>
      </c>
      <c r="H56" s="7">
        <f>E56+F56-G56</f>
        <v/>
      </c>
      <c r="I56" s="7" t="n">
        <v>0</v>
      </c>
      <c r="J56" s="7">
        <f>H56*I56</f>
        <v/>
      </c>
    </row>
    <row r="57">
      <c r="A57" t="n">
        <v>54</v>
      </c>
      <c r="B57" t="inlineStr">
        <is>
          <t>Charcuterie</t>
        </is>
      </c>
      <c r="C57" t="inlineStr">
        <is>
          <t>Jambons</t>
        </is>
      </c>
      <c r="D57" t="inlineStr">
        <is>
          <t>Tranche</t>
        </is>
      </c>
      <c r="E57" s="7" t="n">
        <v>0</v>
      </c>
      <c r="F57" s="7" t="n">
        <v>0</v>
      </c>
      <c r="G57" s="7" t="n">
        <v>0</v>
      </c>
      <c r="H57" s="7">
        <f>E57+F57-G57</f>
        <v/>
      </c>
      <c r="I57" s="7" t="n">
        <v>0</v>
      </c>
      <c r="J57" s="7">
        <f>H57*I57</f>
        <v/>
      </c>
    </row>
    <row r="58">
      <c r="A58" t="n">
        <v>55</v>
      </c>
      <c r="B58" t="inlineStr">
        <is>
          <t>Charcuterie</t>
        </is>
      </c>
      <c r="C58" t="inlineStr">
        <is>
          <t>Bacons</t>
        </is>
      </c>
      <c r="D58" t="inlineStr">
        <is>
          <t>Tranche</t>
        </is>
      </c>
      <c r="E58" s="7" t="n">
        <v>0</v>
      </c>
      <c r="F58" s="7" t="n">
        <v>0</v>
      </c>
      <c r="G58" s="7" t="n">
        <v>0</v>
      </c>
      <c r="H58" s="7">
        <f>E58+F58-G58</f>
        <v/>
      </c>
      <c r="I58" s="7" t="n">
        <v>0</v>
      </c>
      <c r="J58" s="7">
        <f>H58*I58</f>
        <v/>
      </c>
    </row>
    <row r="59">
      <c r="A59" t="n">
        <v>56</v>
      </c>
      <c r="B59" t="inlineStr">
        <is>
          <t>Charcuterie</t>
        </is>
      </c>
      <c r="C59" t="inlineStr">
        <is>
          <t>Saucissons</t>
        </is>
      </c>
      <c r="D59" t="inlineStr">
        <is>
          <t>Tranche</t>
        </is>
      </c>
      <c r="E59" s="7" t="n">
        <v>0</v>
      </c>
      <c r="F59" s="7" t="n">
        <v>0</v>
      </c>
      <c r="G59" s="7" t="n">
        <v>0</v>
      </c>
      <c r="H59" s="7">
        <f>E59+F59-G59</f>
        <v/>
      </c>
      <c r="I59" s="7" t="n">
        <v>0</v>
      </c>
      <c r="J59" s="7">
        <f>H59*I59</f>
        <v/>
      </c>
    </row>
    <row r="60">
      <c r="A60" t="n">
        <v>57</v>
      </c>
      <c r="B60" t="inlineStr">
        <is>
          <t>Charcuterie</t>
        </is>
      </c>
      <c r="C60" t="inlineStr">
        <is>
          <t>Pepperoni</t>
        </is>
      </c>
      <c r="D60" t="inlineStr">
        <is>
          <t>Tranche</t>
        </is>
      </c>
      <c r="E60" s="7" t="n">
        <v>0</v>
      </c>
      <c r="F60" s="7" t="n">
        <v>0</v>
      </c>
      <c r="G60" s="7" t="n">
        <v>0</v>
      </c>
      <c r="H60" s="7">
        <f>E60+F60-G60</f>
        <v/>
      </c>
      <c r="I60" s="7" t="n">
        <v>0</v>
      </c>
      <c r="J60" s="7">
        <f>H60*I60</f>
        <v/>
      </c>
    </row>
    <row r="61">
      <c r="A61" t="n">
        <v>58</v>
      </c>
      <c r="B61" t="inlineStr">
        <is>
          <t>Charcuterie</t>
        </is>
      </c>
      <c r="C61" t="inlineStr">
        <is>
          <t>Charcuterie cuite</t>
        </is>
      </c>
      <c r="D61" t="inlineStr">
        <is>
          <t>Tranche</t>
        </is>
      </c>
      <c r="E61" s="7" t="n">
        <v>0</v>
      </c>
      <c r="F61" s="7" t="n">
        <v>0</v>
      </c>
      <c r="G61" s="7" t="n">
        <v>0</v>
      </c>
      <c r="H61" s="7">
        <f>E61+F61-G61</f>
        <v/>
      </c>
      <c r="I61" s="7" t="n">
        <v>0</v>
      </c>
      <c r="J61" s="7">
        <f>H61*I61</f>
        <v/>
      </c>
    </row>
    <row r="62">
      <c r="A62" t="n">
        <v>59</v>
      </c>
      <c r="B62" t="inlineStr">
        <is>
          <t>Charcuterie</t>
        </is>
      </c>
      <c r="C62" t="inlineStr">
        <is>
          <t>Charcuterie fumée</t>
        </is>
      </c>
      <c r="D62" t="inlineStr">
        <is>
          <t>Tranche</t>
        </is>
      </c>
      <c r="E62" s="7" t="n">
        <v>0</v>
      </c>
      <c r="F62" s="7" t="n">
        <v>0</v>
      </c>
      <c r="G62" s="7" t="n">
        <v>0</v>
      </c>
      <c r="H62" s="7">
        <f>E62+F62-G62</f>
        <v/>
      </c>
      <c r="I62" s="7" t="n">
        <v>0</v>
      </c>
      <c r="J62" s="7">
        <f>H62*I62</f>
        <v/>
      </c>
    </row>
    <row r="63">
      <c r="A63" t="n">
        <v>60</v>
      </c>
      <c r="B63" t="inlineStr">
        <is>
          <t>Surgelés</t>
        </is>
      </c>
      <c r="C63" t="inlineStr">
        <is>
          <t>Frites surgelées</t>
        </is>
      </c>
      <c r="D63" t="inlineStr">
        <is>
          <t>Paquet</t>
        </is>
      </c>
      <c r="E63" s="7" t="n">
        <v>0</v>
      </c>
      <c r="F63" s="7" t="n">
        <v>0</v>
      </c>
      <c r="G63" s="7" t="n">
        <v>0</v>
      </c>
      <c r="H63" s="7">
        <f>E63+F63-G63</f>
        <v/>
      </c>
      <c r="I63" s="7" t="n">
        <v>0</v>
      </c>
      <c r="J63" s="7">
        <f>H63*I63</f>
        <v/>
      </c>
    </row>
    <row r="64">
      <c r="A64" t="n">
        <v>61</v>
      </c>
      <c r="B64" t="inlineStr">
        <is>
          <t>Surgelés</t>
        </is>
      </c>
      <c r="C64" t="inlineStr">
        <is>
          <t>Légumes surgelés</t>
        </is>
      </c>
      <c r="D64" t="inlineStr">
        <is>
          <t>Paquet</t>
        </is>
      </c>
      <c r="E64" s="7" t="n">
        <v>0</v>
      </c>
      <c r="F64" s="7" t="n">
        <v>0</v>
      </c>
      <c r="G64" s="7" t="n">
        <v>0</v>
      </c>
      <c r="H64" s="7">
        <f>E64+F64-G64</f>
        <v/>
      </c>
      <c r="I64" s="7" t="n">
        <v>0</v>
      </c>
      <c r="J64" s="7">
        <f>H64*I64</f>
        <v/>
      </c>
    </row>
    <row r="65">
      <c r="A65" t="n">
        <v>62</v>
      </c>
      <c r="B65" t="inlineStr">
        <is>
          <t>Surgelés</t>
        </is>
      </c>
      <c r="C65" t="inlineStr">
        <is>
          <t>Viandes surgelées</t>
        </is>
      </c>
      <c r="D65" t="inlineStr">
        <is>
          <t>Paquet</t>
        </is>
      </c>
      <c r="E65" s="7" t="n">
        <v>0</v>
      </c>
      <c r="F65" s="7" t="n">
        <v>0</v>
      </c>
      <c r="G65" s="7" t="n">
        <v>0</v>
      </c>
      <c r="H65" s="7">
        <f>E65+F65-G65</f>
        <v/>
      </c>
      <c r="I65" s="7" t="n">
        <v>0</v>
      </c>
      <c r="J65" s="7">
        <f>H65*I65</f>
        <v/>
      </c>
    </row>
    <row r="66">
      <c r="A66" t="n">
        <v>63</v>
      </c>
      <c r="B66" t="inlineStr">
        <is>
          <t>Surgelés</t>
        </is>
      </c>
      <c r="C66" t="inlineStr">
        <is>
          <t>Poissons surgelés</t>
        </is>
      </c>
      <c r="D66" t="inlineStr">
        <is>
          <t>Paquet</t>
        </is>
      </c>
      <c r="E66" s="7" t="n">
        <v>0</v>
      </c>
      <c r="F66" s="7" t="n">
        <v>0</v>
      </c>
      <c r="G66" s="7" t="n">
        <v>0</v>
      </c>
      <c r="H66" s="7">
        <f>E66+F66-G66</f>
        <v/>
      </c>
      <c r="I66" s="7" t="n">
        <v>0</v>
      </c>
      <c r="J66" s="7">
        <f>H66*I66</f>
        <v/>
      </c>
    </row>
    <row r="67">
      <c r="A67" t="n">
        <v>64</v>
      </c>
      <c r="B67" t="inlineStr">
        <is>
          <t>Surgelés</t>
        </is>
      </c>
      <c r="C67" t="inlineStr">
        <is>
          <t>Produits panés</t>
        </is>
      </c>
      <c r="D67" t="inlineStr">
        <is>
          <t>Paquet</t>
        </is>
      </c>
      <c r="E67" s="7" t="n">
        <v>0</v>
      </c>
      <c r="F67" s="7" t="n">
        <v>0</v>
      </c>
      <c r="G67" s="7" t="n">
        <v>0</v>
      </c>
      <c r="H67" s="7">
        <f>E67+F67-G67</f>
        <v/>
      </c>
      <c r="I67" s="7" t="n">
        <v>0</v>
      </c>
      <c r="J67" s="7">
        <f>H67*I67</f>
        <v/>
      </c>
    </row>
    <row r="68">
      <c r="A68" t="n">
        <v>65</v>
      </c>
      <c r="B68" t="inlineStr">
        <is>
          <t>Surgelés</t>
        </is>
      </c>
      <c r="C68" t="inlineStr">
        <is>
          <t>Pâtes surgelées</t>
        </is>
      </c>
      <c r="D68" t="inlineStr">
        <is>
          <t>Paquet</t>
        </is>
      </c>
      <c r="E68" s="7" t="n">
        <v>0</v>
      </c>
      <c r="F68" s="7" t="n">
        <v>0</v>
      </c>
      <c r="G68" s="7" t="n">
        <v>0</v>
      </c>
      <c r="H68" s="7">
        <f>E68+F68-G68</f>
        <v/>
      </c>
      <c r="I68" s="7" t="n">
        <v>0</v>
      </c>
      <c r="J68" s="7">
        <f>H68*I68</f>
        <v/>
      </c>
    </row>
    <row r="69">
      <c r="A69" t="n">
        <v>66</v>
      </c>
      <c r="B69" t="inlineStr">
        <is>
          <t>Sauces &amp; condiments</t>
        </is>
      </c>
      <c r="C69" t="inlineStr">
        <is>
          <t>Ketchup</t>
        </is>
      </c>
      <c r="D69" t="inlineStr">
        <is>
          <t>Bouteille</t>
        </is>
      </c>
      <c r="E69" s="7" t="n">
        <v>0</v>
      </c>
      <c r="F69" s="7" t="n">
        <v>0</v>
      </c>
      <c r="G69" s="7" t="n">
        <v>0</v>
      </c>
      <c r="H69" s="7">
        <f>E69+F69-G69</f>
        <v/>
      </c>
      <c r="I69" s="7" t="n">
        <v>0</v>
      </c>
      <c r="J69" s="7">
        <f>H69*I69</f>
        <v/>
      </c>
    </row>
    <row r="70">
      <c r="A70" t="n">
        <v>67</v>
      </c>
      <c r="B70" t="inlineStr">
        <is>
          <t>Sauces &amp; condiments</t>
        </is>
      </c>
      <c r="C70" t="inlineStr">
        <is>
          <t>Mayonnaise</t>
        </is>
      </c>
      <c r="D70" t="inlineStr">
        <is>
          <t>Bouteille</t>
        </is>
      </c>
      <c r="E70" s="7" t="n">
        <v>0</v>
      </c>
      <c r="F70" s="7" t="n">
        <v>0</v>
      </c>
      <c r="G70" s="7" t="n">
        <v>0</v>
      </c>
      <c r="H70" s="7">
        <f>E70+F70-G70</f>
        <v/>
      </c>
      <c r="I70" s="7" t="n">
        <v>0</v>
      </c>
      <c r="J70" s="7">
        <f>H70*I70</f>
        <v/>
      </c>
    </row>
    <row r="71">
      <c r="A71" t="n">
        <v>68</v>
      </c>
      <c r="B71" t="inlineStr">
        <is>
          <t>Sauces &amp; condiments</t>
        </is>
      </c>
      <c r="C71" t="inlineStr">
        <is>
          <t>Moutarde</t>
        </is>
      </c>
      <c r="D71" t="inlineStr">
        <is>
          <t>Bouteille</t>
        </is>
      </c>
      <c r="E71" s="7" t="n">
        <v>0</v>
      </c>
      <c r="F71" s="7" t="n">
        <v>0</v>
      </c>
      <c r="G71" s="7" t="n">
        <v>0</v>
      </c>
      <c r="H71" s="7">
        <f>E71+F71-G71</f>
        <v/>
      </c>
      <c r="I71" s="7" t="n">
        <v>0</v>
      </c>
      <c r="J71" s="7">
        <f>H71*I71</f>
        <v/>
      </c>
    </row>
    <row r="72">
      <c r="A72" t="n">
        <v>69</v>
      </c>
      <c r="B72" t="inlineStr">
        <is>
          <t>Sauces &amp; condiments</t>
        </is>
      </c>
      <c r="C72" t="inlineStr">
        <is>
          <t>Vinaigres</t>
        </is>
      </c>
      <c r="D72" t="inlineStr">
        <is>
          <t>Bouteille</t>
        </is>
      </c>
      <c r="E72" s="7" t="n">
        <v>0</v>
      </c>
      <c r="F72" s="7" t="n">
        <v>0</v>
      </c>
      <c r="G72" s="7" t="n">
        <v>0</v>
      </c>
      <c r="H72" s="7">
        <f>E72+F72-G72</f>
        <v/>
      </c>
      <c r="I72" s="7" t="n">
        <v>0</v>
      </c>
      <c r="J72" s="7">
        <f>H72*I72</f>
        <v/>
      </c>
    </row>
    <row r="73">
      <c r="A73" t="n">
        <v>70</v>
      </c>
      <c r="B73" t="inlineStr">
        <is>
          <t>Sauces &amp; condiments</t>
        </is>
      </c>
      <c r="C73" t="inlineStr">
        <is>
          <t>Marinades</t>
        </is>
      </c>
      <c r="D73" t="inlineStr">
        <is>
          <t>Bouteille</t>
        </is>
      </c>
      <c r="E73" s="7" t="n">
        <v>0</v>
      </c>
      <c r="F73" s="7" t="n">
        <v>0</v>
      </c>
      <c r="G73" s="7" t="n">
        <v>0</v>
      </c>
      <c r="H73" s="7">
        <f>E73+F73-G73</f>
        <v/>
      </c>
      <c r="I73" s="7" t="n">
        <v>0</v>
      </c>
      <c r="J73" s="7">
        <f>H73*I73</f>
        <v/>
      </c>
    </row>
    <row r="74">
      <c r="A74" t="n">
        <v>71</v>
      </c>
      <c r="B74" t="inlineStr">
        <is>
          <t>Sauces &amp; condiments</t>
        </is>
      </c>
      <c r="C74" t="inlineStr">
        <is>
          <t>Bouillons liquides</t>
        </is>
      </c>
      <c r="D74" t="inlineStr">
        <is>
          <t>Bouteille</t>
        </is>
      </c>
      <c r="E74" s="7" t="n">
        <v>0</v>
      </c>
      <c r="F74" s="7" t="n">
        <v>0</v>
      </c>
      <c r="G74" s="7" t="n">
        <v>0</v>
      </c>
      <c r="H74" s="7">
        <f>E74+F74-G74</f>
        <v/>
      </c>
      <c r="I74" s="7" t="n">
        <v>0</v>
      </c>
      <c r="J74" s="7">
        <f>H74*I74</f>
        <v/>
      </c>
    </row>
    <row r="75">
      <c r="A75" t="n">
        <v>72</v>
      </c>
      <c r="B75" t="inlineStr">
        <is>
          <t>Boulangerie &amp; pains</t>
        </is>
      </c>
      <c r="C75" t="inlineStr">
        <is>
          <t>Pains burgers</t>
        </is>
      </c>
      <c r="D75" t="inlineStr">
        <is>
          <t>Nombre</t>
        </is>
      </c>
      <c r="E75" s="7" t="n">
        <v>0</v>
      </c>
      <c r="F75" s="7" t="n">
        <v>0</v>
      </c>
      <c r="G75" s="7" t="n">
        <v>0</v>
      </c>
      <c r="H75" s="7">
        <f>E75+F75-G75</f>
        <v/>
      </c>
      <c r="I75" s="7" t="n">
        <v>0</v>
      </c>
      <c r="J75" s="7">
        <f>H75*I75</f>
        <v/>
      </c>
    </row>
    <row r="76">
      <c r="A76" t="n">
        <v>73</v>
      </c>
      <c r="B76" t="inlineStr">
        <is>
          <t>Boulangerie &amp; pains</t>
        </is>
      </c>
      <c r="C76" t="inlineStr">
        <is>
          <t>Pains hot-dog</t>
        </is>
      </c>
      <c r="D76" t="inlineStr">
        <is>
          <t>Nombre</t>
        </is>
      </c>
      <c r="E76" s="7" t="n">
        <v>0</v>
      </c>
      <c r="F76" s="7" t="n">
        <v>0</v>
      </c>
      <c r="G76" s="7" t="n">
        <v>0</v>
      </c>
      <c r="H76" s="7">
        <f>E76+F76-G76</f>
        <v/>
      </c>
      <c r="I76" s="7" t="n">
        <v>0</v>
      </c>
      <c r="J76" s="7">
        <f>H76*I76</f>
        <v/>
      </c>
    </row>
    <row r="77">
      <c r="A77" t="n">
        <v>74</v>
      </c>
      <c r="B77" t="inlineStr">
        <is>
          <t>Boulangerie &amp; pains</t>
        </is>
      </c>
      <c r="C77" t="inlineStr">
        <is>
          <t>Pains sandwich</t>
        </is>
      </c>
      <c r="D77" t="inlineStr">
        <is>
          <t>Nombre</t>
        </is>
      </c>
      <c r="E77" s="7" t="n">
        <v>0</v>
      </c>
      <c r="F77" s="7" t="n">
        <v>0</v>
      </c>
      <c r="G77" s="7" t="n">
        <v>0</v>
      </c>
      <c r="H77" s="7">
        <f>E77+F77-G77</f>
        <v/>
      </c>
      <c r="I77" s="7" t="n">
        <v>0</v>
      </c>
      <c r="J77" s="7">
        <f>H77*I77</f>
        <v/>
      </c>
    </row>
    <row r="78">
      <c r="A78" t="n">
        <v>75</v>
      </c>
      <c r="B78" t="inlineStr">
        <is>
          <t>Boulangerie &amp; pains</t>
        </is>
      </c>
      <c r="C78" t="inlineStr">
        <is>
          <t>Baguettes</t>
        </is>
      </c>
      <c r="D78" t="inlineStr">
        <is>
          <t>Nombre</t>
        </is>
      </c>
      <c r="E78" s="7" t="n">
        <v>0</v>
      </c>
      <c r="F78" s="7" t="n">
        <v>0</v>
      </c>
      <c r="G78" s="7" t="n">
        <v>0</v>
      </c>
      <c r="H78" s="7">
        <f>E78+F78-G78</f>
        <v/>
      </c>
      <c r="I78" s="7" t="n">
        <v>0</v>
      </c>
      <c r="J78" s="7">
        <f>H78*I78</f>
        <v/>
      </c>
    </row>
    <row r="79">
      <c r="A79" t="n">
        <v>76</v>
      </c>
      <c r="B79" t="inlineStr">
        <is>
          <t>Boulangerie &amp; pains</t>
        </is>
      </c>
      <c r="C79" t="inlineStr">
        <is>
          <t>Tortillas / wraps</t>
        </is>
      </c>
      <c r="D79" t="inlineStr">
        <is>
          <t>Nombre</t>
        </is>
      </c>
      <c r="E79" s="7" t="n">
        <v>0</v>
      </c>
      <c r="F79" s="7" t="n">
        <v>0</v>
      </c>
      <c r="G79" s="7" t="n">
        <v>0</v>
      </c>
      <c r="H79" s="7">
        <f>E79+F79-G79</f>
        <v/>
      </c>
      <c r="I79" s="7" t="n">
        <v>0</v>
      </c>
      <c r="J79" s="7">
        <f>H79*I79</f>
        <v/>
      </c>
    </row>
    <row r="80">
      <c r="A80" t="n">
        <v>77</v>
      </c>
      <c r="B80" t="inlineStr">
        <is>
          <t>Boulangerie &amp; pains</t>
        </is>
      </c>
      <c r="C80" t="inlineStr">
        <is>
          <t>Pain spécial</t>
        </is>
      </c>
      <c r="D80" t="inlineStr">
        <is>
          <t>Nombre</t>
        </is>
      </c>
      <c r="E80" s="7" t="n">
        <v>0</v>
      </c>
      <c r="F80" s="7" t="n">
        <v>0</v>
      </c>
      <c r="G80" s="7" t="n">
        <v>0</v>
      </c>
      <c r="H80" s="7">
        <f>E80+F80-G80</f>
        <v/>
      </c>
      <c r="I80" s="7" t="n">
        <v>0</v>
      </c>
      <c r="J80" s="7">
        <f>H80*I80</f>
        <v/>
      </c>
    </row>
    <row r="81">
      <c r="A81" t="n">
        <v>78</v>
      </c>
      <c r="B81" t="inlineStr">
        <is>
          <t>Herbes &amp; épices</t>
        </is>
      </c>
      <c r="C81" t="inlineStr">
        <is>
          <t>Herbes fraîches</t>
        </is>
      </c>
      <c r="D81" t="inlineStr">
        <is>
          <t>Bouquet</t>
        </is>
      </c>
      <c r="E81" s="7" t="n">
        <v>0</v>
      </c>
      <c r="F81" s="7" t="n">
        <v>0</v>
      </c>
      <c r="G81" s="7" t="n">
        <v>0</v>
      </c>
      <c r="H81" s="7">
        <f>E81+F81-G81</f>
        <v/>
      </c>
      <c r="I81" s="7" t="n">
        <v>0</v>
      </c>
      <c r="J81" s="7">
        <f>H81*I81</f>
        <v/>
      </c>
    </row>
    <row r="82">
      <c r="A82" t="n">
        <v>79</v>
      </c>
      <c r="B82" t="inlineStr">
        <is>
          <t>Herbes &amp; épices</t>
        </is>
      </c>
      <c r="C82" t="inlineStr">
        <is>
          <t>Herbes sèches</t>
        </is>
      </c>
      <c r="D82" t="inlineStr">
        <is>
          <t>Bouquet</t>
        </is>
      </c>
      <c r="E82" s="7" t="n">
        <v>0</v>
      </c>
      <c r="F82" s="7" t="n">
        <v>0</v>
      </c>
      <c r="G82" s="7" t="n">
        <v>0</v>
      </c>
      <c r="H82" s="7">
        <f>E82+F82-G82</f>
        <v/>
      </c>
      <c r="I82" s="7" t="n">
        <v>0</v>
      </c>
      <c r="J82" s="7">
        <f>H82*I82</f>
        <v/>
      </c>
    </row>
    <row r="83">
      <c r="A83" t="n">
        <v>80</v>
      </c>
      <c r="B83" t="inlineStr">
        <is>
          <t>Herbes &amp; épices</t>
        </is>
      </c>
      <c r="C83" t="inlineStr">
        <is>
          <t>Épices moulues</t>
        </is>
      </c>
      <c r="D83" t="inlineStr">
        <is>
          <t>Sachet</t>
        </is>
      </c>
      <c r="E83" s="7" t="n">
        <v>0</v>
      </c>
      <c r="F83" s="7" t="n">
        <v>0</v>
      </c>
      <c r="G83" s="7" t="n">
        <v>0</v>
      </c>
      <c r="H83" s="7">
        <f>E83+F83-G83</f>
        <v/>
      </c>
      <c r="I83" s="7" t="n">
        <v>0</v>
      </c>
      <c r="J83" s="7">
        <f>H83*I83</f>
        <v/>
      </c>
    </row>
    <row r="84">
      <c r="A84" t="n">
        <v>81</v>
      </c>
      <c r="B84" t="inlineStr">
        <is>
          <t>Herbes &amp; épices</t>
        </is>
      </c>
      <c r="C84" t="inlineStr">
        <is>
          <t>Épices entières</t>
        </is>
      </c>
      <c r="D84" t="inlineStr">
        <is>
          <t>Sachet</t>
        </is>
      </c>
      <c r="E84" s="7" t="n">
        <v>0</v>
      </c>
      <c r="F84" s="7" t="n">
        <v>0</v>
      </c>
      <c r="G84" s="7" t="n">
        <v>0</v>
      </c>
      <c r="H84" s="7">
        <f>E84+F84-G84</f>
        <v/>
      </c>
      <c r="I84" s="7" t="n">
        <v>0</v>
      </c>
      <c r="J84" s="7">
        <f>H84*I84</f>
        <v/>
      </c>
    </row>
    <row r="85">
      <c r="A85" t="n">
        <v>82</v>
      </c>
      <c r="B85" t="inlineStr">
        <is>
          <t>Herbes &amp; épices</t>
        </is>
      </c>
      <c r="C85" t="inlineStr">
        <is>
          <t>Mélanges d'épices</t>
        </is>
      </c>
      <c r="D85" t="inlineStr">
        <is>
          <t>Sachet</t>
        </is>
      </c>
      <c r="E85" s="7" t="n">
        <v>0</v>
      </c>
      <c r="F85" s="7" t="n">
        <v>0</v>
      </c>
      <c r="G85" s="7" t="n">
        <v>0</v>
      </c>
      <c r="H85" s="7">
        <f>E85+F85-G85</f>
        <v/>
      </c>
      <c r="I85" s="7" t="n">
        <v>0</v>
      </c>
      <c r="J85" s="7">
        <f>H85*I85</f>
        <v/>
      </c>
    </row>
    <row r="86">
      <c r="A86" t="n">
        <v>83</v>
      </c>
      <c r="B86" t="inlineStr">
        <is>
          <t>Produits de pâtisserie</t>
        </is>
      </c>
      <c r="C86" t="inlineStr">
        <is>
          <t>Chocolats</t>
        </is>
      </c>
      <c r="D86" t="inlineStr">
        <is>
          <t>Boite</t>
        </is>
      </c>
      <c r="E86" s="7" t="n">
        <v>0</v>
      </c>
      <c r="F86" s="7" t="n">
        <v>0</v>
      </c>
      <c r="G86" s="7" t="n">
        <v>0</v>
      </c>
      <c r="H86" s="7">
        <f>E86+F86-G86</f>
        <v/>
      </c>
      <c r="I86" s="7" t="n">
        <v>0</v>
      </c>
      <c r="J86" s="7">
        <f>H86*I86</f>
        <v/>
      </c>
    </row>
    <row r="87">
      <c r="A87" t="n">
        <v>84</v>
      </c>
      <c r="B87" t="inlineStr">
        <is>
          <t>Produits de pâtisserie</t>
        </is>
      </c>
      <c r="C87" t="inlineStr">
        <is>
          <t>Levures</t>
        </is>
      </c>
      <c r="D87" t="inlineStr">
        <is>
          <t>Sachet</t>
        </is>
      </c>
      <c r="E87" s="7" t="n">
        <v>0</v>
      </c>
      <c r="F87" s="7" t="n">
        <v>0</v>
      </c>
      <c r="G87" s="7" t="n">
        <v>0</v>
      </c>
      <c r="H87" s="7">
        <f>E87+F87-G87</f>
        <v/>
      </c>
      <c r="I87" s="7" t="n">
        <v>0</v>
      </c>
      <c r="J87" s="7">
        <f>H87*I87</f>
        <v/>
      </c>
    </row>
    <row r="88">
      <c r="A88" t="n">
        <v>85</v>
      </c>
      <c r="B88" t="inlineStr">
        <is>
          <t>Produits de pâtisserie</t>
        </is>
      </c>
      <c r="C88" t="inlineStr">
        <is>
          <t>Arômes</t>
        </is>
      </c>
      <c r="D88" t="inlineStr">
        <is>
          <t>Bouteille</t>
        </is>
      </c>
      <c r="E88" s="7" t="n">
        <v>0</v>
      </c>
      <c r="F88" s="7" t="n">
        <v>0</v>
      </c>
      <c r="G88" s="7" t="n">
        <v>0</v>
      </c>
      <c r="H88" s="7">
        <f>E88+F88-G88</f>
        <v/>
      </c>
      <c r="I88" s="7" t="n">
        <v>0</v>
      </c>
      <c r="J88" s="7">
        <f>H88*I88</f>
        <v/>
      </c>
    </row>
    <row r="89">
      <c r="A89" t="n">
        <v>86</v>
      </c>
      <c r="B89" t="inlineStr">
        <is>
          <t>Produits de pâtisserie</t>
        </is>
      </c>
      <c r="C89" t="inlineStr">
        <is>
          <t>Sucre glace</t>
        </is>
      </c>
      <c r="D89" t="inlineStr">
        <is>
          <t>Kg</t>
        </is>
      </c>
      <c r="E89" s="7" t="n">
        <v>0</v>
      </c>
      <c r="F89" s="7" t="n">
        <v>0</v>
      </c>
      <c r="G89" s="7" t="n">
        <v>0</v>
      </c>
      <c r="H89" s="7">
        <f>E89+F89-G89</f>
        <v/>
      </c>
      <c r="I89" s="7" t="n">
        <v>0</v>
      </c>
      <c r="J89" s="7">
        <f>H89*I89</f>
        <v/>
      </c>
    </row>
    <row r="90">
      <c r="A90" t="n">
        <v>87</v>
      </c>
      <c r="B90" t="inlineStr">
        <is>
          <t>Produits de pâtisserie</t>
        </is>
      </c>
      <c r="C90" t="inlineStr">
        <is>
          <t>Cacao</t>
        </is>
      </c>
      <c r="D90" t="inlineStr">
        <is>
          <t>Boite</t>
        </is>
      </c>
      <c r="E90" s="7" t="n">
        <v>0</v>
      </c>
      <c r="F90" s="7" t="n">
        <v>0</v>
      </c>
      <c r="G90" s="7" t="n">
        <v>0</v>
      </c>
      <c r="H90" s="7">
        <f>E90+F90-G90</f>
        <v/>
      </c>
      <c r="I90" s="7" t="n">
        <v>0</v>
      </c>
      <c r="J90" s="7">
        <f>H90*I90</f>
        <v/>
      </c>
    </row>
    <row r="91">
      <c r="A91" t="n">
        <v>88</v>
      </c>
      <c r="B91" t="inlineStr">
        <is>
          <t>Produits de pâtisserie</t>
        </is>
      </c>
      <c r="C91" t="inlineStr">
        <is>
          <t>Fruits secs</t>
        </is>
      </c>
      <c r="D91" t="inlineStr">
        <is>
          <t>Kg</t>
        </is>
      </c>
      <c r="E91" s="7" t="n">
        <v>0</v>
      </c>
      <c r="F91" s="7" t="n">
        <v>0</v>
      </c>
      <c r="G91" s="7" t="n">
        <v>0</v>
      </c>
      <c r="H91" s="7">
        <f>E91+F91-G91</f>
        <v/>
      </c>
      <c r="I91" s="7" t="n">
        <v>0</v>
      </c>
      <c r="J91" s="7">
        <f>H91*I91</f>
        <v/>
      </c>
    </row>
    <row r="92">
      <c r="A92" t="n">
        <v>89</v>
      </c>
      <c r="B92" t="inlineStr">
        <is>
          <t>Huiles &amp; matières grasses</t>
        </is>
      </c>
      <c r="C92" t="inlineStr">
        <is>
          <t>Huiles végétales</t>
        </is>
      </c>
      <c r="D92" t="inlineStr">
        <is>
          <t>Litre</t>
        </is>
      </c>
      <c r="E92" s="7" t="n">
        <v>0</v>
      </c>
      <c r="F92" s="7" t="n">
        <v>0</v>
      </c>
      <c r="G92" s="7" t="n">
        <v>0</v>
      </c>
      <c r="H92" s="7">
        <f>E92+F92-G92</f>
        <v/>
      </c>
      <c r="I92" s="7" t="n">
        <v>0</v>
      </c>
      <c r="J92" s="7">
        <f>H92*I92</f>
        <v/>
      </c>
    </row>
    <row r="93">
      <c r="A93" t="n">
        <v>90</v>
      </c>
      <c r="B93" t="inlineStr">
        <is>
          <t>Huiles &amp; matières grasses</t>
        </is>
      </c>
      <c r="C93" t="inlineStr">
        <is>
          <t>Huiles spéciales</t>
        </is>
      </c>
      <c r="D93" t="inlineStr">
        <is>
          <t>Litre</t>
        </is>
      </c>
      <c r="E93" s="7" t="n">
        <v>0</v>
      </c>
      <c r="F93" s="7" t="n">
        <v>0</v>
      </c>
      <c r="G93" s="7" t="n">
        <v>0</v>
      </c>
      <c r="H93" s="7">
        <f>E93+F93-G93</f>
        <v/>
      </c>
      <c r="I93" s="7" t="n">
        <v>0</v>
      </c>
      <c r="J93" s="7">
        <f>H93*I93</f>
        <v/>
      </c>
    </row>
    <row r="94">
      <c r="A94" t="n">
        <v>91</v>
      </c>
      <c r="B94" t="inlineStr">
        <is>
          <t>Huiles &amp; matières grasses</t>
        </is>
      </c>
      <c r="C94" t="inlineStr">
        <is>
          <t>Beurres</t>
        </is>
      </c>
      <c r="D94" t="inlineStr">
        <is>
          <t>Kg</t>
        </is>
      </c>
      <c r="E94" s="7" t="n">
        <v>0</v>
      </c>
      <c r="F94" s="7" t="n">
        <v>0</v>
      </c>
      <c r="G94" s="7" t="n">
        <v>0</v>
      </c>
      <c r="H94" s="7">
        <f>E94+F94-G94</f>
        <v/>
      </c>
      <c r="I94" s="7" t="n">
        <v>0</v>
      </c>
      <c r="J94" s="7">
        <f>H94*I94</f>
        <v/>
      </c>
    </row>
    <row r="95">
      <c r="A95" t="n">
        <v>92</v>
      </c>
      <c r="B95" t="inlineStr">
        <is>
          <t>Huiles &amp; matières grasses</t>
        </is>
      </c>
      <c r="C95" t="inlineStr">
        <is>
          <t>Margarines</t>
        </is>
      </c>
      <c r="D95" t="inlineStr">
        <is>
          <t>Kg</t>
        </is>
      </c>
      <c r="E95" s="7" t="n">
        <v>0</v>
      </c>
      <c r="F95" s="7" t="n">
        <v>0</v>
      </c>
      <c r="G95" s="7" t="n">
        <v>0</v>
      </c>
      <c r="H95" s="7">
        <f>E95+F95-G95</f>
        <v/>
      </c>
      <c r="I95" s="7" t="n">
        <v>0</v>
      </c>
      <c r="J95" s="7">
        <f>H95*I95</f>
        <v/>
      </c>
    </row>
    <row r="96">
      <c r="A96" t="n">
        <v>93</v>
      </c>
      <c r="B96" t="inlineStr">
        <is>
          <t>Huiles &amp; matières grasses</t>
        </is>
      </c>
      <c r="C96" t="inlineStr">
        <is>
          <t>Graisses de friture</t>
        </is>
      </c>
      <c r="D96" t="inlineStr">
        <is>
          <t>Litre</t>
        </is>
      </c>
      <c r="E96" s="7" t="n">
        <v>0</v>
      </c>
      <c r="F96" s="7" t="n">
        <v>0</v>
      </c>
      <c r="G96" s="7" t="n">
        <v>0</v>
      </c>
      <c r="H96" s="7">
        <f>E96+F96-G96</f>
        <v/>
      </c>
      <c r="I96" s="7" t="n">
        <v>0</v>
      </c>
      <c r="J96" s="7">
        <f>H96*I96</f>
        <v/>
      </c>
    </row>
    <row r="97">
      <c r="A97" t="n">
        <v>94</v>
      </c>
      <c r="B97" t="inlineStr">
        <is>
          <t>Produits de nettoyage</t>
        </is>
      </c>
      <c r="C97" t="inlineStr">
        <is>
          <t>Détergents</t>
        </is>
      </c>
      <c r="D97" t="inlineStr">
        <is>
          <t>Bouteille</t>
        </is>
      </c>
      <c r="E97" s="7" t="n">
        <v>0</v>
      </c>
      <c r="F97" s="7" t="n">
        <v>0</v>
      </c>
      <c r="G97" s="7" t="n">
        <v>0</v>
      </c>
      <c r="H97" s="7">
        <f>E97+F97-G97</f>
        <v/>
      </c>
      <c r="I97" s="7" t="n">
        <v>0</v>
      </c>
      <c r="J97" s="7">
        <f>H97*I97</f>
        <v/>
      </c>
    </row>
    <row r="98">
      <c r="A98" t="n">
        <v>95</v>
      </c>
      <c r="B98" t="inlineStr">
        <is>
          <t>Produits de nettoyage</t>
        </is>
      </c>
      <c r="C98" t="inlineStr">
        <is>
          <t>Désinfectants</t>
        </is>
      </c>
      <c r="D98" t="inlineStr">
        <is>
          <t>Bouteille</t>
        </is>
      </c>
      <c r="E98" s="7" t="n">
        <v>0</v>
      </c>
      <c r="F98" s="7" t="n">
        <v>0</v>
      </c>
      <c r="G98" s="7" t="n">
        <v>0</v>
      </c>
      <c r="H98" s="7">
        <f>E98+F98-G98</f>
        <v/>
      </c>
      <c r="I98" s="7" t="n">
        <v>0</v>
      </c>
      <c r="J98" s="7">
        <f>H98*I98</f>
        <v/>
      </c>
    </row>
    <row r="99">
      <c r="A99" t="n">
        <v>96</v>
      </c>
      <c r="B99" t="inlineStr">
        <is>
          <t>Produits de nettoyage</t>
        </is>
      </c>
      <c r="C99" t="inlineStr">
        <is>
          <t>Produits vaisselle</t>
        </is>
      </c>
      <c r="D99" t="inlineStr">
        <is>
          <t>Bouteille</t>
        </is>
      </c>
      <c r="E99" s="7" t="n">
        <v>0</v>
      </c>
      <c r="F99" s="7" t="n">
        <v>0</v>
      </c>
      <c r="G99" s="7" t="n">
        <v>0</v>
      </c>
      <c r="H99" s="7">
        <f>E99+F99-G99</f>
        <v/>
      </c>
      <c r="I99" s="7" t="n">
        <v>0</v>
      </c>
      <c r="J99" s="7">
        <f>H99*I99</f>
        <v/>
      </c>
    </row>
    <row r="100">
      <c r="A100" t="n">
        <v>97</v>
      </c>
      <c r="B100" t="inlineStr">
        <is>
          <t>Produits de nettoyage</t>
        </is>
      </c>
      <c r="C100" t="inlineStr">
        <is>
          <t>Produits sol</t>
        </is>
      </c>
      <c r="D100" t="inlineStr">
        <is>
          <t>Bouteille</t>
        </is>
      </c>
      <c r="E100" s="7" t="n">
        <v>0</v>
      </c>
      <c r="F100" s="7" t="n">
        <v>0</v>
      </c>
      <c r="G100" s="7" t="n">
        <v>0</v>
      </c>
      <c r="H100" s="7">
        <f>E100+F100-G100</f>
        <v/>
      </c>
      <c r="I100" s="7" t="n">
        <v>0</v>
      </c>
      <c r="J100" s="7">
        <f>H100*I100</f>
        <v/>
      </c>
    </row>
    <row r="101">
      <c r="A101" t="n">
        <v>98</v>
      </c>
      <c r="B101" t="inlineStr">
        <is>
          <t>Produits de nettoyage</t>
        </is>
      </c>
      <c r="C101" t="inlineStr">
        <is>
          <t>Accessoires (éponges, gants)</t>
        </is>
      </c>
      <c r="D101" t="inlineStr">
        <is>
          <t>Lot</t>
        </is>
      </c>
      <c r="E101" s="7" t="n">
        <v>0</v>
      </c>
      <c r="F101" s="7" t="n">
        <v>0</v>
      </c>
      <c r="G101" s="7" t="n">
        <v>0</v>
      </c>
      <c r="H101" s="7">
        <f>E101+F101-G101</f>
        <v/>
      </c>
      <c r="I101" s="7" t="n">
        <v>0</v>
      </c>
      <c r="J101" s="7">
        <f>H101*I101</f>
        <v/>
      </c>
    </row>
    <row r="102">
      <c r="A102" t="n">
        <v>99</v>
      </c>
      <c r="B102" t="inlineStr">
        <is>
          <t>Emballages cuisine</t>
        </is>
      </c>
      <c r="C102" t="inlineStr">
        <is>
          <t>Barquettes</t>
        </is>
      </c>
      <c r="D102" t="inlineStr">
        <is>
          <t>Lot</t>
        </is>
      </c>
      <c r="E102" s="7" t="n">
        <v>0</v>
      </c>
      <c r="F102" s="7" t="n">
        <v>0</v>
      </c>
      <c r="G102" s="7" t="n">
        <v>0</v>
      </c>
      <c r="H102" s="7">
        <f>E102+F102-G102</f>
        <v/>
      </c>
      <c r="I102" s="7" t="n">
        <v>0</v>
      </c>
      <c r="J102" s="7">
        <f>H102*I102</f>
        <v/>
      </c>
    </row>
    <row r="103">
      <c r="A103" t="n">
        <v>100</v>
      </c>
      <c r="B103" t="inlineStr">
        <is>
          <t>Emballages cuisine</t>
        </is>
      </c>
      <c r="C103" t="inlineStr">
        <is>
          <t>Boîtes</t>
        </is>
      </c>
      <c r="D103" t="inlineStr">
        <is>
          <t>Lot</t>
        </is>
      </c>
      <c r="E103" s="7" t="n">
        <v>0</v>
      </c>
      <c r="F103" s="7" t="n">
        <v>0</v>
      </c>
      <c r="G103" s="7" t="n">
        <v>0</v>
      </c>
      <c r="H103" s="7">
        <f>E103+F103-G103</f>
        <v/>
      </c>
      <c r="I103" s="7" t="n">
        <v>0</v>
      </c>
      <c r="J103" s="7">
        <f>H103*I103</f>
        <v/>
      </c>
    </row>
    <row r="104">
      <c r="A104" t="n">
        <v>101</v>
      </c>
      <c r="B104" t="inlineStr">
        <is>
          <t>Emballages cuisine</t>
        </is>
      </c>
      <c r="C104" t="inlineStr">
        <is>
          <t>Films alimentaires</t>
        </is>
      </c>
      <c r="D104" t="inlineStr">
        <is>
          <t>Rouleau</t>
        </is>
      </c>
      <c r="E104" s="7" t="n">
        <v>0</v>
      </c>
      <c r="F104" s="7" t="n">
        <v>0</v>
      </c>
      <c r="G104" s="7" t="n">
        <v>0</v>
      </c>
      <c r="H104" s="7">
        <f>E104+F104-G104</f>
        <v/>
      </c>
      <c r="I104" s="7" t="n">
        <v>0</v>
      </c>
      <c r="J104" s="7">
        <f>H104*I104</f>
        <v/>
      </c>
    </row>
    <row r="105">
      <c r="A105" t="n">
        <v>102</v>
      </c>
      <c r="B105" t="inlineStr">
        <is>
          <t>Emballages cuisine</t>
        </is>
      </c>
      <c r="C105" t="inlineStr">
        <is>
          <t>Sacs kraft</t>
        </is>
      </c>
      <c r="D105" t="inlineStr">
        <is>
          <t>Lot</t>
        </is>
      </c>
      <c r="E105" s="7" t="n">
        <v>0</v>
      </c>
      <c r="F105" s="7" t="n">
        <v>0</v>
      </c>
      <c r="G105" s="7" t="n">
        <v>0</v>
      </c>
      <c r="H105" s="7">
        <f>E105+F105-G105</f>
        <v/>
      </c>
      <c r="I105" s="7" t="n">
        <v>0</v>
      </c>
      <c r="J105" s="7">
        <f>H105*I105</f>
        <v/>
      </c>
    </row>
    <row r="106">
      <c r="A106" t="n">
        <v>103</v>
      </c>
      <c r="B106" t="inlineStr">
        <is>
          <t>Emballages cuisine</t>
        </is>
      </c>
      <c r="C106" t="inlineStr">
        <is>
          <t>Bouteille de Gaz</t>
        </is>
      </c>
      <c r="D106" t="inlineStr">
        <is>
          <t>Pièce</t>
        </is>
      </c>
      <c r="E106" s="7" t="n">
        <v>0</v>
      </c>
      <c r="F106" s="7" t="n">
        <v>0</v>
      </c>
      <c r="G106" s="7" t="n">
        <v>0</v>
      </c>
      <c r="H106" s="7">
        <f>E106+F106-G106</f>
        <v/>
      </c>
      <c r="I106" s="7" t="n">
        <v>0</v>
      </c>
      <c r="J106" s="7">
        <f>H106*I106</f>
        <v/>
      </c>
    </row>
    <row r="107">
      <c r="A107" t="n">
        <v>104</v>
      </c>
      <c r="B107" t="inlineStr">
        <is>
          <t>Emballages cuisine</t>
        </is>
      </c>
      <c r="C107" t="inlineStr">
        <is>
          <t>Couverts jetables</t>
        </is>
      </c>
      <c r="D107" t="inlineStr">
        <is>
          <t>Lot</t>
        </is>
      </c>
      <c r="E107" s="7" t="n">
        <v>0</v>
      </c>
      <c r="F107" s="7" t="n">
        <v>0</v>
      </c>
      <c r="G107" s="7" t="n">
        <v>0</v>
      </c>
      <c r="H107" s="7">
        <f>E107+F107-G107</f>
        <v/>
      </c>
      <c r="I107" s="7" t="n">
        <v>0</v>
      </c>
      <c r="J107" s="7">
        <f>H107*I107</f>
        <v/>
      </c>
    </row>
    <row r="108">
      <c r="A108" t="n">
        <v>105</v>
      </c>
      <c r="B108" t="inlineStr">
        <is>
          <t>Emballages cuisine</t>
        </is>
      </c>
      <c r="C108" t="inlineStr">
        <is>
          <t>Charbon</t>
        </is>
      </c>
      <c r="D108" t="inlineStr">
        <is>
          <t>Sac</t>
        </is>
      </c>
      <c r="E108" s="7" t="n">
        <v>0</v>
      </c>
      <c r="F108" s="7" t="n">
        <v>0</v>
      </c>
      <c r="G108" s="7" t="n">
        <v>0</v>
      </c>
      <c r="H108" s="7">
        <f>E108+F108-G108</f>
        <v/>
      </c>
      <c r="I108" s="7" t="n">
        <v>0</v>
      </c>
      <c r="J108" s="7">
        <f>H108*I108</f>
        <v/>
      </c>
    </row>
  </sheetData>
  <conditionalFormatting sqref="H4:H108">
    <cfRule type="cellIs" priority="1" operator="lessThan" dxfId="0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G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  <col width="10" customWidth="1" min="7" max="7"/>
  </cols>
  <sheetData>
    <row r="3">
      <c r="A3" s="6" t="inlineStr">
        <is>
          <t>ID</t>
        </is>
      </c>
      <c r="B3" s="6" t="inlineStr">
        <is>
          <t>Nom de la Recette</t>
        </is>
      </c>
      <c r="C3" s="6" t="inlineStr">
        <is>
          <t>Catégorie</t>
        </is>
      </c>
      <c r="D3" s="6" t="inlineStr">
        <is>
          <t>Coût Matière Total</t>
        </is>
      </c>
      <c r="E3" s="6" t="inlineStr">
        <is>
          <t>Prix Vente Conseillé</t>
        </is>
      </c>
      <c r="F3" s="6" t="inlineStr">
        <is>
          <t>Marge Brute</t>
        </is>
      </c>
      <c r="G3" s="6" t="inlineStr">
        <is>
          <t>% Marge</t>
        </is>
      </c>
    </row>
    <row r="4">
      <c r="A4" t="n">
        <v>1</v>
      </c>
      <c r="B4" t="inlineStr">
        <is>
          <t>Chicken Burger</t>
        </is>
      </c>
      <c r="C4" t="inlineStr">
        <is>
          <t>Burger</t>
        </is>
      </c>
      <c r="D4" t="n">
        <v>0</v>
      </c>
      <c r="E4" t="n">
        <v>3500</v>
      </c>
      <c r="F4">
        <f>E4-D4</f>
        <v/>
      </c>
      <c r="G4">
        <f>SI(E4&gt;0; F4/E4; 0)</f>
        <v/>
      </c>
    </row>
    <row r="5">
      <c r="A5" t="n">
        <v>2</v>
      </c>
      <c r="B5" t="inlineStr">
        <is>
          <t>Burger Normal</t>
        </is>
      </c>
      <c r="C5" t="inlineStr">
        <is>
          <t>Burger</t>
        </is>
      </c>
      <c r="D5" t="n">
        <v>0</v>
      </c>
      <c r="E5" t="n">
        <v>3500</v>
      </c>
      <c r="F5">
        <f>E5-D5</f>
        <v/>
      </c>
      <c r="G5">
        <f>SI(E5&gt;0; F5/E5; 0)</f>
        <v/>
      </c>
    </row>
    <row r="6">
      <c r="A6" t="n">
        <v>3</v>
      </c>
      <c r="B6" t="inlineStr">
        <is>
          <t>Brochette de porc</t>
        </is>
      </c>
      <c r="C6" t="inlineStr">
        <is>
          <t>Brochette</t>
        </is>
      </c>
      <c r="D6" t="n">
        <v>0</v>
      </c>
      <c r="E6" t="n">
        <v>3000</v>
      </c>
      <c r="F6">
        <f>E6-D6</f>
        <v/>
      </c>
      <c r="G6">
        <f>SI(E6&gt;0; F6/E6; 0)</f>
        <v/>
      </c>
    </row>
    <row r="7">
      <c r="A7" t="n">
        <v>4</v>
      </c>
      <c r="B7" t="inlineStr">
        <is>
          <t>Ndole Royal (Viande/Poisson/Crevette)</t>
        </is>
      </c>
      <c r="C7" t="inlineStr">
        <is>
          <t>Plat Principal</t>
        </is>
      </c>
      <c r="D7" t="n">
        <v>0</v>
      </c>
      <c r="E7" t="n">
        <v>3500</v>
      </c>
      <c r="F7">
        <f>E7-D7</f>
        <v/>
      </c>
      <c r="G7">
        <f>SI(E7&gt;0; F7/E7; 0)</f>
        <v/>
      </c>
    </row>
    <row r="8">
      <c r="A8" t="n">
        <v>5</v>
      </c>
      <c r="B8" t="inlineStr">
        <is>
          <t>Portion Ndole</t>
        </is>
      </c>
      <c r="C8" t="inlineStr">
        <is>
          <t>Plat Principal</t>
        </is>
      </c>
      <c r="D8" t="n">
        <v>0</v>
      </c>
      <c r="E8" t="n">
        <v>1000</v>
      </c>
      <c r="F8">
        <f>E8-D8</f>
        <v/>
      </c>
      <c r="G8">
        <f>SI(E8&gt;0; F8/E8; 0)</f>
        <v/>
      </c>
    </row>
    <row r="9">
      <c r="A9" t="n">
        <v>6</v>
      </c>
      <c r="B9" t="inlineStr">
        <is>
          <t>Free Rice Crevette</t>
        </is>
      </c>
      <c r="C9" t="inlineStr">
        <is>
          <t>Riz Accompagné</t>
        </is>
      </c>
      <c r="D9" t="n">
        <v>0</v>
      </c>
      <c r="E9" t="n">
        <v>4000</v>
      </c>
      <c r="F9">
        <f>E9-D9</f>
        <v/>
      </c>
      <c r="G9">
        <f>SI(E9&gt;0; F9/E9; 0)</f>
        <v/>
      </c>
    </row>
    <row r="10">
      <c r="A10" t="n">
        <v>7</v>
      </c>
      <c r="B10" t="inlineStr">
        <is>
          <t>Free Rice Poulet</t>
        </is>
      </c>
      <c r="C10" t="inlineStr">
        <is>
          <t>Riz Accompagné</t>
        </is>
      </c>
      <c r="D10" t="n">
        <v>0</v>
      </c>
      <c r="E10" t="n">
        <v>3500</v>
      </c>
      <c r="F10">
        <f>E10-D10</f>
        <v/>
      </c>
      <c r="G10">
        <f>SI(E10&gt;0; F10/E10; 0)</f>
        <v/>
      </c>
    </row>
    <row r="11">
      <c r="A11" t="n">
        <v>8</v>
      </c>
      <c r="B11" t="inlineStr">
        <is>
          <t>Poulet Pané (1/4)</t>
        </is>
      </c>
      <c r="C11" t="inlineStr">
        <is>
          <t>Poulet</t>
        </is>
      </c>
      <c r="D11" t="n">
        <v>0</v>
      </c>
      <c r="E11" t="n">
        <v>3500</v>
      </c>
      <c r="F11">
        <f>E11-D11</f>
        <v/>
      </c>
      <c r="G11">
        <f>SI(E11&gt;0; F11/E11; 0)</f>
        <v/>
      </c>
    </row>
    <row r="12">
      <c r="A12" t="n">
        <v>9</v>
      </c>
      <c r="B12" t="inlineStr">
        <is>
          <t>Poulet Braisé (1/4)</t>
        </is>
      </c>
      <c r="C12" t="inlineStr">
        <is>
          <t>Poulet</t>
        </is>
      </c>
      <c r="D12" t="n">
        <v>0</v>
      </c>
      <c r="E12" t="n">
        <v>3000</v>
      </c>
      <c r="F12">
        <f>E12-D12</f>
        <v/>
      </c>
      <c r="G12">
        <f>SI(E12&gt;0; F12/E12; 0)</f>
        <v/>
      </c>
    </row>
    <row r="13">
      <c r="A13" t="n">
        <v>10</v>
      </c>
      <c r="B13" t="inlineStr">
        <is>
          <t>Porc Moutarde</t>
        </is>
      </c>
      <c r="C13" t="inlineStr">
        <is>
          <t>Porc</t>
        </is>
      </c>
      <c r="D13" t="n">
        <v>0</v>
      </c>
      <c r="E13" t="n">
        <v>3500</v>
      </c>
      <c r="F13">
        <f>E13-D13</f>
        <v/>
      </c>
      <c r="G13">
        <f>SI(E13&gt;0; F13/E13; 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F3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0" customWidth="1" min="4" max="4"/>
    <col width="15" customWidth="1" min="5" max="5"/>
    <col width="15" customWidth="1" min="6" max="6"/>
  </cols>
  <sheetData>
    <row r="3">
      <c r="A3" s="6" t="inlineStr">
        <is>
          <t>Recette</t>
        </is>
      </c>
      <c r="B3" s="6" t="inlineStr">
        <is>
          <t>Matière Première</t>
        </is>
      </c>
      <c r="C3" s="6" t="inlineStr">
        <is>
          <t>Quantité Requise</t>
        </is>
      </c>
      <c r="D3" s="6" t="inlineStr">
        <is>
          <t>Unité</t>
        </is>
      </c>
      <c r="E3" s="6" t="inlineStr">
        <is>
          <t>Coût Unitaire MP</t>
        </is>
      </c>
      <c r="F3" s="6" t="inlineStr">
        <is>
          <t>Coût Ligne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  <col width="10" customWidth="1" min="4" max="4"/>
    <col width="15" customWidth="1" min="5" max="5"/>
    <col width="15" customWidth="1" min="6" max="6"/>
    <col width="30" customWidth="1" min="7" max="7"/>
  </cols>
  <sheetData>
    <row r="1">
      <c r="A1" s="1" t="inlineStr">
        <is>
          <t>📅 FICHE VENTES JOURNALIÈRES</t>
        </is>
      </c>
    </row>
    <row r="2">
      <c r="A2" s="5" t="inlineStr">
        <is>
          <t>Date :</t>
        </is>
      </c>
      <c r="B2" s="9" t="n">
        <v>46168</v>
      </c>
      <c r="D2" s="5" t="inlineStr">
        <is>
          <t>Heure Début :</t>
        </is>
      </c>
      <c r="F2" s="5" t="inlineStr">
        <is>
          <t>Heure Fin :</t>
        </is>
      </c>
    </row>
    <row r="4">
      <c r="A4" s="6" t="inlineStr">
        <is>
          <t>ID</t>
        </is>
      </c>
      <c r="B4" s="6" t="inlineStr">
        <is>
          <t>Plat Vendu</t>
        </is>
      </c>
      <c r="C4" s="6" t="inlineStr">
        <is>
          <t>Catégorie</t>
        </is>
      </c>
      <c r="D4" s="6" t="inlineStr">
        <is>
          <t>Quantité</t>
        </is>
      </c>
      <c r="E4" s="6" t="inlineStr">
        <is>
          <t>Prix Unitaire</t>
        </is>
      </c>
      <c r="F4" s="6" t="inlineStr">
        <is>
          <t>Total FCFA</t>
        </is>
      </c>
      <c r="G4" s="6" t="inlineStr">
        <is>
          <t>Observation</t>
        </is>
      </c>
    </row>
    <row r="5">
      <c r="A5" t="n">
        <v>1</v>
      </c>
      <c r="E5" s="7">
        <f>SI($B5&lt;&gt;""; INDEX(PRODUITS!$E:$E; EQUIV($B5; PRODUITS!$B:$B; 0)); "")</f>
        <v/>
      </c>
      <c r="F5" s="7">
        <f>IF(AND($D5&gt;0; $E5&gt;0); $D5*$E5; "")</f>
        <v/>
      </c>
    </row>
    <row r="6">
      <c r="A6" t="n">
        <v>2</v>
      </c>
      <c r="E6" s="7">
        <f>SI($B6&lt;&gt;""; INDEX(PRODUITS!$E:$E; EQUIV($B6; PRODUITS!$B:$B; 0)); "")</f>
        <v/>
      </c>
      <c r="F6" s="7">
        <f>IF(AND($D6&gt;0; $E6&gt;0); $D6*$E6; "")</f>
        <v/>
      </c>
    </row>
    <row r="7">
      <c r="A7" t="n">
        <v>3</v>
      </c>
      <c r="E7" s="7">
        <f>SI($B7&lt;&gt;""; INDEX(PRODUITS!$E:$E; EQUIV($B7; PRODUITS!$B:$B; 0)); "")</f>
        <v/>
      </c>
      <c r="F7" s="7">
        <f>IF(AND($D7&gt;0; $E7&gt;0); $D7*$E7; "")</f>
        <v/>
      </c>
    </row>
    <row r="8">
      <c r="A8" t="n">
        <v>4</v>
      </c>
      <c r="E8" s="7">
        <f>SI($B8&lt;&gt;""; INDEX(PRODUITS!$E:$E; EQUIV($B8; PRODUITS!$B:$B; 0)); "")</f>
        <v/>
      </c>
      <c r="F8" s="7">
        <f>IF(AND($D8&gt;0; $E8&gt;0); $D8*$E8; "")</f>
        <v/>
      </c>
    </row>
    <row r="9">
      <c r="A9" t="n">
        <v>5</v>
      </c>
      <c r="E9" s="7">
        <f>SI($B9&lt;&gt;""; INDEX(PRODUITS!$E:$E; EQUIV($B9; PRODUITS!$B:$B; 0)); "")</f>
        <v/>
      </c>
      <c r="F9" s="7">
        <f>IF(AND($D9&gt;0; $E9&gt;0); $D9*$E9; "")</f>
        <v/>
      </c>
    </row>
    <row r="10">
      <c r="A10" t="n">
        <v>6</v>
      </c>
      <c r="E10" s="7">
        <f>SI($B10&lt;&gt;""; INDEX(PRODUITS!$E:$E; EQUIV($B10; PRODUITS!$B:$B; 0)); "")</f>
        <v/>
      </c>
      <c r="F10" s="7">
        <f>IF(AND($D10&gt;0; $E10&gt;0); $D10*$E10; "")</f>
        <v/>
      </c>
    </row>
    <row r="11">
      <c r="A11" t="n">
        <v>7</v>
      </c>
      <c r="E11" s="7">
        <f>SI($B11&lt;&gt;""; INDEX(PRODUITS!$E:$E; EQUIV($B11; PRODUITS!$B:$B; 0)); "")</f>
        <v/>
      </c>
      <c r="F11" s="7">
        <f>IF(AND($D11&gt;0; $E11&gt;0); $D11*$E11; "")</f>
        <v/>
      </c>
    </row>
    <row r="12">
      <c r="A12" t="n">
        <v>8</v>
      </c>
      <c r="E12" s="7">
        <f>SI($B12&lt;&gt;""; INDEX(PRODUITS!$E:$E; EQUIV($B12; PRODUITS!$B:$B; 0)); "")</f>
        <v/>
      </c>
      <c r="F12" s="7">
        <f>IF(AND($D12&gt;0; $E12&gt;0); $D12*$E12; "")</f>
        <v/>
      </c>
    </row>
    <row r="13">
      <c r="A13" t="n">
        <v>9</v>
      </c>
      <c r="E13" s="7">
        <f>SI($B13&lt;&gt;""; INDEX(PRODUITS!$E:$E; EQUIV($B13; PRODUITS!$B:$B; 0)); "")</f>
        <v/>
      </c>
      <c r="F13" s="7">
        <f>IF(AND($D13&gt;0; $E13&gt;0); $D13*$E13; "")</f>
        <v/>
      </c>
    </row>
    <row r="14">
      <c r="A14" t="n">
        <v>10</v>
      </c>
      <c r="E14" s="7">
        <f>SI($B14&lt;&gt;""; INDEX(PRODUITS!$E:$E; EQUIV($B14; PRODUITS!$B:$B; 0)); "")</f>
        <v/>
      </c>
      <c r="F14" s="7">
        <f>IF(AND($D14&gt;0; $E14&gt;0); $D14*$E14; "")</f>
        <v/>
      </c>
    </row>
    <row r="15">
      <c r="A15" t="n">
        <v>11</v>
      </c>
      <c r="E15" s="7">
        <f>SI($B15&lt;&gt;""; INDEX(PRODUITS!$E:$E; EQUIV($B15; PRODUITS!$B:$B; 0)); "")</f>
        <v/>
      </c>
      <c r="F15" s="7">
        <f>IF(AND($D15&gt;0; $E15&gt;0); $D15*$E15; "")</f>
        <v/>
      </c>
    </row>
    <row r="16">
      <c r="A16" t="n">
        <v>12</v>
      </c>
      <c r="E16" s="7">
        <f>SI($B16&lt;&gt;""; INDEX(PRODUITS!$E:$E; EQUIV($B16; PRODUITS!$B:$B; 0)); "")</f>
        <v/>
      </c>
      <c r="F16" s="7">
        <f>IF(AND($D16&gt;0; $E16&gt;0); $D16*$E16; "")</f>
        <v/>
      </c>
    </row>
    <row r="17">
      <c r="A17" t="n">
        <v>13</v>
      </c>
      <c r="E17" s="7">
        <f>SI($B17&lt;&gt;""; INDEX(PRODUITS!$E:$E; EQUIV($B17; PRODUITS!$B:$B; 0)); "")</f>
        <v/>
      </c>
      <c r="F17" s="7">
        <f>IF(AND($D17&gt;0; $E17&gt;0); $D17*$E17; "")</f>
        <v/>
      </c>
    </row>
    <row r="18">
      <c r="A18" t="n">
        <v>14</v>
      </c>
      <c r="E18" s="7">
        <f>SI($B18&lt;&gt;""; INDEX(PRODUITS!$E:$E; EQUIV($B18; PRODUITS!$B:$B; 0)); "")</f>
        <v/>
      </c>
      <c r="F18" s="7">
        <f>IF(AND($D18&gt;0; $E18&gt;0); $D18*$E18; "")</f>
        <v/>
      </c>
    </row>
    <row r="19">
      <c r="A19" t="n">
        <v>15</v>
      </c>
      <c r="E19" s="7">
        <f>SI($B19&lt;&gt;""; INDEX(PRODUITS!$E:$E; EQUIV($B19; PRODUITS!$B:$B; 0)); "")</f>
        <v/>
      </c>
      <c r="F19" s="7">
        <f>IF(AND($D19&gt;0; $E19&gt;0); $D19*$E19; "")</f>
        <v/>
      </c>
    </row>
    <row r="20">
      <c r="A20" t="n">
        <v>16</v>
      </c>
      <c r="E20" s="7">
        <f>SI($B20&lt;&gt;""; INDEX(PRODUITS!$E:$E; EQUIV($B20; PRODUITS!$B:$B; 0)); "")</f>
        <v/>
      </c>
      <c r="F20" s="7">
        <f>IF(AND($D20&gt;0; $E20&gt;0); $D20*$E20; "")</f>
        <v/>
      </c>
    </row>
    <row r="21">
      <c r="A21" t="n">
        <v>17</v>
      </c>
      <c r="E21" s="7">
        <f>SI($B21&lt;&gt;""; INDEX(PRODUITS!$E:$E; EQUIV($B21; PRODUITS!$B:$B; 0)); "")</f>
        <v/>
      </c>
      <c r="F21" s="7">
        <f>IF(AND($D21&gt;0; $E21&gt;0); $D21*$E21; "")</f>
        <v/>
      </c>
    </row>
    <row r="22">
      <c r="A22" t="n">
        <v>18</v>
      </c>
      <c r="E22" s="7">
        <f>SI($B22&lt;&gt;""; INDEX(PRODUITS!$E:$E; EQUIV($B22; PRODUITS!$B:$B; 0)); "")</f>
        <v/>
      </c>
      <c r="F22" s="7">
        <f>IF(AND($D22&gt;0; $E22&gt;0); $D22*$E22; "")</f>
        <v/>
      </c>
    </row>
    <row r="23">
      <c r="A23" t="n">
        <v>19</v>
      </c>
      <c r="E23" s="7">
        <f>SI($B23&lt;&gt;""; INDEX(PRODUITS!$E:$E; EQUIV($B23; PRODUITS!$B:$B; 0)); "")</f>
        <v/>
      </c>
      <c r="F23" s="7">
        <f>IF(AND($D23&gt;0; $E23&gt;0); $D23*$E23; "")</f>
        <v/>
      </c>
    </row>
    <row r="24">
      <c r="A24" t="n">
        <v>20</v>
      </c>
      <c r="E24" s="7">
        <f>SI($B24&lt;&gt;""; INDEX(PRODUITS!$E:$E; EQUIV($B24; PRODUITS!$B:$B; 0)); "")</f>
        <v/>
      </c>
      <c r="F24" s="7">
        <f>IF(AND($D24&gt;0; $E24&gt;0); $D24*$E24; "")</f>
        <v/>
      </c>
    </row>
    <row r="26">
      <c r="D26" s="5" t="inlineStr">
        <is>
          <t>TOTAL VENTES :</t>
        </is>
      </c>
      <c r="F26" s="10">
        <f>SUM(F5:F25)</f>
        <v/>
      </c>
    </row>
    <row r="28">
      <c r="A28" s="5" t="inlineStr">
        <is>
          <t>Signature pour Validation :</t>
        </is>
      </c>
      <c r="B28" t="inlineStr">
        <is>
          <t>__________________________________</t>
        </is>
      </c>
    </row>
  </sheetData>
  <mergeCells count="2">
    <mergeCell ref="B28:D28"/>
    <mergeCell ref="A1:F1"/>
  </mergeCells>
  <dataValidations count="1">
    <dataValidation sqref="B5" showDropDown="0" showInputMessage="0" showErrorMessage="0" allowBlank="1" type="list">
      <formula1>PRODUITS!$B$4:$B$100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G3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25" customWidth="1" min="3" max="3"/>
    <col width="15" customWidth="1" min="4" max="4"/>
    <col width="25" customWidth="1" min="5" max="5"/>
    <col width="30" customWidth="1" min="6" max="6"/>
    <col width="20" customWidth="1" min="7" max="7"/>
  </cols>
  <sheetData>
    <row r="3">
      <c r="A3" s="6" t="inlineStr">
        <is>
          <t>ID</t>
        </is>
      </c>
      <c r="B3" s="6" t="inlineStr">
        <is>
          <t>Nom Fournisseur</t>
        </is>
      </c>
      <c r="C3" s="6" t="inlineStr">
        <is>
          <t>Contact</t>
        </is>
      </c>
      <c r="D3" s="6" t="inlineStr">
        <is>
          <t>Téléphone</t>
        </is>
      </c>
      <c r="E3" s="6" t="inlineStr">
        <is>
          <t>Email</t>
        </is>
      </c>
      <c r="F3" s="6" t="inlineStr">
        <is>
          <t>Adresse</t>
        </is>
      </c>
      <c r="G3" s="6" t="inlineStr">
        <is>
          <t>Spécialité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0" customWidth="1" min="3" max="3"/>
    <col width="15" customWidth="1" min="4" max="4"/>
    <col width="15" customWidth="1" min="5" max="5"/>
    <col width="10" customWidth="1" min="6" max="6"/>
    <col width="12" customWidth="1" min="7" max="7"/>
    <col width="15" customWidth="1" min="8" max="8"/>
    <col width="15" customWidth="1" min="9" max="9"/>
  </cols>
  <sheetData>
    <row r="1">
      <c r="A1" s="1" t="inlineStr">
        <is>
          <t>📝 FICHE INVENTAIRE PÉRIODIQUE</t>
        </is>
      </c>
    </row>
    <row r="2">
      <c r="A2" s="5" t="inlineStr">
        <is>
          <t>Date :</t>
        </is>
      </c>
      <c r="B2" s="9" t="n">
        <v>46168</v>
      </c>
    </row>
    <row r="4">
      <c r="A4" s="6" t="inlineStr">
        <is>
          <t>Matière</t>
        </is>
      </c>
      <c r="B4" s="6" t="inlineStr">
        <is>
          <t>Catégorie</t>
        </is>
      </c>
      <c r="C4" s="6" t="inlineStr">
        <is>
          <t>Unité</t>
        </is>
      </c>
      <c r="D4" s="6" t="inlineStr">
        <is>
          <t>Stock Théorique</t>
        </is>
      </c>
      <c r="E4" s="6" t="inlineStr">
        <is>
          <t>Stock Réel</t>
        </is>
      </c>
      <c r="F4" s="6" t="inlineStr">
        <is>
          <t>Écart</t>
        </is>
      </c>
      <c r="G4" s="6" t="inlineStr">
        <is>
          <t>Type Écart</t>
        </is>
      </c>
      <c r="H4" s="6" t="inlineStr">
        <is>
          <t>Coût Unitaire</t>
        </is>
      </c>
      <c r="I4" s="6" t="inlineStr">
        <is>
          <t>Valeur Écart</t>
        </is>
      </c>
    </row>
    <row r="5">
      <c r="B5" t="inlineStr">
        <is>
          <t>À sélectionner</t>
        </is>
      </c>
      <c r="D5" t="n">
        <v>0</v>
      </c>
      <c r="E5" t="n">
        <v>0</v>
      </c>
      <c r="F5">
        <f>E5-D5</f>
        <v/>
      </c>
      <c r="G5">
        <f>SI(F5=0; "OK"; SI(F5&gt;0; "Excédent"; "Perte"))</f>
        <v/>
      </c>
      <c r="H5" t="n">
        <v>0</v>
      </c>
      <c r="I5">
        <f>F5*H5</f>
        <v/>
      </c>
    </row>
    <row r="6">
      <c r="B6" t="inlineStr">
        <is>
          <t>À sélectionner</t>
        </is>
      </c>
      <c r="D6" t="n">
        <v>0</v>
      </c>
      <c r="E6" t="n">
        <v>0</v>
      </c>
      <c r="F6">
        <f>E6-D6</f>
        <v/>
      </c>
      <c r="G6">
        <f>SI(F6=0; "OK"; SI(F6&gt;0; "Excédent"; "Perte"))</f>
        <v/>
      </c>
      <c r="H6" t="n">
        <v>0</v>
      </c>
      <c r="I6">
        <f>F6*H6</f>
        <v/>
      </c>
    </row>
    <row r="7">
      <c r="B7" t="inlineStr">
        <is>
          <t>À sélectionner</t>
        </is>
      </c>
      <c r="D7" t="n">
        <v>0</v>
      </c>
      <c r="E7" t="n">
        <v>0</v>
      </c>
      <c r="F7">
        <f>E7-D7</f>
        <v/>
      </c>
      <c r="G7">
        <f>SI(F7=0; "OK"; SI(F7&gt;0; "Excédent"; "Perte"))</f>
        <v/>
      </c>
      <c r="H7" t="n">
        <v>0</v>
      </c>
      <c r="I7">
        <f>F7*H7</f>
        <v/>
      </c>
    </row>
    <row r="8">
      <c r="B8" t="inlineStr">
        <is>
          <t>À sélectionner</t>
        </is>
      </c>
      <c r="D8" t="n">
        <v>0</v>
      </c>
      <c r="E8" t="n">
        <v>0</v>
      </c>
      <c r="F8">
        <f>E8-D8</f>
        <v/>
      </c>
      <c r="G8">
        <f>SI(F8=0; "OK"; SI(F8&gt;0; "Excédent"; "Perte"))</f>
        <v/>
      </c>
      <c r="H8" t="n">
        <v>0</v>
      </c>
      <c r="I8">
        <f>F8*H8</f>
        <v/>
      </c>
    </row>
    <row r="9">
      <c r="B9" t="inlineStr">
        <is>
          <t>À sélectionner</t>
        </is>
      </c>
      <c r="D9" t="n">
        <v>0</v>
      </c>
      <c r="E9" t="n">
        <v>0</v>
      </c>
      <c r="F9">
        <f>E9-D9</f>
        <v/>
      </c>
      <c r="G9">
        <f>SI(F9=0; "OK"; SI(F9&gt;0; "Excédent"; "Perte"))</f>
        <v/>
      </c>
      <c r="H9" t="n">
        <v>0</v>
      </c>
      <c r="I9">
        <f>F9*H9</f>
        <v/>
      </c>
    </row>
    <row r="10">
      <c r="B10" t="inlineStr">
        <is>
          <t>À sélectionner</t>
        </is>
      </c>
      <c r="D10" t="n">
        <v>0</v>
      </c>
      <c r="E10" t="n">
        <v>0</v>
      </c>
      <c r="F10">
        <f>E10-D10</f>
        <v/>
      </c>
      <c r="G10">
        <f>SI(F10=0; "OK"; SI(F10&gt;0; "Excédent"; "Perte"))</f>
        <v/>
      </c>
      <c r="H10" t="n">
        <v>0</v>
      </c>
      <c r="I10">
        <f>F10*H10</f>
        <v/>
      </c>
    </row>
    <row r="11">
      <c r="B11" t="inlineStr">
        <is>
          <t>À sélectionner</t>
        </is>
      </c>
      <c r="D11" t="n">
        <v>0</v>
      </c>
      <c r="E11" t="n">
        <v>0</v>
      </c>
      <c r="F11">
        <f>E11-D11</f>
        <v/>
      </c>
      <c r="G11">
        <f>SI(F11=0; "OK"; SI(F11&gt;0; "Excédent"; "Perte"))</f>
        <v/>
      </c>
      <c r="H11" t="n">
        <v>0</v>
      </c>
      <c r="I11">
        <f>F11*H11</f>
        <v/>
      </c>
    </row>
    <row r="12">
      <c r="B12" t="inlineStr">
        <is>
          <t>À sélectionner</t>
        </is>
      </c>
      <c r="D12" t="n">
        <v>0</v>
      </c>
      <c r="E12" t="n">
        <v>0</v>
      </c>
      <c r="F12">
        <f>E12-D12</f>
        <v/>
      </c>
      <c r="G12">
        <f>SI(F12=0; "OK"; SI(F12&gt;0; "Excédent"; "Perte"))</f>
        <v/>
      </c>
      <c r="H12" t="n">
        <v>0</v>
      </c>
      <c r="I12">
        <f>F12*H12</f>
        <v/>
      </c>
    </row>
    <row r="13">
      <c r="B13" t="inlineStr">
        <is>
          <t>À sélectionner</t>
        </is>
      </c>
      <c r="D13" t="n">
        <v>0</v>
      </c>
      <c r="E13" t="n">
        <v>0</v>
      </c>
      <c r="F13">
        <f>E13-D13</f>
        <v/>
      </c>
      <c r="G13">
        <f>SI(F13=0; "OK"; SI(F13&gt;0; "Excédent"; "Perte"))</f>
        <v/>
      </c>
      <c r="H13" t="n">
        <v>0</v>
      </c>
      <c r="I13">
        <f>F13*H13</f>
        <v/>
      </c>
    </row>
    <row r="14">
      <c r="B14" t="inlineStr">
        <is>
          <t>À sélectionner</t>
        </is>
      </c>
      <c r="D14" t="n">
        <v>0</v>
      </c>
      <c r="E14" t="n">
        <v>0</v>
      </c>
      <c r="F14">
        <f>E14-D14</f>
        <v/>
      </c>
      <c r="G14">
        <f>SI(F14=0; "OK"; SI(F14&gt;0; "Excédent"; "Perte"))</f>
        <v/>
      </c>
      <c r="H14" t="n">
        <v>0</v>
      </c>
      <c r="I14">
        <f>F14*H14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2" max="2"/>
    <col width="20" customWidth="1" min="6" max="6"/>
  </cols>
  <sheetData>
    <row r="1">
      <c r="A1" s="1" t="inlineStr">
        <is>
          <t>📊 TABLEAU DE BORD</t>
        </is>
      </c>
    </row>
    <row r="4">
      <c r="B4" s="11" t="inlineStr">
        <is>
          <t>Ventes du Jour</t>
        </is>
      </c>
      <c r="C4" s="12" t="n"/>
      <c r="D4" s="12" t="n"/>
      <c r="F4" s="11" t="inlineStr">
        <is>
          <t>Marge Estimée</t>
        </is>
      </c>
      <c r="G4" s="12" t="n"/>
      <c r="H4" s="12" t="n"/>
    </row>
    <row r="5">
      <c r="B5" s="13" t="inlineStr">
        <is>
          <t>VENTES!F26</t>
        </is>
      </c>
      <c r="C5" s="12" t="n"/>
      <c r="D5" s="12" t="n"/>
      <c r="F5" s="14" t="inlineStr">
        <is>
          <t>0 FCFA</t>
        </is>
      </c>
      <c r="G5" s="12" t="n"/>
      <c r="H5" s="12" t="n"/>
    </row>
    <row r="6">
      <c r="B6" s="12" t="n"/>
      <c r="C6" s="12" t="n"/>
      <c r="D6" s="12" t="n"/>
      <c r="F6" s="12" t="n"/>
      <c r="G6" s="12" t="n"/>
      <c r="H6" s="12" t="n"/>
    </row>
    <row r="8">
      <c r="B8" s="11" t="inlineStr">
        <is>
          <t>Nombre de Ventes</t>
        </is>
      </c>
      <c r="C8" s="12" t="n"/>
      <c r="D8" s="12" t="n"/>
      <c r="F8" s="11" t="inlineStr">
        <is>
          <t>Alertes Stock</t>
        </is>
      </c>
      <c r="G8" s="12" t="n"/>
      <c r="H8" s="12" t="n"/>
    </row>
    <row r="9">
      <c r="B9" s="15" t="inlineStr">
        <is>
          <t>0</t>
        </is>
      </c>
      <c r="C9" s="12" t="n"/>
      <c r="D9" s="12" t="n"/>
      <c r="F9" s="16" t="inlineStr">
        <is>
          <t>Voir Onglet Stocks</t>
        </is>
      </c>
      <c r="G9" s="12" t="n"/>
      <c r="H9" s="12" t="n"/>
    </row>
    <row r="10">
      <c r="B10" s="12" t="n"/>
      <c r="C10" s="12" t="n"/>
      <c r="D10" s="12" t="n"/>
      <c r="F10" s="12" t="n"/>
      <c r="G10" s="12" t="n"/>
      <c r="H10" s="12" t="n"/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📈 ANALYTIQUES AVANCÉS</t>
        </is>
      </c>
    </row>
    <row r="3">
      <c r="A3" s="2" t="inlineStr">
        <is>
          <t>Les tableaux croisés dynamiques seront générés ici une fois les données saisies.</t>
        </is>
      </c>
    </row>
    <row r="4">
      <c r="A4" s="2" t="inlineStr">
        <is>
          <t>Allez dans Insertion &gt; Tableau Croisé Dynamique pour analyser les ventes et stocks.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❓ GUIDE D'UTILISATION RAPIDE</t>
        </is>
      </c>
    </row>
    <row r="3">
      <c r="A3" s="5" t="inlineStr">
        <is>
          <t>1. COMMENCER :</t>
        </is>
      </c>
    </row>
    <row r="4">
      <c r="A4" s="2" t="inlineStr">
        <is>
          <t>- Allez dans l'onglet 'CATEGORIES' pour vérifier vos catégories.</t>
        </is>
      </c>
    </row>
    <row r="5">
      <c r="A5" s="2" t="inlineStr">
        <is>
          <t>- Allez dans 'PRODUITS' : Vos plats sont déjà pré-enregistrés ! Vérifiez les prix.</t>
        </is>
      </c>
    </row>
    <row r="6">
      <c r="A6" s="2" t="inlineStr">
        <is>
          <t>- Allez dans 'MATIERES_PREMIERES' : Saisissez vos stocks initiaux et coûts unitaires.</t>
        </is>
      </c>
    </row>
    <row r="7">
      <c r="A7" s="2" t="inlineStr"/>
    </row>
    <row r="8">
      <c r="A8" s="5" t="inlineStr">
        <is>
          <t>2. QUOTIDIEN :</t>
        </is>
      </c>
    </row>
    <row r="9">
      <c r="A9" s="2" t="inlineStr">
        <is>
          <t>- Enregistrement des achats : Mettez à jour les 'Entrées' dans 'MATIERES_PREMIERES'.</t>
        </is>
      </c>
    </row>
    <row r="10">
      <c r="A10" s="2" t="inlineStr">
        <is>
          <t>- Enregistrement des ventes : Utilisez l'onglet 'VENTES'. Sélectionnez le plat, la quantité se calcule seule.</t>
        </is>
      </c>
    </row>
    <row r="11">
      <c r="A11" s="2" t="inlineStr"/>
    </row>
    <row r="12">
      <c r="A12" s="5" t="inlineStr">
        <is>
          <t>3. SUIVI :</t>
        </is>
      </c>
    </row>
    <row r="13">
      <c r="A13" s="2" t="inlineStr">
        <is>
          <t>- Consultez le 'DASHBOARD' pour les totaux du jour.</t>
        </is>
      </c>
    </row>
    <row r="14">
      <c r="A14" s="2" t="inlineStr">
        <is>
          <t>- Faites l'inventaire dans 'INVENTAIRES' en fin de semaine/mois.</t>
        </is>
      </c>
    </row>
    <row r="15">
      <c r="A15" s="2" t="inlineStr"/>
    </row>
    <row r="16">
      <c r="A16" s="5" t="inlineStr">
        <is>
          <t>4. ASTUCES :</t>
        </is>
      </c>
    </row>
    <row r="17">
      <c r="A17" s="2" t="inlineStr">
        <is>
          <t>- Les listes déroulantes vous aident à ne pas faire d'erreur de frappe.</t>
        </is>
      </c>
    </row>
    <row r="18">
      <c r="A18" s="2" t="inlineStr">
        <is>
          <t>- Ne modifiez pas les colonnes avec des formules (texte en gris ou calcul automatique).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2026-05-26T11:20:11Z</dcterms:created>
  <dcterms:modified xmlns:dcterms="http://purl.org/dc/terms/" xmlns:xsi="http://www.w3.org/2001/XMLSchema-instance" xsi:type="dcterms:W3CDTF">2026-05-26T11:20:11Z</dcterms:modified>
</cp:coreProperties>
</file>