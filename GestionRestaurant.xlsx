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EIL" sheetId="1" state="visible" r:id="rId1"/>
    <sheet xmlns:r="http://schemas.openxmlformats.org/officeDocument/2006/relationships" name="PLATS" sheetId="2" state="visible" r:id="rId2"/>
    <sheet xmlns:r="http://schemas.openxmlformats.org/officeDocument/2006/relationships" name="STOCK_CUISINE" sheetId="3" state="visible" r:id="rId3"/>
    <sheet xmlns:r="http://schemas.openxmlformats.org/officeDocument/2006/relationships" name="VENTES" sheetId="4" state="visible" r:id="rId4"/>
    <sheet xmlns:r="http://schemas.openxmlformats.org/officeDocument/2006/relationships" name="RECAP_VENTES" sheetId="5" state="visible" r:id="rId5"/>
    <sheet xmlns:r="http://schemas.openxmlformats.org/officeDocument/2006/relationships" name="FOURNISSEURS" sheetId="6" state="visible" r:id="rId6"/>
    <sheet xmlns:r="http://schemas.openxmlformats.org/officeDocument/2006/relationships" name="INVENTAIRES" sheetId="7" state="visible" r:id="rId7"/>
    <sheet xmlns:r="http://schemas.openxmlformats.org/officeDocument/2006/relationships" name="DASHBOAR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 FCFA"/>
    <numFmt numFmtId="165" formatCode="#,##0 U"/>
    <numFmt numFmtId="166" formatCode="#,##0 Art."/>
  </numFmts>
  <fonts count="17">
    <font>
      <name val="Calibri"/>
      <family val="2"/>
      <color theme="1"/>
      <sz val="11"/>
      <scheme val="minor"/>
    </font>
    <font>
      <b val="1"/>
      <color rgb="002C3E50"/>
      <sz val="24"/>
    </font>
    <font>
      <sz val="14"/>
    </font>
    <font>
      <b val="1"/>
      <color rgb="0027AE60"/>
      <sz val="14"/>
    </font>
    <font>
      <sz val="12"/>
    </font>
    <font>
      <b val="1"/>
      <color rgb="00FFFFFF"/>
    </font>
    <font>
      <name val="Calibri"/>
      <b val="1"/>
      <color rgb="00FFFFFF"/>
      <sz val="12"/>
    </font>
    <font>
      <b val="1"/>
    </font>
    <font>
      <b val="1"/>
      <color rgb="002C3E50"/>
      <sz val="18"/>
    </font>
    <font>
      <i val="1"/>
    </font>
    <font>
      <b val="1"/>
      <sz val="14"/>
    </font>
    <font>
      <b val="1"/>
      <color rgb="002C3E50"/>
      <sz val="16"/>
    </font>
    <font>
      <b val="1"/>
      <sz val="16"/>
    </font>
    <font>
      <b val="1"/>
      <color rgb="00FFFFFF"/>
      <sz val="20"/>
    </font>
    <font>
      <b val="1"/>
      <color rgb="002C3E50"/>
    </font>
    <font>
      <color rgb="00FFFFFF"/>
    </font>
    <font>
      <b val="1"/>
      <color rgb="00C0392B"/>
    </font>
  </fonts>
  <fills count="6">
    <fill>
      <patternFill/>
    </fill>
    <fill>
      <patternFill patternType="gray125"/>
    </fill>
    <fill>
      <patternFill patternType="solid">
        <fgColor rgb="0027AE60"/>
        <bgColor rgb="0027AE60"/>
      </patternFill>
    </fill>
    <fill>
      <patternFill patternType="solid">
        <fgColor rgb="002C3E50"/>
        <bgColor rgb="002C3E50"/>
      </patternFill>
    </fill>
    <fill>
      <patternFill patternType="solid">
        <fgColor rgb="00ECF0F1"/>
        <bgColor rgb="00ECF0F1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7" fillId="4" borderId="1" pivotButton="0" quotePrefix="0" xfId="0"/>
    <xf numFmtId="0" fontId="7" fillId="0" borderId="1" pivotButton="0" quotePrefix="0" xfId="0"/>
    <xf numFmtId="0" fontId="8" fillId="0" borderId="0" applyAlignment="1" pivotButton="0" quotePrefix="0" xfId="0">
      <alignment horizontal="center" vertical="center"/>
    </xf>
    <xf numFmtId="0" fontId="9" fillId="4" borderId="1" pivotButton="0" quotePrefix="0" xfId="0"/>
    <xf numFmtId="0" fontId="10" fillId="0" borderId="0" applyAlignment="1" pivotButton="0" quotePrefix="0" xfId="0">
      <alignment horizontal="right"/>
    </xf>
    <xf numFmtId="164" fontId="3" fillId="0" borderId="0" pivotButton="0" quotePrefix="0" xfId="0"/>
    <xf numFmtId="0" fontId="0" fillId="0" borderId="0" applyAlignment="1" pivotButton="0" quotePrefix="0" xfId="0">
      <alignment horizontal="right"/>
    </xf>
    <xf numFmtId="164" fontId="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3" borderId="0" applyAlignment="1" pivotButton="0" quotePrefix="0" xfId="0">
      <alignment horizontal="center" vertical="center"/>
    </xf>
    <xf numFmtId="0" fontId="7" fillId="0" borderId="0" pivotButton="0" quotePrefix="0" xfId="0"/>
    <xf numFmtId="164" fontId="3" fillId="4" borderId="1" pivotButton="0" quotePrefix="0" xfId="0"/>
    <xf numFmtId="0" fontId="14" fillId="0" borderId="0" applyAlignment="1" pivotButton="0" quotePrefix="0" xfId="0">
      <alignment horizontal="center" vertical="center"/>
    </xf>
    <xf numFmtId="165" fontId="3" fillId="4" borderId="1" pivotButton="0" quotePrefix="0" xfId="0"/>
    <xf numFmtId="0" fontId="15" fillId="3" borderId="0" pivotButton="0" quotePrefix="0" xfId="0"/>
    <xf numFmtId="166" fontId="3" fillId="4" borderId="1" pivotButton="0" quotePrefix="0" xfId="0"/>
    <xf numFmtId="0" fontId="16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GESTION RESTAURANT - TABLEAU DE BORD</t>
        </is>
      </c>
    </row>
    <row r="3">
      <c r="A3" s="2" t="inlineStr">
        <is>
          <t>Bienvenue dans votre outil de gestion automatisé.</t>
        </is>
      </c>
    </row>
    <row r="4">
      <c r="A4" s="2" t="inlineStr"/>
    </row>
    <row r="5">
      <c r="A5" s="3" t="inlineStr">
        <is>
          <t>UTILISATION RAPIDE :</t>
        </is>
      </c>
    </row>
    <row r="6">
      <c r="A6" s="4" t="inlineStr">
        <is>
          <t>1. PLATS : Vérifiez votre carte et prix (automatique).</t>
        </is>
      </c>
    </row>
    <row r="7">
      <c r="A7" s="4" t="inlineStr">
        <is>
          <t>2. STOCK_CUISINE : Saisissez vos entrées de marchandises.</t>
        </is>
      </c>
    </row>
    <row r="8">
      <c r="A8" s="4" t="inlineStr">
        <is>
          <t>3. VENTES : Enregistrez chaque vente (liste déroulante).</t>
        </is>
      </c>
    </row>
    <row r="9">
      <c r="A9" s="4" t="inlineStr">
        <is>
          <t>4. FOURNISSEURS : Passez vos commandes.</t>
        </is>
      </c>
    </row>
    <row r="10">
      <c r="A10" s="4" t="inlineStr">
        <is>
          <t>5. INVENTAIRES : Saisissez vos comptes réels.</t>
        </is>
      </c>
    </row>
    <row r="11">
      <c r="A11" s="4" t="inlineStr"/>
    </row>
    <row r="12">
      <c r="A12" s="3" t="inlineStr">
        <is>
          <t>TOUT LE RESTE (DASHBOARD, RÉCAPITULATIFS, COÛTS) EST AUTOMATIQUE !</t>
        </is>
      </c>
    </row>
    <row r="15">
      <c r="B15" s="5" t="inlineStr">
        <is>
          <t>➡ ALLER AUX VENTES</t>
        </is>
      </c>
    </row>
    <row r="17">
      <c r="B17" s="5" t="inlineStr">
        <is>
          <t>➡ ALLER AU STOCK</t>
        </is>
      </c>
    </row>
    <row r="19">
      <c r="B19" s="5" t="inlineStr">
        <is>
          <t>➡ ALLER AU DASHBOARD</t>
        </is>
      </c>
    </row>
    <row r="21">
      <c r="B21" s="5" t="inlineStr">
        <is>
          <t>➡ ALLER AUX FOURNISSEURS</t>
        </is>
      </c>
    </row>
    <row r="23">
      <c r="B23" s="5" t="inlineStr">
        <is>
          <t>➡ ALLER AUX INVENTAIRES</t>
        </is>
      </c>
    </row>
  </sheetData>
  <mergeCells count="6">
    <mergeCell ref="B19:D19"/>
    <mergeCell ref="B23:D23"/>
    <mergeCell ref="A1:F1"/>
    <mergeCell ref="B17:D17"/>
    <mergeCell ref="B21:D21"/>
    <mergeCell ref="B15:D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20" customWidth="1" min="4" max="4"/>
    <col width="15" customWidth="1" min="5" max="5"/>
  </cols>
  <sheetData>
    <row r="1">
      <c r="A1" s="6" t="inlineStr">
        <is>
          <t>Plat</t>
        </is>
      </c>
      <c r="B1" s="6" t="inlineStr">
        <is>
          <t>Variante</t>
        </is>
      </c>
      <c r="C1" s="6" t="inlineStr">
        <is>
          <t>Prix (FCFA)</t>
        </is>
      </c>
      <c r="D1" s="6" t="inlineStr">
        <is>
          <t>Observation</t>
        </is>
      </c>
      <c r="E1" s="6" t="inlineStr">
        <is>
          <t>Catégorie</t>
        </is>
      </c>
    </row>
    <row r="2">
      <c r="A2" s="7" t="inlineStr">
        <is>
          <t>Burger</t>
        </is>
      </c>
      <c r="B2" s="7" t="inlineStr">
        <is>
          <t>Chicken Burger</t>
        </is>
      </c>
      <c r="C2" s="8" t="n">
        <v>3500</v>
      </c>
      <c r="D2" s="7" t="inlineStr"/>
      <c r="E2" s="7" t="inlineStr">
        <is>
          <t>Burger</t>
        </is>
      </c>
    </row>
    <row r="3">
      <c r="A3" s="7" t="inlineStr">
        <is>
          <t>Burger</t>
        </is>
      </c>
      <c r="B3" s="7" t="inlineStr">
        <is>
          <t>Burger Normal</t>
        </is>
      </c>
      <c r="C3" s="8" t="n">
        <v>3500</v>
      </c>
      <c r="D3" s="7" t="inlineStr"/>
      <c r="E3" s="7" t="inlineStr">
        <is>
          <t>Burger</t>
        </is>
      </c>
    </row>
    <row r="4">
      <c r="A4" s="7" t="inlineStr">
        <is>
          <t>Brochette de porc</t>
        </is>
      </c>
      <c r="B4" s="7" t="inlineStr"/>
      <c r="C4" s="8" t="n">
        <v>3000</v>
      </c>
      <c r="D4" s="7" t="inlineStr">
        <is>
          <t>Trois Brochettes</t>
        </is>
      </c>
      <c r="E4" s="7" t="inlineStr">
        <is>
          <t>Brochette</t>
        </is>
      </c>
    </row>
    <row r="5">
      <c r="A5" s="7" t="inlineStr">
        <is>
          <t>Ndole Royal</t>
        </is>
      </c>
      <c r="B5" s="7" t="inlineStr">
        <is>
          <t>Viande</t>
        </is>
      </c>
      <c r="C5" s="8" t="n">
        <v>3500</v>
      </c>
      <c r="D5" s="7" t="inlineStr"/>
      <c r="E5" s="7" t="inlineStr">
        <is>
          <t>Plat</t>
        </is>
      </c>
    </row>
    <row r="6">
      <c r="A6" s="7" t="inlineStr">
        <is>
          <t>Ndole Royal</t>
        </is>
      </c>
      <c r="B6" s="7" t="inlineStr">
        <is>
          <t>Poisson fumé</t>
        </is>
      </c>
      <c r="C6" s="8" t="n">
        <v>3500</v>
      </c>
      <c r="D6" s="7" t="inlineStr"/>
      <c r="E6" s="7" t="inlineStr">
        <is>
          <t>Plat</t>
        </is>
      </c>
    </row>
    <row r="7">
      <c r="A7" s="7" t="inlineStr">
        <is>
          <t>Ndole Royal</t>
        </is>
      </c>
      <c r="B7" s="7" t="inlineStr">
        <is>
          <t>Crevette</t>
        </is>
      </c>
      <c r="C7" s="8" t="n">
        <v>3500</v>
      </c>
      <c r="D7" s="7" t="inlineStr"/>
      <c r="E7" s="7" t="inlineStr">
        <is>
          <t>Plat</t>
        </is>
      </c>
    </row>
    <row r="8">
      <c r="A8" s="7" t="inlineStr">
        <is>
          <t>Ndole Royal</t>
        </is>
      </c>
      <c r="B8" s="7" t="inlineStr">
        <is>
          <t>Portion</t>
        </is>
      </c>
      <c r="C8" s="8" t="n">
        <v>1000</v>
      </c>
      <c r="D8" s="7" t="inlineStr"/>
      <c r="E8" s="7" t="inlineStr">
        <is>
          <t>Plat</t>
        </is>
      </c>
    </row>
    <row r="9">
      <c r="A9" s="7" t="inlineStr">
        <is>
          <t>Free Rice</t>
        </is>
      </c>
      <c r="B9" s="7" t="inlineStr">
        <is>
          <t>Crevette</t>
        </is>
      </c>
      <c r="C9" s="8" t="n">
        <v>4000</v>
      </c>
      <c r="D9" s="7" t="inlineStr"/>
      <c r="E9" s="7" t="inlineStr">
        <is>
          <t>Riz</t>
        </is>
      </c>
    </row>
    <row r="10">
      <c r="A10" s="7" t="inlineStr">
        <is>
          <t>Free Rice</t>
        </is>
      </c>
      <c r="B10" s="7" t="inlineStr">
        <is>
          <t>Poulet</t>
        </is>
      </c>
      <c r="C10" s="8" t="n">
        <v>3500</v>
      </c>
      <c r="D10" s="7" t="inlineStr"/>
      <c r="E10" s="7" t="inlineStr">
        <is>
          <t>Riz</t>
        </is>
      </c>
    </row>
    <row r="11">
      <c r="A11" s="7" t="inlineStr">
        <is>
          <t>Poulet</t>
        </is>
      </c>
      <c r="B11" s="7" t="inlineStr">
        <is>
          <t>Pané</t>
        </is>
      </c>
      <c r="C11" s="8" t="n">
        <v>3500</v>
      </c>
      <c r="D11" s="7" t="inlineStr">
        <is>
          <t>un quart</t>
        </is>
      </c>
      <c r="E11" s="7" t="inlineStr">
        <is>
          <t>Poulet</t>
        </is>
      </c>
    </row>
    <row r="12">
      <c r="A12" s="7" t="inlineStr">
        <is>
          <t>Poulet</t>
        </is>
      </c>
      <c r="B12" s="7" t="inlineStr">
        <is>
          <t>Braisé</t>
        </is>
      </c>
      <c r="C12" s="8" t="n">
        <v>3000</v>
      </c>
      <c r="D12" s="7" t="inlineStr">
        <is>
          <t>un quart</t>
        </is>
      </c>
      <c r="E12" s="7" t="inlineStr">
        <is>
          <t>Poulet</t>
        </is>
      </c>
    </row>
    <row r="13">
      <c r="A13" s="7" t="inlineStr">
        <is>
          <t>Porc</t>
        </is>
      </c>
      <c r="B13" s="7" t="inlineStr">
        <is>
          <t>Moutarde</t>
        </is>
      </c>
      <c r="C13" s="8" t="n">
        <v>3500</v>
      </c>
      <c r="D13" s="7" t="inlineStr"/>
      <c r="E13" s="7" t="inlineStr">
        <is>
          <t>Porc</t>
        </is>
      </c>
    </row>
    <row r="14">
      <c r="A14" s="7" t="inlineStr">
        <is>
          <t>Porc</t>
        </is>
      </c>
      <c r="B14" s="7" t="inlineStr">
        <is>
          <t>Braisé</t>
        </is>
      </c>
      <c r="C14" s="8" t="n">
        <v>3000</v>
      </c>
      <c r="D14" s="7" t="inlineStr"/>
      <c r="E14" s="7" t="inlineStr">
        <is>
          <t>Porc</t>
        </is>
      </c>
    </row>
    <row r="15">
      <c r="A15" s="7" t="inlineStr">
        <is>
          <t>Gambas</t>
        </is>
      </c>
      <c r="B15" s="7" t="inlineStr">
        <is>
          <t>À l'ail</t>
        </is>
      </c>
      <c r="C15" s="8" t="n">
        <v>6500</v>
      </c>
      <c r="D15" s="7" t="inlineStr">
        <is>
          <t>6500/10000</t>
        </is>
      </c>
      <c r="E15" s="7" t="inlineStr">
        <is>
          <t>FruitMer</t>
        </is>
      </c>
    </row>
    <row r="16">
      <c r="A16" s="7" t="inlineStr">
        <is>
          <t>Gambas</t>
        </is>
      </c>
      <c r="B16" s="7" t="inlineStr">
        <is>
          <t>Braisé</t>
        </is>
      </c>
      <c r="C16" s="8" t="n">
        <v>6500</v>
      </c>
      <c r="D16" s="7" t="inlineStr">
        <is>
          <t>6500/10000</t>
        </is>
      </c>
      <c r="E16" s="7" t="inlineStr">
        <is>
          <t>FruitMer</t>
        </is>
      </c>
    </row>
    <row r="17">
      <c r="A17" s="7" t="inlineStr">
        <is>
          <t>Saucisse</t>
        </is>
      </c>
      <c r="B17" s="7" t="inlineStr"/>
      <c r="C17" s="8" t="n">
        <v>3500</v>
      </c>
      <c r="D17" s="7" t="inlineStr">
        <is>
          <t>x 2</t>
        </is>
      </c>
      <c r="E17" s="7" t="inlineStr">
        <is>
          <t>Charcuterie</t>
        </is>
      </c>
    </row>
    <row r="18">
      <c r="A18" s="7" t="inlineStr">
        <is>
          <t>Tacos</t>
        </is>
      </c>
      <c r="B18" s="7" t="inlineStr">
        <is>
          <t>Poulet</t>
        </is>
      </c>
      <c r="C18" s="8" t="n">
        <v>4000</v>
      </c>
      <c r="D18" s="7" t="inlineStr"/>
      <c r="E18" s="7" t="inlineStr">
        <is>
          <t>Tacos</t>
        </is>
      </c>
    </row>
    <row r="19">
      <c r="A19" s="7" t="inlineStr">
        <is>
          <t>Tacos</t>
        </is>
      </c>
      <c r="B19" s="7" t="inlineStr">
        <is>
          <t>Viande</t>
        </is>
      </c>
      <c r="C19" s="8" t="n">
        <v>3500</v>
      </c>
      <c r="D19" s="7" t="inlineStr"/>
      <c r="E19" s="7" t="inlineStr">
        <is>
          <t>Tacos</t>
        </is>
      </c>
    </row>
    <row r="20">
      <c r="A20" s="7" t="inlineStr">
        <is>
          <t>Pizza</t>
        </is>
      </c>
      <c r="B20" s="7" t="inlineStr">
        <is>
          <t>Seven - Solo</t>
        </is>
      </c>
      <c r="C20" s="8" t="n">
        <v>3500</v>
      </c>
      <c r="D20" s="7" t="inlineStr"/>
      <c r="E20" s="7" t="inlineStr">
        <is>
          <t>Pizza</t>
        </is>
      </c>
    </row>
    <row r="21">
      <c r="A21" s="7" t="inlineStr">
        <is>
          <t>Pizza</t>
        </is>
      </c>
      <c r="B21" s="7" t="inlineStr">
        <is>
          <t>Seven - Duo</t>
        </is>
      </c>
      <c r="C21" s="8" t="n">
        <v>7000</v>
      </c>
      <c r="D21" s="7" t="inlineStr"/>
      <c r="E21" s="7" t="inlineStr">
        <is>
          <t>Pizza</t>
        </is>
      </c>
    </row>
    <row r="22">
      <c r="A22" s="7" t="inlineStr">
        <is>
          <t>Pizza</t>
        </is>
      </c>
      <c r="B22" s="7" t="inlineStr">
        <is>
          <t>Seven - Familiale</t>
        </is>
      </c>
      <c r="C22" s="8" t="n">
        <v>13500</v>
      </c>
      <c r="D22" s="7" t="inlineStr"/>
      <c r="E22" s="7" t="inlineStr">
        <is>
          <t>Pizza</t>
        </is>
      </c>
    </row>
    <row r="23">
      <c r="A23" s="7" t="inlineStr">
        <is>
          <t>Pizza</t>
        </is>
      </c>
      <c r="B23" s="7" t="inlineStr">
        <is>
          <t>Spices Bonita - Solo</t>
        </is>
      </c>
      <c r="C23" s="8" t="n">
        <v>3000</v>
      </c>
      <c r="D23" s="7" t="inlineStr"/>
      <c r="E23" s="7" t="inlineStr">
        <is>
          <t>Pizza</t>
        </is>
      </c>
    </row>
    <row r="24">
      <c r="A24" s="7" t="inlineStr">
        <is>
          <t>Pizza</t>
        </is>
      </c>
      <c r="B24" s="7" t="inlineStr">
        <is>
          <t>Spices Bonita - Duo</t>
        </is>
      </c>
      <c r="C24" s="8" t="n">
        <v>6000</v>
      </c>
      <c r="D24" s="7" t="inlineStr"/>
      <c r="E24" s="7" t="inlineStr">
        <is>
          <t>Pizza</t>
        </is>
      </c>
    </row>
    <row r="25">
      <c r="A25" s="7" t="inlineStr">
        <is>
          <t>Pizza</t>
        </is>
      </c>
      <c r="B25" s="7" t="inlineStr">
        <is>
          <t>Spices Bonita - Familiale</t>
        </is>
      </c>
      <c r="C25" s="8" t="n">
        <v>12000</v>
      </c>
      <c r="D25" s="7" t="inlineStr"/>
      <c r="E25" s="7" t="inlineStr">
        <is>
          <t>Pizza</t>
        </is>
      </c>
    </row>
    <row r="26">
      <c r="A26" s="7" t="inlineStr">
        <is>
          <t>Pizza</t>
        </is>
      </c>
      <c r="B26" s="7" t="inlineStr">
        <is>
          <t>Bimbia Cheese - Solo</t>
        </is>
      </c>
      <c r="C26" s="8" t="n">
        <v>2500</v>
      </c>
      <c r="D26" s="7" t="inlineStr"/>
      <c r="E26" s="7" t="inlineStr">
        <is>
          <t>Pizza</t>
        </is>
      </c>
    </row>
    <row r="27">
      <c r="A27" s="7" t="inlineStr">
        <is>
          <t>Pizza</t>
        </is>
      </c>
      <c r="B27" s="7" t="inlineStr">
        <is>
          <t>Bimbia Cheese - Duo</t>
        </is>
      </c>
      <c r="C27" s="8" t="n">
        <v>4500</v>
      </c>
      <c r="D27" s="7" t="inlineStr"/>
      <c r="E27" s="7" t="inlineStr">
        <is>
          <t>Pizza</t>
        </is>
      </c>
    </row>
    <row r="28">
      <c r="A28" s="7" t="inlineStr">
        <is>
          <t>Pizza</t>
        </is>
      </c>
      <c r="B28" s="7" t="inlineStr">
        <is>
          <t>Bimbia Cheese - Familiale</t>
        </is>
      </c>
      <c r="C28" s="8" t="n">
        <v>10000</v>
      </c>
      <c r="D28" s="7" t="inlineStr"/>
      <c r="E28" s="7" t="inlineStr">
        <is>
          <t>Pizza</t>
        </is>
      </c>
    </row>
    <row r="29">
      <c r="A29" s="7" t="inlineStr">
        <is>
          <t>Pizza</t>
        </is>
      </c>
      <c r="B29" s="7" t="inlineStr">
        <is>
          <t>Végétarienne - Solo</t>
        </is>
      </c>
      <c r="C29" s="8" t="n">
        <v>2500</v>
      </c>
      <c r="D29" s="7" t="inlineStr"/>
      <c r="E29" s="7" t="inlineStr">
        <is>
          <t>Pizza</t>
        </is>
      </c>
    </row>
    <row r="30">
      <c r="A30" s="7" t="inlineStr">
        <is>
          <t>Pizza</t>
        </is>
      </c>
      <c r="B30" s="7" t="inlineStr">
        <is>
          <t>Végétarienne - Duo</t>
        </is>
      </c>
      <c r="C30" s="8" t="n">
        <v>5000</v>
      </c>
      <c r="D30" s="7" t="inlineStr"/>
      <c r="E30" s="7" t="inlineStr">
        <is>
          <t>Pizza</t>
        </is>
      </c>
    </row>
    <row r="31">
      <c r="A31" s="7" t="inlineStr">
        <is>
          <t>Pizza</t>
        </is>
      </c>
      <c r="B31" s="7" t="inlineStr">
        <is>
          <t>Végétarienne - Familiale</t>
        </is>
      </c>
      <c r="C31" s="8" t="n">
        <v>11000</v>
      </c>
      <c r="D31" s="7" t="inlineStr"/>
      <c r="E31" s="7" t="inlineStr">
        <is>
          <t>Pizza</t>
        </is>
      </c>
    </row>
    <row r="32">
      <c r="A32" s="7" t="inlineStr">
        <is>
          <t>Poisson</t>
        </is>
      </c>
      <c r="B32" s="7" t="inlineStr">
        <is>
          <t>Carpe</t>
        </is>
      </c>
      <c r="C32" s="8" t="n">
        <v>5000</v>
      </c>
      <c r="D32" s="7" t="inlineStr">
        <is>
          <t>5000-8000</t>
        </is>
      </c>
      <c r="E32" s="7" t="inlineStr">
        <is>
          <t>Poisson</t>
        </is>
      </c>
    </row>
    <row r="33">
      <c r="A33" s="7" t="inlineStr">
        <is>
          <t>Poisson</t>
        </is>
      </c>
      <c r="B33" s="7" t="inlineStr">
        <is>
          <t>Sole</t>
        </is>
      </c>
      <c r="C33" s="8" t="n">
        <v>9000</v>
      </c>
      <c r="D33" s="7" t="inlineStr">
        <is>
          <t>9000-11000</t>
        </is>
      </c>
      <c r="E33" s="7" t="inlineStr">
        <is>
          <t>Poisson</t>
        </is>
      </c>
    </row>
    <row r="34">
      <c r="A34" s="7" t="inlineStr">
        <is>
          <t>Poisson</t>
        </is>
      </c>
      <c r="B34" s="7" t="inlineStr">
        <is>
          <t>Bar</t>
        </is>
      </c>
      <c r="C34" s="8" t="n">
        <v>7000</v>
      </c>
      <c r="D34" s="7" t="inlineStr">
        <is>
          <t>7000-10000</t>
        </is>
      </c>
      <c r="E34" s="7" t="inlineStr">
        <is>
          <t>Poisson</t>
        </is>
      </c>
    </row>
    <row r="35">
      <c r="A35" s="7" t="inlineStr">
        <is>
          <t>Jus Naturel / Bissap</t>
        </is>
      </c>
      <c r="B35" s="7" t="inlineStr">
        <is>
          <t>Litre</t>
        </is>
      </c>
      <c r="C35" s="8" t="n">
        <v>2000</v>
      </c>
      <c r="D35" s="7" t="inlineStr">
        <is>
          <t>Conso à 1000</t>
        </is>
      </c>
      <c r="E35" s="7" t="inlineStr">
        <is>
          <t>Boisson</t>
        </is>
      </c>
    </row>
    <row r="36">
      <c r="A36" s="7" t="inlineStr">
        <is>
          <t>Jus Naturel / Bissap</t>
        </is>
      </c>
      <c r="B36" s="7" t="inlineStr">
        <is>
          <t>Fruit de Saison</t>
        </is>
      </c>
      <c r="C36" s="8" t="n">
        <v>3500</v>
      </c>
      <c r="D36" s="7" t="inlineStr">
        <is>
          <t>En litre</t>
        </is>
      </c>
      <c r="E36" s="7" t="inlineStr">
        <is>
          <t>Boisson</t>
        </is>
      </c>
    </row>
    <row r="37">
      <c r="A37" s="7" t="inlineStr">
        <is>
          <t>Accompagnement</t>
        </is>
      </c>
      <c r="B37" s="7" t="inlineStr">
        <is>
          <t>Riz</t>
        </is>
      </c>
      <c r="C37" s="8" t="n">
        <v>0</v>
      </c>
      <c r="D37" s="7" t="inlineStr">
        <is>
          <t>Pour chaque plat</t>
        </is>
      </c>
      <c r="E37" s="7" t="inlineStr">
        <is>
          <t>Accompagnement</t>
        </is>
      </c>
    </row>
    <row r="38">
      <c r="A38" s="7" t="inlineStr">
        <is>
          <t>Accompagnement</t>
        </is>
      </c>
      <c r="B38" s="7" t="inlineStr">
        <is>
          <t>Frites</t>
        </is>
      </c>
      <c r="C38" s="8" t="n">
        <v>0</v>
      </c>
      <c r="D38" s="7" t="inlineStr">
        <is>
          <t>Pour chaque plat</t>
        </is>
      </c>
      <c r="E38" s="7" t="inlineStr">
        <is>
          <t>Accompagnement</t>
        </is>
      </c>
    </row>
    <row r="39">
      <c r="A39" s="7" t="inlineStr">
        <is>
          <t>Accompagnement</t>
        </is>
      </c>
      <c r="B39" s="7" t="inlineStr">
        <is>
          <t>Plantain</t>
        </is>
      </c>
      <c r="C39" s="8" t="n">
        <v>0</v>
      </c>
      <c r="D39" s="7" t="inlineStr">
        <is>
          <t>Pour chaque plat</t>
        </is>
      </c>
      <c r="E39" s="7" t="inlineStr">
        <is>
          <t>Accompagnement</t>
        </is>
      </c>
    </row>
    <row r="40">
      <c r="A40" s="7" t="inlineStr">
        <is>
          <t>Accompagnement</t>
        </is>
      </c>
      <c r="B40" s="7" t="inlineStr">
        <is>
          <t>Miondo</t>
        </is>
      </c>
      <c r="C40" s="8" t="n">
        <v>0</v>
      </c>
      <c r="D40" s="7" t="inlineStr">
        <is>
          <t>Pour chaque plat</t>
        </is>
      </c>
      <c r="E40" s="7" t="inlineStr">
        <is>
          <t>Accompagnement</t>
        </is>
      </c>
    </row>
    <row r="41">
      <c r="A41" s="7" t="inlineStr">
        <is>
          <t>Pack Brise Snack</t>
        </is>
      </c>
      <c r="B41" s="7" t="inlineStr">
        <is>
          <t>Deux morceaux de poulet, portion de frit, un verre de jus</t>
        </is>
      </c>
      <c r="C41" s="8" t="n">
        <v>4000</v>
      </c>
      <c r="D41" s="7" t="inlineStr"/>
      <c r="E41" s="7" t="inlineStr">
        <is>
          <t>Pack</t>
        </is>
      </c>
    </row>
    <row r="42">
      <c r="A42" s="7" t="inlineStr">
        <is>
          <t>Pack Sunset Combo</t>
        </is>
      </c>
      <c r="B42" s="7" t="inlineStr">
        <is>
          <t>Un burger, un morceau de poulet, portion de frit, un verre de fruit</t>
        </is>
      </c>
      <c r="C42" s="8" t="n">
        <v>6000</v>
      </c>
      <c r="D42" s="7" t="inlineStr"/>
      <c r="E42" s="7" t="inlineStr">
        <is>
          <t>Pack</t>
        </is>
      </c>
    </row>
    <row r="43">
      <c r="A43" s="7" t="inlineStr">
        <is>
          <t>Pack Ocean Duo</t>
        </is>
      </c>
      <c r="B43" s="7" t="inlineStr">
        <is>
          <t>Double cheese burger, un tacos, portion de frit, jus Top</t>
        </is>
      </c>
      <c r="C43" s="8" t="n">
        <v>8500</v>
      </c>
      <c r="D43" s="7" t="inlineStr"/>
      <c r="E43" s="7" t="inlineStr">
        <is>
          <t>Pack</t>
        </is>
      </c>
    </row>
    <row r="44">
      <c r="A44" s="7" t="inlineStr">
        <is>
          <t>Pack Bonita Family</t>
        </is>
      </c>
      <c r="B44" s="7" t="inlineStr">
        <is>
          <t>Un demi poulet pané, deux burgers, un litre de jus, deux portions de frit</t>
        </is>
      </c>
      <c r="C44" s="8" t="n">
        <v>15000</v>
      </c>
      <c r="D44" s="7" t="inlineStr"/>
      <c r="E44" s="7" t="inlineStr">
        <is>
          <t>Pack</t>
        </is>
      </c>
    </row>
    <row r="45">
      <c r="A45" s="7" t="inlineStr">
        <is>
          <t>Planche Brise Marine</t>
        </is>
      </c>
      <c r="B45" s="7" t="inlineStr"/>
      <c r="C45" s="8" t="n">
        <v>10000</v>
      </c>
      <c r="D45" s="7" t="inlineStr"/>
      <c r="E45" s="7" t="inlineStr">
        <is>
          <t>Planche</t>
        </is>
      </c>
    </row>
    <row r="46">
      <c r="A46" s="7" t="inlineStr">
        <is>
          <t>Planche Sunset</t>
        </is>
      </c>
      <c r="B46" s="7" t="inlineStr"/>
      <c r="C46" s="8" t="n">
        <v>25000</v>
      </c>
      <c r="D46" s="7" t="inlineStr"/>
      <c r="E46" s="7" t="inlineStr">
        <is>
          <t>Planche</t>
        </is>
      </c>
    </row>
    <row r="47">
      <c r="A47" s="7" t="inlineStr">
        <is>
          <t>Planche Océan Royale</t>
        </is>
      </c>
      <c r="B47" s="7" t="inlineStr"/>
      <c r="C47" s="8" t="n">
        <v>50000</v>
      </c>
      <c r="D47" s="7" t="inlineStr"/>
      <c r="E47" s="7" t="inlineStr">
        <is>
          <t>Planche</t>
        </is>
      </c>
    </row>
    <row r="48">
      <c r="A48" s="7" t="inlineStr">
        <is>
          <t>Planche Paradise</t>
        </is>
      </c>
      <c r="B48" s="7" t="inlineStr"/>
      <c r="C48" s="8" t="n">
        <v>75000</v>
      </c>
      <c r="D48" s="7" t="inlineStr"/>
      <c r="E48" s="7" t="inlineStr">
        <is>
          <t>Planche</t>
        </is>
      </c>
    </row>
    <row r="49">
      <c r="A49" s="7" t="inlineStr">
        <is>
          <t>Planche Isla Prestige</t>
        </is>
      </c>
      <c r="B49" s="7" t="inlineStr"/>
      <c r="C49" s="8" t="n">
        <v>100000</v>
      </c>
      <c r="D49" s="7" t="inlineStr"/>
      <c r="E49" s="7" t="inlineStr">
        <is>
          <t>Planche</t>
        </is>
      </c>
    </row>
    <row r="50">
      <c r="A50" s="7" t="inlineStr">
        <is>
          <t>Planche Bonita Supreme</t>
        </is>
      </c>
      <c r="B50" s="7" t="inlineStr"/>
      <c r="C50" s="8" t="n">
        <v>200000</v>
      </c>
      <c r="D50" s="7" t="inlineStr"/>
      <c r="E50" s="7" t="inlineStr">
        <is>
          <t>Planche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25" customWidth="1" min="2" max="2"/>
    <col width="12" customWidth="1" min="7" max="7"/>
    <col width="15" customWidth="1" min="9" max="9"/>
  </cols>
  <sheetData>
    <row r="1">
      <c r="A1" t="inlineStr">
        <is>
          <t>Catégorie</t>
        </is>
      </c>
      <c r="B1" t="inlineStr">
        <is>
          <t>Article</t>
        </is>
      </c>
      <c r="C1" t="inlineStr">
        <is>
          <t>Unité</t>
        </is>
      </c>
      <c r="D1" t="inlineStr">
        <is>
          <t>Stock Initial</t>
        </is>
      </c>
      <c r="E1" t="inlineStr">
        <is>
          <t>Entrées</t>
        </is>
      </c>
      <c r="F1" t="inlineStr">
        <is>
          <t>Sorties</t>
        </is>
      </c>
      <c r="G1" t="inlineStr">
        <is>
          <t>Stock Final</t>
        </is>
      </c>
      <c r="H1" t="inlineStr">
        <is>
          <t>Coût Unitaire</t>
        </is>
      </c>
      <c r="I1" t="inlineStr">
        <is>
          <t>Valeur Stock</t>
        </is>
      </c>
      <c r="J1" t="inlineStr">
        <is>
          <t>Statut</t>
        </is>
      </c>
    </row>
    <row r="2">
      <c r="A2" s="9" t="inlineStr">
        <is>
          <t>Viandes</t>
        </is>
      </c>
      <c r="B2" s="9" t="inlineStr">
        <is>
          <t>Poulet entier</t>
        </is>
      </c>
      <c r="C2" s="9" t="inlineStr">
        <is>
          <t>Unité</t>
        </is>
      </c>
      <c r="D2" s="10" t="n">
        <v>0</v>
      </c>
      <c r="E2" s="10" t="n">
        <v>0</v>
      </c>
      <c r="F2" s="10" t="n">
        <v>0</v>
      </c>
      <c r="G2" s="9">
        <f>D2+E2-F2</f>
        <v/>
      </c>
      <c r="H2" s="10" t="n">
        <v>0</v>
      </c>
      <c r="I2" s="9">
        <f>G2*H2</f>
        <v/>
      </c>
      <c r="J2" s="11">
        <f>IF(G2=0, "RUPTURE", IF(G2&lt;5, "CRITIQUE", IF(G2&lt;10, "ATTENTION", "OK")))</f>
        <v/>
      </c>
    </row>
    <row r="3">
      <c r="A3" s="7" t="inlineStr">
        <is>
          <t>Viandes</t>
        </is>
      </c>
      <c r="B3" s="7" t="inlineStr">
        <is>
          <t>Aile de Poulet</t>
        </is>
      </c>
      <c r="C3" s="7" t="inlineStr">
        <is>
          <t>Unité</t>
        </is>
      </c>
      <c r="D3" s="10" t="n">
        <v>0</v>
      </c>
      <c r="E3" s="10" t="n">
        <v>0</v>
      </c>
      <c r="F3" s="10" t="n">
        <v>0</v>
      </c>
      <c r="G3" s="7">
        <f>D3+E3-F3</f>
        <v/>
      </c>
      <c r="H3" s="10" t="n">
        <v>0</v>
      </c>
      <c r="I3" s="7">
        <f>G3*H3</f>
        <v/>
      </c>
      <c r="J3" s="12">
        <f>IF(G3=0, "RUPTURE", IF(G3&lt;5, "CRITIQUE", IF(G3&lt;10, "ATTENTION", "OK")))</f>
        <v/>
      </c>
    </row>
    <row r="4">
      <c r="A4" s="9" t="inlineStr">
        <is>
          <t>Viandes</t>
        </is>
      </c>
      <c r="B4" s="9" t="inlineStr">
        <is>
          <t>Cuisse de poulet</t>
        </is>
      </c>
      <c r="C4" s="9" t="inlineStr">
        <is>
          <t>Unité</t>
        </is>
      </c>
      <c r="D4" s="10" t="n">
        <v>0</v>
      </c>
      <c r="E4" s="10" t="n">
        <v>0</v>
      </c>
      <c r="F4" s="10" t="n">
        <v>0</v>
      </c>
      <c r="G4" s="9">
        <f>D4+E4-F4</f>
        <v/>
      </c>
      <c r="H4" s="10" t="n">
        <v>0</v>
      </c>
      <c r="I4" s="9">
        <f>G4*H4</f>
        <v/>
      </c>
      <c r="J4" s="11">
        <f>IF(G4=0, "RUPTURE", IF(G4&lt;5, "CRITIQUE", IF(G4&lt;10, "ATTENTION", "OK")))</f>
        <v/>
      </c>
    </row>
    <row r="5">
      <c r="A5" s="7" t="inlineStr">
        <is>
          <t>Viandes</t>
        </is>
      </c>
      <c r="B5" s="7" t="inlineStr">
        <is>
          <t>Bœuf</t>
        </is>
      </c>
      <c r="C5" s="7" t="inlineStr">
        <is>
          <t>Unité</t>
        </is>
      </c>
      <c r="D5" s="10" t="n">
        <v>0</v>
      </c>
      <c r="E5" s="10" t="n">
        <v>0</v>
      </c>
      <c r="F5" s="10" t="n">
        <v>0</v>
      </c>
      <c r="G5" s="7">
        <f>D5+E5-F5</f>
        <v/>
      </c>
      <c r="H5" s="10" t="n">
        <v>0</v>
      </c>
      <c r="I5" s="7">
        <f>G5*H5</f>
        <v/>
      </c>
      <c r="J5" s="12">
        <f>IF(G5=0, "RUPTURE", IF(G5&lt;5, "CRITIQUE", IF(G5&lt;10, "ATTENTION", "OK")))</f>
        <v/>
      </c>
    </row>
    <row r="6">
      <c r="A6" s="9" t="inlineStr">
        <is>
          <t>Viandes</t>
        </is>
      </c>
      <c r="B6" s="9" t="inlineStr">
        <is>
          <t>Porc</t>
        </is>
      </c>
      <c r="C6" s="9" t="inlineStr">
        <is>
          <t>Unité</t>
        </is>
      </c>
      <c r="D6" s="10" t="n">
        <v>0</v>
      </c>
      <c r="E6" s="10" t="n">
        <v>0</v>
      </c>
      <c r="F6" s="10" t="n">
        <v>0</v>
      </c>
      <c r="G6" s="9">
        <f>D6+E6-F6</f>
        <v/>
      </c>
      <c r="H6" s="10" t="n">
        <v>0</v>
      </c>
      <c r="I6" s="9">
        <f>G6*H6</f>
        <v/>
      </c>
      <c r="J6" s="11">
        <f>IF(G6=0, "RUPTURE", IF(G6&lt;5, "CRITIQUE", IF(G6&lt;10, "ATTENTION", "OK")))</f>
        <v/>
      </c>
    </row>
    <row r="7">
      <c r="A7" s="7" t="inlineStr">
        <is>
          <t>Poissons</t>
        </is>
      </c>
      <c r="B7" s="7" t="inlineStr">
        <is>
          <t>Carpe</t>
        </is>
      </c>
      <c r="C7" s="7" t="inlineStr">
        <is>
          <t>Unité</t>
        </is>
      </c>
      <c r="D7" s="10" t="n">
        <v>0</v>
      </c>
      <c r="E7" s="10" t="n">
        <v>0</v>
      </c>
      <c r="F7" s="10" t="n">
        <v>0</v>
      </c>
      <c r="G7" s="7">
        <f>D7+E7-F7</f>
        <v/>
      </c>
      <c r="H7" s="10" t="n">
        <v>0</v>
      </c>
      <c r="I7" s="7">
        <f>G7*H7</f>
        <v/>
      </c>
      <c r="J7" s="12">
        <f>IF(G7=0, "RUPTURE", IF(G7&lt;5, "CRITIQUE", IF(G7&lt;10, "ATTENTION", "OK")))</f>
        <v/>
      </c>
    </row>
    <row r="8">
      <c r="A8" s="9" t="inlineStr">
        <is>
          <t>Poissons</t>
        </is>
      </c>
      <c r="B8" s="9" t="inlineStr">
        <is>
          <t>Sole</t>
        </is>
      </c>
      <c r="C8" s="9" t="inlineStr">
        <is>
          <t>Unité</t>
        </is>
      </c>
      <c r="D8" s="10" t="n">
        <v>0</v>
      </c>
      <c r="E8" s="10" t="n">
        <v>0</v>
      </c>
      <c r="F8" s="10" t="n">
        <v>0</v>
      </c>
      <c r="G8" s="9">
        <f>D8+E8-F8</f>
        <v/>
      </c>
      <c r="H8" s="10" t="n">
        <v>0</v>
      </c>
      <c r="I8" s="9">
        <f>G8*H8</f>
        <v/>
      </c>
      <c r="J8" s="11">
        <f>IF(G8=0, "RUPTURE", IF(G8&lt;5, "CRITIQUE", IF(G8&lt;10, "ATTENTION", "OK")))</f>
        <v/>
      </c>
    </row>
    <row r="9">
      <c r="A9" s="7" t="inlineStr">
        <is>
          <t>Poissons</t>
        </is>
      </c>
      <c r="B9" s="7" t="inlineStr">
        <is>
          <t>Bar</t>
        </is>
      </c>
      <c r="C9" s="7" t="inlineStr">
        <is>
          <t>Unité</t>
        </is>
      </c>
      <c r="D9" s="10" t="n">
        <v>0</v>
      </c>
      <c r="E9" s="10" t="n">
        <v>0</v>
      </c>
      <c r="F9" s="10" t="n">
        <v>0</v>
      </c>
      <c r="G9" s="7">
        <f>D9+E9-F9</f>
        <v/>
      </c>
      <c r="H9" s="10" t="n">
        <v>0</v>
      </c>
      <c r="I9" s="7">
        <f>G9*H9</f>
        <v/>
      </c>
      <c r="J9" s="12">
        <f>IF(G9=0, "RUPTURE", IF(G9&lt;5, "CRITIQUE", IF(G9&lt;10, "ATTENTION", "OK")))</f>
        <v/>
      </c>
    </row>
    <row r="10">
      <c r="A10" s="9" t="inlineStr">
        <is>
          <t>Poissons</t>
        </is>
      </c>
      <c r="B10" s="9" t="inlineStr">
        <is>
          <t>Gambas</t>
        </is>
      </c>
      <c r="C10" s="9" t="inlineStr">
        <is>
          <t>Unité</t>
        </is>
      </c>
      <c r="D10" s="10" t="n">
        <v>0</v>
      </c>
      <c r="E10" s="10" t="n">
        <v>0</v>
      </c>
      <c r="F10" s="10" t="n">
        <v>0</v>
      </c>
      <c r="G10" s="9">
        <f>D10+E10-F10</f>
        <v/>
      </c>
      <c r="H10" s="10" t="n">
        <v>0</v>
      </c>
      <c r="I10" s="9">
        <f>G10*H10</f>
        <v/>
      </c>
      <c r="J10" s="11">
        <f>IF(G10=0, "RUPTURE", IF(G10&lt;5, "CRITIQUE", IF(G10&lt;10, "ATTENTION", "OK")))</f>
        <v/>
      </c>
    </row>
    <row r="11">
      <c r="A11" s="7" t="inlineStr">
        <is>
          <t>Poissons</t>
        </is>
      </c>
      <c r="B11" s="7" t="inlineStr">
        <is>
          <t>Crevette</t>
        </is>
      </c>
      <c r="C11" s="7" t="inlineStr">
        <is>
          <t>Unité</t>
        </is>
      </c>
      <c r="D11" s="10" t="n">
        <v>0</v>
      </c>
      <c r="E11" s="10" t="n">
        <v>0</v>
      </c>
      <c r="F11" s="10" t="n">
        <v>0</v>
      </c>
      <c r="G11" s="7">
        <f>D11+E11-F11</f>
        <v/>
      </c>
      <c r="H11" s="10" t="n">
        <v>0</v>
      </c>
      <c r="I11" s="7">
        <f>G11*H11</f>
        <v/>
      </c>
      <c r="J11" s="12">
        <f>IF(G11=0, "RUPTURE", IF(G11&lt;5, "CRITIQUE", IF(G11&lt;10, "ATTENTION", "OK")))</f>
        <v/>
      </c>
    </row>
    <row r="12">
      <c r="A12" s="9" t="inlineStr">
        <is>
          <t>Légumes</t>
        </is>
      </c>
      <c r="B12" s="9" t="inlineStr">
        <is>
          <t>Carottes</t>
        </is>
      </c>
      <c r="C12" s="9" t="inlineStr">
        <is>
          <t>Unité</t>
        </is>
      </c>
      <c r="D12" s="10" t="n">
        <v>0</v>
      </c>
      <c r="E12" s="10" t="n">
        <v>0</v>
      </c>
      <c r="F12" s="10" t="n">
        <v>0</v>
      </c>
      <c r="G12" s="9">
        <f>D12+E12-F12</f>
        <v/>
      </c>
      <c r="H12" s="10" t="n">
        <v>0</v>
      </c>
      <c r="I12" s="9">
        <f>G12*H12</f>
        <v/>
      </c>
      <c r="J12" s="11">
        <f>IF(G12=0, "RUPTURE", IF(G12&lt;5, "CRITIQUE", IF(G12&lt;10, "ATTENTION", "OK")))</f>
        <v/>
      </c>
    </row>
    <row r="13">
      <c r="A13" s="7" t="inlineStr">
        <is>
          <t>Légumes</t>
        </is>
      </c>
      <c r="B13" s="7" t="inlineStr">
        <is>
          <t>Tomates</t>
        </is>
      </c>
      <c r="C13" s="7" t="inlineStr">
        <is>
          <t>Unité</t>
        </is>
      </c>
      <c r="D13" s="10" t="n">
        <v>0</v>
      </c>
      <c r="E13" s="10" t="n">
        <v>0</v>
      </c>
      <c r="F13" s="10" t="n">
        <v>0</v>
      </c>
      <c r="G13" s="7">
        <f>D13+E13-F13</f>
        <v/>
      </c>
      <c r="H13" s="10" t="n">
        <v>0</v>
      </c>
      <c r="I13" s="7">
        <f>G13*H13</f>
        <v/>
      </c>
      <c r="J13" s="12">
        <f>IF(G13=0, "RUPTURE", IF(G13&lt;5, "CRITIQUE", IF(G13&lt;10, "ATTENTION", "OK")))</f>
        <v/>
      </c>
    </row>
    <row r="14">
      <c r="A14" s="9" t="inlineStr">
        <is>
          <t>Légumes</t>
        </is>
      </c>
      <c r="B14" s="9" t="inlineStr">
        <is>
          <t>Oignons</t>
        </is>
      </c>
      <c r="C14" s="9" t="inlineStr">
        <is>
          <t>Unité</t>
        </is>
      </c>
      <c r="D14" s="10" t="n">
        <v>0</v>
      </c>
      <c r="E14" s="10" t="n">
        <v>0</v>
      </c>
      <c r="F14" s="10" t="n">
        <v>0</v>
      </c>
      <c r="G14" s="9">
        <f>D14+E14-F14</f>
        <v/>
      </c>
      <c r="H14" s="10" t="n">
        <v>0</v>
      </c>
      <c r="I14" s="9">
        <f>G14*H14</f>
        <v/>
      </c>
      <c r="J14" s="11">
        <f>IF(G14=0, "RUPTURE", IF(G14&lt;5, "CRITIQUE", IF(G14&lt;10, "ATTENTION", "OK")))</f>
        <v/>
      </c>
    </row>
    <row r="15">
      <c r="A15" s="7" t="inlineStr">
        <is>
          <t>Légumes</t>
        </is>
      </c>
      <c r="B15" s="7" t="inlineStr">
        <is>
          <t>Pommes de terre</t>
        </is>
      </c>
      <c r="C15" s="7" t="inlineStr">
        <is>
          <t>Unité</t>
        </is>
      </c>
      <c r="D15" s="10" t="n">
        <v>0</v>
      </c>
      <c r="E15" s="10" t="n">
        <v>0</v>
      </c>
      <c r="F15" s="10" t="n">
        <v>0</v>
      </c>
      <c r="G15" s="7">
        <f>D15+E15-F15</f>
        <v/>
      </c>
      <c r="H15" s="10" t="n">
        <v>0</v>
      </c>
      <c r="I15" s="7">
        <f>G15*H15</f>
        <v/>
      </c>
      <c r="J15" s="12">
        <f>IF(G15=0, "RUPTURE", IF(G15&lt;5, "CRITIQUE", IF(G15&lt;10, "ATTENTION", "OK")))</f>
        <v/>
      </c>
    </row>
    <row r="16">
      <c r="A16" s="9" t="inlineStr">
        <is>
          <t>Légumes</t>
        </is>
      </c>
      <c r="B16" s="9" t="inlineStr">
        <is>
          <t>Choux</t>
        </is>
      </c>
      <c r="C16" s="9" t="inlineStr">
        <is>
          <t>Unité</t>
        </is>
      </c>
      <c r="D16" s="10" t="n">
        <v>0</v>
      </c>
      <c r="E16" s="10" t="n">
        <v>0</v>
      </c>
      <c r="F16" s="10" t="n">
        <v>0</v>
      </c>
      <c r="G16" s="9">
        <f>D16+E16-F16</f>
        <v/>
      </c>
      <c r="H16" s="10" t="n">
        <v>0</v>
      </c>
      <c r="I16" s="9">
        <f>G16*H16</f>
        <v/>
      </c>
      <c r="J16" s="11">
        <f>IF(G16=0, "RUPTURE", IF(G16&lt;5, "CRITIQUE", IF(G16&lt;10, "ATTENTION", "OK")))</f>
        <v/>
      </c>
    </row>
    <row r="17">
      <c r="A17" s="7" t="inlineStr">
        <is>
          <t>Epicerie</t>
        </is>
      </c>
      <c r="B17" s="7" t="inlineStr">
        <is>
          <t>Riz</t>
        </is>
      </c>
      <c r="C17" s="7" t="inlineStr">
        <is>
          <t>Unité</t>
        </is>
      </c>
      <c r="D17" s="10" t="n">
        <v>0</v>
      </c>
      <c r="E17" s="10" t="n">
        <v>0</v>
      </c>
      <c r="F17" s="10" t="n">
        <v>0</v>
      </c>
      <c r="G17" s="7">
        <f>D17+E17-F17</f>
        <v/>
      </c>
      <c r="H17" s="10" t="n">
        <v>0</v>
      </c>
      <c r="I17" s="7">
        <f>G17*H17</f>
        <v/>
      </c>
      <c r="J17" s="12">
        <f>IF(G17=0, "RUPTURE", IF(G17&lt;5, "CRITIQUE", IF(G17&lt;10, "ATTENTION", "OK")))</f>
        <v/>
      </c>
    </row>
    <row r="18">
      <c r="A18" s="9" t="inlineStr">
        <is>
          <t>Epicerie</t>
        </is>
      </c>
      <c r="B18" s="9" t="inlineStr">
        <is>
          <t>Pâtes</t>
        </is>
      </c>
      <c r="C18" s="9" t="inlineStr">
        <is>
          <t>Unité</t>
        </is>
      </c>
      <c r="D18" s="10" t="n">
        <v>0</v>
      </c>
      <c r="E18" s="10" t="n">
        <v>0</v>
      </c>
      <c r="F18" s="10" t="n">
        <v>0</v>
      </c>
      <c r="G18" s="9">
        <f>D18+E18-F18</f>
        <v/>
      </c>
      <c r="H18" s="10" t="n">
        <v>0</v>
      </c>
      <c r="I18" s="9">
        <f>G18*H18</f>
        <v/>
      </c>
      <c r="J18" s="11">
        <f>IF(G18=0, "RUPTURE", IF(G18&lt;5, "CRITIQUE", IF(G18&lt;10, "ATTENTION", "OK")))</f>
        <v/>
      </c>
    </row>
    <row r="19">
      <c r="A19" s="7" t="inlineStr">
        <is>
          <t>Epicerie</t>
        </is>
      </c>
      <c r="B19" s="7" t="inlineStr">
        <is>
          <t>Huile</t>
        </is>
      </c>
      <c r="C19" s="7" t="inlineStr">
        <is>
          <t>Unité</t>
        </is>
      </c>
      <c r="D19" s="10" t="n">
        <v>0</v>
      </c>
      <c r="E19" s="10" t="n">
        <v>0</v>
      </c>
      <c r="F19" s="10" t="n">
        <v>0</v>
      </c>
      <c r="G19" s="7">
        <f>D19+E19-F19</f>
        <v/>
      </c>
      <c r="H19" s="10" t="n">
        <v>0</v>
      </c>
      <c r="I19" s="7">
        <f>G19*H19</f>
        <v/>
      </c>
      <c r="J19" s="12">
        <f>IF(G19=0, "RUPTURE", IF(G19&lt;5, "CRITIQUE", IF(G19&lt;10, "ATTENTION", "OK")))</f>
        <v/>
      </c>
    </row>
    <row r="20">
      <c r="A20" s="9" t="inlineStr">
        <is>
          <t>Epicerie</t>
        </is>
      </c>
      <c r="B20" s="9" t="inlineStr">
        <is>
          <t>Sel</t>
        </is>
      </c>
      <c r="C20" s="9" t="inlineStr">
        <is>
          <t>Unité</t>
        </is>
      </c>
      <c r="D20" s="10" t="n">
        <v>0</v>
      </c>
      <c r="E20" s="10" t="n">
        <v>0</v>
      </c>
      <c r="F20" s="10" t="n">
        <v>0</v>
      </c>
      <c r="G20" s="9">
        <f>D20+E20-F20</f>
        <v/>
      </c>
      <c r="H20" s="10" t="n">
        <v>0</v>
      </c>
      <c r="I20" s="9">
        <f>G20*H20</f>
        <v/>
      </c>
      <c r="J20" s="11">
        <f>IF(G20=0, "RUPTURE", IF(G20&lt;5, "CRITIQUE", IF(G20&lt;10, "ATTENTION", "OK")))</f>
        <v/>
      </c>
    </row>
    <row r="21">
      <c r="A21" s="7" t="inlineStr">
        <is>
          <t>Epicerie</t>
        </is>
      </c>
      <c r="B21" s="7" t="inlineStr">
        <is>
          <t>Sucre</t>
        </is>
      </c>
      <c r="C21" s="7" t="inlineStr">
        <is>
          <t>Unité</t>
        </is>
      </c>
      <c r="D21" s="10" t="n">
        <v>0</v>
      </c>
      <c r="E21" s="10" t="n">
        <v>0</v>
      </c>
      <c r="F21" s="10" t="n">
        <v>0</v>
      </c>
      <c r="G21" s="7">
        <f>D21+E21-F21</f>
        <v/>
      </c>
      <c r="H21" s="10" t="n">
        <v>0</v>
      </c>
      <c r="I21" s="7">
        <f>G21*H21</f>
        <v/>
      </c>
      <c r="J21" s="12">
        <f>IF(G21=0, "RUPTURE", IF(G21&lt;5, "CRITIQUE", IF(G21&lt;10, "ATTENTION", "OK")))</f>
        <v/>
      </c>
    </row>
    <row r="22">
      <c r="A22" s="9" t="inlineStr">
        <is>
          <t>Boissons</t>
        </is>
      </c>
      <c r="B22" s="9" t="inlineStr">
        <is>
          <t>Jus Naturel</t>
        </is>
      </c>
      <c r="C22" s="9" t="inlineStr">
        <is>
          <t>Unité</t>
        </is>
      </c>
      <c r="D22" s="10" t="n">
        <v>0</v>
      </c>
      <c r="E22" s="10" t="n">
        <v>0</v>
      </c>
      <c r="F22" s="10" t="n">
        <v>0</v>
      </c>
      <c r="G22" s="9">
        <f>D22+E22-F22</f>
        <v/>
      </c>
      <c r="H22" s="10" t="n">
        <v>0</v>
      </c>
      <c r="I22" s="9">
        <f>G22*H22</f>
        <v/>
      </c>
      <c r="J22" s="11">
        <f>IF(G22=0, "RUPTURE", IF(G22&lt;5, "CRITIQUE", IF(G22&lt;10, "ATTENTION", "OK")))</f>
        <v/>
      </c>
    </row>
    <row r="23">
      <c r="A23" s="7" t="inlineStr">
        <is>
          <t>Boissons</t>
        </is>
      </c>
      <c r="B23" s="7" t="inlineStr">
        <is>
          <t>Bissap</t>
        </is>
      </c>
      <c r="C23" s="7" t="inlineStr">
        <is>
          <t>Unité</t>
        </is>
      </c>
      <c r="D23" s="10" t="n">
        <v>0</v>
      </c>
      <c r="E23" s="10" t="n">
        <v>0</v>
      </c>
      <c r="F23" s="10" t="n">
        <v>0</v>
      </c>
      <c r="G23" s="7">
        <f>D23+E23-F23</f>
        <v/>
      </c>
      <c r="H23" s="10" t="n">
        <v>0</v>
      </c>
      <c r="I23" s="7">
        <f>G23*H23</f>
        <v/>
      </c>
      <c r="J23" s="12">
        <f>IF(G23=0, "RUPTURE", IF(G23&lt;5, "CRITIQUE", IF(G23&lt;10, "ATTENTION", "OK")))</f>
        <v/>
      </c>
    </row>
    <row r="24">
      <c r="A24" s="9" t="inlineStr">
        <is>
          <t>Boissons</t>
        </is>
      </c>
      <c r="B24" s="9" t="inlineStr">
        <is>
          <t>Eau</t>
        </is>
      </c>
      <c r="C24" s="9" t="inlineStr">
        <is>
          <t>Unité</t>
        </is>
      </c>
      <c r="D24" s="10" t="n">
        <v>0</v>
      </c>
      <c r="E24" s="10" t="n">
        <v>0</v>
      </c>
      <c r="F24" s="10" t="n">
        <v>0</v>
      </c>
      <c r="G24" s="9">
        <f>D24+E24-F24</f>
        <v/>
      </c>
      <c r="H24" s="10" t="n">
        <v>0</v>
      </c>
      <c r="I24" s="9">
        <f>G24*H24</f>
        <v/>
      </c>
      <c r="J24" s="11">
        <f>IF(G24=0, "RUPTURE", IF(G24&lt;5, "CRITIQUE", IF(G24&lt;10, "ATTENTION", "OK")))</f>
        <v/>
      </c>
    </row>
    <row r="25">
      <c r="A25" s="7" t="inlineStr">
        <is>
          <t>Boissons</t>
        </is>
      </c>
      <c r="B25" s="7" t="inlineStr">
        <is>
          <t>Soda</t>
        </is>
      </c>
      <c r="C25" s="7" t="inlineStr">
        <is>
          <t>Unité</t>
        </is>
      </c>
      <c r="D25" s="10" t="n">
        <v>0</v>
      </c>
      <c r="E25" s="10" t="n">
        <v>0</v>
      </c>
      <c r="F25" s="10" t="n">
        <v>0</v>
      </c>
      <c r="G25" s="7">
        <f>D25+E25-F25</f>
        <v/>
      </c>
      <c r="H25" s="10" t="n">
        <v>0</v>
      </c>
      <c r="I25" s="7">
        <f>G25*H25</f>
        <v/>
      </c>
      <c r="J25" s="12">
        <f>IF(G25=0, "RUPTURE", IF(G25&lt;5, "CRITIQUE", IF(G25&lt;10, "ATTENTION", "OK")))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30" customWidth="1" min="2" max="2"/>
    <col width="10" customWidth="1" min="3" max="3"/>
    <col width="15" customWidth="1" min="4" max="4"/>
    <col width="15" customWidth="1" min="5" max="5"/>
  </cols>
  <sheetData>
    <row r="1">
      <c r="A1" s="13" t="inlineStr">
        <is>
          <t>SAISIE DES VENTES JOURNALIÈRES</t>
        </is>
      </c>
    </row>
    <row r="3">
      <c r="A3" t="inlineStr">
        <is>
          <t>Date :</t>
        </is>
      </c>
      <c r="B3" t="inlineStr">
        <is>
          <t>26/05/2026</t>
        </is>
      </c>
      <c r="C3" t="inlineStr">
        <is>
          <t>Heure Début :</t>
        </is>
      </c>
      <c r="D3" t="inlineStr"/>
      <c r="E3" t="inlineStr">
        <is>
          <t>Heure Fin :</t>
        </is>
      </c>
      <c r="F3" t="inlineStr"/>
    </row>
    <row r="4">
      <c r="A4" t="inlineStr">
        <is>
          <t>N°</t>
        </is>
      </c>
      <c r="B4" t="inlineStr">
        <is>
          <t>Plat Vendu (Choisir dans la liste)</t>
        </is>
      </c>
      <c r="C4" t="inlineStr">
        <is>
          <t>Quantité</t>
        </is>
      </c>
      <c r="D4" t="inlineStr">
        <is>
          <t>Prix Unitaire (Auto)</t>
        </is>
      </c>
      <c r="E4" t="inlineStr">
        <is>
          <t>Total Ligne (Auto)</t>
        </is>
      </c>
      <c r="F4" t="inlineStr">
        <is>
          <t>Observation</t>
        </is>
      </c>
    </row>
    <row r="5">
      <c r="A5" s="7" t="n">
        <v>1</v>
      </c>
      <c r="B5" s="10" t="inlineStr"/>
      <c r="C5" s="10" t="inlineStr"/>
      <c r="D5" s="14">
        <f>IF(B5="", "", SUMIF(PLATS!A:A, B5, PLATS!C:C))</f>
        <v/>
      </c>
      <c r="E5" s="14">
        <f>IF(C5="", "", C5*D5)</f>
        <v/>
      </c>
      <c r="F5" s="10" t="inlineStr"/>
    </row>
    <row r="6">
      <c r="A6" s="7" t="n">
        <v>2</v>
      </c>
      <c r="B6" s="10" t="inlineStr"/>
      <c r="C6" s="10" t="inlineStr"/>
      <c r="D6" s="14">
        <f>IF(B6="", "", SUMIF(PLATS!A:A, B6, PLATS!C:C))</f>
        <v/>
      </c>
      <c r="E6" s="14">
        <f>IF(C6="", "", C6*D6)</f>
        <v/>
      </c>
      <c r="F6" s="10" t="inlineStr"/>
    </row>
    <row r="7">
      <c r="A7" s="7" t="n">
        <v>3</v>
      </c>
      <c r="B7" s="10" t="inlineStr"/>
      <c r="C7" s="10" t="inlineStr"/>
      <c r="D7" s="14">
        <f>IF(B7="", "", SUMIF(PLATS!A:A, B7, PLATS!C:C))</f>
        <v/>
      </c>
      <c r="E7" s="14">
        <f>IF(C7="", "", C7*D7)</f>
        <v/>
      </c>
      <c r="F7" s="10" t="inlineStr"/>
    </row>
    <row r="8">
      <c r="A8" s="7" t="n">
        <v>4</v>
      </c>
      <c r="B8" s="10" t="inlineStr"/>
      <c r="C8" s="10" t="inlineStr"/>
      <c r="D8" s="14">
        <f>IF(B8="", "", SUMIF(PLATS!A:A, B8, PLATS!C:C))</f>
        <v/>
      </c>
      <c r="E8" s="14">
        <f>IF(C8="", "", C8*D8)</f>
        <v/>
      </c>
      <c r="F8" s="10" t="inlineStr"/>
    </row>
    <row r="9">
      <c r="A9" s="7" t="n">
        <v>5</v>
      </c>
      <c r="B9" s="10" t="inlineStr"/>
      <c r="C9" s="10" t="inlineStr"/>
      <c r="D9" s="14">
        <f>IF(B9="", "", SUMIF(PLATS!A:A, B9, PLATS!C:C))</f>
        <v/>
      </c>
      <c r="E9" s="14">
        <f>IF(C9="", "", C9*D9)</f>
        <v/>
      </c>
      <c r="F9" s="10" t="inlineStr"/>
    </row>
    <row r="10">
      <c r="A10" s="7" t="n">
        <v>6</v>
      </c>
      <c r="B10" s="10" t="inlineStr"/>
      <c r="C10" s="10" t="inlineStr"/>
      <c r="D10" s="14">
        <f>IF(B10="", "", SUMIF(PLATS!A:A, B10, PLATS!C:C))</f>
        <v/>
      </c>
      <c r="E10" s="14">
        <f>IF(C10="", "", C10*D10)</f>
        <v/>
      </c>
      <c r="F10" s="10" t="inlineStr"/>
    </row>
    <row r="11">
      <c r="A11" s="7" t="n">
        <v>7</v>
      </c>
      <c r="B11" s="10" t="inlineStr"/>
      <c r="C11" s="10" t="inlineStr"/>
      <c r="D11" s="14">
        <f>IF(B11="", "", SUMIF(PLATS!A:A, B11, PLATS!C:C))</f>
        <v/>
      </c>
      <c r="E11" s="14">
        <f>IF(C11="", "", C11*D11)</f>
        <v/>
      </c>
      <c r="F11" s="10" t="inlineStr"/>
    </row>
    <row r="12">
      <c r="A12" s="7" t="n">
        <v>8</v>
      </c>
      <c r="B12" s="10" t="inlineStr"/>
      <c r="C12" s="10" t="inlineStr"/>
      <c r="D12" s="14">
        <f>IF(B12="", "", SUMIF(PLATS!A:A, B12, PLATS!C:C))</f>
        <v/>
      </c>
      <c r="E12" s="14">
        <f>IF(C12="", "", C12*D12)</f>
        <v/>
      </c>
      <c r="F12" s="10" t="inlineStr"/>
    </row>
    <row r="13">
      <c r="A13" s="7" t="n">
        <v>9</v>
      </c>
      <c r="B13" s="10" t="inlineStr"/>
      <c r="C13" s="10" t="inlineStr"/>
      <c r="D13" s="14">
        <f>IF(B13="", "", SUMIF(PLATS!A:A, B13, PLATS!C:C))</f>
        <v/>
      </c>
      <c r="E13" s="14">
        <f>IF(C13="", "", C13*D13)</f>
        <v/>
      </c>
      <c r="F13" s="10" t="inlineStr"/>
    </row>
    <row r="14">
      <c r="A14" s="7" t="n">
        <v>10</v>
      </c>
      <c r="B14" s="10" t="inlineStr"/>
      <c r="C14" s="10" t="inlineStr"/>
      <c r="D14" s="14">
        <f>IF(B14="", "", SUMIF(PLATS!A:A, B14, PLATS!C:C))</f>
        <v/>
      </c>
      <c r="E14" s="14">
        <f>IF(C14="", "", C14*D14)</f>
        <v/>
      </c>
      <c r="F14" s="10" t="inlineStr"/>
    </row>
    <row r="15">
      <c r="A15" s="7" t="n">
        <v>11</v>
      </c>
      <c r="B15" s="10" t="inlineStr"/>
      <c r="C15" s="10" t="inlineStr"/>
      <c r="D15" s="14">
        <f>IF(B15="", "", SUMIF(PLATS!A:A, B15, PLATS!C:C))</f>
        <v/>
      </c>
      <c r="E15" s="14">
        <f>IF(C15="", "", C15*D15)</f>
        <v/>
      </c>
      <c r="F15" s="10" t="inlineStr"/>
    </row>
    <row r="16">
      <c r="A16" s="7" t="n">
        <v>12</v>
      </c>
      <c r="B16" s="10" t="inlineStr"/>
      <c r="C16" s="10" t="inlineStr"/>
      <c r="D16" s="14">
        <f>IF(B16="", "", SUMIF(PLATS!A:A, B16, PLATS!C:C))</f>
        <v/>
      </c>
      <c r="E16" s="14">
        <f>IF(C16="", "", C16*D16)</f>
        <v/>
      </c>
      <c r="F16" s="10" t="inlineStr"/>
    </row>
    <row r="17">
      <c r="A17" s="7" t="n">
        <v>13</v>
      </c>
      <c r="B17" s="10" t="inlineStr"/>
      <c r="C17" s="10" t="inlineStr"/>
      <c r="D17" s="14">
        <f>IF(B17="", "", SUMIF(PLATS!A:A, B17, PLATS!C:C))</f>
        <v/>
      </c>
      <c r="E17" s="14">
        <f>IF(C17="", "", C17*D17)</f>
        <v/>
      </c>
      <c r="F17" s="10" t="inlineStr"/>
    </row>
    <row r="18">
      <c r="A18" s="7" t="n">
        <v>14</v>
      </c>
      <c r="B18" s="10" t="inlineStr"/>
      <c r="C18" s="10" t="inlineStr"/>
      <c r="D18" s="14">
        <f>IF(B18="", "", SUMIF(PLATS!A:A, B18, PLATS!C:C))</f>
        <v/>
      </c>
      <c r="E18" s="14">
        <f>IF(C18="", "", C18*D18)</f>
        <v/>
      </c>
      <c r="F18" s="10" t="inlineStr"/>
    </row>
    <row r="19">
      <c r="A19" s="7" t="n">
        <v>15</v>
      </c>
      <c r="B19" s="10" t="inlineStr"/>
      <c r="C19" s="10" t="inlineStr"/>
      <c r="D19" s="14">
        <f>IF(B19="", "", SUMIF(PLATS!A:A, B19, PLATS!C:C))</f>
        <v/>
      </c>
      <c r="E19" s="14">
        <f>IF(C19="", "", C19*D19)</f>
        <v/>
      </c>
      <c r="F19" s="10" t="inlineStr"/>
    </row>
    <row r="20">
      <c r="A20" s="7" t="n">
        <v>16</v>
      </c>
      <c r="B20" s="10" t="inlineStr"/>
      <c r="C20" s="10" t="inlineStr"/>
      <c r="D20" s="14">
        <f>IF(B20="", "", SUMIF(PLATS!A:A, B20, PLATS!C:C))</f>
        <v/>
      </c>
      <c r="E20" s="14">
        <f>IF(C20="", "", C20*D20)</f>
        <v/>
      </c>
      <c r="F20" s="10" t="inlineStr"/>
    </row>
    <row r="21">
      <c r="A21" s="7" t="n">
        <v>17</v>
      </c>
      <c r="B21" s="10" t="inlineStr"/>
      <c r="C21" s="10" t="inlineStr"/>
      <c r="D21" s="14">
        <f>IF(B21="", "", SUMIF(PLATS!A:A, B21, PLATS!C:C))</f>
        <v/>
      </c>
      <c r="E21" s="14">
        <f>IF(C21="", "", C21*D21)</f>
        <v/>
      </c>
      <c r="F21" s="10" t="inlineStr"/>
    </row>
    <row r="22">
      <c r="A22" s="7" t="n">
        <v>18</v>
      </c>
      <c r="B22" s="10" t="inlineStr"/>
      <c r="C22" s="10" t="inlineStr"/>
      <c r="D22" s="14">
        <f>IF(B22="", "", SUMIF(PLATS!A:A, B22, PLATS!C:C))</f>
        <v/>
      </c>
      <c r="E22" s="14">
        <f>IF(C22="", "", C22*D22)</f>
        <v/>
      </c>
      <c r="F22" s="10" t="inlineStr"/>
    </row>
    <row r="23">
      <c r="A23" s="7" t="n">
        <v>19</v>
      </c>
      <c r="B23" s="10" t="inlineStr"/>
      <c r="C23" s="10" t="inlineStr"/>
      <c r="D23" s="14">
        <f>IF(B23="", "", SUMIF(PLATS!A:A, B23, PLATS!C:C))</f>
        <v/>
      </c>
      <c r="E23" s="14">
        <f>IF(C23="", "", C23*D23)</f>
        <v/>
      </c>
      <c r="F23" s="10" t="inlineStr"/>
    </row>
    <row r="24">
      <c r="A24" s="7" t="n">
        <v>20</v>
      </c>
      <c r="B24" s="10" t="inlineStr"/>
      <c r="C24" s="10" t="inlineStr"/>
      <c r="D24" s="14">
        <f>IF(B24="", "", SUMIF(PLATS!A:A, B24, PLATS!C:C))</f>
        <v/>
      </c>
      <c r="E24" s="14">
        <f>IF(C24="", "", C24*D24)</f>
        <v/>
      </c>
      <c r="F24" s="10" t="inlineStr"/>
    </row>
    <row r="26">
      <c r="A26" s="15" t="inlineStr">
        <is>
          <t>TOTAL VENTES DU JOUR :</t>
        </is>
      </c>
      <c r="E26" s="16">
        <f>SUM(E5:E25)</f>
        <v/>
      </c>
    </row>
    <row r="27">
      <c r="A27" s="17" t="inlineStr">
        <is>
          <t>Nombre de plats vendus :</t>
        </is>
      </c>
      <c r="C27">
        <f>SUM(C5:C26)</f>
        <v/>
      </c>
    </row>
    <row r="28">
      <c r="A28" s="17" t="inlineStr">
        <is>
          <t>Panier Moyen :</t>
        </is>
      </c>
      <c r="C28" s="18">
        <f>IF(C27=0, 0, E26/C27)</f>
        <v/>
      </c>
    </row>
    <row r="30">
      <c r="A30" t="inlineStr">
        <is>
          <t>Validé par (Signature) :</t>
        </is>
      </c>
    </row>
  </sheetData>
  <mergeCells count="3">
    <mergeCell ref="A26:C26"/>
    <mergeCell ref="B30:D30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3" max="3"/>
  </cols>
  <sheetData>
    <row r="1">
      <c r="A1" s="19" t="inlineStr">
        <is>
          <t>RÉCAPITULATIF AUTOMATIQUE DES VENTES</t>
        </is>
      </c>
    </row>
    <row r="2">
      <c r="A2" s="7" t="inlineStr">
        <is>
          <t>Burger</t>
        </is>
      </c>
      <c r="B2" s="7" t="inlineStr">
        <is>
          <t>Quantité Totale Vendue</t>
        </is>
      </c>
      <c r="C2" s="8">
        <f>SUMIF(VENTES!B:B, "Burger", VENTES!E:E)</f>
        <v/>
      </c>
      <c r="D2" s="7" t="inlineStr">
        <is>
          <t>Burger</t>
        </is>
      </c>
    </row>
    <row r="3">
      <c r="A3" s="7" t="inlineStr">
        <is>
          <t>Burger</t>
        </is>
      </c>
      <c r="B3" s="7" t="n"/>
      <c r="C3" s="8">
        <f>SUMIF(VENTES!B:B, "Burger", VENTES!E:E)</f>
        <v/>
      </c>
      <c r="D3" s="7" t="inlineStr">
        <is>
          <t>Burger</t>
        </is>
      </c>
    </row>
    <row r="4">
      <c r="A4" s="7" t="inlineStr">
        <is>
          <t>Brochette de porc</t>
        </is>
      </c>
      <c r="B4" s="7" t="n"/>
      <c r="C4" s="8">
        <f>SUMIF(VENTES!B:B, "Brochette de porc", VENTES!E:E)</f>
        <v/>
      </c>
      <c r="D4" s="7" t="inlineStr">
        <is>
          <t>Brochette</t>
        </is>
      </c>
    </row>
    <row r="5">
      <c r="A5" s="7" t="inlineStr">
        <is>
          <t>Ndole Royal</t>
        </is>
      </c>
      <c r="B5" s="7" t="n"/>
      <c r="C5" s="8">
        <f>SUMIF(VENTES!B:B, "Ndole Royal", VENTES!E:E)</f>
        <v/>
      </c>
      <c r="D5" s="7" t="inlineStr">
        <is>
          <t>Plat</t>
        </is>
      </c>
    </row>
    <row r="6">
      <c r="A6" s="7" t="inlineStr">
        <is>
          <t>Ndole Royal</t>
        </is>
      </c>
      <c r="B6" s="7" t="n"/>
      <c r="C6" s="8">
        <f>SUMIF(VENTES!B:B, "Ndole Royal", VENTES!E:E)</f>
        <v/>
      </c>
      <c r="D6" s="7" t="inlineStr">
        <is>
          <t>Plat</t>
        </is>
      </c>
    </row>
    <row r="7">
      <c r="A7" s="7" t="inlineStr">
        <is>
          <t>Ndole Royal</t>
        </is>
      </c>
      <c r="B7" s="7" t="n"/>
      <c r="C7" s="8">
        <f>SUMIF(VENTES!B:B, "Ndole Royal", VENTES!E:E)</f>
        <v/>
      </c>
      <c r="D7" s="7" t="inlineStr">
        <is>
          <t>Plat</t>
        </is>
      </c>
    </row>
    <row r="8">
      <c r="A8" s="7" t="inlineStr">
        <is>
          <t>Ndole Royal</t>
        </is>
      </c>
      <c r="B8" s="7" t="n"/>
      <c r="C8" s="8">
        <f>SUMIF(VENTES!B:B, "Ndole Royal", VENTES!E:E)</f>
        <v/>
      </c>
      <c r="D8" s="7" t="inlineStr">
        <is>
          <t>Plat</t>
        </is>
      </c>
    </row>
    <row r="9">
      <c r="A9" s="7" t="inlineStr">
        <is>
          <t>Free Rice</t>
        </is>
      </c>
      <c r="B9" s="7" t="n"/>
      <c r="C9" s="8">
        <f>SUMIF(VENTES!B:B, "Free Rice", VENTES!E:E)</f>
        <v/>
      </c>
      <c r="D9" s="7" t="inlineStr">
        <is>
          <t>Riz</t>
        </is>
      </c>
    </row>
    <row r="10">
      <c r="A10" s="7" t="inlineStr">
        <is>
          <t>Free Rice</t>
        </is>
      </c>
      <c r="B10" s="7" t="n"/>
      <c r="C10" s="8">
        <f>SUMIF(VENTES!B:B, "Free Rice", VENTES!E:E)</f>
        <v/>
      </c>
      <c r="D10" s="7" t="inlineStr">
        <is>
          <t>Riz</t>
        </is>
      </c>
    </row>
    <row r="11">
      <c r="A11" s="7" t="inlineStr">
        <is>
          <t>Poulet</t>
        </is>
      </c>
      <c r="B11" s="7" t="n"/>
      <c r="C11" s="8">
        <f>SUMIF(VENTES!B:B, "Poulet", VENTES!E:E)</f>
        <v/>
      </c>
      <c r="D11" s="7" t="inlineStr">
        <is>
          <t>Poulet</t>
        </is>
      </c>
    </row>
    <row r="12">
      <c r="A12" s="7" t="inlineStr">
        <is>
          <t>Poulet</t>
        </is>
      </c>
      <c r="B12" s="7" t="n"/>
      <c r="C12" s="8">
        <f>SUMIF(VENTES!B:B, "Poulet", VENTES!E:E)</f>
        <v/>
      </c>
      <c r="D12" s="7" t="inlineStr">
        <is>
          <t>Poulet</t>
        </is>
      </c>
    </row>
    <row r="13">
      <c r="A13" s="7" t="inlineStr">
        <is>
          <t>Porc</t>
        </is>
      </c>
      <c r="B13" s="7" t="n"/>
      <c r="C13" s="8">
        <f>SUMIF(VENTES!B:B, "Porc", VENTES!E:E)</f>
        <v/>
      </c>
      <c r="D13" s="7" t="inlineStr">
        <is>
          <t>Porc</t>
        </is>
      </c>
    </row>
    <row r="14">
      <c r="A14" s="7" t="inlineStr">
        <is>
          <t>Porc</t>
        </is>
      </c>
      <c r="B14" s="7" t="n"/>
      <c r="C14" s="8">
        <f>SUMIF(VENTES!B:B, "Porc", VENTES!E:E)</f>
        <v/>
      </c>
      <c r="D14" s="7" t="inlineStr">
        <is>
          <t>Porc</t>
        </is>
      </c>
    </row>
    <row r="15">
      <c r="A15" s="7" t="inlineStr">
        <is>
          <t>Gambas</t>
        </is>
      </c>
      <c r="B15" s="7" t="n"/>
      <c r="C15" s="8">
        <f>SUMIF(VENTES!B:B, "Gambas", VENTES!E:E)</f>
        <v/>
      </c>
      <c r="D15" s="7" t="inlineStr">
        <is>
          <t>FruitMer</t>
        </is>
      </c>
    </row>
    <row r="16">
      <c r="A16" s="7" t="inlineStr">
        <is>
          <t>Gambas</t>
        </is>
      </c>
      <c r="B16" s="7" t="n"/>
      <c r="C16" s="8">
        <f>SUMIF(VENTES!B:B, "Gambas", VENTES!E:E)</f>
        <v/>
      </c>
      <c r="D16" s="7" t="inlineStr">
        <is>
          <t>FruitMer</t>
        </is>
      </c>
    </row>
    <row r="17">
      <c r="A17" s="7" t="inlineStr">
        <is>
          <t>Saucisse</t>
        </is>
      </c>
      <c r="B17" s="7" t="n"/>
      <c r="C17" s="8">
        <f>SUMIF(VENTES!B:B, "Saucisse", VENTES!E:E)</f>
        <v/>
      </c>
      <c r="D17" s="7" t="inlineStr">
        <is>
          <t>Charcuterie</t>
        </is>
      </c>
    </row>
    <row r="18">
      <c r="A18" s="7" t="inlineStr">
        <is>
          <t>Tacos</t>
        </is>
      </c>
      <c r="B18" s="7" t="n"/>
      <c r="C18" s="8">
        <f>SUMIF(VENTES!B:B, "Tacos", VENTES!E:E)</f>
        <v/>
      </c>
      <c r="D18" s="7" t="inlineStr">
        <is>
          <t>Tacos</t>
        </is>
      </c>
    </row>
    <row r="19">
      <c r="A19" s="7" t="inlineStr">
        <is>
          <t>Tacos</t>
        </is>
      </c>
      <c r="B19" s="7" t="n"/>
      <c r="C19" s="8">
        <f>SUMIF(VENTES!B:B, "Tacos", VENTES!E:E)</f>
        <v/>
      </c>
      <c r="D19" s="7" t="inlineStr">
        <is>
          <t>Tacos</t>
        </is>
      </c>
    </row>
    <row r="20">
      <c r="A20" s="7" t="inlineStr">
        <is>
          <t>Pizza</t>
        </is>
      </c>
      <c r="B20" s="7" t="n"/>
      <c r="C20" s="8">
        <f>SUMIF(VENTES!B:B, "Pizza", VENTES!E:E)</f>
        <v/>
      </c>
      <c r="D20" s="7" t="inlineStr">
        <is>
          <t>Pizza</t>
        </is>
      </c>
    </row>
    <row r="21">
      <c r="A21" s="7" t="inlineStr">
        <is>
          <t>Pizza</t>
        </is>
      </c>
      <c r="B21" s="7" t="n"/>
      <c r="C21" s="8">
        <f>SUMIF(VENTES!B:B, "Pizza", VENTES!E:E)</f>
        <v/>
      </c>
      <c r="D21" s="7" t="inlineStr">
        <is>
          <t>Pizza</t>
        </is>
      </c>
    </row>
    <row r="22">
      <c r="A22" s="7" t="inlineStr">
        <is>
          <t>Pizza</t>
        </is>
      </c>
      <c r="B22" s="7" t="n"/>
      <c r="C22" s="8">
        <f>SUMIF(VENTES!B:B, "Pizza", VENTES!E:E)</f>
        <v/>
      </c>
      <c r="D22" s="7" t="inlineStr">
        <is>
          <t>Pizza</t>
        </is>
      </c>
    </row>
    <row r="23">
      <c r="A23" s="7" t="inlineStr">
        <is>
          <t>Pizza</t>
        </is>
      </c>
      <c r="B23" s="7" t="n"/>
      <c r="C23" s="8">
        <f>SUMIF(VENTES!B:B, "Pizza", VENTES!E:E)</f>
        <v/>
      </c>
      <c r="D23" s="7" t="inlineStr">
        <is>
          <t>Pizza</t>
        </is>
      </c>
    </row>
    <row r="24">
      <c r="A24" s="7" t="inlineStr">
        <is>
          <t>Pizza</t>
        </is>
      </c>
      <c r="B24" s="7" t="n"/>
      <c r="C24" s="8">
        <f>SUMIF(VENTES!B:B, "Pizza", VENTES!E:E)</f>
        <v/>
      </c>
      <c r="D24" s="7" t="inlineStr">
        <is>
          <t>Pizza</t>
        </is>
      </c>
    </row>
    <row r="25">
      <c r="A25" s="7" t="inlineStr">
        <is>
          <t>Pizza</t>
        </is>
      </c>
      <c r="B25" s="7" t="n"/>
      <c r="C25" s="8">
        <f>SUMIF(VENTES!B:B, "Pizza", VENTES!E:E)</f>
        <v/>
      </c>
      <c r="D25" s="7" t="inlineStr">
        <is>
          <t>Pizza</t>
        </is>
      </c>
    </row>
    <row r="26">
      <c r="A26" s="7" t="inlineStr">
        <is>
          <t>Pizza</t>
        </is>
      </c>
      <c r="B26" s="7" t="n"/>
      <c r="C26" s="8">
        <f>SUMIF(VENTES!B:B, "Pizza", VENTES!E:E)</f>
        <v/>
      </c>
      <c r="D26" s="7" t="inlineStr">
        <is>
          <t>Pizza</t>
        </is>
      </c>
    </row>
    <row r="27">
      <c r="A27" s="7" t="inlineStr">
        <is>
          <t>Pizza</t>
        </is>
      </c>
      <c r="B27" s="7" t="n"/>
      <c r="C27" s="8">
        <f>SUMIF(VENTES!B:B, "Pizza", VENTES!E:E)</f>
        <v/>
      </c>
      <c r="D27" s="7" t="inlineStr">
        <is>
          <t>Pizza</t>
        </is>
      </c>
    </row>
    <row r="28">
      <c r="A28" s="7" t="inlineStr">
        <is>
          <t>Pizza</t>
        </is>
      </c>
      <c r="B28" s="7" t="n"/>
      <c r="C28" s="8">
        <f>SUMIF(VENTES!B:B, "Pizza", VENTES!E:E)</f>
        <v/>
      </c>
      <c r="D28" s="7" t="inlineStr">
        <is>
          <t>Pizza</t>
        </is>
      </c>
    </row>
    <row r="29">
      <c r="A29" s="7" t="inlineStr">
        <is>
          <t>Pizza</t>
        </is>
      </c>
      <c r="B29" s="7" t="n"/>
      <c r="C29" s="8">
        <f>SUMIF(VENTES!B:B, "Pizza", VENTES!E:E)</f>
        <v/>
      </c>
      <c r="D29" s="7" t="inlineStr">
        <is>
          <t>Pizza</t>
        </is>
      </c>
    </row>
    <row r="30">
      <c r="A30" s="7" t="inlineStr">
        <is>
          <t>Pizza</t>
        </is>
      </c>
      <c r="B30" s="7" t="n"/>
      <c r="C30" s="8">
        <f>SUMIF(VENTES!B:B, "Pizza", VENTES!E:E)</f>
        <v/>
      </c>
      <c r="D30" s="7" t="inlineStr">
        <is>
          <t>Pizza</t>
        </is>
      </c>
    </row>
    <row r="31">
      <c r="A31" s="7" t="inlineStr">
        <is>
          <t>Pizza</t>
        </is>
      </c>
      <c r="B31" s="7" t="n"/>
      <c r="C31" s="8">
        <f>SUMIF(VENTES!B:B, "Pizza", VENTES!E:E)</f>
        <v/>
      </c>
      <c r="D31" s="7" t="inlineStr">
        <is>
          <t>Pizza</t>
        </is>
      </c>
    </row>
    <row r="32">
      <c r="A32" s="7" t="inlineStr">
        <is>
          <t>Poisson</t>
        </is>
      </c>
      <c r="B32" s="7" t="n"/>
      <c r="C32" s="8">
        <f>SUMIF(VENTES!B:B, "Poisson", VENTES!E:E)</f>
        <v/>
      </c>
      <c r="D32" s="7" t="inlineStr">
        <is>
          <t>Poisson</t>
        </is>
      </c>
    </row>
    <row r="33">
      <c r="A33" s="7" t="inlineStr">
        <is>
          <t>Poisson</t>
        </is>
      </c>
      <c r="B33" s="7" t="n"/>
      <c r="C33" s="8">
        <f>SUMIF(VENTES!B:B, "Poisson", VENTES!E:E)</f>
        <v/>
      </c>
      <c r="D33" s="7" t="inlineStr">
        <is>
          <t>Poisson</t>
        </is>
      </c>
    </row>
    <row r="34">
      <c r="A34" s="7" t="inlineStr">
        <is>
          <t>Poisson</t>
        </is>
      </c>
      <c r="B34" s="7" t="n"/>
      <c r="C34" s="8">
        <f>SUMIF(VENTES!B:B, "Poisson", VENTES!E:E)</f>
        <v/>
      </c>
      <c r="D34" s="7" t="inlineStr">
        <is>
          <t>Poisson</t>
        </is>
      </c>
    </row>
    <row r="35">
      <c r="A35" s="7" t="inlineStr">
        <is>
          <t>Jus Naturel / Bissap</t>
        </is>
      </c>
      <c r="B35" s="7" t="n"/>
      <c r="C35" s="8">
        <f>SUMIF(VENTES!B:B, "Jus Naturel / Bissap", VENTES!E:E)</f>
        <v/>
      </c>
      <c r="D35" s="7" t="inlineStr">
        <is>
          <t>Boisson</t>
        </is>
      </c>
    </row>
    <row r="36">
      <c r="A36" s="7" t="inlineStr">
        <is>
          <t>Jus Naturel / Bissap</t>
        </is>
      </c>
      <c r="B36" s="7" t="n"/>
      <c r="C36" s="8">
        <f>SUMIF(VENTES!B:B, "Jus Naturel / Bissap", VENTES!E:E)</f>
        <v/>
      </c>
      <c r="D36" s="7" t="inlineStr">
        <is>
          <t>Boisson</t>
        </is>
      </c>
    </row>
    <row r="37">
      <c r="A37" s="7" t="inlineStr">
        <is>
          <t>Accompagnement</t>
        </is>
      </c>
      <c r="B37" s="7" t="n"/>
      <c r="C37" s="8">
        <f>SUMIF(VENTES!B:B, "Accompagnement", VENTES!E:E)</f>
        <v/>
      </c>
      <c r="D37" s="7" t="inlineStr">
        <is>
          <t>Accompagnement</t>
        </is>
      </c>
    </row>
    <row r="38">
      <c r="A38" s="7" t="inlineStr">
        <is>
          <t>Accompagnement</t>
        </is>
      </c>
      <c r="B38" s="7" t="n"/>
      <c r="C38" s="8">
        <f>SUMIF(VENTES!B:B, "Accompagnement", VENTES!E:E)</f>
        <v/>
      </c>
      <c r="D38" s="7" t="inlineStr">
        <is>
          <t>Accompagnement</t>
        </is>
      </c>
    </row>
    <row r="39">
      <c r="A39" s="7" t="inlineStr">
        <is>
          <t>Accompagnement</t>
        </is>
      </c>
      <c r="B39" s="7" t="n"/>
      <c r="C39" s="8">
        <f>SUMIF(VENTES!B:B, "Accompagnement", VENTES!E:E)</f>
        <v/>
      </c>
      <c r="D39" s="7" t="inlineStr">
        <is>
          <t>Accompagnement</t>
        </is>
      </c>
    </row>
    <row r="40">
      <c r="A40" s="7" t="inlineStr">
        <is>
          <t>Accompagnement</t>
        </is>
      </c>
      <c r="B40" s="7" t="n"/>
      <c r="C40" s="8">
        <f>SUMIF(VENTES!B:B, "Accompagnement", VENTES!E:E)</f>
        <v/>
      </c>
      <c r="D40" s="7" t="inlineStr">
        <is>
          <t>Accompagnement</t>
        </is>
      </c>
    </row>
    <row r="41">
      <c r="A41" s="7" t="inlineStr">
        <is>
          <t>Pack Brise Snack</t>
        </is>
      </c>
      <c r="B41" s="7" t="n"/>
      <c r="C41" s="8">
        <f>SUMIF(VENTES!B:B, "Pack Brise Snack", VENTES!E:E)</f>
        <v/>
      </c>
      <c r="D41" s="7" t="inlineStr">
        <is>
          <t>Pack</t>
        </is>
      </c>
    </row>
    <row r="42">
      <c r="A42" s="7" t="inlineStr">
        <is>
          <t>Pack Sunset Combo</t>
        </is>
      </c>
      <c r="B42" s="7" t="n"/>
      <c r="C42" s="8">
        <f>SUMIF(VENTES!B:B, "Pack Sunset Combo", VENTES!E:E)</f>
        <v/>
      </c>
      <c r="D42" s="7" t="inlineStr">
        <is>
          <t>Pack</t>
        </is>
      </c>
    </row>
    <row r="43">
      <c r="A43" s="7" t="inlineStr">
        <is>
          <t>Pack Ocean Duo</t>
        </is>
      </c>
      <c r="B43" s="7" t="n"/>
      <c r="C43" s="8">
        <f>SUMIF(VENTES!B:B, "Pack Ocean Duo", VENTES!E:E)</f>
        <v/>
      </c>
      <c r="D43" s="7" t="inlineStr">
        <is>
          <t>Pack</t>
        </is>
      </c>
    </row>
    <row r="44">
      <c r="A44" s="7" t="inlineStr">
        <is>
          <t>Pack Bonita Family</t>
        </is>
      </c>
      <c r="B44" s="7" t="n"/>
      <c r="C44" s="8">
        <f>SUMIF(VENTES!B:B, "Pack Bonita Family", VENTES!E:E)</f>
        <v/>
      </c>
      <c r="D44" s="7" t="inlineStr">
        <is>
          <t>Pack</t>
        </is>
      </c>
    </row>
    <row r="45">
      <c r="A45" s="7" t="inlineStr">
        <is>
          <t>Planche Brise Marine</t>
        </is>
      </c>
      <c r="B45" s="7" t="n"/>
      <c r="C45" s="8">
        <f>SUMIF(VENTES!B:B, "Planche Brise Marine", VENTES!E:E)</f>
        <v/>
      </c>
      <c r="D45" s="7" t="inlineStr">
        <is>
          <t>Planche</t>
        </is>
      </c>
    </row>
    <row r="46">
      <c r="A46" s="7" t="inlineStr">
        <is>
          <t>Planche Sunset</t>
        </is>
      </c>
      <c r="B46" s="7" t="n"/>
      <c r="C46" s="8">
        <f>SUMIF(VENTES!B:B, "Planche Sunset", VENTES!E:E)</f>
        <v/>
      </c>
      <c r="D46" s="7" t="inlineStr">
        <is>
          <t>Planche</t>
        </is>
      </c>
    </row>
    <row r="47">
      <c r="A47" s="7" t="inlineStr">
        <is>
          <t>Planche Océan Royale</t>
        </is>
      </c>
      <c r="B47" s="7" t="n"/>
      <c r="C47" s="8">
        <f>SUMIF(VENTES!B:B, "Planche Océan Royale", VENTES!E:E)</f>
        <v/>
      </c>
      <c r="D47" s="7" t="inlineStr">
        <is>
          <t>Planche</t>
        </is>
      </c>
    </row>
    <row r="48">
      <c r="A48" s="7" t="inlineStr">
        <is>
          <t>Planche Paradise</t>
        </is>
      </c>
      <c r="B48" s="7" t="n"/>
      <c r="C48" s="8">
        <f>SUMIF(VENTES!B:B, "Planche Paradise", VENTES!E:E)</f>
        <v/>
      </c>
      <c r="D48" s="7" t="inlineStr">
        <is>
          <t>Planche</t>
        </is>
      </c>
    </row>
    <row r="49">
      <c r="A49" s="7" t="inlineStr">
        <is>
          <t>Planche Isla Prestige</t>
        </is>
      </c>
      <c r="B49" s="7" t="n"/>
      <c r="C49" s="8">
        <f>SUMIF(VENTES!B:B, "Planche Isla Prestige", VENTES!E:E)</f>
        <v/>
      </c>
      <c r="D49" s="7" t="inlineStr">
        <is>
          <t>Planche</t>
        </is>
      </c>
    </row>
    <row r="50">
      <c r="A50" s="7" t="inlineStr">
        <is>
          <t>Planche Bonita Supreme</t>
        </is>
      </c>
      <c r="B50" s="7" t="n"/>
      <c r="C50" s="8">
        <f>SUMIF(VENTES!B:B, "Planche Bonita Supreme", VENTES!E:E)</f>
        <v/>
      </c>
      <c r="D50" s="7" t="inlineStr">
        <is>
          <t>Planche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ID</t>
        </is>
      </c>
      <c r="B1" s="7" t="inlineStr">
        <is>
          <t>Nom Fournisseur</t>
        </is>
      </c>
      <c r="C1" s="7" t="inlineStr">
        <is>
          <t>Contact</t>
        </is>
      </c>
      <c r="D1" s="7" t="inlineStr">
        <is>
          <t>Téléphone</t>
        </is>
      </c>
      <c r="E1" s="7" t="inlineStr">
        <is>
          <t>Produits Fournis</t>
        </is>
      </c>
      <c r="F1" s="7" t="inlineStr">
        <is>
          <t>Statut Commande</t>
        </is>
      </c>
      <c r="G1" s="7" t="inlineStr">
        <is>
          <t>Montant Dû</t>
        </is>
      </c>
    </row>
    <row r="2">
      <c r="A2" s="7" t="n">
        <v>1</v>
      </c>
      <c r="B2" s="7" t="inlineStr">
        <is>
          <t>Fournisseur Viandes</t>
        </is>
      </c>
      <c r="C2" s="7" t="inlineStr">
        <is>
          <t>M. Dupont</t>
        </is>
      </c>
      <c r="D2" s="7" t="inlineStr">
        <is>
          <t>690000000</t>
        </is>
      </c>
      <c r="E2" s="7" t="inlineStr">
        <is>
          <t>Viandes, Porc</t>
        </is>
      </c>
      <c r="F2" s="7" t="inlineStr">
        <is>
          <t>Actif</t>
        </is>
      </c>
      <c r="G2" s="7" t="n">
        <v>0</v>
      </c>
    </row>
    <row r="3">
      <c r="A3" s="7" t="n">
        <v>2</v>
      </c>
      <c r="B3" s="7" t="inlineStr">
        <is>
          <t>Marché Légumes</t>
        </is>
      </c>
      <c r="C3" s="7" t="inlineStr">
        <is>
          <t>Mme Martin</t>
        </is>
      </c>
      <c r="D3" s="7" t="inlineStr">
        <is>
          <t>690000001</t>
        </is>
      </c>
      <c r="E3" s="7" t="inlineStr">
        <is>
          <t>Légumes, Fruits</t>
        </is>
      </c>
      <c r="F3" s="7" t="inlineStr">
        <is>
          <t>Actif</t>
        </is>
      </c>
      <c r="G3" s="7" t="n">
        <v>0</v>
      </c>
    </row>
    <row r="4">
      <c r="A4" s="7" t="n">
        <v>3</v>
      </c>
      <c r="B4" s="7" t="inlineStr">
        <is>
          <t>Grossiste Boissons</t>
        </is>
      </c>
      <c r="C4" s="7" t="inlineStr">
        <is>
          <t>Sodifa</t>
        </is>
      </c>
      <c r="D4" s="7" t="inlineStr">
        <is>
          <t>690000002</t>
        </is>
      </c>
      <c r="E4" s="7" t="inlineStr">
        <is>
          <t>Eau, Jus, Soda</t>
        </is>
      </c>
      <c r="F4" s="7" t="inlineStr">
        <is>
          <t>Actif</t>
        </is>
      </c>
      <c r="G4" s="7" t="n">
        <v>0</v>
      </c>
    </row>
    <row r="5">
      <c r="A5" s="7" t="n">
        <v>4</v>
      </c>
      <c r="B5" s="7" t="inlineStr">
        <is>
          <t>Epicerie Centrale</t>
        </is>
      </c>
      <c r="C5" s="7" t="inlineStr">
        <is>
          <t>Cash</t>
        </is>
      </c>
      <c r="D5" s="7" t="inlineStr">
        <is>
          <t>690000003</t>
        </is>
      </c>
      <c r="E5" s="7" t="inlineStr">
        <is>
          <t>Riz, Huile, Épices</t>
        </is>
      </c>
      <c r="F5" s="7" t="inlineStr">
        <is>
          <t>Actif</t>
        </is>
      </c>
      <c r="G5" s="7" t="n">
        <v>0</v>
      </c>
    </row>
    <row r="6">
      <c r="A6" s="7" t="n"/>
      <c r="B6" s="7" t="n"/>
      <c r="C6" s="7" t="n"/>
      <c r="D6" s="7" t="n"/>
      <c r="E6" s="7" t="n"/>
      <c r="F6" s="7" t="n"/>
      <c r="G6" s="7" t="n"/>
    </row>
    <row r="7">
      <c r="A7" s="7" t="n"/>
      <c r="B7" s="7" t="n"/>
      <c r="C7" s="7" t="n"/>
      <c r="D7" s="7" t="n"/>
      <c r="E7" s="7" t="n"/>
      <c r="F7" s="7" t="n"/>
      <c r="G7" s="7" t="n"/>
    </row>
    <row r="8">
      <c r="A8" s="12" t="inlineStr">
        <is>
          <t>HISTORIQUE DES COMMANDES</t>
        </is>
      </c>
      <c r="B8" s="7" t="n"/>
      <c r="C8" s="7" t="n"/>
      <c r="D8" s="7" t="n"/>
      <c r="E8" s="7" t="n"/>
      <c r="F8" s="7" t="n"/>
      <c r="G8" s="7" t="n"/>
    </row>
    <row r="9">
      <c r="A9" s="7" t="inlineStr">
        <is>
          <t>Date</t>
        </is>
      </c>
      <c r="B9" s="7" t="inlineStr">
        <is>
          <t>Fournisseur</t>
        </is>
      </c>
      <c r="C9" s="7" t="inlineStr">
        <is>
          <t>Article</t>
        </is>
      </c>
      <c r="D9" s="7" t="inlineStr">
        <is>
          <t>Quantité</t>
        </is>
      </c>
      <c r="E9" s="7" t="inlineStr">
        <is>
          <t>Prix Unitaire</t>
        </is>
      </c>
      <c r="F9" s="7" t="inlineStr">
        <is>
          <t>Total</t>
        </is>
      </c>
      <c r="G9" s="7" t="inlineStr">
        <is>
          <t>Statut</t>
        </is>
      </c>
    </row>
    <row r="10">
      <c r="A10" s="7" t="inlineStr"/>
      <c r="B10" s="7" t="inlineStr"/>
      <c r="C10" s="7" t="inlineStr"/>
      <c r="D10" s="7" t="inlineStr"/>
      <c r="E10" s="7" t="inlineStr"/>
      <c r="F10" s="7">
        <f>E10*F10</f>
        <v/>
      </c>
      <c r="G10" s="7" t="inlineStr">
        <is>
          <t>En Attente</t>
        </is>
      </c>
    </row>
    <row r="11">
      <c r="A11" s="7" t="inlineStr"/>
      <c r="B11" s="7" t="inlineStr"/>
      <c r="C11" s="7" t="inlineStr"/>
      <c r="D11" s="7" t="inlineStr"/>
      <c r="E11" s="7" t="inlineStr"/>
      <c r="F11" s="7">
        <f>E11*F11</f>
        <v/>
      </c>
      <c r="G11" s="7" t="inlineStr">
        <is>
          <t>En Attente</t>
        </is>
      </c>
    </row>
    <row r="12">
      <c r="A12" s="7" t="inlineStr"/>
      <c r="B12" s="7" t="inlineStr"/>
      <c r="C12" s="7" t="inlineStr"/>
      <c r="D12" s="7" t="inlineStr"/>
      <c r="E12" s="7" t="inlineStr"/>
      <c r="F12" s="7">
        <f>E12*F12</f>
        <v/>
      </c>
      <c r="G12" s="7" t="inlineStr">
        <is>
          <t>En Attente</t>
        </is>
      </c>
    </row>
    <row r="13">
      <c r="A13" s="7" t="inlineStr"/>
      <c r="B13" s="7" t="inlineStr"/>
      <c r="C13" s="7" t="inlineStr"/>
      <c r="D13" s="7" t="inlineStr"/>
      <c r="E13" s="7" t="inlineStr"/>
      <c r="F13" s="7">
        <f>E13*F13</f>
        <v/>
      </c>
      <c r="G13" s="7" t="inlineStr">
        <is>
          <t>En Attente</t>
        </is>
      </c>
    </row>
    <row r="14">
      <c r="A14" s="7" t="inlineStr"/>
      <c r="B14" s="7" t="inlineStr"/>
      <c r="C14" s="7" t="inlineStr"/>
      <c r="D14" s="7" t="inlineStr"/>
      <c r="E14" s="7" t="inlineStr"/>
      <c r="F14" s="7">
        <f>E14*F14</f>
        <v/>
      </c>
      <c r="G14" s="7" t="inlineStr">
        <is>
          <t>En Attente</t>
        </is>
      </c>
    </row>
  </sheetData>
  <mergeCells count="1">
    <mergeCell ref="A8:G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0" customWidth="1" min="3" max="3"/>
    <col width="20" customWidth="1" min="4" max="4"/>
    <col width="15" customWidth="1" min="5" max="5"/>
  </cols>
  <sheetData>
    <row r="1">
      <c r="A1" s="20" t="inlineStr">
        <is>
          <t>FICHE D'INVENTAIRE PÉRIODIQUE</t>
        </is>
      </c>
    </row>
    <row r="2">
      <c r="A2" t="inlineStr">
        <is>
          <t>Article</t>
        </is>
      </c>
      <c r="B2" t="inlineStr">
        <is>
          <t>Catégorie</t>
        </is>
      </c>
      <c r="C2" t="inlineStr">
        <is>
          <t>Stock Théorique (Auto)</t>
        </is>
      </c>
      <c r="D2" t="inlineStr">
        <is>
          <t>Stock Réel (Saisir)</t>
        </is>
      </c>
      <c r="E2" t="inlineStr">
        <is>
          <t>Écart (Théorique - Réel)</t>
        </is>
      </c>
      <c r="F2" t="inlineStr">
        <is>
          <t>Valeur Écart</t>
        </is>
      </c>
    </row>
    <row r="3">
      <c r="A3" s="7" t="inlineStr">
        <is>
          <t>Poulet entier</t>
        </is>
      </c>
      <c r="B3" s="7" t="inlineStr">
        <is>
          <t>Viandes</t>
        </is>
      </c>
      <c r="C3" s="7">
        <f>STOCK_CUISINE!G2</f>
        <v/>
      </c>
      <c r="D3" s="7" t="inlineStr"/>
      <c r="E3" s="7">
        <f>C2-D2</f>
        <v/>
      </c>
      <c r="F3" s="7">
        <f>E2*STOCK_CUISINE!H2</f>
        <v/>
      </c>
    </row>
    <row r="4">
      <c r="A4" s="7" t="inlineStr">
        <is>
          <t>Aile de Poulet</t>
        </is>
      </c>
      <c r="B4" s="7" t="inlineStr">
        <is>
          <t>Viandes</t>
        </is>
      </c>
      <c r="C4" s="7">
        <f>STOCK_CUISINE!G3</f>
        <v/>
      </c>
      <c r="D4" s="7" t="inlineStr"/>
      <c r="E4" s="7">
        <f>C3-D3</f>
        <v/>
      </c>
      <c r="F4" s="7">
        <f>E3*STOCK_CUISINE!H3</f>
        <v/>
      </c>
    </row>
    <row r="5">
      <c r="A5" s="7" t="inlineStr">
        <is>
          <t>Cuisse de poulet</t>
        </is>
      </c>
      <c r="B5" s="7" t="inlineStr">
        <is>
          <t>Viandes</t>
        </is>
      </c>
      <c r="C5" s="7">
        <f>STOCK_CUISINE!G4</f>
        <v/>
      </c>
      <c r="D5" s="7" t="inlineStr"/>
      <c r="E5" s="7">
        <f>C4-D4</f>
        <v/>
      </c>
      <c r="F5" s="7">
        <f>E4*STOCK_CUISINE!H4</f>
        <v/>
      </c>
    </row>
    <row r="6">
      <c r="A6" s="7" t="inlineStr">
        <is>
          <t>Bœuf</t>
        </is>
      </c>
      <c r="B6" s="7" t="inlineStr">
        <is>
          <t>Viandes</t>
        </is>
      </c>
      <c r="C6" s="7">
        <f>STOCK_CUISINE!G5</f>
        <v/>
      </c>
      <c r="D6" s="7" t="inlineStr"/>
      <c r="E6" s="7">
        <f>C5-D5</f>
        <v/>
      </c>
      <c r="F6" s="7">
        <f>E5*STOCK_CUISINE!H5</f>
        <v/>
      </c>
    </row>
    <row r="7">
      <c r="A7" s="7" t="inlineStr">
        <is>
          <t>Porc</t>
        </is>
      </c>
      <c r="B7" s="7" t="inlineStr">
        <is>
          <t>Viandes</t>
        </is>
      </c>
      <c r="C7" s="7">
        <f>STOCK_CUISINE!G6</f>
        <v/>
      </c>
      <c r="D7" s="7" t="inlineStr"/>
      <c r="E7" s="7">
        <f>C6-D6</f>
        <v/>
      </c>
      <c r="F7" s="7">
        <f>E6*STOCK_CUISINE!H6</f>
        <v/>
      </c>
    </row>
    <row r="8">
      <c r="A8" s="7" t="inlineStr">
        <is>
          <t>Carpe</t>
        </is>
      </c>
      <c r="B8" s="7" t="inlineStr">
        <is>
          <t>Poissons</t>
        </is>
      </c>
      <c r="C8" s="7">
        <f>STOCK_CUISINE!G7</f>
        <v/>
      </c>
      <c r="D8" s="7" t="inlineStr"/>
      <c r="E8" s="7">
        <f>C7-D7</f>
        <v/>
      </c>
      <c r="F8" s="7">
        <f>E7*STOCK_CUISINE!H7</f>
        <v/>
      </c>
    </row>
    <row r="9">
      <c r="A9" s="7" t="inlineStr">
        <is>
          <t>Sole</t>
        </is>
      </c>
      <c r="B9" s="7" t="inlineStr">
        <is>
          <t>Poissons</t>
        </is>
      </c>
      <c r="C9" s="7">
        <f>STOCK_CUISINE!G8</f>
        <v/>
      </c>
      <c r="D9" s="7" t="inlineStr"/>
      <c r="E9" s="7">
        <f>C8-D8</f>
        <v/>
      </c>
      <c r="F9" s="7">
        <f>E8*STOCK_CUISINE!H8</f>
        <v/>
      </c>
    </row>
    <row r="10">
      <c r="A10" s="7" t="inlineStr">
        <is>
          <t>Bar</t>
        </is>
      </c>
      <c r="B10" s="7" t="inlineStr">
        <is>
          <t>Poissons</t>
        </is>
      </c>
      <c r="C10" s="7">
        <f>STOCK_CUISINE!G9</f>
        <v/>
      </c>
      <c r="D10" s="7" t="inlineStr"/>
      <c r="E10" s="7">
        <f>C9-D9</f>
        <v/>
      </c>
      <c r="F10" s="7">
        <f>E9*STOCK_CUISINE!H9</f>
        <v/>
      </c>
    </row>
    <row r="11">
      <c r="A11" s="7" t="inlineStr">
        <is>
          <t>Gambas</t>
        </is>
      </c>
      <c r="B11" s="7" t="inlineStr">
        <is>
          <t>Poissons</t>
        </is>
      </c>
      <c r="C11" s="7">
        <f>STOCK_CUISINE!G10</f>
        <v/>
      </c>
      <c r="D11" s="7" t="inlineStr"/>
      <c r="E11" s="7">
        <f>C10-D10</f>
        <v/>
      </c>
      <c r="F11" s="7">
        <f>E10*STOCK_CUISINE!H10</f>
        <v/>
      </c>
    </row>
    <row r="12">
      <c r="A12" s="7" t="inlineStr">
        <is>
          <t>Crevette</t>
        </is>
      </c>
      <c r="B12" s="7" t="inlineStr">
        <is>
          <t>Poissons</t>
        </is>
      </c>
      <c r="C12" s="7">
        <f>STOCK_CUISINE!G11</f>
        <v/>
      </c>
      <c r="D12" s="7" t="inlineStr"/>
      <c r="E12" s="7">
        <f>C11-D11</f>
        <v/>
      </c>
      <c r="F12" s="7">
        <f>E11*STOCK_CUISINE!H11</f>
        <v/>
      </c>
    </row>
    <row r="13">
      <c r="A13" s="7" t="inlineStr">
        <is>
          <t>Carottes</t>
        </is>
      </c>
      <c r="B13" s="7" t="inlineStr">
        <is>
          <t>Légumes</t>
        </is>
      </c>
      <c r="C13" s="7">
        <f>STOCK_CUISINE!G12</f>
        <v/>
      </c>
      <c r="D13" s="7" t="inlineStr"/>
      <c r="E13" s="7">
        <f>C12-D12</f>
        <v/>
      </c>
      <c r="F13" s="7">
        <f>E12*STOCK_CUISINE!H12</f>
        <v/>
      </c>
    </row>
    <row r="14">
      <c r="A14" s="7" t="inlineStr">
        <is>
          <t>Tomates</t>
        </is>
      </c>
      <c r="B14" s="7" t="inlineStr">
        <is>
          <t>Légumes</t>
        </is>
      </c>
      <c r="C14" s="7">
        <f>STOCK_CUISINE!G13</f>
        <v/>
      </c>
      <c r="D14" s="7" t="inlineStr"/>
      <c r="E14" s="7">
        <f>C13-D13</f>
        <v/>
      </c>
      <c r="F14" s="7">
        <f>E13*STOCK_CUISINE!H13</f>
        <v/>
      </c>
    </row>
    <row r="15">
      <c r="A15" s="7" t="inlineStr">
        <is>
          <t>Oignons</t>
        </is>
      </c>
      <c r="B15" s="7" t="inlineStr">
        <is>
          <t>Légumes</t>
        </is>
      </c>
      <c r="C15" s="7">
        <f>STOCK_CUISINE!G14</f>
        <v/>
      </c>
      <c r="D15" s="7" t="inlineStr"/>
      <c r="E15" s="7">
        <f>C14-D14</f>
        <v/>
      </c>
      <c r="F15" s="7">
        <f>E14*STOCK_CUISINE!H14</f>
        <v/>
      </c>
    </row>
    <row r="16">
      <c r="A16" s="7" t="inlineStr">
        <is>
          <t>Pommes de terre</t>
        </is>
      </c>
      <c r="B16" s="7" t="inlineStr">
        <is>
          <t>Légumes</t>
        </is>
      </c>
      <c r="C16" s="7">
        <f>STOCK_CUISINE!G15</f>
        <v/>
      </c>
      <c r="D16" s="7" t="inlineStr"/>
      <c r="E16" s="7">
        <f>C15-D15</f>
        <v/>
      </c>
      <c r="F16" s="7">
        <f>E15*STOCK_CUISINE!H15</f>
        <v/>
      </c>
    </row>
    <row r="17">
      <c r="A17" s="7" t="inlineStr">
        <is>
          <t>Choux</t>
        </is>
      </c>
      <c r="B17" s="7" t="inlineStr">
        <is>
          <t>Légumes</t>
        </is>
      </c>
      <c r="C17" s="7">
        <f>STOCK_CUISINE!G16</f>
        <v/>
      </c>
      <c r="D17" s="7" t="inlineStr"/>
      <c r="E17" s="7">
        <f>C16-D16</f>
        <v/>
      </c>
      <c r="F17" s="7">
        <f>E16*STOCK_CUISINE!H16</f>
        <v/>
      </c>
    </row>
    <row r="18">
      <c r="A18" s="7" t="inlineStr">
        <is>
          <t>Riz</t>
        </is>
      </c>
      <c r="B18" s="7" t="inlineStr">
        <is>
          <t>Epicerie</t>
        </is>
      </c>
      <c r="C18" s="7">
        <f>STOCK_CUISINE!G17</f>
        <v/>
      </c>
      <c r="D18" s="7" t="inlineStr"/>
      <c r="E18" s="7">
        <f>C17-D17</f>
        <v/>
      </c>
      <c r="F18" s="7">
        <f>E17*STOCK_CUISINE!H17</f>
        <v/>
      </c>
    </row>
    <row r="19">
      <c r="A19" s="7" t="inlineStr">
        <is>
          <t>Pâtes</t>
        </is>
      </c>
      <c r="B19" s="7" t="inlineStr">
        <is>
          <t>Epicerie</t>
        </is>
      </c>
      <c r="C19" s="7">
        <f>STOCK_CUISINE!G18</f>
        <v/>
      </c>
      <c r="D19" s="7" t="inlineStr"/>
      <c r="E19" s="7">
        <f>C18-D18</f>
        <v/>
      </c>
      <c r="F19" s="7">
        <f>E18*STOCK_CUISINE!H18</f>
        <v/>
      </c>
    </row>
    <row r="20">
      <c r="A20" s="7" t="inlineStr">
        <is>
          <t>Huile</t>
        </is>
      </c>
      <c r="B20" s="7" t="inlineStr">
        <is>
          <t>Epicerie</t>
        </is>
      </c>
      <c r="C20" s="7">
        <f>STOCK_CUISINE!G19</f>
        <v/>
      </c>
      <c r="D20" s="7" t="inlineStr"/>
      <c r="E20" s="7">
        <f>C19-D19</f>
        <v/>
      </c>
      <c r="F20" s="7">
        <f>E19*STOCK_CUISINE!H19</f>
        <v/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21" t="inlineStr">
        <is>
          <t>TABLEAU DE BORD ANALYTIQUE</t>
        </is>
      </c>
    </row>
    <row r="3">
      <c r="A3" s="22" t="inlineStr">
        <is>
          <t>CA Du Jour</t>
        </is>
      </c>
      <c r="B3" s="23">
        <f>VENTES!E26</f>
        <v/>
      </c>
      <c r="D3" s="24" t="inlineStr">
        <is>
          <t>TOP 5 PLATS VENDUS (CA)</t>
        </is>
      </c>
    </row>
    <row r="5">
      <c r="A5" s="22" t="inlineStr">
        <is>
          <t>Plats Vendus</t>
        </is>
      </c>
      <c r="B5" s="25">
        <f>VENTES!C27</f>
        <v/>
      </c>
      <c r="D5" s="26" t="inlineStr">
        <is>
          <t>Rang</t>
        </is>
      </c>
      <c r="E5" s="26" t="inlineStr">
        <is>
          <t>Plat</t>
        </is>
      </c>
      <c r="F5" s="26" t="inlineStr">
        <is>
          <t>CA Total</t>
        </is>
      </c>
    </row>
    <row r="6">
      <c r="D6" s="7" t="n">
        <v>1</v>
      </c>
      <c r="E6" s="7" t="inlineStr">
        <is>
          <t>Top 1 (Auto)</t>
        </is>
      </c>
      <c r="F6" s="7" t="n">
        <v>0</v>
      </c>
    </row>
    <row r="7">
      <c r="A7" s="22" t="inlineStr">
        <is>
          <t>Panier Moyen</t>
        </is>
      </c>
      <c r="B7" s="23">
        <f>VENTES!C28</f>
        <v/>
      </c>
      <c r="D7" s="7" t="n">
        <v>2</v>
      </c>
      <c r="E7" s="7" t="inlineStr">
        <is>
          <t>Top 2 (Auto)</t>
        </is>
      </c>
      <c r="F7" s="7" t="n">
        <v>0</v>
      </c>
    </row>
    <row r="8">
      <c r="D8" s="7" t="n">
        <v>3</v>
      </c>
      <c r="E8" s="7" t="inlineStr">
        <is>
          <t>Top 3 (Auto)</t>
        </is>
      </c>
      <c r="F8" s="7" t="n">
        <v>0</v>
      </c>
    </row>
    <row r="9">
      <c r="A9" s="22" t="inlineStr">
        <is>
          <t>Alertes Stock</t>
        </is>
      </c>
      <c r="B9" s="27">
        <f>COUNTIF(STOCK_CUISINE!J:J, "CRITIQUE") + COUNTIF(STOCK_CUISINE!J:J, "RUPTURE")</f>
        <v/>
      </c>
      <c r="D9" s="7" t="n">
        <v>4</v>
      </c>
      <c r="E9" s="7" t="inlineStr">
        <is>
          <t>Top 4 (Auto)</t>
        </is>
      </c>
      <c r="F9" s="7" t="n">
        <v>0</v>
      </c>
    </row>
    <row r="10">
      <c r="D10" s="7" t="n">
        <v>5</v>
      </c>
      <c r="E10" s="7" t="inlineStr">
        <is>
          <t>Top 5 (Auto)</t>
        </is>
      </c>
      <c r="F10" s="7" t="n">
        <v>0</v>
      </c>
    </row>
    <row r="11">
      <c r="A11" s="22" t="inlineStr">
        <is>
          <t>Valeur Stock</t>
        </is>
      </c>
      <c r="B11" s="23">
        <f>SUM(STOCK_CUISINE!I:I)</f>
        <v/>
      </c>
      <c r="D11" s="28" t="inlineStr">
        <is>
          <t>ALERTE STOCKS CRITIQUES</t>
        </is>
      </c>
    </row>
    <row r="12">
      <c r="A12" t="inlineStr">
        <is>
          <t>Rang</t>
        </is>
      </c>
      <c r="B12" t="inlineStr">
        <is>
          <t>Plat</t>
        </is>
      </c>
      <c r="C12" t="inlineStr">
        <is>
          <t>CA Total</t>
        </is>
      </c>
    </row>
    <row r="13">
      <c r="A13" t="inlineStr">
        <is>
          <t>Article</t>
        </is>
      </c>
      <c r="B13" t="inlineStr">
        <is>
          <t>Stock Actuel</t>
        </is>
      </c>
      <c r="C13" t="inlineStr">
        <is>
          <t>Statut</t>
        </is>
      </c>
      <c r="D13" s="29" t="inlineStr">
        <is>
          <t>Voir onglet STOCK_CUISINE pour détails</t>
        </is>
      </c>
    </row>
  </sheetData>
  <mergeCells count="3">
    <mergeCell ref="D3:G3"/>
    <mergeCell ref="D11:G11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2026-05-26T12:27:57Z</dcterms:created>
  <dcterms:modified xmlns:dcterms="http://purl.org/dc/terms/" xmlns:xsi="http://www.w3.org/2001/XMLSchema-instance" xsi:type="dcterms:W3CDTF">2026-05-26T12:27:57Z</dcterms:modified>
</cp:coreProperties>
</file>