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UEIL" sheetId="1" state="visible" r:id="rId1"/>
    <sheet xmlns:r="http://schemas.openxmlformats.org/officeDocument/2006/relationships" name="DASHBOARD" sheetId="2" state="visible" r:id="rId2"/>
    <sheet xmlns:r="http://schemas.openxmlformats.org/officeDocument/2006/relationships" name="PRODUITS" sheetId="3" state="visible" r:id="rId3"/>
    <sheet xmlns:r="http://schemas.openxmlformats.org/officeDocument/2006/relationships" name="CATEGORIES" sheetId="4" state="visible" r:id="rId4"/>
    <sheet xmlns:r="http://schemas.openxmlformats.org/officeDocument/2006/relationships" name="STOCKS" sheetId="5" state="visible" r:id="rId5"/>
    <sheet xmlns:r="http://schemas.openxmlformats.org/officeDocument/2006/relationships" name="RECETTES" sheetId="6" state="visible" r:id="rId6"/>
    <sheet xmlns:r="http://schemas.openxmlformats.org/officeDocument/2006/relationships" name="INGREDIENTS" sheetId="7" state="visible" r:id="rId7"/>
    <sheet xmlns:r="http://schemas.openxmlformats.org/officeDocument/2006/relationships" name="VENTES" sheetId="8" state="visible" r:id="rId8"/>
    <sheet xmlns:r="http://schemas.openxmlformats.org/officeDocument/2006/relationships" name="FOURNISSEURS" sheetId="9" state="visible" r:id="rId9"/>
    <sheet xmlns:r="http://schemas.openxmlformats.org/officeDocument/2006/relationships" name="INVENTAIRES" sheetId="10" state="visible" r:id="rId10"/>
    <sheet xmlns:r="http://schemas.openxmlformats.org/officeDocument/2006/relationships" name="TABLEAUX_BORD" sheetId="11" state="visible" r:id="rId11"/>
    <sheet xmlns:r="http://schemas.openxmlformats.org/officeDocument/2006/relationships" name="PARAMETRES" sheetId="12" state="visible" r:id="rId12"/>
    <sheet xmlns:r="http://schemas.openxmlformats.org/officeDocument/2006/relationships" name="AIDE" sheetId="13" state="visible" r:id="rId13"/>
  </sheets>
  <definedNames/>
  <calcPr calcId="124519" fullCalcOnLoad="1"/>
</workbook>
</file>

<file path=xl/styles.xml><?xml version="1.0" encoding="utf-8"?>
<styleSheet xmlns="http://schemas.openxmlformats.org/spreadsheetml/2006/main">
  <numFmts count="2">
    <numFmt numFmtId="164" formatCode="dd/mm/yyyy"/>
    <numFmt numFmtId="165" formatCode="#,##0.00 €"/>
  </numFmts>
  <fonts count="21">
    <font>
      <name val="Calibri"/>
      <family val="2"/>
      <color theme="1"/>
      <sz val="11"/>
      <scheme val="minor"/>
    </font>
    <font>
      <name val="Calibri"/>
      <b val="1"/>
      <color rgb="00FFFFFF"/>
      <sz val="20"/>
    </font>
    <font>
      <name val="Calibri"/>
      <i val="1"/>
      <sz val="12"/>
    </font>
    <font>
      <name val="Calibri"/>
      <b val="1"/>
      <color rgb="001F4E79"/>
      <sz val="12"/>
    </font>
    <font>
      <name val="Calibri"/>
      <b val="1"/>
      <color rgb="00FFFFFF"/>
      <sz val="11"/>
    </font>
    <font>
      <name val="Calibri"/>
      <i val="1"/>
      <sz val="9"/>
    </font>
    <font>
      <name val="Calibri"/>
      <sz val="10"/>
    </font>
    <font>
      <name val="Calibri"/>
      <b val="1"/>
      <color rgb="00FFFFFF"/>
      <sz val="18"/>
    </font>
    <font>
      <name val="Calibri"/>
      <b val="1"/>
      <sz val="9"/>
    </font>
    <font>
      <name val="Calibri"/>
      <b val="1"/>
      <color rgb="0028A745"/>
      <sz val="14"/>
    </font>
    <font>
      <name val="Calibri"/>
      <b val="1"/>
      <color rgb="00A23B72"/>
      <sz val="14"/>
    </font>
    <font>
      <name val="Calibri"/>
      <b val="1"/>
      <color rgb="002E86AB"/>
      <sz val="14"/>
    </font>
    <font>
      <name val="Calibri"/>
      <b val="1"/>
      <color rgb="00FFC107"/>
      <sz val="14"/>
    </font>
    <font>
      <name val="Calibri"/>
      <b val="1"/>
      <color rgb="001F4E79"/>
      <sz val="14"/>
    </font>
    <font>
      <name val="Calibri"/>
      <b val="1"/>
      <color rgb="0017A2B8"/>
      <sz val="14"/>
    </font>
    <font>
      <name val="Calibri"/>
      <b val="1"/>
      <color rgb="00DC3545"/>
      <sz val="14"/>
    </font>
    <font>
      <name val="Calibri"/>
      <i val="1"/>
      <sz val="10"/>
    </font>
    <font>
      <name val="Calibri"/>
      <b val="1"/>
      <color rgb="00FFFFFF"/>
      <sz val="16"/>
    </font>
    <font>
      <name val="Calibri"/>
      <b val="1"/>
      <sz val="10"/>
    </font>
    <font>
      <name val="Calibri"/>
      <b val="1"/>
      <color rgb="0028A745"/>
      <sz val="11"/>
    </font>
    <font>
      <name val="Calibri"/>
      <b val="1"/>
      <color rgb="00FFC107"/>
      <sz val="11"/>
    </font>
  </fonts>
  <fills count="5">
    <fill>
      <patternFill/>
    </fill>
    <fill>
      <patternFill patternType="gray125"/>
    </fill>
    <fill>
      <patternFill patternType="solid">
        <fgColor rgb="001F4E79"/>
        <bgColor rgb="001F4E79"/>
      </patternFill>
    </fill>
    <fill>
      <patternFill patternType="solid">
        <fgColor rgb="00A23B72"/>
        <bgColor rgb="00A23B72"/>
      </patternFill>
    </fill>
    <fill>
      <patternFill patternType="solid">
        <fgColor rgb="002E86AB"/>
        <bgColor rgb="002E86AB"/>
      </patternFill>
    </fill>
  </fills>
  <borders count="2">
    <border>
      <left/>
      <right/>
      <top/>
      <bottom/>
      <diagonal/>
    </border>
    <border>
      <left style="thin"/>
      <right style="thin"/>
      <top style="thin"/>
      <bottom style="thin"/>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center" vertical="center"/>
    </xf>
    <xf numFmtId="0" fontId="4" fillId="2" borderId="1" applyAlignment="1" pivotButton="0" quotePrefix="0" xfId="0">
      <alignment horizontal="center" vertical="center"/>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7" fillId="2" borderId="0" applyAlignment="1" pivotButton="0" quotePrefix="0" xfId="0">
      <alignment horizontal="center" vertical="center"/>
    </xf>
    <xf numFmtId="0" fontId="8" fillId="0" borderId="1" applyAlignment="1" pivotButton="0" quotePrefix="0" xfId="0">
      <alignment horizontal="center" vertical="center"/>
    </xf>
    <xf numFmtId="4" fontId="9" fillId="0" borderId="1" applyAlignment="1" pivotButton="0" quotePrefix="0" xfId="0">
      <alignment horizontal="center" vertical="center"/>
    </xf>
    <xf numFmtId="4" fontId="10" fillId="0" borderId="1" applyAlignment="1" pivotButton="0" quotePrefix="0" xfId="0">
      <alignment horizontal="center" vertical="center"/>
    </xf>
    <xf numFmtId="10" fontId="11" fillId="0" borderId="1" applyAlignment="1" pivotButton="0" quotePrefix="0" xfId="0">
      <alignment horizontal="center" vertical="center"/>
    </xf>
    <xf numFmtId="3" fontId="12" fillId="0" borderId="1" applyAlignment="1" pivotButton="0" quotePrefix="0" xfId="0">
      <alignment horizontal="center" vertical="center"/>
    </xf>
    <xf numFmtId="4" fontId="13" fillId="0" borderId="1" applyAlignment="1" pivotButton="0" quotePrefix="0" xfId="0">
      <alignment horizontal="center" vertical="center"/>
    </xf>
    <xf numFmtId="0" fontId="0" fillId="0" borderId="1" pivotButton="0" quotePrefix="0" xfId="0"/>
    <xf numFmtId="4" fontId="14" fillId="0" borderId="1" applyAlignment="1" pivotButton="0" quotePrefix="0" xfId="0">
      <alignment horizontal="center" vertical="center"/>
    </xf>
    <xf numFmtId="3" fontId="15" fillId="0" borderId="1" applyAlignment="1" pivotButton="0" quotePrefix="0" xfId="0">
      <alignment horizontal="center" vertical="center"/>
    </xf>
    <xf numFmtId="3" fontId="9" fillId="0" borderId="1" applyAlignment="1" pivotButton="0" quotePrefix="0" xfId="0">
      <alignment horizontal="center" vertical="center"/>
    </xf>
    <xf numFmtId="3" fontId="11" fillId="0" borderId="1" applyAlignment="1" pivotButton="0" quotePrefix="0" xfId="0">
      <alignment horizontal="center" vertical="center"/>
    </xf>
    <xf numFmtId="164" fontId="12" fillId="0" borderId="1" applyAlignment="1" pivotButton="0" quotePrefix="0" xfId="0">
      <alignment horizontal="center" vertical="center"/>
    </xf>
    <xf numFmtId="0" fontId="16" fillId="0" borderId="0" applyAlignment="1" pivotButton="0" quotePrefix="0" xfId="0">
      <alignment horizontal="left" vertical="top" wrapText="1"/>
    </xf>
    <xf numFmtId="0" fontId="17" fillId="2" borderId="0" applyAlignment="1" pivotButton="0" quotePrefix="0" xfId="0">
      <alignment horizontal="center" vertical="center"/>
    </xf>
    <xf numFmtId="165" fontId="6" fillId="0" borderId="1" applyAlignment="1" pivotButton="0" quotePrefix="0" xfId="0">
      <alignment horizontal="center" vertical="center"/>
    </xf>
    <xf numFmtId="10" fontId="6" fillId="0" borderId="1" applyAlignment="1" pivotButton="0" quotePrefix="0" xfId="0">
      <alignment horizontal="center" vertical="center"/>
    </xf>
    <xf numFmtId="0" fontId="18" fillId="0" borderId="0" pivotButton="0" quotePrefix="0" xfId="0"/>
    <xf numFmtId="165" fontId="19" fillId="0" borderId="0" pivotButton="0" quotePrefix="0" xfId="0"/>
    <xf numFmtId="4" fontId="20" fillId="0" borderId="0" pivotButton="0" quotePrefix="0" xfId="0"/>
    <xf numFmtId="0" fontId="6" fillId="0" borderId="0" pivotButton="0" quotePrefix="0" xfId="0"/>
    <xf numFmtId="0" fontId="16" fillId="0" borderId="0" applyAlignment="1" pivotButton="0" quotePrefix="0" xfId="0">
      <alignment horizontal="center" vertical="center"/>
    </xf>
    <xf numFmtId="0" fontId="3" fillId="0" borderId="0" applyAlignment="1" pivotButton="0" quotePrefix="0" xfId="0">
      <alignment horizontal="left" vertical="center"/>
    </xf>
    <xf numFmtId="0" fontId="6"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TableauProduits" displayName="TableauProduits" ref="A2:K102" headerRowCount="1">
  <autoFilter ref="A2:K102"/>
  <tableColumns count="11">
    <tableColumn id="1" name="ID"/>
    <tableColumn id="2" name="Nom Produit"/>
    <tableColumn id="3" name="Description"/>
    <tableColumn id="4" name="Catégorie"/>
    <tableColumn id="5" name="Sous-Catégorie"/>
    <tableColumn id="6" name="Prix Achat (€)"/>
    <tableColumn id="7" name="Stock Actuel"/>
    <tableColumn id="8" name="Statut Stock"/>
    <tableColumn id="9" name="Stock Min"/>
    <tableColumn id="10" name="Stock Sécurité"/>
    <tableColumn id="11" name="Unité"/>
  </tableColumns>
  <tableStyleInfo name="TableStyleMedium9" showFirstColumn="0" showLastColumn="0" showRowStripes="1" showColumnStripes="0"/>
</table>
</file>

<file path=xl/tables/table2.xml><?xml version="1.0" encoding="utf-8"?>
<table xmlns="http://schemas.openxmlformats.org/spreadsheetml/2006/main" id="2" name="TableauCategories" displayName="TableauCategories" ref="A2:E52" headerRowCount="1">
  <autoFilter ref="A2:E52"/>
  <tableColumns count="5">
    <tableColumn id="1" name="ID Catégorie"/>
    <tableColumn id="2" name="Nom Catégorie"/>
    <tableColumn id="3" name="ID Sous-Catégorie"/>
    <tableColumn id="4" name="Nom Sous-Catégorie"/>
    <tableColumn id="5" name="Description"/>
  </tableColumns>
  <tableStyleInfo name="TableStyleMedium9" showFirstColumn="0" showLastColumn="0" showRowStripes="1" showColumnStripes="0"/>
</table>
</file>

<file path=xl/tables/table3.xml><?xml version="1.0" encoding="utf-8"?>
<table xmlns="http://schemas.openxmlformats.org/spreadsheetml/2006/main" id="3" name="TableauStocks" displayName="TableauStocks" ref="A2:J202" headerRowCount="1">
  <autoFilter ref="A2:J202"/>
  <tableColumns count="10">
    <tableColumn id="1" name="Date"/>
    <tableColumn id="2" name="ID Mouvement"/>
    <tableColumn id="3" name="Type"/>
    <tableColumn id="4" name="ID Produit"/>
    <tableColumn id="5" name="Nom Produit"/>
    <tableColumn id="6" name="Quantité"/>
    <tableColumn id="7" name="Prix Unitaire"/>
    <tableColumn id="8" name="Total"/>
    <tableColumn id="9" name="Fournisseur/Client"/>
    <tableColumn id="10" name="Commentaire"/>
  </tableColumns>
  <tableStyleInfo name="TableStyleMedium9" showFirstColumn="0" showLastColumn="0" showRowStripes="1" showColumnStripes="0"/>
</table>
</file>

<file path=xl/tables/table4.xml><?xml version="1.0" encoding="utf-8"?>
<table xmlns="http://schemas.openxmlformats.org/spreadsheetml/2006/main" id="4" name="TableauRecettes" displayName="TableauRecettes" ref="A2:J102" headerRowCount="1">
  <autoFilter ref="A2:J102"/>
  <tableColumns count="10">
    <tableColumn id="1" name="ID Recette"/>
    <tableColumn id="2" name="Nom Plat"/>
    <tableColumn id="3" name="Catégorie"/>
    <tableColumn id="4" name="Prix Vente"/>
    <tableColumn id="5" name="Coût Matière"/>
    <tableColumn id="6" name="Marge Brute"/>
    <tableColumn id="7" name="Taux Marge"/>
    <tableColumn id="8" name="Portions"/>
    <tableColumn id="9" name="Temps Prep"/>
    <tableColumn id="10" name="Statut"/>
  </tableColumns>
  <tableStyleInfo name="TableStyleMedium9" showFirstColumn="0" showLastColumn="0" showRowStripes="1" showColumnStripes="0"/>
</table>
</file>

<file path=xl/tables/table5.xml><?xml version="1.0" encoding="utf-8"?>
<table xmlns="http://schemas.openxmlformats.org/spreadsheetml/2006/main" id="5" name="TableauIngredients" displayName="TableauIngredients" ref="A2:H202" headerRowCount="1">
  <autoFilter ref="A2:H202"/>
  <tableColumns count="8">
    <tableColumn id="1" name="ID Recette"/>
    <tableColumn id="2" name="Nom Plat"/>
    <tableColumn id="3" name="ID Ingrédient"/>
    <tableColumn id="4" name="Nom Ingrédient"/>
    <tableColumn id="5" name="Quantité"/>
    <tableColumn id="6" name="Unité"/>
    <tableColumn id="7" name="Coût Unitaire"/>
    <tableColumn id="8" name="Coût Total"/>
  </tableColumns>
  <tableStyleInfo name="TableStyleMedium9" showFirstColumn="0" showLastColumn="0" showRowStripes="1" showColumnStripes="0"/>
</table>
</file>

<file path=xl/tables/table6.xml><?xml version="1.0" encoding="utf-8"?>
<table xmlns="http://schemas.openxmlformats.org/spreadsheetml/2006/main" id="6" name="TableauVentes" displayName="TableauVentes" ref="A2:L502" headerRowCount="1">
  <autoFilter ref="A2:L502"/>
  <tableColumns count="12">
    <tableColumn id="1" name="Date"/>
    <tableColumn id="2" name="ID Vente"/>
    <tableColumn id="3" name="Serveur"/>
    <tableColumn id="4" name="Table"/>
    <tableColumn id="5" name="ID Recette"/>
    <tableColumn id="6" name="Nom Plat"/>
    <tableColumn id="7" name="Prix Vente"/>
    <tableColumn id="8" name="Coût Matière"/>
    <tableColumn id="9" name="Marge"/>
    <tableColumn id="10" name="Quantité"/>
    <tableColumn id="11" name="Total HT"/>
    <tableColumn id="12" name="Statut"/>
  </tableColumns>
  <tableStyleInfo name="TableStyleMedium9" showFirstColumn="0" showLastColumn="0" showRowStripes="1" showColumnStripes="0"/>
</table>
</file>

<file path=xl/tables/table7.xml><?xml version="1.0" encoding="utf-8"?>
<table xmlns="http://schemas.openxmlformats.org/spreadsheetml/2006/main" id="7" name="TableauFournisseurs" displayName="TableauFournisseurs" ref="A2:K102" headerRowCount="1">
  <autoFilter ref="A2:K102"/>
  <tableColumns count="11">
    <tableColumn id="1" name="ID Fourn."/>
    <tableColumn id="2" name="Nom Fournisseur"/>
    <tableColumn id="3" name="Contact"/>
    <tableColumn id="4" name="Téléphone"/>
    <tableColumn id="5" name="Email"/>
    <tableColumn id="6" name="Adresse"/>
    <tableColumn id="7" name="Statut Commande"/>
    <tableColumn id="8" name="Dernière Cmd"/>
    <tableColumn id="9" name="Montant Total"/>
    <tableColumn id="10" name="Note Qualité"/>
    <tableColumn id="11" name="Délai Livraison"/>
  </tableColumns>
  <tableStyleInfo name="TableStyleMedium9" showFirstColumn="0" showLastColumn="0" showRowStripes="1" showColumnStripes="0"/>
</table>
</file>

<file path=xl/tables/table8.xml><?xml version="1.0" encoding="utf-8"?>
<table xmlns="http://schemas.openxmlformats.org/spreadsheetml/2006/main" id="8" name="TableauInventaires" displayName="TableauInventaires" ref="A2:J202" headerRowCount="1">
  <autoFilter ref="A2:J202"/>
  <tableColumns count="10">
    <tableColumn id="1" name="Date"/>
    <tableColumn id="2" name="ID Inventaire"/>
    <tableColumn id="3" name="ID Produit"/>
    <tableColumn id="4" name="Nom Produit"/>
    <tableColumn id="5" name="Stock Théorique"/>
    <tableColumn id="6" name="Stock Réel"/>
    <tableColumn id="7" name="Écart"/>
    <tableColumn id="8" name="Valeur Écart"/>
    <tableColumn id="9" name="Cause"/>
    <tableColumn id="10" name="Responsabl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3" customWidth="1" min="1" max="1"/>
    <col width="20" customWidth="1" min="2" max="2"/>
    <col width="25" customWidth="1" min="3" max="3"/>
    <col width="15" customWidth="1" min="4" max="4"/>
    <col width="3" customWidth="1" min="5" max="5"/>
    <col width="20" customWidth="1" min="6" max="6"/>
    <col width="25" customWidth="1" min="7" max="7"/>
    <col width="15" customWidth="1" min="8" max="8"/>
  </cols>
  <sheetData>
    <row r="1">
      <c r="A1" s="1" t="inlineStr">
        <is>
          <t>🍽️ GESTION DE RESTAURANT PROFESSIONNEL</t>
        </is>
      </c>
    </row>
    <row r="2">
      <c r="A2" s="2" t="inlineStr">
        <is>
          <t>Application Excel Complète - Sans VBA</t>
        </is>
      </c>
    </row>
    <row r="4">
      <c r="A4" s="3" t="inlineStr">
        <is>
          <t>📋 NAVIGATION PRINCIPALE</t>
        </is>
      </c>
    </row>
    <row r="6">
      <c r="A6" s="4" t="inlineStr">
        <is>
          <t>📊 DASHBOARD</t>
        </is>
      </c>
      <c r="C6" s="5" t="inlineStr">
        <is>
          <t>📖 RECETTES</t>
        </is>
      </c>
      <c r="E6" s="5" t="inlineStr">
        <is>
          <t>📝 INVENTAIRES</t>
        </is>
      </c>
    </row>
    <row r="7">
      <c r="A7" s="6" t="inlineStr">
        <is>
          <t>Tableau de bord avec KPI</t>
        </is>
      </c>
      <c r="C7" s="6" t="inlineStr">
        <is>
          <t>Gestion des recettes et coûts</t>
        </is>
      </c>
      <c r="E7" s="6" t="inlineStr">
        <is>
          <t>Contrôles périodiques</t>
        </is>
      </c>
    </row>
    <row r="8">
      <c r="A8" s="5" t="inlineStr">
        <is>
          <t>📦 PRODUITS</t>
        </is>
      </c>
      <c r="C8" s="5" t="inlineStr">
        <is>
          <t>🛒 INGREDIENTS</t>
        </is>
      </c>
      <c r="E8" s="5" t="inlineStr">
        <is>
          <t>📊 TABLEAUX BORD</t>
        </is>
      </c>
    </row>
    <row r="9">
      <c r="A9" s="6" t="inlineStr">
        <is>
          <t>Gestion des produits et matières</t>
        </is>
      </c>
      <c r="C9" s="6" t="inlineStr">
        <is>
          <t>Liste des ingrédients</t>
        </is>
      </c>
      <c r="E9" s="6" t="inlineStr">
        <is>
          <t>Analyses détaillées</t>
        </is>
      </c>
    </row>
    <row r="10">
      <c r="A10" s="5" t="inlineStr">
        <is>
          <t>🏷️ CATÉGORIES</t>
        </is>
      </c>
      <c r="C10" s="5" t="inlineStr">
        <is>
          <t>💰 VENTES</t>
        </is>
      </c>
      <c r="E10" s="5" t="inlineStr">
        <is>
          <t>⚙️ PARAMÈTRES</t>
        </is>
      </c>
    </row>
    <row r="11">
      <c r="A11" s="6" t="inlineStr">
        <is>
          <t>Catégories et sous-catégories</t>
        </is>
      </c>
      <c r="C11" s="6" t="inlineStr">
        <is>
          <t>Enregistrement des ventes</t>
        </is>
      </c>
      <c r="E11" s="6" t="inlineStr">
        <is>
          <t>Configuration système</t>
        </is>
      </c>
    </row>
    <row r="12">
      <c r="A12" s="5" t="inlineStr">
        <is>
          <t>📈 STOCKS</t>
        </is>
      </c>
      <c r="C12" s="5" t="inlineStr">
        <is>
          <t>🚚 FOURNISSEURS</t>
        </is>
      </c>
      <c r="E12" s="5" t="inlineStr">
        <is>
          <t>❓ AIDE</t>
        </is>
      </c>
    </row>
    <row r="13">
      <c r="A13" s="6" t="inlineStr">
        <is>
          <t>Suivi des mouvements de stock</t>
        </is>
      </c>
      <c r="C13" s="6" t="inlineStr">
        <is>
          <t>Gestion fournisseurs et achats</t>
        </is>
      </c>
      <c r="E13" s="6" t="inlineStr">
        <is>
          <t>Guide d'utilisation</t>
        </is>
      </c>
    </row>
    <row r="16">
      <c r="A16" s="3" t="inlineStr">
        <is>
          <t>🔔 ALERTES IMPORTANTES</t>
        </is>
      </c>
    </row>
    <row r="17">
      <c r="A17" s="7" t="inlineStr">
        <is>
          <t>Type</t>
        </is>
      </c>
      <c r="B17" s="7" t="inlineStr">
        <is>
          <t>Message</t>
        </is>
      </c>
      <c r="C17" s="7" t="inlineStr">
        <is>
          <t>Priorité</t>
        </is>
      </c>
      <c r="D17" s="7" t="inlineStr">
        <is>
          <t>Action Requise</t>
        </is>
      </c>
    </row>
    <row r="18">
      <c r="A18" s="8" t="inlineStr">
        <is>
          <t>Stock</t>
        </is>
      </c>
      <c r="B18" s="9">
        <f>IF(COUNTIF(PRODUITS!H:H,"⚠️ RUPTURE")&gt;0, COUNTIF(PRODUITS!H:H,"⚠️ RUPTURE")&amp;" ruptures de stock", "Aucune")</f>
        <v/>
      </c>
      <c r="C18" s="9">
        <f>IF(COUNTIF(PRODUITS!H:H,"⚠️ RUPTURE")&gt;0,"HAUTE","NORMALE")</f>
        <v/>
      </c>
      <c r="D18" s="9" t="inlineStr">
        <is>
          <t>Vérifier stocks</t>
        </is>
      </c>
    </row>
    <row r="19">
      <c r="A19" s="8" t="inlineStr">
        <is>
          <t>Commandes</t>
        </is>
      </c>
      <c r="B19" s="9">
        <f>IF(COUNTIF(FOURNISSEURS!G:G,"En attente")&gt;0, COUNTIF(FOURNISSEURS!G:G,"En attente")&amp;" commandes", "Aucune")</f>
        <v/>
      </c>
      <c r="C19" s="9">
        <f>IF(COUNTIF(FOURNISSEURS!G:G,"En attente")&gt;0,"MOYENNE","NORMALE")</f>
        <v/>
      </c>
      <c r="D19" s="9" t="inlineStr">
        <is>
          <t>Suivre commandes</t>
        </is>
      </c>
    </row>
    <row r="20">
      <c r="A20" s="8" t="inlineStr">
        <is>
          <t>Inventaire</t>
        </is>
      </c>
      <c r="B20" s="9">
        <f>IF(TODAY()-MAX(INVENTAIRES!A:A)&gt;7,"Plus de 7 jours","À jour")</f>
        <v/>
      </c>
      <c r="C20" s="9">
        <f>IF(TODAY()-MAX(INVENTAIRES!A:A)&gt;7,"HAUTE","NORMALE")</f>
        <v/>
      </c>
      <c r="D20" s="9" t="inlineStr">
        <is>
          <t>Planifier inventaire</t>
        </is>
      </c>
    </row>
    <row r="22">
      <c r="A22" s="6" t="inlineStr">
        <is>
          <t>© 2024 - Application de Gestion de Restaurant | Version 1.0</t>
        </is>
      </c>
    </row>
  </sheetData>
  <mergeCells count="17">
    <mergeCell ref="A4:H4"/>
    <mergeCell ref="C12:D12"/>
    <mergeCell ref="E12:F12"/>
    <mergeCell ref="E6:F6"/>
    <mergeCell ref="C6:D6"/>
    <mergeCell ref="C10:D10"/>
    <mergeCell ref="E10:F10"/>
    <mergeCell ref="A2:H2"/>
    <mergeCell ref="E8:F8"/>
    <mergeCell ref="A10:B10"/>
    <mergeCell ref="A16:H16"/>
    <mergeCell ref="A1:H1"/>
    <mergeCell ref="A8:B8"/>
    <mergeCell ref="A6:B6"/>
    <mergeCell ref="C8:D8"/>
    <mergeCell ref="A22:H22"/>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10" t="inlineStr">
        <is>
          <t>📊 TABLEAU DE BORD PRINCIPAL</t>
        </is>
      </c>
    </row>
    <row r="3">
      <c r="B3" s="11" t="inlineStr">
        <is>
          <t>Ventes Totales</t>
        </is>
      </c>
      <c r="D3" s="11" t="inlineStr">
        <is>
          <t>Marge Brute</t>
        </is>
      </c>
      <c r="F3" s="11" t="inlineStr">
        <is>
          <t>Taux Marge</t>
        </is>
      </c>
      <c r="H3" s="11" t="inlineStr">
        <is>
          <t>Nb Ventes</t>
        </is>
      </c>
      <c r="J3" s="11" t="inlineStr">
        <is>
          <t>Panier Moyen</t>
        </is>
      </c>
    </row>
    <row r="4">
      <c r="B4" s="12">
        <f>SUM(VENTES!F:F)</f>
        <v/>
      </c>
      <c r="D4" s="13">
        <f>SUM(VENTES!G:G)</f>
        <v/>
      </c>
      <c r="F4" s="14">
        <f>IFERROR(D3/B3*100,0)</f>
        <v/>
      </c>
      <c r="H4" s="15">
        <f>COUNTA(VENTES!A:A)-1</f>
        <v/>
      </c>
      <c r="J4" s="16">
        <f>IFERROR(B3/H3,0)</f>
        <v/>
      </c>
    </row>
    <row r="5">
      <c r="B5" s="17" t="n"/>
      <c r="D5" s="17" t="n"/>
      <c r="F5" s="17" t="n"/>
      <c r="H5" s="17" t="n"/>
      <c r="J5" s="17" t="n"/>
    </row>
    <row r="6">
      <c r="B6" s="11" t="inlineStr">
        <is>
          <t>Valeur Stock</t>
        </is>
      </c>
      <c r="D6" s="11" t="inlineStr">
        <is>
          <t>Produits Critiques</t>
        </is>
      </c>
      <c r="F6" s="11" t="inlineStr">
        <is>
          <t>Recettes Actives</t>
        </is>
      </c>
      <c r="H6" s="11" t="inlineStr">
        <is>
          <t>Fournisseurs</t>
        </is>
      </c>
      <c r="J6" s="11" t="inlineStr">
        <is>
          <t>Dernier Inventaire</t>
        </is>
      </c>
    </row>
    <row r="7">
      <c r="B7" s="18">
        <f>SUMPRODUCT(PRODUITS!F:F,PRODUITS!G:G)</f>
        <v/>
      </c>
      <c r="D7" s="19">
        <f>COUNTIF(PRODUITS!H:H,"⚠️ CRITIQUE")+COUNTIF(PRODUITS!H:H,"⚠️ RUPTURE")</f>
        <v/>
      </c>
      <c r="F7" s="20">
        <f>COUNTA(RECETTES!A:A)-1</f>
        <v/>
      </c>
      <c r="H7" s="21">
        <f>COUNTA(FOURNISSEURS!A:A)-1</f>
        <v/>
      </c>
      <c r="J7" s="22">
        <f>MAX(INVENTAIRES!A:A)</f>
        <v/>
      </c>
    </row>
    <row r="8">
      <c r="B8" s="17" t="n"/>
      <c r="D8" s="17" t="n"/>
      <c r="F8" s="17" t="n"/>
      <c r="H8" s="17" t="n"/>
      <c r="J8" s="17" t="n"/>
    </row>
    <row r="10">
      <c r="A10" s="3" t="inlineStr">
        <is>
          <t>📈 GRAPHIQUES ET ANALYSES</t>
        </is>
      </c>
    </row>
    <row r="11" ht="80" customHeight="1">
      <c r="A11" s="23" t="inlineStr">
        <is>
          <t>Pour créer les graphiques :
1. Sélectionnez les données dans les feuilles correspondantes
2. Insertion → Graphiques recommandés
3. Types suggérés : Courbes pour l'évolution, Camembert pour les répartitions, Histogrammes pour les comparaisons</t>
        </is>
      </c>
    </row>
  </sheetData>
  <mergeCells count="2">
    <mergeCell ref="A10:L10"/>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8" customWidth="1" min="1" max="1"/>
    <col width="20" customWidth="1" min="2" max="2"/>
    <col width="25" customWidth="1" min="3" max="3"/>
    <col width="15" customWidth="1" min="4" max="4"/>
    <col width="15" customWidth="1" min="5" max="5"/>
    <col width="12" customWidth="1" min="6" max="6"/>
    <col width="12" customWidth="1" min="7" max="7"/>
    <col width="12" customWidth="1" min="8" max="8"/>
    <col width="10" customWidth="1" min="9" max="9"/>
    <col width="12" customWidth="1" min="10" max="10"/>
    <col width="8" customWidth="1" min="11" max="11"/>
  </cols>
  <sheetData>
    <row r="1">
      <c r="A1" s="24" t="inlineStr">
        <is>
          <t>📦 GESTION DES PRODUITS ET MATIÈRES PREMIÈRES</t>
        </is>
      </c>
    </row>
    <row r="2">
      <c r="A2" s="7" t="inlineStr">
        <is>
          <t>ID</t>
        </is>
      </c>
      <c r="B2" s="7" t="inlineStr">
        <is>
          <t>Nom Produit</t>
        </is>
      </c>
      <c r="C2" s="7" t="inlineStr">
        <is>
          <t>Description</t>
        </is>
      </c>
      <c r="D2" s="7" t="inlineStr">
        <is>
          <t>Catégorie</t>
        </is>
      </c>
      <c r="E2" s="7" t="inlineStr">
        <is>
          <t>Sous-Catégorie</t>
        </is>
      </c>
      <c r="F2" s="7" t="inlineStr">
        <is>
          <t>Prix Achat (€)</t>
        </is>
      </c>
      <c r="G2" s="7" t="inlineStr">
        <is>
          <t>Stock Actuel</t>
        </is>
      </c>
      <c r="H2" s="7" t="inlineStr">
        <is>
          <t>Statut Stock</t>
        </is>
      </c>
      <c r="I2" s="7" t="inlineStr">
        <is>
          <t>Stock Min</t>
        </is>
      </c>
      <c r="J2" s="7" t="inlineStr">
        <is>
          <t>Stock Sécurité</t>
        </is>
      </c>
      <c r="K2" s="7" t="inlineStr">
        <is>
          <t>Unité</t>
        </is>
      </c>
    </row>
    <row r="3">
      <c r="A3" s="9" t="inlineStr">
        <is>
          <t>P001</t>
        </is>
      </c>
      <c r="B3" s="8" t="inlineStr">
        <is>
          <t>Tomates</t>
        </is>
      </c>
      <c r="C3" s="8" t="inlineStr">
        <is>
          <t>Tomates fraîches</t>
        </is>
      </c>
      <c r="D3" s="8" t="inlineStr">
        <is>
          <t>Légumes</t>
        </is>
      </c>
      <c r="E3" s="8" t="inlineStr">
        <is>
          <t>Frais</t>
        </is>
      </c>
      <c r="F3" s="9" t="n">
        <v>2.5</v>
      </c>
      <c r="G3" s="9" t="n">
        <v>50</v>
      </c>
      <c r="H3" s="8">
        <f>IF(G2=0,"⚠️ RUPTURE",IF(G2&lt;D2,"⚠️ CRITIQUE",IF(G2&lt;E2,"⚡ ATTENTION","✓ OK")))</f>
        <v/>
      </c>
      <c r="I3" s="9" t="n">
        <v>20</v>
      </c>
      <c r="J3" s="9" t="n">
        <v>10</v>
      </c>
      <c r="K3" s="8" t="inlineStr">
        <is>
          <t>kg</t>
        </is>
      </c>
    </row>
    <row r="4">
      <c r="A4" s="9" t="inlineStr">
        <is>
          <t>P002</t>
        </is>
      </c>
      <c r="B4" s="8" t="inlineStr">
        <is>
          <t>Boeuf Haché</t>
        </is>
      </c>
      <c r="C4" s="8" t="inlineStr">
        <is>
          <t>Qualité premium</t>
        </is>
      </c>
      <c r="D4" s="8" t="inlineStr">
        <is>
          <t>Viandes</t>
        </is>
      </c>
      <c r="E4" s="8" t="inlineStr">
        <is>
          <t>Frais</t>
        </is>
      </c>
      <c r="F4" s="9" t="n">
        <v>12</v>
      </c>
      <c r="G4" s="9" t="n">
        <v>15</v>
      </c>
      <c r="H4" s="8">
        <f>IF(G2=0,"⚠️ RUPTURE",IF(G2&lt;D2,"⚠️ CRITIQUE",IF(G2&lt;E2,"⚡ ATTENTION","✓ OK")))</f>
        <v/>
      </c>
      <c r="I4" s="9" t="n">
        <v>10</v>
      </c>
      <c r="J4" s="9" t="n">
        <v>5</v>
      </c>
      <c r="K4" s="8" t="inlineStr">
        <is>
          <t>kg</t>
        </is>
      </c>
    </row>
    <row r="5">
      <c r="A5" s="9" t="inlineStr">
        <is>
          <t>P003</t>
        </is>
      </c>
      <c r="B5" s="8" t="inlineStr">
        <is>
          <t>Riz Basmati</t>
        </is>
      </c>
      <c r="C5" s="8" t="inlineStr">
        <is>
          <t>Riz parfumé</t>
        </is>
      </c>
      <c r="D5" s="8" t="inlineStr">
        <is>
          <t>Épicerie</t>
        </is>
      </c>
      <c r="E5" s="8" t="inlineStr">
        <is>
          <t>Sec</t>
        </is>
      </c>
      <c r="F5" s="9" t="n">
        <v>3.2</v>
      </c>
      <c r="G5" s="9" t="n">
        <v>100</v>
      </c>
      <c r="H5" s="8">
        <f>IF(G2=0,"⚠️ RUPTURE",IF(G2&lt;D2,"⚠️ CRITIQUE",IF(G2&lt;E2,"⚡ ATTENTION","✓ OK")))</f>
        <v/>
      </c>
      <c r="I5" s="9" t="n">
        <v>30</v>
      </c>
      <c r="J5" s="9" t="n">
        <v>15</v>
      </c>
      <c r="K5" s="8" t="inlineStr">
        <is>
          <t>kg</t>
        </is>
      </c>
    </row>
    <row r="6">
      <c r="A6" s="9" t="inlineStr">
        <is>
          <t>P004</t>
        </is>
      </c>
      <c r="B6" s="8" t="inlineStr">
        <is>
          <t>Huile Olive</t>
        </is>
      </c>
      <c r="C6" s="8" t="inlineStr">
        <is>
          <t>Extra vierge</t>
        </is>
      </c>
      <c r="D6" s="8" t="inlineStr">
        <is>
          <t>Épicerie</t>
        </is>
      </c>
      <c r="E6" s="8" t="inlineStr">
        <is>
          <t>Sec</t>
        </is>
      </c>
      <c r="F6" s="9" t="n">
        <v>8.5</v>
      </c>
      <c r="G6" s="9" t="n">
        <v>20</v>
      </c>
      <c r="H6" s="8">
        <f>IF(G2=0,"⚠️ RUPTURE",IF(G2&lt;D2,"⚠️ CRITIQUE",IF(G2&lt;E2,"⚡ ATTENTION","✓ OK")))</f>
        <v/>
      </c>
      <c r="I6" s="9" t="n">
        <v>10</v>
      </c>
      <c r="J6" s="9" t="n">
        <v>5</v>
      </c>
      <c r="K6" s="8" t="inlineStr">
        <is>
          <t>L</t>
        </is>
      </c>
    </row>
    <row r="7">
      <c r="A7" s="9" t="inlineStr">
        <is>
          <t>P005</t>
        </is>
      </c>
      <c r="B7" s="8" t="inlineStr">
        <is>
          <t>Saumon</t>
        </is>
      </c>
      <c r="C7" s="8" t="inlineStr">
        <is>
          <t>Frais Atlantic</t>
        </is>
      </c>
      <c r="D7" s="8" t="inlineStr">
        <is>
          <t>Poissons</t>
        </is>
      </c>
      <c r="E7" s="8" t="inlineStr">
        <is>
          <t>Frais</t>
        </is>
      </c>
      <c r="F7" s="9" t="n">
        <v>18</v>
      </c>
      <c r="G7" s="9" t="n">
        <v>8</v>
      </c>
      <c r="H7" s="8">
        <f>IF(G2=0,"⚠️ RUPTURE",IF(G2&lt;D2,"⚠️ CRITIQUE",IF(G2&lt;E2,"⚡ ATTENTION","✓ OK")))</f>
        <v/>
      </c>
      <c r="I7" s="9" t="n">
        <v>10</v>
      </c>
      <c r="J7" s="9" t="n">
        <v>5</v>
      </c>
      <c r="K7" s="8" t="inlineStr">
        <is>
          <t>kg</t>
        </is>
      </c>
    </row>
  </sheetData>
  <mergeCells count="1">
    <mergeCell ref="A1:K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2" customWidth="1" min="1" max="1"/>
    <col width="20" customWidth="1" min="2" max="2"/>
    <col width="15" customWidth="1" min="3" max="3"/>
    <col width="20" customWidth="1" min="4" max="4"/>
    <col width="30" customWidth="1" min="5" max="5"/>
  </cols>
  <sheetData>
    <row r="1">
      <c r="A1" s="24" t="inlineStr">
        <is>
          <t>🏷️ GESTION DES CATÉGORIES ET SOUS-CATÉGORIES</t>
        </is>
      </c>
    </row>
    <row r="2">
      <c r="A2" s="7" t="inlineStr">
        <is>
          <t>ID Catégorie</t>
        </is>
      </c>
      <c r="B2" s="7" t="inlineStr">
        <is>
          <t>Nom Catégorie</t>
        </is>
      </c>
      <c r="C2" s="7" t="inlineStr">
        <is>
          <t>ID Sous-Catégorie</t>
        </is>
      </c>
      <c r="D2" s="7" t="inlineStr">
        <is>
          <t>Nom Sous-Catégorie</t>
        </is>
      </c>
      <c r="E2" s="7" t="inlineStr">
        <is>
          <t>Description</t>
        </is>
      </c>
    </row>
    <row r="3">
      <c r="A3" s="9" t="inlineStr">
        <is>
          <t>CAT01</t>
        </is>
      </c>
      <c r="B3" s="9" t="inlineStr">
        <is>
          <t>Légumes</t>
        </is>
      </c>
      <c r="C3" s="9" t="inlineStr">
        <is>
          <t>SC01</t>
        </is>
      </c>
      <c r="D3" s="8" t="inlineStr">
        <is>
          <t>Frais</t>
        </is>
      </c>
      <c r="E3" s="8" t="inlineStr">
        <is>
          <t>Légumes frais de saison</t>
        </is>
      </c>
    </row>
    <row r="4">
      <c r="A4" s="9" t="inlineStr">
        <is>
          <t>CAT01</t>
        </is>
      </c>
      <c r="B4" s="9" t="inlineStr">
        <is>
          <t>Légumes</t>
        </is>
      </c>
      <c r="C4" s="9" t="inlineStr">
        <is>
          <t>SC02</t>
        </is>
      </c>
      <c r="D4" s="8" t="inlineStr">
        <is>
          <t>Surgelés</t>
        </is>
      </c>
      <c r="E4" s="8" t="inlineStr">
        <is>
          <t>Légumes surgelés</t>
        </is>
      </c>
    </row>
    <row r="5">
      <c r="A5" s="9" t="inlineStr">
        <is>
          <t>CAT02</t>
        </is>
      </c>
      <c r="B5" s="9" t="inlineStr">
        <is>
          <t>Viandes</t>
        </is>
      </c>
      <c r="C5" s="9" t="inlineStr">
        <is>
          <t>SC03</t>
        </is>
      </c>
      <c r="D5" s="8" t="inlineStr">
        <is>
          <t>Frais</t>
        </is>
      </c>
      <c r="E5" s="8" t="inlineStr">
        <is>
          <t>Viandes fraîches</t>
        </is>
      </c>
    </row>
    <row r="6">
      <c r="A6" s="9" t="inlineStr">
        <is>
          <t>CAT02</t>
        </is>
      </c>
      <c r="B6" s="9" t="inlineStr">
        <is>
          <t>Viandes</t>
        </is>
      </c>
      <c r="C6" s="9" t="inlineStr">
        <is>
          <t>SC04</t>
        </is>
      </c>
      <c r="D6" s="8" t="inlineStr">
        <is>
          <t>Charcuterie</t>
        </is>
      </c>
      <c r="E6" s="8" t="inlineStr">
        <is>
          <t>Produits de charcuterie</t>
        </is>
      </c>
    </row>
    <row r="7">
      <c r="A7" s="9" t="inlineStr">
        <is>
          <t>CAT03</t>
        </is>
      </c>
      <c r="B7" s="9" t="inlineStr">
        <is>
          <t>Poissons</t>
        </is>
      </c>
      <c r="C7" s="9" t="inlineStr">
        <is>
          <t>SC05</t>
        </is>
      </c>
      <c r="D7" s="8" t="inlineStr">
        <is>
          <t>Frais</t>
        </is>
      </c>
      <c r="E7" s="8" t="inlineStr">
        <is>
          <t>Poissons et fruits de mer frais</t>
        </is>
      </c>
    </row>
    <row r="8">
      <c r="A8" s="9" t="inlineStr">
        <is>
          <t>CAT04</t>
        </is>
      </c>
      <c r="B8" s="9" t="inlineStr">
        <is>
          <t>Épicerie</t>
        </is>
      </c>
      <c r="C8" s="9" t="inlineStr">
        <is>
          <t>SC06</t>
        </is>
      </c>
      <c r="D8" s="8" t="inlineStr">
        <is>
          <t>Sec</t>
        </is>
      </c>
      <c r="E8" s="8" t="inlineStr">
        <is>
          <t>Produits secs</t>
        </is>
      </c>
    </row>
    <row r="9">
      <c r="A9" s="9" t="inlineStr">
        <is>
          <t>CAT04</t>
        </is>
      </c>
      <c r="B9" s="9" t="inlineStr">
        <is>
          <t>Épicerie</t>
        </is>
      </c>
      <c r="C9" s="9" t="inlineStr">
        <is>
          <t>SC07</t>
        </is>
      </c>
      <c r="D9" s="8" t="inlineStr">
        <is>
          <t>Conserves</t>
        </is>
      </c>
      <c r="E9" s="8" t="inlineStr">
        <is>
          <t>Produits en conserve</t>
        </is>
      </c>
    </row>
    <row r="10">
      <c r="A10" s="9" t="inlineStr">
        <is>
          <t>CAT05</t>
        </is>
      </c>
      <c r="B10" s="9" t="inlineStr">
        <is>
          <t>Boissons</t>
        </is>
      </c>
      <c r="C10" s="9" t="inlineStr">
        <is>
          <t>SC08</t>
        </is>
      </c>
      <c r="D10" s="8" t="inlineStr">
        <is>
          <t>Sans alcool</t>
        </is>
      </c>
      <c r="E10" s="8" t="inlineStr">
        <is>
          <t>Boissons non alcoolisées</t>
        </is>
      </c>
    </row>
    <row r="11">
      <c r="A11" s="9" t="inlineStr">
        <is>
          <t>CAT05</t>
        </is>
      </c>
      <c r="B11" s="9" t="inlineStr">
        <is>
          <t>Boissons</t>
        </is>
      </c>
      <c r="C11" s="9" t="inlineStr">
        <is>
          <t>SC09</t>
        </is>
      </c>
      <c r="D11" s="8" t="inlineStr">
        <is>
          <t>Alcool</t>
        </is>
      </c>
      <c r="E11" s="8" t="inlineStr">
        <is>
          <t>Vins et spiritueux</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20" customWidth="1" min="5" max="5"/>
    <col width="10" customWidth="1" min="6" max="6"/>
    <col width="12" customWidth="1" min="7" max="7"/>
    <col width="12" customWidth="1" min="8" max="8"/>
    <col width="20" customWidth="1" min="9" max="9"/>
    <col width="25" customWidth="1" min="10" max="10"/>
  </cols>
  <sheetData>
    <row r="1">
      <c r="A1" s="24" t="inlineStr">
        <is>
          <t>📈 GESTION DES MOUVEMENTS DE STOCK</t>
        </is>
      </c>
    </row>
    <row r="2">
      <c r="A2" s="7" t="inlineStr">
        <is>
          <t>Date</t>
        </is>
      </c>
      <c r="B2" s="7" t="inlineStr">
        <is>
          <t>ID Mouvement</t>
        </is>
      </c>
      <c r="C2" s="7" t="inlineStr">
        <is>
          <t>Type</t>
        </is>
      </c>
      <c r="D2" s="7" t="inlineStr">
        <is>
          <t>ID Produit</t>
        </is>
      </c>
      <c r="E2" s="7" t="inlineStr">
        <is>
          <t>Nom Produit</t>
        </is>
      </c>
      <c r="F2" s="7" t="inlineStr">
        <is>
          <t>Quantité</t>
        </is>
      </c>
      <c r="G2" s="7" t="inlineStr">
        <is>
          <t>Prix Unitaire</t>
        </is>
      </c>
      <c r="H2" s="7" t="inlineStr">
        <is>
          <t>Total</t>
        </is>
      </c>
      <c r="I2" s="7" t="inlineStr">
        <is>
          <t>Fournisseur/Client</t>
        </is>
      </c>
      <c r="J2" s="7" t="inlineStr">
        <is>
          <t>Commentaire</t>
        </is>
      </c>
    </row>
    <row r="3">
      <c r="A3" s="9" t="inlineStr">
        <is>
          <t>01/01/2024</t>
        </is>
      </c>
      <c r="B3" s="9" t="inlineStr">
        <is>
          <t>MVT001</t>
        </is>
      </c>
      <c r="C3" s="9" t="inlineStr">
        <is>
          <t>Entrée</t>
        </is>
      </c>
      <c r="D3" s="9" t="inlineStr">
        <is>
          <t>P001</t>
        </is>
      </c>
      <c r="E3" s="8" t="inlineStr">
        <is>
          <t>Tomates</t>
        </is>
      </c>
      <c r="F3" s="9" t="n">
        <v>100</v>
      </c>
      <c r="G3" s="9" t="n">
        <v>2.5</v>
      </c>
      <c r="H3" s="25">
        <f>F3*G3</f>
        <v/>
      </c>
      <c r="I3" s="8" t="inlineStr">
        <is>
          <t>Fournisseur A</t>
        </is>
      </c>
      <c r="J3" s="8" t="inlineStr">
        <is>
          <t>Livraison hebdo</t>
        </is>
      </c>
    </row>
    <row r="4">
      <c r="A4" s="9" t="inlineStr">
        <is>
          <t>02/01/2024</t>
        </is>
      </c>
      <c r="B4" s="9" t="inlineStr">
        <is>
          <t>MVT002</t>
        </is>
      </c>
      <c r="C4" s="9" t="inlineStr">
        <is>
          <t>Sortie</t>
        </is>
      </c>
      <c r="D4" s="9" t="inlineStr">
        <is>
          <t>P001</t>
        </is>
      </c>
      <c r="E4" s="8" t="inlineStr">
        <is>
          <t>Tomates</t>
        </is>
      </c>
      <c r="F4" s="9" t="n">
        <v>-30</v>
      </c>
      <c r="G4" s="9" t="n">
        <v>2.5</v>
      </c>
      <c r="H4" s="25" t="n">
        <v>-75</v>
      </c>
      <c r="I4" s="8" t="inlineStr">
        <is>
          <t>Cuisine</t>
        </is>
      </c>
      <c r="J4" s="8" t="inlineStr">
        <is>
          <t>Consommation</t>
        </is>
      </c>
    </row>
    <row r="5">
      <c r="A5" s="9" t="inlineStr">
        <is>
          <t>03/01/2024</t>
        </is>
      </c>
      <c r="B5" s="9" t="inlineStr">
        <is>
          <t>MVT003</t>
        </is>
      </c>
      <c r="C5" s="9" t="inlineStr">
        <is>
          <t>Entrée</t>
        </is>
      </c>
      <c r="D5" s="9" t="inlineStr">
        <is>
          <t>P002</t>
        </is>
      </c>
      <c r="E5" s="8" t="inlineStr">
        <is>
          <t>Boeuf Haché</t>
        </is>
      </c>
      <c r="F5" s="9" t="n">
        <v>50</v>
      </c>
      <c r="G5" s="9" t="n">
        <v>12</v>
      </c>
      <c r="H5" s="25" t="n">
        <v>600</v>
      </c>
      <c r="I5" s="8" t="inlineStr">
        <is>
          <t>Fournisseur B</t>
        </is>
      </c>
      <c r="J5" s="8" t="inlineStr">
        <is>
          <t>Livraison fraîche</t>
        </is>
      </c>
    </row>
    <row r="6">
      <c r="A6" s="9" t="inlineStr">
        <is>
          <t>04/01/2024</t>
        </is>
      </c>
      <c r="B6" s="9" t="inlineStr">
        <is>
          <t>MVT004</t>
        </is>
      </c>
      <c r="C6" s="9" t="inlineStr">
        <is>
          <t>Sortie</t>
        </is>
      </c>
      <c r="D6" s="9" t="inlineStr">
        <is>
          <t>P002</t>
        </is>
      </c>
      <c r="E6" s="8" t="inlineStr">
        <is>
          <t>Boeuf Haché</t>
        </is>
      </c>
      <c r="F6" s="9" t="n">
        <v>-20</v>
      </c>
      <c r="G6" s="9" t="n">
        <v>12</v>
      </c>
      <c r="H6" s="25" t="n">
        <v>-240</v>
      </c>
      <c r="I6" s="8" t="inlineStr">
        <is>
          <t>Cuisine</t>
        </is>
      </c>
      <c r="J6" s="8" t="inlineStr">
        <is>
          <t>Consommation</t>
        </is>
      </c>
    </row>
    <row r="7">
      <c r="A7" s="9" t="inlineStr">
        <is>
          <t>05/01/2024</t>
        </is>
      </c>
      <c r="B7" s="9" t="inlineStr">
        <is>
          <t>MVT005</t>
        </is>
      </c>
      <c r="C7" s="9" t="inlineStr">
        <is>
          <t>Ajustement</t>
        </is>
      </c>
      <c r="D7" s="9" t="inlineStr">
        <is>
          <t>P003</t>
        </is>
      </c>
      <c r="E7" s="8" t="inlineStr">
        <is>
          <t>Riz Basmati</t>
        </is>
      </c>
      <c r="F7" s="9" t="n">
        <v>-5</v>
      </c>
      <c r="G7" s="9" t="n">
        <v>3.2</v>
      </c>
      <c r="H7" s="25" t="n">
        <v>-16</v>
      </c>
      <c r="I7" s="8" t="inlineStr">
        <is>
          <t>Inventaire</t>
        </is>
      </c>
      <c r="J7" s="8" t="inlineStr">
        <is>
          <t>Perte constatée</t>
        </is>
      </c>
    </row>
  </sheetData>
  <mergeCells count="1">
    <mergeCell ref="A1:I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0" customWidth="1" min="1" max="1"/>
    <col width="25" customWidth="1" min="2" max="2"/>
    <col width="20" customWidth="1" min="3" max="3"/>
    <col width="12" customWidth="1" min="4" max="4"/>
    <col width="12" customWidth="1" min="5" max="5"/>
    <col width="12" customWidth="1" min="6" max="6"/>
    <col width="12" customWidth="1" min="7" max="7"/>
    <col width="10" customWidth="1" min="8" max="8"/>
    <col width="12" customWidth="1" min="9" max="9"/>
    <col width="10" customWidth="1" min="10" max="10"/>
  </cols>
  <sheetData>
    <row r="1">
      <c r="A1" s="24" t="inlineStr">
        <is>
          <t>📖 GESTION DES RECETTES ET COÛTS MATIÈRES</t>
        </is>
      </c>
    </row>
    <row r="2">
      <c r="A2" s="7" t="inlineStr">
        <is>
          <t>ID Recette</t>
        </is>
      </c>
      <c r="B2" s="7" t="inlineStr">
        <is>
          <t>Nom Plat</t>
        </is>
      </c>
      <c r="C2" s="7" t="inlineStr">
        <is>
          <t>Catégorie</t>
        </is>
      </c>
      <c r="D2" s="7" t="inlineStr">
        <is>
          <t>Prix Vente</t>
        </is>
      </c>
      <c r="E2" s="7" t="inlineStr">
        <is>
          <t>Coût Matière</t>
        </is>
      </c>
      <c r="F2" s="7" t="inlineStr">
        <is>
          <t>Marge Brute</t>
        </is>
      </c>
      <c r="G2" s="7" t="inlineStr">
        <is>
          <t>Taux Marge</t>
        </is>
      </c>
      <c r="H2" s="7" t="inlineStr">
        <is>
          <t>Portions</t>
        </is>
      </c>
      <c r="I2" s="7" t="inlineStr">
        <is>
          <t>Temps Prep</t>
        </is>
      </c>
      <c r="J2" s="7" t="inlineStr">
        <is>
          <t>Statut</t>
        </is>
      </c>
    </row>
    <row r="3">
      <c r="A3" s="9" t="inlineStr">
        <is>
          <t>R001</t>
        </is>
      </c>
      <c r="B3" s="8" t="inlineStr">
        <is>
          <t>Burger Maison</t>
        </is>
      </c>
      <c r="C3" s="8" t="inlineStr">
        <is>
          <t>Plats Principaux</t>
        </is>
      </c>
      <c r="D3" s="25" t="n">
        <v>15</v>
      </c>
      <c r="E3" s="25">
        <f>SUMIF(INGREDIENTS!A:A,A3,INGREDIENTS!F:F)</f>
        <v/>
      </c>
      <c r="F3" s="25">
        <f>D3-E3</f>
        <v/>
      </c>
      <c r="G3" s="26">
        <f>IFERROR(F3/D3*100,0)</f>
        <v/>
      </c>
      <c r="H3" s="9" t="n">
        <v>1</v>
      </c>
      <c r="I3" s="9" t="inlineStr">
        <is>
          <t>20 min</t>
        </is>
      </c>
      <c r="J3" s="8" t="inlineStr">
        <is>
          <t>Actif</t>
        </is>
      </c>
    </row>
    <row r="4">
      <c r="A4" s="9" t="inlineStr">
        <is>
          <t>R002</t>
        </is>
      </c>
      <c r="B4" s="8" t="inlineStr">
        <is>
          <t>Salade César</t>
        </is>
      </c>
      <c r="C4" s="8" t="inlineStr">
        <is>
          <t>Entrées</t>
        </is>
      </c>
      <c r="D4" s="25" t="n">
        <v>12</v>
      </c>
      <c r="E4" s="25">
        <f>SUMIF(INGREDIENTS!A:A,A3,INGREDIENTS!F:F)</f>
        <v/>
      </c>
      <c r="F4" s="25">
        <f>D3-E3</f>
        <v/>
      </c>
      <c r="G4" s="26">
        <f>IFERROR(F3/D3*100,0)</f>
        <v/>
      </c>
      <c r="H4" s="9" t="n">
        <v>1</v>
      </c>
      <c r="I4" s="9" t="inlineStr">
        <is>
          <t>10 min</t>
        </is>
      </c>
      <c r="J4" s="8" t="inlineStr">
        <is>
          <t>Actif</t>
        </is>
      </c>
    </row>
    <row r="5">
      <c r="A5" s="9" t="inlineStr">
        <is>
          <t>R003</t>
        </is>
      </c>
      <c r="B5" s="8" t="inlineStr">
        <is>
          <t>Saumon Grillé</t>
        </is>
      </c>
      <c r="C5" s="8" t="inlineStr">
        <is>
          <t>Plats Principaux</t>
        </is>
      </c>
      <c r="D5" s="25" t="n">
        <v>22</v>
      </c>
      <c r="E5" s="25">
        <f>SUMIF(INGREDIENTS!A:A,A3,INGREDIENTS!F:F)</f>
        <v/>
      </c>
      <c r="F5" s="25">
        <f>D3-E3</f>
        <v/>
      </c>
      <c r="G5" s="26">
        <f>IFERROR(F3/D3*100,0)</f>
        <v/>
      </c>
      <c r="H5" s="9" t="n">
        <v>1</v>
      </c>
      <c r="I5" s="9" t="inlineStr">
        <is>
          <t>25 min</t>
        </is>
      </c>
      <c r="J5" s="8" t="inlineStr">
        <is>
          <t>Actif</t>
        </is>
      </c>
    </row>
    <row r="6">
      <c r="A6" s="9" t="inlineStr">
        <is>
          <t>R004</t>
        </is>
      </c>
      <c r="B6" s="8" t="inlineStr">
        <is>
          <t>Tiramisu</t>
        </is>
      </c>
      <c r="C6" s="8" t="inlineStr">
        <is>
          <t>Desserts</t>
        </is>
      </c>
      <c r="D6" s="25" t="n">
        <v>8</v>
      </c>
      <c r="E6" s="25">
        <f>SUMIF(INGREDIENTS!A:A,A3,INGREDIENTS!F:F)</f>
        <v/>
      </c>
      <c r="F6" s="25">
        <f>D3-E3</f>
        <v/>
      </c>
      <c r="G6" s="26">
        <f>IFERROR(F3/D3*100,0)</f>
        <v/>
      </c>
      <c r="H6" s="9" t="n">
        <v>1</v>
      </c>
      <c r="I6" s="9" t="inlineStr">
        <is>
          <t>30 min</t>
        </is>
      </c>
      <c r="J6" s="8" t="inlineStr">
        <is>
          <t>Actif</t>
        </is>
      </c>
    </row>
    <row r="7">
      <c r="A7" s="9" t="inlineStr">
        <is>
          <t>R005</t>
        </is>
      </c>
      <c r="B7" s="8" t="inlineStr">
        <is>
          <t>Soupe du Jour</t>
        </is>
      </c>
      <c r="C7" s="8" t="inlineStr">
        <is>
          <t>Entrées</t>
        </is>
      </c>
      <c r="D7" s="25" t="n">
        <v>9</v>
      </c>
      <c r="E7" s="25">
        <f>SUMIF(INGREDIENTS!A:A,A3,INGREDIENTS!F:F)</f>
        <v/>
      </c>
      <c r="F7" s="25">
        <f>D3-E3</f>
        <v/>
      </c>
      <c r="G7" s="26">
        <f>IFERROR(F3/D3*100,0)</f>
        <v/>
      </c>
      <c r="H7" s="9" t="n">
        <v>1</v>
      </c>
      <c r="I7" s="9" t="inlineStr">
        <is>
          <t>45 min</t>
        </is>
      </c>
      <c r="J7" s="8" t="inlineStr">
        <is>
          <t>Actif</t>
        </is>
      </c>
    </row>
  </sheetData>
  <mergeCells count="1">
    <mergeCell ref="A1:J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min="1" max="1"/>
    <col width="20" customWidth="1" min="2" max="2"/>
    <col width="12" customWidth="1" min="3" max="3"/>
    <col width="20" customWidth="1" min="4" max="4"/>
    <col width="10" customWidth="1" min="5" max="5"/>
    <col width="10" customWidth="1" min="6" max="6"/>
    <col width="12" customWidth="1" min="7" max="7"/>
    <col width="12" customWidth="1" min="8" max="8"/>
  </cols>
  <sheetData>
    <row r="1">
      <c r="A1" s="24" t="inlineStr">
        <is>
          <t>🛒 DÉTAIL DES INGRÉDIENTS PAR RECETTE</t>
        </is>
      </c>
    </row>
    <row r="2">
      <c r="A2" s="7" t="inlineStr">
        <is>
          <t>ID Recette</t>
        </is>
      </c>
      <c r="B2" s="7" t="inlineStr">
        <is>
          <t>Nom Plat</t>
        </is>
      </c>
      <c r="C2" s="7" t="inlineStr">
        <is>
          <t>ID Ingrédient</t>
        </is>
      </c>
      <c r="D2" s="7" t="inlineStr">
        <is>
          <t>Nom Ingrédient</t>
        </is>
      </c>
      <c r="E2" s="7" t="inlineStr">
        <is>
          <t>Quantité</t>
        </is>
      </c>
      <c r="F2" s="7" t="inlineStr">
        <is>
          <t>Unité</t>
        </is>
      </c>
      <c r="G2" s="7" t="inlineStr">
        <is>
          <t>Coût Unitaire</t>
        </is>
      </c>
      <c r="H2" s="7" t="inlineStr">
        <is>
          <t>Coût Total</t>
        </is>
      </c>
    </row>
    <row r="3">
      <c r="A3" s="9" t="inlineStr">
        <is>
          <t>R001</t>
        </is>
      </c>
      <c r="B3" s="8" t="inlineStr">
        <is>
          <t>Burger Maison</t>
        </is>
      </c>
      <c r="C3" s="9" t="inlineStr">
        <is>
          <t>P002</t>
        </is>
      </c>
      <c r="D3" s="8" t="inlineStr">
        <is>
          <t>Boeuf Haché</t>
        </is>
      </c>
      <c r="E3" s="9" t="n">
        <v>200</v>
      </c>
      <c r="F3" s="9" t="inlineStr">
        <is>
          <t>g</t>
        </is>
      </c>
      <c r="G3" s="25" t="n">
        <v>0.012</v>
      </c>
      <c r="H3" s="25">
        <f>E3*G3</f>
        <v/>
      </c>
    </row>
    <row r="4">
      <c r="A4" s="9" t="inlineStr">
        <is>
          <t>R001</t>
        </is>
      </c>
      <c r="B4" s="8" t="inlineStr">
        <is>
          <t>Burger Maison</t>
        </is>
      </c>
      <c r="C4" s="9" t="inlineStr">
        <is>
          <t>P010</t>
        </is>
      </c>
      <c r="D4" s="8" t="inlineStr">
        <is>
          <t>Pain Burger</t>
        </is>
      </c>
      <c r="E4" s="9" t="n">
        <v>1</v>
      </c>
      <c r="F4" s="9" t="inlineStr">
        <is>
          <t>unité</t>
        </is>
      </c>
      <c r="G4" s="25" t="n">
        <v>0.5</v>
      </c>
      <c r="H4" s="25">
        <f>E3*G3</f>
        <v/>
      </c>
    </row>
    <row r="5">
      <c r="A5" s="9" t="inlineStr">
        <is>
          <t>R001</t>
        </is>
      </c>
      <c r="B5" s="8" t="inlineStr">
        <is>
          <t>Burger Maison</t>
        </is>
      </c>
      <c r="C5" s="9" t="inlineStr">
        <is>
          <t>P011</t>
        </is>
      </c>
      <c r="D5" s="8" t="inlineStr">
        <is>
          <t>Fromage</t>
        </is>
      </c>
      <c r="E5" s="9" t="n">
        <v>50</v>
      </c>
      <c r="F5" s="9" t="inlineStr">
        <is>
          <t>g</t>
        </is>
      </c>
      <c r="G5" s="25" t="n">
        <v>0.02</v>
      </c>
      <c r="H5" s="25">
        <f>E3*G3</f>
        <v/>
      </c>
    </row>
    <row r="6">
      <c r="A6" s="9" t="inlineStr">
        <is>
          <t>R002</t>
        </is>
      </c>
      <c r="B6" s="8" t="inlineStr">
        <is>
          <t>Salade César</t>
        </is>
      </c>
      <c r="C6" s="9" t="inlineStr">
        <is>
          <t>P012</t>
        </is>
      </c>
      <c r="D6" s="8" t="inlineStr">
        <is>
          <t>Laitue</t>
        </is>
      </c>
      <c r="E6" s="9" t="n">
        <v>150</v>
      </c>
      <c r="F6" s="9" t="inlineStr">
        <is>
          <t>g</t>
        </is>
      </c>
      <c r="G6" s="25" t="n">
        <v>0.008</v>
      </c>
      <c r="H6" s="25">
        <f>E3*G3</f>
        <v/>
      </c>
    </row>
    <row r="7">
      <c r="A7" s="9" t="inlineStr">
        <is>
          <t>R002</t>
        </is>
      </c>
      <c r="B7" s="8" t="inlineStr">
        <is>
          <t>Salade César</t>
        </is>
      </c>
      <c r="C7" s="9" t="inlineStr">
        <is>
          <t>P013</t>
        </is>
      </c>
      <c r="D7" s="8" t="inlineStr">
        <is>
          <t>Parmesan</t>
        </is>
      </c>
      <c r="E7" s="9" t="n">
        <v>30</v>
      </c>
      <c r="F7" s="9" t="inlineStr">
        <is>
          <t>g</t>
        </is>
      </c>
      <c r="G7" s="25" t="n">
        <v>0.03</v>
      </c>
      <c r="H7" s="25">
        <f>E3*G3</f>
        <v/>
      </c>
    </row>
    <row r="8">
      <c r="A8" s="9" t="inlineStr">
        <is>
          <t>R003</t>
        </is>
      </c>
      <c r="B8" s="8" t="inlineStr">
        <is>
          <t>Saumon Grillé</t>
        </is>
      </c>
      <c r="C8" s="9" t="inlineStr">
        <is>
          <t>P005</t>
        </is>
      </c>
      <c r="D8" s="8" t="inlineStr">
        <is>
          <t>Saumon</t>
        </is>
      </c>
      <c r="E8" s="9" t="n">
        <v>250</v>
      </c>
      <c r="F8" s="9" t="inlineStr">
        <is>
          <t>g</t>
        </is>
      </c>
      <c r="G8" s="25" t="n">
        <v>0.018</v>
      </c>
      <c r="H8" s="25">
        <f>E3*G3</f>
        <v/>
      </c>
    </row>
    <row r="9">
      <c r="A9" s="9" t="inlineStr">
        <is>
          <t>R003</t>
        </is>
      </c>
      <c r="B9" s="8" t="inlineStr">
        <is>
          <t>Saumon Grillé</t>
        </is>
      </c>
      <c r="C9" s="9" t="inlineStr">
        <is>
          <t>P004</t>
        </is>
      </c>
      <c r="D9" s="8" t="inlineStr">
        <is>
          <t>Huile Olive</t>
        </is>
      </c>
      <c r="E9" s="9" t="n">
        <v>20</v>
      </c>
      <c r="F9" s="9" t="inlineStr">
        <is>
          <t>ml</t>
        </is>
      </c>
      <c r="G9" s="25" t="n">
        <v>0.008500000000000001</v>
      </c>
      <c r="H9" s="25">
        <f>E3*G3</f>
        <v/>
      </c>
    </row>
  </sheetData>
  <mergeCells count="1">
    <mergeCell ref="A1:H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2" customWidth="1" min="1" max="1"/>
    <col width="10" customWidth="1" min="2" max="2"/>
    <col width="12" customWidth="1" min="3" max="3"/>
    <col width="8" customWidth="1" min="4" max="4"/>
    <col width="10" customWidth="1" min="5" max="5"/>
    <col width="20" customWidth="1" min="6" max="6"/>
    <col width="12" customWidth="1" min="7" max="7"/>
    <col width="12" customWidth="1" min="8" max="8"/>
    <col width="12" customWidth="1" min="9" max="9"/>
    <col width="10" customWidth="1" min="10" max="10"/>
    <col width="12" customWidth="1" min="11" max="11"/>
    <col width="10" customWidth="1" min="12" max="12"/>
  </cols>
  <sheetData>
    <row r="1">
      <c r="A1" s="24" t="inlineStr">
        <is>
          <t>💰 GESTION DES VENTES ET CHIFFRE D'AFFAIRES</t>
        </is>
      </c>
    </row>
    <row r="2">
      <c r="A2" s="7" t="inlineStr">
        <is>
          <t>Date</t>
        </is>
      </c>
      <c r="B2" s="7" t="inlineStr">
        <is>
          <t>ID Vente</t>
        </is>
      </c>
      <c r="C2" s="7" t="inlineStr">
        <is>
          <t>Serveur</t>
        </is>
      </c>
      <c r="D2" s="7" t="inlineStr">
        <is>
          <t>Table</t>
        </is>
      </c>
      <c r="E2" s="7" t="inlineStr">
        <is>
          <t>ID Recette</t>
        </is>
      </c>
      <c r="F2" s="7" t="inlineStr">
        <is>
          <t>Nom Plat</t>
        </is>
      </c>
      <c r="G2" s="7" t="inlineStr">
        <is>
          <t>Prix Vente</t>
        </is>
      </c>
      <c r="H2" s="7" t="inlineStr">
        <is>
          <t>Coût Matière</t>
        </is>
      </c>
      <c r="I2" s="7" t="inlineStr">
        <is>
          <t>Marge</t>
        </is>
      </c>
      <c r="J2" s="7" t="inlineStr">
        <is>
          <t>Quantité</t>
        </is>
      </c>
      <c r="K2" s="7" t="inlineStr">
        <is>
          <t>Total HT</t>
        </is>
      </c>
      <c r="L2" s="7" t="inlineStr">
        <is>
          <t>Statut</t>
        </is>
      </c>
    </row>
    <row r="3">
      <c r="A3" s="9" t="inlineStr">
        <is>
          <t>01/01/2024</t>
        </is>
      </c>
      <c r="B3" s="9" t="inlineStr">
        <is>
          <t>V001</t>
        </is>
      </c>
      <c r="C3" s="8" t="inlineStr">
        <is>
          <t>Marie</t>
        </is>
      </c>
      <c r="D3" s="9" t="inlineStr">
        <is>
          <t>T05</t>
        </is>
      </c>
      <c r="E3" s="9" t="inlineStr">
        <is>
          <t>R001</t>
        </is>
      </c>
      <c r="F3" s="8" t="inlineStr">
        <is>
          <t>Burger Maison</t>
        </is>
      </c>
      <c r="G3" s="25" t="n">
        <v>15</v>
      </c>
      <c r="H3" s="25">
        <f>LOOKUP(E3,RECETTES!A:A,RECETTES!E:E)</f>
        <v/>
      </c>
      <c r="I3" s="25">
        <f>G3-H3</f>
        <v/>
      </c>
      <c r="J3" s="9" t="n">
        <v>2</v>
      </c>
      <c r="K3" s="25">
        <f>G3*J3</f>
        <v/>
      </c>
      <c r="L3" s="9" t="inlineStr">
        <is>
          <t>Payé</t>
        </is>
      </c>
    </row>
    <row r="4">
      <c r="A4" s="9" t="inlineStr">
        <is>
          <t>01/01/2024</t>
        </is>
      </c>
      <c r="B4" s="9" t="inlineStr">
        <is>
          <t>V002</t>
        </is>
      </c>
      <c r="C4" s="8" t="inlineStr">
        <is>
          <t>Pierre</t>
        </is>
      </c>
      <c r="D4" s="9" t="inlineStr">
        <is>
          <t>T03</t>
        </is>
      </c>
      <c r="E4" s="9" t="inlineStr">
        <is>
          <t>R002</t>
        </is>
      </c>
      <c r="F4" s="8" t="inlineStr">
        <is>
          <t>Salade César</t>
        </is>
      </c>
      <c r="G4" s="25" t="n">
        <v>12</v>
      </c>
      <c r="H4" s="25">
        <f>LOOKUP(E3,RECETTES!A:A,RECETTES!E:E)</f>
        <v/>
      </c>
      <c r="I4" s="25">
        <f>G3-H3</f>
        <v/>
      </c>
      <c r="J4" s="9" t="n">
        <v>1</v>
      </c>
      <c r="K4" s="25">
        <f>G3*J3</f>
        <v/>
      </c>
      <c r="L4" s="9" t="inlineStr">
        <is>
          <t>Payé</t>
        </is>
      </c>
    </row>
    <row r="5">
      <c r="A5" s="9" t="inlineStr">
        <is>
          <t>01/01/2024</t>
        </is>
      </c>
      <c r="B5" s="9" t="inlineStr">
        <is>
          <t>V003</t>
        </is>
      </c>
      <c r="C5" s="8" t="inlineStr">
        <is>
          <t>Marie</t>
        </is>
      </c>
      <c r="D5" s="9" t="inlineStr">
        <is>
          <t>T07</t>
        </is>
      </c>
      <c r="E5" s="9" t="inlineStr">
        <is>
          <t>R003</t>
        </is>
      </c>
      <c r="F5" s="8" t="inlineStr">
        <is>
          <t>Saumon Grillé</t>
        </is>
      </c>
      <c r="G5" s="25" t="n">
        <v>22</v>
      </c>
      <c r="H5" s="25">
        <f>LOOKUP(E3,RECETTES!A:A,RECETTES!E:E)</f>
        <v/>
      </c>
      <c r="I5" s="25">
        <f>G3-H3</f>
        <v/>
      </c>
      <c r="J5" s="9" t="n">
        <v>1</v>
      </c>
      <c r="K5" s="25">
        <f>G3*J3</f>
        <v/>
      </c>
      <c r="L5" s="9" t="inlineStr">
        <is>
          <t>Payé</t>
        </is>
      </c>
    </row>
    <row r="6">
      <c r="A6" s="9" t="inlineStr">
        <is>
          <t>02/01/2024</t>
        </is>
      </c>
      <c r="B6" s="9" t="inlineStr">
        <is>
          <t>V004</t>
        </is>
      </c>
      <c r="C6" s="8" t="inlineStr">
        <is>
          <t>Sophie</t>
        </is>
      </c>
      <c r="D6" s="9" t="inlineStr">
        <is>
          <t>T02</t>
        </is>
      </c>
      <c r="E6" s="9" t="inlineStr">
        <is>
          <t>R001</t>
        </is>
      </c>
      <c r="F6" s="8" t="inlineStr">
        <is>
          <t>Burger Maison</t>
        </is>
      </c>
      <c r="G6" s="25" t="n">
        <v>15</v>
      </c>
      <c r="H6" s="25">
        <f>LOOKUP(E3,RECETTES!A:A,RECETTES!E:E)</f>
        <v/>
      </c>
      <c r="I6" s="25">
        <f>G3-H3</f>
        <v/>
      </c>
      <c r="J6" s="9" t="n">
        <v>3</v>
      </c>
      <c r="K6" s="25">
        <f>G3*J3</f>
        <v/>
      </c>
      <c r="L6" s="9" t="inlineStr">
        <is>
          <t>Payé</t>
        </is>
      </c>
    </row>
    <row r="7">
      <c r="A7" s="9" t="inlineStr">
        <is>
          <t>02/01/2024</t>
        </is>
      </c>
      <c r="B7" s="9" t="inlineStr">
        <is>
          <t>V005</t>
        </is>
      </c>
      <c r="C7" s="8" t="inlineStr">
        <is>
          <t>Pierre</t>
        </is>
      </c>
      <c r="D7" s="9" t="inlineStr">
        <is>
          <t>T08</t>
        </is>
      </c>
      <c r="E7" s="9" t="inlineStr">
        <is>
          <t>R004</t>
        </is>
      </c>
      <c r="F7" s="8" t="inlineStr">
        <is>
          <t>Tiramisu</t>
        </is>
      </c>
      <c r="G7" s="25" t="n">
        <v>8</v>
      </c>
      <c r="H7" s="25">
        <f>LOOKUP(E3,RECETTES!A:A,RECETTES!E:E)</f>
        <v/>
      </c>
      <c r="I7" s="25">
        <f>G3-H3</f>
        <v/>
      </c>
      <c r="J7" s="9" t="n">
        <v>2</v>
      </c>
      <c r="K7" s="25">
        <f>G3*J3</f>
        <v/>
      </c>
      <c r="L7" s="9" t="inlineStr">
        <is>
          <t>Payé</t>
        </is>
      </c>
    </row>
  </sheetData>
  <mergeCells count="1">
    <mergeCell ref="A1:L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20" customWidth="1" min="2" max="2"/>
    <col width="20" customWidth="1" min="3" max="3"/>
    <col width="15" customWidth="1" min="4" max="4"/>
    <col width="25" customWidth="1" min="5" max="5"/>
    <col width="20" customWidth="1" min="6" max="6"/>
    <col width="12" customWidth="1" min="7" max="7"/>
    <col width="12" customWidth="1" min="8" max="8"/>
    <col width="12" customWidth="1" min="9" max="9"/>
    <col width="12" customWidth="1" min="10" max="10"/>
    <col width="12" customWidth="1" min="11" max="11"/>
  </cols>
  <sheetData>
    <row r="1">
      <c r="A1" s="24" t="inlineStr">
        <is>
          <t>🚚 GESTION DES FOURNISSEURS ET COMMANDES</t>
        </is>
      </c>
    </row>
    <row r="2">
      <c r="A2" s="7" t="inlineStr">
        <is>
          <t>ID Fourn.</t>
        </is>
      </c>
      <c r="B2" s="7" t="inlineStr">
        <is>
          <t>Nom Fournisseur</t>
        </is>
      </c>
      <c r="C2" s="7" t="inlineStr">
        <is>
          <t>Contact</t>
        </is>
      </c>
      <c r="D2" s="7" t="inlineStr">
        <is>
          <t>Téléphone</t>
        </is>
      </c>
      <c r="E2" s="7" t="inlineStr">
        <is>
          <t>Email</t>
        </is>
      </c>
      <c r="F2" s="7" t="inlineStr">
        <is>
          <t>Adresse</t>
        </is>
      </c>
      <c r="G2" s="7" t="inlineStr">
        <is>
          <t>Statut Commande</t>
        </is>
      </c>
      <c r="H2" s="7" t="inlineStr">
        <is>
          <t>Dernière Cmd</t>
        </is>
      </c>
      <c r="I2" s="7" t="inlineStr">
        <is>
          <t>Montant Total</t>
        </is>
      </c>
      <c r="J2" s="7" t="inlineStr">
        <is>
          <t>Note Qualité</t>
        </is>
      </c>
      <c r="K2" s="7" t="inlineStr">
        <is>
          <t>Délai Livraison</t>
        </is>
      </c>
    </row>
    <row r="3">
      <c r="A3" s="9" t="inlineStr">
        <is>
          <t>F001</t>
        </is>
      </c>
      <c r="B3" s="8" t="inlineStr">
        <is>
          <t>Fresh Market</t>
        </is>
      </c>
      <c r="C3" s="8" t="inlineStr">
        <is>
          <t>Jean Dupont</t>
        </is>
      </c>
      <c r="D3" s="9" t="inlineStr">
        <is>
          <t>01 23 45 67 89</t>
        </is>
      </c>
      <c r="E3" s="8" t="inlineStr">
        <is>
          <t>contact@freshmarket.fr</t>
        </is>
      </c>
      <c r="F3" s="8" t="inlineStr">
        <is>
          <t>Paris</t>
        </is>
      </c>
      <c r="G3" s="9" t="inlineStr">
        <is>
          <t>Actif</t>
        </is>
      </c>
      <c r="H3" s="9" t="inlineStr">
        <is>
          <t>01/01/2024</t>
        </is>
      </c>
      <c r="I3" s="25" t="n">
        <v>1500</v>
      </c>
      <c r="J3" s="9" t="n">
        <v>4.5</v>
      </c>
      <c r="K3" s="9" t="inlineStr">
        <is>
          <t>24h</t>
        </is>
      </c>
    </row>
    <row r="4">
      <c r="A4" s="9" t="inlineStr">
        <is>
          <t>F002</t>
        </is>
      </c>
      <c r="B4" s="8" t="inlineStr">
        <is>
          <t>Meat Pro</t>
        </is>
      </c>
      <c r="C4" s="8" t="inlineStr">
        <is>
          <t>Marie Martin</t>
        </is>
      </c>
      <c r="D4" s="9" t="inlineStr">
        <is>
          <t>01 98 76 54 32</t>
        </is>
      </c>
      <c r="E4" s="8" t="inlineStr">
        <is>
          <t>marie@meatpro.fr</t>
        </is>
      </c>
      <c r="F4" s="8" t="inlineStr">
        <is>
          <t>Lyon</t>
        </is>
      </c>
      <c r="G4" s="9" t="inlineStr">
        <is>
          <t>En attente</t>
        </is>
      </c>
      <c r="H4" s="9" t="inlineStr">
        <is>
          <t>28/12/2023</t>
        </is>
      </c>
      <c r="I4" s="25" t="n">
        <v>2300</v>
      </c>
      <c r="J4" s="9" t="n">
        <v>4.8</v>
      </c>
      <c r="K4" s="9" t="inlineStr">
        <is>
          <t>48h</t>
        </is>
      </c>
    </row>
    <row r="5">
      <c r="A5" s="9" t="inlineStr">
        <is>
          <t>F003</t>
        </is>
      </c>
      <c r="B5" s="8" t="inlineStr">
        <is>
          <t>Seafood Direct</t>
        </is>
      </c>
      <c r="C5" s="8" t="inlineStr">
        <is>
          <t>Pierre Durand</t>
        </is>
      </c>
      <c r="D5" s="9" t="inlineStr">
        <is>
          <t>02 11 22 33 44</t>
        </is>
      </c>
      <c r="E5" s="8" t="inlineStr">
        <is>
          <t>pierre@seafood.fr</t>
        </is>
      </c>
      <c r="F5" s="8" t="inlineStr">
        <is>
          <t>Marseille</t>
        </is>
      </c>
      <c r="G5" s="9" t="inlineStr">
        <is>
          <t>Actif</t>
        </is>
      </c>
      <c r="H5" s="9" t="inlineStr">
        <is>
          <t>30/12/2023</t>
        </is>
      </c>
      <c r="I5" s="25" t="n">
        <v>1800</v>
      </c>
      <c r="J5" s="9" t="n">
        <v>4.2</v>
      </c>
      <c r="K5" s="9" t="inlineStr">
        <is>
          <t>24h</t>
        </is>
      </c>
    </row>
    <row r="6">
      <c r="A6" s="9" t="inlineStr">
        <is>
          <t>F004</t>
        </is>
      </c>
      <c r="B6" s="8" t="inlineStr">
        <is>
          <t>Bio Légumes</t>
        </is>
      </c>
      <c r="C6" s="8" t="inlineStr">
        <is>
          <t>Sophie Bernard</t>
        </is>
      </c>
      <c r="D6" s="9" t="inlineStr">
        <is>
          <t>03 55 66 77 88</t>
        </is>
      </c>
      <c r="E6" s="8" t="inlineStr">
        <is>
          <t>sophie@biolegumes.fr</t>
        </is>
      </c>
      <c r="F6" s="8" t="inlineStr">
        <is>
          <t>Bordeaux</t>
        </is>
      </c>
      <c r="G6" s="9" t="inlineStr">
        <is>
          <t>Actif</t>
        </is>
      </c>
      <c r="H6" s="9" t="inlineStr">
        <is>
          <t>29/12/2023</t>
        </is>
      </c>
      <c r="I6" s="25" t="n">
        <v>950</v>
      </c>
      <c r="J6" s="9" t="n">
        <v>4.9</v>
      </c>
      <c r="K6" s="9" t="inlineStr">
        <is>
          <t>48h</t>
        </is>
      </c>
    </row>
    <row r="7">
      <c r="A7" s="9" t="inlineStr">
        <is>
          <t>F005</t>
        </is>
      </c>
      <c r="B7" s="8" t="inlineStr">
        <is>
          <t>Épices &amp; Co</t>
        </is>
      </c>
      <c r="C7" s="8" t="inlineStr">
        <is>
          <t>Luc Petit</t>
        </is>
      </c>
      <c r="D7" s="9" t="inlineStr">
        <is>
          <t>04 77 88 99 00</t>
        </is>
      </c>
      <c r="E7" s="8" t="inlineStr">
        <is>
          <t>luc@epicesco.fr</t>
        </is>
      </c>
      <c r="F7" s="8" t="inlineStr">
        <is>
          <t>Nice</t>
        </is>
      </c>
      <c r="G7" s="9" t="inlineStr">
        <is>
          <t>Inactif</t>
        </is>
      </c>
      <c r="H7" s="9" t="inlineStr">
        <is>
          <t>15/12/2023</t>
        </is>
      </c>
      <c r="I7" s="25" t="n">
        <v>450</v>
      </c>
      <c r="J7" s="9" t="n">
        <v>3.8</v>
      </c>
      <c r="K7" s="9" t="inlineStr">
        <is>
          <t>72h</t>
        </is>
      </c>
    </row>
  </sheetData>
  <mergeCells count="1">
    <mergeCell ref="A1:K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2" customWidth="1" min="1" max="1"/>
    <col width="12" customWidth="1" min="2" max="2"/>
    <col width="12" customWidth="1" min="3" max="3"/>
    <col width="20" customWidth="1" min="4" max="4"/>
    <col width="15" customWidth="1" min="5" max="5"/>
    <col width="12" customWidth="1" min="6" max="6"/>
    <col width="10" customWidth="1" min="7" max="7"/>
    <col width="12" customWidth="1" min="8" max="8"/>
    <col width="20" customWidth="1" min="9" max="9"/>
    <col width="15" customWidth="1" min="10" max="10"/>
  </cols>
  <sheetData>
    <row r="1">
      <c r="A1" s="24" t="inlineStr">
        <is>
          <t>📝 GESTION DES INVENTAIRES ET ÉCARTS</t>
        </is>
      </c>
    </row>
    <row r="2">
      <c r="A2" s="7" t="inlineStr">
        <is>
          <t>Date</t>
        </is>
      </c>
      <c r="B2" s="7" t="inlineStr">
        <is>
          <t>ID Inventaire</t>
        </is>
      </c>
      <c r="C2" s="7" t="inlineStr">
        <is>
          <t>ID Produit</t>
        </is>
      </c>
      <c r="D2" s="7" t="inlineStr">
        <is>
          <t>Nom Produit</t>
        </is>
      </c>
      <c r="E2" s="7" t="inlineStr">
        <is>
          <t>Stock Théorique</t>
        </is>
      </c>
      <c r="F2" s="7" t="inlineStr">
        <is>
          <t>Stock Réel</t>
        </is>
      </c>
      <c r="G2" s="7" t="inlineStr">
        <is>
          <t>Écart</t>
        </is>
      </c>
      <c r="H2" s="7" t="inlineStr">
        <is>
          <t>Valeur Écart</t>
        </is>
      </c>
      <c r="I2" s="7" t="inlineStr">
        <is>
          <t>Cause</t>
        </is>
      </c>
      <c r="J2" s="7" t="inlineStr">
        <is>
          <t>Responsable</t>
        </is>
      </c>
    </row>
    <row r="3">
      <c r="A3" s="9" t="inlineStr">
        <is>
          <t>01/01/2024</t>
        </is>
      </c>
      <c r="B3" s="9" t="inlineStr">
        <is>
          <t>INV001</t>
        </is>
      </c>
      <c r="C3" s="9" t="inlineStr">
        <is>
          <t>P001</t>
        </is>
      </c>
      <c r="D3" s="8" t="inlineStr">
        <is>
          <t>Tomates</t>
        </is>
      </c>
      <c r="E3" s="9" t="n">
        <v>50</v>
      </c>
      <c r="F3" s="9" t="n">
        <v>48</v>
      </c>
      <c r="G3" s="9">
        <f>F3-E3</f>
        <v/>
      </c>
      <c r="H3" s="25">
        <f>G3*LOOKUP(C3,PRODUITS!A:A,PRODUITS!F:F)</f>
        <v/>
      </c>
      <c r="I3" s="8" t="inlineStr">
        <is>
          <t>Perte normale</t>
        </is>
      </c>
      <c r="J3" s="8" t="inlineStr">
        <is>
          <t>Chef</t>
        </is>
      </c>
    </row>
    <row r="4">
      <c r="A4" s="9" t="inlineStr">
        <is>
          <t>01/01/2024</t>
        </is>
      </c>
      <c r="B4" s="9" t="inlineStr">
        <is>
          <t>INV001</t>
        </is>
      </c>
      <c r="C4" s="9" t="inlineStr">
        <is>
          <t>P002</t>
        </is>
      </c>
      <c r="D4" s="8" t="inlineStr">
        <is>
          <t>Boeuf Haché</t>
        </is>
      </c>
      <c r="E4" s="9" t="n">
        <v>15</v>
      </c>
      <c r="F4" s="9" t="n">
        <v>14</v>
      </c>
      <c r="G4" s="9">
        <f>F3-E3</f>
        <v/>
      </c>
      <c r="H4" s="25">
        <f>G3*LOOKUP(C3,PRODUITS!A:A,PRODUITS!F:F)</f>
        <v/>
      </c>
      <c r="I4" s="8" t="inlineStr">
        <is>
          <t>Évaporation</t>
        </is>
      </c>
      <c r="J4" s="8" t="inlineStr">
        <is>
          <t>Chef</t>
        </is>
      </c>
    </row>
    <row r="5">
      <c r="A5" s="9" t="inlineStr">
        <is>
          <t>01/01/2024</t>
        </is>
      </c>
      <c r="B5" s="9" t="inlineStr">
        <is>
          <t>INV001</t>
        </is>
      </c>
      <c r="C5" s="9" t="inlineStr">
        <is>
          <t>P003</t>
        </is>
      </c>
      <c r="D5" s="8" t="inlineStr">
        <is>
          <t>Riz Basmati</t>
        </is>
      </c>
      <c r="E5" s="9" t="n">
        <v>100</v>
      </c>
      <c r="F5" s="9" t="n">
        <v>95</v>
      </c>
      <c r="G5" s="9">
        <f>F3-E3</f>
        <v/>
      </c>
      <c r="H5" s="25">
        <f>G3*LOOKUP(C3,PRODUITS!A:A,PRODUITS!F:F)</f>
        <v/>
      </c>
      <c r="I5" s="8" t="inlineStr">
        <is>
          <t>Erreur saisie</t>
        </is>
      </c>
      <c r="J5" s="8" t="inlineStr">
        <is>
          <t>Magasinier</t>
        </is>
      </c>
    </row>
    <row r="6">
      <c r="A6" s="9" t="inlineStr">
        <is>
          <t>15/01/2024</t>
        </is>
      </c>
      <c r="B6" s="9" t="inlineStr">
        <is>
          <t>INV002</t>
        </is>
      </c>
      <c r="C6" s="9" t="inlineStr">
        <is>
          <t>P004</t>
        </is>
      </c>
      <c r="D6" s="8" t="inlineStr">
        <is>
          <t>Huile Olive</t>
        </is>
      </c>
      <c r="E6" s="9" t="n">
        <v>20</v>
      </c>
      <c r="F6" s="9" t="n">
        <v>18</v>
      </c>
      <c r="G6" s="9">
        <f>F3-E3</f>
        <v/>
      </c>
      <c r="H6" s="25">
        <f>G3*LOOKUP(C3,PRODUITS!A:A,PRODUITS!F:F)</f>
        <v/>
      </c>
      <c r="I6" s="8" t="inlineStr">
        <is>
          <t>Casse</t>
        </is>
      </c>
      <c r="J6" s="8" t="inlineStr">
        <is>
          <t>Chef</t>
        </is>
      </c>
    </row>
    <row r="7">
      <c r="A7" s="9" t="inlineStr">
        <is>
          <t>15/01/2024</t>
        </is>
      </c>
      <c r="B7" s="9" t="inlineStr">
        <is>
          <t>INV002</t>
        </is>
      </c>
      <c r="C7" s="9" t="inlineStr">
        <is>
          <t>P005</t>
        </is>
      </c>
      <c r="D7" s="8" t="inlineStr">
        <is>
          <t>Saumon</t>
        </is>
      </c>
      <c r="E7" s="9" t="n">
        <v>8</v>
      </c>
      <c r="F7" s="9" t="n">
        <v>7</v>
      </c>
      <c r="G7" s="9">
        <f>F3-E3</f>
        <v/>
      </c>
      <c r="H7" s="25">
        <f>G3*LOOKUP(C3,PRODUITS!A:A,PRODUITS!F:F)</f>
        <v/>
      </c>
      <c r="I7" s="8" t="inlineStr">
        <is>
          <t>Perte qualité</t>
        </is>
      </c>
      <c r="J7" s="8" t="inlineStr">
        <is>
          <t>Chef</t>
        </is>
      </c>
    </row>
  </sheetData>
  <mergeCells count="1">
    <mergeCell ref="A1:J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6"/>
  <sheetViews>
    <sheetView workbookViewId="0">
      <selection activeCell="A1" sqref="A1"/>
    </sheetView>
  </sheetViews>
  <sheetFormatPr baseColWidth="8" defaultRowHeight="15"/>
  <sheetData>
    <row r="1">
      <c r="A1" s="24" t="inlineStr">
        <is>
          <t>📊 TABLEAUX DE BORD ANALYTIQUES</t>
        </is>
      </c>
    </row>
    <row r="3">
      <c r="A3" s="3" t="inlineStr">
        <is>
          <t>📈 PERFORMANCE VENTES</t>
        </is>
      </c>
      <c r="F3" s="3" t="inlineStr">
        <is>
          <t>📦 ANALYSE STOCKS</t>
        </is>
      </c>
    </row>
    <row r="4">
      <c r="A4" s="27" t="inlineStr">
        <is>
          <t>CA Total</t>
        </is>
      </c>
      <c r="B4" s="28">
        <f>SUM(VENTES!K:K)</f>
        <v/>
      </c>
      <c r="C4" s="27" t="inlineStr">
        <is>
          <t>Nb Transactions</t>
        </is>
      </c>
      <c r="D4" s="28">
        <f>COUNTA(VENTES!A:A)-1</f>
        <v/>
      </c>
      <c r="F4" s="27" t="inlineStr">
        <is>
          <t>Valeur Stock</t>
        </is>
      </c>
      <c r="G4" s="29">
        <f>SUMPRODUCT(PRODUITS!F:F,PRODUITS!G:G)</f>
        <v/>
      </c>
      <c r="H4" s="27" t="inlineStr">
        <is>
          <t>Produits Critiques</t>
        </is>
      </c>
      <c r="I4" s="29">
        <f>COUNTIF(PRODUITS!H:H,"⚠️ CRITIQUE")+COUNTIF(PRODUITS!H:H,"⚠️ RUPTURE")</f>
        <v/>
      </c>
    </row>
    <row r="6">
      <c r="A6" s="27" t="inlineStr">
        <is>
          <t>Panier Moyen</t>
        </is>
      </c>
      <c r="B6" s="28">
        <f>IFERROR(A4/C4,0)</f>
        <v/>
      </c>
      <c r="C6" s="27" t="inlineStr">
        <is>
          <t>Marge Totale</t>
        </is>
      </c>
      <c r="D6" s="28">
        <f>SUM(VENTES!I:I)</f>
        <v/>
      </c>
      <c r="F6" s="27" t="inlineStr">
        <is>
          <t>Rotation Stock</t>
        </is>
      </c>
      <c r="G6" s="29">
        <f>SUM(VENTES!K:K)/F4</f>
        <v/>
      </c>
      <c r="H6" s="27" t="inlineStr">
        <is>
          <t>Couverture Jours</t>
        </is>
      </c>
      <c r="I6" s="29">
        <f>F4/(SUM(VENTES!K:K)/30)</f>
        <v/>
      </c>
    </row>
    <row r="9">
      <c r="A9" s="3" t="inlineStr">
        <is>
          <t>🏆 TOP PRODUITS</t>
        </is>
      </c>
      <c r="F9" s="3" t="inlineStr">
        <is>
          <t>🔔 ALERTES EN COURS</t>
        </is>
      </c>
    </row>
    <row r="10">
      <c r="A10" s="7" t="inlineStr">
        <is>
          <t>Rang</t>
        </is>
      </c>
      <c r="B10" s="7" t="inlineStr">
        <is>
          <t>Produit</t>
        </is>
      </c>
      <c r="C10" s="7" t="inlineStr">
        <is>
          <t>Ventes</t>
        </is>
      </c>
      <c r="D10" s="7" t="inlineStr">
        <is>
          <t>Marge</t>
        </is>
      </c>
      <c r="F10" s="7" t="inlineStr">
        <is>
          <t>Type</t>
        </is>
      </c>
      <c r="G10" s="7" t="inlineStr">
        <is>
          <t>Nombre</t>
        </is>
      </c>
      <c r="H10" s="7" t="inlineStr">
        <is>
          <t>Priorité</t>
        </is>
      </c>
    </row>
    <row r="11">
      <c r="F11" s="30" t="inlineStr">
        <is>
          <t>Ruptures Stock</t>
        </is>
      </c>
      <c r="G11" s="27">
        <f>COUNTIF(PRODUITS!H:H,"⚠️ RUPTURE")</f>
        <v/>
      </c>
      <c r="H11" s="30" t="inlineStr">
        <is>
          <t>HAUTE</t>
        </is>
      </c>
    </row>
    <row r="12">
      <c r="F12" s="30" t="inlineStr">
        <is>
          <t>Stocks Critiques</t>
        </is>
      </c>
      <c r="G12" s="27">
        <f>COUNTIF(PRODUITS!H:H,"⚠️ CRITIQUE")</f>
        <v/>
      </c>
      <c r="H12" s="30" t="inlineStr">
        <is>
          <t>HAUTE</t>
        </is>
      </c>
    </row>
    <row r="13">
      <c r="F13" s="30" t="inlineStr">
        <is>
          <t>Cmds En Attente</t>
        </is>
      </c>
      <c r="G13" s="27">
        <f>COUNTIF(FOURNISSEURS!G:G,"En attente")</f>
        <v/>
      </c>
      <c r="H13" s="30" t="inlineStr">
        <is>
          <t>MOYENNE</t>
        </is>
      </c>
    </row>
    <row r="14">
      <c r="F14" s="30" t="inlineStr">
        <is>
          <t>Écarts Inventaire</t>
        </is>
      </c>
      <c r="G14" s="27">
        <f>COUNTIF(INVENTAIRES!G:G,"&lt;&gt;0")</f>
        <v/>
      </c>
      <c r="H14" s="30" t="inlineStr">
        <is>
          <t>BASSE</t>
        </is>
      </c>
    </row>
    <row r="16">
      <c r="A16" s="31" t="inlineStr">
        <is>
          <t>💡 Pour actualiser les données : Données → Actualiser tout | Pour créer des graphiques : Sélectionnez les données → Insertion → Graphique</t>
        </is>
      </c>
    </row>
  </sheetData>
  <mergeCells count="6">
    <mergeCell ref="A9:D9"/>
    <mergeCell ref="A1:M1"/>
    <mergeCell ref="F9:I9"/>
    <mergeCell ref="F3:I3"/>
    <mergeCell ref="A3:D3"/>
    <mergeCell ref="A16:M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0" customWidth="1" min="1" max="1"/>
    <col width="30" customWidth="1" min="2" max="2"/>
    <col width="15" customWidth="1" min="3" max="3"/>
    <col width="15" customWidth="1" min="4" max="4"/>
    <col width="15" customWidth="1" min="5" max="5"/>
  </cols>
  <sheetData>
    <row r="1">
      <c r="A1" s="24" t="inlineStr">
        <is>
          <t>⚙️ PARAMÈTRES ET CONFIGURATION</t>
        </is>
      </c>
    </row>
    <row r="3">
      <c r="A3" s="3" t="inlineStr">
        <is>
          <t>Informations Restaurant</t>
        </is>
      </c>
    </row>
    <row r="4">
      <c r="A4" s="30" t="inlineStr">
        <is>
          <t>Nom:</t>
        </is>
      </c>
      <c r="B4" s="17" t="inlineStr">
        <is>
          <t>Le Gourmet</t>
        </is>
      </c>
    </row>
    <row r="5">
      <c r="A5" s="30" t="inlineStr">
        <is>
          <t>Adresse:</t>
        </is>
      </c>
      <c r="B5" s="17" t="inlineStr">
        <is>
          <t>123 Rue de la Gastronomie</t>
        </is>
      </c>
    </row>
    <row r="6">
      <c r="A6" s="30" t="inlineStr">
        <is>
          <t>Téléphone:</t>
        </is>
      </c>
      <c r="B6" s="17" t="inlineStr">
        <is>
          <t>01 23 45 67 89</t>
        </is>
      </c>
    </row>
    <row r="7">
      <c r="A7" s="30" t="inlineStr">
        <is>
          <t>Email:</t>
        </is>
      </c>
      <c r="B7" s="17" t="inlineStr">
        <is>
          <t>contact@restaurant.fr</t>
        </is>
      </c>
    </row>
    <row r="8">
      <c r="A8" s="30" t="inlineStr">
        <is>
          <t>SIRET:</t>
        </is>
      </c>
      <c r="B8" s="17" t="inlineStr">
        <is>
          <t>123456789</t>
        </is>
      </c>
    </row>
    <row r="9">
      <c r="A9" s="3" t="inlineStr">
        <is>
          <t>Seuils d'Alerte</t>
        </is>
      </c>
    </row>
    <row r="10">
      <c r="A10" s="30" t="inlineStr">
        <is>
          <t>Stock Minimum Par Défaut:</t>
        </is>
      </c>
      <c r="B10" s="17" t="inlineStr">
        <is>
          <t>20</t>
        </is>
      </c>
    </row>
    <row r="11">
      <c r="A11" s="30" t="inlineStr">
        <is>
          <t>Stock Sécurité Par Défaut:</t>
        </is>
      </c>
      <c r="B11" s="17" t="inlineStr">
        <is>
          <t>10</t>
        </is>
      </c>
    </row>
    <row r="12">
      <c r="A12" s="30" t="inlineStr">
        <is>
          <t>Jours Avant Inventaire:</t>
        </is>
      </c>
      <c r="B12" s="17" t="inlineStr">
        <is>
          <t>7</t>
        </is>
      </c>
    </row>
    <row r="13">
      <c r="A13" s="30" t="inlineStr">
        <is>
          <t>Seuil Marge Minimum (%):</t>
        </is>
      </c>
      <c r="B13" s="17" t="inlineStr">
        <is>
          <t>30</t>
        </is>
      </c>
    </row>
    <row r="14">
      <c r="A14" s="3" t="inlineStr">
        <is>
          <t>Options Système</t>
        </is>
      </c>
    </row>
    <row r="15">
      <c r="A15" s="30" t="inlineStr">
        <is>
          <t>Devise:</t>
        </is>
      </c>
      <c r="B15" s="17" t="inlineStr">
        <is>
          <t>€</t>
        </is>
      </c>
    </row>
    <row r="16">
      <c r="A16" s="30" t="inlineStr">
        <is>
          <t>Format Date:</t>
        </is>
      </c>
      <c r="B16" s="17" t="inlineStr">
        <is>
          <t>JJ/MM/AAAA</t>
        </is>
      </c>
    </row>
    <row r="17">
      <c r="A17" s="30" t="inlineStr">
        <is>
          <t>Fuseau Horaire:</t>
        </is>
      </c>
      <c r="B17" s="17" t="inlineStr">
        <is>
          <t>Europe/Paris</t>
        </is>
      </c>
    </row>
    <row r="18">
      <c r="A18" s="30" t="inlineStr">
        <is>
          <t>Langue:</t>
        </is>
      </c>
      <c r="B18" s="17" t="inlineStr">
        <is>
          <t>Français</t>
        </is>
      </c>
    </row>
  </sheetData>
  <mergeCells count="4">
    <mergeCell ref="A14:E14"/>
    <mergeCell ref="A1:E1"/>
    <mergeCell ref="A9:E9"/>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s="24" t="inlineStr">
        <is>
          <t>❓ GUIDE D'UTILISATION ET AIDE</t>
        </is>
      </c>
    </row>
    <row r="3">
      <c r="A3" s="32" t="inlineStr">
        <is>
          <t>🚀 PRISE EN MAIN RAPIDE</t>
        </is>
      </c>
    </row>
    <row r="4" ht="100" customHeight="1">
      <c r="A4" s="33" t="inlineStr">
        <is>
          <t>1. Commencez par remplir la feuille CATÉGORIES
2. Ajoutez vos PRODUITS avec leurs informations
3. Configurez vos FOURNISSEURS
4. Créez vos RECETTES et ajoutez les INGRÉDIENTS
5. Enregistrez les MOUVEMENTS DE STOCK
6. Saisissez les VENTES quotidiennes
7. Consultez le DASHBOARD pour les indicateurs</t>
        </is>
      </c>
    </row>
    <row r="8">
      <c r="A8" s="32" t="inlineStr">
        <is>
          <t>📊 FORMULES CLÉS</t>
        </is>
      </c>
    </row>
    <row r="9" ht="100" customHeight="1">
      <c r="A9" s="33" t="inlineStr">
        <is>
          <t>• Statut Stock: =IF(G2=0,"⚠️ RUPTURE",IF(G2&lt;D2,"⚠️ CRITIQUE",IF(G2&lt;E2,"⚡ ATTENTION","✓ OK")))
• Coût Matière Recette: =SUMIF(INGREDIENTS!A:A,A3,INGREDIENTS!F:F)
• Marge Brute: =Prix_Vente-Coût_Matière
• Taux Marge: =Marge/Prix_Vente*100</t>
        </is>
      </c>
    </row>
    <row r="13">
      <c r="A13" s="32" t="inlineStr">
        <is>
          <t>🔧 MAINTENANCE</t>
        </is>
      </c>
    </row>
    <row r="14" ht="100" customHeight="1">
      <c r="A14" s="33" t="inlineStr">
        <is>
          <t>• Actualisez les données: Données → Actualiser tout
• Sauvegardez régulièrement: Fichier → Enregistrer sous
• Protégez les feuilles: Révision → Protéger la feuille
• Vérifiez les formules après modifications</t>
        </is>
      </c>
    </row>
    <row r="18">
      <c r="A18" s="32" t="inlineStr">
        <is>
          <t>⚠️ BONNES PRATIQUES</t>
        </is>
      </c>
    </row>
    <row r="19" ht="100" customHeight="1">
      <c r="A19" s="33" t="inlineStr">
        <is>
          <t>• Faites des inventaires réguliers (hebdomadaires)
• Vérifiez les alertes de stock quotidiennement
• Analysez les marges par plat mensuellement
• Sauvegardez avant toute modification structurelle</t>
        </is>
      </c>
    </row>
  </sheetData>
  <mergeCells count="5">
    <mergeCell ref="A13:F13"/>
    <mergeCell ref="A1:F1"/>
    <mergeCell ref="A8:F8"/>
    <mergeCell ref="A18:F18"/>
    <mergeCell ref="A3: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2026-05-26T09:26:10Z</dcterms:created>
  <dcterms:modified xmlns:dcterms="http://purl.org/dc/terms/" xmlns:xsi="http://www.w3.org/2001/XMLSchema-instance" xsi:type="dcterms:W3CDTF">2026-05-26T09:26:10Z</dcterms:modified>
</cp:coreProperties>
</file>