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ITS" sheetId="3" state="visible" r:id="rId3"/>
    <sheet xmlns:r="http://schemas.openxmlformats.org/officeDocument/2006/relationships" name="CATEGORIES" sheetId="4" state="visible" r:id="rId4"/>
    <sheet xmlns:r="http://schemas.openxmlformats.org/officeDocument/2006/relationships" name="STOCKS" sheetId="5" state="visible" r:id="rId5"/>
    <sheet xmlns:r="http://schemas.openxmlformats.org/officeDocument/2006/relationships" name="RECETTES" sheetId="6" state="visible" r:id="rId6"/>
    <sheet xmlns:r="http://schemas.openxmlformats.org/officeDocument/2006/relationships" name="INGREDIENTS" sheetId="7" state="visible" r:id="rId7"/>
    <sheet xmlns:r="http://schemas.openxmlformats.org/officeDocument/2006/relationships" name="VENTES" sheetId="8" state="visible" r:id="rId8"/>
    <sheet xmlns:r="http://schemas.openxmlformats.org/officeDocument/2006/relationships" name="FOURNISSEURS" sheetId="9" state="visible" r:id="rId9"/>
    <sheet xmlns:r="http://schemas.openxmlformats.org/officeDocument/2006/relationships" name="INVENTAIRES" sheetId="10" state="visible" r:id="rId10"/>
    <sheet xmlns:r="http://schemas.openxmlformats.org/officeDocument/2006/relationships" name="TABLEAUX_BOR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#,##0€"/>
    <numFmt numFmtId="166" formatCode="#,##0%"/>
    <numFmt numFmtId="167" formatCode="dd/mm/yyyy"/>
  </numFmts>
  <fonts count="22">
    <font>
      <name val="Calibri"/>
      <family val="2"/>
      <color theme="1"/>
      <sz val="11"/>
      <scheme val="minor"/>
    </font>
    <font>
      <name val="Calibri"/>
      <b val="1"/>
      <color rgb="001F4E79"/>
      <sz val="24"/>
    </font>
    <font>
      <name val="Calibri"/>
      <i val="1"/>
      <sz val="12"/>
    </font>
    <font>
      <name val="Calibri"/>
      <sz val="10"/>
    </font>
    <font>
      <name val="Calibri"/>
      <b val="1"/>
      <color rgb="00FFFFFF"/>
      <sz val="16"/>
    </font>
    <font>
      <name val="Calibri"/>
      <b val="1"/>
      <color rgb="001F4E79"/>
      <sz val="12"/>
    </font>
    <font>
      <name val="Calibri"/>
      <color rgb="0027AE60"/>
      <sz val="11"/>
    </font>
    <font>
      <name val="Calibri"/>
      <b val="1"/>
      <color rgb="001F4E79"/>
      <sz val="18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sz val="16"/>
    </font>
    <font>
      <name val="Calibri"/>
      <b val="1"/>
      <sz val="12"/>
    </font>
    <font>
      <name val="Calibri"/>
      <i val="1"/>
      <color rgb="007F8C8D"/>
      <sz val="10"/>
    </font>
    <font>
      <name val="Calibri"/>
      <b val="1"/>
      <color rgb="00FFFFFF"/>
      <sz val="12"/>
    </font>
    <font>
      <name val="Calibri"/>
      <b val="1"/>
      <sz val="10"/>
    </font>
    <font>
      <name val="Calibri"/>
      <b val="1"/>
      <color rgb="001F4E79"/>
      <sz val="16"/>
    </font>
    <font>
      <name val="Calibri"/>
      <i val="1"/>
      <sz val="10"/>
    </font>
    <font>
      <name val="Calibri"/>
      <color rgb="002C3E50"/>
      <sz val="11"/>
    </font>
    <font>
      <name val="Calibri"/>
      <b val="1"/>
      <sz val="11"/>
    </font>
    <font>
      <name val="Calibri"/>
      <b val="1"/>
      <color rgb="002E75B6"/>
      <sz val="12"/>
    </font>
    <font>
      <name val="Calibri"/>
      <sz val="11"/>
    </font>
    <font>
      <name val="Calibri"/>
      <b val="1"/>
      <color rgb="00F39C12"/>
      <sz val="12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0392B"/>
        <bgColor rgb="00C0392B"/>
      </patternFill>
    </fill>
    <fill>
      <patternFill patternType="solid">
        <fgColor rgb="0027AE60"/>
        <bgColor rgb="0027AE60"/>
      </patternFill>
    </fill>
    <fill>
      <patternFill patternType="solid">
        <fgColor rgb="003498DB"/>
        <bgColor rgb="003498DB"/>
      </patternFill>
    </fill>
    <fill>
      <patternFill patternType="solid">
        <fgColor rgb="002E75B6"/>
        <bgColor rgb="002E75B6"/>
      </patternFill>
    </fill>
    <fill>
      <patternFill patternType="solid">
        <fgColor rgb="00ECF0F1"/>
        <bgColor rgb="00ECF0F1"/>
      </patternFill>
    </fill>
    <fill>
      <patternFill patternType="solid">
        <fgColor rgb="00E74C3C"/>
        <bgColor rgb="00E74C3C"/>
      </patternFill>
    </fill>
    <fill>
      <patternFill patternType="solid">
        <fgColor rgb="009B59B6"/>
        <bgColor rgb="009B59B6"/>
      </patternFill>
    </fill>
    <fill>
      <patternFill patternType="solid">
        <fgColor rgb="00F39C12"/>
        <bgColor rgb="00F39C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13" fillId="3" borderId="0" pivotButton="0" quotePrefix="0" xfId="0"/>
    <xf numFmtId="0" fontId="14" fillId="7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9" fillId="4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165" fontId="10" fillId="7" borderId="0" applyAlignment="1" pivotButton="0" quotePrefix="0" xfId="0">
      <alignment horizontal="center"/>
    </xf>
    <xf numFmtId="166" fontId="10" fillId="7" borderId="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9" fillId="6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164" fontId="17" fillId="0" borderId="1" applyAlignment="1" pivotButton="0" quotePrefix="0" xfId="0">
      <alignment horizontal="left" vertical="center"/>
    </xf>
    <xf numFmtId="1" fontId="17" fillId="0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center" vertical="center"/>
    </xf>
    <xf numFmtId="167" fontId="0" fillId="0" borderId="0" pivotButton="0" quotePrefix="0" xfId="0"/>
    <xf numFmtId="0" fontId="8" fillId="6" borderId="0" pivotButton="0" quotePrefix="0" xfId="0"/>
    <xf numFmtId="0" fontId="18" fillId="0" borderId="0" pivotButton="0" quotePrefix="0" xfId="0"/>
    <xf numFmtId="165" fontId="19" fillId="0" borderId="0" pivotButton="0" quotePrefix="0" xfId="0"/>
    <xf numFmtId="166" fontId="19" fillId="0" borderId="0" pivotButton="0" quotePrefix="0" xfId="0"/>
    <xf numFmtId="3" fontId="19" fillId="0" borderId="0" pivotButton="0" quotePrefix="0" xfId="0"/>
    <xf numFmtId="0" fontId="8" fillId="4" borderId="0" pivotButton="0" quotePrefix="0" xfId="0"/>
    <xf numFmtId="0" fontId="8" fillId="10" borderId="0" pivotButton="0" quotePrefix="0" xfId="0"/>
    <xf numFmtId="0" fontId="20" fillId="0" borderId="0" pivotButton="0" quotePrefix="0" xfId="0"/>
    <xf numFmtId="2" fontId="21" fillId="0" borderId="0" pivotButton="0" quotePrefix="0" xfId="0"/>
    <xf numFmtId="166" fontId="21" fillId="0" borderId="0" pivotButton="0" quotePrefix="0" xfId="0"/>
    <xf numFmtId="0" fontId="8" fillId="9" borderId="0" pivotButton="0" quotePrefix="0" xfId="0"/>
    <xf numFmtId="0" fontId="2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hyperlink" Target="#PRODUITS!A1" TargetMode="External" Id="rId2"/><Relationship Type="http://schemas.openxmlformats.org/officeDocument/2006/relationships/hyperlink" Target="#CATEGORIES!A1" TargetMode="External" Id="rId3"/><Relationship Type="http://schemas.openxmlformats.org/officeDocument/2006/relationships/hyperlink" Target="#STOCKS!A1" TargetMode="External" Id="rId4"/><Relationship Type="http://schemas.openxmlformats.org/officeDocument/2006/relationships/hyperlink" Target="#RECETTES!A1" TargetMode="External" Id="rId5"/><Relationship Type="http://schemas.openxmlformats.org/officeDocument/2006/relationships/hyperlink" Target="#VENTES!A1" TargetMode="External" Id="rId6"/><Relationship Type="http://schemas.openxmlformats.org/officeDocument/2006/relationships/hyperlink" Target="#FOURNISSEURS!A1" TargetMode="External" Id="rId7"/><Relationship Type="http://schemas.openxmlformats.org/officeDocument/2006/relationships/hyperlink" Target="#INVENTAIRES!A1" TargetMode="External" Id="rId8"/><Relationship Type="http://schemas.openxmlformats.org/officeDocument/2006/relationships/hyperlink" Target="#TABLEAUX_BORD!A1" TargetMode="External" Id="rId9"/><Relationship Type="http://schemas.openxmlformats.org/officeDocument/2006/relationships/hyperlink" Target="#VENTES!A2" TargetMode="External" Id="rId10"/><Relationship Type="http://schemas.openxmlformats.org/officeDocument/2006/relationships/hyperlink" Target="#FOURNISSEURS!A2" TargetMode="External" Id="rId11"/><Relationship Type="http://schemas.openxmlformats.org/officeDocument/2006/relationships/hyperlink" Target="#INVENTAIRES!A2" TargetMode="External" Id="rId12"/><Relationship Type="http://schemas.openxmlformats.org/officeDocument/2006/relationships/hyperlink" Target="#STOCKS!A1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5" customWidth="1" min="3" max="3"/>
    <col width="15" customWidth="1" min="4" max="4"/>
    <col width="5" customWidth="1" min="5" max="5"/>
    <col width="25" customWidth="1" min="6" max="6"/>
    <col width="20" customWidth="1" min="7" max="7"/>
    <col width="15" customWidth="1" min="8" max="8"/>
  </cols>
  <sheetData>
    <row r="1">
      <c r="A1" s="1" t="inlineStr">
        <is>
          <t>🍽️ GESTION DE RESTAURANT PROFESSIONNEL</t>
        </is>
      </c>
    </row>
    <row r="2">
      <c r="A2" s="2" t="inlineStr">
        <is>
          <t>Solution de gestion complète - Stocks, Ventes, Recettes, Fournisseurs, Inventaires</t>
        </is>
      </c>
    </row>
    <row r="3">
      <c r="A3" s="3" t="inlineStr">
        <is>
          <t>Date: 26/05/2026</t>
        </is>
      </c>
    </row>
    <row r="5">
      <c r="A5" s="4" t="inlineStr">
        <is>
          <t>📋 NAVIGATION PRINCIPALE</t>
        </is>
      </c>
      <c r="F5" s="5" t="inlineStr">
        <is>
          <t>⚠️ ALERTES IMPORTANTES</t>
        </is>
      </c>
    </row>
    <row r="7" ht="25" customHeight="1">
      <c r="A7" s="6" t="inlineStr">
        <is>
          <t>➤ 📊 Dashboard Principal</t>
        </is>
      </c>
      <c r="F7" t="inlineStr">
        <is>
          <t>Ruptures de stock:</t>
        </is>
      </c>
      <c r="G7" s="7">
        <f>COUNTIF(STOCKS!H:H, "⚠️ RUPTURE")</f>
        <v/>
      </c>
    </row>
    <row r="8" ht="25" customHeight="1">
      <c r="A8" s="6" t="inlineStr">
        <is>
          <t>➤ 📦 Produits &amp; Matières</t>
        </is>
      </c>
      <c r="F8" t="inlineStr">
        <is>
          <t>Stocks critiques:</t>
        </is>
      </c>
      <c r="G8" s="7">
        <f>COUNTIF(STOCKS!I:I, "⚠️ CRITIQUE")</f>
        <v/>
      </c>
    </row>
    <row r="9" ht="25" customHeight="1">
      <c r="A9" s="6" t="inlineStr">
        <is>
          <t>➤ 🏷️ Catégories</t>
        </is>
      </c>
      <c r="F9" t="inlineStr">
        <is>
          <t>Commandes en attente:</t>
        </is>
      </c>
      <c r="G9" s="7">
        <f>COUNTIF(FOURNISSEURS!K:K, "En attente")</f>
        <v/>
      </c>
    </row>
    <row r="10" ht="25" customHeight="1">
      <c r="A10" s="6" t="inlineStr">
        <is>
          <t>➤ 📈 Stocks</t>
        </is>
      </c>
      <c r="F10" t="inlineStr">
        <is>
          <t>Ventes du jour:</t>
        </is>
      </c>
      <c r="G10" s="8">
        <f>SUMIF(VENTES!A:A, TODAY(), VENTES!F:F)</f>
        <v/>
      </c>
    </row>
    <row r="11" ht="25" customHeight="1">
      <c r="A11" s="6" t="inlineStr">
        <is>
          <t>➤ 🍳 Recettes</t>
        </is>
      </c>
      <c r="F11" t="inlineStr">
        <is>
          <t>Marge du jour:</t>
        </is>
      </c>
      <c r="G11" s="8">
        <f>SUMIF(VENTES!A:A, TODAY(), VENTES!G:G)</f>
        <v/>
      </c>
    </row>
    <row r="12" ht="25" customHeight="1">
      <c r="A12" s="6" t="inlineStr">
        <is>
          <t>➤ 💰 Ventes</t>
        </is>
      </c>
    </row>
    <row r="13" ht="25" customHeight="1">
      <c r="A13" s="6" t="inlineStr">
        <is>
          <t>➤ 🚚 Fournisseurs &amp; Achats</t>
        </is>
      </c>
    </row>
    <row r="14" ht="25" customHeight="1">
      <c r="A14" s="6" t="inlineStr">
        <is>
          <t>➤ 📝 Inventaires</t>
        </is>
      </c>
    </row>
    <row r="15" ht="25" customHeight="1">
      <c r="A15" s="6" t="inlineStr">
        <is>
          <t>➤ 📉 Tableaux de Bord</t>
        </is>
      </c>
    </row>
    <row r="17">
      <c r="A17" s="9" t="inlineStr">
        <is>
          <t>⚡ ACCÈS RAPIDE</t>
        </is>
      </c>
      <c r="F17" s="10" t="inlineStr">
        <is>
          <t>ℹ️ INFORMATIONS</t>
        </is>
      </c>
    </row>
    <row r="18">
      <c r="A18" s="11" t="inlineStr">
        <is>
          <t>• Nouvelle Vente</t>
        </is>
      </c>
      <c r="F18" t="inlineStr">
        <is>
          <t>Version:</t>
        </is>
      </c>
      <c r="G18" t="inlineStr">
        <is>
          <t>1.0.0</t>
        </is>
      </c>
    </row>
    <row r="19">
      <c r="A19" s="11" t="inlineStr">
        <is>
          <t>• Nouvel Achat</t>
        </is>
      </c>
      <c r="F19" t="inlineStr">
        <is>
          <t>Dernière MAJ:</t>
        </is>
      </c>
      <c r="G19">
        <f>TODAY()</f>
        <v/>
      </c>
    </row>
    <row r="20">
      <c r="A20" s="11" t="inlineStr">
        <is>
          <t>• Inventaire Rapide</t>
        </is>
      </c>
      <c r="F20" t="inlineStr">
        <is>
          <t>Utilisateurs:</t>
        </is>
      </c>
      <c r="G20" t="inlineStr">
        <is>
          <t>Admin, Manager, Serveur</t>
        </is>
      </c>
    </row>
    <row r="21">
      <c r="A21" s="11" t="inlineStr">
        <is>
          <t>• Voir Alertes Stock</t>
        </is>
      </c>
    </row>
  </sheetData>
  <mergeCells count="7">
    <mergeCell ref="A5:D5"/>
    <mergeCell ref="A17:D17"/>
    <mergeCell ref="F5:H5"/>
    <mergeCell ref="A2:H2"/>
    <mergeCell ref="F17:H17"/>
    <mergeCell ref="A1:H1"/>
    <mergeCell ref="G3:H3"/>
  </mergeCells>
  <hyperlinks>
    <hyperlink xmlns:r="http://schemas.openxmlformats.org/officeDocument/2006/relationships" ref="A7" r:id="rId1"/>
    <hyperlink xmlns:r="http://schemas.openxmlformats.org/officeDocument/2006/relationships" ref="A8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8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2" t="inlineStr">
        <is>
          <t>📊 TABLEAU DE BORD PRINCIPAL</t>
        </is>
      </c>
    </row>
    <row r="3">
      <c r="A3" t="inlineStr">
        <is>
          <t>Période:</t>
        </is>
      </c>
      <c r="B3" t="inlineStr">
        <is>
          <t>Du:</t>
        </is>
      </c>
      <c r="C3" t="inlineStr">
        <is>
          <t>01/05/2026</t>
        </is>
      </c>
      <c r="D3" t="inlineStr">
        <is>
          <t>Au:</t>
        </is>
      </c>
      <c r="E3">
        <f>EOMONTH(TODAY(),0)</f>
        <v/>
      </c>
    </row>
    <row r="5">
      <c r="A5" s="13" t="inlineStr">
        <is>
          <t>INDICATEURS CLÉS DE PERFORMANCE (KPI)</t>
        </is>
      </c>
      <c r="I5" s="14" t="inlineStr">
        <is>
          <t>⚠️ ALERTES STOCKS</t>
        </is>
      </c>
    </row>
    <row r="6">
      <c r="H6" s="15" t="n"/>
      <c r="I6" s="15" t="inlineStr">
        <is>
          <t>Produit</t>
        </is>
      </c>
      <c r="J6" s="15" t="inlineStr">
        <is>
          <t>Stock Actuel</t>
        </is>
      </c>
      <c r="K6" s="15" t="inlineStr">
        <is>
          <t>Stock Min</t>
        </is>
      </c>
      <c r="L6" t="inlineStr">
        <is>
          <t>Statut</t>
        </is>
      </c>
    </row>
    <row r="7">
      <c r="A7" s="16" t="inlineStr">
        <is>
          <t>Ventes Totales</t>
        </is>
      </c>
      <c r="B7" s="17" t="inlineStr">
        <is>
          <t>Marge Brute</t>
        </is>
      </c>
      <c r="C7" s="17" t="inlineStr">
        <is>
          <t>Taux de Marge</t>
        </is>
      </c>
      <c r="D7" s="18" t="inlineStr">
        <is>
          <t>Coût Matière</t>
        </is>
      </c>
      <c r="I7">
        <f>IFERROR(INDEX(PRODUITS!A:A, SMALL(IF(PRODUITS!G:G&lt;=PRODUITS!H:H, ROW(PRODUITS!A:A)-1), 1)), "-")</f>
        <v/>
      </c>
      <c r="J7">
        <f>IF(I7="-", "-", VLOOKUP(I7, PRODUITS!A:H, 7, FALSE))</f>
        <v/>
      </c>
      <c r="K7">
        <f>IF(I7="-", "-", VLOOKUP(I7, PRODUITS!A:H, 8, FALSE))</f>
        <v/>
      </c>
      <c r="L7">
        <f>IF(J7&lt;=0, "🔴 RUPTURE", IF(J7&lt;=K7, "🟠 CRITIQUE", ""))</f>
        <v/>
      </c>
    </row>
    <row r="8">
      <c r="A8" s="19">
        <f>SUM(VENTES!F:F)</f>
        <v/>
      </c>
      <c r="B8" s="19">
        <f>SUM(VENTES!G:G)</f>
        <v/>
      </c>
      <c r="C8" s="20">
        <f>IF(SUM(VENTES!F:F)&gt;0,SUM(VENTES!G:G)/SUM(VENTES!F:F)*100,0)</f>
        <v/>
      </c>
      <c r="D8" s="19">
        <f>SUM(VENTES!H:H)</f>
        <v/>
      </c>
      <c r="I8">
        <f>IFERROR(INDEX(PRODUITS!A:A, SMALL(IF(PRODUITS!G:G&lt;=PRODUITS!H:H, ROW(PRODUITS!A:A)-1), 2)), "-")</f>
        <v/>
      </c>
      <c r="J8">
        <f>IF(I8="-", "-", VLOOKUP(I8, PRODUITS!A:H, 7, FALSE))</f>
        <v/>
      </c>
      <c r="K8">
        <f>IF(I8="-", "-", VLOOKUP(I8, PRODUITS!A:H, 8, FALSE))</f>
        <v/>
      </c>
      <c r="L8">
        <f>IF(J8&lt;=0, "🔴 RUPTURE", IF(J8&lt;=K8, "🟠 CRITIQUE", ""))</f>
        <v/>
      </c>
    </row>
    <row r="9">
      <c r="I9">
        <f>IFERROR(INDEX(PRODUITS!A:A, SMALL(IF(PRODUITS!G:G&lt;=PRODUITS!H:H, ROW(PRODUITS!A:A)-1), 3)), "-")</f>
        <v/>
      </c>
      <c r="J9">
        <f>IF(I9="-", "-", VLOOKUP(I9, PRODUITS!A:H, 7, FALSE))</f>
        <v/>
      </c>
      <c r="K9">
        <f>IF(I9="-", "-", VLOOKUP(I9, PRODUITS!A:H, 8, FALSE))</f>
        <v/>
      </c>
      <c r="L9">
        <f>IF(J9&lt;=0, "🔴 RUPTURE", IF(J9&lt;=K9, "🟠 CRITIQUE", ""))</f>
        <v/>
      </c>
    </row>
    <row r="10">
      <c r="A10" s="21" t="inlineStr">
        <is>
          <t>Nombre de Ventes</t>
        </is>
      </c>
      <c r="B10" s="22" t="inlineStr">
        <is>
          <t>Panier Moyen</t>
        </is>
      </c>
      <c r="C10" s="23" t="inlineStr">
        <is>
          <t>Stock Valeur</t>
        </is>
      </c>
      <c r="I10">
        <f>IFERROR(INDEX(PRODUITS!A:A, SMALL(IF(PRODUITS!G:G&lt;=PRODUITS!H:H, ROW(PRODUITS!A:A)-1), 4)), "-")</f>
        <v/>
      </c>
      <c r="J10">
        <f>IF(I10="-", "-", VLOOKUP(I10, PRODUITS!A:H, 7, FALSE))</f>
        <v/>
      </c>
      <c r="K10">
        <f>IF(I10="-", "-", VLOOKUP(I10, PRODUITS!A:H, 8, FALSE))</f>
        <v/>
      </c>
      <c r="L10">
        <f>IF(J10&lt;=0, "🔴 RUPTURE", IF(J10&lt;=K10, "🟠 CRITIQUE", ""))</f>
        <v/>
      </c>
    </row>
    <row r="11">
      <c r="A11" s="24">
        <f>COUNTA(VENTES!A:A)-1</f>
        <v/>
      </c>
      <c r="B11" s="19">
        <f>IF(COUNTA(VENTES!A:A)&gt;1,SUM(VENTES!F:F)/(COUNTA(VENTES!A:A)-1),0)</f>
        <v/>
      </c>
      <c r="C11" s="19">
        <f>SUMPRODUCT(PRODUITS!G:G,PRODUITS!H:H)</f>
        <v/>
      </c>
      <c r="I11">
        <f>IFERROR(INDEX(PRODUITS!A:A, SMALL(IF(PRODUITS!G:G&lt;=PRODUITS!H:H, ROW(PRODUITS!A:A)-1), 5)), "-")</f>
        <v/>
      </c>
      <c r="J11">
        <f>IF(I11="-", "-", VLOOKUP(I11, PRODUITS!A:H, 7, FALSE))</f>
        <v/>
      </c>
      <c r="K11">
        <f>IF(I11="-", "-", VLOOKUP(I11, PRODUITS!A:H, 8, FALSE))</f>
        <v/>
      </c>
      <c r="L11">
        <f>IF(J11&lt;=0, "🔴 RUPTURE", IF(J11&lt;=K11, "🟠 CRITIQUE", ""))</f>
        <v/>
      </c>
    </row>
    <row r="12">
      <c r="I12">
        <f>IFERROR(INDEX(PRODUITS!A:A, SMALL(IF(PRODUITS!G:G&lt;=PRODUITS!H:H, ROW(PRODUITS!A:A)-1), 6)), "-")</f>
        <v/>
      </c>
      <c r="J12">
        <f>IF(I12="-", "-", VLOOKUP(I12, PRODUITS!A:H, 7, FALSE))</f>
        <v/>
      </c>
      <c r="K12">
        <f>IF(I12="-", "-", VLOOKUP(I12, PRODUITS!A:H, 8, FALSE))</f>
        <v/>
      </c>
      <c r="L12">
        <f>IF(J12&lt;=0, "🔴 RUPTURE", IF(J12&lt;=K12, "🟠 CRITIQUE", ""))</f>
        <v/>
      </c>
    </row>
    <row r="13">
      <c r="A13" s="25" t="inlineStr">
        <is>
          <t>VENTES PAR CATÉGORIE</t>
        </is>
      </c>
      <c r="E13" s="25" t="inlineStr">
        <is>
          <t>ÉVOLUTION DES VENTES</t>
        </is>
      </c>
      <c r="I13">
        <f>IFERROR(INDEX(PRODUITS!A:A, SMALL(IF(PRODUITS!G:G&lt;=PRODUITS!H:H, ROW(PRODUITS!A:A)-1), 7)), "-")</f>
        <v/>
      </c>
      <c r="J13">
        <f>IF(I13="-", "-", VLOOKUP(I13, PRODUITS!A:H, 7, FALSE))</f>
        <v/>
      </c>
      <c r="K13">
        <f>IF(I13="-", "-", VLOOKUP(I13, PRODUITS!A:H, 8, FALSE))</f>
        <v/>
      </c>
      <c r="L13">
        <f>IF(J13&lt;=0, "🔴 RUPTURE", IF(J13&lt;=K13, "🟠 CRITIQUE", ""))</f>
        <v/>
      </c>
    </row>
    <row r="14">
      <c r="A14" s="26" t="inlineStr">
        <is>
          <t>→ Créer un graphique croisé dynamique ici</t>
        </is>
      </c>
      <c r="E14" s="26" t="inlineStr">
        <is>
          <t>→ Créer un graphique en ligne ici</t>
        </is>
      </c>
      <c r="I14">
        <f>IFERROR(INDEX(PRODUITS!A:A, SMALL(IF(PRODUITS!G:G&lt;=PRODUITS!H:H, ROW(PRODUITS!A:A)-1), 8)), "-")</f>
        <v/>
      </c>
      <c r="J14">
        <f>IF(I14="-", "-", VLOOKUP(I14, PRODUITS!A:H, 7, FALSE))</f>
        <v/>
      </c>
      <c r="K14">
        <f>IF(I14="-", "-", VLOOKUP(I14, PRODUITS!A:H, 8, FALSE))</f>
        <v/>
      </c>
      <c r="L14">
        <f>IF(J14&lt;=0, "🔴 RUPTURE", IF(J14&lt;=K14, "🟠 CRITIQUE", ""))</f>
        <v/>
      </c>
    </row>
    <row r="15"/>
    <row r="16"/>
    <row r="17"/>
    <row r="18"/>
    <row r="20">
      <c r="A20" s="27" t="inlineStr">
        <is>
          <t>TOP 10 PRODUITS LES PLUS VENDUS</t>
        </is>
      </c>
    </row>
    <row r="21">
      <c r="A21" s="28" t="inlineStr">
        <is>
          <t>Rang</t>
        </is>
      </c>
      <c r="B21" s="28" t="inlineStr">
        <is>
          <t>Produit</t>
        </is>
      </c>
      <c r="C21" s="28" t="inlineStr">
        <is>
          <t>Catégorie</t>
        </is>
      </c>
      <c r="D21" s="28" t="inlineStr">
        <is>
          <t>Quantité Vendue</t>
        </is>
      </c>
      <c r="E21" s="28" t="inlineStr">
        <is>
          <t>CA Total</t>
        </is>
      </c>
      <c r="F21" s="28" t="inlineStr">
        <is>
          <t>Marge</t>
        </is>
      </c>
      <c r="G21" s="28" t="inlineStr">
        <is>
          <t>% Marge</t>
        </is>
      </c>
    </row>
    <row r="22">
      <c r="A22" s="29" t="n">
        <v>1</v>
      </c>
      <c r="B22">
        <f>IFERROR(INDEX(VENTES!C:C, MATCH(LARGE(VENTES!F:F,1), VENTES!F:F, 0)), "-")</f>
        <v/>
      </c>
      <c r="C22">
        <f>IFERROR(VLOOKUP(B22, PRODUITS!A:C, 3, FALSE), "-")</f>
        <v/>
      </c>
      <c r="D22">
        <f>SUMIF(VENTES!C:C, B22, VENTES!D:D)</f>
        <v/>
      </c>
      <c r="E22">
        <f>SUMIF(VENTES!C:C, B22, VENTES!F:F)</f>
        <v/>
      </c>
      <c r="F22">
        <f>SUMIF(VENTES!C:C, B22, VENTES!G:G)</f>
        <v/>
      </c>
      <c r="G22" s="30">
        <f>IF(F22&gt;0, G22/F22*100, 0)</f>
        <v/>
      </c>
    </row>
    <row r="23">
      <c r="A23" s="29" t="n">
        <v>2</v>
      </c>
      <c r="B23">
        <f>IFERROR(INDEX(VENTES!C:C, MATCH(LARGE(VENTES!F:F,2), VENTES!F:F, 0)), "-")</f>
        <v/>
      </c>
      <c r="C23">
        <f>IFERROR(VLOOKUP(B23, PRODUITS!A:C, 3, FALSE), "-")</f>
        <v/>
      </c>
      <c r="D23">
        <f>SUMIF(VENTES!C:C, B23, VENTES!D:D)</f>
        <v/>
      </c>
      <c r="E23">
        <f>SUMIF(VENTES!C:C, B23, VENTES!F:F)</f>
        <v/>
      </c>
      <c r="F23">
        <f>SUMIF(VENTES!C:C, B23, VENTES!G:G)</f>
        <v/>
      </c>
      <c r="G23" s="30">
        <f>IF(F23&gt;0, G23/F23*100, 0)</f>
        <v/>
      </c>
    </row>
    <row r="24">
      <c r="A24" s="29" t="n">
        <v>3</v>
      </c>
      <c r="B24">
        <f>IFERROR(INDEX(VENTES!C:C, MATCH(LARGE(VENTES!F:F,3), VENTES!F:F, 0)), "-")</f>
        <v/>
      </c>
      <c r="C24">
        <f>IFERROR(VLOOKUP(B24, PRODUITS!A:C, 3, FALSE), "-")</f>
        <v/>
      </c>
      <c r="D24">
        <f>SUMIF(VENTES!C:C, B24, VENTES!D:D)</f>
        <v/>
      </c>
      <c r="E24">
        <f>SUMIF(VENTES!C:C, B24, VENTES!F:F)</f>
        <v/>
      </c>
      <c r="F24">
        <f>SUMIF(VENTES!C:C, B24, VENTES!G:G)</f>
        <v/>
      </c>
      <c r="G24" s="30">
        <f>IF(F24&gt;0, G24/F24*100, 0)</f>
        <v/>
      </c>
    </row>
    <row r="25">
      <c r="A25" s="29" t="n">
        <v>4</v>
      </c>
      <c r="B25">
        <f>IFERROR(INDEX(VENTES!C:C, MATCH(LARGE(VENTES!F:F,4), VENTES!F:F, 0)), "-")</f>
        <v/>
      </c>
      <c r="C25">
        <f>IFERROR(VLOOKUP(B25, PRODUITS!A:C, 3, FALSE), "-")</f>
        <v/>
      </c>
      <c r="D25">
        <f>SUMIF(VENTES!C:C, B25, VENTES!D:D)</f>
        <v/>
      </c>
      <c r="E25">
        <f>SUMIF(VENTES!C:C, B25, VENTES!F:F)</f>
        <v/>
      </c>
      <c r="F25">
        <f>SUMIF(VENTES!C:C, B25, VENTES!G:G)</f>
        <v/>
      </c>
      <c r="G25" s="30">
        <f>IF(F25&gt;0, G25/F25*100, 0)</f>
        <v/>
      </c>
    </row>
    <row r="26">
      <c r="A26" s="29" t="n">
        <v>5</v>
      </c>
      <c r="B26">
        <f>IFERROR(INDEX(VENTES!C:C, MATCH(LARGE(VENTES!F:F,5), VENTES!F:F, 0)), "-")</f>
        <v/>
      </c>
      <c r="C26">
        <f>IFERROR(VLOOKUP(B26, PRODUITS!A:C, 3, FALSE), "-")</f>
        <v/>
      </c>
      <c r="D26">
        <f>SUMIF(VENTES!C:C, B26, VENTES!D:D)</f>
        <v/>
      </c>
      <c r="E26">
        <f>SUMIF(VENTES!C:C, B26, VENTES!F:F)</f>
        <v/>
      </c>
      <c r="F26">
        <f>SUMIF(VENTES!C:C, B26, VENTES!G:G)</f>
        <v/>
      </c>
      <c r="G26" s="30">
        <f>IF(F26&gt;0, G26/F26*100, 0)</f>
        <v/>
      </c>
    </row>
    <row r="27">
      <c r="A27" s="29" t="n">
        <v>6</v>
      </c>
      <c r="B27">
        <f>IFERROR(INDEX(VENTES!C:C, MATCH(LARGE(VENTES!F:F,6), VENTES!F:F, 0)), "-")</f>
        <v/>
      </c>
      <c r="C27">
        <f>IFERROR(VLOOKUP(B27, PRODUITS!A:C, 3, FALSE), "-")</f>
        <v/>
      </c>
      <c r="D27">
        <f>SUMIF(VENTES!C:C, B27, VENTES!D:D)</f>
        <v/>
      </c>
      <c r="E27">
        <f>SUMIF(VENTES!C:C, B27, VENTES!F:F)</f>
        <v/>
      </c>
      <c r="F27">
        <f>SUMIF(VENTES!C:C, B27, VENTES!G:G)</f>
        <v/>
      </c>
      <c r="G27" s="30">
        <f>IF(F27&gt;0, G27/F27*100, 0)</f>
        <v/>
      </c>
    </row>
    <row r="28">
      <c r="A28" s="29" t="n">
        <v>7</v>
      </c>
      <c r="B28">
        <f>IFERROR(INDEX(VENTES!C:C, MATCH(LARGE(VENTES!F:F,7), VENTES!F:F, 0)), "-")</f>
        <v/>
      </c>
      <c r="C28">
        <f>IFERROR(VLOOKUP(B28, PRODUITS!A:C, 3, FALSE), "-")</f>
        <v/>
      </c>
      <c r="D28">
        <f>SUMIF(VENTES!C:C, B28, VENTES!D:D)</f>
        <v/>
      </c>
      <c r="E28">
        <f>SUMIF(VENTES!C:C, B28, VENTES!F:F)</f>
        <v/>
      </c>
      <c r="F28">
        <f>SUMIF(VENTES!C:C, B28, VENTES!G:G)</f>
        <v/>
      </c>
      <c r="G28" s="30">
        <f>IF(F28&gt;0, G28/F28*100, 0)</f>
        <v/>
      </c>
    </row>
    <row r="29">
      <c r="A29" s="29" t="n">
        <v>8</v>
      </c>
      <c r="B29">
        <f>IFERROR(INDEX(VENTES!C:C, MATCH(LARGE(VENTES!F:F,8), VENTES!F:F, 0)), "-")</f>
        <v/>
      </c>
      <c r="C29">
        <f>IFERROR(VLOOKUP(B29, PRODUITS!A:C, 3, FALSE), "-")</f>
        <v/>
      </c>
      <c r="D29">
        <f>SUMIF(VENTES!C:C, B29, VENTES!D:D)</f>
        <v/>
      </c>
      <c r="E29">
        <f>SUMIF(VENTES!C:C, B29, VENTES!F:F)</f>
        <v/>
      </c>
      <c r="F29">
        <f>SUMIF(VENTES!C:C, B29, VENTES!G:G)</f>
        <v/>
      </c>
      <c r="G29" s="30">
        <f>IF(F29&gt;0, G29/F29*100, 0)</f>
        <v/>
      </c>
    </row>
    <row r="30">
      <c r="A30" s="29" t="n">
        <v>9</v>
      </c>
      <c r="B30">
        <f>IFERROR(INDEX(VENTES!C:C, MATCH(LARGE(VENTES!F:F,9), VENTES!F:F, 0)), "-")</f>
        <v/>
      </c>
      <c r="C30">
        <f>IFERROR(VLOOKUP(B30, PRODUITS!A:C, 3, FALSE), "-")</f>
        <v/>
      </c>
      <c r="D30">
        <f>SUMIF(VENTES!C:C, B30, VENTES!D:D)</f>
        <v/>
      </c>
      <c r="E30">
        <f>SUMIF(VENTES!C:C, B30, VENTES!F:F)</f>
        <v/>
      </c>
      <c r="F30">
        <f>SUMIF(VENTES!C:C, B30, VENTES!G:G)</f>
        <v/>
      </c>
      <c r="G30" s="30">
        <f>IF(F30&gt;0, G30/F30*100, 0)</f>
        <v/>
      </c>
    </row>
    <row r="31">
      <c r="A31" s="29" t="n">
        <v>10</v>
      </c>
      <c r="B31">
        <f>IFERROR(INDEX(VENTES!C:C, MATCH(LARGE(VENTES!F:F,10), VENTES!F:F, 0)), "-")</f>
        <v/>
      </c>
      <c r="C31">
        <f>IFERROR(VLOOKUP(B31, PRODUITS!A:C, 3, FALSE), "-")</f>
        <v/>
      </c>
      <c r="D31">
        <f>SUMIF(VENTES!C:C, B31, VENTES!D:D)</f>
        <v/>
      </c>
      <c r="E31">
        <f>SUMIF(VENTES!C:C, B31, VENTES!F:F)</f>
        <v/>
      </c>
      <c r="F31">
        <f>SUMIF(VENTES!C:C, B31, VENTES!G:G)</f>
        <v/>
      </c>
      <c r="G31" s="30">
        <f>IF(F31&gt;0, G31/F31*100, 0)</f>
        <v/>
      </c>
    </row>
  </sheetData>
  <mergeCells count="8">
    <mergeCell ref="A1:G1"/>
    <mergeCell ref="I5:L5"/>
    <mergeCell ref="A20:G20"/>
    <mergeCell ref="A14:D18"/>
    <mergeCell ref="E14:H18"/>
    <mergeCell ref="A13:D13"/>
    <mergeCell ref="A5:G5"/>
    <mergeCell ref="E13:H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15" customWidth="1" min="4" max="4"/>
    <col width="15" customWidth="1" min="5" max="5"/>
    <col width="10" customWidth="1" min="6" max="6"/>
    <col width="15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2" customWidth="1" min="14" max="14"/>
  </cols>
  <sheetData>
    <row r="1">
      <c r="A1" s="31" t="inlineStr">
        <is>
          <t>📦 GESTION DES PRODUITS ET MATIÈRES PREMIÈRES</t>
        </is>
      </c>
    </row>
    <row r="2">
      <c r="A2" s="32" t="inlineStr">
        <is>
          <t>Ajoutez, modifiez ou supprimez des produits. Les stocks sont mis à jour automatiquement.</t>
        </is>
      </c>
    </row>
    <row r="3">
      <c r="A3" s="33" t="inlineStr">
        <is>
          <t>ID Produit</t>
        </is>
      </c>
      <c r="B3" s="33" t="inlineStr">
        <is>
          <t>Nom du Produit</t>
        </is>
      </c>
      <c r="C3" s="33" t="inlineStr">
        <is>
          <t>Description</t>
        </is>
      </c>
      <c r="D3" s="33" t="inlineStr">
        <is>
          <t>Catégorie</t>
        </is>
      </c>
      <c r="E3" s="33" t="inlineStr">
        <is>
          <t>Sous-Catégorie</t>
        </is>
      </c>
      <c r="F3" s="33" t="inlineStr">
        <is>
          <t>Unité</t>
        </is>
      </c>
      <c r="G3" s="33" t="inlineStr">
        <is>
          <t>Prix Achat HT</t>
        </is>
      </c>
      <c r="H3" s="33" t="inlineStr">
        <is>
          <t>Prix Vente HT</t>
        </is>
      </c>
      <c r="I3" s="33" t="inlineStr">
        <is>
          <t>Stock Actuel</t>
        </is>
      </c>
      <c r="J3" s="33" t="inlineStr">
        <is>
          <t>Stock Minimum</t>
        </is>
      </c>
      <c r="K3" s="33" t="inlineStr">
        <is>
          <t>Stock Sécurité</t>
        </is>
      </c>
      <c r="L3" s="33" t="inlineStr">
        <is>
          <t>Seuil Alerte</t>
        </is>
      </c>
      <c r="M3" s="33" t="inlineStr">
        <is>
          <t>Fournisseur</t>
        </is>
      </c>
      <c r="N3" s="33" t="inlineStr">
        <is>
          <t>Statut</t>
        </is>
      </c>
    </row>
    <row r="4">
      <c r="A4" s="34" t="inlineStr">
        <is>
          <t>P001</t>
        </is>
      </c>
      <c r="B4" s="34" t="inlineStr">
        <is>
          <t>Tomates</t>
        </is>
      </c>
      <c r="C4" s="34" t="inlineStr">
        <is>
          <t>Tomates fraîches</t>
        </is>
      </c>
      <c r="D4" s="34" t="inlineStr">
        <is>
          <t>Légumes</t>
        </is>
      </c>
      <c r="E4" s="34" t="inlineStr">
        <is>
          <t>Frais</t>
        </is>
      </c>
      <c r="F4" s="34" t="inlineStr">
        <is>
          <t>kg</t>
        </is>
      </c>
      <c r="G4" s="35" t="n">
        <v>2.5</v>
      </c>
      <c r="H4" s="35" t="n">
        <v>5</v>
      </c>
      <c r="I4" s="36" t="n">
        <v>50</v>
      </c>
      <c r="J4" s="36" t="n">
        <v>10</v>
      </c>
      <c r="K4" s="36" t="n">
        <v>20</v>
      </c>
      <c r="L4" s="36" t="n">
        <v>15</v>
      </c>
      <c r="M4" s="34" t="inlineStr">
        <is>
          <t>Fournisseur A</t>
        </is>
      </c>
      <c r="N4" s="34">
        <f>IF(G4="","",IF(I4&lt;=0,"⚠️ RUPTURE",IF(I4&lt;=J4,"⚠️ CRITIQUE",IF(I4&lt;=K4,"⚡ ATTENTION","✓ OK"))))</f>
        <v/>
      </c>
    </row>
    <row r="5">
      <c r="A5" s="34" t="inlineStr">
        <is>
          <t>P002</t>
        </is>
      </c>
      <c r="B5" s="34" t="inlineStr">
        <is>
          <t>Boeuf</t>
        </is>
      </c>
      <c r="C5" s="34" t="inlineStr">
        <is>
          <t>Viande de boeuf</t>
        </is>
      </c>
      <c r="D5" s="34" t="inlineStr">
        <is>
          <t>Viandes</t>
        </is>
      </c>
      <c r="E5" s="34" t="inlineStr">
        <is>
          <t>Frais</t>
        </is>
      </c>
      <c r="F5" s="34" t="inlineStr">
        <is>
          <t>kg</t>
        </is>
      </c>
      <c r="G5" s="35" t="n">
        <v>15</v>
      </c>
      <c r="H5" s="35" t="n">
        <v>35</v>
      </c>
      <c r="I5" s="36" t="n">
        <v>30</v>
      </c>
      <c r="J5" s="36" t="n">
        <v>5</v>
      </c>
      <c r="K5" s="36" t="n">
        <v>10</v>
      </c>
      <c r="L5" s="36" t="n">
        <v>8</v>
      </c>
      <c r="M5" s="34" t="inlineStr">
        <is>
          <t>Fournisseur B</t>
        </is>
      </c>
      <c r="N5" s="34">
        <f>IF(G5="","",IF(I5&lt;=0,"⚠️ RUPTURE",IF(I5&lt;=J5,"⚠️ CRITIQUE",IF(I5&lt;=K5,"⚡ ATTENTION","✓ OK"))))</f>
        <v/>
      </c>
    </row>
    <row r="6">
      <c r="A6" s="34" t="inlineStr">
        <is>
          <t>P003</t>
        </is>
      </c>
      <c r="B6" s="34" t="inlineStr">
        <is>
          <t>Riz</t>
        </is>
      </c>
      <c r="C6" s="34" t="inlineStr">
        <is>
          <t>Riz basmati</t>
        </is>
      </c>
      <c r="D6" s="34" t="inlineStr">
        <is>
          <t>Féculents</t>
        </is>
      </c>
      <c r="E6" s="34" t="inlineStr">
        <is>
          <t>Sec</t>
        </is>
      </c>
      <c r="F6" s="34" t="inlineStr">
        <is>
          <t>kg</t>
        </is>
      </c>
      <c r="G6" s="35" t="n">
        <v>3</v>
      </c>
      <c r="H6" s="35" t="n">
        <v>8</v>
      </c>
      <c r="I6" s="36" t="n">
        <v>100</v>
      </c>
      <c r="J6" s="36" t="n">
        <v>20</v>
      </c>
      <c r="K6" s="36" t="n">
        <v>30</v>
      </c>
      <c r="L6" s="36" t="n">
        <v>25</v>
      </c>
      <c r="M6" s="34" t="inlineStr">
        <is>
          <t>Fournisseur C</t>
        </is>
      </c>
      <c r="N6" s="34">
        <f>IF(G6="","",IF(I6&lt;=0,"⚠️ RUPTURE",IF(I6&lt;=J6,"⚠️ CRITIQUE",IF(I6&lt;=K6,"⚡ ATTENTION","✓ OK"))))</f>
        <v/>
      </c>
    </row>
    <row r="7">
      <c r="A7" s="34" t="inlineStr">
        <is>
          <t>P004</t>
        </is>
      </c>
      <c r="B7" s="34" t="inlineStr">
        <is>
          <t>Huile Olive</t>
        </is>
      </c>
      <c r="C7" s="34" t="inlineStr">
        <is>
          <t>Huile d'olive extra</t>
        </is>
      </c>
      <c r="D7" s="34" t="inlineStr">
        <is>
          <t>Condiments</t>
        </is>
      </c>
      <c r="E7" s="34" t="inlineStr">
        <is>
          <t>Sec</t>
        </is>
      </c>
      <c r="F7" s="34" t="inlineStr">
        <is>
          <t>L</t>
        </is>
      </c>
      <c r="G7" s="35" t="n">
        <v>8</v>
      </c>
      <c r="H7" s="35" t="n">
        <v>18</v>
      </c>
      <c r="I7" s="36" t="n">
        <v>25</v>
      </c>
      <c r="J7" s="36" t="n">
        <v>5</v>
      </c>
      <c r="K7" s="36" t="n">
        <v>10</v>
      </c>
      <c r="L7" s="36" t="n">
        <v>8</v>
      </c>
      <c r="M7" s="34" t="inlineStr">
        <is>
          <t>Fournisseur D</t>
        </is>
      </c>
      <c r="N7" s="34">
        <f>IF(G7="","",IF(I7&lt;=0,"⚠️ RUPTURE",IF(I7&lt;=J7,"⚠️ CRITIQUE",IF(I7&lt;=K7,"⚡ ATTENTION","✓ OK"))))</f>
        <v/>
      </c>
    </row>
    <row r="8">
      <c r="A8" s="34" t="inlineStr">
        <is>
          <t>P005</t>
        </is>
      </c>
      <c r="B8" s="34" t="inlineStr">
        <is>
          <t>Saumon</t>
        </is>
      </c>
      <c r="C8" s="34" t="inlineStr">
        <is>
          <t>Filet de saumon</t>
        </is>
      </c>
      <c r="D8" s="34" t="inlineStr">
        <is>
          <t>Poissons</t>
        </is>
      </c>
      <c r="E8" s="34" t="inlineStr">
        <is>
          <t>Frais</t>
        </is>
      </c>
      <c r="F8" s="34" t="inlineStr">
        <is>
          <t>kg</t>
        </is>
      </c>
      <c r="G8" s="35" t="n">
        <v>20</v>
      </c>
      <c r="H8" s="35" t="n">
        <v>45</v>
      </c>
      <c r="I8" s="36" t="n">
        <v>15</v>
      </c>
      <c r="J8" s="36" t="n">
        <v>5</v>
      </c>
      <c r="K8" s="36" t="n">
        <v>8</v>
      </c>
      <c r="L8" s="36" t="n">
        <v>6</v>
      </c>
      <c r="M8" s="34" t="inlineStr">
        <is>
          <t>Fournisseur B</t>
        </is>
      </c>
      <c r="N8" s="34">
        <f>IF(G8="","",IF(I8&lt;=0,"⚠️ RUPTURE",IF(I8&lt;=J8,"⚠️ CRITIQUE",IF(I8&lt;=K8,"⚡ ATTENTION","✓ OK"))))</f>
        <v/>
      </c>
    </row>
    <row r="9">
      <c r="N9">
        <f>IF(G9="","",IF(I9&lt;=0,"⚠️ RUPTURE",IF(I9&lt;=J9,"⚠️ CRITIQUE",IF(I9&lt;=K9,"⚡ ATTENTION","✓ OK"))))</f>
        <v/>
      </c>
    </row>
    <row r="10">
      <c r="N10">
        <f>IF(G10="","",IF(I10&lt;=0,"⚠️ RUPTURE",IF(I10&lt;=J10,"⚠️ CRITIQUE",IF(I10&lt;=K10,"⚡ ATTENTION","✓ OK"))))</f>
        <v/>
      </c>
    </row>
    <row r="11">
      <c r="N11">
        <f>IF(G11="","",IF(I11&lt;=0,"⚠️ RUPTURE",IF(I11&lt;=J11,"⚠️ CRITIQUE",IF(I11&lt;=K11,"⚡ ATTENTION","✓ OK"))))</f>
        <v/>
      </c>
    </row>
    <row r="12">
      <c r="N12">
        <f>IF(G12="","",IF(I12&lt;=0,"⚠️ RUPTURE",IF(I12&lt;=J12,"⚠️ CRITIQUE",IF(I12&lt;=K12,"⚡ ATTENTION","✓ OK"))))</f>
        <v/>
      </c>
    </row>
    <row r="13">
      <c r="N13">
        <f>IF(G13="","",IF(I13&lt;=0,"⚠️ RUPTURE",IF(I13&lt;=J13,"⚠️ CRITIQUE",IF(I13&lt;=K13,"⚡ ATTENTION","✓ OK"))))</f>
        <v/>
      </c>
    </row>
    <row r="14">
      <c r="N14">
        <f>IF(G14="","",IF(I14&lt;=0,"⚠️ RUPTURE",IF(I14&lt;=J14,"⚠️ CRITIQUE",IF(I14&lt;=K14,"⚡ ATTENTION","✓ OK"))))</f>
        <v/>
      </c>
    </row>
    <row r="15">
      <c r="N15">
        <f>IF(G15="","",IF(I15&lt;=0,"⚠️ RUPTURE",IF(I15&lt;=J15,"⚠️ CRITIQUE",IF(I15&lt;=K15,"⚡ ATTENTION","✓ OK"))))</f>
        <v/>
      </c>
    </row>
    <row r="16">
      <c r="N16">
        <f>IF(G16="","",IF(I16&lt;=0,"⚠️ RUPTURE",IF(I16&lt;=J16,"⚠️ CRITIQUE",IF(I16&lt;=K16,"⚡ ATTENTION","✓ OK"))))</f>
        <v/>
      </c>
    </row>
    <row r="17">
      <c r="N17">
        <f>IF(G17="","",IF(I17&lt;=0,"⚠️ RUPTURE",IF(I17&lt;=J17,"⚠️ CRITIQUE",IF(I17&lt;=K17,"⚡ ATTENTION","✓ OK"))))</f>
        <v/>
      </c>
    </row>
    <row r="18">
      <c r="N18">
        <f>IF(G18="","",IF(I18&lt;=0,"⚠️ RUPTURE",IF(I18&lt;=J18,"⚠️ CRITIQUE",IF(I18&lt;=K18,"⚡ ATTENTION","✓ OK"))))</f>
        <v/>
      </c>
    </row>
    <row r="19">
      <c r="N19">
        <f>IF(G19="","",IF(I19&lt;=0,"⚠️ RUPTURE",IF(I19&lt;=J19,"⚠️ CRITIQUE",IF(I19&lt;=K19,"⚡ ATTENTION","✓ OK"))))</f>
        <v/>
      </c>
    </row>
    <row r="20">
      <c r="N20">
        <f>IF(G20="","",IF(I20&lt;=0,"⚠️ RUPTURE",IF(I20&lt;=J20,"⚠️ CRITIQUE",IF(I20&lt;=K20,"⚡ ATTENTION","✓ OK"))))</f>
        <v/>
      </c>
    </row>
    <row r="21">
      <c r="N21">
        <f>IF(G21="","",IF(I21&lt;=0,"⚠️ RUPTURE",IF(I21&lt;=J21,"⚠️ CRITIQUE",IF(I21&lt;=K21,"⚡ ATTENTION","✓ OK"))))</f>
        <v/>
      </c>
    </row>
    <row r="22">
      <c r="N22">
        <f>IF(G22="","",IF(I22&lt;=0,"⚠️ RUPTURE",IF(I22&lt;=J22,"⚠️ CRITIQUE",IF(I22&lt;=K22,"⚡ ATTENTION","✓ OK"))))</f>
        <v/>
      </c>
    </row>
    <row r="23">
      <c r="N23">
        <f>IF(G23="","",IF(I23&lt;=0,"⚠️ RUPTURE",IF(I23&lt;=J23,"⚠️ CRITIQUE",IF(I23&lt;=K23,"⚡ ATTENTION","✓ OK"))))</f>
        <v/>
      </c>
    </row>
    <row r="24">
      <c r="N24">
        <f>IF(G24="","",IF(I24&lt;=0,"⚠️ RUPTURE",IF(I24&lt;=J24,"⚠️ CRITIQUE",IF(I24&lt;=K24,"⚡ ATTENTION","✓ OK"))))</f>
        <v/>
      </c>
    </row>
    <row r="25">
      <c r="N25">
        <f>IF(G25="","",IF(I25&lt;=0,"⚠️ RUPTURE",IF(I25&lt;=J25,"⚠️ CRITIQUE",IF(I25&lt;=K25,"⚡ ATTENTION","✓ OK"))))</f>
        <v/>
      </c>
    </row>
    <row r="26">
      <c r="N26">
        <f>IF(G26="","",IF(I26&lt;=0,"⚠️ RUPTURE",IF(I26&lt;=J26,"⚠️ CRITIQUE",IF(I26&lt;=K26,"⚡ ATTENTION","✓ OK"))))</f>
        <v/>
      </c>
    </row>
    <row r="27">
      <c r="N27">
        <f>IF(G27="","",IF(I27&lt;=0,"⚠️ RUPTURE",IF(I27&lt;=J27,"⚠️ CRITIQUE",IF(I27&lt;=K27,"⚡ ATTENTION","✓ OK"))))</f>
        <v/>
      </c>
    </row>
    <row r="28">
      <c r="N28">
        <f>IF(G28="","",IF(I28&lt;=0,"⚠️ RUPTURE",IF(I28&lt;=J28,"⚠️ CRITIQUE",IF(I28&lt;=K28,"⚡ ATTENTION","✓ OK"))))</f>
        <v/>
      </c>
    </row>
    <row r="29">
      <c r="N29">
        <f>IF(G29="","",IF(I29&lt;=0,"⚠️ RUPTURE",IF(I29&lt;=J29,"⚠️ CRITIQUE",IF(I29&lt;=K29,"⚡ ATTENTION","✓ OK"))))</f>
        <v/>
      </c>
    </row>
    <row r="30">
      <c r="N30">
        <f>IF(G30="","",IF(I30&lt;=0,"⚠️ RUPTURE",IF(I30&lt;=J30,"⚠️ CRITIQUE",IF(I30&lt;=K30,"⚡ ATTENTION","✓ OK"))))</f>
        <v/>
      </c>
    </row>
    <row r="31">
      <c r="N31">
        <f>IF(G31="","",IF(I31&lt;=0,"⚠️ RUPTURE",IF(I31&lt;=J31,"⚠️ CRITIQUE",IF(I31&lt;=K31,"⚡ ATTENTION","✓ OK"))))</f>
        <v/>
      </c>
    </row>
    <row r="32">
      <c r="N32">
        <f>IF(G32="","",IF(I32&lt;=0,"⚠️ RUPTURE",IF(I32&lt;=J32,"⚠️ CRITIQUE",IF(I32&lt;=K32,"⚡ ATTENTION","✓ OK"))))</f>
        <v/>
      </c>
    </row>
    <row r="33">
      <c r="N33">
        <f>IF(G33="","",IF(I33&lt;=0,"⚠️ RUPTURE",IF(I33&lt;=J33,"⚠️ CRITIQUE",IF(I33&lt;=K33,"⚡ ATTENTION","✓ OK"))))</f>
        <v/>
      </c>
    </row>
    <row r="34">
      <c r="N34">
        <f>IF(G34="","",IF(I34&lt;=0,"⚠️ RUPTURE",IF(I34&lt;=J34,"⚠️ CRITIQUE",IF(I34&lt;=K34,"⚡ ATTENTION","✓ OK"))))</f>
        <v/>
      </c>
    </row>
    <row r="35">
      <c r="N35">
        <f>IF(G35="","",IF(I35&lt;=0,"⚠️ RUPTURE",IF(I35&lt;=J35,"⚠️ CRITIQUE",IF(I35&lt;=K35,"⚡ ATTENTION","✓ OK"))))</f>
        <v/>
      </c>
    </row>
    <row r="36">
      <c r="N36">
        <f>IF(G36="","",IF(I36&lt;=0,"⚠️ RUPTURE",IF(I36&lt;=J36,"⚠️ CRITIQUE",IF(I36&lt;=K36,"⚡ ATTENTION","✓ OK"))))</f>
        <v/>
      </c>
    </row>
    <row r="37">
      <c r="N37">
        <f>IF(G37="","",IF(I37&lt;=0,"⚠️ RUPTURE",IF(I37&lt;=J37,"⚠️ CRITIQUE",IF(I37&lt;=K37,"⚡ ATTENTION","✓ OK"))))</f>
        <v/>
      </c>
    </row>
    <row r="38">
      <c r="N38">
        <f>IF(G38="","",IF(I38&lt;=0,"⚠️ RUPTURE",IF(I38&lt;=J38,"⚠️ CRITIQUE",IF(I38&lt;=K38,"⚡ ATTENTION","✓ OK"))))</f>
        <v/>
      </c>
    </row>
    <row r="39">
      <c r="N39">
        <f>IF(G39="","",IF(I39&lt;=0,"⚠️ RUPTURE",IF(I39&lt;=J39,"⚠️ CRITIQUE",IF(I39&lt;=K39,"⚡ ATTENTION","✓ OK"))))</f>
        <v/>
      </c>
    </row>
    <row r="40">
      <c r="N40">
        <f>IF(G40="","",IF(I40&lt;=0,"⚠️ RUPTURE",IF(I40&lt;=J40,"⚠️ CRITIQUE",IF(I40&lt;=K40,"⚡ ATTENTION","✓ OK"))))</f>
        <v/>
      </c>
    </row>
    <row r="41">
      <c r="N41">
        <f>IF(G41="","",IF(I41&lt;=0,"⚠️ RUPTURE",IF(I41&lt;=J41,"⚠️ CRITIQUE",IF(I41&lt;=K41,"⚡ ATTENTION","✓ OK"))))</f>
        <v/>
      </c>
    </row>
    <row r="42">
      <c r="N42">
        <f>IF(G42="","",IF(I42&lt;=0,"⚠️ RUPTURE",IF(I42&lt;=J42,"⚠️ CRITIQUE",IF(I42&lt;=K42,"⚡ ATTENTION","✓ OK"))))</f>
        <v/>
      </c>
    </row>
    <row r="43">
      <c r="N43">
        <f>IF(G43="","",IF(I43&lt;=0,"⚠️ RUPTURE",IF(I43&lt;=J43,"⚠️ CRITIQUE",IF(I43&lt;=K43,"⚡ ATTENTION","✓ OK"))))</f>
        <v/>
      </c>
    </row>
    <row r="44">
      <c r="N44">
        <f>IF(G44="","",IF(I44&lt;=0,"⚠️ RUPTURE",IF(I44&lt;=J44,"⚠️ CRITIQUE",IF(I44&lt;=K44,"⚡ ATTENTION","✓ OK"))))</f>
        <v/>
      </c>
    </row>
    <row r="45">
      <c r="N45">
        <f>IF(G45="","",IF(I45&lt;=0,"⚠️ RUPTURE",IF(I45&lt;=J45,"⚠️ CRITIQUE",IF(I45&lt;=K45,"⚡ ATTENTION","✓ OK"))))</f>
        <v/>
      </c>
    </row>
    <row r="46">
      <c r="N46">
        <f>IF(G46="","",IF(I46&lt;=0,"⚠️ RUPTURE",IF(I46&lt;=J46,"⚠️ CRITIQUE",IF(I46&lt;=K46,"⚡ ATTENTION","✓ OK"))))</f>
        <v/>
      </c>
    </row>
    <row r="47">
      <c r="N47">
        <f>IF(G47="","",IF(I47&lt;=0,"⚠️ RUPTURE",IF(I47&lt;=J47,"⚠️ CRITIQUE",IF(I47&lt;=K47,"⚡ ATTENTION","✓ OK"))))</f>
        <v/>
      </c>
    </row>
    <row r="48">
      <c r="N48">
        <f>IF(G48="","",IF(I48&lt;=0,"⚠️ RUPTURE",IF(I48&lt;=J48,"⚠️ CRITIQUE",IF(I48&lt;=K48,"⚡ ATTENTION","✓ OK"))))</f>
        <v/>
      </c>
    </row>
    <row r="49">
      <c r="N49">
        <f>IF(G49="","",IF(I49&lt;=0,"⚠️ RUPTURE",IF(I49&lt;=J49,"⚠️ CRITIQUE",IF(I49&lt;=K49,"⚡ ATTENTION","✓ OK"))))</f>
        <v/>
      </c>
    </row>
    <row r="50">
      <c r="N50">
        <f>IF(G50="","",IF(I50&lt;=0,"⚠️ RUPTURE",IF(I50&lt;=J50,"⚠️ CRITIQUE",IF(I50&lt;=K50,"⚡ ATTENTION","✓ OK"))))</f>
        <v/>
      </c>
    </row>
    <row r="51">
      <c r="N51">
        <f>IF(G51="","",IF(I51&lt;=0,"⚠️ RUPTURE",IF(I51&lt;=J51,"⚠️ CRITIQUE",IF(I51&lt;=K51,"⚡ ATTENTION","✓ OK"))))</f>
        <v/>
      </c>
    </row>
    <row r="52">
      <c r="N52">
        <f>IF(G52="","",IF(I52&lt;=0,"⚠️ RUPTURE",IF(I52&lt;=J52,"⚠️ CRITIQUE",IF(I52&lt;=K52,"⚡ ATTENTION","✓ OK"))))</f>
        <v/>
      </c>
    </row>
    <row r="53">
      <c r="N53">
        <f>IF(G53="","",IF(I53&lt;=0,"⚠️ RUPTURE",IF(I53&lt;=J53,"⚠️ CRITIQUE",IF(I53&lt;=K53,"⚡ ATTENTION","✓ OK"))))</f>
        <v/>
      </c>
    </row>
    <row r="54">
      <c r="N54">
        <f>IF(G54="","",IF(I54&lt;=0,"⚠️ RUPTURE",IF(I54&lt;=J54,"⚠️ CRITIQUE",IF(I54&lt;=K54,"⚡ ATTENTION","✓ OK"))))</f>
        <v/>
      </c>
    </row>
    <row r="55">
      <c r="N55">
        <f>IF(G55="","",IF(I55&lt;=0,"⚠️ RUPTURE",IF(I55&lt;=J55,"⚠️ CRITIQUE",IF(I55&lt;=K55,"⚡ ATTENTION","✓ OK"))))</f>
        <v/>
      </c>
    </row>
    <row r="56">
      <c r="N56">
        <f>IF(G56="","",IF(I56&lt;=0,"⚠️ RUPTURE",IF(I56&lt;=J56,"⚠️ CRITIQUE",IF(I56&lt;=K56,"⚡ ATTENTION","✓ OK"))))</f>
        <v/>
      </c>
    </row>
    <row r="57">
      <c r="N57">
        <f>IF(G57="","",IF(I57&lt;=0,"⚠️ RUPTURE",IF(I57&lt;=J57,"⚠️ CRITIQUE",IF(I57&lt;=K57,"⚡ ATTENTION","✓ OK"))))</f>
        <v/>
      </c>
    </row>
    <row r="58">
      <c r="N58">
        <f>IF(G58="","",IF(I58&lt;=0,"⚠️ RUPTURE",IF(I58&lt;=J58,"⚠️ CRITIQUE",IF(I58&lt;=K58,"⚡ ATTENTION","✓ OK"))))</f>
        <v/>
      </c>
    </row>
    <row r="59">
      <c r="N59">
        <f>IF(G59="","",IF(I59&lt;=0,"⚠️ RUPTURE",IF(I59&lt;=J59,"⚠️ CRITIQUE",IF(I59&lt;=K59,"⚡ ATTENTION","✓ OK"))))</f>
        <v/>
      </c>
    </row>
    <row r="60">
      <c r="N60">
        <f>IF(G60="","",IF(I60&lt;=0,"⚠️ RUPTURE",IF(I60&lt;=J60,"⚠️ CRITIQUE",IF(I60&lt;=K60,"⚡ ATTENTION","✓ OK"))))</f>
        <v/>
      </c>
    </row>
    <row r="61">
      <c r="N61">
        <f>IF(G61="","",IF(I61&lt;=0,"⚠️ RUPTURE",IF(I61&lt;=J61,"⚠️ CRITIQUE",IF(I61&lt;=K61,"⚡ ATTENTION","✓ OK"))))</f>
        <v/>
      </c>
    </row>
    <row r="62">
      <c r="N62">
        <f>IF(G62="","",IF(I62&lt;=0,"⚠️ RUPTURE",IF(I62&lt;=J62,"⚠️ CRITIQUE",IF(I62&lt;=K62,"⚡ ATTENTION","✓ OK"))))</f>
        <v/>
      </c>
    </row>
    <row r="63">
      <c r="N63">
        <f>IF(G63="","",IF(I63&lt;=0,"⚠️ RUPTURE",IF(I63&lt;=J63,"⚠️ CRITIQUE",IF(I63&lt;=K63,"⚡ ATTENTION","✓ OK"))))</f>
        <v/>
      </c>
    </row>
    <row r="64">
      <c r="N64">
        <f>IF(G64="","",IF(I64&lt;=0,"⚠️ RUPTURE",IF(I64&lt;=J64,"⚠️ CRITIQUE",IF(I64&lt;=K64,"⚡ ATTENTION","✓ OK"))))</f>
        <v/>
      </c>
    </row>
    <row r="65">
      <c r="N65">
        <f>IF(G65="","",IF(I65&lt;=0,"⚠️ RUPTURE",IF(I65&lt;=J65,"⚠️ CRITIQUE",IF(I65&lt;=K65,"⚡ ATTENTION","✓ OK"))))</f>
        <v/>
      </c>
    </row>
    <row r="66">
      <c r="N66">
        <f>IF(G66="","",IF(I66&lt;=0,"⚠️ RUPTURE",IF(I66&lt;=J66,"⚠️ CRITIQUE",IF(I66&lt;=K66,"⚡ ATTENTION","✓ OK"))))</f>
        <v/>
      </c>
    </row>
    <row r="67">
      <c r="N67">
        <f>IF(G67="","",IF(I67&lt;=0,"⚠️ RUPTURE",IF(I67&lt;=J67,"⚠️ CRITIQUE",IF(I67&lt;=K67,"⚡ ATTENTION","✓ OK"))))</f>
        <v/>
      </c>
    </row>
    <row r="68">
      <c r="N68">
        <f>IF(G68="","",IF(I68&lt;=0,"⚠️ RUPTURE",IF(I68&lt;=J68,"⚠️ CRITIQUE",IF(I68&lt;=K68,"⚡ ATTENTION","✓ OK"))))</f>
        <v/>
      </c>
    </row>
    <row r="69">
      <c r="N69">
        <f>IF(G69="","",IF(I69&lt;=0,"⚠️ RUPTURE",IF(I69&lt;=J69,"⚠️ CRITIQUE",IF(I69&lt;=K69,"⚡ ATTENTION","✓ OK"))))</f>
        <v/>
      </c>
    </row>
    <row r="70">
      <c r="N70">
        <f>IF(G70="","",IF(I70&lt;=0,"⚠️ RUPTURE",IF(I70&lt;=J70,"⚠️ CRITIQUE",IF(I70&lt;=K70,"⚡ ATTENTION","✓ OK"))))</f>
        <v/>
      </c>
    </row>
    <row r="71">
      <c r="N71">
        <f>IF(G71="","",IF(I71&lt;=0,"⚠️ RUPTURE",IF(I71&lt;=J71,"⚠️ CRITIQUE",IF(I71&lt;=K71,"⚡ ATTENTION","✓ OK"))))</f>
        <v/>
      </c>
    </row>
    <row r="72">
      <c r="N72">
        <f>IF(G72="","",IF(I72&lt;=0,"⚠️ RUPTURE",IF(I72&lt;=J72,"⚠️ CRITIQUE",IF(I72&lt;=K72,"⚡ ATTENTION","✓ OK"))))</f>
        <v/>
      </c>
    </row>
    <row r="73">
      <c r="N73">
        <f>IF(G73="","",IF(I73&lt;=0,"⚠️ RUPTURE",IF(I73&lt;=J73,"⚠️ CRITIQUE",IF(I73&lt;=K73,"⚡ ATTENTION","✓ OK"))))</f>
        <v/>
      </c>
    </row>
    <row r="74">
      <c r="N74">
        <f>IF(G74="","",IF(I74&lt;=0,"⚠️ RUPTURE",IF(I74&lt;=J74,"⚠️ CRITIQUE",IF(I74&lt;=K74,"⚡ ATTENTION","✓ OK"))))</f>
        <v/>
      </c>
    </row>
    <row r="75">
      <c r="N75">
        <f>IF(G75="","",IF(I75&lt;=0,"⚠️ RUPTURE",IF(I75&lt;=J75,"⚠️ CRITIQUE",IF(I75&lt;=K75,"⚡ ATTENTION","✓ OK"))))</f>
        <v/>
      </c>
    </row>
    <row r="76">
      <c r="N76">
        <f>IF(G76="","",IF(I76&lt;=0,"⚠️ RUPTURE",IF(I76&lt;=J76,"⚠️ CRITIQUE",IF(I76&lt;=K76,"⚡ ATTENTION","✓ OK"))))</f>
        <v/>
      </c>
    </row>
    <row r="77">
      <c r="N77">
        <f>IF(G77="","",IF(I77&lt;=0,"⚠️ RUPTURE",IF(I77&lt;=J77,"⚠️ CRITIQUE",IF(I77&lt;=K77,"⚡ ATTENTION","✓ OK"))))</f>
        <v/>
      </c>
    </row>
    <row r="78">
      <c r="N78">
        <f>IF(G78="","",IF(I78&lt;=0,"⚠️ RUPTURE",IF(I78&lt;=J78,"⚠️ CRITIQUE",IF(I78&lt;=K78,"⚡ ATTENTION","✓ OK"))))</f>
        <v/>
      </c>
    </row>
    <row r="79">
      <c r="N79">
        <f>IF(G79="","",IF(I79&lt;=0,"⚠️ RUPTURE",IF(I79&lt;=J79,"⚠️ CRITIQUE",IF(I79&lt;=K79,"⚡ ATTENTION","✓ OK"))))</f>
        <v/>
      </c>
    </row>
    <row r="80">
      <c r="N80">
        <f>IF(G80="","",IF(I80&lt;=0,"⚠️ RUPTURE",IF(I80&lt;=J80,"⚠️ CRITIQUE",IF(I80&lt;=K80,"⚡ ATTENTION","✓ OK"))))</f>
        <v/>
      </c>
    </row>
    <row r="81">
      <c r="N81">
        <f>IF(G81="","",IF(I81&lt;=0,"⚠️ RUPTURE",IF(I81&lt;=J81,"⚠️ CRITIQUE",IF(I81&lt;=K81,"⚡ ATTENTION","✓ OK"))))</f>
        <v/>
      </c>
    </row>
    <row r="82">
      <c r="N82">
        <f>IF(G82="","",IF(I82&lt;=0,"⚠️ RUPTURE",IF(I82&lt;=J82,"⚠️ CRITIQUE",IF(I82&lt;=K82,"⚡ ATTENTION","✓ OK"))))</f>
        <v/>
      </c>
    </row>
    <row r="83">
      <c r="N83">
        <f>IF(G83="","",IF(I83&lt;=0,"⚠️ RUPTURE",IF(I83&lt;=J83,"⚠️ CRITIQUE",IF(I83&lt;=K83,"⚡ ATTENTION","✓ OK"))))</f>
        <v/>
      </c>
    </row>
    <row r="84">
      <c r="N84">
        <f>IF(G84="","",IF(I84&lt;=0,"⚠️ RUPTURE",IF(I84&lt;=J84,"⚠️ CRITIQUE",IF(I84&lt;=K84,"⚡ ATTENTION","✓ OK"))))</f>
        <v/>
      </c>
    </row>
    <row r="85">
      <c r="N85">
        <f>IF(G85="","",IF(I85&lt;=0,"⚠️ RUPTURE",IF(I85&lt;=J85,"⚠️ CRITIQUE",IF(I85&lt;=K85,"⚡ ATTENTION","✓ OK"))))</f>
        <v/>
      </c>
    </row>
    <row r="86">
      <c r="N86">
        <f>IF(G86="","",IF(I86&lt;=0,"⚠️ RUPTURE",IF(I86&lt;=J86,"⚠️ CRITIQUE",IF(I86&lt;=K86,"⚡ ATTENTION","✓ OK"))))</f>
        <v/>
      </c>
    </row>
    <row r="87">
      <c r="N87">
        <f>IF(G87="","",IF(I87&lt;=0,"⚠️ RUPTURE",IF(I87&lt;=J87,"⚠️ CRITIQUE",IF(I87&lt;=K87,"⚡ ATTENTION","✓ OK"))))</f>
        <v/>
      </c>
    </row>
    <row r="88">
      <c r="N88">
        <f>IF(G88="","",IF(I88&lt;=0,"⚠️ RUPTURE",IF(I88&lt;=J88,"⚠️ CRITIQUE",IF(I88&lt;=K88,"⚡ ATTENTION","✓ OK"))))</f>
        <v/>
      </c>
    </row>
    <row r="89">
      <c r="N89">
        <f>IF(G89="","",IF(I89&lt;=0,"⚠️ RUPTURE",IF(I89&lt;=J89,"⚠️ CRITIQUE",IF(I89&lt;=K89,"⚡ ATTENTION","✓ OK"))))</f>
        <v/>
      </c>
    </row>
    <row r="90">
      <c r="N90">
        <f>IF(G90="","",IF(I90&lt;=0,"⚠️ RUPTURE",IF(I90&lt;=J90,"⚠️ CRITIQUE",IF(I90&lt;=K90,"⚡ ATTENTION","✓ OK"))))</f>
        <v/>
      </c>
    </row>
    <row r="91">
      <c r="N91">
        <f>IF(G91="","",IF(I91&lt;=0,"⚠️ RUPTURE",IF(I91&lt;=J91,"⚠️ CRITIQUE",IF(I91&lt;=K91,"⚡ ATTENTION","✓ OK"))))</f>
        <v/>
      </c>
    </row>
    <row r="92">
      <c r="N92">
        <f>IF(G92="","",IF(I92&lt;=0,"⚠️ RUPTURE",IF(I92&lt;=J92,"⚠️ CRITIQUE",IF(I92&lt;=K92,"⚡ ATTENTION","✓ OK"))))</f>
        <v/>
      </c>
    </row>
    <row r="93">
      <c r="N93">
        <f>IF(G93="","",IF(I93&lt;=0,"⚠️ RUPTURE",IF(I93&lt;=J93,"⚠️ CRITIQUE",IF(I93&lt;=K93,"⚡ ATTENTION","✓ OK"))))</f>
        <v/>
      </c>
    </row>
    <row r="94">
      <c r="N94">
        <f>IF(G94="","",IF(I94&lt;=0,"⚠️ RUPTURE",IF(I94&lt;=J94,"⚠️ CRITIQUE",IF(I94&lt;=K94,"⚡ ATTENTION","✓ OK"))))</f>
        <v/>
      </c>
    </row>
    <row r="95">
      <c r="N95">
        <f>IF(G95="","",IF(I95&lt;=0,"⚠️ RUPTURE",IF(I95&lt;=J95,"⚠️ CRITIQUE",IF(I95&lt;=K95,"⚡ ATTENTION","✓ OK"))))</f>
        <v/>
      </c>
    </row>
    <row r="96">
      <c r="N96">
        <f>IF(G96="","",IF(I96&lt;=0,"⚠️ RUPTURE",IF(I96&lt;=J96,"⚠️ CRITIQUE",IF(I96&lt;=K96,"⚡ ATTENTION","✓ OK"))))</f>
        <v/>
      </c>
    </row>
    <row r="97">
      <c r="N97">
        <f>IF(G97="","",IF(I97&lt;=0,"⚠️ RUPTURE",IF(I97&lt;=J97,"⚠️ CRITIQUE",IF(I97&lt;=K97,"⚡ ATTENTION","✓ OK"))))</f>
        <v/>
      </c>
    </row>
    <row r="98">
      <c r="N98">
        <f>IF(G98="","",IF(I98&lt;=0,"⚠️ RUPTURE",IF(I98&lt;=J98,"⚠️ CRITIQUE",IF(I98&lt;=K98,"⚡ ATTENTION","✓ OK"))))</f>
        <v/>
      </c>
    </row>
    <row r="99">
      <c r="N99">
        <f>IF(G99="","",IF(I99&lt;=0,"⚠️ RUPTURE",IF(I99&lt;=J99,"⚠️ CRITIQUE",IF(I99&lt;=K99,"⚡ ATTENTION","✓ OK"))))</f>
        <v/>
      </c>
    </row>
    <row r="100">
      <c r="N100">
        <f>IF(G100="","",IF(I100&lt;=0,"⚠️ RUPTURE",IF(I100&lt;=J100,"⚠️ CRITIQUE",IF(I100&lt;=K100,"⚡ ATTENTION","✓ OK"))))</f>
        <v/>
      </c>
    </row>
    <row r="101">
      <c r="N101">
        <f>IF(G101="","",IF(I101&lt;=0,"⚠️ RUPTURE",IF(I101&lt;=J101,"⚠️ CRITIQUE",IF(I101&lt;=K101,"⚡ ATTENTION","✓ OK"))))</f>
        <v/>
      </c>
    </row>
    <row r="102">
      <c r="N102">
        <f>IF(G102="","",IF(I102&lt;=0,"⚠️ RUPTURE",IF(I102&lt;=J102,"⚠️ CRITIQUE",IF(I102&lt;=K102,"⚡ ATTENTION","✓ OK"))))</f>
        <v/>
      </c>
    </row>
    <row r="103">
      <c r="N103">
        <f>IF(G103="","",IF(I103&lt;=0,"⚠️ RUPTURE",IF(I103&lt;=J103,"⚠️ CRITIQUE",IF(I103&lt;=K103,"⚡ ATTENTION","✓ OK"))))</f>
        <v/>
      </c>
    </row>
    <row r="104">
      <c r="N104">
        <f>IF(G104="","",IF(I104&lt;=0,"⚠️ RUPTURE",IF(I104&lt;=J104,"⚠️ CRITIQUE",IF(I104&lt;=K104,"⚡ ATTENTION","✓ OK"))))</f>
        <v/>
      </c>
    </row>
    <row r="105">
      <c r="N105">
        <f>IF(G105="","",IF(I105&lt;=0,"⚠️ RUPTURE",IF(I105&lt;=J105,"⚠️ CRITIQUE",IF(I105&lt;=K105,"⚡ ATTENTION","✓ OK"))))</f>
        <v/>
      </c>
    </row>
    <row r="106">
      <c r="N106">
        <f>IF(G106="","",IF(I106&lt;=0,"⚠️ RUPTURE",IF(I106&lt;=J106,"⚠️ CRITIQUE",IF(I106&lt;=K106,"⚡ ATTENTION","✓ OK"))))</f>
        <v/>
      </c>
    </row>
    <row r="107">
      <c r="N107">
        <f>IF(G107="","",IF(I107&lt;=0,"⚠️ RUPTURE",IF(I107&lt;=J107,"⚠️ CRITIQUE",IF(I107&lt;=K107,"⚡ ATTENTION","✓ OK"))))</f>
        <v/>
      </c>
    </row>
    <row r="108">
      <c r="N108">
        <f>IF(G108="","",IF(I108&lt;=0,"⚠️ RUPTURE",IF(I108&lt;=J108,"⚠️ CRITIQUE",IF(I108&lt;=K108,"⚡ ATTENTION","✓ OK"))))</f>
        <v/>
      </c>
    </row>
    <row r="109">
      <c r="N109">
        <f>IF(G109="","",IF(I109&lt;=0,"⚠️ RUPTURE",IF(I109&lt;=J109,"⚠️ CRITIQUE",IF(I109&lt;=K109,"⚡ ATTENTION","✓ OK"))))</f>
        <v/>
      </c>
    </row>
    <row r="110">
      <c r="N110">
        <f>IF(G110="","",IF(I110&lt;=0,"⚠️ RUPTURE",IF(I110&lt;=J110,"⚠️ CRITIQUE",IF(I110&lt;=K110,"⚡ ATTENTION","✓ OK"))))</f>
        <v/>
      </c>
    </row>
    <row r="111">
      <c r="N111">
        <f>IF(G111="","",IF(I111&lt;=0,"⚠️ RUPTURE",IF(I111&lt;=J111,"⚠️ CRITIQUE",IF(I111&lt;=K111,"⚡ ATTENTION","✓ OK"))))</f>
        <v/>
      </c>
    </row>
    <row r="112">
      <c r="N112">
        <f>IF(G112="","",IF(I112&lt;=0,"⚠️ RUPTURE",IF(I112&lt;=J112,"⚠️ CRITIQUE",IF(I112&lt;=K112,"⚡ ATTENTION","✓ OK"))))</f>
        <v/>
      </c>
    </row>
    <row r="113">
      <c r="N113">
        <f>IF(G113="","",IF(I113&lt;=0,"⚠️ RUPTURE",IF(I113&lt;=J113,"⚠️ CRITIQUE",IF(I113&lt;=K113,"⚡ ATTENTION","✓ OK"))))</f>
        <v/>
      </c>
    </row>
    <row r="114">
      <c r="N114">
        <f>IF(G114="","",IF(I114&lt;=0,"⚠️ RUPTURE",IF(I114&lt;=J114,"⚠️ CRITIQUE",IF(I114&lt;=K114,"⚡ ATTENTION","✓ OK"))))</f>
        <v/>
      </c>
    </row>
    <row r="115">
      <c r="N115">
        <f>IF(G115="","",IF(I115&lt;=0,"⚠️ RUPTURE",IF(I115&lt;=J115,"⚠️ CRITIQUE",IF(I115&lt;=K115,"⚡ ATTENTION","✓ OK"))))</f>
        <v/>
      </c>
    </row>
    <row r="116">
      <c r="N116">
        <f>IF(G116="","",IF(I116&lt;=0,"⚠️ RUPTURE",IF(I116&lt;=J116,"⚠️ CRITIQUE",IF(I116&lt;=K116,"⚡ ATTENTION","✓ OK"))))</f>
        <v/>
      </c>
    </row>
    <row r="117">
      <c r="N117">
        <f>IF(G117="","",IF(I117&lt;=0,"⚠️ RUPTURE",IF(I117&lt;=J117,"⚠️ CRITIQUE",IF(I117&lt;=K117,"⚡ ATTENTION","✓ OK"))))</f>
        <v/>
      </c>
    </row>
    <row r="118">
      <c r="N118">
        <f>IF(G118="","",IF(I118&lt;=0,"⚠️ RUPTURE",IF(I118&lt;=J118,"⚠️ CRITIQUE",IF(I118&lt;=K118,"⚡ ATTENTION","✓ OK"))))</f>
        <v/>
      </c>
    </row>
    <row r="119">
      <c r="N119">
        <f>IF(G119="","",IF(I119&lt;=0,"⚠️ RUPTURE",IF(I119&lt;=J119,"⚠️ CRITIQUE",IF(I119&lt;=K119,"⚡ ATTENTION","✓ OK"))))</f>
        <v/>
      </c>
    </row>
    <row r="120">
      <c r="N120">
        <f>IF(G120="","",IF(I120&lt;=0,"⚠️ RUPTURE",IF(I120&lt;=J120,"⚠️ CRITIQUE",IF(I120&lt;=K120,"⚡ ATTENTION","✓ OK"))))</f>
        <v/>
      </c>
    </row>
    <row r="121">
      <c r="N121">
        <f>IF(G121="","",IF(I121&lt;=0,"⚠️ RUPTURE",IF(I121&lt;=J121,"⚠️ CRITIQUE",IF(I121&lt;=K121,"⚡ ATTENTION","✓ OK"))))</f>
        <v/>
      </c>
    </row>
    <row r="122">
      <c r="N122">
        <f>IF(G122="","",IF(I122&lt;=0,"⚠️ RUPTURE",IF(I122&lt;=J122,"⚠️ CRITIQUE",IF(I122&lt;=K122,"⚡ ATTENTION","✓ OK"))))</f>
        <v/>
      </c>
    </row>
    <row r="123">
      <c r="N123">
        <f>IF(G123="","",IF(I123&lt;=0,"⚠️ RUPTURE",IF(I123&lt;=J123,"⚠️ CRITIQUE",IF(I123&lt;=K123,"⚡ ATTENTION","✓ OK"))))</f>
        <v/>
      </c>
    </row>
    <row r="124">
      <c r="N124">
        <f>IF(G124="","",IF(I124&lt;=0,"⚠️ RUPTURE",IF(I124&lt;=J124,"⚠️ CRITIQUE",IF(I124&lt;=K124,"⚡ ATTENTION","✓ OK"))))</f>
        <v/>
      </c>
    </row>
    <row r="125">
      <c r="N125">
        <f>IF(G125="","",IF(I125&lt;=0,"⚠️ RUPTURE",IF(I125&lt;=J125,"⚠️ CRITIQUE",IF(I125&lt;=K125,"⚡ ATTENTION","✓ OK"))))</f>
        <v/>
      </c>
    </row>
    <row r="126">
      <c r="N126">
        <f>IF(G126="","",IF(I126&lt;=0,"⚠️ RUPTURE",IF(I126&lt;=J126,"⚠️ CRITIQUE",IF(I126&lt;=K126,"⚡ ATTENTION","✓ OK"))))</f>
        <v/>
      </c>
    </row>
    <row r="127">
      <c r="N127">
        <f>IF(G127="","",IF(I127&lt;=0,"⚠️ RUPTURE",IF(I127&lt;=J127,"⚠️ CRITIQUE",IF(I127&lt;=K127,"⚡ ATTENTION","✓ OK"))))</f>
        <v/>
      </c>
    </row>
    <row r="128">
      <c r="N128">
        <f>IF(G128="","",IF(I128&lt;=0,"⚠️ RUPTURE",IF(I128&lt;=J128,"⚠️ CRITIQUE",IF(I128&lt;=K128,"⚡ ATTENTION","✓ OK"))))</f>
        <v/>
      </c>
    </row>
    <row r="129">
      <c r="N129">
        <f>IF(G129="","",IF(I129&lt;=0,"⚠️ RUPTURE",IF(I129&lt;=J129,"⚠️ CRITIQUE",IF(I129&lt;=K129,"⚡ ATTENTION","✓ OK"))))</f>
        <v/>
      </c>
    </row>
    <row r="130">
      <c r="N130">
        <f>IF(G130="","",IF(I130&lt;=0,"⚠️ RUPTURE",IF(I130&lt;=J130,"⚠️ CRITIQUE",IF(I130&lt;=K130,"⚡ ATTENTION","✓ OK"))))</f>
        <v/>
      </c>
    </row>
    <row r="131">
      <c r="N131">
        <f>IF(G131="","",IF(I131&lt;=0,"⚠️ RUPTURE",IF(I131&lt;=J131,"⚠️ CRITIQUE",IF(I131&lt;=K131,"⚡ ATTENTION","✓ OK"))))</f>
        <v/>
      </c>
    </row>
    <row r="132">
      <c r="N132">
        <f>IF(G132="","",IF(I132&lt;=0,"⚠️ RUPTURE",IF(I132&lt;=J132,"⚠️ CRITIQUE",IF(I132&lt;=K132,"⚡ ATTENTION","✓ OK"))))</f>
        <v/>
      </c>
    </row>
    <row r="133">
      <c r="N133">
        <f>IF(G133="","",IF(I133&lt;=0,"⚠️ RUPTURE",IF(I133&lt;=J133,"⚠️ CRITIQUE",IF(I133&lt;=K133,"⚡ ATTENTION","✓ OK"))))</f>
        <v/>
      </c>
    </row>
    <row r="134">
      <c r="N134">
        <f>IF(G134="","",IF(I134&lt;=0,"⚠️ RUPTURE",IF(I134&lt;=J134,"⚠️ CRITIQUE",IF(I134&lt;=K134,"⚡ ATTENTION","✓ OK"))))</f>
        <v/>
      </c>
    </row>
    <row r="135">
      <c r="N135">
        <f>IF(G135="","",IF(I135&lt;=0,"⚠️ RUPTURE",IF(I135&lt;=J135,"⚠️ CRITIQUE",IF(I135&lt;=K135,"⚡ ATTENTION","✓ OK"))))</f>
        <v/>
      </c>
    </row>
    <row r="136">
      <c r="N136">
        <f>IF(G136="","",IF(I136&lt;=0,"⚠️ RUPTURE",IF(I136&lt;=J136,"⚠️ CRITIQUE",IF(I136&lt;=K136,"⚡ ATTENTION","✓ OK"))))</f>
        <v/>
      </c>
    </row>
    <row r="137">
      <c r="N137">
        <f>IF(G137="","",IF(I137&lt;=0,"⚠️ RUPTURE",IF(I137&lt;=J137,"⚠️ CRITIQUE",IF(I137&lt;=K137,"⚡ ATTENTION","✓ OK"))))</f>
        <v/>
      </c>
    </row>
    <row r="138">
      <c r="N138">
        <f>IF(G138="","",IF(I138&lt;=0,"⚠️ RUPTURE",IF(I138&lt;=J138,"⚠️ CRITIQUE",IF(I138&lt;=K138,"⚡ ATTENTION","✓ OK"))))</f>
        <v/>
      </c>
    </row>
    <row r="139">
      <c r="N139">
        <f>IF(G139="","",IF(I139&lt;=0,"⚠️ RUPTURE",IF(I139&lt;=J139,"⚠️ CRITIQUE",IF(I139&lt;=K139,"⚡ ATTENTION","✓ OK"))))</f>
        <v/>
      </c>
    </row>
    <row r="140">
      <c r="N140">
        <f>IF(G140="","",IF(I140&lt;=0,"⚠️ RUPTURE",IF(I140&lt;=J140,"⚠️ CRITIQUE",IF(I140&lt;=K140,"⚡ ATTENTION","✓ OK"))))</f>
        <v/>
      </c>
    </row>
    <row r="141">
      <c r="N141">
        <f>IF(G141="","",IF(I141&lt;=0,"⚠️ RUPTURE",IF(I141&lt;=J141,"⚠️ CRITIQUE",IF(I141&lt;=K141,"⚡ ATTENTION","✓ OK"))))</f>
        <v/>
      </c>
    </row>
    <row r="142">
      <c r="N142">
        <f>IF(G142="","",IF(I142&lt;=0,"⚠️ RUPTURE",IF(I142&lt;=J142,"⚠️ CRITIQUE",IF(I142&lt;=K142,"⚡ ATTENTION","✓ OK"))))</f>
        <v/>
      </c>
    </row>
    <row r="143">
      <c r="N143">
        <f>IF(G143="","",IF(I143&lt;=0,"⚠️ RUPTURE",IF(I143&lt;=J143,"⚠️ CRITIQUE",IF(I143&lt;=K143,"⚡ ATTENTION","✓ OK"))))</f>
        <v/>
      </c>
    </row>
    <row r="144">
      <c r="N144">
        <f>IF(G144="","",IF(I144&lt;=0,"⚠️ RUPTURE",IF(I144&lt;=J144,"⚠️ CRITIQUE",IF(I144&lt;=K144,"⚡ ATTENTION","✓ OK"))))</f>
        <v/>
      </c>
    </row>
    <row r="145">
      <c r="N145">
        <f>IF(G145="","",IF(I145&lt;=0,"⚠️ RUPTURE",IF(I145&lt;=J145,"⚠️ CRITIQUE",IF(I145&lt;=K145,"⚡ ATTENTION","✓ OK"))))</f>
        <v/>
      </c>
    </row>
    <row r="146">
      <c r="N146">
        <f>IF(G146="","",IF(I146&lt;=0,"⚠️ RUPTURE",IF(I146&lt;=J146,"⚠️ CRITIQUE",IF(I146&lt;=K146,"⚡ ATTENTION","✓ OK"))))</f>
        <v/>
      </c>
    </row>
    <row r="147">
      <c r="N147">
        <f>IF(G147="","",IF(I147&lt;=0,"⚠️ RUPTURE",IF(I147&lt;=J147,"⚠️ CRITIQUE",IF(I147&lt;=K147,"⚡ ATTENTION","✓ OK"))))</f>
        <v/>
      </c>
    </row>
    <row r="148">
      <c r="N148">
        <f>IF(G148="","",IF(I148&lt;=0,"⚠️ RUPTURE",IF(I148&lt;=J148,"⚠️ CRITIQUE",IF(I148&lt;=K148,"⚡ ATTENTION","✓ OK"))))</f>
        <v/>
      </c>
    </row>
    <row r="149">
      <c r="N149">
        <f>IF(G149="","",IF(I149&lt;=0,"⚠️ RUPTURE",IF(I149&lt;=J149,"⚠️ CRITIQUE",IF(I149&lt;=K149,"⚡ ATTENTION","✓ OK"))))</f>
        <v/>
      </c>
    </row>
    <row r="150">
      <c r="N150">
        <f>IF(G150="","",IF(I150&lt;=0,"⚠️ RUPTURE",IF(I150&lt;=J150,"⚠️ CRITIQUE",IF(I150&lt;=K150,"⚡ ATTENTION","✓ OK"))))</f>
        <v/>
      </c>
    </row>
    <row r="151">
      <c r="N151">
        <f>IF(G151="","",IF(I151&lt;=0,"⚠️ RUPTURE",IF(I151&lt;=J151,"⚠️ CRITIQUE",IF(I151&lt;=K151,"⚡ ATTENTION","✓ OK"))))</f>
        <v/>
      </c>
    </row>
    <row r="152">
      <c r="N152">
        <f>IF(G152="","",IF(I152&lt;=0,"⚠️ RUPTURE",IF(I152&lt;=J152,"⚠️ CRITIQUE",IF(I152&lt;=K152,"⚡ ATTENTION","✓ OK"))))</f>
        <v/>
      </c>
    </row>
    <row r="153">
      <c r="N153">
        <f>IF(G153="","",IF(I153&lt;=0,"⚠️ RUPTURE",IF(I153&lt;=J153,"⚠️ CRITIQUE",IF(I153&lt;=K153,"⚡ ATTENTION","✓ OK"))))</f>
        <v/>
      </c>
    </row>
    <row r="154">
      <c r="N154">
        <f>IF(G154="","",IF(I154&lt;=0,"⚠️ RUPTURE",IF(I154&lt;=J154,"⚠️ CRITIQUE",IF(I154&lt;=K154,"⚡ ATTENTION","✓ OK"))))</f>
        <v/>
      </c>
    </row>
    <row r="155">
      <c r="N155">
        <f>IF(G155="","",IF(I155&lt;=0,"⚠️ RUPTURE",IF(I155&lt;=J155,"⚠️ CRITIQUE",IF(I155&lt;=K155,"⚡ ATTENTION","✓ OK"))))</f>
        <v/>
      </c>
    </row>
    <row r="156">
      <c r="N156">
        <f>IF(G156="","",IF(I156&lt;=0,"⚠️ RUPTURE",IF(I156&lt;=J156,"⚠️ CRITIQUE",IF(I156&lt;=K156,"⚡ ATTENTION","✓ OK"))))</f>
        <v/>
      </c>
    </row>
    <row r="157">
      <c r="N157">
        <f>IF(G157="","",IF(I157&lt;=0,"⚠️ RUPTURE",IF(I157&lt;=J157,"⚠️ CRITIQUE",IF(I157&lt;=K157,"⚡ ATTENTION","✓ OK"))))</f>
        <v/>
      </c>
    </row>
    <row r="158">
      <c r="N158">
        <f>IF(G158="","",IF(I158&lt;=0,"⚠️ RUPTURE",IF(I158&lt;=J158,"⚠️ CRITIQUE",IF(I158&lt;=K158,"⚡ ATTENTION","✓ OK"))))</f>
        <v/>
      </c>
    </row>
    <row r="159">
      <c r="N159">
        <f>IF(G159="","",IF(I159&lt;=0,"⚠️ RUPTURE",IF(I159&lt;=J159,"⚠️ CRITIQUE",IF(I159&lt;=K159,"⚡ ATTENTION","✓ OK"))))</f>
        <v/>
      </c>
    </row>
    <row r="160">
      <c r="N160">
        <f>IF(G160="","",IF(I160&lt;=0,"⚠️ RUPTURE",IF(I160&lt;=J160,"⚠️ CRITIQUE",IF(I160&lt;=K160,"⚡ ATTENTION","✓ OK"))))</f>
        <v/>
      </c>
    </row>
    <row r="161">
      <c r="N161">
        <f>IF(G161="","",IF(I161&lt;=0,"⚠️ RUPTURE",IF(I161&lt;=J161,"⚠️ CRITIQUE",IF(I161&lt;=K161,"⚡ ATTENTION","✓ OK"))))</f>
        <v/>
      </c>
    </row>
    <row r="162">
      <c r="N162">
        <f>IF(G162="","",IF(I162&lt;=0,"⚠️ RUPTURE",IF(I162&lt;=J162,"⚠️ CRITIQUE",IF(I162&lt;=K162,"⚡ ATTENTION","✓ OK"))))</f>
        <v/>
      </c>
    </row>
    <row r="163">
      <c r="N163">
        <f>IF(G163="","",IF(I163&lt;=0,"⚠️ RUPTURE",IF(I163&lt;=J163,"⚠️ CRITIQUE",IF(I163&lt;=K163,"⚡ ATTENTION","✓ OK"))))</f>
        <v/>
      </c>
    </row>
    <row r="164">
      <c r="N164">
        <f>IF(G164="","",IF(I164&lt;=0,"⚠️ RUPTURE",IF(I164&lt;=J164,"⚠️ CRITIQUE",IF(I164&lt;=K164,"⚡ ATTENTION","✓ OK"))))</f>
        <v/>
      </c>
    </row>
    <row r="165">
      <c r="N165">
        <f>IF(G165="","",IF(I165&lt;=0,"⚠️ RUPTURE",IF(I165&lt;=J165,"⚠️ CRITIQUE",IF(I165&lt;=K165,"⚡ ATTENTION","✓ OK"))))</f>
        <v/>
      </c>
    </row>
    <row r="166">
      <c r="N166">
        <f>IF(G166="","",IF(I166&lt;=0,"⚠️ RUPTURE",IF(I166&lt;=J166,"⚠️ CRITIQUE",IF(I166&lt;=K166,"⚡ ATTENTION","✓ OK"))))</f>
        <v/>
      </c>
    </row>
    <row r="167">
      <c r="N167">
        <f>IF(G167="","",IF(I167&lt;=0,"⚠️ RUPTURE",IF(I167&lt;=J167,"⚠️ CRITIQUE",IF(I167&lt;=K167,"⚡ ATTENTION","✓ OK"))))</f>
        <v/>
      </c>
    </row>
    <row r="168">
      <c r="N168">
        <f>IF(G168="","",IF(I168&lt;=0,"⚠️ RUPTURE",IF(I168&lt;=J168,"⚠️ CRITIQUE",IF(I168&lt;=K168,"⚡ ATTENTION","✓ OK"))))</f>
        <v/>
      </c>
    </row>
    <row r="169">
      <c r="N169">
        <f>IF(G169="","",IF(I169&lt;=0,"⚠️ RUPTURE",IF(I169&lt;=J169,"⚠️ CRITIQUE",IF(I169&lt;=K169,"⚡ ATTENTION","✓ OK"))))</f>
        <v/>
      </c>
    </row>
    <row r="170">
      <c r="N170">
        <f>IF(G170="","",IF(I170&lt;=0,"⚠️ RUPTURE",IF(I170&lt;=J170,"⚠️ CRITIQUE",IF(I170&lt;=K170,"⚡ ATTENTION","✓ OK"))))</f>
        <v/>
      </c>
    </row>
    <row r="171">
      <c r="N171">
        <f>IF(G171="","",IF(I171&lt;=0,"⚠️ RUPTURE",IF(I171&lt;=J171,"⚠️ CRITIQUE",IF(I171&lt;=K171,"⚡ ATTENTION","✓ OK"))))</f>
        <v/>
      </c>
    </row>
    <row r="172">
      <c r="N172">
        <f>IF(G172="","",IF(I172&lt;=0,"⚠️ RUPTURE",IF(I172&lt;=J172,"⚠️ CRITIQUE",IF(I172&lt;=K172,"⚡ ATTENTION","✓ OK"))))</f>
        <v/>
      </c>
    </row>
    <row r="173">
      <c r="N173">
        <f>IF(G173="","",IF(I173&lt;=0,"⚠️ RUPTURE",IF(I173&lt;=J173,"⚠️ CRITIQUE",IF(I173&lt;=K173,"⚡ ATTENTION","✓ OK"))))</f>
        <v/>
      </c>
    </row>
    <row r="174">
      <c r="N174">
        <f>IF(G174="","",IF(I174&lt;=0,"⚠️ RUPTURE",IF(I174&lt;=J174,"⚠️ CRITIQUE",IF(I174&lt;=K174,"⚡ ATTENTION","✓ OK"))))</f>
        <v/>
      </c>
    </row>
    <row r="175">
      <c r="N175">
        <f>IF(G175="","",IF(I175&lt;=0,"⚠️ RUPTURE",IF(I175&lt;=J175,"⚠️ CRITIQUE",IF(I175&lt;=K175,"⚡ ATTENTION","✓ OK"))))</f>
        <v/>
      </c>
    </row>
    <row r="176">
      <c r="N176">
        <f>IF(G176="","",IF(I176&lt;=0,"⚠️ RUPTURE",IF(I176&lt;=J176,"⚠️ CRITIQUE",IF(I176&lt;=K176,"⚡ ATTENTION","✓ OK"))))</f>
        <v/>
      </c>
    </row>
    <row r="177">
      <c r="N177">
        <f>IF(G177="","",IF(I177&lt;=0,"⚠️ RUPTURE",IF(I177&lt;=J177,"⚠️ CRITIQUE",IF(I177&lt;=K177,"⚡ ATTENTION","✓ OK"))))</f>
        <v/>
      </c>
    </row>
    <row r="178">
      <c r="N178">
        <f>IF(G178="","",IF(I178&lt;=0,"⚠️ RUPTURE",IF(I178&lt;=J178,"⚠️ CRITIQUE",IF(I178&lt;=K178,"⚡ ATTENTION","✓ OK"))))</f>
        <v/>
      </c>
    </row>
    <row r="179">
      <c r="N179">
        <f>IF(G179="","",IF(I179&lt;=0,"⚠️ RUPTURE",IF(I179&lt;=J179,"⚠️ CRITIQUE",IF(I179&lt;=K179,"⚡ ATTENTION","✓ OK"))))</f>
        <v/>
      </c>
    </row>
    <row r="180">
      <c r="N180">
        <f>IF(G180="","",IF(I180&lt;=0,"⚠️ RUPTURE",IF(I180&lt;=J180,"⚠️ CRITIQUE",IF(I180&lt;=K180,"⚡ ATTENTION","✓ OK"))))</f>
        <v/>
      </c>
    </row>
    <row r="181">
      <c r="N181">
        <f>IF(G181="","",IF(I181&lt;=0,"⚠️ RUPTURE",IF(I181&lt;=J181,"⚠️ CRITIQUE",IF(I181&lt;=K181,"⚡ ATTENTION","✓ OK"))))</f>
        <v/>
      </c>
    </row>
    <row r="182">
      <c r="N182">
        <f>IF(G182="","",IF(I182&lt;=0,"⚠️ RUPTURE",IF(I182&lt;=J182,"⚠️ CRITIQUE",IF(I182&lt;=K182,"⚡ ATTENTION","✓ OK"))))</f>
        <v/>
      </c>
    </row>
    <row r="183">
      <c r="N183">
        <f>IF(G183="","",IF(I183&lt;=0,"⚠️ RUPTURE",IF(I183&lt;=J183,"⚠️ CRITIQUE",IF(I183&lt;=K183,"⚡ ATTENTION","✓ OK"))))</f>
        <v/>
      </c>
    </row>
    <row r="184">
      <c r="N184">
        <f>IF(G184="","",IF(I184&lt;=0,"⚠️ RUPTURE",IF(I184&lt;=J184,"⚠️ CRITIQUE",IF(I184&lt;=K184,"⚡ ATTENTION","✓ OK"))))</f>
        <v/>
      </c>
    </row>
    <row r="185">
      <c r="N185">
        <f>IF(G185="","",IF(I185&lt;=0,"⚠️ RUPTURE",IF(I185&lt;=J185,"⚠️ CRITIQUE",IF(I185&lt;=K185,"⚡ ATTENTION","✓ OK"))))</f>
        <v/>
      </c>
    </row>
    <row r="186">
      <c r="N186">
        <f>IF(G186="","",IF(I186&lt;=0,"⚠️ RUPTURE",IF(I186&lt;=J186,"⚠️ CRITIQUE",IF(I186&lt;=K186,"⚡ ATTENTION","✓ OK"))))</f>
        <v/>
      </c>
    </row>
    <row r="187">
      <c r="N187">
        <f>IF(G187="","",IF(I187&lt;=0,"⚠️ RUPTURE",IF(I187&lt;=J187,"⚠️ CRITIQUE",IF(I187&lt;=K187,"⚡ ATTENTION","✓ OK"))))</f>
        <v/>
      </c>
    </row>
    <row r="188">
      <c r="N188">
        <f>IF(G188="","",IF(I188&lt;=0,"⚠️ RUPTURE",IF(I188&lt;=J188,"⚠️ CRITIQUE",IF(I188&lt;=K188,"⚡ ATTENTION","✓ OK"))))</f>
        <v/>
      </c>
    </row>
    <row r="189">
      <c r="N189">
        <f>IF(G189="","",IF(I189&lt;=0,"⚠️ RUPTURE",IF(I189&lt;=J189,"⚠️ CRITIQUE",IF(I189&lt;=K189,"⚡ ATTENTION","✓ OK"))))</f>
        <v/>
      </c>
    </row>
    <row r="190">
      <c r="N190">
        <f>IF(G190="","",IF(I190&lt;=0,"⚠️ RUPTURE",IF(I190&lt;=J190,"⚠️ CRITIQUE",IF(I190&lt;=K190,"⚡ ATTENTION","✓ OK"))))</f>
        <v/>
      </c>
    </row>
    <row r="191">
      <c r="N191">
        <f>IF(G191="","",IF(I191&lt;=0,"⚠️ RUPTURE",IF(I191&lt;=J191,"⚠️ CRITIQUE",IF(I191&lt;=K191,"⚡ ATTENTION","✓ OK"))))</f>
        <v/>
      </c>
    </row>
    <row r="192">
      <c r="N192">
        <f>IF(G192="","",IF(I192&lt;=0,"⚠️ RUPTURE",IF(I192&lt;=J192,"⚠️ CRITIQUE",IF(I192&lt;=K192,"⚡ ATTENTION","✓ OK"))))</f>
        <v/>
      </c>
    </row>
    <row r="193">
      <c r="N193">
        <f>IF(G193="","",IF(I193&lt;=0,"⚠️ RUPTURE",IF(I193&lt;=J193,"⚠️ CRITIQUE",IF(I193&lt;=K193,"⚡ ATTENTION","✓ OK"))))</f>
        <v/>
      </c>
    </row>
    <row r="194">
      <c r="N194">
        <f>IF(G194="","",IF(I194&lt;=0,"⚠️ RUPTURE",IF(I194&lt;=J194,"⚠️ CRITIQUE",IF(I194&lt;=K194,"⚡ ATTENTION","✓ OK"))))</f>
        <v/>
      </c>
    </row>
    <row r="195">
      <c r="N195">
        <f>IF(G195="","",IF(I195&lt;=0,"⚠️ RUPTURE",IF(I195&lt;=J195,"⚠️ CRITIQUE",IF(I195&lt;=K195,"⚡ ATTENTION","✓ OK"))))</f>
        <v/>
      </c>
    </row>
    <row r="196">
      <c r="N196">
        <f>IF(G196="","",IF(I196&lt;=0,"⚠️ RUPTURE",IF(I196&lt;=J196,"⚠️ CRITIQUE",IF(I196&lt;=K196,"⚡ ATTENTION","✓ OK"))))</f>
        <v/>
      </c>
    </row>
    <row r="197">
      <c r="N197">
        <f>IF(G197="","",IF(I197&lt;=0,"⚠️ RUPTURE",IF(I197&lt;=J197,"⚠️ CRITIQUE",IF(I197&lt;=K197,"⚡ ATTENTION","✓ OK"))))</f>
        <v/>
      </c>
    </row>
    <row r="198">
      <c r="N198">
        <f>IF(G198="","",IF(I198&lt;=0,"⚠️ RUPTURE",IF(I198&lt;=J198,"⚠️ CRITIQUE",IF(I198&lt;=K198,"⚡ ATTENTION","✓ OK"))))</f>
        <v/>
      </c>
    </row>
    <row r="199">
      <c r="N199">
        <f>IF(G199="","",IF(I199&lt;=0,"⚠️ RUPTURE",IF(I199&lt;=J199,"⚠️ CRITIQUE",IF(I199&lt;=K199,"⚡ ATTENTION","✓ OK"))))</f>
        <v/>
      </c>
    </row>
    <row r="200">
      <c r="N200">
        <f>IF(G200="","",IF(I200&lt;=0,"⚠️ RUPTURE",IF(I200&lt;=J200,"⚠️ CRITIQUE",IF(I200&lt;=K200,"⚡ ATTENTION","✓ OK"))))</f>
        <v/>
      </c>
    </row>
    <row r="201">
      <c r="N201">
        <f>IF(G201="","",IF(I201&lt;=0,"⚠️ RUPTURE",IF(I201&lt;=J201,"⚠️ CRITIQUE",IF(I201&lt;=K201,"⚡ ATTENTION","✓ OK"))))</f>
        <v/>
      </c>
    </row>
    <row r="202">
      <c r="N202">
        <f>IF(G202="","",IF(I202&lt;=0,"⚠️ RUPTURE",IF(I202&lt;=J202,"⚠️ CRITIQUE",IF(I202&lt;=K202,"⚡ ATTENTION","✓ OK"))))</f>
        <v/>
      </c>
    </row>
    <row r="203">
      <c r="N203">
        <f>IF(G203="","",IF(I203&lt;=0,"⚠️ RUPTURE",IF(I203&lt;=J203,"⚠️ CRITIQUE",IF(I203&lt;=K203,"⚡ ATTENTION","✓ OK"))))</f>
        <v/>
      </c>
    </row>
    <row r="204">
      <c r="N204">
        <f>IF(G204="","",IF(I204&lt;=0,"⚠️ RUPTURE",IF(I204&lt;=J204,"⚠️ CRITIQUE",IF(I204&lt;=K204,"⚡ ATTENTION","✓ OK"))))</f>
        <v/>
      </c>
    </row>
    <row r="205">
      <c r="N205">
        <f>IF(G205="","",IF(I205&lt;=0,"⚠️ RUPTURE",IF(I205&lt;=J205,"⚠️ CRITIQUE",IF(I205&lt;=K205,"⚡ ATTENTION","✓ OK"))))</f>
        <v/>
      </c>
    </row>
    <row r="206">
      <c r="N206">
        <f>IF(G206="","",IF(I206&lt;=0,"⚠️ RUPTURE",IF(I206&lt;=J206,"⚠️ CRITIQUE",IF(I206&lt;=K206,"⚡ ATTENTION","✓ OK"))))</f>
        <v/>
      </c>
    </row>
    <row r="207">
      <c r="N207">
        <f>IF(G207="","",IF(I207&lt;=0,"⚠️ RUPTURE",IF(I207&lt;=J207,"⚠️ CRITIQUE",IF(I207&lt;=K207,"⚡ ATTENTION","✓ OK"))))</f>
        <v/>
      </c>
    </row>
    <row r="208">
      <c r="N208">
        <f>IF(G208="","",IF(I208&lt;=0,"⚠️ RUPTURE",IF(I208&lt;=J208,"⚠️ CRITIQUE",IF(I208&lt;=K208,"⚡ ATTENTION","✓ OK"))))</f>
        <v/>
      </c>
    </row>
    <row r="209">
      <c r="N209">
        <f>IF(G209="","",IF(I209&lt;=0,"⚠️ RUPTURE",IF(I209&lt;=J209,"⚠️ CRITIQUE",IF(I209&lt;=K209,"⚡ ATTENTION","✓ OK"))))</f>
        <v/>
      </c>
    </row>
    <row r="210">
      <c r="N210">
        <f>IF(G210="","",IF(I210&lt;=0,"⚠️ RUPTURE",IF(I210&lt;=J210,"⚠️ CRITIQUE",IF(I210&lt;=K210,"⚡ ATTENTION","✓ OK"))))</f>
        <v/>
      </c>
    </row>
    <row r="211">
      <c r="N211">
        <f>IF(G211="","",IF(I211&lt;=0,"⚠️ RUPTURE",IF(I211&lt;=J211,"⚠️ CRITIQUE",IF(I211&lt;=K211,"⚡ ATTENTION","✓ OK"))))</f>
        <v/>
      </c>
    </row>
    <row r="212">
      <c r="N212">
        <f>IF(G212="","",IF(I212&lt;=0,"⚠️ RUPTURE",IF(I212&lt;=J212,"⚠️ CRITIQUE",IF(I212&lt;=K212,"⚡ ATTENTION","✓ OK"))))</f>
        <v/>
      </c>
    </row>
    <row r="213">
      <c r="N213">
        <f>IF(G213="","",IF(I213&lt;=0,"⚠️ RUPTURE",IF(I213&lt;=J213,"⚠️ CRITIQUE",IF(I213&lt;=K213,"⚡ ATTENTION","✓ OK"))))</f>
        <v/>
      </c>
    </row>
    <row r="214">
      <c r="N214">
        <f>IF(G214="","",IF(I214&lt;=0,"⚠️ RUPTURE",IF(I214&lt;=J214,"⚠️ CRITIQUE",IF(I214&lt;=K214,"⚡ ATTENTION","✓ OK"))))</f>
        <v/>
      </c>
    </row>
    <row r="215">
      <c r="N215">
        <f>IF(G215="","",IF(I215&lt;=0,"⚠️ RUPTURE",IF(I215&lt;=J215,"⚠️ CRITIQUE",IF(I215&lt;=K215,"⚡ ATTENTION","✓ OK"))))</f>
        <v/>
      </c>
    </row>
    <row r="216">
      <c r="N216">
        <f>IF(G216="","",IF(I216&lt;=0,"⚠️ RUPTURE",IF(I216&lt;=J216,"⚠️ CRITIQUE",IF(I216&lt;=K216,"⚡ ATTENTION","✓ OK"))))</f>
        <v/>
      </c>
    </row>
    <row r="217">
      <c r="N217">
        <f>IF(G217="","",IF(I217&lt;=0,"⚠️ RUPTURE",IF(I217&lt;=J217,"⚠️ CRITIQUE",IF(I217&lt;=K217,"⚡ ATTENTION","✓ OK"))))</f>
        <v/>
      </c>
    </row>
    <row r="218">
      <c r="N218">
        <f>IF(G218="","",IF(I218&lt;=0,"⚠️ RUPTURE",IF(I218&lt;=J218,"⚠️ CRITIQUE",IF(I218&lt;=K218,"⚡ ATTENTION","✓ OK"))))</f>
        <v/>
      </c>
    </row>
    <row r="219">
      <c r="N219">
        <f>IF(G219="","",IF(I219&lt;=0,"⚠️ RUPTURE",IF(I219&lt;=J219,"⚠️ CRITIQUE",IF(I219&lt;=K219,"⚡ ATTENTION","✓ OK"))))</f>
        <v/>
      </c>
    </row>
    <row r="220">
      <c r="N220">
        <f>IF(G220="","",IF(I220&lt;=0,"⚠️ RUPTURE",IF(I220&lt;=J220,"⚠️ CRITIQUE",IF(I220&lt;=K220,"⚡ ATTENTION","✓ OK"))))</f>
        <v/>
      </c>
    </row>
    <row r="221">
      <c r="N221">
        <f>IF(G221="","",IF(I221&lt;=0,"⚠️ RUPTURE",IF(I221&lt;=J221,"⚠️ CRITIQUE",IF(I221&lt;=K221,"⚡ ATTENTION","✓ OK"))))</f>
        <v/>
      </c>
    </row>
    <row r="222">
      <c r="N222">
        <f>IF(G222="","",IF(I222&lt;=0,"⚠️ RUPTURE",IF(I222&lt;=J222,"⚠️ CRITIQUE",IF(I222&lt;=K222,"⚡ ATTENTION","✓ OK"))))</f>
        <v/>
      </c>
    </row>
    <row r="223">
      <c r="N223">
        <f>IF(G223="","",IF(I223&lt;=0,"⚠️ RUPTURE",IF(I223&lt;=J223,"⚠️ CRITIQUE",IF(I223&lt;=K223,"⚡ ATTENTION","✓ OK"))))</f>
        <v/>
      </c>
    </row>
    <row r="224">
      <c r="N224">
        <f>IF(G224="","",IF(I224&lt;=0,"⚠️ RUPTURE",IF(I224&lt;=J224,"⚠️ CRITIQUE",IF(I224&lt;=K224,"⚡ ATTENTION","✓ OK"))))</f>
        <v/>
      </c>
    </row>
    <row r="225">
      <c r="N225">
        <f>IF(G225="","",IF(I225&lt;=0,"⚠️ RUPTURE",IF(I225&lt;=J225,"⚠️ CRITIQUE",IF(I225&lt;=K225,"⚡ ATTENTION","✓ OK"))))</f>
        <v/>
      </c>
    </row>
    <row r="226">
      <c r="N226">
        <f>IF(G226="","",IF(I226&lt;=0,"⚠️ RUPTURE",IF(I226&lt;=J226,"⚠️ CRITIQUE",IF(I226&lt;=K226,"⚡ ATTENTION","✓ OK"))))</f>
        <v/>
      </c>
    </row>
    <row r="227">
      <c r="N227">
        <f>IF(G227="","",IF(I227&lt;=0,"⚠️ RUPTURE",IF(I227&lt;=J227,"⚠️ CRITIQUE",IF(I227&lt;=K227,"⚡ ATTENTION","✓ OK"))))</f>
        <v/>
      </c>
    </row>
    <row r="228">
      <c r="N228">
        <f>IF(G228="","",IF(I228&lt;=0,"⚠️ RUPTURE",IF(I228&lt;=J228,"⚠️ CRITIQUE",IF(I228&lt;=K228,"⚡ ATTENTION","✓ OK"))))</f>
        <v/>
      </c>
    </row>
    <row r="229">
      <c r="N229">
        <f>IF(G229="","",IF(I229&lt;=0,"⚠️ RUPTURE",IF(I229&lt;=J229,"⚠️ CRITIQUE",IF(I229&lt;=K229,"⚡ ATTENTION","✓ OK"))))</f>
        <v/>
      </c>
    </row>
    <row r="230">
      <c r="N230">
        <f>IF(G230="","",IF(I230&lt;=0,"⚠️ RUPTURE",IF(I230&lt;=J230,"⚠️ CRITIQUE",IF(I230&lt;=K230,"⚡ ATTENTION","✓ OK"))))</f>
        <v/>
      </c>
    </row>
    <row r="231">
      <c r="N231">
        <f>IF(G231="","",IF(I231&lt;=0,"⚠️ RUPTURE",IF(I231&lt;=J231,"⚠️ CRITIQUE",IF(I231&lt;=K231,"⚡ ATTENTION","✓ OK"))))</f>
        <v/>
      </c>
    </row>
    <row r="232">
      <c r="N232">
        <f>IF(G232="","",IF(I232&lt;=0,"⚠️ RUPTURE",IF(I232&lt;=J232,"⚠️ CRITIQUE",IF(I232&lt;=K232,"⚡ ATTENTION","✓ OK"))))</f>
        <v/>
      </c>
    </row>
    <row r="233">
      <c r="N233">
        <f>IF(G233="","",IF(I233&lt;=0,"⚠️ RUPTURE",IF(I233&lt;=J233,"⚠️ CRITIQUE",IF(I233&lt;=K233,"⚡ ATTENTION","✓ OK"))))</f>
        <v/>
      </c>
    </row>
    <row r="234">
      <c r="N234">
        <f>IF(G234="","",IF(I234&lt;=0,"⚠️ RUPTURE",IF(I234&lt;=J234,"⚠️ CRITIQUE",IF(I234&lt;=K234,"⚡ ATTENTION","✓ OK"))))</f>
        <v/>
      </c>
    </row>
    <row r="235">
      <c r="N235">
        <f>IF(G235="","",IF(I235&lt;=0,"⚠️ RUPTURE",IF(I235&lt;=J235,"⚠️ CRITIQUE",IF(I235&lt;=K235,"⚡ ATTENTION","✓ OK"))))</f>
        <v/>
      </c>
    </row>
    <row r="236">
      <c r="N236">
        <f>IF(G236="","",IF(I236&lt;=0,"⚠️ RUPTURE",IF(I236&lt;=J236,"⚠️ CRITIQUE",IF(I236&lt;=K236,"⚡ ATTENTION","✓ OK"))))</f>
        <v/>
      </c>
    </row>
    <row r="237">
      <c r="N237">
        <f>IF(G237="","",IF(I237&lt;=0,"⚠️ RUPTURE",IF(I237&lt;=J237,"⚠️ CRITIQUE",IF(I237&lt;=K237,"⚡ ATTENTION","✓ OK"))))</f>
        <v/>
      </c>
    </row>
    <row r="238">
      <c r="N238">
        <f>IF(G238="","",IF(I238&lt;=0,"⚠️ RUPTURE",IF(I238&lt;=J238,"⚠️ CRITIQUE",IF(I238&lt;=K238,"⚡ ATTENTION","✓ OK"))))</f>
        <v/>
      </c>
    </row>
    <row r="239">
      <c r="N239">
        <f>IF(G239="","",IF(I239&lt;=0,"⚠️ RUPTURE",IF(I239&lt;=J239,"⚠️ CRITIQUE",IF(I239&lt;=K239,"⚡ ATTENTION","✓ OK"))))</f>
        <v/>
      </c>
    </row>
    <row r="240">
      <c r="N240">
        <f>IF(G240="","",IF(I240&lt;=0,"⚠️ RUPTURE",IF(I240&lt;=J240,"⚠️ CRITIQUE",IF(I240&lt;=K240,"⚡ ATTENTION","✓ OK"))))</f>
        <v/>
      </c>
    </row>
    <row r="241">
      <c r="N241">
        <f>IF(G241="","",IF(I241&lt;=0,"⚠️ RUPTURE",IF(I241&lt;=J241,"⚠️ CRITIQUE",IF(I241&lt;=K241,"⚡ ATTENTION","✓ OK"))))</f>
        <v/>
      </c>
    </row>
    <row r="242">
      <c r="N242">
        <f>IF(G242="","",IF(I242&lt;=0,"⚠️ RUPTURE",IF(I242&lt;=J242,"⚠️ CRITIQUE",IF(I242&lt;=K242,"⚡ ATTENTION","✓ OK"))))</f>
        <v/>
      </c>
    </row>
    <row r="243">
      <c r="N243">
        <f>IF(G243="","",IF(I243&lt;=0,"⚠️ RUPTURE",IF(I243&lt;=J243,"⚠️ CRITIQUE",IF(I243&lt;=K243,"⚡ ATTENTION","✓ OK"))))</f>
        <v/>
      </c>
    </row>
    <row r="244">
      <c r="N244">
        <f>IF(G244="","",IF(I244&lt;=0,"⚠️ RUPTURE",IF(I244&lt;=J244,"⚠️ CRITIQUE",IF(I244&lt;=K244,"⚡ ATTENTION","✓ OK"))))</f>
        <v/>
      </c>
    </row>
    <row r="245">
      <c r="N245">
        <f>IF(G245="","",IF(I245&lt;=0,"⚠️ RUPTURE",IF(I245&lt;=J245,"⚠️ CRITIQUE",IF(I245&lt;=K245,"⚡ ATTENTION","✓ OK"))))</f>
        <v/>
      </c>
    </row>
    <row r="246">
      <c r="N246">
        <f>IF(G246="","",IF(I246&lt;=0,"⚠️ RUPTURE",IF(I246&lt;=J246,"⚠️ CRITIQUE",IF(I246&lt;=K246,"⚡ ATTENTION","✓ OK"))))</f>
        <v/>
      </c>
    </row>
    <row r="247">
      <c r="N247">
        <f>IF(G247="","",IF(I247&lt;=0,"⚠️ RUPTURE",IF(I247&lt;=J247,"⚠️ CRITIQUE",IF(I247&lt;=K247,"⚡ ATTENTION","✓ OK"))))</f>
        <v/>
      </c>
    </row>
    <row r="248">
      <c r="N248">
        <f>IF(G248="","",IF(I248&lt;=0,"⚠️ RUPTURE",IF(I248&lt;=J248,"⚠️ CRITIQUE",IF(I248&lt;=K248,"⚡ ATTENTION","✓ OK"))))</f>
        <v/>
      </c>
    </row>
    <row r="249">
      <c r="N249">
        <f>IF(G249="","",IF(I249&lt;=0,"⚠️ RUPTURE",IF(I249&lt;=J249,"⚠️ CRITIQUE",IF(I249&lt;=K249,"⚡ ATTENTION","✓ OK"))))</f>
        <v/>
      </c>
    </row>
    <row r="250">
      <c r="N250">
        <f>IF(G250="","",IF(I250&lt;=0,"⚠️ RUPTURE",IF(I250&lt;=J250,"⚠️ CRITIQUE",IF(I250&lt;=K250,"⚡ ATTENTION","✓ OK"))))</f>
        <v/>
      </c>
    </row>
    <row r="251">
      <c r="N251">
        <f>IF(G251="","",IF(I251&lt;=0,"⚠️ RUPTURE",IF(I251&lt;=J251,"⚠️ CRITIQUE",IF(I251&lt;=K251,"⚡ ATTENTION","✓ OK"))))</f>
        <v/>
      </c>
    </row>
    <row r="252">
      <c r="N252">
        <f>IF(G252="","",IF(I252&lt;=0,"⚠️ RUPTURE",IF(I252&lt;=J252,"⚠️ CRITIQUE",IF(I252&lt;=K252,"⚡ ATTENTION","✓ OK"))))</f>
        <v/>
      </c>
    </row>
    <row r="253">
      <c r="N253">
        <f>IF(G253="","",IF(I253&lt;=0,"⚠️ RUPTURE",IF(I253&lt;=J253,"⚠️ CRITIQUE",IF(I253&lt;=K253,"⚡ ATTENTION","✓ OK"))))</f>
        <v/>
      </c>
    </row>
    <row r="254">
      <c r="N254">
        <f>IF(G254="","",IF(I254&lt;=0,"⚠️ RUPTURE",IF(I254&lt;=J254,"⚠️ CRITIQUE",IF(I254&lt;=K254,"⚡ ATTENTION","✓ OK"))))</f>
        <v/>
      </c>
    </row>
    <row r="255">
      <c r="N255">
        <f>IF(G255="","",IF(I255&lt;=0,"⚠️ RUPTURE",IF(I255&lt;=J255,"⚠️ CRITIQUE",IF(I255&lt;=K255,"⚡ ATTENTION","✓ OK"))))</f>
        <v/>
      </c>
    </row>
    <row r="256">
      <c r="N256">
        <f>IF(G256="","",IF(I256&lt;=0,"⚠️ RUPTURE",IF(I256&lt;=J256,"⚠️ CRITIQUE",IF(I256&lt;=K256,"⚡ ATTENTION","✓ OK"))))</f>
        <v/>
      </c>
    </row>
    <row r="257">
      <c r="N257">
        <f>IF(G257="","",IF(I257&lt;=0,"⚠️ RUPTURE",IF(I257&lt;=J257,"⚠️ CRITIQUE",IF(I257&lt;=K257,"⚡ ATTENTION","✓ OK"))))</f>
        <v/>
      </c>
    </row>
    <row r="258">
      <c r="N258">
        <f>IF(G258="","",IF(I258&lt;=0,"⚠️ RUPTURE",IF(I258&lt;=J258,"⚠️ CRITIQUE",IF(I258&lt;=K258,"⚡ ATTENTION","✓ OK"))))</f>
        <v/>
      </c>
    </row>
    <row r="259">
      <c r="N259">
        <f>IF(G259="","",IF(I259&lt;=0,"⚠️ RUPTURE",IF(I259&lt;=J259,"⚠️ CRITIQUE",IF(I259&lt;=K259,"⚡ ATTENTION","✓ OK"))))</f>
        <v/>
      </c>
    </row>
    <row r="260">
      <c r="N260">
        <f>IF(G260="","",IF(I260&lt;=0,"⚠️ RUPTURE",IF(I260&lt;=J260,"⚠️ CRITIQUE",IF(I260&lt;=K260,"⚡ ATTENTION","✓ OK"))))</f>
        <v/>
      </c>
    </row>
    <row r="261">
      <c r="N261">
        <f>IF(G261="","",IF(I261&lt;=0,"⚠️ RUPTURE",IF(I261&lt;=J261,"⚠️ CRITIQUE",IF(I261&lt;=K261,"⚡ ATTENTION","✓ OK"))))</f>
        <v/>
      </c>
    </row>
    <row r="262">
      <c r="N262">
        <f>IF(G262="","",IF(I262&lt;=0,"⚠️ RUPTURE",IF(I262&lt;=J262,"⚠️ CRITIQUE",IF(I262&lt;=K262,"⚡ ATTENTION","✓ OK"))))</f>
        <v/>
      </c>
    </row>
    <row r="263">
      <c r="N263">
        <f>IF(G263="","",IF(I263&lt;=0,"⚠️ RUPTURE",IF(I263&lt;=J263,"⚠️ CRITIQUE",IF(I263&lt;=K263,"⚡ ATTENTION","✓ OK"))))</f>
        <v/>
      </c>
    </row>
    <row r="264">
      <c r="N264">
        <f>IF(G264="","",IF(I264&lt;=0,"⚠️ RUPTURE",IF(I264&lt;=J264,"⚠️ CRITIQUE",IF(I264&lt;=K264,"⚡ ATTENTION","✓ OK"))))</f>
        <v/>
      </c>
    </row>
    <row r="265">
      <c r="N265">
        <f>IF(G265="","",IF(I265&lt;=0,"⚠️ RUPTURE",IF(I265&lt;=J265,"⚠️ CRITIQUE",IF(I265&lt;=K265,"⚡ ATTENTION","✓ OK"))))</f>
        <v/>
      </c>
    </row>
    <row r="266">
      <c r="N266">
        <f>IF(G266="","",IF(I266&lt;=0,"⚠️ RUPTURE",IF(I266&lt;=J266,"⚠️ CRITIQUE",IF(I266&lt;=K266,"⚡ ATTENTION","✓ OK"))))</f>
        <v/>
      </c>
    </row>
    <row r="267">
      <c r="N267">
        <f>IF(G267="","",IF(I267&lt;=0,"⚠️ RUPTURE",IF(I267&lt;=J267,"⚠️ CRITIQUE",IF(I267&lt;=K267,"⚡ ATTENTION","✓ OK"))))</f>
        <v/>
      </c>
    </row>
    <row r="268">
      <c r="N268">
        <f>IF(G268="","",IF(I268&lt;=0,"⚠️ RUPTURE",IF(I268&lt;=J268,"⚠️ CRITIQUE",IF(I268&lt;=K268,"⚡ ATTENTION","✓ OK"))))</f>
        <v/>
      </c>
    </row>
    <row r="269">
      <c r="N269">
        <f>IF(G269="","",IF(I269&lt;=0,"⚠️ RUPTURE",IF(I269&lt;=J269,"⚠️ CRITIQUE",IF(I269&lt;=K269,"⚡ ATTENTION","✓ OK"))))</f>
        <v/>
      </c>
    </row>
    <row r="270">
      <c r="N270">
        <f>IF(G270="","",IF(I270&lt;=0,"⚠️ RUPTURE",IF(I270&lt;=J270,"⚠️ CRITIQUE",IF(I270&lt;=K270,"⚡ ATTENTION","✓ OK"))))</f>
        <v/>
      </c>
    </row>
    <row r="271">
      <c r="N271">
        <f>IF(G271="","",IF(I271&lt;=0,"⚠️ RUPTURE",IF(I271&lt;=J271,"⚠️ CRITIQUE",IF(I271&lt;=K271,"⚡ ATTENTION","✓ OK"))))</f>
        <v/>
      </c>
    </row>
    <row r="272">
      <c r="N272">
        <f>IF(G272="","",IF(I272&lt;=0,"⚠️ RUPTURE",IF(I272&lt;=J272,"⚠️ CRITIQUE",IF(I272&lt;=K272,"⚡ ATTENTION","✓ OK"))))</f>
        <v/>
      </c>
    </row>
    <row r="273">
      <c r="N273">
        <f>IF(G273="","",IF(I273&lt;=0,"⚠️ RUPTURE",IF(I273&lt;=J273,"⚠️ CRITIQUE",IF(I273&lt;=K273,"⚡ ATTENTION","✓ OK"))))</f>
        <v/>
      </c>
    </row>
    <row r="274">
      <c r="N274">
        <f>IF(G274="","",IF(I274&lt;=0,"⚠️ RUPTURE",IF(I274&lt;=J274,"⚠️ CRITIQUE",IF(I274&lt;=K274,"⚡ ATTENTION","✓ OK"))))</f>
        <v/>
      </c>
    </row>
    <row r="275">
      <c r="N275">
        <f>IF(G275="","",IF(I275&lt;=0,"⚠️ RUPTURE",IF(I275&lt;=J275,"⚠️ CRITIQUE",IF(I275&lt;=K275,"⚡ ATTENTION","✓ OK"))))</f>
        <v/>
      </c>
    </row>
    <row r="276">
      <c r="N276">
        <f>IF(G276="","",IF(I276&lt;=0,"⚠️ RUPTURE",IF(I276&lt;=J276,"⚠️ CRITIQUE",IF(I276&lt;=K276,"⚡ ATTENTION","✓ OK"))))</f>
        <v/>
      </c>
    </row>
    <row r="277">
      <c r="N277">
        <f>IF(G277="","",IF(I277&lt;=0,"⚠️ RUPTURE",IF(I277&lt;=J277,"⚠️ CRITIQUE",IF(I277&lt;=K277,"⚡ ATTENTION","✓ OK"))))</f>
        <v/>
      </c>
    </row>
    <row r="278">
      <c r="N278">
        <f>IF(G278="","",IF(I278&lt;=0,"⚠️ RUPTURE",IF(I278&lt;=J278,"⚠️ CRITIQUE",IF(I278&lt;=K278,"⚡ ATTENTION","✓ OK"))))</f>
        <v/>
      </c>
    </row>
    <row r="279">
      <c r="N279">
        <f>IF(G279="","",IF(I279&lt;=0,"⚠️ RUPTURE",IF(I279&lt;=J279,"⚠️ CRITIQUE",IF(I279&lt;=K279,"⚡ ATTENTION","✓ OK"))))</f>
        <v/>
      </c>
    </row>
    <row r="280">
      <c r="N280">
        <f>IF(G280="","",IF(I280&lt;=0,"⚠️ RUPTURE",IF(I280&lt;=J280,"⚠️ CRITIQUE",IF(I280&lt;=K280,"⚡ ATTENTION","✓ OK"))))</f>
        <v/>
      </c>
    </row>
    <row r="281">
      <c r="N281">
        <f>IF(G281="","",IF(I281&lt;=0,"⚠️ RUPTURE",IF(I281&lt;=J281,"⚠️ CRITIQUE",IF(I281&lt;=K281,"⚡ ATTENTION","✓ OK"))))</f>
        <v/>
      </c>
    </row>
    <row r="282">
      <c r="N282">
        <f>IF(G282="","",IF(I282&lt;=0,"⚠️ RUPTURE",IF(I282&lt;=J282,"⚠️ CRITIQUE",IF(I282&lt;=K282,"⚡ ATTENTION","✓ OK"))))</f>
        <v/>
      </c>
    </row>
    <row r="283">
      <c r="N283">
        <f>IF(G283="","",IF(I283&lt;=0,"⚠️ RUPTURE",IF(I283&lt;=J283,"⚠️ CRITIQUE",IF(I283&lt;=K283,"⚡ ATTENTION","✓ OK"))))</f>
        <v/>
      </c>
    </row>
    <row r="284">
      <c r="N284">
        <f>IF(G284="","",IF(I284&lt;=0,"⚠️ RUPTURE",IF(I284&lt;=J284,"⚠️ CRITIQUE",IF(I284&lt;=K284,"⚡ ATTENTION","✓ OK"))))</f>
        <v/>
      </c>
    </row>
    <row r="285">
      <c r="N285">
        <f>IF(G285="","",IF(I285&lt;=0,"⚠️ RUPTURE",IF(I285&lt;=J285,"⚠️ CRITIQUE",IF(I285&lt;=K285,"⚡ ATTENTION","✓ OK"))))</f>
        <v/>
      </c>
    </row>
    <row r="286">
      <c r="N286">
        <f>IF(G286="","",IF(I286&lt;=0,"⚠️ RUPTURE",IF(I286&lt;=J286,"⚠️ CRITIQUE",IF(I286&lt;=K286,"⚡ ATTENTION","✓ OK"))))</f>
        <v/>
      </c>
    </row>
    <row r="287">
      <c r="N287">
        <f>IF(G287="","",IF(I287&lt;=0,"⚠️ RUPTURE",IF(I287&lt;=J287,"⚠️ CRITIQUE",IF(I287&lt;=K287,"⚡ ATTENTION","✓ OK"))))</f>
        <v/>
      </c>
    </row>
    <row r="288">
      <c r="N288">
        <f>IF(G288="","",IF(I288&lt;=0,"⚠️ RUPTURE",IF(I288&lt;=J288,"⚠️ CRITIQUE",IF(I288&lt;=K288,"⚡ ATTENTION","✓ OK"))))</f>
        <v/>
      </c>
    </row>
    <row r="289">
      <c r="N289">
        <f>IF(G289="","",IF(I289&lt;=0,"⚠️ RUPTURE",IF(I289&lt;=J289,"⚠️ CRITIQUE",IF(I289&lt;=K289,"⚡ ATTENTION","✓ OK"))))</f>
        <v/>
      </c>
    </row>
    <row r="290">
      <c r="N290">
        <f>IF(G290="","",IF(I290&lt;=0,"⚠️ RUPTURE",IF(I290&lt;=J290,"⚠️ CRITIQUE",IF(I290&lt;=K290,"⚡ ATTENTION","✓ OK"))))</f>
        <v/>
      </c>
    </row>
    <row r="291">
      <c r="N291">
        <f>IF(G291="","",IF(I291&lt;=0,"⚠️ RUPTURE",IF(I291&lt;=J291,"⚠️ CRITIQUE",IF(I291&lt;=K291,"⚡ ATTENTION","✓ OK"))))</f>
        <v/>
      </c>
    </row>
    <row r="292">
      <c r="N292">
        <f>IF(G292="","",IF(I292&lt;=0,"⚠️ RUPTURE",IF(I292&lt;=J292,"⚠️ CRITIQUE",IF(I292&lt;=K292,"⚡ ATTENTION","✓ OK"))))</f>
        <v/>
      </c>
    </row>
    <row r="293">
      <c r="N293">
        <f>IF(G293="","",IF(I293&lt;=0,"⚠️ RUPTURE",IF(I293&lt;=J293,"⚠️ CRITIQUE",IF(I293&lt;=K293,"⚡ ATTENTION","✓ OK"))))</f>
        <v/>
      </c>
    </row>
    <row r="294">
      <c r="N294">
        <f>IF(G294="","",IF(I294&lt;=0,"⚠️ RUPTURE",IF(I294&lt;=J294,"⚠️ CRITIQUE",IF(I294&lt;=K294,"⚡ ATTENTION","✓ OK"))))</f>
        <v/>
      </c>
    </row>
    <row r="295">
      <c r="N295">
        <f>IF(G295="","",IF(I295&lt;=0,"⚠️ RUPTURE",IF(I295&lt;=J295,"⚠️ CRITIQUE",IF(I295&lt;=K295,"⚡ ATTENTION","✓ OK"))))</f>
        <v/>
      </c>
    </row>
    <row r="296">
      <c r="N296">
        <f>IF(G296="","",IF(I296&lt;=0,"⚠️ RUPTURE",IF(I296&lt;=J296,"⚠️ CRITIQUE",IF(I296&lt;=K296,"⚡ ATTENTION","✓ OK"))))</f>
        <v/>
      </c>
    </row>
    <row r="297">
      <c r="N297">
        <f>IF(G297="","",IF(I297&lt;=0,"⚠️ RUPTURE",IF(I297&lt;=J297,"⚠️ CRITIQUE",IF(I297&lt;=K297,"⚡ ATTENTION","✓ OK"))))</f>
        <v/>
      </c>
    </row>
    <row r="298">
      <c r="N298">
        <f>IF(G298="","",IF(I298&lt;=0,"⚠️ RUPTURE",IF(I298&lt;=J298,"⚠️ CRITIQUE",IF(I298&lt;=K298,"⚡ ATTENTION","✓ OK"))))</f>
        <v/>
      </c>
    </row>
    <row r="299">
      <c r="N299">
        <f>IF(G299="","",IF(I299&lt;=0,"⚠️ RUPTURE",IF(I299&lt;=J299,"⚠️ CRITIQUE",IF(I299&lt;=K299,"⚡ ATTENTION","✓ OK"))))</f>
        <v/>
      </c>
    </row>
    <row r="300">
      <c r="N300">
        <f>IF(G300="","",IF(I300&lt;=0,"⚠️ RUPTURE",IF(I300&lt;=J300,"⚠️ CRITIQUE",IF(I300&lt;=K300,"⚡ ATTENTION","✓ OK"))))</f>
        <v/>
      </c>
    </row>
    <row r="301">
      <c r="N301">
        <f>IF(G301="","",IF(I301&lt;=0,"⚠️ RUPTURE",IF(I301&lt;=J301,"⚠️ CRITIQUE",IF(I301&lt;=K301,"⚡ ATTENTION","✓ OK"))))</f>
        <v/>
      </c>
    </row>
    <row r="302">
      <c r="N302">
        <f>IF(G302="","",IF(I302&lt;=0,"⚠️ RUPTURE",IF(I302&lt;=J302,"⚠️ CRITIQUE",IF(I302&lt;=K302,"⚡ ATTENTION","✓ OK"))))</f>
        <v/>
      </c>
    </row>
    <row r="303">
      <c r="N303">
        <f>IF(G303="","",IF(I303&lt;=0,"⚠️ RUPTURE",IF(I303&lt;=J303,"⚠️ CRITIQUE",IF(I303&lt;=K303,"⚡ ATTENTION","✓ OK"))))</f>
        <v/>
      </c>
    </row>
    <row r="304">
      <c r="N304">
        <f>IF(G304="","",IF(I304&lt;=0,"⚠️ RUPTURE",IF(I304&lt;=J304,"⚠️ CRITIQUE",IF(I304&lt;=K304,"⚡ ATTENTION","✓ OK"))))</f>
        <v/>
      </c>
    </row>
    <row r="305">
      <c r="N305">
        <f>IF(G305="","",IF(I305&lt;=0,"⚠️ RUPTURE",IF(I305&lt;=J305,"⚠️ CRITIQUE",IF(I305&lt;=K305,"⚡ ATTENTION","✓ OK"))))</f>
        <v/>
      </c>
    </row>
    <row r="306">
      <c r="N306">
        <f>IF(G306="","",IF(I306&lt;=0,"⚠️ RUPTURE",IF(I306&lt;=J306,"⚠️ CRITIQUE",IF(I306&lt;=K306,"⚡ ATTENTION","✓ OK"))))</f>
        <v/>
      </c>
    </row>
    <row r="307">
      <c r="N307">
        <f>IF(G307="","",IF(I307&lt;=0,"⚠️ RUPTURE",IF(I307&lt;=J307,"⚠️ CRITIQUE",IF(I307&lt;=K307,"⚡ ATTENTION","✓ OK"))))</f>
        <v/>
      </c>
    </row>
    <row r="308">
      <c r="N308">
        <f>IF(G308="","",IF(I308&lt;=0,"⚠️ RUPTURE",IF(I308&lt;=J308,"⚠️ CRITIQUE",IF(I308&lt;=K308,"⚡ ATTENTION","✓ OK"))))</f>
        <v/>
      </c>
    </row>
    <row r="309">
      <c r="N309">
        <f>IF(G309="","",IF(I309&lt;=0,"⚠️ RUPTURE",IF(I309&lt;=J309,"⚠️ CRITIQUE",IF(I309&lt;=K309,"⚡ ATTENTION","✓ OK"))))</f>
        <v/>
      </c>
    </row>
    <row r="310">
      <c r="N310">
        <f>IF(G310="","",IF(I310&lt;=0,"⚠️ RUPTURE",IF(I310&lt;=J310,"⚠️ CRITIQUE",IF(I310&lt;=K310,"⚡ ATTENTION","✓ OK"))))</f>
        <v/>
      </c>
    </row>
    <row r="311">
      <c r="N311">
        <f>IF(G311="","",IF(I311&lt;=0,"⚠️ RUPTURE",IF(I311&lt;=J311,"⚠️ CRITIQUE",IF(I311&lt;=K311,"⚡ ATTENTION","✓ OK"))))</f>
        <v/>
      </c>
    </row>
    <row r="312">
      <c r="N312">
        <f>IF(G312="","",IF(I312&lt;=0,"⚠️ RUPTURE",IF(I312&lt;=J312,"⚠️ CRITIQUE",IF(I312&lt;=K312,"⚡ ATTENTION","✓ OK"))))</f>
        <v/>
      </c>
    </row>
    <row r="313">
      <c r="N313">
        <f>IF(G313="","",IF(I313&lt;=0,"⚠️ RUPTURE",IF(I313&lt;=J313,"⚠️ CRITIQUE",IF(I313&lt;=K313,"⚡ ATTENTION","✓ OK"))))</f>
        <v/>
      </c>
    </row>
    <row r="314">
      <c r="N314">
        <f>IF(G314="","",IF(I314&lt;=0,"⚠️ RUPTURE",IF(I314&lt;=J314,"⚠️ CRITIQUE",IF(I314&lt;=K314,"⚡ ATTENTION","✓ OK"))))</f>
        <v/>
      </c>
    </row>
    <row r="315">
      <c r="N315">
        <f>IF(G315="","",IF(I315&lt;=0,"⚠️ RUPTURE",IF(I315&lt;=J315,"⚠️ CRITIQUE",IF(I315&lt;=K315,"⚡ ATTENTION","✓ OK"))))</f>
        <v/>
      </c>
    </row>
    <row r="316">
      <c r="N316">
        <f>IF(G316="","",IF(I316&lt;=0,"⚠️ RUPTURE",IF(I316&lt;=J316,"⚠️ CRITIQUE",IF(I316&lt;=K316,"⚡ ATTENTION","✓ OK"))))</f>
        <v/>
      </c>
    </row>
    <row r="317">
      <c r="N317">
        <f>IF(G317="","",IF(I317&lt;=0,"⚠️ RUPTURE",IF(I317&lt;=J317,"⚠️ CRITIQUE",IF(I317&lt;=K317,"⚡ ATTENTION","✓ OK"))))</f>
        <v/>
      </c>
    </row>
    <row r="318">
      <c r="N318">
        <f>IF(G318="","",IF(I318&lt;=0,"⚠️ RUPTURE",IF(I318&lt;=J318,"⚠️ CRITIQUE",IF(I318&lt;=K318,"⚡ ATTENTION","✓ OK"))))</f>
        <v/>
      </c>
    </row>
    <row r="319">
      <c r="N319">
        <f>IF(G319="","",IF(I319&lt;=0,"⚠️ RUPTURE",IF(I319&lt;=J319,"⚠️ CRITIQUE",IF(I319&lt;=K319,"⚡ ATTENTION","✓ OK"))))</f>
        <v/>
      </c>
    </row>
    <row r="320">
      <c r="N320">
        <f>IF(G320="","",IF(I320&lt;=0,"⚠️ RUPTURE",IF(I320&lt;=J320,"⚠️ CRITIQUE",IF(I320&lt;=K320,"⚡ ATTENTION","✓ OK"))))</f>
        <v/>
      </c>
    </row>
    <row r="321">
      <c r="N321">
        <f>IF(G321="","",IF(I321&lt;=0,"⚠️ RUPTURE",IF(I321&lt;=J321,"⚠️ CRITIQUE",IF(I321&lt;=K321,"⚡ ATTENTION","✓ OK"))))</f>
        <v/>
      </c>
    </row>
    <row r="322">
      <c r="N322">
        <f>IF(G322="","",IF(I322&lt;=0,"⚠️ RUPTURE",IF(I322&lt;=J322,"⚠️ CRITIQUE",IF(I322&lt;=K322,"⚡ ATTENTION","✓ OK"))))</f>
        <v/>
      </c>
    </row>
    <row r="323">
      <c r="N323">
        <f>IF(G323="","",IF(I323&lt;=0,"⚠️ RUPTURE",IF(I323&lt;=J323,"⚠️ CRITIQUE",IF(I323&lt;=K323,"⚡ ATTENTION","✓ OK"))))</f>
        <v/>
      </c>
    </row>
    <row r="324">
      <c r="N324">
        <f>IF(G324="","",IF(I324&lt;=0,"⚠️ RUPTURE",IF(I324&lt;=J324,"⚠️ CRITIQUE",IF(I324&lt;=K324,"⚡ ATTENTION","✓ OK"))))</f>
        <v/>
      </c>
    </row>
    <row r="325">
      <c r="N325">
        <f>IF(G325="","",IF(I325&lt;=0,"⚠️ RUPTURE",IF(I325&lt;=J325,"⚠️ CRITIQUE",IF(I325&lt;=K325,"⚡ ATTENTION","✓ OK"))))</f>
        <v/>
      </c>
    </row>
    <row r="326">
      <c r="N326">
        <f>IF(G326="","",IF(I326&lt;=0,"⚠️ RUPTURE",IF(I326&lt;=J326,"⚠️ CRITIQUE",IF(I326&lt;=K326,"⚡ ATTENTION","✓ OK"))))</f>
        <v/>
      </c>
    </row>
    <row r="327">
      <c r="N327">
        <f>IF(G327="","",IF(I327&lt;=0,"⚠️ RUPTURE",IF(I327&lt;=J327,"⚠️ CRITIQUE",IF(I327&lt;=K327,"⚡ ATTENTION","✓ OK"))))</f>
        <v/>
      </c>
    </row>
    <row r="328">
      <c r="N328">
        <f>IF(G328="","",IF(I328&lt;=0,"⚠️ RUPTURE",IF(I328&lt;=J328,"⚠️ CRITIQUE",IF(I328&lt;=K328,"⚡ ATTENTION","✓ OK"))))</f>
        <v/>
      </c>
    </row>
    <row r="329">
      <c r="N329">
        <f>IF(G329="","",IF(I329&lt;=0,"⚠️ RUPTURE",IF(I329&lt;=J329,"⚠️ CRITIQUE",IF(I329&lt;=K329,"⚡ ATTENTION","✓ OK"))))</f>
        <v/>
      </c>
    </row>
    <row r="330">
      <c r="N330">
        <f>IF(G330="","",IF(I330&lt;=0,"⚠️ RUPTURE",IF(I330&lt;=J330,"⚠️ CRITIQUE",IF(I330&lt;=K330,"⚡ ATTENTION","✓ OK"))))</f>
        <v/>
      </c>
    </row>
    <row r="331">
      <c r="N331">
        <f>IF(G331="","",IF(I331&lt;=0,"⚠️ RUPTURE",IF(I331&lt;=J331,"⚠️ CRITIQUE",IF(I331&lt;=K331,"⚡ ATTENTION","✓ OK"))))</f>
        <v/>
      </c>
    </row>
    <row r="332">
      <c r="N332">
        <f>IF(G332="","",IF(I332&lt;=0,"⚠️ RUPTURE",IF(I332&lt;=J332,"⚠️ CRITIQUE",IF(I332&lt;=K332,"⚡ ATTENTION","✓ OK"))))</f>
        <v/>
      </c>
    </row>
    <row r="333">
      <c r="N333">
        <f>IF(G333="","",IF(I333&lt;=0,"⚠️ RUPTURE",IF(I333&lt;=J333,"⚠️ CRITIQUE",IF(I333&lt;=K333,"⚡ ATTENTION","✓ OK"))))</f>
        <v/>
      </c>
    </row>
    <row r="334">
      <c r="N334">
        <f>IF(G334="","",IF(I334&lt;=0,"⚠️ RUPTURE",IF(I334&lt;=J334,"⚠️ CRITIQUE",IF(I334&lt;=K334,"⚡ ATTENTION","✓ OK"))))</f>
        <v/>
      </c>
    </row>
    <row r="335">
      <c r="N335">
        <f>IF(G335="","",IF(I335&lt;=0,"⚠️ RUPTURE",IF(I335&lt;=J335,"⚠️ CRITIQUE",IF(I335&lt;=K335,"⚡ ATTENTION","✓ OK"))))</f>
        <v/>
      </c>
    </row>
    <row r="336">
      <c r="N336">
        <f>IF(G336="","",IF(I336&lt;=0,"⚠️ RUPTURE",IF(I336&lt;=J336,"⚠️ CRITIQUE",IF(I336&lt;=K336,"⚡ ATTENTION","✓ OK"))))</f>
        <v/>
      </c>
    </row>
    <row r="337">
      <c r="N337">
        <f>IF(G337="","",IF(I337&lt;=0,"⚠️ RUPTURE",IF(I337&lt;=J337,"⚠️ CRITIQUE",IF(I337&lt;=K337,"⚡ ATTENTION","✓ OK"))))</f>
        <v/>
      </c>
    </row>
    <row r="338">
      <c r="N338">
        <f>IF(G338="","",IF(I338&lt;=0,"⚠️ RUPTURE",IF(I338&lt;=J338,"⚠️ CRITIQUE",IF(I338&lt;=K338,"⚡ ATTENTION","✓ OK"))))</f>
        <v/>
      </c>
    </row>
    <row r="339">
      <c r="N339">
        <f>IF(G339="","",IF(I339&lt;=0,"⚠️ RUPTURE",IF(I339&lt;=J339,"⚠️ CRITIQUE",IF(I339&lt;=K339,"⚡ ATTENTION","✓ OK"))))</f>
        <v/>
      </c>
    </row>
    <row r="340">
      <c r="N340">
        <f>IF(G340="","",IF(I340&lt;=0,"⚠️ RUPTURE",IF(I340&lt;=J340,"⚠️ CRITIQUE",IF(I340&lt;=K340,"⚡ ATTENTION","✓ OK"))))</f>
        <v/>
      </c>
    </row>
    <row r="341">
      <c r="N341">
        <f>IF(G341="","",IF(I341&lt;=0,"⚠️ RUPTURE",IF(I341&lt;=J341,"⚠️ CRITIQUE",IF(I341&lt;=K341,"⚡ ATTENTION","✓ OK"))))</f>
        <v/>
      </c>
    </row>
    <row r="342">
      <c r="N342">
        <f>IF(G342="","",IF(I342&lt;=0,"⚠️ RUPTURE",IF(I342&lt;=J342,"⚠️ CRITIQUE",IF(I342&lt;=K342,"⚡ ATTENTION","✓ OK"))))</f>
        <v/>
      </c>
    </row>
    <row r="343">
      <c r="N343">
        <f>IF(G343="","",IF(I343&lt;=0,"⚠️ RUPTURE",IF(I343&lt;=J343,"⚠️ CRITIQUE",IF(I343&lt;=K343,"⚡ ATTENTION","✓ OK"))))</f>
        <v/>
      </c>
    </row>
    <row r="344">
      <c r="N344">
        <f>IF(G344="","",IF(I344&lt;=0,"⚠️ RUPTURE",IF(I344&lt;=J344,"⚠️ CRITIQUE",IF(I344&lt;=K344,"⚡ ATTENTION","✓ OK"))))</f>
        <v/>
      </c>
    </row>
    <row r="345">
      <c r="N345">
        <f>IF(G345="","",IF(I345&lt;=0,"⚠️ RUPTURE",IF(I345&lt;=J345,"⚠️ CRITIQUE",IF(I345&lt;=K345,"⚡ ATTENTION","✓ OK"))))</f>
        <v/>
      </c>
    </row>
    <row r="346">
      <c r="N346">
        <f>IF(G346="","",IF(I346&lt;=0,"⚠️ RUPTURE",IF(I346&lt;=J346,"⚠️ CRITIQUE",IF(I346&lt;=K346,"⚡ ATTENTION","✓ OK"))))</f>
        <v/>
      </c>
    </row>
    <row r="347">
      <c r="N347">
        <f>IF(G347="","",IF(I347&lt;=0,"⚠️ RUPTURE",IF(I347&lt;=J347,"⚠️ CRITIQUE",IF(I347&lt;=K347,"⚡ ATTENTION","✓ OK"))))</f>
        <v/>
      </c>
    </row>
    <row r="348">
      <c r="N348">
        <f>IF(G348="","",IF(I348&lt;=0,"⚠️ RUPTURE",IF(I348&lt;=J348,"⚠️ CRITIQUE",IF(I348&lt;=K348,"⚡ ATTENTION","✓ OK"))))</f>
        <v/>
      </c>
    </row>
    <row r="349">
      <c r="N349">
        <f>IF(G349="","",IF(I349&lt;=0,"⚠️ RUPTURE",IF(I349&lt;=J349,"⚠️ CRITIQUE",IF(I349&lt;=K349,"⚡ ATTENTION","✓ OK"))))</f>
        <v/>
      </c>
    </row>
    <row r="350">
      <c r="N350">
        <f>IF(G350="","",IF(I350&lt;=0,"⚠️ RUPTURE",IF(I350&lt;=J350,"⚠️ CRITIQUE",IF(I350&lt;=K350,"⚡ ATTENTION","✓ OK"))))</f>
        <v/>
      </c>
    </row>
    <row r="351">
      <c r="N351">
        <f>IF(G351="","",IF(I351&lt;=0,"⚠️ RUPTURE",IF(I351&lt;=J351,"⚠️ CRITIQUE",IF(I351&lt;=K351,"⚡ ATTENTION","✓ OK"))))</f>
        <v/>
      </c>
    </row>
    <row r="352">
      <c r="N352">
        <f>IF(G352="","",IF(I352&lt;=0,"⚠️ RUPTURE",IF(I352&lt;=J352,"⚠️ CRITIQUE",IF(I352&lt;=K352,"⚡ ATTENTION","✓ OK"))))</f>
        <v/>
      </c>
    </row>
    <row r="353">
      <c r="N353">
        <f>IF(G353="","",IF(I353&lt;=0,"⚠️ RUPTURE",IF(I353&lt;=J353,"⚠️ CRITIQUE",IF(I353&lt;=K353,"⚡ ATTENTION","✓ OK"))))</f>
        <v/>
      </c>
    </row>
    <row r="354">
      <c r="N354">
        <f>IF(G354="","",IF(I354&lt;=0,"⚠️ RUPTURE",IF(I354&lt;=J354,"⚠️ CRITIQUE",IF(I354&lt;=K354,"⚡ ATTENTION","✓ OK"))))</f>
        <v/>
      </c>
    </row>
    <row r="355">
      <c r="N355">
        <f>IF(G355="","",IF(I355&lt;=0,"⚠️ RUPTURE",IF(I355&lt;=J355,"⚠️ CRITIQUE",IF(I355&lt;=K355,"⚡ ATTENTION","✓ OK"))))</f>
        <v/>
      </c>
    </row>
    <row r="356">
      <c r="N356">
        <f>IF(G356="","",IF(I356&lt;=0,"⚠️ RUPTURE",IF(I356&lt;=J356,"⚠️ CRITIQUE",IF(I356&lt;=K356,"⚡ ATTENTION","✓ OK"))))</f>
        <v/>
      </c>
    </row>
    <row r="357">
      <c r="N357">
        <f>IF(G357="","",IF(I357&lt;=0,"⚠️ RUPTURE",IF(I357&lt;=J357,"⚠️ CRITIQUE",IF(I357&lt;=K357,"⚡ ATTENTION","✓ OK"))))</f>
        <v/>
      </c>
    </row>
    <row r="358">
      <c r="N358">
        <f>IF(G358="","",IF(I358&lt;=0,"⚠️ RUPTURE",IF(I358&lt;=J358,"⚠️ CRITIQUE",IF(I358&lt;=K358,"⚡ ATTENTION","✓ OK"))))</f>
        <v/>
      </c>
    </row>
    <row r="359">
      <c r="N359">
        <f>IF(G359="","",IF(I359&lt;=0,"⚠️ RUPTURE",IF(I359&lt;=J359,"⚠️ CRITIQUE",IF(I359&lt;=K359,"⚡ ATTENTION","✓ OK"))))</f>
        <v/>
      </c>
    </row>
    <row r="360">
      <c r="N360">
        <f>IF(G360="","",IF(I360&lt;=0,"⚠️ RUPTURE",IF(I360&lt;=J360,"⚠️ CRITIQUE",IF(I360&lt;=K360,"⚡ ATTENTION","✓ OK"))))</f>
        <v/>
      </c>
    </row>
    <row r="361">
      <c r="N361">
        <f>IF(G361="","",IF(I361&lt;=0,"⚠️ RUPTURE",IF(I361&lt;=J361,"⚠️ CRITIQUE",IF(I361&lt;=K361,"⚡ ATTENTION","✓ OK"))))</f>
        <v/>
      </c>
    </row>
    <row r="362">
      <c r="N362">
        <f>IF(G362="","",IF(I362&lt;=0,"⚠️ RUPTURE",IF(I362&lt;=J362,"⚠️ CRITIQUE",IF(I362&lt;=K362,"⚡ ATTENTION","✓ OK"))))</f>
        <v/>
      </c>
    </row>
    <row r="363">
      <c r="N363">
        <f>IF(G363="","",IF(I363&lt;=0,"⚠️ RUPTURE",IF(I363&lt;=J363,"⚠️ CRITIQUE",IF(I363&lt;=K363,"⚡ ATTENTION","✓ OK"))))</f>
        <v/>
      </c>
    </row>
    <row r="364">
      <c r="N364">
        <f>IF(G364="","",IF(I364&lt;=0,"⚠️ RUPTURE",IF(I364&lt;=J364,"⚠️ CRITIQUE",IF(I364&lt;=K364,"⚡ ATTENTION","✓ OK"))))</f>
        <v/>
      </c>
    </row>
    <row r="365">
      <c r="N365">
        <f>IF(G365="","",IF(I365&lt;=0,"⚠️ RUPTURE",IF(I365&lt;=J365,"⚠️ CRITIQUE",IF(I365&lt;=K365,"⚡ ATTENTION","✓ OK"))))</f>
        <v/>
      </c>
    </row>
    <row r="366">
      <c r="N366">
        <f>IF(G366="","",IF(I366&lt;=0,"⚠️ RUPTURE",IF(I366&lt;=J366,"⚠️ CRITIQUE",IF(I366&lt;=K366,"⚡ ATTENTION","✓ OK"))))</f>
        <v/>
      </c>
    </row>
    <row r="367">
      <c r="N367">
        <f>IF(G367="","",IF(I367&lt;=0,"⚠️ RUPTURE",IF(I367&lt;=J367,"⚠️ CRITIQUE",IF(I367&lt;=K367,"⚡ ATTENTION","✓ OK"))))</f>
        <v/>
      </c>
    </row>
    <row r="368">
      <c r="N368">
        <f>IF(G368="","",IF(I368&lt;=0,"⚠️ RUPTURE",IF(I368&lt;=J368,"⚠️ CRITIQUE",IF(I368&lt;=K368,"⚡ ATTENTION","✓ OK"))))</f>
        <v/>
      </c>
    </row>
    <row r="369">
      <c r="N369">
        <f>IF(G369="","",IF(I369&lt;=0,"⚠️ RUPTURE",IF(I369&lt;=J369,"⚠️ CRITIQUE",IF(I369&lt;=K369,"⚡ ATTENTION","✓ OK"))))</f>
        <v/>
      </c>
    </row>
    <row r="370">
      <c r="N370">
        <f>IF(G370="","",IF(I370&lt;=0,"⚠️ RUPTURE",IF(I370&lt;=J370,"⚠️ CRITIQUE",IF(I370&lt;=K370,"⚡ ATTENTION","✓ OK"))))</f>
        <v/>
      </c>
    </row>
    <row r="371">
      <c r="N371">
        <f>IF(G371="","",IF(I371&lt;=0,"⚠️ RUPTURE",IF(I371&lt;=J371,"⚠️ CRITIQUE",IF(I371&lt;=K371,"⚡ ATTENTION","✓ OK"))))</f>
        <v/>
      </c>
    </row>
    <row r="372">
      <c r="N372">
        <f>IF(G372="","",IF(I372&lt;=0,"⚠️ RUPTURE",IF(I372&lt;=J372,"⚠️ CRITIQUE",IF(I372&lt;=K372,"⚡ ATTENTION","✓ OK"))))</f>
        <v/>
      </c>
    </row>
    <row r="373">
      <c r="N373">
        <f>IF(G373="","",IF(I373&lt;=0,"⚠️ RUPTURE",IF(I373&lt;=J373,"⚠️ CRITIQUE",IF(I373&lt;=K373,"⚡ ATTENTION","✓ OK"))))</f>
        <v/>
      </c>
    </row>
    <row r="374">
      <c r="N374">
        <f>IF(G374="","",IF(I374&lt;=0,"⚠️ RUPTURE",IF(I374&lt;=J374,"⚠️ CRITIQUE",IF(I374&lt;=K374,"⚡ ATTENTION","✓ OK"))))</f>
        <v/>
      </c>
    </row>
    <row r="375">
      <c r="N375">
        <f>IF(G375="","",IF(I375&lt;=0,"⚠️ RUPTURE",IF(I375&lt;=J375,"⚠️ CRITIQUE",IF(I375&lt;=K375,"⚡ ATTENTION","✓ OK"))))</f>
        <v/>
      </c>
    </row>
    <row r="376">
      <c r="N376">
        <f>IF(G376="","",IF(I376&lt;=0,"⚠️ RUPTURE",IF(I376&lt;=J376,"⚠️ CRITIQUE",IF(I376&lt;=K376,"⚡ ATTENTION","✓ OK"))))</f>
        <v/>
      </c>
    </row>
    <row r="377">
      <c r="N377">
        <f>IF(G377="","",IF(I377&lt;=0,"⚠️ RUPTURE",IF(I377&lt;=J377,"⚠️ CRITIQUE",IF(I377&lt;=K377,"⚡ ATTENTION","✓ OK"))))</f>
        <v/>
      </c>
    </row>
    <row r="378">
      <c r="N378">
        <f>IF(G378="","",IF(I378&lt;=0,"⚠️ RUPTURE",IF(I378&lt;=J378,"⚠️ CRITIQUE",IF(I378&lt;=K378,"⚡ ATTENTION","✓ OK"))))</f>
        <v/>
      </c>
    </row>
    <row r="379">
      <c r="N379">
        <f>IF(G379="","",IF(I379&lt;=0,"⚠️ RUPTURE",IF(I379&lt;=J379,"⚠️ CRITIQUE",IF(I379&lt;=K379,"⚡ ATTENTION","✓ OK"))))</f>
        <v/>
      </c>
    </row>
    <row r="380">
      <c r="N380">
        <f>IF(G380="","",IF(I380&lt;=0,"⚠️ RUPTURE",IF(I380&lt;=J380,"⚠️ CRITIQUE",IF(I380&lt;=K380,"⚡ ATTENTION","✓ OK"))))</f>
        <v/>
      </c>
    </row>
    <row r="381">
      <c r="N381">
        <f>IF(G381="","",IF(I381&lt;=0,"⚠️ RUPTURE",IF(I381&lt;=J381,"⚠️ CRITIQUE",IF(I381&lt;=K381,"⚡ ATTENTION","✓ OK"))))</f>
        <v/>
      </c>
    </row>
    <row r="382">
      <c r="N382">
        <f>IF(G382="","",IF(I382&lt;=0,"⚠️ RUPTURE",IF(I382&lt;=J382,"⚠️ CRITIQUE",IF(I382&lt;=K382,"⚡ ATTENTION","✓ OK"))))</f>
        <v/>
      </c>
    </row>
    <row r="383">
      <c r="N383">
        <f>IF(G383="","",IF(I383&lt;=0,"⚠️ RUPTURE",IF(I383&lt;=J383,"⚠️ CRITIQUE",IF(I383&lt;=K383,"⚡ ATTENTION","✓ OK"))))</f>
        <v/>
      </c>
    </row>
    <row r="384">
      <c r="N384">
        <f>IF(G384="","",IF(I384&lt;=0,"⚠️ RUPTURE",IF(I384&lt;=J384,"⚠️ CRITIQUE",IF(I384&lt;=K384,"⚡ ATTENTION","✓ OK"))))</f>
        <v/>
      </c>
    </row>
    <row r="385">
      <c r="N385">
        <f>IF(G385="","",IF(I385&lt;=0,"⚠️ RUPTURE",IF(I385&lt;=J385,"⚠️ CRITIQUE",IF(I385&lt;=K385,"⚡ ATTENTION","✓ OK"))))</f>
        <v/>
      </c>
    </row>
    <row r="386">
      <c r="N386">
        <f>IF(G386="","",IF(I386&lt;=0,"⚠️ RUPTURE",IF(I386&lt;=J386,"⚠️ CRITIQUE",IF(I386&lt;=K386,"⚡ ATTENTION","✓ OK"))))</f>
        <v/>
      </c>
    </row>
    <row r="387">
      <c r="N387">
        <f>IF(G387="","",IF(I387&lt;=0,"⚠️ RUPTURE",IF(I387&lt;=J387,"⚠️ CRITIQUE",IF(I387&lt;=K387,"⚡ ATTENTION","✓ OK"))))</f>
        <v/>
      </c>
    </row>
    <row r="388">
      <c r="N388">
        <f>IF(G388="","",IF(I388&lt;=0,"⚠️ RUPTURE",IF(I388&lt;=J388,"⚠️ CRITIQUE",IF(I388&lt;=K388,"⚡ ATTENTION","✓ OK"))))</f>
        <v/>
      </c>
    </row>
    <row r="389">
      <c r="N389">
        <f>IF(G389="","",IF(I389&lt;=0,"⚠️ RUPTURE",IF(I389&lt;=J389,"⚠️ CRITIQUE",IF(I389&lt;=K389,"⚡ ATTENTION","✓ OK"))))</f>
        <v/>
      </c>
    </row>
    <row r="390">
      <c r="N390">
        <f>IF(G390="","",IF(I390&lt;=0,"⚠️ RUPTURE",IF(I390&lt;=J390,"⚠️ CRITIQUE",IF(I390&lt;=K390,"⚡ ATTENTION","✓ OK"))))</f>
        <v/>
      </c>
    </row>
    <row r="391">
      <c r="N391">
        <f>IF(G391="","",IF(I391&lt;=0,"⚠️ RUPTURE",IF(I391&lt;=J391,"⚠️ CRITIQUE",IF(I391&lt;=K391,"⚡ ATTENTION","✓ OK"))))</f>
        <v/>
      </c>
    </row>
    <row r="392">
      <c r="N392">
        <f>IF(G392="","",IF(I392&lt;=0,"⚠️ RUPTURE",IF(I392&lt;=J392,"⚠️ CRITIQUE",IF(I392&lt;=K392,"⚡ ATTENTION","✓ OK"))))</f>
        <v/>
      </c>
    </row>
    <row r="393">
      <c r="N393">
        <f>IF(G393="","",IF(I393&lt;=0,"⚠️ RUPTURE",IF(I393&lt;=J393,"⚠️ CRITIQUE",IF(I393&lt;=K393,"⚡ ATTENTION","✓ OK"))))</f>
        <v/>
      </c>
    </row>
    <row r="394">
      <c r="N394">
        <f>IF(G394="","",IF(I394&lt;=0,"⚠️ RUPTURE",IF(I394&lt;=J394,"⚠️ CRITIQUE",IF(I394&lt;=K394,"⚡ ATTENTION","✓ OK"))))</f>
        <v/>
      </c>
    </row>
    <row r="395">
      <c r="N395">
        <f>IF(G395="","",IF(I395&lt;=0,"⚠️ RUPTURE",IF(I395&lt;=J395,"⚠️ CRITIQUE",IF(I395&lt;=K395,"⚡ ATTENTION","✓ OK"))))</f>
        <v/>
      </c>
    </row>
    <row r="396">
      <c r="N396">
        <f>IF(G396="","",IF(I396&lt;=0,"⚠️ RUPTURE",IF(I396&lt;=J396,"⚠️ CRITIQUE",IF(I396&lt;=K396,"⚡ ATTENTION","✓ OK"))))</f>
        <v/>
      </c>
    </row>
    <row r="397">
      <c r="N397">
        <f>IF(G397="","",IF(I397&lt;=0,"⚠️ RUPTURE",IF(I397&lt;=J397,"⚠️ CRITIQUE",IF(I397&lt;=K397,"⚡ ATTENTION","✓ OK"))))</f>
        <v/>
      </c>
    </row>
    <row r="398">
      <c r="N398">
        <f>IF(G398="","",IF(I398&lt;=0,"⚠️ RUPTURE",IF(I398&lt;=J398,"⚠️ CRITIQUE",IF(I398&lt;=K398,"⚡ ATTENTION","✓ OK"))))</f>
        <v/>
      </c>
    </row>
    <row r="399">
      <c r="N399">
        <f>IF(G399="","",IF(I399&lt;=0,"⚠️ RUPTURE",IF(I399&lt;=J399,"⚠️ CRITIQUE",IF(I399&lt;=K399,"⚡ ATTENTION","✓ OK"))))</f>
        <v/>
      </c>
    </row>
    <row r="400">
      <c r="N400">
        <f>IF(G400="","",IF(I400&lt;=0,"⚠️ RUPTURE",IF(I400&lt;=J400,"⚠️ CRITIQUE",IF(I400&lt;=K400,"⚡ ATTENTION","✓ OK"))))</f>
        <v/>
      </c>
    </row>
    <row r="401">
      <c r="N401">
        <f>IF(G401="","",IF(I401&lt;=0,"⚠️ RUPTURE",IF(I401&lt;=J401,"⚠️ CRITIQUE",IF(I401&lt;=K401,"⚡ ATTENTION","✓ OK"))))</f>
        <v/>
      </c>
    </row>
    <row r="402">
      <c r="N402">
        <f>IF(G402="","",IF(I402&lt;=0,"⚠️ RUPTURE",IF(I402&lt;=J402,"⚠️ CRITIQUE",IF(I402&lt;=K402,"⚡ ATTENTION","✓ OK"))))</f>
        <v/>
      </c>
    </row>
    <row r="403">
      <c r="N403">
        <f>IF(G403="","",IF(I403&lt;=0,"⚠️ RUPTURE",IF(I403&lt;=J403,"⚠️ CRITIQUE",IF(I403&lt;=K403,"⚡ ATTENTION","✓ OK"))))</f>
        <v/>
      </c>
    </row>
    <row r="404">
      <c r="N404">
        <f>IF(G404="","",IF(I404&lt;=0,"⚠️ RUPTURE",IF(I404&lt;=J404,"⚠️ CRITIQUE",IF(I404&lt;=K404,"⚡ ATTENTION","✓ OK"))))</f>
        <v/>
      </c>
    </row>
    <row r="405">
      <c r="N405">
        <f>IF(G405="","",IF(I405&lt;=0,"⚠️ RUPTURE",IF(I405&lt;=J405,"⚠️ CRITIQUE",IF(I405&lt;=K405,"⚡ ATTENTION","✓ OK"))))</f>
        <v/>
      </c>
    </row>
    <row r="406">
      <c r="N406">
        <f>IF(G406="","",IF(I406&lt;=0,"⚠️ RUPTURE",IF(I406&lt;=J406,"⚠️ CRITIQUE",IF(I406&lt;=K406,"⚡ ATTENTION","✓ OK"))))</f>
        <v/>
      </c>
    </row>
    <row r="407">
      <c r="N407">
        <f>IF(G407="","",IF(I407&lt;=0,"⚠️ RUPTURE",IF(I407&lt;=J407,"⚠️ CRITIQUE",IF(I407&lt;=K407,"⚡ ATTENTION","✓ OK"))))</f>
        <v/>
      </c>
    </row>
    <row r="408">
      <c r="N408">
        <f>IF(G408="","",IF(I408&lt;=0,"⚠️ RUPTURE",IF(I408&lt;=J408,"⚠️ CRITIQUE",IF(I408&lt;=K408,"⚡ ATTENTION","✓ OK"))))</f>
        <v/>
      </c>
    </row>
    <row r="409">
      <c r="N409">
        <f>IF(G409="","",IF(I409&lt;=0,"⚠️ RUPTURE",IF(I409&lt;=J409,"⚠️ CRITIQUE",IF(I409&lt;=K409,"⚡ ATTENTION","✓ OK"))))</f>
        <v/>
      </c>
    </row>
    <row r="410">
      <c r="N410">
        <f>IF(G410="","",IF(I410&lt;=0,"⚠️ RUPTURE",IF(I410&lt;=J410,"⚠️ CRITIQUE",IF(I410&lt;=K410,"⚡ ATTENTION","✓ OK"))))</f>
        <v/>
      </c>
    </row>
    <row r="411">
      <c r="N411">
        <f>IF(G411="","",IF(I411&lt;=0,"⚠️ RUPTURE",IF(I411&lt;=J411,"⚠️ CRITIQUE",IF(I411&lt;=K411,"⚡ ATTENTION","✓ OK"))))</f>
        <v/>
      </c>
    </row>
    <row r="412">
      <c r="N412">
        <f>IF(G412="","",IF(I412&lt;=0,"⚠️ RUPTURE",IF(I412&lt;=J412,"⚠️ CRITIQUE",IF(I412&lt;=K412,"⚡ ATTENTION","✓ OK"))))</f>
        <v/>
      </c>
    </row>
    <row r="413">
      <c r="N413">
        <f>IF(G413="","",IF(I413&lt;=0,"⚠️ RUPTURE",IF(I413&lt;=J413,"⚠️ CRITIQUE",IF(I413&lt;=K413,"⚡ ATTENTION","✓ OK"))))</f>
        <v/>
      </c>
    </row>
    <row r="414">
      <c r="N414">
        <f>IF(G414="","",IF(I414&lt;=0,"⚠️ RUPTURE",IF(I414&lt;=J414,"⚠️ CRITIQUE",IF(I414&lt;=K414,"⚡ ATTENTION","✓ OK"))))</f>
        <v/>
      </c>
    </row>
    <row r="415">
      <c r="N415">
        <f>IF(G415="","",IF(I415&lt;=0,"⚠️ RUPTURE",IF(I415&lt;=J415,"⚠️ CRITIQUE",IF(I415&lt;=K415,"⚡ ATTENTION","✓ OK"))))</f>
        <v/>
      </c>
    </row>
    <row r="416">
      <c r="N416">
        <f>IF(G416="","",IF(I416&lt;=0,"⚠️ RUPTURE",IF(I416&lt;=J416,"⚠️ CRITIQUE",IF(I416&lt;=K416,"⚡ ATTENTION","✓ OK"))))</f>
        <v/>
      </c>
    </row>
    <row r="417">
      <c r="N417">
        <f>IF(G417="","",IF(I417&lt;=0,"⚠️ RUPTURE",IF(I417&lt;=J417,"⚠️ CRITIQUE",IF(I417&lt;=K417,"⚡ ATTENTION","✓ OK"))))</f>
        <v/>
      </c>
    </row>
    <row r="418">
      <c r="N418">
        <f>IF(G418="","",IF(I418&lt;=0,"⚠️ RUPTURE",IF(I418&lt;=J418,"⚠️ CRITIQUE",IF(I418&lt;=K418,"⚡ ATTENTION","✓ OK"))))</f>
        <v/>
      </c>
    </row>
    <row r="419">
      <c r="N419">
        <f>IF(G419="","",IF(I419&lt;=0,"⚠️ RUPTURE",IF(I419&lt;=J419,"⚠️ CRITIQUE",IF(I419&lt;=K419,"⚡ ATTENTION","✓ OK"))))</f>
        <v/>
      </c>
    </row>
    <row r="420">
      <c r="N420">
        <f>IF(G420="","",IF(I420&lt;=0,"⚠️ RUPTURE",IF(I420&lt;=J420,"⚠️ CRITIQUE",IF(I420&lt;=K420,"⚡ ATTENTION","✓ OK"))))</f>
        <v/>
      </c>
    </row>
    <row r="421">
      <c r="N421">
        <f>IF(G421="","",IF(I421&lt;=0,"⚠️ RUPTURE",IF(I421&lt;=J421,"⚠️ CRITIQUE",IF(I421&lt;=K421,"⚡ ATTENTION","✓ OK"))))</f>
        <v/>
      </c>
    </row>
    <row r="422">
      <c r="N422">
        <f>IF(G422="","",IF(I422&lt;=0,"⚠️ RUPTURE",IF(I422&lt;=J422,"⚠️ CRITIQUE",IF(I422&lt;=K422,"⚡ ATTENTION","✓ OK"))))</f>
        <v/>
      </c>
    </row>
    <row r="423">
      <c r="N423">
        <f>IF(G423="","",IF(I423&lt;=0,"⚠️ RUPTURE",IF(I423&lt;=J423,"⚠️ CRITIQUE",IF(I423&lt;=K423,"⚡ ATTENTION","✓ OK"))))</f>
        <v/>
      </c>
    </row>
    <row r="424">
      <c r="N424">
        <f>IF(G424="","",IF(I424&lt;=0,"⚠️ RUPTURE",IF(I424&lt;=J424,"⚠️ CRITIQUE",IF(I424&lt;=K424,"⚡ ATTENTION","✓ OK"))))</f>
        <v/>
      </c>
    </row>
    <row r="425">
      <c r="N425">
        <f>IF(G425="","",IF(I425&lt;=0,"⚠️ RUPTURE",IF(I425&lt;=J425,"⚠️ CRITIQUE",IF(I425&lt;=K425,"⚡ ATTENTION","✓ OK"))))</f>
        <v/>
      </c>
    </row>
    <row r="426">
      <c r="N426">
        <f>IF(G426="","",IF(I426&lt;=0,"⚠️ RUPTURE",IF(I426&lt;=J426,"⚠️ CRITIQUE",IF(I426&lt;=K426,"⚡ ATTENTION","✓ OK"))))</f>
        <v/>
      </c>
    </row>
    <row r="427">
      <c r="N427">
        <f>IF(G427="","",IF(I427&lt;=0,"⚠️ RUPTURE",IF(I427&lt;=J427,"⚠️ CRITIQUE",IF(I427&lt;=K427,"⚡ ATTENTION","✓ OK"))))</f>
        <v/>
      </c>
    </row>
    <row r="428">
      <c r="N428">
        <f>IF(G428="","",IF(I428&lt;=0,"⚠️ RUPTURE",IF(I428&lt;=J428,"⚠️ CRITIQUE",IF(I428&lt;=K428,"⚡ ATTENTION","✓ OK"))))</f>
        <v/>
      </c>
    </row>
    <row r="429">
      <c r="N429">
        <f>IF(G429="","",IF(I429&lt;=0,"⚠️ RUPTURE",IF(I429&lt;=J429,"⚠️ CRITIQUE",IF(I429&lt;=K429,"⚡ ATTENTION","✓ OK"))))</f>
        <v/>
      </c>
    </row>
    <row r="430">
      <c r="N430">
        <f>IF(G430="","",IF(I430&lt;=0,"⚠️ RUPTURE",IF(I430&lt;=J430,"⚠️ CRITIQUE",IF(I430&lt;=K430,"⚡ ATTENTION","✓ OK"))))</f>
        <v/>
      </c>
    </row>
    <row r="431">
      <c r="N431">
        <f>IF(G431="","",IF(I431&lt;=0,"⚠️ RUPTURE",IF(I431&lt;=J431,"⚠️ CRITIQUE",IF(I431&lt;=K431,"⚡ ATTENTION","✓ OK"))))</f>
        <v/>
      </c>
    </row>
    <row r="432">
      <c r="N432">
        <f>IF(G432="","",IF(I432&lt;=0,"⚠️ RUPTURE",IF(I432&lt;=J432,"⚠️ CRITIQUE",IF(I432&lt;=K432,"⚡ ATTENTION","✓ OK"))))</f>
        <v/>
      </c>
    </row>
    <row r="433">
      <c r="N433">
        <f>IF(G433="","",IF(I433&lt;=0,"⚠️ RUPTURE",IF(I433&lt;=J433,"⚠️ CRITIQUE",IF(I433&lt;=K433,"⚡ ATTENTION","✓ OK"))))</f>
        <v/>
      </c>
    </row>
    <row r="434">
      <c r="N434">
        <f>IF(G434="","",IF(I434&lt;=0,"⚠️ RUPTURE",IF(I434&lt;=J434,"⚠️ CRITIQUE",IF(I434&lt;=K434,"⚡ ATTENTION","✓ OK"))))</f>
        <v/>
      </c>
    </row>
    <row r="435">
      <c r="N435">
        <f>IF(G435="","",IF(I435&lt;=0,"⚠️ RUPTURE",IF(I435&lt;=J435,"⚠️ CRITIQUE",IF(I435&lt;=K435,"⚡ ATTENTION","✓ OK"))))</f>
        <v/>
      </c>
    </row>
    <row r="436">
      <c r="N436">
        <f>IF(G436="","",IF(I436&lt;=0,"⚠️ RUPTURE",IF(I436&lt;=J436,"⚠️ CRITIQUE",IF(I436&lt;=K436,"⚡ ATTENTION","✓ OK"))))</f>
        <v/>
      </c>
    </row>
    <row r="437">
      <c r="N437">
        <f>IF(G437="","",IF(I437&lt;=0,"⚠️ RUPTURE",IF(I437&lt;=J437,"⚠️ CRITIQUE",IF(I437&lt;=K437,"⚡ ATTENTION","✓ OK"))))</f>
        <v/>
      </c>
    </row>
    <row r="438">
      <c r="N438">
        <f>IF(G438="","",IF(I438&lt;=0,"⚠️ RUPTURE",IF(I438&lt;=J438,"⚠️ CRITIQUE",IF(I438&lt;=K438,"⚡ ATTENTION","✓ OK"))))</f>
        <v/>
      </c>
    </row>
    <row r="439">
      <c r="N439">
        <f>IF(G439="","",IF(I439&lt;=0,"⚠️ RUPTURE",IF(I439&lt;=J439,"⚠️ CRITIQUE",IF(I439&lt;=K439,"⚡ ATTENTION","✓ OK"))))</f>
        <v/>
      </c>
    </row>
    <row r="440">
      <c r="N440">
        <f>IF(G440="","",IF(I440&lt;=0,"⚠️ RUPTURE",IF(I440&lt;=J440,"⚠️ CRITIQUE",IF(I440&lt;=K440,"⚡ ATTENTION","✓ OK"))))</f>
        <v/>
      </c>
    </row>
    <row r="441">
      <c r="N441">
        <f>IF(G441="","",IF(I441&lt;=0,"⚠️ RUPTURE",IF(I441&lt;=J441,"⚠️ CRITIQUE",IF(I441&lt;=K441,"⚡ ATTENTION","✓ OK"))))</f>
        <v/>
      </c>
    </row>
    <row r="442">
      <c r="N442">
        <f>IF(G442="","",IF(I442&lt;=0,"⚠️ RUPTURE",IF(I442&lt;=J442,"⚠️ CRITIQUE",IF(I442&lt;=K442,"⚡ ATTENTION","✓ OK"))))</f>
        <v/>
      </c>
    </row>
    <row r="443">
      <c r="N443">
        <f>IF(G443="","",IF(I443&lt;=0,"⚠️ RUPTURE",IF(I443&lt;=J443,"⚠️ CRITIQUE",IF(I443&lt;=K443,"⚡ ATTENTION","✓ OK"))))</f>
        <v/>
      </c>
    </row>
    <row r="444">
      <c r="N444">
        <f>IF(G444="","",IF(I444&lt;=0,"⚠️ RUPTURE",IF(I444&lt;=J444,"⚠️ CRITIQUE",IF(I444&lt;=K444,"⚡ ATTENTION","✓ OK"))))</f>
        <v/>
      </c>
    </row>
    <row r="445">
      <c r="N445">
        <f>IF(G445="","",IF(I445&lt;=0,"⚠️ RUPTURE",IF(I445&lt;=J445,"⚠️ CRITIQUE",IF(I445&lt;=K445,"⚡ ATTENTION","✓ OK"))))</f>
        <v/>
      </c>
    </row>
    <row r="446">
      <c r="N446">
        <f>IF(G446="","",IF(I446&lt;=0,"⚠️ RUPTURE",IF(I446&lt;=J446,"⚠️ CRITIQUE",IF(I446&lt;=K446,"⚡ ATTENTION","✓ OK"))))</f>
        <v/>
      </c>
    </row>
    <row r="447">
      <c r="N447">
        <f>IF(G447="","",IF(I447&lt;=0,"⚠️ RUPTURE",IF(I447&lt;=J447,"⚠️ CRITIQUE",IF(I447&lt;=K447,"⚡ ATTENTION","✓ OK"))))</f>
        <v/>
      </c>
    </row>
    <row r="448">
      <c r="N448">
        <f>IF(G448="","",IF(I448&lt;=0,"⚠️ RUPTURE",IF(I448&lt;=J448,"⚠️ CRITIQUE",IF(I448&lt;=K448,"⚡ ATTENTION","✓ OK"))))</f>
        <v/>
      </c>
    </row>
    <row r="449">
      <c r="N449">
        <f>IF(G449="","",IF(I449&lt;=0,"⚠️ RUPTURE",IF(I449&lt;=J449,"⚠️ CRITIQUE",IF(I449&lt;=K449,"⚡ ATTENTION","✓ OK"))))</f>
        <v/>
      </c>
    </row>
    <row r="450">
      <c r="N450">
        <f>IF(G450="","",IF(I450&lt;=0,"⚠️ RUPTURE",IF(I450&lt;=J450,"⚠️ CRITIQUE",IF(I450&lt;=K450,"⚡ ATTENTION","✓ OK"))))</f>
        <v/>
      </c>
    </row>
    <row r="451">
      <c r="N451">
        <f>IF(G451="","",IF(I451&lt;=0,"⚠️ RUPTURE",IF(I451&lt;=J451,"⚠️ CRITIQUE",IF(I451&lt;=K451,"⚡ ATTENTION","✓ OK"))))</f>
        <v/>
      </c>
    </row>
    <row r="452">
      <c r="N452">
        <f>IF(G452="","",IF(I452&lt;=0,"⚠️ RUPTURE",IF(I452&lt;=J452,"⚠️ CRITIQUE",IF(I452&lt;=K452,"⚡ ATTENTION","✓ OK"))))</f>
        <v/>
      </c>
    </row>
    <row r="453">
      <c r="N453">
        <f>IF(G453="","",IF(I453&lt;=0,"⚠️ RUPTURE",IF(I453&lt;=J453,"⚠️ CRITIQUE",IF(I453&lt;=K453,"⚡ ATTENTION","✓ OK"))))</f>
        <v/>
      </c>
    </row>
    <row r="454">
      <c r="N454">
        <f>IF(G454="","",IF(I454&lt;=0,"⚠️ RUPTURE",IF(I454&lt;=J454,"⚠️ CRITIQUE",IF(I454&lt;=K454,"⚡ ATTENTION","✓ OK"))))</f>
        <v/>
      </c>
    </row>
    <row r="455">
      <c r="N455">
        <f>IF(G455="","",IF(I455&lt;=0,"⚠️ RUPTURE",IF(I455&lt;=J455,"⚠️ CRITIQUE",IF(I455&lt;=K455,"⚡ ATTENTION","✓ OK"))))</f>
        <v/>
      </c>
    </row>
    <row r="456">
      <c r="N456">
        <f>IF(G456="","",IF(I456&lt;=0,"⚠️ RUPTURE",IF(I456&lt;=J456,"⚠️ CRITIQUE",IF(I456&lt;=K456,"⚡ ATTENTION","✓ OK"))))</f>
        <v/>
      </c>
    </row>
    <row r="457">
      <c r="N457">
        <f>IF(G457="","",IF(I457&lt;=0,"⚠️ RUPTURE",IF(I457&lt;=J457,"⚠️ CRITIQUE",IF(I457&lt;=K457,"⚡ ATTENTION","✓ OK"))))</f>
        <v/>
      </c>
    </row>
    <row r="458">
      <c r="N458">
        <f>IF(G458="","",IF(I458&lt;=0,"⚠️ RUPTURE",IF(I458&lt;=J458,"⚠️ CRITIQUE",IF(I458&lt;=K458,"⚡ ATTENTION","✓ OK"))))</f>
        <v/>
      </c>
    </row>
    <row r="459">
      <c r="N459">
        <f>IF(G459="","",IF(I459&lt;=0,"⚠️ RUPTURE",IF(I459&lt;=J459,"⚠️ CRITIQUE",IF(I459&lt;=K459,"⚡ ATTENTION","✓ OK"))))</f>
        <v/>
      </c>
    </row>
    <row r="460">
      <c r="N460">
        <f>IF(G460="","",IF(I460&lt;=0,"⚠️ RUPTURE",IF(I460&lt;=J460,"⚠️ CRITIQUE",IF(I460&lt;=K460,"⚡ ATTENTION","✓ OK"))))</f>
        <v/>
      </c>
    </row>
    <row r="461">
      <c r="N461">
        <f>IF(G461="","",IF(I461&lt;=0,"⚠️ RUPTURE",IF(I461&lt;=J461,"⚠️ CRITIQUE",IF(I461&lt;=K461,"⚡ ATTENTION","✓ OK"))))</f>
        <v/>
      </c>
    </row>
    <row r="462">
      <c r="N462">
        <f>IF(G462="","",IF(I462&lt;=0,"⚠️ RUPTURE",IF(I462&lt;=J462,"⚠️ CRITIQUE",IF(I462&lt;=K462,"⚡ ATTENTION","✓ OK"))))</f>
        <v/>
      </c>
    </row>
    <row r="463">
      <c r="N463">
        <f>IF(G463="","",IF(I463&lt;=0,"⚠️ RUPTURE",IF(I463&lt;=J463,"⚠️ CRITIQUE",IF(I463&lt;=K463,"⚡ ATTENTION","✓ OK"))))</f>
        <v/>
      </c>
    </row>
    <row r="464">
      <c r="N464">
        <f>IF(G464="","",IF(I464&lt;=0,"⚠️ RUPTURE",IF(I464&lt;=J464,"⚠️ CRITIQUE",IF(I464&lt;=K464,"⚡ ATTENTION","✓ OK"))))</f>
        <v/>
      </c>
    </row>
    <row r="465">
      <c r="N465">
        <f>IF(G465="","",IF(I465&lt;=0,"⚠️ RUPTURE",IF(I465&lt;=J465,"⚠️ CRITIQUE",IF(I465&lt;=K465,"⚡ ATTENTION","✓ OK"))))</f>
        <v/>
      </c>
    </row>
    <row r="466">
      <c r="N466">
        <f>IF(G466="","",IF(I466&lt;=0,"⚠️ RUPTURE",IF(I466&lt;=J466,"⚠️ CRITIQUE",IF(I466&lt;=K466,"⚡ ATTENTION","✓ OK"))))</f>
        <v/>
      </c>
    </row>
    <row r="467">
      <c r="N467">
        <f>IF(G467="","",IF(I467&lt;=0,"⚠️ RUPTURE",IF(I467&lt;=J467,"⚠️ CRITIQUE",IF(I467&lt;=K467,"⚡ ATTENTION","✓ OK"))))</f>
        <v/>
      </c>
    </row>
    <row r="468">
      <c r="N468">
        <f>IF(G468="","",IF(I468&lt;=0,"⚠️ RUPTURE",IF(I468&lt;=J468,"⚠️ CRITIQUE",IF(I468&lt;=K468,"⚡ ATTENTION","✓ OK"))))</f>
        <v/>
      </c>
    </row>
    <row r="469">
      <c r="N469">
        <f>IF(G469="","",IF(I469&lt;=0,"⚠️ RUPTURE",IF(I469&lt;=J469,"⚠️ CRITIQUE",IF(I469&lt;=K469,"⚡ ATTENTION","✓ OK"))))</f>
        <v/>
      </c>
    </row>
    <row r="470">
      <c r="N470">
        <f>IF(G470="","",IF(I470&lt;=0,"⚠️ RUPTURE",IF(I470&lt;=J470,"⚠️ CRITIQUE",IF(I470&lt;=K470,"⚡ ATTENTION","✓ OK"))))</f>
        <v/>
      </c>
    </row>
    <row r="471">
      <c r="N471">
        <f>IF(G471="","",IF(I471&lt;=0,"⚠️ RUPTURE",IF(I471&lt;=J471,"⚠️ CRITIQUE",IF(I471&lt;=K471,"⚡ ATTENTION","✓ OK"))))</f>
        <v/>
      </c>
    </row>
    <row r="472">
      <c r="N472">
        <f>IF(G472="","",IF(I472&lt;=0,"⚠️ RUPTURE",IF(I472&lt;=J472,"⚠️ CRITIQUE",IF(I472&lt;=K472,"⚡ ATTENTION","✓ OK"))))</f>
        <v/>
      </c>
    </row>
    <row r="473">
      <c r="N473">
        <f>IF(G473="","",IF(I473&lt;=0,"⚠️ RUPTURE",IF(I473&lt;=J473,"⚠️ CRITIQUE",IF(I473&lt;=K473,"⚡ ATTENTION","✓ OK"))))</f>
        <v/>
      </c>
    </row>
    <row r="474">
      <c r="N474">
        <f>IF(G474="","",IF(I474&lt;=0,"⚠️ RUPTURE",IF(I474&lt;=J474,"⚠️ CRITIQUE",IF(I474&lt;=K474,"⚡ ATTENTION","✓ OK"))))</f>
        <v/>
      </c>
    </row>
    <row r="475">
      <c r="N475">
        <f>IF(G475="","",IF(I475&lt;=0,"⚠️ RUPTURE",IF(I475&lt;=J475,"⚠️ CRITIQUE",IF(I475&lt;=K475,"⚡ ATTENTION","✓ OK"))))</f>
        <v/>
      </c>
    </row>
    <row r="476">
      <c r="N476">
        <f>IF(G476="","",IF(I476&lt;=0,"⚠️ RUPTURE",IF(I476&lt;=J476,"⚠️ CRITIQUE",IF(I476&lt;=K476,"⚡ ATTENTION","✓ OK"))))</f>
        <v/>
      </c>
    </row>
    <row r="477">
      <c r="N477">
        <f>IF(G477="","",IF(I477&lt;=0,"⚠️ RUPTURE",IF(I477&lt;=J477,"⚠️ CRITIQUE",IF(I477&lt;=K477,"⚡ ATTENTION","✓ OK"))))</f>
        <v/>
      </c>
    </row>
    <row r="478">
      <c r="N478">
        <f>IF(G478="","",IF(I478&lt;=0,"⚠️ RUPTURE",IF(I478&lt;=J478,"⚠️ CRITIQUE",IF(I478&lt;=K478,"⚡ ATTENTION","✓ OK"))))</f>
        <v/>
      </c>
    </row>
    <row r="479">
      <c r="N479">
        <f>IF(G479="","",IF(I479&lt;=0,"⚠️ RUPTURE",IF(I479&lt;=J479,"⚠️ CRITIQUE",IF(I479&lt;=K479,"⚡ ATTENTION","✓ OK"))))</f>
        <v/>
      </c>
    </row>
    <row r="480">
      <c r="N480">
        <f>IF(G480="","",IF(I480&lt;=0,"⚠️ RUPTURE",IF(I480&lt;=J480,"⚠️ CRITIQUE",IF(I480&lt;=K480,"⚡ ATTENTION","✓ OK"))))</f>
        <v/>
      </c>
    </row>
    <row r="481">
      <c r="N481">
        <f>IF(G481="","",IF(I481&lt;=0,"⚠️ RUPTURE",IF(I481&lt;=J481,"⚠️ CRITIQUE",IF(I481&lt;=K481,"⚡ ATTENTION","✓ OK"))))</f>
        <v/>
      </c>
    </row>
    <row r="482">
      <c r="N482">
        <f>IF(G482="","",IF(I482&lt;=0,"⚠️ RUPTURE",IF(I482&lt;=J482,"⚠️ CRITIQUE",IF(I482&lt;=K482,"⚡ ATTENTION","✓ OK"))))</f>
        <v/>
      </c>
    </row>
    <row r="483">
      <c r="N483">
        <f>IF(G483="","",IF(I483&lt;=0,"⚠️ RUPTURE",IF(I483&lt;=J483,"⚠️ CRITIQUE",IF(I483&lt;=K483,"⚡ ATTENTION","✓ OK"))))</f>
        <v/>
      </c>
    </row>
    <row r="484">
      <c r="N484">
        <f>IF(G484="","",IF(I484&lt;=0,"⚠️ RUPTURE",IF(I484&lt;=J484,"⚠️ CRITIQUE",IF(I484&lt;=K484,"⚡ ATTENTION","✓ OK"))))</f>
        <v/>
      </c>
    </row>
    <row r="485">
      <c r="N485">
        <f>IF(G485="","",IF(I485&lt;=0,"⚠️ RUPTURE",IF(I485&lt;=J485,"⚠️ CRITIQUE",IF(I485&lt;=K485,"⚡ ATTENTION","✓ OK"))))</f>
        <v/>
      </c>
    </row>
    <row r="486">
      <c r="N486">
        <f>IF(G486="","",IF(I486&lt;=0,"⚠️ RUPTURE",IF(I486&lt;=J486,"⚠️ CRITIQUE",IF(I486&lt;=K486,"⚡ ATTENTION","✓ OK"))))</f>
        <v/>
      </c>
    </row>
    <row r="487">
      <c r="N487">
        <f>IF(G487="","",IF(I487&lt;=0,"⚠️ RUPTURE",IF(I487&lt;=J487,"⚠️ CRITIQUE",IF(I487&lt;=K487,"⚡ ATTENTION","✓ OK"))))</f>
        <v/>
      </c>
    </row>
    <row r="488">
      <c r="N488">
        <f>IF(G488="","",IF(I488&lt;=0,"⚠️ RUPTURE",IF(I488&lt;=J488,"⚠️ CRITIQUE",IF(I488&lt;=K488,"⚡ ATTENTION","✓ OK"))))</f>
        <v/>
      </c>
    </row>
    <row r="489">
      <c r="N489">
        <f>IF(G489="","",IF(I489&lt;=0,"⚠️ RUPTURE",IF(I489&lt;=J489,"⚠️ CRITIQUE",IF(I489&lt;=K489,"⚡ ATTENTION","✓ OK"))))</f>
        <v/>
      </c>
    </row>
    <row r="490">
      <c r="N490">
        <f>IF(G490="","",IF(I490&lt;=0,"⚠️ RUPTURE",IF(I490&lt;=J490,"⚠️ CRITIQUE",IF(I490&lt;=K490,"⚡ ATTENTION","✓ OK"))))</f>
        <v/>
      </c>
    </row>
    <row r="491">
      <c r="N491">
        <f>IF(G491="","",IF(I491&lt;=0,"⚠️ RUPTURE",IF(I491&lt;=J491,"⚠️ CRITIQUE",IF(I491&lt;=K491,"⚡ ATTENTION","✓ OK"))))</f>
        <v/>
      </c>
    </row>
    <row r="492">
      <c r="N492">
        <f>IF(G492="","",IF(I492&lt;=0,"⚠️ RUPTURE",IF(I492&lt;=J492,"⚠️ CRITIQUE",IF(I492&lt;=K492,"⚡ ATTENTION","✓ OK"))))</f>
        <v/>
      </c>
    </row>
    <row r="493">
      <c r="N493">
        <f>IF(G493="","",IF(I493&lt;=0,"⚠️ RUPTURE",IF(I493&lt;=J493,"⚠️ CRITIQUE",IF(I493&lt;=K493,"⚡ ATTENTION","✓ OK"))))</f>
        <v/>
      </c>
    </row>
    <row r="494">
      <c r="N494">
        <f>IF(G494="","",IF(I494&lt;=0,"⚠️ RUPTURE",IF(I494&lt;=J494,"⚠️ CRITIQUE",IF(I494&lt;=K494,"⚡ ATTENTION","✓ OK"))))</f>
        <v/>
      </c>
    </row>
    <row r="495">
      <c r="N495">
        <f>IF(G495="","",IF(I495&lt;=0,"⚠️ RUPTURE",IF(I495&lt;=J495,"⚠️ CRITIQUE",IF(I495&lt;=K495,"⚡ ATTENTION","✓ OK"))))</f>
        <v/>
      </c>
    </row>
    <row r="496">
      <c r="N496">
        <f>IF(G496="","",IF(I496&lt;=0,"⚠️ RUPTURE",IF(I496&lt;=J496,"⚠️ CRITIQUE",IF(I496&lt;=K496,"⚡ ATTENTION","✓ OK"))))</f>
        <v/>
      </c>
    </row>
    <row r="497">
      <c r="N497">
        <f>IF(G497="","",IF(I497&lt;=0,"⚠️ RUPTURE",IF(I497&lt;=J497,"⚠️ CRITIQUE",IF(I497&lt;=K497,"⚡ ATTENTION","✓ OK"))))</f>
        <v/>
      </c>
    </row>
    <row r="498">
      <c r="N498">
        <f>IF(G498="","",IF(I498&lt;=0,"⚠️ RUPTURE",IF(I498&lt;=J498,"⚠️ CRITIQUE",IF(I498&lt;=K498,"⚡ ATTENTION","✓ OK"))))</f>
        <v/>
      </c>
    </row>
    <row r="499">
      <c r="N499">
        <f>IF(G499="","",IF(I499&lt;=0,"⚠️ RUPTURE",IF(I499&lt;=J499,"⚠️ CRITIQUE",IF(I499&lt;=K499,"⚡ ATTENTION","✓ OK"))))</f>
        <v/>
      </c>
    </row>
    <row r="500">
      <c r="N500">
        <f>IF(G500="","",IF(I500&lt;=0,"⚠️ RUPTURE",IF(I500&lt;=J500,"⚠️ CRITIQUE",IF(I500&lt;=K500,"⚡ ATTENTION","✓ OK"))))</f>
        <v/>
      </c>
    </row>
    <row r="501">
      <c r="N501">
        <f>IF(G501="","",IF(I501&lt;=0,"⚠️ RUPTURE",IF(I501&lt;=J501,"⚠️ CRITIQUE",IF(I501&lt;=K501,"⚡ ATTENTION","✓ OK"))))</f>
        <v/>
      </c>
    </row>
    <row r="502">
      <c r="N502">
        <f>IF(G502="","",IF(I502&lt;=0,"⚠️ RUPTURE",IF(I502&lt;=J502,"⚠️ CRITIQUE",IF(I502&lt;=K502,"⚡ ATTENTION","✓ OK"))))</f>
        <v/>
      </c>
    </row>
    <row r="503">
      <c r="N503">
        <f>IF(G503="","",IF(I503&lt;=0,"⚠️ RUPTURE",IF(I503&lt;=J503,"⚠️ CRITIQUE",IF(I503&lt;=K503,"⚡ ATTENTION","✓ OK"))))</f>
        <v/>
      </c>
    </row>
    <row r="504">
      <c r="N504">
        <f>IF(G504="","",IF(I504&lt;=0,"⚠️ RUPTURE",IF(I504&lt;=J504,"⚠️ CRITIQUE",IF(I504&lt;=K504,"⚡ ATTENTION","✓ OK"))))</f>
        <v/>
      </c>
    </row>
    <row r="505">
      <c r="N505">
        <f>IF(G505="","",IF(I505&lt;=0,"⚠️ RUPTURE",IF(I505&lt;=J505,"⚠️ CRITIQUE",IF(I505&lt;=K505,"⚡ ATTENTION","✓ OK"))))</f>
        <v/>
      </c>
    </row>
    <row r="506">
      <c r="N506">
        <f>IF(G506="","",IF(I506&lt;=0,"⚠️ RUPTURE",IF(I506&lt;=J506,"⚠️ CRITIQUE",IF(I506&lt;=K506,"⚡ ATTENTION","✓ OK"))))</f>
        <v/>
      </c>
    </row>
    <row r="507">
      <c r="N507">
        <f>IF(G507="","",IF(I507&lt;=0,"⚠️ RUPTURE",IF(I507&lt;=J507,"⚠️ CRITIQUE",IF(I507&lt;=K507,"⚡ ATTENTION","✓ OK"))))</f>
        <v/>
      </c>
    </row>
    <row r="508">
      <c r="N508">
        <f>IF(G508="","",IF(I508&lt;=0,"⚠️ RUPTURE",IF(I508&lt;=J508,"⚠️ CRITIQUE",IF(I508&lt;=K508,"⚡ ATTENTION","✓ OK"))))</f>
        <v/>
      </c>
    </row>
    <row r="509">
      <c r="N509">
        <f>IF(G509="","",IF(I509&lt;=0,"⚠️ RUPTURE",IF(I509&lt;=J509,"⚠️ CRITIQUE",IF(I509&lt;=K509,"⚡ ATTENTION","✓ OK"))))</f>
        <v/>
      </c>
    </row>
    <row r="510">
      <c r="N510">
        <f>IF(G510="","",IF(I510&lt;=0,"⚠️ RUPTURE",IF(I510&lt;=J510,"⚠️ CRITIQUE",IF(I510&lt;=K510,"⚡ ATTENTION","✓ OK"))))</f>
        <v/>
      </c>
    </row>
    <row r="511">
      <c r="N511">
        <f>IF(G511="","",IF(I511&lt;=0,"⚠️ RUPTURE",IF(I511&lt;=J511,"⚠️ CRITIQUE",IF(I511&lt;=K511,"⚡ ATTENTION","✓ OK"))))</f>
        <v/>
      </c>
    </row>
    <row r="512">
      <c r="N512">
        <f>IF(G512="","",IF(I512&lt;=0,"⚠️ RUPTURE",IF(I512&lt;=J512,"⚠️ CRITIQUE",IF(I512&lt;=K512,"⚡ ATTENTION","✓ OK"))))</f>
        <v/>
      </c>
    </row>
    <row r="513">
      <c r="N513">
        <f>IF(G513="","",IF(I513&lt;=0,"⚠️ RUPTURE",IF(I513&lt;=J513,"⚠️ CRITIQUE",IF(I513&lt;=K513,"⚡ ATTENTION","✓ OK"))))</f>
        <v/>
      </c>
    </row>
    <row r="514">
      <c r="N514">
        <f>IF(G514="","",IF(I514&lt;=0,"⚠️ RUPTURE",IF(I514&lt;=J514,"⚠️ CRITIQUE",IF(I514&lt;=K514,"⚡ ATTENTION","✓ OK"))))</f>
        <v/>
      </c>
    </row>
    <row r="515">
      <c r="N515">
        <f>IF(G515="","",IF(I515&lt;=0,"⚠️ RUPTURE",IF(I515&lt;=J515,"⚠️ CRITIQUE",IF(I515&lt;=K515,"⚡ ATTENTION","✓ OK"))))</f>
        <v/>
      </c>
    </row>
    <row r="516">
      <c r="N516">
        <f>IF(G516="","",IF(I516&lt;=0,"⚠️ RUPTURE",IF(I516&lt;=J516,"⚠️ CRITIQUE",IF(I516&lt;=K516,"⚡ ATTENTION","✓ OK"))))</f>
        <v/>
      </c>
    </row>
    <row r="517">
      <c r="N517">
        <f>IF(G517="","",IF(I517&lt;=0,"⚠️ RUPTURE",IF(I517&lt;=J517,"⚠️ CRITIQUE",IF(I517&lt;=K517,"⚡ ATTENTION","✓ OK"))))</f>
        <v/>
      </c>
    </row>
    <row r="518">
      <c r="N518">
        <f>IF(G518="","",IF(I518&lt;=0,"⚠️ RUPTURE",IF(I518&lt;=J518,"⚠️ CRITIQUE",IF(I518&lt;=K518,"⚡ ATTENTION","✓ OK"))))</f>
        <v/>
      </c>
    </row>
    <row r="519">
      <c r="N519">
        <f>IF(G519="","",IF(I519&lt;=0,"⚠️ RUPTURE",IF(I519&lt;=J519,"⚠️ CRITIQUE",IF(I519&lt;=K519,"⚡ ATTENTION","✓ OK"))))</f>
        <v/>
      </c>
    </row>
    <row r="520">
      <c r="N520">
        <f>IF(G520="","",IF(I520&lt;=0,"⚠️ RUPTURE",IF(I520&lt;=J520,"⚠️ CRITIQUE",IF(I520&lt;=K520,"⚡ ATTENTION","✓ OK"))))</f>
        <v/>
      </c>
    </row>
    <row r="521">
      <c r="N521">
        <f>IF(G521="","",IF(I521&lt;=0,"⚠️ RUPTURE",IF(I521&lt;=J521,"⚠️ CRITIQUE",IF(I521&lt;=K521,"⚡ ATTENTION","✓ OK"))))</f>
        <v/>
      </c>
    </row>
    <row r="522">
      <c r="N522">
        <f>IF(G522="","",IF(I522&lt;=0,"⚠️ RUPTURE",IF(I522&lt;=J522,"⚠️ CRITIQUE",IF(I522&lt;=K522,"⚡ ATTENTION","✓ OK"))))</f>
        <v/>
      </c>
    </row>
    <row r="523">
      <c r="N523">
        <f>IF(G523="","",IF(I523&lt;=0,"⚠️ RUPTURE",IF(I523&lt;=J523,"⚠️ CRITIQUE",IF(I523&lt;=K523,"⚡ ATTENTION","✓ OK"))))</f>
        <v/>
      </c>
    </row>
    <row r="524">
      <c r="N524">
        <f>IF(G524="","",IF(I524&lt;=0,"⚠️ RUPTURE",IF(I524&lt;=J524,"⚠️ CRITIQUE",IF(I524&lt;=K524,"⚡ ATTENTION","✓ OK"))))</f>
        <v/>
      </c>
    </row>
    <row r="525">
      <c r="N525">
        <f>IF(G525="","",IF(I525&lt;=0,"⚠️ RUPTURE",IF(I525&lt;=J525,"⚠️ CRITIQUE",IF(I525&lt;=K525,"⚡ ATTENTION","✓ OK"))))</f>
        <v/>
      </c>
    </row>
    <row r="526">
      <c r="N526">
        <f>IF(G526="","",IF(I526&lt;=0,"⚠️ RUPTURE",IF(I526&lt;=J526,"⚠️ CRITIQUE",IF(I526&lt;=K526,"⚡ ATTENTION","✓ OK"))))</f>
        <v/>
      </c>
    </row>
    <row r="527">
      <c r="N527">
        <f>IF(G527="","",IF(I527&lt;=0,"⚠️ RUPTURE",IF(I527&lt;=J527,"⚠️ CRITIQUE",IF(I527&lt;=K527,"⚡ ATTENTION","✓ OK"))))</f>
        <v/>
      </c>
    </row>
    <row r="528">
      <c r="N528">
        <f>IF(G528="","",IF(I528&lt;=0,"⚠️ RUPTURE",IF(I528&lt;=J528,"⚠️ CRITIQUE",IF(I528&lt;=K528,"⚡ ATTENTION","✓ OK"))))</f>
        <v/>
      </c>
    </row>
    <row r="529">
      <c r="N529">
        <f>IF(G529="","",IF(I529&lt;=0,"⚠️ RUPTURE",IF(I529&lt;=J529,"⚠️ CRITIQUE",IF(I529&lt;=K529,"⚡ ATTENTION","✓ OK"))))</f>
        <v/>
      </c>
    </row>
    <row r="530">
      <c r="N530">
        <f>IF(G530="","",IF(I530&lt;=0,"⚠️ RUPTURE",IF(I530&lt;=J530,"⚠️ CRITIQUE",IF(I530&lt;=K530,"⚡ ATTENTION","✓ OK"))))</f>
        <v/>
      </c>
    </row>
    <row r="531">
      <c r="N531">
        <f>IF(G531="","",IF(I531&lt;=0,"⚠️ RUPTURE",IF(I531&lt;=J531,"⚠️ CRITIQUE",IF(I531&lt;=K531,"⚡ ATTENTION","✓ OK"))))</f>
        <v/>
      </c>
    </row>
    <row r="532">
      <c r="N532">
        <f>IF(G532="","",IF(I532&lt;=0,"⚠️ RUPTURE",IF(I532&lt;=J532,"⚠️ CRITIQUE",IF(I532&lt;=K532,"⚡ ATTENTION","✓ OK"))))</f>
        <v/>
      </c>
    </row>
    <row r="533">
      <c r="N533">
        <f>IF(G533="","",IF(I533&lt;=0,"⚠️ RUPTURE",IF(I533&lt;=J533,"⚠️ CRITIQUE",IF(I533&lt;=K533,"⚡ ATTENTION","✓ OK"))))</f>
        <v/>
      </c>
    </row>
    <row r="534">
      <c r="N534">
        <f>IF(G534="","",IF(I534&lt;=0,"⚠️ RUPTURE",IF(I534&lt;=J534,"⚠️ CRITIQUE",IF(I534&lt;=K534,"⚡ ATTENTION","✓ OK"))))</f>
        <v/>
      </c>
    </row>
    <row r="535">
      <c r="N535">
        <f>IF(G535="","",IF(I535&lt;=0,"⚠️ RUPTURE",IF(I535&lt;=J535,"⚠️ CRITIQUE",IF(I535&lt;=K535,"⚡ ATTENTION","✓ OK"))))</f>
        <v/>
      </c>
    </row>
    <row r="536">
      <c r="N536">
        <f>IF(G536="","",IF(I536&lt;=0,"⚠️ RUPTURE",IF(I536&lt;=J536,"⚠️ CRITIQUE",IF(I536&lt;=K536,"⚡ ATTENTION","✓ OK"))))</f>
        <v/>
      </c>
    </row>
    <row r="537">
      <c r="N537">
        <f>IF(G537="","",IF(I537&lt;=0,"⚠️ RUPTURE",IF(I537&lt;=J537,"⚠️ CRITIQUE",IF(I537&lt;=K537,"⚡ ATTENTION","✓ OK"))))</f>
        <v/>
      </c>
    </row>
    <row r="538">
      <c r="N538">
        <f>IF(G538="","",IF(I538&lt;=0,"⚠️ RUPTURE",IF(I538&lt;=J538,"⚠️ CRITIQUE",IF(I538&lt;=K538,"⚡ ATTENTION","✓ OK"))))</f>
        <v/>
      </c>
    </row>
    <row r="539">
      <c r="N539">
        <f>IF(G539="","",IF(I539&lt;=0,"⚠️ RUPTURE",IF(I539&lt;=J539,"⚠️ CRITIQUE",IF(I539&lt;=K539,"⚡ ATTENTION","✓ OK"))))</f>
        <v/>
      </c>
    </row>
    <row r="540">
      <c r="N540">
        <f>IF(G540="","",IF(I540&lt;=0,"⚠️ RUPTURE",IF(I540&lt;=J540,"⚠️ CRITIQUE",IF(I540&lt;=K540,"⚡ ATTENTION","✓ OK"))))</f>
        <v/>
      </c>
    </row>
    <row r="541">
      <c r="N541">
        <f>IF(G541="","",IF(I541&lt;=0,"⚠️ RUPTURE",IF(I541&lt;=J541,"⚠️ CRITIQUE",IF(I541&lt;=K541,"⚡ ATTENTION","✓ OK"))))</f>
        <v/>
      </c>
    </row>
    <row r="542">
      <c r="N542">
        <f>IF(G542="","",IF(I542&lt;=0,"⚠️ RUPTURE",IF(I542&lt;=J542,"⚠️ CRITIQUE",IF(I542&lt;=K542,"⚡ ATTENTION","✓ OK"))))</f>
        <v/>
      </c>
    </row>
    <row r="543">
      <c r="N543">
        <f>IF(G543="","",IF(I543&lt;=0,"⚠️ RUPTURE",IF(I543&lt;=J543,"⚠️ CRITIQUE",IF(I543&lt;=K543,"⚡ ATTENTION","✓ OK"))))</f>
        <v/>
      </c>
    </row>
    <row r="544">
      <c r="N544">
        <f>IF(G544="","",IF(I544&lt;=0,"⚠️ RUPTURE",IF(I544&lt;=J544,"⚠️ CRITIQUE",IF(I544&lt;=K544,"⚡ ATTENTION","✓ OK"))))</f>
        <v/>
      </c>
    </row>
    <row r="545">
      <c r="N545">
        <f>IF(G545="","",IF(I545&lt;=0,"⚠️ RUPTURE",IF(I545&lt;=J545,"⚠️ CRITIQUE",IF(I545&lt;=K545,"⚡ ATTENTION","✓ OK"))))</f>
        <v/>
      </c>
    </row>
    <row r="546">
      <c r="N546">
        <f>IF(G546="","",IF(I546&lt;=0,"⚠️ RUPTURE",IF(I546&lt;=J546,"⚠️ CRITIQUE",IF(I546&lt;=K546,"⚡ ATTENTION","✓ OK"))))</f>
        <v/>
      </c>
    </row>
    <row r="547">
      <c r="N547">
        <f>IF(G547="","",IF(I547&lt;=0,"⚠️ RUPTURE",IF(I547&lt;=J547,"⚠️ CRITIQUE",IF(I547&lt;=K547,"⚡ ATTENTION","✓ OK"))))</f>
        <v/>
      </c>
    </row>
    <row r="548">
      <c r="N548">
        <f>IF(G548="","",IF(I548&lt;=0,"⚠️ RUPTURE",IF(I548&lt;=J548,"⚠️ CRITIQUE",IF(I548&lt;=K548,"⚡ ATTENTION","✓ OK"))))</f>
        <v/>
      </c>
    </row>
    <row r="549">
      <c r="N549">
        <f>IF(G549="","",IF(I549&lt;=0,"⚠️ RUPTURE",IF(I549&lt;=J549,"⚠️ CRITIQUE",IF(I549&lt;=K549,"⚡ ATTENTION","✓ OK"))))</f>
        <v/>
      </c>
    </row>
    <row r="550">
      <c r="N550">
        <f>IF(G550="","",IF(I550&lt;=0,"⚠️ RUPTURE",IF(I550&lt;=J550,"⚠️ CRITIQUE",IF(I550&lt;=K550,"⚡ ATTENTION","✓ OK"))))</f>
        <v/>
      </c>
    </row>
    <row r="551">
      <c r="N551">
        <f>IF(G551="","",IF(I551&lt;=0,"⚠️ RUPTURE",IF(I551&lt;=J551,"⚠️ CRITIQUE",IF(I551&lt;=K551,"⚡ ATTENTION","✓ OK"))))</f>
        <v/>
      </c>
    </row>
    <row r="552">
      <c r="N552">
        <f>IF(G552="","",IF(I552&lt;=0,"⚠️ RUPTURE",IF(I552&lt;=J552,"⚠️ CRITIQUE",IF(I552&lt;=K552,"⚡ ATTENTION","✓ OK"))))</f>
        <v/>
      </c>
    </row>
    <row r="553">
      <c r="N553">
        <f>IF(G553="","",IF(I553&lt;=0,"⚠️ RUPTURE",IF(I553&lt;=J553,"⚠️ CRITIQUE",IF(I553&lt;=K553,"⚡ ATTENTION","✓ OK"))))</f>
        <v/>
      </c>
    </row>
    <row r="554">
      <c r="N554">
        <f>IF(G554="","",IF(I554&lt;=0,"⚠️ RUPTURE",IF(I554&lt;=J554,"⚠️ CRITIQUE",IF(I554&lt;=K554,"⚡ ATTENTION","✓ OK"))))</f>
        <v/>
      </c>
    </row>
    <row r="555">
      <c r="N555">
        <f>IF(G555="","",IF(I555&lt;=0,"⚠️ RUPTURE",IF(I555&lt;=J555,"⚠️ CRITIQUE",IF(I555&lt;=K555,"⚡ ATTENTION","✓ OK"))))</f>
        <v/>
      </c>
    </row>
    <row r="556">
      <c r="N556">
        <f>IF(G556="","",IF(I556&lt;=0,"⚠️ RUPTURE",IF(I556&lt;=J556,"⚠️ CRITIQUE",IF(I556&lt;=K556,"⚡ ATTENTION","✓ OK"))))</f>
        <v/>
      </c>
    </row>
    <row r="557">
      <c r="N557">
        <f>IF(G557="","",IF(I557&lt;=0,"⚠️ RUPTURE",IF(I557&lt;=J557,"⚠️ CRITIQUE",IF(I557&lt;=K557,"⚡ ATTENTION","✓ OK"))))</f>
        <v/>
      </c>
    </row>
    <row r="558">
      <c r="N558">
        <f>IF(G558="","",IF(I558&lt;=0,"⚠️ RUPTURE",IF(I558&lt;=J558,"⚠️ CRITIQUE",IF(I558&lt;=K558,"⚡ ATTENTION","✓ OK"))))</f>
        <v/>
      </c>
    </row>
    <row r="559">
      <c r="N559">
        <f>IF(G559="","",IF(I559&lt;=0,"⚠️ RUPTURE",IF(I559&lt;=J559,"⚠️ CRITIQUE",IF(I559&lt;=K559,"⚡ ATTENTION","✓ OK"))))</f>
        <v/>
      </c>
    </row>
    <row r="560">
      <c r="N560">
        <f>IF(G560="","",IF(I560&lt;=0,"⚠️ RUPTURE",IF(I560&lt;=J560,"⚠️ CRITIQUE",IF(I560&lt;=K560,"⚡ ATTENTION","✓ OK"))))</f>
        <v/>
      </c>
    </row>
    <row r="561">
      <c r="N561">
        <f>IF(G561="","",IF(I561&lt;=0,"⚠️ RUPTURE",IF(I561&lt;=J561,"⚠️ CRITIQUE",IF(I561&lt;=K561,"⚡ ATTENTION","✓ OK"))))</f>
        <v/>
      </c>
    </row>
    <row r="562">
      <c r="N562">
        <f>IF(G562="","",IF(I562&lt;=0,"⚠️ RUPTURE",IF(I562&lt;=J562,"⚠️ CRITIQUE",IF(I562&lt;=K562,"⚡ ATTENTION","✓ OK"))))</f>
        <v/>
      </c>
    </row>
    <row r="563">
      <c r="N563">
        <f>IF(G563="","",IF(I563&lt;=0,"⚠️ RUPTURE",IF(I563&lt;=J563,"⚠️ CRITIQUE",IF(I563&lt;=K563,"⚡ ATTENTION","✓ OK"))))</f>
        <v/>
      </c>
    </row>
    <row r="564">
      <c r="N564">
        <f>IF(G564="","",IF(I564&lt;=0,"⚠️ RUPTURE",IF(I564&lt;=J564,"⚠️ CRITIQUE",IF(I564&lt;=K564,"⚡ ATTENTION","✓ OK"))))</f>
        <v/>
      </c>
    </row>
    <row r="565">
      <c r="N565">
        <f>IF(G565="","",IF(I565&lt;=0,"⚠️ RUPTURE",IF(I565&lt;=J565,"⚠️ CRITIQUE",IF(I565&lt;=K565,"⚡ ATTENTION","✓ OK"))))</f>
        <v/>
      </c>
    </row>
    <row r="566">
      <c r="N566">
        <f>IF(G566="","",IF(I566&lt;=0,"⚠️ RUPTURE",IF(I566&lt;=J566,"⚠️ CRITIQUE",IF(I566&lt;=K566,"⚡ ATTENTION","✓ OK"))))</f>
        <v/>
      </c>
    </row>
    <row r="567">
      <c r="N567">
        <f>IF(G567="","",IF(I567&lt;=0,"⚠️ RUPTURE",IF(I567&lt;=J567,"⚠️ CRITIQUE",IF(I567&lt;=K567,"⚡ ATTENTION","✓ OK"))))</f>
        <v/>
      </c>
    </row>
    <row r="568">
      <c r="N568">
        <f>IF(G568="","",IF(I568&lt;=0,"⚠️ RUPTURE",IF(I568&lt;=J568,"⚠️ CRITIQUE",IF(I568&lt;=K568,"⚡ ATTENTION","✓ OK"))))</f>
        <v/>
      </c>
    </row>
    <row r="569">
      <c r="N569">
        <f>IF(G569="","",IF(I569&lt;=0,"⚠️ RUPTURE",IF(I569&lt;=J569,"⚠️ CRITIQUE",IF(I569&lt;=K569,"⚡ ATTENTION","✓ OK"))))</f>
        <v/>
      </c>
    </row>
    <row r="570">
      <c r="N570">
        <f>IF(G570="","",IF(I570&lt;=0,"⚠️ RUPTURE",IF(I570&lt;=J570,"⚠️ CRITIQUE",IF(I570&lt;=K570,"⚡ ATTENTION","✓ OK"))))</f>
        <v/>
      </c>
    </row>
    <row r="571">
      <c r="N571">
        <f>IF(G571="","",IF(I571&lt;=0,"⚠️ RUPTURE",IF(I571&lt;=J571,"⚠️ CRITIQUE",IF(I571&lt;=K571,"⚡ ATTENTION","✓ OK"))))</f>
        <v/>
      </c>
    </row>
    <row r="572">
      <c r="N572">
        <f>IF(G572="","",IF(I572&lt;=0,"⚠️ RUPTURE",IF(I572&lt;=J572,"⚠️ CRITIQUE",IF(I572&lt;=K572,"⚡ ATTENTION","✓ OK"))))</f>
        <v/>
      </c>
    </row>
    <row r="573">
      <c r="N573">
        <f>IF(G573="","",IF(I573&lt;=0,"⚠️ RUPTURE",IF(I573&lt;=J573,"⚠️ CRITIQUE",IF(I573&lt;=K573,"⚡ ATTENTION","✓ OK"))))</f>
        <v/>
      </c>
    </row>
    <row r="574">
      <c r="N574">
        <f>IF(G574="","",IF(I574&lt;=0,"⚠️ RUPTURE",IF(I574&lt;=J574,"⚠️ CRITIQUE",IF(I574&lt;=K574,"⚡ ATTENTION","✓ OK"))))</f>
        <v/>
      </c>
    </row>
    <row r="575">
      <c r="N575">
        <f>IF(G575="","",IF(I575&lt;=0,"⚠️ RUPTURE",IF(I575&lt;=J575,"⚠️ CRITIQUE",IF(I575&lt;=K575,"⚡ ATTENTION","✓ OK"))))</f>
        <v/>
      </c>
    </row>
    <row r="576">
      <c r="N576">
        <f>IF(G576="","",IF(I576&lt;=0,"⚠️ RUPTURE",IF(I576&lt;=J576,"⚠️ CRITIQUE",IF(I576&lt;=K576,"⚡ ATTENTION","✓ OK"))))</f>
        <v/>
      </c>
    </row>
    <row r="577">
      <c r="N577">
        <f>IF(G577="","",IF(I577&lt;=0,"⚠️ RUPTURE",IF(I577&lt;=J577,"⚠️ CRITIQUE",IF(I577&lt;=K577,"⚡ ATTENTION","✓ OK"))))</f>
        <v/>
      </c>
    </row>
    <row r="578">
      <c r="N578">
        <f>IF(G578="","",IF(I578&lt;=0,"⚠️ RUPTURE",IF(I578&lt;=J578,"⚠️ CRITIQUE",IF(I578&lt;=K578,"⚡ ATTENTION","✓ OK"))))</f>
        <v/>
      </c>
    </row>
    <row r="579">
      <c r="N579">
        <f>IF(G579="","",IF(I579&lt;=0,"⚠️ RUPTURE",IF(I579&lt;=J579,"⚠️ CRITIQUE",IF(I579&lt;=K579,"⚡ ATTENTION","✓ OK"))))</f>
        <v/>
      </c>
    </row>
    <row r="580">
      <c r="N580">
        <f>IF(G580="","",IF(I580&lt;=0,"⚠️ RUPTURE",IF(I580&lt;=J580,"⚠️ CRITIQUE",IF(I580&lt;=K580,"⚡ ATTENTION","✓ OK"))))</f>
        <v/>
      </c>
    </row>
    <row r="581">
      <c r="N581">
        <f>IF(G581="","",IF(I581&lt;=0,"⚠️ RUPTURE",IF(I581&lt;=J581,"⚠️ CRITIQUE",IF(I581&lt;=K581,"⚡ ATTENTION","✓ OK"))))</f>
        <v/>
      </c>
    </row>
    <row r="582">
      <c r="N582">
        <f>IF(G582="","",IF(I582&lt;=0,"⚠️ RUPTURE",IF(I582&lt;=J582,"⚠️ CRITIQUE",IF(I582&lt;=K582,"⚡ ATTENTION","✓ OK"))))</f>
        <v/>
      </c>
    </row>
    <row r="583">
      <c r="N583">
        <f>IF(G583="","",IF(I583&lt;=0,"⚠️ RUPTURE",IF(I583&lt;=J583,"⚠️ CRITIQUE",IF(I583&lt;=K583,"⚡ ATTENTION","✓ OK"))))</f>
        <v/>
      </c>
    </row>
    <row r="584">
      <c r="N584">
        <f>IF(G584="","",IF(I584&lt;=0,"⚠️ RUPTURE",IF(I584&lt;=J584,"⚠️ CRITIQUE",IF(I584&lt;=K584,"⚡ ATTENTION","✓ OK"))))</f>
        <v/>
      </c>
    </row>
    <row r="585">
      <c r="N585">
        <f>IF(G585="","",IF(I585&lt;=0,"⚠️ RUPTURE",IF(I585&lt;=J585,"⚠️ CRITIQUE",IF(I585&lt;=K585,"⚡ ATTENTION","✓ OK"))))</f>
        <v/>
      </c>
    </row>
    <row r="586">
      <c r="N586">
        <f>IF(G586="","",IF(I586&lt;=0,"⚠️ RUPTURE",IF(I586&lt;=J586,"⚠️ CRITIQUE",IF(I586&lt;=K586,"⚡ ATTENTION","✓ OK"))))</f>
        <v/>
      </c>
    </row>
    <row r="587">
      <c r="N587">
        <f>IF(G587="","",IF(I587&lt;=0,"⚠️ RUPTURE",IF(I587&lt;=J587,"⚠️ CRITIQUE",IF(I587&lt;=K587,"⚡ ATTENTION","✓ OK"))))</f>
        <v/>
      </c>
    </row>
    <row r="588">
      <c r="N588">
        <f>IF(G588="","",IF(I588&lt;=0,"⚠️ RUPTURE",IF(I588&lt;=J588,"⚠️ CRITIQUE",IF(I588&lt;=K588,"⚡ ATTENTION","✓ OK"))))</f>
        <v/>
      </c>
    </row>
    <row r="589">
      <c r="N589">
        <f>IF(G589="","",IF(I589&lt;=0,"⚠️ RUPTURE",IF(I589&lt;=J589,"⚠️ CRITIQUE",IF(I589&lt;=K589,"⚡ ATTENTION","✓ OK"))))</f>
        <v/>
      </c>
    </row>
    <row r="590">
      <c r="N590">
        <f>IF(G590="","",IF(I590&lt;=0,"⚠️ RUPTURE",IF(I590&lt;=J590,"⚠️ CRITIQUE",IF(I590&lt;=K590,"⚡ ATTENTION","✓ OK"))))</f>
        <v/>
      </c>
    </row>
    <row r="591">
      <c r="N591">
        <f>IF(G591="","",IF(I591&lt;=0,"⚠️ RUPTURE",IF(I591&lt;=J591,"⚠️ CRITIQUE",IF(I591&lt;=K591,"⚡ ATTENTION","✓ OK"))))</f>
        <v/>
      </c>
    </row>
    <row r="592">
      <c r="N592">
        <f>IF(G592="","",IF(I592&lt;=0,"⚠️ RUPTURE",IF(I592&lt;=J592,"⚠️ CRITIQUE",IF(I592&lt;=K592,"⚡ ATTENTION","✓ OK"))))</f>
        <v/>
      </c>
    </row>
    <row r="593">
      <c r="N593">
        <f>IF(G593="","",IF(I593&lt;=0,"⚠️ RUPTURE",IF(I593&lt;=J593,"⚠️ CRITIQUE",IF(I593&lt;=K593,"⚡ ATTENTION","✓ OK"))))</f>
        <v/>
      </c>
    </row>
    <row r="594">
      <c r="N594">
        <f>IF(G594="","",IF(I594&lt;=0,"⚠️ RUPTURE",IF(I594&lt;=J594,"⚠️ CRITIQUE",IF(I594&lt;=K594,"⚡ ATTENTION","✓ OK"))))</f>
        <v/>
      </c>
    </row>
    <row r="595">
      <c r="N595">
        <f>IF(G595="","",IF(I595&lt;=0,"⚠️ RUPTURE",IF(I595&lt;=J595,"⚠️ CRITIQUE",IF(I595&lt;=K595,"⚡ ATTENTION","✓ OK"))))</f>
        <v/>
      </c>
    </row>
    <row r="596">
      <c r="N596">
        <f>IF(G596="","",IF(I596&lt;=0,"⚠️ RUPTURE",IF(I596&lt;=J596,"⚠️ CRITIQUE",IF(I596&lt;=K596,"⚡ ATTENTION","✓ OK"))))</f>
        <v/>
      </c>
    </row>
    <row r="597">
      <c r="N597">
        <f>IF(G597="","",IF(I597&lt;=0,"⚠️ RUPTURE",IF(I597&lt;=J597,"⚠️ CRITIQUE",IF(I597&lt;=K597,"⚡ ATTENTION","✓ OK"))))</f>
        <v/>
      </c>
    </row>
    <row r="598">
      <c r="N598">
        <f>IF(G598="","",IF(I598&lt;=0,"⚠️ RUPTURE",IF(I598&lt;=J598,"⚠️ CRITIQUE",IF(I598&lt;=K598,"⚡ ATTENTION","✓ OK"))))</f>
        <v/>
      </c>
    </row>
    <row r="599">
      <c r="N599">
        <f>IF(G599="","",IF(I599&lt;=0,"⚠️ RUPTURE",IF(I599&lt;=J599,"⚠️ CRITIQUE",IF(I599&lt;=K599,"⚡ ATTENTION","✓ OK"))))</f>
        <v/>
      </c>
    </row>
    <row r="600">
      <c r="N600">
        <f>IF(G600="","",IF(I600&lt;=0,"⚠️ RUPTURE",IF(I600&lt;=J600,"⚠️ CRITIQUE",IF(I600&lt;=K600,"⚡ ATTENTION","✓ OK"))))</f>
        <v/>
      </c>
    </row>
    <row r="601">
      <c r="N601">
        <f>IF(G601="","",IF(I601&lt;=0,"⚠️ RUPTURE",IF(I601&lt;=J601,"⚠️ CRITIQUE",IF(I601&lt;=K601,"⚡ ATTENTION","✓ OK"))))</f>
        <v/>
      </c>
    </row>
    <row r="602">
      <c r="N602">
        <f>IF(G602="","",IF(I602&lt;=0,"⚠️ RUPTURE",IF(I602&lt;=J602,"⚠️ CRITIQUE",IF(I602&lt;=K602,"⚡ ATTENTION","✓ OK"))))</f>
        <v/>
      </c>
    </row>
    <row r="603">
      <c r="N603">
        <f>IF(G603="","",IF(I603&lt;=0,"⚠️ RUPTURE",IF(I603&lt;=J603,"⚠️ CRITIQUE",IF(I603&lt;=K603,"⚡ ATTENTION","✓ OK"))))</f>
        <v/>
      </c>
    </row>
    <row r="604">
      <c r="N604">
        <f>IF(G604="","",IF(I604&lt;=0,"⚠️ RUPTURE",IF(I604&lt;=J604,"⚠️ CRITIQUE",IF(I604&lt;=K604,"⚡ ATTENTION","✓ OK"))))</f>
        <v/>
      </c>
    </row>
    <row r="605">
      <c r="N605">
        <f>IF(G605="","",IF(I605&lt;=0,"⚠️ RUPTURE",IF(I605&lt;=J605,"⚠️ CRITIQUE",IF(I605&lt;=K605,"⚡ ATTENTION","✓ OK"))))</f>
        <v/>
      </c>
    </row>
    <row r="606">
      <c r="N606">
        <f>IF(G606="","",IF(I606&lt;=0,"⚠️ RUPTURE",IF(I606&lt;=J606,"⚠️ CRITIQUE",IF(I606&lt;=K606,"⚡ ATTENTION","✓ OK"))))</f>
        <v/>
      </c>
    </row>
    <row r="607">
      <c r="N607">
        <f>IF(G607="","",IF(I607&lt;=0,"⚠️ RUPTURE",IF(I607&lt;=J607,"⚠️ CRITIQUE",IF(I607&lt;=K607,"⚡ ATTENTION","✓ OK"))))</f>
        <v/>
      </c>
    </row>
    <row r="608">
      <c r="N608">
        <f>IF(G608="","",IF(I608&lt;=0,"⚠️ RUPTURE",IF(I608&lt;=J608,"⚠️ CRITIQUE",IF(I608&lt;=K608,"⚡ ATTENTION","✓ OK"))))</f>
        <v/>
      </c>
    </row>
    <row r="609">
      <c r="N609">
        <f>IF(G609="","",IF(I609&lt;=0,"⚠️ RUPTURE",IF(I609&lt;=J609,"⚠️ CRITIQUE",IF(I609&lt;=K609,"⚡ ATTENTION","✓ OK"))))</f>
        <v/>
      </c>
    </row>
    <row r="610">
      <c r="N610">
        <f>IF(G610="","",IF(I610&lt;=0,"⚠️ RUPTURE",IF(I610&lt;=J610,"⚠️ CRITIQUE",IF(I610&lt;=K610,"⚡ ATTENTION","✓ OK"))))</f>
        <v/>
      </c>
    </row>
    <row r="611">
      <c r="N611">
        <f>IF(G611="","",IF(I611&lt;=0,"⚠️ RUPTURE",IF(I611&lt;=J611,"⚠️ CRITIQUE",IF(I611&lt;=K611,"⚡ ATTENTION","✓ OK"))))</f>
        <v/>
      </c>
    </row>
    <row r="612">
      <c r="N612">
        <f>IF(G612="","",IF(I612&lt;=0,"⚠️ RUPTURE",IF(I612&lt;=J612,"⚠️ CRITIQUE",IF(I612&lt;=K612,"⚡ ATTENTION","✓ OK"))))</f>
        <v/>
      </c>
    </row>
    <row r="613">
      <c r="N613">
        <f>IF(G613="","",IF(I613&lt;=0,"⚠️ RUPTURE",IF(I613&lt;=J613,"⚠️ CRITIQUE",IF(I613&lt;=K613,"⚡ ATTENTION","✓ OK"))))</f>
        <v/>
      </c>
    </row>
    <row r="614">
      <c r="N614">
        <f>IF(G614="","",IF(I614&lt;=0,"⚠️ RUPTURE",IF(I614&lt;=J614,"⚠️ CRITIQUE",IF(I614&lt;=K614,"⚡ ATTENTION","✓ OK"))))</f>
        <v/>
      </c>
    </row>
    <row r="615">
      <c r="N615">
        <f>IF(G615="","",IF(I615&lt;=0,"⚠️ RUPTURE",IF(I615&lt;=J615,"⚠️ CRITIQUE",IF(I615&lt;=K615,"⚡ ATTENTION","✓ OK"))))</f>
        <v/>
      </c>
    </row>
    <row r="616">
      <c r="N616">
        <f>IF(G616="","",IF(I616&lt;=0,"⚠️ RUPTURE",IF(I616&lt;=J616,"⚠️ CRITIQUE",IF(I616&lt;=K616,"⚡ ATTENTION","✓ OK"))))</f>
        <v/>
      </c>
    </row>
    <row r="617">
      <c r="N617">
        <f>IF(G617="","",IF(I617&lt;=0,"⚠️ RUPTURE",IF(I617&lt;=J617,"⚠️ CRITIQUE",IF(I617&lt;=K617,"⚡ ATTENTION","✓ OK"))))</f>
        <v/>
      </c>
    </row>
    <row r="618">
      <c r="N618">
        <f>IF(G618="","",IF(I618&lt;=0,"⚠️ RUPTURE",IF(I618&lt;=J618,"⚠️ CRITIQUE",IF(I618&lt;=K618,"⚡ ATTENTION","✓ OK"))))</f>
        <v/>
      </c>
    </row>
    <row r="619">
      <c r="N619">
        <f>IF(G619="","",IF(I619&lt;=0,"⚠️ RUPTURE",IF(I619&lt;=J619,"⚠️ CRITIQUE",IF(I619&lt;=K619,"⚡ ATTENTION","✓ OK"))))</f>
        <v/>
      </c>
    </row>
    <row r="620">
      <c r="N620">
        <f>IF(G620="","",IF(I620&lt;=0,"⚠️ RUPTURE",IF(I620&lt;=J620,"⚠️ CRITIQUE",IF(I620&lt;=K620,"⚡ ATTENTION","✓ OK"))))</f>
        <v/>
      </c>
    </row>
    <row r="621">
      <c r="N621">
        <f>IF(G621="","",IF(I621&lt;=0,"⚠️ RUPTURE",IF(I621&lt;=J621,"⚠️ CRITIQUE",IF(I621&lt;=K621,"⚡ ATTENTION","✓ OK"))))</f>
        <v/>
      </c>
    </row>
    <row r="622">
      <c r="N622">
        <f>IF(G622="","",IF(I622&lt;=0,"⚠️ RUPTURE",IF(I622&lt;=J622,"⚠️ CRITIQUE",IF(I622&lt;=K622,"⚡ ATTENTION","✓ OK"))))</f>
        <v/>
      </c>
    </row>
    <row r="623">
      <c r="N623">
        <f>IF(G623="","",IF(I623&lt;=0,"⚠️ RUPTURE",IF(I623&lt;=J623,"⚠️ CRITIQUE",IF(I623&lt;=K623,"⚡ ATTENTION","✓ OK"))))</f>
        <v/>
      </c>
    </row>
    <row r="624">
      <c r="N624">
        <f>IF(G624="","",IF(I624&lt;=0,"⚠️ RUPTURE",IF(I624&lt;=J624,"⚠️ CRITIQUE",IF(I624&lt;=K624,"⚡ ATTENTION","✓ OK"))))</f>
        <v/>
      </c>
    </row>
    <row r="625">
      <c r="N625">
        <f>IF(G625="","",IF(I625&lt;=0,"⚠️ RUPTURE",IF(I625&lt;=J625,"⚠️ CRITIQUE",IF(I625&lt;=K625,"⚡ ATTENTION","✓ OK"))))</f>
        <v/>
      </c>
    </row>
    <row r="626">
      <c r="N626">
        <f>IF(G626="","",IF(I626&lt;=0,"⚠️ RUPTURE",IF(I626&lt;=J626,"⚠️ CRITIQUE",IF(I626&lt;=K626,"⚡ ATTENTION","✓ OK"))))</f>
        <v/>
      </c>
    </row>
    <row r="627">
      <c r="N627">
        <f>IF(G627="","",IF(I627&lt;=0,"⚠️ RUPTURE",IF(I627&lt;=J627,"⚠️ CRITIQUE",IF(I627&lt;=K627,"⚡ ATTENTION","✓ OK"))))</f>
        <v/>
      </c>
    </row>
    <row r="628">
      <c r="N628">
        <f>IF(G628="","",IF(I628&lt;=0,"⚠️ RUPTURE",IF(I628&lt;=J628,"⚠️ CRITIQUE",IF(I628&lt;=K628,"⚡ ATTENTION","✓ OK"))))</f>
        <v/>
      </c>
    </row>
    <row r="629">
      <c r="N629">
        <f>IF(G629="","",IF(I629&lt;=0,"⚠️ RUPTURE",IF(I629&lt;=J629,"⚠️ CRITIQUE",IF(I629&lt;=K629,"⚡ ATTENTION","✓ OK"))))</f>
        <v/>
      </c>
    </row>
    <row r="630">
      <c r="N630">
        <f>IF(G630="","",IF(I630&lt;=0,"⚠️ RUPTURE",IF(I630&lt;=J630,"⚠️ CRITIQUE",IF(I630&lt;=K630,"⚡ ATTENTION","✓ OK"))))</f>
        <v/>
      </c>
    </row>
    <row r="631">
      <c r="N631">
        <f>IF(G631="","",IF(I631&lt;=0,"⚠️ RUPTURE",IF(I631&lt;=J631,"⚠️ CRITIQUE",IF(I631&lt;=K631,"⚡ ATTENTION","✓ OK"))))</f>
        <v/>
      </c>
    </row>
    <row r="632">
      <c r="N632">
        <f>IF(G632="","",IF(I632&lt;=0,"⚠️ RUPTURE",IF(I632&lt;=J632,"⚠️ CRITIQUE",IF(I632&lt;=K632,"⚡ ATTENTION","✓ OK"))))</f>
        <v/>
      </c>
    </row>
    <row r="633">
      <c r="N633">
        <f>IF(G633="","",IF(I633&lt;=0,"⚠️ RUPTURE",IF(I633&lt;=J633,"⚠️ CRITIQUE",IF(I633&lt;=K633,"⚡ ATTENTION","✓ OK"))))</f>
        <v/>
      </c>
    </row>
    <row r="634">
      <c r="N634">
        <f>IF(G634="","",IF(I634&lt;=0,"⚠️ RUPTURE",IF(I634&lt;=J634,"⚠️ CRITIQUE",IF(I634&lt;=K634,"⚡ ATTENTION","✓ OK"))))</f>
        <v/>
      </c>
    </row>
    <row r="635">
      <c r="N635">
        <f>IF(G635="","",IF(I635&lt;=0,"⚠️ RUPTURE",IF(I635&lt;=J635,"⚠️ CRITIQUE",IF(I635&lt;=K635,"⚡ ATTENTION","✓ OK"))))</f>
        <v/>
      </c>
    </row>
    <row r="636">
      <c r="N636">
        <f>IF(G636="","",IF(I636&lt;=0,"⚠️ RUPTURE",IF(I636&lt;=J636,"⚠️ CRITIQUE",IF(I636&lt;=K636,"⚡ ATTENTION","✓ OK"))))</f>
        <v/>
      </c>
    </row>
    <row r="637">
      <c r="N637">
        <f>IF(G637="","",IF(I637&lt;=0,"⚠️ RUPTURE",IF(I637&lt;=J637,"⚠️ CRITIQUE",IF(I637&lt;=K637,"⚡ ATTENTION","✓ OK"))))</f>
        <v/>
      </c>
    </row>
    <row r="638">
      <c r="N638">
        <f>IF(G638="","",IF(I638&lt;=0,"⚠️ RUPTURE",IF(I638&lt;=J638,"⚠️ CRITIQUE",IF(I638&lt;=K638,"⚡ ATTENTION","✓ OK"))))</f>
        <v/>
      </c>
    </row>
    <row r="639">
      <c r="N639">
        <f>IF(G639="","",IF(I639&lt;=0,"⚠️ RUPTURE",IF(I639&lt;=J639,"⚠️ CRITIQUE",IF(I639&lt;=K639,"⚡ ATTENTION","✓ OK"))))</f>
        <v/>
      </c>
    </row>
    <row r="640">
      <c r="N640">
        <f>IF(G640="","",IF(I640&lt;=0,"⚠️ RUPTURE",IF(I640&lt;=J640,"⚠️ CRITIQUE",IF(I640&lt;=K640,"⚡ ATTENTION","✓ OK"))))</f>
        <v/>
      </c>
    </row>
    <row r="641">
      <c r="N641">
        <f>IF(G641="","",IF(I641&lt;=0,"⚠️ RUPTURE",IF(I641&lt;=J641,"⚠️ CRITIQUE",IF(I641&lt;=K641,"⚡ ATTENTION","✓ OK"))))</f>
        <v/>
      </c>
    </row>
    <row r="642">
      <c r="N642">
        <f>IF(G642="","",IF(I642&lt;=0,"⚠️ RUPTURE",IF(I642&lt;=J642,"⚠️ CRITIQUE",IF(I642&lt;=K642,"⚡ ATTENTION","✓ OK"))))</f>
        <v/>
      </c>
    </row>
    <row r="643">
      <c r="N643">
        <f>IF(G643="","",IF(I643&lt;=0,"⚠️ RUPTURE",IF(I643&lt;=J643,"⚠️ CRITIQUE",IF(I643&lt;=K643,"⚡ ATTENTION","✓ OK"))))</f>
        <v/>
      </c>
    </row>
    <row r="644">
      <c r="N644">
        <f>IF(G644="","",IF(I644&lt;=0,"⚠️ RUPTURE",IF(I644&lt;=J644,"⚠️ CRITIQUE",IF(I644&lt;=K644,"⚡ ATTENTION","✓ OK"))))</f>
        <v/>
      </c>
    </row>
    <row r="645">
      <c r="N645">
        <f>IF(G645="","",IF(I645&lt;=0,"⚠️ RUPTURE",IF(I645&lt;=J645,"⚠️ CRITIQUE",IF(I645&lt;=K645,"⚡ ATTENTION","✓ OK"))))</f>
        <v/>
      </c>
    </row>
    <row r="646">
      <c r="N646">
        <f>IF(G646="","",IF(I646&lt;=0,"⚠️ RUPTURE",IF(I646&lt;=J646,"⚠️ CRITIQUE",IF(I646&lt;=K646,"⚡ ATTENTION","✓ OK"))))</f>
        <v/>
      </c>
    </row>
    <row r="647">
      <c r="N647">
        <f>IF(G647="","",IF(I647&lt;=0,"⚠️ RUPTURE",IF(I647&lt;=J647,"⚠️ CRITIQUE",IF(I647&lt;=K647,"⚡ ATTENTION","✓ OK"))))</f>
        <v/>
      </c>
    </row>
    <row r="648">
      <c r="N648">
        <f>IF(G648="","",IF(I648&lt;=0,"⚠️ RUPTURE",IF(I648&lt;=J648,"⚠️ CRITIQUE",IF(I648&lt;=K648,"⚡ ATTENTION","✓ OK"))))</f>
        <v/>
      </c>
    </row>
    <row r="649">
      <c r="N649">
        <f>IF(G649="","",IF(I649&lt;=0,"⚠️ RUPTURE",IF(I649&lt;=J649,"⚠️ CRITIQUE",IF(I649&lt;=K649,"⚡ ATTENTION","✓ OK"))))</f>
        <v/>
      </c>
    </row>
    <row r="650">
      <c r="N650">
        <f>IF(G650="","",IF(I650&lt;=0,"⚠️ RUPTURE",IF(I650&lt;=J650,"⚠️ CRITIQUE",IF(I650&lt;=K650,"⚡ ATTENTION","✓ OK"))))</f>
        <v/>
      </c>
    </row>
    <row r="651">
      <c r="N651">
        <f>IF(G651="","",IF(I651&lt;=0,"⚠️ RUPTURE",IF(I651&lt;=J651,"⚠️ CRITIQUE",IF(I651&lt;=K651,"⚡ ATTENTION","✓ OK"))))</f>
        <v/>
      </c>
    </row>
    <row r="652">
      <c r="N652">
        <f>IF(G652="","",IF(I652&lt;=0,"⚠️ RUPTURE",IF(I652&lt;=J652,"⚠️ CRITIQUE",IF(I652&lt;=K652,"⚡ ATTENTION","✓ OK"))))</f>
        <v/>
      </c>
    </row>
    <row r="653">
      <c r="N653">
        <f>IF(G653="","",IF(I653&lt;=0,"⚠️ RUPTURE",IF(I653&lt;=J653,"⚠️ CRITIQUE",IF(I653&lt;=K653,"⚡ ATTENTION","✓ OK"))))</f>
        <v/>
      </c>
    </row>
    <row r="654">
      <c r="N654">
        <f>IF(G654="","",IF(I654&lt;=0,"⚠️ RUPTURE",IF(I654&lt;=J654,"⚠️ CRITIQUE",IF(I654&lt;=K654,"⚡ ATTENTION","✓ OK"))))</f>
        <v/>
      </c>
    </row>
    <row r="655">
      <c r="N655">
        <f>IF(G655="","",IF(I655&lt;=0,"⚠️ RUPTURE",IF(I655&lt;=J655,"⚠️ CRITIQUE",IF(I655&lt;=K655,"⚡ ATTENTION","✓ OK"))))</f>
        <v/>
      </c>
    </row>
    <row r="656">
      <c r="N656">
        <f>IF(G656="","",IF(I656&lt;=0,"⚠️ RUPTURE",IF(I656&lt;=J656,"⚠️ CRITIQUE",IF(I656&lt;=K656,"⚡ ATTENTION","✓ OK"))))</f>
        <v/>
      </c>
    </row>
    <row r="657">
      <c r="N657">
        <f>IF(G657="","",IF(I657&lt;=0,"⚠️ RUPTURE",IF(I657&lt;=J657,"⚠️ CRITIQUE",IF(I657&lt;=K657,"⚡ ATTENTION","✓ OK"))))</f>
        <v/>
      </c>
    </row>
    <row r="658">
      <c r="N658">
        <f>IF(G658="","",IF(I658&lt;=0,"⚠️ RUPTURE",IF(I658&lt;=J658,"⚠️ CRITIQUE",IF(I658&lt;=K658,"⚡ ATTENTION","✓ OK"))))</f>
        <v/>
      </c>
    </row>
    <row r="659">
      <c r="N659">
        <f>IF(G659="","",IF(I659&lt;=0,"⚠️ RUPTURE",IF(I659&lt;=J659,"⚠️ CRITIQUE",IF(I659&lt;=K659,"⚡ ATTENTION","✓ OK"))))</f>
        <v/>
      </c>
    </row>
    <row r="660">
      <c r="N660">
        <f>IF(G660="","",IF(I660&lt;=0,"⚠️ RUPTURE",IF(I660&lt;=J660,"⚠️ CRITIQUE",IF(I660&lt;=K660,"⚡ ATTENTION","✓ OK"))))</f>
        <v/>
      </c>
    </row>
    <row r="661">
      <c r="N661">
        <f>IF(G661="","",IF(I661&lt;=0,"⚠️ RUPTURE",IF(I661&lt;=J661,"⚠️ CRITIQUE",IF(I661&lt;=K661,"⚡ ATTENTION","✓ OK"))))</f>
        <v/>
      </c>
    </row>
    <row r="662">
      <c r="N662">
        <f>IF(G662="","",IF(I662&lt;=0,"⚠️ RUPTURE",IF(I662&lt;=J662,"⚠️ CRITIQUE",IF(I662&lt;=K662,"⚡ ATTENTION","✓ OK"))))</f>
        <v/>
      </c>
    </row>
    <row r="663">
      <c r="N663">
        <f>IF(G663="","",IF(I663&lt;=0,"⚠️ RUPTURE",IF(I663&lt;=J663,"⚠️ CRITIQUE",IF(I663&lt;=K663,"⚡ ATTENTION","✓ OK"))))</f>
        <v/>
      </c>
    </row>
    <row r="664">
      <c r="N664">
        <f>IF(G664="","",IF(I664&lt;=0,"⚠️ RUPTURE",IF(I664&lt;=J664,"⚠️ CRITIQUE",IF(I664&lt;=K664,"⚡ ATTENTION","✓ OK"))))</f>
        <v/>
      </c>
    </row>
    <row r="665">
      <c r="N665">
        <f>IF(G665="","",IF(I665&lt;=0,"⚠️ RUPTURE",IF(I665&lt;=J665,"⚠️ CRITIQUE",IF(I665&lt;=K665,"⚡ ATTENTION","✓ OK"))))</f>
        <v/>
      </c>
    </row>
    <row r="666">
      <c r="N666">
        <f>IF(G666="","",IF(I666&lt;=0,"⚠️ RUPTURE",IF(I666&lt;=J666,"⚠️ CRITIQUE",IF(I666&lt;=K666,"⚡ ATTENTION","✓ OK"))))</f>
        <v/>
      </c>
    </row>
    <row r="667">
      <c r="N667">
        <f>IF(G667="","",IF(I667&lt;=0,"⚠️ RUPTURE",IF(I667&lt;=J667,"⚠️ CRITIQUE",IF(I667&lt;=K667,"⚡ ATTENTION","✓ OK"))))</f>
        <v/>
      </c>
    </row>
    <row r="668">
      <c r="N668">
        <f>IF(G668="","",IF(I668&lt;=0,"⚠️ RUPTURE",IF(I668&lt;=J668,"⚠️ CRITIQUE",IF(I668&lt;=K668,"⚡ ATTENTION","✓ OK"))))</f>
        <v/>
      </c>
    </row>
    <row r="669">
      <c r="N669">
        <f>IF(G669="","",IF(I669&lt;=0,"⚠️ RUPTURE",IF(I669&lt;=J669,"⚠️ CRITIQUE",IF(I669&lt;=K669,"⚡ ATTENTION","✓ OK"))))</f>
        <v/>
      </c>
    </row>
    <row r="670">
      <c r="N670">
        <f>IF(G670="","",IF(I670&lt;=0,"⚠️ RUPTURE",IF(I670&lt;=J670,"⚠️ CRITIQUE",IF(I670&lt;=K670,"⚡ ATTENTION","✓ OK"))))</f>
        <v/>
      </c>
    </row>
    <row r="671">
      <c r="N671">
        <f>IF(G671="","",IF(I671&lt;=0,"⚠️ RUPTURE",IF(I671&lt;=J671,"⚠️ CRITIQUE",IF(I671&lt;=K671,"⚡ ATTENTION","✓ OK"))))</f>
        <v/>
      </c>
    </row>
    <row r="672">
      <c r="N672">
        <f>IF(G672="","",IF(I672&lt;=0,"⚠️ RUPTURE",IF(I672&lt;=J672,"⚠️ CRITIQUE",IF(I672&lt;=K672,"⚡ ATTENTION","✓ OK"))))</f>
        <v/>
      </c>
    </row>
    <row r="673">
      <c r="N673">
        <f>IF(G673="","",IF(I673&lt;=0,"⚠️ RUPTURE",IF(I673&lt;=J673,"⚠️ CRITIQUE",IF(I673&lt;=K673,"⚡ ATTENTION","✓ OK"))))</f>
        <v/>
      </c>
    </row>
    <row r="674">
      <c r="N674">
        <f>IF(G674="","",IF(I674&lt;=0,"⚠️ RUPTURE",IF(I674&lt;=J674,"⚠️ CRITIQUE",IF(I674&lt;=K674,"⚡ ATTENTION","✓ OK"))))</f>
        <v/>
      </c>
    </row>
    <row r="675">
      <c r="N675">
        <f>IF(G675="","",IF(I675&lt;=0,"⚠️ RUPTURE",IF(I675&lt;=J675,"⚠️ CRITIQUE",IF(I675&lt;=K675,"⚡ ATTENTION","✓ OK"))))</f>
        <v/>
      </c>
    </row>
    <row r="676">
      <c r="N676">
        <f>IF(G676="","",IF(I676&lt;=0,"⚠️ RUPTURE",IF(I676&lt;=J676,"⚠️ CRITIQUE",IF(I676&lt;=K676,"⚡ ATTENTION","✓ OK"))))</f>
        <v/>
      </c>
    </row>
    <row r="677">
      <c r="N677">
        <f>IF(G677="","",IF(I677&lt;=0,"⚠️ RUPTURE",IF(I677&lt;=J677,"⚠️ CRITIQUE",IF(I677&lt;=K677,"⚡ ATTENTION","✓ OK"))))</f>
        <v/>
      </c>
    </row>
    <row r="678">
      <c r="N678">
        <f>IF(G678="","",IF(I678&lt;=0,"⚠️ RUPTURE",IF(I678&lt;=J678,"⚠️ CRITIQUE",IF(I678&lt;=K678,"⚡ ATTENTION","✓ OK"))))</f>
        <v/>
      </c>
    </row>
    <row r="679">
      <c r="N679">
        <f>IF(G679="","",IF(I679&lt;=0,"⚠️ RUPTURE",IF(I679&lt;=J679,"⚠️ CRITIQUE",IF(I679&lt;=K679,"⚡ ATTENTION","✓ OK"))))</f>
        <v/>
      </c>
    </row>
    <row r="680">
      <c r="N680">
        <f>IF(G680="","",IF(I680&lt;=0,"⚠️ RUPTURE",IF(I680&lt;=J680,"⚠️ CRITIQUE",IF(I680&lt;=K680,"⚡ ATTENTION","✓ OK"))))</f>
        <v/>
      </c>
    </row>
    <row r="681">
      <c r="N681">
        <f>IF(G681="","",IF(I681&lt;=0,"⚠️ RUPTURE",IF(I681&lt;=J681,"⚠️ CRITIQUE",IF(I681&lt;=K681,"⚡ ATTENTION","✓ OK"))))</f>
        <v/>
      </c>
    </row>
    <row r="682">
      <c r="N682">
        <f>IF(G682="","",IF(I682&lt;=0,"⚠️ RUPTURE",IF(I682&lt;=J682,"⚠️ CRITIQUE",IF(I682&lt;=K682,"⚡ ATTENTION","✓ OK"))))</f>
        <v/>
      </c>
    </row>
    <row r="683">
      <c r="N683">
        <f>IF(G683="","",IF(I683&lt;=0,"⚠️ RUPTURE",IF(I683&lt;=J683,"⚠️ CRITIQUE",IF(I683&lt;=K683,"⚡ ATTENTION","✓ OK"))))</f>
        <v/>
      </c>
    </row>
    <row r="684">
      <c r="N684">
        <f>IF(G684="","",IF(I684&lt;=0,"⚠️ RUPTURE",IF(I684&lt;=J684,"⚠️ CRITIQUE",IF(I684&lt;=K684,"⚡ ATTENTION","✓ OK"))))</f>
        <v/>
      </c>
    </row>
    <row r="685">
      <c r="N685">
        <f>IF(G685="","",IF(I685&lt;=0,"⚠️ RUPTURE",IF(I685&lt;=J685,"⚠️ CRITIQUE",IF(I685&lt;=K685,"⚡ ATTENTION","✓ OK"))))</f>
        <v/>
      </c>
    </row>
    <row r="686">
      <c r="N686">
        <f>IF(G686="","",IF(I686&lt;=0,"⚠️ RUPTURE",IF(I686&lt;=J686,"⚠️ CRITIQUE",IF(I686&lt;=K686,"⚡ ATTENTION","✓ OK"))))</f>
        <v/>
      </c>
    </row>
    <row r="687">
      <c r="N687">
        <f>IF(G687="","",IF(I687&lt;=0,"⚠️ RUPTURE",IF(I687&lt;=J687,"⚠️ CRITIQUE",IF(I687&lt;=K687,"⚡ ATTENTION","✓ OK"))))</f>
        <v/>
      </c>
    </row>
    <row r="688">
      <c r="N688">
        <f>IF(G688="","",IF(I688&lt;=0,"⚠️ RUPTURE",IF(I688&lt;=J688,"⚠️ CRITIQUE",IF(I688&lt;=K688,"⚡ ATTENTION","✓ OK"))))</f>
        <v/>
      </c>
    </row>
    <row r="689">
      <c r="N689">
        <f>IF(G689="","",IF(I689&lt;=0,"⚠️ RUPTURE",IF(I689&lt;=J689,"⚠️ CRITIQUE",IF(I689&lt;=K689,"⚡ ATTENTION","✓ OK"))))</f>
        <v/>
      </c>
    </row>
    <row r="690">
      <c r="N690">
        <f>IF(G690="","",IF(I690&lt;=0,"⚠️ RUPTURE",IF(I690&lt;=J690,"⚠️ CRITIQUE",IF(I690&lt;=K690,"⚡ ATTENTION","✓ OK"))))</f>
        <v/>
      </c>
    </row>
    <row r="691">
      <c r="N691">
        <f>IF(G691="","",IF(I691&lt;=0,"⚠️ RUPTURE",IF(I691&lt;=J691,"⚠️ CRITIQUE",IF(I691&lt;=K691,"⚡ ATTENTION","✓ OK"))))</f>
        <v/>
      </c>
    </row>
    <row r="692">
      <c r="N692">
        <f>IF(G692="","",IF(I692&lt;=0,"⚠️ RUPTURE",IF(I692&lt;=J692,"⚠️ CRITIQUE",IF(I692&lt;=K692,"⚡ ATTENTION","✓ OK"))))</f>
        <v/>
      </c>
    </row>
    <row r="693">
      <c r="N693">
        <f>IF(G693="","",IF(I693&lt;=0,"⚠️ RUPTURE",IF(I693&lt;=J693,"⚠️ CRITIQUE",IF(I693&lt;=K693,"⚡ ATTENTION","✓ OK"))))</f>
        <v/>
      </c>
    </row>
    <row r="694">
      <c r="N694">
        <f>IF(G694="","",IF(I694&lt;=0,"⚠️ RUPTURE",IF(I694&lt;=J694,"⚠️ CRITIQUE",IF(I694&lt;=K694,"⚡ ATTENTION","✓ OK"))))</f>
        <v/>
      </c>
    </row>
    <row r="695">
      <c r="N695">
        <f>IF(G695="","",IF(I695&lt;=0,"⚠️ RUPTURE",IF(I695&lt;=J695,"⚠️ CRITIQUE",IF(I695&lt;=K695,"⚡ ATTENTION","✓ OK"))))</f>
        <v/>
      </c>
    </row>
    <row r="696">
      <c r="N696">
        <f>IF(G696="","",IF(I696&lt;=0,"⚠️ RUPTURE",IF(I696&lt;=J696,"⚠️ CRITIQUE",IF(I696&lt;=K696,"⚡ ATTENTION","✓ OK"))))</f>
        <v/>
      </c>
    </row>
    <row r="697">
      <c r="N697">
        <f>IF(G697="","",IF(I697&lt;=0,"⚠️ RUPTURE",IF(I697&lt;=J697,"⚠️ CRITIQUE",IF(I697&lt;=K697,"⚡ ATTENTION","✓ OK"))))</f>
        <v/>
      </c>
    </row>
    <row r="698">
      <c r="N698">
        <f>IF(G698="","",IF(I698&lt;=0,"⚠️ RUPTURE",IF(I698&lt;=J698,"⚠️ CRITIQUE",IF(I698&lt;=K698,"⚡ ATTENTION","✓ OK"))))</f>
        <v/>
      </c>
    </row>
    <row r="699">
      <c r="N699">
        <f>IF(G699="","",IF(I699&lt;=0,"⚠️ RUPTURE",IF(I699&lt;=J699,"⚠️ CRITIQUE",IF(I699&lt;=K699,"⚡ ATTENTION","✓ OK"))))</f>
        <v/>
      </c>
    </row>
    <row r="700">
      <c r="N700">
        <f>IF(G700="","",IF(I700&lt;=0,"⚠️ RUPTURE",IF(I700&lt;=J700,"⚠️ CRITIQUE",IF(I700&lt;=K700,"⚡ ATTENTION","✓ OK"))))</f>
        <v/>
      </c>
    </row>
    <row r="701">
      <c r="N701">
        <f>IF(G701="","",IF(I701&lt;=0,"⚠️ RUPTURE",IF(I701&lt;=J701,"⚠️ CRITIQUE",IF(I701&lt;=K701,"⚡ ATTENTION","✓ OK"))))</f>
        <v/>
      </c>
    </row>
    <row r="702">
      <c r="N702">
        <f>IF(G702="","",IF(I702&lt;=0,"⚠️ RUPTURE",IF(I702&lt;=J702,"⚠️ CRITIQUE",IF(I702&lt;=K702,"⚡ ATTENTION","✓ OK"))))</f>
        <v/>
      </c>
    </row>
    <row r="703">
      <c r="N703">
        <f>IF(G703="","",IF(I703&lt;=0,"⚠️ RUPTURE",IF(I703&lt;=J703,"⚠️ CRITIQUE",IF(I703&lt;=K703,"⚡ ATTENTION","✓ OK"))))</f>
        <v/>
      </c>
    </row>
    <row r="704">
      <c r="N704">
        <f>IF(G704="","",IF(I704&lt;=0,"⚠️ RUPTURE",IF(I704&lt;=J704,"⚠️ CRITIQUE",IF(I704&lt;=K704,"⚡ ATTENTION","✓ OK"))))</f>
        <v/>
      </c>
    </row>
    <row r="705">
      <c r="N705">
        <f>IF(G705="","",IF(I705&lt;=0,"⚠️ RUPTURE",IF(I705&lt;=J705,"⚠️ CRITIQUE",IF(I705&lt;=K705,"⚡ ATTENTION","✓ OK"))))</f>
        <v/>
      </c>
    </row>
    <row r="706">
      <c r="N706">
        <f>IF(G706="","",IF(I706&lt;=0,"⚠️ RUPTURE",IF(I706&lt;=J706,"⚠️ CRITIQUE",IF(I706&lt;=K706,"⚡ ATTENTION","✓ OK"))))</f>
        <v/>
      </c>
    </row>
    <row r="707">
      <c r="N707">
        <f>IF(G707="","",IF(I707&lt;=0,"⚠️ RUPTURE",IF(I707&lt;=J707,"⚠️ CRITIQUE",IF(I707&lt;=K707,"⚡ ATTENTION","✓ OK"))))</f>
        <v/>
      </c>
    </row>
    <row r="708">
      <c r="N708">
        <f>IF(G708="","",IF(I708&lt;=0,"⚠️ RUPTURE",IF(I708&lt;=J708,"⚠️ CRITIQUE",IF(I708&lt;=K708,"⚡ ATTENTION","✓ OK"))))</f>
        <v/>
      </c>
    </row>
    <row r="709">
      <c r="N709">
        <f>IF(G709="","",IF(I709&lt;=0,"⚠️ RUPTURE",IF(I709&lt;=J709,"⚠️ CRITIQUE",IF(I709&lt;=K709,"⚡ ATTENTION","✓ OK"))))</f>
        <v/>
      </c>
    </row>
    <row r="710">
      <c r="N710">
        <f>IF(G710="","",IF(I710&lt;=0,"⚠️ RUPTURE",IF(I710&lt;=J710,"⚠️ CRITIQUE",IF(I710&lt;=K710,"⚡ ATTENTION","✓ OK"))))</f>
        <v/>
      </c>
    </row>
    <row r="711">
      <c r="N711">
        <f>IF(G711="","",IF(I711&lt;=0,"⚠️ RUPTURE",IF(I711&lt;=J711,"⚠️ CRITIQUE",IF(I711&lt;=K711,"⚡ ATTENTION","✓ OK"))))</f>
        <v/>
      </c>
    </row>
    <row r="712">
      <c r="N712">
        <f>IF(G712="","",IF(I712&lt;=0,"⚠️ RUPTURE",IF(I712&lt;=J712,"⚠️ CRITIQUE",IF(I712&lt;=K712,"⚡ ATTENTION","✓ OK"))))</f>
        <v/>
      </c>
    </row>
    <row r="713">
      <c r="N713">
        <f>IF(G713="","",IF(I713&lt;=0,"⚠️ RUPTURE",IF(I713&lt;=J713,"⚠️ CRITIQUE",IF(I713&lt;=K713,"⚡ ATTENTION","✓ OK"))))</f>
        <v/>
      </c>
    </row>
    <row r="714">
      <c r="N714">
        <f>IF(G714="","",IF(I714&lt;=0,"⚠️ RUPTURE",IF(I714&lt;=J714,"⚠️ CRITIQUE",IF(I714&lt;=K714,"⚡ ATTENTION","✓ OK"))))</f>
        <v/>
      </c>
    </row>
    <row r="715">
      <c r="N715">
        <f>IF(G715="","",IF(I715&lt;=0,"⚠️ RUPTURE",IF(I715&lt;=J715,"⚠️ CRITIQUE",IF(I715&lt;=K715,"⚡ ATTENTION","✓ OK"))))</f>
        <v/>
      </c>
    </row>
    <row r="716">
      <c r="N716">
        <f>IF(G716="","",IF(I716&lt;=0,"⚠️ RUPTURE",IF(I716&lt;=J716,"⚠️ CRITIQUE",IF(I716&lt;=K716,"⚡ ATTENTION","✓ OK"))))</f>
        <v/>
      </c>
    </row>
    <row r="717">
      <c r="N717">
        <f>IF(G717="","",IF(I717&lt;=0,"⚠️ RUPTURE",IF(I717&lt;=J717,"⚠️ CRITIQUE",IF(I717&lt;=K717,"⚡ ATTENTION","✓ OK"))))</f>
        <v/>
      </c>
    </row>
    <row r="718">
      <c r="N718">
        <f>IF(G718="","",IF(I718&lt;=0,"⚠️ RUPTURE",IF(I718&lt;=J718,"⚠️ CRITIQUE",IF(I718&lt;=K718,"⚡ ATTENTION","✓ OK"))))</f>
        <v/>
      </c>
    </row>
    <row r="719">
      <c r="N719">
        <f>IF(G719="","",IF(I719&lt;=0,"⚠️ RUPTURE",IF(I719&lt;=J719,"⚠️ CRITIQUE",IF(I719&lt;=K719,"⚡ ATTENTION","✓ OK"))))</f>
        <v/>
      </c>
    </row>
    <row r="720">
      <c r="N720">
        <f>IF(G720="","",IF(I720&lt;=0,"⚠️ RUPTURE",IF(I720&lt;=J720,"⚠️ CRITIQUE",IF(I720&lt;=K720,"⚡ ATTENTION","✓ OK"))))</f>
        <v/>
      </c>
    </row>
    <row r="721">
      <c r="N721">
        <f>IF(G721="","",IF(I721&lt;=0,"⚠️ RUPTURE",IF(I721&lt;=J721,"⚠️ CRITIQUE",IF(I721&lt;=K721,"⚡ ATTENTION","✓ OK"))))</f>
        <v/>
      </c>
    </row>
    <row r="722">
      <c r="N722">
        <f>IF(G722="","",IF(I722&lt;=0,"⚠️ RUPTURE",IF(I722&lt;=J722,"⚠️ CRITIQUE",IF(I722&lt;=K722,"⚡ ATTENTION","✓ OK"))))</f>
        <v/>
      </c>
    </row>
    <row r="723">
      <c r="N723">
        <f>IF(G723="","",IF(I723&lt;=0,"⚠️ RUPTURE",IF(I723&lt;=J723,"⚠️ CRITIQUE",IF(I723&lt;=K723,"⚡ ATTENTION","✓ OK"))))</f>
        <v/>
      </c>
    </row>
    <row r="724">
      <c r="N724">
        <f>IF(G724="","",IF(I724&lt;=0,"⚠️ RUPTURE",IF(I724&lt;=J724,"⚠️ CRITIQUE",IF(I724&lt;=K724,"⚡ ATTENTION","✓ OK"))))</f>
        <v/>
      </c>
    </row>
    <row r="725">
      <c r="N725">
        <f>IF(G725="","",IF(I725&lt;=0,"⚠️ RUPTURE",IF(I725&lt;=J725,"⚠️ CRITIQUE",IF(I725&lt;=K725,"⚡ ATTENTION","✓ OK"))))</f>
        <v/>
      </c>
    </row>
    <row r="726">
      <c r="N726">
        <f>IF(G726="","",IF(I726&lt;=0,"⚠️ RUPTURE",IF(I726&lt;=J726,"⚠️ CRITIQUE",IF(I726&lt;=K726,"⚡ ATTENTION","✓ OK"))))</f>
        <v/>
      </c>
    </row>
    <row r="727">
      <c r="N727">
        <f>IF(G727="","",IF(I727&lt;=0,"⚠️ RUPTURE",IF(I727&lt;=J727,"⚠️ CRITIQUE",IF(I727&lt;=K727,"⚡ ATTENTION","✓ OK"))))</f>
        <v/>
      </c>
    </row>
    <row r="728">
      <c r="N728">
        <f>IF(G728="","",IF(I728&lt;=0,"⚠️ RUPTURE",IF(I728&lt;=J728,"⚠️ CRITIQUE",IF(I728&lt;=K728,"⚡ ATTENTION","✓ OK"))))</f>
        <v/>
      </c>
    </row>
    <row r="729">
      <c r="N729">
        <f>IF(G729="","",IF(I729&lt;=0,"⚠️ RUPTURE",IF(I729&lt;=J729,"⚠️ CRITIQUE",IF(I729&lt;=K729,"⚡ ATTENTION","✓ OK"))))</f>
        <v/>
      </c>
    </row>
    <row r="730">
      <c r="N730">
        <f>IF(G730="","",IF(I730&lt;=0,"⚠️ RUPTURE",IF(I730&lt;=J730,"⚠️ CRITIQUE",IF(I730&lt;=K730,"⚡ ATTENTION","✓ OK"))))</f>
        <v/>
      </c>
    </row>
    <row r="731">
      <c r="N731">
        <f>IF(G731="","",IF(I731&lt;=0,"⚠️ RUPTURE",IF(I731&lt;=J731,"⚠️ CRITIQUE",IF(I731&lt;=K731,"⚡ ATTENTION","✓ OK"))))</f>
        <v/>
      </c>
    </row>
    <row r="732">
      <c r="N732">
        <f>IF(G732="","",IF(I732&lt;=0,"⚠️ RUPTURE",IF(I732&lt;=J732,"⚠️ CRITIQUE",IF(I732&lt;=K732,"⚡ ATTENTION","✓ OK"))))</f>
        <v/>
      </c>
    </row>
    <row r="733">
      <c r="N733">
        <f>IF(G733="","",IF(I733&lt;=0,"⚠️ RUPTURE",IF(I733&lt;=J733,"⚠️ CRITIQUE",IF(I733&lt;=K733,"⚡ ATTENTION","✓ OK"))))</f>
        <v/>
      </c>
    </row>
    <row r="734">
      <c r="N734">
        <f>IF(G734="","",IF(I734&lt;=0,"⚠️ RUPTURE",IF(I734&lt;=J734,"⚠️ CRITIQUE",IF(I734&lt;=K734,"⚡ ATTENTION","✓ OK"))))</f>
        <v/>
      </c>
    </row>
    <row r="735">
      <c r="N735">
        <f>IF(G735="","",IF(I735&lt;=0,"⚠️ RUPTURE",IF(I735&lt;=J735,"⚠️ CRITIQUE",IF(I735&lt;=K735,"⚡ ATTENTION","✓ OK"))))</f>
        <v/>
      </c>
    </row>
    <row r="736">
      <c r="N736">
        <f>IF(G736="","",IF(I736&lt;=0,"⚠️ RUPTURE",IF(I736&lt;=J736,"⚠️ CRITIQUE",IF(I736&lt;=K736,"⚡ ATTENTION","✓ OK"))))</f>
        <v/>
      </c>
    </row>
    <row r="737">
      <c r="N737">
        <f>IF(G737="","",IF(I737&lt;=0,"⚠️ RUPTURE",IF(I737&lt;=J737,"⚠️ CRITIQUE",IF(I737&lt;=K737,"⚡ ATTENTION","✓ OK"))))</f>
        <v/>
      </c>
    </row>
    <row r="738">
      <c r="N738">
        <f>IF(G738="","",IF(I738&lt;=0,"⚠️ RUPTURE",IF(I738&lt;=J738,"⚠️ CRITIQUE",IF(I738&lt;=K738,"⚡ ATTENTION","✓ OK"))))</f>
        <v/>
      </c>
    </row>
    <row r="739">
      <c r="N739">
        <f>IF(G739="","",IF(I739&lt;=0,"⚠️ RUPTURE",IF(I739&lt;=J739,"⚠️ CRITIQUE",IF(I739&lt;=K739,"⚡ ATTENTION","✓ OK"))))</f>
        <v/>
      </c>
    </row>
    <row r="740">
      <c r="N740">
        <f>IF(G740="","",IF(I740&lt;=0,"⚠️ RUPTURE",IF(I740&lt;=J740,"⚠️ CRITIQUE",IF(I740&lt;=K740,"⚡ ATTENTION","✓ OK"))))</f>
        <v/>
      </c>
    </row>
    <row r="741">
      <c r="N741">
        <f>IF(G741="","",IF(I741&lt;=0,"⚠️ RUPTURE",IF(I741&lt;=J741,"⚠️ CRITIQUE",IF(I741&lt;=K741,"⚡ ATTENTION","✓ OK"))))</f>
        <v/>
      </c>
    </row>
    <row r="742">
      <c r="N742">
        <f>IF(G742="","",IF(I742&lt;=0,"⚠️ RUPTURE",IF(I742&lt;=J742,"⚠️ CRITIQUE",IF(I742&lt;=K742,"⚡ ATTENTION","✓ OK"))))</f>
        <v/>
      </c>
    </row>
    <row r="743">
      <c r="N743">
        <f>IF(G743="","",IF(I743&lt;=0,"⚠️ RUPTURE",IF(I743&lt;=J743,"⚠️ CRITIQUE",IF(I743&lt;=K743,"⚡ ATTENTION","✓ OK"))))</f>
        <v/>
      </c>
    </row>
    <row r="744">
      <c r="N744">
        <f>IF(G744="","",IF(I744&lt;=0,"⚠️ RUPTURE",IF(I744&lt;=J744,"⚠️ CRITIQUE",IF(I744&lt;=K744,"⚡ ATTENTION","✓ OK"))))</f>
        <v/>
      </c>
    </row>
    <row r="745">
      <c r="N745">
        <f>IF(G745="","",IF(I745&lt;=0,"⚠️ RUPTURE",IF(I745&lt;=J745,"⚠️ CRITIQUE",IF(I745&lt;=K745,"⚡ ATTENTION","✓ OK"))))</f>
        <v/>
      </c>
    </row>
    <row r="746">
      <c r="N746">
        <f>IF(G746="","",IF(I746&lt;=0,"⚠️ RUPTURE",IF(I746&lt;=J746,"⚠️ CRITIQUE",IF(I746&lt;=K746,"⚡ ATTENTION","✓ OK"))))</f>
        <v/>
      </c>
    </row>
    <row r="747">
      <c r="N747">
        <f>IF(G747="","",IF(I747&lt;=0,"⚠️ RUPTURE",IF(I747&lt;=J747,"⚠️ CRITIQUE",IF(I747&lt;=K747,"⚡ ATTENTION","✓ OK"))))</f>
        <v/>
      </c>
    </row>
    <row r="748">
      <c r="N748">
        <f>IF(G748="","",IF(I748&lt;=0,"⚠️ RUPTURE",IF(I748&lt;=J748,"⚠️ CRITIQUE",IF(I748&lt;=K748,"⚡ ATTENTION","✓ OK"))))</f>
        <v/>
      </c>
    </row>
    <row r="749">
      <c r="N749">
        <f>IF(G749="","",IF(I749&lt;=0,"⚠️ RUPTURE",IF(I749&lt;=J749,"⚠️ CRITIQUE",IF(I749&lt;=K749,"⚡ ATTENTION","✓ OK"))))</f>
        <v/>
      </c>
    </row>
    <row r="750">
      <c r="N750">
        <f>IF(G750="","",IF(I750&lt;=0,"⚠️ RUPTURE",IF(I750&lt;=J750,"⚠️ CRITIQUE",IF(I750&lt;=K750,"⚡ ATTENTION","✓ OK"))))</f>
        <v/>
      </c>
    </row>
    <row r="751">
      <c r="N751">
        <f>IF(G751="","",IF(I751&lt;=0,"⚠️ RUPTURE",IF(I751&lt;=J751,"⚠️ CRITIQUE",IF(I751&lt;=K751,"⚡ ATTENTION","✓ OK"))))</f>
        <v/>
      </c>
    </row>
    <row r="752">
      <c r="N752">
        <f>IF(G752="","",IF(I752&lt;=0,"⚠️ RUPTURE",IF(I752&lt;=J752,"⚠️ CRITIQUE",IF(I752&lt;=K752,"⚡ ATTENTION","✓ OK"))))</f>
        <v/>
      </c>
    </row>
    <row r="753">
      <c r="N753">
        <f>IF(G753="","",IF(I753&lt;=0,"⚠️ RUPTURE",IF(I753&lt;=J753,"⚠️ CRITIQUE",IF(I753&lt;=K753,"⚡ ATTENTION","✓ OK"))))</f>
        <v/>
      </c>
    </row>
    <row r="754">
      <c r="N754">
        <f>IF(G754="","",IF(I754&lt;=0,"⚠️ RUPTURE",IF(I754&lt;=J754,"⚠️ CRITIQUE",IF(I754&lt;=K754,"⚡ ATTENTION","✓ OK"))))</f>
        <v/>
      </c>
    </row>
    <row r="755">
      <c r="N755">
        <f>IF(G755="","",IF(I755&lt;=0,"⚠️ RUPTURE",IF(I755&lt;=J755,"⚠️ CRITIQUE",IF(I755&lt;=K755,"⚡ ATTENTION","✓ OK"))))</f>
        <v/>
      </c>
    </row>
    <row r="756">
      <c r="N756">
        <f>IF(G756="","",IF(I756&lt;=0,"⚠️ RUPTURE",IF(I756&lt;=J756,"⚠️ CRITIQUE",IF(I756&lt;=K756,"⚡ ATTENTION","✓ OK"))))</f>
        <v/>
      </c>
    </row>
    <row r="757">
      <c r="N757">
        <f>IF(G757="","",IF(I757&lt;=0,"⚠️ RUPTURE",IF(I757&lt;=J757,"⚠️ CRITIQUE",IF(I757&lt;=K757,"⚡ ATTENTION","✓ OK"))))</f>
        <v/>
      </c>
    </row>
    <row r="758">
      <c r="N758">
        <f>IF(G758="","",IF(I758&lt;=0,"⚠️ RUPTURE",IF(I758&lt;=J758,"⚠️ CRITIQUE",IF(I758&lt;=K758,"⚡ ATTENTION","✓ OK"))))</f>
        <v/>
      </c>
    </row>
    <row r="759">
      <c r="N759">
        <f>IF(G759="","",IF(I759&lt;=0,"⚠️ RUPTURE",IF(I759&lt;=J759,"⚠️ CRITIQUE",IF(I759&lt;=K759,"⚡ ATTENTION","✓ OK"))))</f>
        <v/>
      </c>
    </row>
    <row r="760">
      <c r="N760">
        <f>IF(G760="","",IF(I760&lt;=0,"⚠️ RUPTURE",IF(I760&lt;=J760,"⚠️ CRITIQUE",IF(I760&lt;=K760,"⚡ ATTENTION","✓ OK"))))</f>
        <v/>
      </c>
    </row>
    <row r="761">
      <c r="N761">
        <f>IF(G761="","",IF(I761&lt;=0,"⚠️ RUPTURE",IF(I761&lt;=J761,"⚠️ CRITIQUE",IF(I761&lt;=K761,"⚡ ATTENTION","✓ OK"))))</f>
        <v/>
      </c>
    </row>
    <row r="762">
      <c r="N762">
        <f>IF(G762="","",IF(I762&lt;=0,"⚠️ RUPTURE",IF(I762&lt;=J762,"⚠️ CRITIQUE",IF(I762&lt;=K762,"⚡ ATTENTION","✓ OK"))))</f>
        <v/>
      </c>
    </row>
    <row r="763">
      <c r="N763">
        <f>IF(G763="","",IF(I763&lt;=0,"⚠️ RUPTURE",IF(I763&lt;=J763,"⚠️ CRITIQUE",IF(I763&lt;=K763,"⚡ ATTENTION","✓ OK"))))</f>
        <v/>
      </c>
    </row>
    <row r="764">
      <c r="N764">
        <f>IF(G764="","",IF(I764&lt;=0,"⚠️ RUPTURE",IF(I764&lt;=J764,"⚠️ CRITIQUE",IF(I764&lt;=K764,"⚡ ATTENTION","✓ OK"))))</f>
        <v/>
      </c>
    </row>
    <row r="765">
      <c r="N765">
        <f>IF(G765="","",IF(I765&lt;=0,"⚠️ RUPTURE",IF(I765&lt;=J765,"⚠️ CRITIQUE",IF(I765&lt;=K765,"⚡ ATTENTION","✓ OK"))))</f>
        <v/>
      </c>
    </row>
    <row r="766">
      <c r="N766">
        <f>IF(G766="","",IF(I766&lt;=0,"⚠️ RUPTURE",IF(I766&lt;=J766,"⚠️ CRITIQUE",IF(I766&lt;=K766,"⚡ ATTENTION","✓ OK"))))</f>
        <v/>
      </c>
    </row>
    <row r="767">
      <c r="N767">
        <f>IF(G767="","",IF(I767&lt;=0,"⚠️ RUPTURE",IF(I767&lt;=J767,"⚠️ CRITIQUE",IF(I767&lt;=K767,"⚡ ATTENTION","✓ OK"))))</f>
        <v/>
      </c>
    </row>
    <row r="768">
      <c r="N768">
        <f>IF(G768="","",IF(I768&lt;=0,"⚠️ RUPTURE",IF(I768&lt;=J768,"⚠️ CRITIQUE",IF(I768&lt;=K768,"⚡ ATTENTION","✓ OK"))))</f>
        <v/>
      </c>
    </row>
    <row r="769">
      <c r="N769">
        <f>IF(G769="","",IF(I769&lt;=0,"⚠️ RUPTURE",IF(I769&lt;=J769,"⚠️ CRITIQUE",IF(I769&lt;=K769,"⚡ ATTENTION","✓ OK"))))</f>
        <v/>
      </c>
    </row>
    <row r="770">
      <c r="N770">
        <f>IF(G770="","",IF(I770&lt;=0,"⚠️ RUPTURE",IF(I770&lt;=J770,"⚠️ CRITIQUE",IF(I770&lt;=K770,"⚡ ATTENTION","✓ OK"))))</f>
        <v/>
      </c>
    </row>
    <row r="771">
      <c r="N771">
        <f>IF(G771="","",IF(I771&lt;=0,"⚠️ RUPTURE",IF(I771&lt;=J771,"⚠️ CRITIQUE",IF(I771&lt;=K771,"⚡ ATTENTION","✓ OK"))))</f>
        <v/>
      </c>
    </row>
    <row r="772">
      <c r="N772">
        <f>IF(G772="","",IF(I772&lt;=0,"⚠️ RUPTURE",IF(I772&lt;=J772,"⚠️ CRITIQUE",IF(I772&lt;=K772,"⚡ ATTENTION","✓ OK"))))</f>
        <v/>
      </c>
    </row>
    <row r="773">
      <c r="N773">
        <f>IF(G773="","",IF(I773&lt;=0,"⚠️ RUPTURE",IF(I773&lt;=J773,"⚠️ CRITIQUE",IF(I773&lt;=K773,"⚡ ATTENTION","✓ OK"))))</f>
        <v/>
      </c>
    </row>
    <row r="774">
      <c r="N774">
        <f>IF(G774="","",IF(I774&lt;=0,"⚠️ RUPTURE",IF(I774&lt;=J774,"⚠️ CRITIQUE",IF(I774&lt;=K774,"⚡ ATTENTION","✓ OK"))))</f>
        <v/>
      </c>
    </row>
    <row r="775">
      <c r="N775">
        <f>IF(G775="","",IF(I775&lt;=0,"⚠️ RUPTURE",IF(I775&lt;=J775,"⚠️ CRITIQUE",IF(I775&lt;=K775,"⚡ ATTENTION","✓ OK"))))</f>
        <v/>
      </c>
    </row>
    <row r="776">
      <c r="N776">
        <f>IF(G776="","",IF(I776&lt;=0,"⚠️ RUPTURE",IF(I776&lt;=J776,"⚠️ CRITIQUE",IF(I776&lt;=K776,"⚡ ATTENTION","✓ OK"))))</f>
        <v/>
      </c>
    </row>
    <row r="777">
      <c r="N777">
        <f>IF(G777="","",IF(I777&lt;=0,"⚠️ RUPTURE",IF(I777&lt;=J777,"⚠️ CRITIQUE",IF(I777&lt;=K777,"⚡ ATTENTION","✓ OK"))))</f>
        <v/>
      </c>
    </row>
    <row r="778">
      <c r="N778">
        <f>IF(G778="","",IF(I778&lt;=0,"⚠️ RUPTURE",IF(I778&lt;=J778,"⚠️ CRITIQUE",IF(I778&lt;=K778,"⚡ ATTENTION","✓ OK"))))</f>
        <v/>
      </c>
    </row>
    <row r="779">
      <c r="N779">
        <f>IF(G779="","",IF(I779&lt;=0,"⚠️ RUPTURE",IF(I779&lt;=J779,"⚠️ CRITIQUE",IF(I779&lt;=K779,"⚡ ATTENTION","✓ OK"))))</f>
        <v/>
      </c>
    </row>
    <row r="780">
      <c r="N780">
        <f>IF(G780="","",IF(I780&lt;=0,"⚠️ RUPTURE",IF(I780&lt;=J780,"⚠️ CRITIQUE",IF(I780&lt;=K780,"⚡ ATTENTION","✓ OK"))))</f>
        <v/>
      </c>
    </row>
    <row r="781">
      <c r="N781">
        <f>IF(G781="","",IF(I781&lt;=0,"⚠️ RUPTURE",IF(I781&lt;=J781,"⚠️ CRITIQUE",IF(I781&lt;=K781,"⚡ ATTENTION","✓ OK"))))</f>
        <v/>
      </c>
    </row>
    <row r="782">
      <c r="N782">
        <f>IF(G782="","",IF(I782&lt;=0,"⚠️ RUPTURE",IF(I782&lt;=J782,"⚠️ CRITIQUE",IF(I782&lt;=K782,"⚡ ATTENTION","✓ OK"))))</f>
        <v/>
      </c>
    </row>
    <row r="783">
      <c r="N783">
        <f>IF(G783="","",IF(I783&lt;=0,"⚠️ RUPTURE",IF(I783&lt;=J783,"⚠️ CRITIQUE",IF(I783&lt;=K783,"⚡ ATTENTION","✓ OK"))))</f>
        <v/>
      </c>
    </row>
    <row r="784">
      <c r="N784">
        <f>IF(G784="","",IF(I784&lt;=0,"⚠️ RUPTURE",IF(I784&lt;=J784,"⚠️ CRITIQUE",IF(I784&lt;=K784,"⚡ ATTENTION","✓ OK"))))</f>
        <v/>
      </c>
    </row>
    <row r="785">
      <c r="N785">
        <f>IF(G785="","",IF(I785&lt;=0,"⚠️ RUPTURE",IF(I785&lt;=J785,"⚠️ CRITIQUE",IF(I785&lt;=K785,"⚡ ATTENTION","✓ OK"))))</f>
        <v/>
      </c>
    </row>
    <row r="786">
      <c r="N786">
        <f>IF(G786="","",IF(I786&lt;=0,"⚠️ RUPTURE",IF(I786&lt;=J786,"⚠️ CRITIQUE",IF(I786&lt;=K786,"⚡ ATTENTION","✓ OK"))))</f>
        <v/>
      </c>
    </row>
    <row r="787">
      <c r="N787">
        <f>IF(G787="","",IF(I787&lt;=0,"⚠️ RUPTURE",IF(I787&lt;=J787,"⚠️ CRITIQUE",IF(I787&lt;=K787,"⚡ ATTENTION","✓ OK"))))</f>
        <v/>
      </c>
    </row>
    <row r="788">
      <c r="N788">
        <f>IF(G788="","",IF(I788&lt;=0,"⚠️ RUPTURE",IF(I788&lt;=J788,"⚠️ CRITIQUE",IF(I788&lt;=K788,"⚡ ATTENTION","✓ OK"))))</f>
        <v/>
      </c>
    </row>
    <row r="789">
      <c r="N789">
        <f>IF(G789="","",IF(I789&lt;=0,"⚠️ RUPTURE",IF(I789&lt;=J789,"⚠️ CRITIQUE",IF(I789&lt;=K789,"⚡ ATTENTION","✓ OK"))))</f>
        <v/>
      </c>
    </row>
    <row r="790">
      <c r="N790">
        <f>IF(G790="","",IF(I790&lt;=0,"⚠️ RUPTURE",IF(I790&lt;=J790,"⚠️ CRITIQUE",IF(I790&lt;=K790,"⚡ ATTENTION","✓ OK"))))</f>
        <v/>
      </c>
    </row>
    <row r="791">
      <c r="N791">
        <f>IF(G791="","",IF(I791&lt;=0,"⚠️ RUPTURE",IF(I791&lt;=J791,"⚠️ CRITIQUE",IF(I791&lt;=K791,"⚡ ATTENTION","✓ OK"))))</f>
        <v/>
      </c>
    </row>
    <row r="792">
      <c r="N792">
        <f>IF(G792="","",IF(I792&lt;=0,"⚠️ RUPTURE",IF(I792&lt;=J792,"⚠️ CRITIQUE",IF(I792&lt;=K792,"⚡ ATTENTION","✓ OK"))))</f>
        <v/>
      </c>
    </row>
    <row r="793">
      <c r="N793">
        <f>IF(G793="","",IF(I793&lt;=0,"⚠️ RUPTURE",IF(I793&lt;=J793,"⚠️ CRITIQUE",IF(I793&lt;=K793,"⚡ ATTENTION","✓ OK"))))</f>
        <v/>
      </c>
    </row>
    <row r="794">
      <c r="N794">
        <f>IF(G794="","",IF(I794&lt;=0,"⚠️ RUPTURE",IF(I794&lt;=J794,"⚠️ CRITIQUE",IF(I794&lt;=K794,"⚡ ATTENTION","✓ OK"))))</f>
        <v/>
      </c>
    </row>
    <row r="795">
      <c r="N795">
        <f>IF(G795="","",IF(I795&lt;=0,"⚠️ RUPTURE",IF(I795&lt;=J795,"⚠️ CRITIQUE",IF(I795&lt;=K795,"⚡ ATTENTION","✓ OK"))))</f>
        <v/>
      </c>
    </row>
    <row r="796">
      <c r="N796">
        <f>IF(G796="","",IF(I796&lt;=0,"⚠️ RUPTURE",IF(I796&lt;=J796,"⚠️ CRITIQUE",IF(I796&lt;=K796,"⚡ ATTENTION","✓ OK"))))</f>
        <v/>
      </c>
    </row>
    <row r="797">
      <c r="N797">
        <f>IF(G797="","",IF(I797&lt;=0,"⚠️ RUPTURE",IF(I797&lt;=J797,"⚠️ CRITIQUE",IF(I797&lt;=K797,"⚡ ATTENTION","✓ OK"))))</f>
        <v/>
      </c>
    </row>
    <row r="798">
      <c r="N798">
        <f>IF(G798="","",IF(I798&lt;=0,"⚠️ RUPTURE",IF(I798&lt;=J798,"⚠️ CRITIQUE",IF(I798&lt;=K798,"⚡ ATTENTION","✓ OK"))))</f>
        <v/>
      </c>
    </row>
    <row r="799">
      <c r="N799">
        <f>IF(G799="","",IF(I799&lt;=0,"⚠️ RUPTURE",IF(I799&lt;=J799,"⚠️ CRITIQUE",IF(I799&lt;=K799,"⚡ ATTENTION","✓ OK"))))</f>
        <v/>
      </c>
    </row>
    <row r="800">
      <c r="N800">
        <f>IF(G800="","",IF(I800&lt;=0,"⚠️ RUPTURE",IF(I800&lt;=J800,"⚠️ CRITIQUE",IF(I800&lt;=K800,"⚡ ATTENTION","✓ OK"))))</f>
        <v/>
      </c>
    </row>
    <row r="801">
      <c r="N801">
        <f>IF(G801="","",IF(I801&lt;=0,"⚠️ RUPTURE",IF(I801&lt;=J801,"⚠️ CRITIQUE",IF(I801&lt;=K801,"⚡ ATTENTION","✓ OK"))))</f>
        <v/>
      </c>
    </row>
    <row r="802">
      <c r="N802">
        <f>IF(G802="","",IF(I802&lt;=0,"⚠️ RUPTURE",IF(I802&lt;=J802,"⚠️ CRITIQUE",IF(I802&lt;=K802,"⚡ ATTENTION","✓ OK"))))</f>
        <v/>
      </c>
    </row>
    <row r="803">
      <c r="N803">
        <f>IF(G803="","",IF(I803&lt;=0,"⚠️ RUPTURE",IF(I803&lt;=J803,"⚠️ CRITIQUE",IF(I803&lt;=K803,"⚡ ATTENTION","✓ OK"))))</f>
        <v/>
      </c>
    </row>
    <row r="804">
      <c r="N804">
        <f>IF(G804="","",IF(I804&lt;=0,"⚠️ RUPTURE",IF(I804&lt;=J804,"⚠️ CRITIQUE",IF(I804&lt;=K804,"⚡ ATTENTION","✓ OK"))))</f>
        <v/>
      </c>
    </row>
    <row r="805">
      <c r="N805">
        <f>IF(G805="","",IF(I805&lt;=0,"⚠️ RUPTURE",IF(I805&lt;=J805,"⚠️ CRITIQUE",IF(I805&lt;=K805,"⚡ ATTENTION","✓ OK"))))</f>
        <v/>
      </c>
    </row>
    <row r="806">
      <c r="N806">
        <f>IF(G806="","",IF(I806&lt;=0,"⚠️ RUPTURE",IF(I806&lt;=J806,"⚠️ CRITIQUE",IF(I806&lt;=K806,"⚡ ATTENTION","✓ OK"))))</f>
        <v/>
      </c>
    </row>
    <row r="807">
      <c r="N807">
        <f>IF(G807="","",IF(I807&lt;=0,"⚠️ RUPTURE",IF(I807&lt;=J807,"⚠️ CRITIQUE",IF(I807&lt;=K807,"⚡ ATTENTION","✓ OK"))))</f>
        <v/>
      </c>
    </row>
    <row r="808">
      <c r="N808">
        <f>IF(G808="","",IF(I808&lt;=0,"⚠️ RUPTURE",IF(I808&lt;=J808,"⚠️ CRITIQUE",IF(I808&lt;=K808,"⚡ ATTENTION","✓ OK"))))</f>
        <v/>
      </c>
    </row>
    <row r="809">
      <c r="N809">
        <f>IF(G809="","",IF(I809&lt;=0,"⚠️ RUPTURE",IF(I809&lt;=J809,"⚠️ CRITIQUE",IF(I809&lt;=K809,"⚡ ATTENTION","✓ OK"))))</f>
        <v/>
      </c>
    </row>
    <row r="810">
      <c r="N810">
        <f>IF(G810="","",IF(I810&lt;=0,"⚠️ RUPTURE",IF(I810&lt;=J810,"⚠️ CRITIQUE",IF(I810&lt;=K810,"⚡ ATTENTION","✓ OK"))))</f>
        <v/>
      </c>
    </row>
    <row r="811">
      <c r="N811">
        <f>IF(G811="","",IF(I811&lt;=0,"⚠️ RUPTURE",IF(I811&lt;=J811,"⚠️ CRITIQUE",IF(I811&lt;=K811,"⚡ ATTENTION","✓ OK"))))</f>
        <v/>
      </c>
    </row>
    <row r="812">
      <c r="N812">
        <f>IF(G812="","",IF(I812&lt;=0,"⚠️ RUPTURE",IF(I812&lt;=J812,"⚠️ CRITIQUE",IF(I812&lt;=K812,"⚡ ATTENTION","✓ OK"))))</f>
        <v/>
      </c>
    </row>
    <row r="813">
      <c r="N813">
        <f>IF(G813="","",IF(I813&lt;=0,"⚠️ RUPTURE",IF(I813&lt;=J813,"⚠️ CRITIQUE",IF(I813&lt;=K813,"⚡ ATTENTION","✓ OK"))))</f>
        <v/>
      </c>
    </row>
    <row r="814">
      <c r="N814">
        <f>IF(G814="","",IF(I814&lt;=0,"⚠️ RUPTURE",IF(I814&lt;=J814,"⚠️ CRITIQUE",IF(I814&lt;=K814,"⚡ ATTENTION","✓ OK"))))</f>
        <v/>
      </c>
    </row>
    <row r="815">
      <c r="N815">
        <f>IF(G815="","",IF(I815&lt;=0,"⚠️ RUPTURE",IF(I815&lt;=J815,"⚠️ CRITIQUE",IF(I815&lt;=K815,"⚡ ATTENTION","✓ OK"))))</f>
        <v/>
      </c>
    </row>
    <row r="816">
      <c r="N816">
        <f>IF(G816="","",IF(I816&lt;=0,"⚠️ RUPTURE",IF(I816&lt;=J816,"⚠️ CRITIQUE",IF(I816&lt;=K816,"⚡ ATTENTION","✓ OK"))))</f>
        <v/>
      </c>
    </row>
    <row r="817">
      <c r="N817">
        <f>IF(G817="","",IF(I817&lt;=0,"⚠️ RUPTURE",IF(I817&lt;=J817,"⚠️ CRITIQUE",IF(I817&lt;=K817,"⚡ ATTENTION","✓ OK"))))</f>
        <v/>
      </c>
    </row>
    <row r="818">
      <c r="N818">
        <f>IF(G818="","",IF(I818&lt;=0,"⚠️ RUPTURE",IF(I818&lt;=J818,"⚠️ CRITIQUE",IF(I818&lt;=K818,"⚡ ATTENTION","✓ OK"))))</f>
        <v/>
      </c>
    </row>
    <row r="819">
      <c r="N819">
        <f>IF(G819="","",IF(I819&lt;=0,"⚠️ RUPTURE",IF(I819&lt;=J819,"⚠️ CRITIQUE",IF(I819&lt;=K819,"⚡ ATTENTION","✓ OK"))))</f>
        <v/>
      </c>
    </row>
    <row r="820">
      <c r="N820">
        <f>IF(G820="","",IF(I820&lt;=0,"⚠️ RUPTURE",IF(I820&lt;=J820,"⚠️ CRITIQUE",IF(I820&lt;=K820,"⚡ ATTENTION","✓ OK"))))</f>
        <v/>
      </c>
    </row>
    <row r="821">
      <c r="N821">
        <f>IF(G821="","",IF(I821&lt;=0,"⚠️ RUPTURE",IF(I821&lt;=J821,"⚠️ CRITIQUE",IF(I821&lt;=K821,"⚡ ATTENTION","✓ OK"))))</f>
        <v/>
      </c>
    </row>
    <row r="822">
      <c r="N822">
        <f>IF(G822="","",IF(I822&lt;=0,"⚠️ RUPTURE",IF(I822&lt;=J822,"⚠️ CRITIQUE",IF(I822&lt;=K822,"⚡ ATTENTION","✓ OK"))))</f>
        <v/>
      </c>
    </row>
    <row r="823">
      <c r="N823">
        <f>IF(G823="","",IF(I823&lt;=0,"⚠️ RUPTURE",IF(I823&lt;=J823,"⚠️ CRITIQUE",IF(I823&lt;=K823,"⚡ ATTENTION","✓ OK"))))</f>
        <v/>
      </c>
    </row>
    <row r="824">
      <c r="N824">
        <f>IF(G824="","",IF(I824&lt;=0,"⚠️ RUPTURE",IF(I824&lt;=J824,"⚠️ CRITIQUE",IF(I824&lt;=K824,"⚡ ATTENTION","✓ OK"))))</f>
        <v/>
      </c>
    </row>
    <row r="825">
      <c r="N825">
        <f>IF(G825="","",IF(I825&lt;=0,"⚠️ RUPTURE",IF(I825&lt;=J825,"⚠️ CRITIQUE",IF(I825&lt;=K825,"⚡ ATTENTION","✓ OK"))))</f>
        <v/>
      </c>
    </row>
    <row r="826">
      <c r="N826">
        <f>IF(G826="","",IF(I826&lt;=0,"⚠️ RUPTURE",IF(I826&lt;=J826,"⚠️ CRITIQUE",IF(I826&lt;=K826,"⚡ ATTENTION","✓ OK"))))</f>
        <v/>
      </c>
    </row>
    <row r="827">
      <c r="N827">
        <f>IF(G827="","",IF(I827&lt;=0,"⚠️ RUPTURE",IF(I827&lt;=J827,"⚠️ CRITIQUE",IF(I827&lt;=K827,"⚡ ATTENTION","✓ OK"))))</f>
        <v/>
      </c>
    </row>
    <row r="828">
      <c r="N828">
        <f>IF(G828="","",IF(I828&lt;=0,"⚠️ RUPTURE",IF(I828&lt;=J828,"⚠️ CRITIQUE",IF(I828&lt;=K828,"⚡ ATTENTION","✓ OK"))))</f>
        <v/>
      </c>
    </row>
    <row r="829">
      <c r="N829">
        <f>IF(G829="","",IF(I829&lt;=0,"⚠️ RUPTURE",IF(I829&lt;=J829,"⚠️ CRITIQUE",IF(I829&lt;=K829,"⚡ ATTENTION","✓ OK"))))</f>
        <v/>
      </c>
    </row>
    <row r="830">
      <c r="N830">
        <f>IF(G830="","",IF(I830&lt;=0,"⚠️ RUPTURE",IF(I830&lt;=J830,"⚠️ CRITIQUE",IF(I830&lt;=K830,"⚡ ATTENTION","✓ OK"))))</f>
        <v/>
      </c>
    </row>
    <row r="831">
      <c r="N831">
        <f>IF(G831="","",IF(I831&lt;=0,"⚠️ RUPTURE",IF(I831&lt;=J831,"⚠️ CRITIQUE",IF(I831&lt;=K831,"⚡ ATTENTION","✓ OK"))))</f>
        <v/>
      </c>
    </row>
    <row r="832">
      <c r="N832">
        <f>IF(G832="","",IF(I832&lt;=0,"⚠️ RUPTURE",IF(I832&lt;=J832,"⚠️ CRITIQUE",IF(I832&lt;=K832,"⚡ ATTENTION","✓ OK"))))</f>
        <v/>
      </c>
    </row>
    <row r="833">
      <c r="N833">
        <f>IF(G833="","",IF(I833&lt;=0,"⚠️ RUPTURE",IF(I833&lt;=J833,"⚠️ CRITIQUE",IF(I833&lt;=K833,"⚡ ATTENTION","✓ OK"))))</f>
        <v/>
      </c>
    </row>
    <row r="834">
      <c r="N834">
        <f>IF(G834="","",IF(I834&lt;=0,"⚠️ RUPTURE",IF(I834&lt;=J834,"⚠️ CRITIQUE",IF(I834&lt;=K834,"⚡ ATTENTION","✓ OK"))))</f>
        <v/>
      </c>
    </row>
    <row r="835">
      <c r="N835">
        <f>IF(G835="","",IF(I835&lt;=0,"⚠️ RUPTURE",IF(I835&lt;=J835,"⚠️ CRITIQUE",IF(I835&lt;=K835,"⚡ ATTENTION","✓ OK"))))</f>
        <v/>
      </c>
    </row>
    <row r="836">
      <c r="N836">
        <f>IF(G836="","",IF(I836&lt;=0,"⚠️ RUPTURE",IF(I836&lt;=J836,"⚠️ CRITIQUE",IF(I836&lt;=K836,"⚡ ATTENTION","✓ OK"))))</f>
        <v/>
      </c>
    </row>
    <row r="837">
      <c r="N837">
        <f>IF(G837="","",IF(I837&lt;=0,"⚠️ RUPTURE",IF(I837&lt;=J837,"⚠️ CRITIQUE",IF(I837&lt;=K837,"⚡ ATTENTION","✓ OK"))))</f>
        <v/>
      </c>
    </row>
    <row r="838">
      <c r="N838">
        <f>IF(G838="","",IF(I838&lt;=0,"⚠️ RUPTURE",IF(I838&lt;=J838,"⚠️ CRITIQUE",IF(I838&lt;=K838,"⚡ ATTENTION","✓ OK"))))</f>
        <v/>
      </c>
    </row>
    <row r="839">
      <c r="N839">
        <f>IF(G839="","",IF(I839&lt;=0,"⚠️ RUPTURE",IF(I839&lt;=J839,"⚠️ CRITIQUE",IF(I839&lt;=K839,"⚡ ATTENTION","✓ OK"))))</f>
        <v/>
      </c>
    </row>
    <row r="840">
      <c r="N840">
        <f>IF(G840="","",IF(I840&lt;=0,"⚠️ RUPTURE",IF(I840&lt;=J840,"⚠️ CRITIQUE",IF(I840&lt;=K840,"⚡ ATTENTION","✓ OK"))))</f>
        <v/>
      </c>
    </row>
    <row r="841">
      <c r="N841">
        <f>IF(G841="","",IF(I841&lt;=0,"⚠️ RUPTURE",IF(I841&lt;=J841,"⚠️ CRITIQUE",IF(I841&lt;=K841,"⚡ ATTENTION","✓ OK"))))</f>
        <v/>
      </c>
    </row>
    <row r="842">
      <c r="N842">
        <f>IF(G842="","",IF(I842&lt;=0,"⚠️ RUPTURE",IF(I842&lt;=J842,"⚠️ CRITIQUE",IF(I842&lt;=K842,"⚡ ATTENTION","✓ OK"))))</f>
        <v/>
      </c>
    </row>
    <row r="843">
      <c r="N843">
        <f>IF(G843="","",IF(I843&lt;=0,"⚠️ RUPTURE",IF(I843&lt;=J843,"⚠️ CRITIQUE",IF(I843&lt;=K843,"⚡ ATTENTION","✓ OK"))))</f>
        <v/>
      </c>
    </row>
    <row r="844">
      <c r="N844">
        <f>IF(G844="","",IF(I844&lt;=0,"⚠️ RUPTURE",IF(I844&lt;=J844,"⚠️ CRITIQUE",IF(I844&lt;=K844,"⚡ ATTENTION","✓ OK"))))</f>
        <v/>
      </c>
    </row>
    <row r="845">
      <c r="N845">
        <f>IF(G845="","",IF(I845&lt;=0,"⚠️ RUPTURE",IF(I845&lt;=J845,"⚠️ CRITIQUE",IF(I845&lt;=K845,"⚡ ATTENTION","✓ OK"))))</f>
        <v/>
      </c>
    </row>
    <row r="846">
      <c r="N846">
        <f>IF(G846="","",IF(I846&lt;=0,"⚠️ RUPTURE",IF(I846&lt;=J846,"⚠️ CRITIQUE",IF(I846&lt;=K846,"⚡ ATTENTION","✓ OK"))))</f>
        <v/>
      </c>
    </row>
    <row r="847">
      <c r="N847">
        <f>IF(G847="","",IF(I847&lt;=0,"⚠️ RUPTURE",IF(I847&lt;=J847,"⚠️ CRITIQUE",IF(I847&lt;=K847,"⚡ ATTENTION","✓ OK"))))</f>
        <v/>
      </c>
    </row>
    <row r="848">
      <c r="N848">
        <f>IF(G848="","",IF(I848&lt;=0,"⚠️ RUPTURE",IF(I848&lt;=J848,"⚠️ CRITIQUE",IF(I848&lt;=K848,"⚡ ATTENTION","✓ OK"))))</f>
        <v/>
      </c>
    </row>
    <row r="849">
      <c r="N849">
        <f>IF(G849="","",IF(I849&lt;=0,"⚠️ RUPTURE",IF(I849&lt;=J849,"⚠️ CRITIQUE",IF(I849&lt;=K849,"⚡ ATTENTION","✓ OK"))))</f>
        <v/>
      </c>
    </row>
    <row r="850">
      <c r="N850">
        <f>IF(G850="","",IF(I850&lt;=0,"⚠️ RUPTURE",IF(I850&lt;=J850,"⚠️ CRITIQUE",IF(I850&lt;=K850,"⚡ ATTENTION","✓ OK"))))</f>
        <v/>
      </c>
    </row>
    <row r="851">
      <c r="N851">
        <f>IF(G851="","",IF(I851&lt;=0,"⚠️ RUPTURE",IF(I851&lt;=J851,"⚠️ CRITIQUE",IF(I851&lt;=K851,"⚡ ATTENTION","✓ OK"))))</f>
        <v/>
      </c>
    </row>
    <row r="852">
      <c r="N852">
        <f>IF(G852="","",IF(I852&lt;=0,"⚠️ RUPTURE",IF(I852&lt;=J852,"⚠️ CRITIQUE",IF(I852&lt;=K852,"⚡ ATTENTION","✓ OK"))))</f>
        <v/>
      </c>
    </row>
    <row r="853">
      <c r="N853">
        <f>IF(G853="","",IF(I853&lt;=0,"⚠️ RUPTURE",IF(I853&lt;=J853,"⚠️ CRITIQUE",IF(I853&lt;=K853,"⚡ ATTENTION","✓ OK"))))</f>
        <v/>
      </c>
    </row>
    <row r="854">
      <c r="N854">
        <f>IF(G854="","",IF(I854&lt;=0,"⚠️ RUPTURE",IF(I854&lt;=J854,"⚠️ CRITIQUE",IF(I854&lt;=K854,"⚡ ATTENTION","✓ OK"))))</f>
        <v/>
      </c>
    </row>
    <row r="855">
      <c r="N855">
        <f>IF(G855="","",IF(I855&lt;=0,"⚠️ RUPTURE",IF(I855&lt;=J855,"⚠️ CRITIQUE",IF(I855&lt;=K855,"⚡ ATTENTION","✓ OK"))))</f>
        <v/>
      </c>
    </row>
    <row r="856">
      <c r="N856">
        <f>IF(G856="","",IF(I856&lt;=0,"⚠️ RUPTURE",IF(I856&lt;=J856,"⚠️ CRITIQUE",IF(I856&lt;=K856,"⚡ ATTENTION","✓ OK"))))</f>
        <v/>
      </c>
    </row>
    <row r="857">
      <c r="N857">
        <f>IF(G857="","",IF(I857&lt;=0,"⚠️ RUPTURE",IF(I857&lt;=J857,"⚠️ CRITIQUE",IF(I857&lt;=K857,"⚡ ATTENTION","✓ OK"))))</f>
        <v/>
      </c>
    </row>
    <row r="858">
      <c r="N858">
        <f>IF(G858="","",IF(I858&lt;=0,"⚠️ RUPTURE",IF(I858&lt;=J858,"⚠️ CRITIQUE",IF(I858&lt;=K858,"⚡ ATTENTION","✓ OK"))))</f>
        <v/>
      </c>
    </row>
    <row r="859">
      <c r="N859">
        <f>IF(G859="","",IF(I859&lt;=0,"⚠️ RUPTURE",IF(I859&lt;=J859,"⚠️ CRITIQUE",IF(I859&lt;=K859,"⚡ ATTENTION","✓ OK"))))</f>
        <v/>
      </c>
    </row>
    <row r="860">
      <c r="N860">
        <f>IF(G860="","",IF(I860&lt;=0,"⚠️ RUPTURE",IF(I860&lt;=J860,"⚠️ CRITIQUE",IF(I860&lt;=K860,"⚡ ATTENTION","✓ OK"))))</f>
        <v/>
      </c>
    </row>
    <row r="861">
      <c r="N861">
        <f>IF(G861="","",IF(I861&lt;=0,"⚠️ RUPTURE",IF(I861&lt;=J861,"⚠️ CRITIQUE",IF(I861&lt;=K861,"⚡ ATTENTION","✓ OK"))))</f>
        <v/>
      </c>
    </row>
    <row r="862">
      <c r="N862">
        <f>IF(G862="","",IF(I862&lt;=0,"⚠️ RUPTURE",IF(I862&lt;=J862,"⚠️ CRITIQUE",IF(I862&lt;=K862,"⚡ ATTENTION","✓ OK"))))</f>
        <v/>
      </c>
    </row>
    <row r="863">
      <c r="N863">
        <f>IF(G863="","",IF(I863&lt;=0,"⚠️ RUPTURE",IF(I863&lt;=J863,"⚠️ CRITIQUE",IF(I863&lt;=K863,"⚡ ATTENTION","✓ OK"))))</f>
        <v/>
      </c>
    </row>
    <row r="864">
      <c r="N864">
        <f>IF(G864="","",IF(I864&lt;=0,"⚠️ RUPTURE",IF(I864&lt;=J864,"⚠️ CRITIQUE",IF(I864&lt;=K864,"⚡ ATTENTION","✓ OK"))))</f>
        <v/>
      </c>
    </row>
    <row r="865">
      <c r="N865">
        <f>IF(G865="","",IF(I865&lt;=0,"⚠️ RUPTURE",IF(I865&lt;=J865,"⚠️ CRITIQUE",IF(I865&lt;=K865,"⚡ ATTENTION","✓ OK"))))</f>
        <v/>
      </c>
    </row>
    <row r="866">
      <c r="N866">
        <f>IF(G866="","",IF(I866&lt;=0,"⚠️ RUPTURE",IF(I866&lt;=J866,"⚠️ CRITIQUE",IF(I866&lt;=K866,"⚡ ATTENTION","✓ OK"))))</f>
        <v/>
      </c>
    </row>
    <row r="867">
      <c r="N867">
        <f>IF(G867="","",IF(I867&lt;=0,"⚠️ RUPTURE",IF(I867&lt;=J867,"⚠️ CRITIQUE",IF(I867&lt;=K867,"⚡ ATTENTION","✓ OK"))))</f>
        <v/>
      </c>
    </row>
    <row r="868">
      <c r="N868">
        <f>IF(G868="","",IF(I868&lt;=0,"⚠️ RUPTURE",IF(I868&lt;=J868,"⚠️ CRITIQUE",IF(I868&lt;=K868,"⚡ ATTENTION","✓ OK"))))</f>
        <v/>
      </c>
    </row>
    <row r="869">
      <c r="N869">
        <f>IF(G869="","",IF(I869&lt;=0,"⚠️ RUPTURE",IF(I869&lt;=J869,"⚠️ CRITIQUE",IF(I869&lt;=K869,"⚡ ATTENTION","✓ OK"))))</f>
        <v/>
      </c>
    </row>
    <row r="870">
      <c r="N870">
        <f>IF(G870="","",IF(I870&lt;=0,"⚠️ RUPTURE",IF(I870&lt;=J870,"⚠️ CRITIQUE",IF(I870&lt;=K870,"⚡ ATTENTION","✓ OK"))))</f>
        <v/>
      </c>
    </row>
    <row r="871">
      <c r="N871">
        <f>IF(G871="","",IF(I871&lt;=0,"⚠️ RUPTURE",IF(I871&lt;=J871,"⚠️ CRITIQUE",IF(I871&lt;=K871,"⚡ ATTENTION","✓ OK"))))</f>
        <v/>
      </c>
    </row>
    <row r="872">
      <c r="N872">
        <f>IF(G872="","",IF(I872&lt;=0,"⚠️ RUPTURE",IF(I872&lt;=J872,"⚠️ CRITIQUE",IF(I872&lt;=K872,"⚡ ATTENTION","✓ OK"))))</f>
        <v/>
      </c>
    </row>
    <row r="873">
      <c r="N873">
        <f>IF(G873="","",IF(I873&lt;=0,"⚠️ RUPTURE",IF(I873&lt;=J873,"⚠️ CRITIQUE",IF(I873&lt;=K873,"⚡ ATTENTION","✓ OK"))))</f>
        <v/>
      </c>
    </row>
    <row r="874">
      <c r="N874">
        <f>IF(G874="","",IF(I874&lt;=0,"⚠️ RUPTURE",IF(I874&lt;=J874,"⚠️ CRITIQUE",IF(I874&lt;=K874,"⚡ ATTENTION","✓ OK"))))</f>
        <v/>
      </c>
    </row>
    <row r="875">
      <c r="N875">
        <f>IF(G875="","",IF(I875&lt;=0,"⚠️ RUPTURE",IF(I875&lt;=J875,"⚠️ CRITIQUE",IF(I875&lt;=K875,"⚡ ATTENTION","✓ OK"))))</f>
        <v/>
      </c>
    </row>
    <row r="876">
      <c r="N876">
        <f>IF(G876="","",IF(I876&lt;=0,"⚠️ RUPTURE",IF(I876&lt;=J876,"⚠️ CRITIQUE",IF(I876&lt;=K876,"⚡ ATTENTION","✓ OK"))))</f>
        <v/>
      </c>
    </row>
    <row r="877">
      <c r="N877">
        <f>IF(G877="","",IF(I877&lt;=0,"⚠️ RUPTURE",IF(I877&lt;=J877,"⚠️ CRITIQUE",IF(I877&lt;=K877,"⚡ ATTENTION","✓ OK"))))</f>
        <v/>
      </c>
    </row>
    <row r="878">
      <c r="N878">
        <f>IF(G878="","",IF(I878&lt;=0,"⚠️ RUPTURE",IF(I878&lt;=J878,"⚠️ CRITIQUE",IF(I878&lt;=K878,"⚡ ATTENTION","✓ OK"))))</f>
        <v/>
      </c>
    </row>
    <row r="879">
      <c r="N879">
        <f>IF(G879="","",IF(I879&lt;=0,"⚠️ RUPTURE",IF(I879&lt;=J879,"⚠️ CRITIQUE",IF(I879&lt;=K879,"⚡ ATTENTION","✓ OK"))))</f>
        <v/>
      </c>
    </row>
    <row r="880">
      <c r="N880">
        <f>IF(G880="","",IF(I880&lt;=0,"⚠️ RUPTURE",IF(I880&lt;=J880,"⚠️ CRITIQUE",IF(I880&lt;=K880,"⚡ ATTENTION","✓ OK"))))</f>
        <v/>
      </c>
    </row>
    <row r="881">
      <c r="N881">
        <f>IF(G881="","",IF(I881&lt;=0,"⚠️ RUPTURE",IF(I881&lt;=J881,"⚠️ CRITIQUE",IF(I881&lt;=K881,"⚡ ATTENTION","✓ OK"))))</f>
        <v/>
      </c>
    </row>
    <row r="882">
      <c r="N882">
        <f>IF(G882="","",IF(I882&lt;=0,"⚠️ RUPTURE",IF(I882&lt;=J882,"⚠️ CRITIQUE",IF(I882&lt;=K882,"⚡ ATTENTION","✓ OK"))))</f>
        <v/>
      </c>
    </row>
    <row r="883">
      <c r="N883">
        <f>IF(G883="","",IF(I883&lt;=0,"⚠️ RUPTURE",IF(I883&lt;=J883,"⚠️ CRITIQUE",IF(I883&lt;=K883,"⚡ ATTENTION","✓ OK"))))</f>
        <v/>
      </c>
    </row>
    <row r="884">
      <c r="N884">
        <f>IF(G884="","",IF(I884&lt;=0,"⚠️ RUPTURE",IF(I884&lt;=J884,"⚠️ CRITIQUE",IF(I884&lt;=K884,"⚡ ATTENTION","✓ OK"))))</f>
        <v/>
      </c>
    </row>
    <row r="885">
      <c r="N885">
        <f>IF(G885="","",IF(I885&lt;=0,"⚠️ RUPTURE",IF(I885&lt;=J885,"⚠️ CRITIQUE",IF(I885&lt;=K885,"⚡ ATTENTION","✓ OK"))))</f>
        <v/>
      </c>
    </row>
    <row r="886">
      <c r="N886">
        <f>IF(G886="","",IF(I886&lt;=0,"⚠️ RUPTURE",IF(I886&lt;=J886,"⚠️ CRITIQUE",IF(I886&lt;=K886,"⚡ ATTENTION","✓ OK"))))</f>
        <v/>
      </c>
    </row>
    <row r="887">
      <c r="N887">
        <f>IF(G887="","",IF(I887&lt;=0,"⚠️ RUPTURE",IF(I887&lt;=J887,"⚠️ CRITIQUE",IF(I887&lt;=K887,"⚡ ATTENTION","✓ OK"))))</f>
        <v/>
      </c>
    </row>
    <row r="888">
      <c r="N888">
        <f>IF(G888="","",IF(I888&lt;=0,"⚠️ RUPTURE",IF(I888&lt;=J888,"⚠️ CRITIQUE",IF(I888&lt;=K888,"⚡ ATTENTION","✓ OK"))))</f>
        <v/>
      </c>
    </row>
    <row r="889">
      <c r="N889">
        <f>IF(G889="","",IF(I889&lt;=0,"⚠️ RUPTURE",IF(I889&lt;=J889,"⚠️ CRITIQUE",IF(I889&lt;=K889,"⚡ ATTENTION","✓ OK"))))</f>
        <v/>
      </c>
    </row>
    <row r="890">
      <c r="N890">
        <f>IF(G890="","",IF(I890&lt;=0,"⚠️ RUPTURE",IF(I890&lt;=J890,"⚠️ CRITIQUE",IF(I890&lt;=K890,"⚡ ATTENTION","✓ OK"))))</f>
        <v/>
      </c>
    </row>
    <row r="891">
      <c r="N891">
        <f>IF(G891="","",IF(I891&lt;=0,"⚠️ RUPTURE",IF(I891&lt;=J891,"⚠️ CRITIQUE",IF(I891&lt;=K891,"⚡ ATTENTION","✓ OK"))))</f>
        <v/>
      </c>
    </row>
    <row r="892">
      <c r="N892">
        <f>IF(G892="","",IF(I892&lt;=0,"⚠️ RUPTURE",IF(I892&lt;=J892,"⚠️ CRITIQUE",IF(I892&lt;=K892,"⚡ ATTENTION","✓ OK"))))</f>
        <v/>
      </c>
    </row>
    <row r="893">
      <c r="N893">
        <f>IF(G893="","",IF(I893&lt;=0,"⚠️ RUPTURE",IF(I893&lt;=J893,"⚠️ CRITIQUE",IF(I893&lt;=K893,"⚡ ATTENTION","✓ OK"))))</f>
        <v/>
      </c>
    </row>
    <row r="894">
      <c r="N894">
        <f>IF(G894="","",IF(I894&lt;=0,"⚠️ RUPTURE",IF(I894&lt;=J894,"⚠️ CRITIQUE",IF(I894&lt;=K894,"⚡ ATTENTION","✓ OK"))))</f>
        <v/>
      </c>
    </row>
    <row r="895">
      <c r="N895">
        <f>IF(G895="","",IF(I895&lt;=0,"⚠️ RUPTURE",IF(I895&lt;=J895,"⚠️ CRITIQUE",IF(I895&lt;=K895,"⚡ ATTENTION","✓ OK"))))</f>
        <v/>
      </c>
    </row>
    <row r="896">
      <c r="N896">
        <f>IF(G896="","",IF(I896&lt;=0,"⚠️ RUPTURE",IF(I896&lt;=J896,"⚠️ CRITIQUE",IF(I896&lt;=K896,"⚡ ATTENTION","✓ OK"))))</f>
        <v/>
      </c>
    </row>
    <row r="897">
      <c r="N897">
        <f>IF(G897="","",IF(I897&lt;=0,"⚠️ RUPTURE",IF(I897&lt;=J897,"⚠️ CRITIQUE",IF(I897&lt;=K897,"⚡ ATTENTION","✓ OK"))))</f>
        <v/>
      </c>
    </row>
    <row r="898">
      <c r="N898">
        <f>IF(G898="","",IF(I898&lt;=0,"⚠️ RUPTURE",IF(I898&lt;=J898,"⚠️ CRITIQUE",IF(I898&lt;=K898,"⚡ ATTENTION","✓ OK"))))</f>
        <v/>
      </c>
    </row>
    <row r="899">
      <c r="N899">
        <f>IF(G899="","",IF(I899&lt;=0,"⚠️ RUPTURE",IF(I899&lt;=J899,"⚠️ CRITIQUE",IF(I899&lt;=K899,"⚡ ATTENTION","✓ OK"))))</f>
        <v/>
      </c>
    </row>
    <row r="900">
      <c r="N900">
        <f>IF(G900="","",IF(I900&lt;=0,"⚠️ RUPTURE",IF(I900&lt;=J900,"⚠️ CRITIQUE",IF(I900&lt;=K900,"⚡ ATTENTION","✓ OK"))))</f>
        <v/>
      </c>
    </row>
    <row r="901">
      <c r="N901">
        <f>IF(G901="","",IF(I901&lt;=0,"⚠️ RUPTURE",IF(I901&lt;=J901,"⚠️ CRITIQUE",IF(I901&lt;=K901,"⚡ ATTENTION","✓ OK"))))</f>
        <v/>
      </c>
    </row>
    <row r="902">
      <c r="N902">
        <f>IF(G902="","",IF(I902&lt;=0,"⚠️ RUPTURE",IF(I902&lt;=J902,"⚠️ CRITIQUE",IF(I902&lt;=K902,"⚡ ATTENTION","✓ OK"))))</f>
        <v/>
      </c>
    </row>
    <row r="903">
      <c r="N903">
        <f>IF(G903="","",IF(I903&lt;=0,"⚠️ RUPTURE",IF(I903&lt;=J903,"⚠️ CRITIQUE",IF(I903&lt;=K903,"⚡ ATTENTION","✓ OK"))))</f>
        <v/>
      </c>
    </row>
    <row r="904">
      <c r="N904">
        <f>IF(G904="","",IF(I904&lt;=0,"⚠️ RUPTURE",IF(I904&lt;=J904,"⚠️ CRITIQUE",IF(I904&lt;=K904,"⚡ ATTENTION","✓ OK"))))</f>
        <v/>
      </c>
    </row>
    <row r="905">
      <c r="N905">
        <f>IF(G905="","",IF(I905&lt;=0,"⚠️ RUPTURE",IF(I905&lt;=J905,"⚠️ CRITIQUE",IF(I905&lt;=K905,"⚡ ATTENTION","✓ OK"))))</f>
        <v/>
      </c>
    </row>
    <row r="906">
      <c r="N906">
        <f>IF(G906="","",IF(I906&lt;=0,"⚠️ RUPTURE",IF(I906&lt;=J906,"⚠️ CRITIQUE",IF(I906&lt;=K906,"⚡ ATTENTION","✓ OK"))))</f>
        <v/>
      </c>
    </row>
    <row r="907">
      <c r="N907">
        <f>IF(G907="","",IF(I907&lt;=0,"⚠️ RUPTURE",IF(I907&lt;=J907,"⚠️ CRITIQUE",IF(I907&lt;=K907,"⚡ ATTENTION","✓ OK"))))</f>
        <v/>
      </c>
    </row>
    <row r="908">
      <c r="N908">
        <f>IF(G908="","",IF(I908&lt;=0,"⚠️ RUPTURE",IF(I908&lt;=J908,"⚠️ CRITIQUE",IF(I908&lt;=K908,"⚡ ATTENTION","✓ OK"))))</f>
        <v/>
      </c>
    </row>
    <row r="909">
      <c r="N909">
        <f>IF(G909="","",IF(I909&lt;=0,"⚠️ RUPTURE",IF(I909&lt;=J909,"⚠️ CRITIQUE",IF(I909&lt;=K909,"⚡ ATTENTION","✓ OK"))))</f>
        <v/>
      </c>
    </row>
    <row r="910">
      <c r="N910">
        <f>IF(G910="","",IF(I910&lt;=0,"⚠️ RUPTURE",IF(I910&lt;=J910,"⚠️ CRITIQUE",IF(I910&lt;=K910,"⚡ ATTENTION","✓ OK"))))</f>
        <v/>
      </c>
    </row>
    <row r="911">
      <c r="N911">
        <f>IF(G911="","",IF(I911&lt;=0,"⚠️ RUPTURE",IF(I911&lt;=J911,"⚠️ CRITIQUE",IF(I911&lt;=K911,"⚡ ATTENTION","✓ OK"))))</f>
        <v/>
      </c>
    </row>
    <row r="912">
      <c r="N912">
        <f>IF(G912="","",IF(I912&lt;=0,"⚠️ RUPTURE",IF(I912&lt;=J912,"⚠️ CRITIQUE",IF(I912&lt;=K912,"⚡ ATTENTION","✓ OK"))))</f>
        <v/>
      </c>
    </row>
    <row r="913">
      <c r="N913">
        <f>IF(G913="","",IF(I913&lt;=0,"⚠️ RUPTURE",IF(I913&lt;=J913,"⚠️ CRITIQUE",IF(I913&lt;=K913,"⚡ ATTENTION","✓ OK"))))</f>
        <v/>
      </c>
    </row>
    <row r="914">
      <c r="N914">
        <f>IF(G914="","",IF(I914&lt;=0,"⚠️ RUPTURE",IF(I914&lt;=J914,"⚠️ CRITIQUE",IF(I914&lt;=K914,"⚡ ATTENTION","✓ OK"))))</f>
        <v/>
      </c>
    </row>
    <row r="915">
      <c r="N915">
        <f>IF(G915="","",IF(I915&lt;=0,"⚠️ RUPTURE",IF(I915&lt;=J915,"⚠️ CRITIQUE",IF(I915&lt;=K915,"⚡ ATTENTION","✓ OK"))))</f>
        <v/>
      </c>
    </row>
    <row r="916">
      <c r="N916">
        <f>IF(G916="","",IF(I916&lt;=0,"⚠️ RUPTURE",IF(I916&lt;=J916,"⚠️ CRITIQUE",IF(I916&lt;=K916,"⚡ ATTENTION","✓ OK"))))</f>
        <v/>
      </c>
    </row>
    <row r="917">
      <c r="N917">
        <f>IF(G917="","",IF(I917&lt;=0,"⚠️ RUPTURE",IF(I917&lt;=J917,"⚠️ CRITIQUE",IF(I917&lt;=K917,"⚡ ATTENTION","✓ OK"))))</f>
        <v/>
      </c>
    </row>
    <row r="918">
      <c r="N918">
        <f>IF(G918="","",IF(I918&lt;=0,"⚠️ RUPTURE",IF(I918&lt;=J918,"⚠️ CRITIQUE",IF(I918&lt;=K918,"⚡ ATTENTION","✓ OK"))))</f>
        <v/>
      </c>
    </row>
    <row r="919">
      <c r="N919">
        <f>IF(G919="","",IF(I919&lt;=0,"⚠️ RUPTURE",IF(I919&lt;=J919,"⚠️ CRITIQUE",IF(I919&lt;=K919,"⚡ ATTENTION","✓ OK"))))</f>
        <v/>
      </c>
    </row>
    <row r="920">
      <c r="N920">
        <f>IF(G920="","",IF(I920&lt;=0,"⚠️ RUPTURE",IF(I920&lt;=J920,"⚠️ CRITIQUE",IF(I920&lt;=K920,"⚡ ATTENTION","✓ OK"))))</f>
        <v/>
      </c>
    </row>
    <row r="921">
      <c r="N921">
        <f>IF(G921="","",IF(I921&lt;=0,"⚠️ RUPTURE",IF(I921&lt;=J921,"⚠️ CRITIQUE",IF(I921&lt;=K921,"⚡ ATTENTION","✓ OK"))))</f>
        <v/>
      </c>
    </row>
    <row r="922">
      <c r="N922">
        <f>IF(G922="","",IF(I922&lt;=0,"⚠️ RUPTURE",IF(I922&lt;=J922,"⚠️ CRITIQUE",IF(I922&lt;=K922,"⚡ ATTENTION","✓ OK"))))</f>
        <v/>
      </c>
    </row>
    <row r="923">
      <c r="N923">
        <f>IF(G923="","",IF(I923&lt;=0,"⚠️ RUPTURE",IF(I923&lt;=J923,"⚠️ CRITIQUE",IF(I923&lt;=K923,"⚡ ATTENTION","✓ OK"))))</f>
        <v/>
      </c>
    </row>
    <row r="924">
      <c r="N924">
        <f>IF(G924="","",IF(I924&lt;=0,"⚠️ RUPTURE",IF(I924&lt;=J924,"⚠️ CRITIQUE",IF(I924&lt;=K924,"⚡ ATTENTION","✓ OK"))))</f>
        <v/>
      </c>
    </row>
    <row r="925">
      <c r="N925">
        <f>IF(G925="","",IF(I925&lt;=0,"⚠️ RUPTURE",IF(I925&lt;=J925,"⚠️ CRITIQUE",IF(I925&lt;=K925,"⚡ ATTENTION","✓ OK"))))</f>
        <v/>
      </c>
    </row>
    <row r="926">
      <c r="N926">
        <f>IF(G926="","",IF(I926&lt;=0,"⚠️ RUPTURE",IF(I926&lt;=J926,"⚠️ CRITIQUE",IF(I926&lt;=K926,"⚡ ATTENTION","✓ OK"))))</f>
        <v/>
      </c>
    </row>
    <row r="927">
      <c r="N927">
        <f>IF(G927="","",IF(I927&lt;=0,"⚠️ RUPTURE",IF(I927&lt;=J927,"⚠️ CRITIQUE",IF(I927&lt;=K927,"⚡ ATTENTION","✓ OK"))))</f>
        <v/>
      </c>
    </row>
    <row r="928">
      <c r="N928">
        <f>IF(G928="","",IF(I928&lt;=0,"⚠️ RUPTURE",IF(I928&lt;=J928,"⚠️ CRITIQUE",IF(I928&lt;=K928,"⚡ ATTENTION","✓ OK"))))</f>
        <v/>
      </c>
    </row>
    <row r="929">
      <c r="N929">
        <f>IF(G929="","",IF(I929&lt;=0,"⚠️ RUPTURE",IF(I929&lt;=J929,"⚠️ CRITIQUE",IF(I929&lt;=K929,"⚡ ATTENTION","✓ OK"))))</f>
        <v/>
      </c>
    </row>
    <row r="930">
      <c r="N930">
        <f>IF(G930="","",IF(I930&lt;=0,"⚠️ RUPTURE",IF(I930&lt;=J930,"⚠️ CRITIQUE",IF(I930&lt;=K930,"⚡ ATTENTION","✓ OK"))))</f>
        <v/>
      </c>
    </row>
    <row r="931">
      <c r="N931">
        <f>IF(G931="","",IF(I931&lt;=0,"⚠️ RUPTURE",IF(I931&lt;=J931,"⚠️ CRITIQUE",IF(I931&lt;=K931,"⚡ ATTENTION","✓ OK"))))</f>
        <v/>
      </c>
    </row>
    <row r="932">
      <c r="N932">
        <f>IF(G932="","",IF(I932&lt;=0,"⚠️ RUPTURE",IF(I932&lt;=J932,"⚠️ CRITIQUE",IF(I932&lt;=K932,"⚡ ATTENTION","✓ OK"))))</f>
        <v/>
      </c>
    </row>
    <row r="933">
      <c r="N933">
        <f>IF(G933="","",IF(I933&lt;=0,"⚠️ RUPTURE",IF(I933&lt;=J933,"⚠️ CRITIQUE",IF(I933&lt;=K933,"⚡ ATTENTION","✓ OK"))))</f>
        <v/>
      </c>
    </row>
    <row r="934">
      <c r="N934">
        <f>IF(G934="","",IF(I934&lt;=0,"⚠️ RUPTURE",IF(I934&lt;=J934,"⚠️ CRITIQUE",IF(I934&lt;=K934,"⚡ ATTENTION","✓ OK"))))</f>
        <v/>
      </c>
    </row>
    <row r="935">
      <c r="N935">
        <f>IF(G935="","",IF(I935&lt;=0,"⚠️ RUPTURE",IF(I935&lt;=J935,"⚠️ CRITIQUE",IF(I935&lt;=K935,"⚡ ATTENTION","✓ OK"))))</f>
        <v/>
      </c>
    </row>
    <row r="936">
      <c r="N936">
        <f>IF(G936="","",IF(I936&lt;=0,"⚠️ RUPTURE",IF(I936&lt;=J936,"⚠️ CRITIQUE",IF(I936&lt;=K936,"⚡ ATTENTION","✓ OK"))))</f>
        <v/>
      </c>
    </row>
    <row r="937">
      <c r="N937">
        <f>IF(G937="","",IF(I937&lt;=0,"⚠️ RUPTURE",IF(I937&lt;=J937,"⚠️ CRITIQUE",IF(I937&lt;=K937,"⚡ ATTENTION","✓ OK"))))</f>
        <v/>
      </c>
    </row>
    <row r="938">
      <c r="N938">
        <f>IF(G938="","",IF(I938&lt;=0,"⚠️ RUPTURE",IF(I938&lt;=J938,"⚠️ CRITIQUE",IF(I938&lt;=K938,"⚡ ATTENTION","✓ OK"))))</f>
        <v/>
      </c>
    </row>
    <row r="939">
      <c r="N939">
        <f>IF(G939="","",IF(I939&lt;=0,"⚠️ RUPTURE",IF(I939&lt;=J939,"⚠️ CRITIQUE",IF(I939&lt;=K939,"⚡ ATTENTION","✓ OK"))))</f>
        <v/>
      </c>
    </row>
    <row r="940">
      <c r="N940">
        <f>IF(G940="","",IF(I940&lt;=0,"⚠️ RUPTURE",IF(I940&lt;=J940,"⚠️ CRITIQUE",IF(I940&lt;=K940,"⚡ ATTENTION","✓ OK"))))</f>
        <v/>
      </c>
    </row>
    <row r="941">
      <c r="N941">
        <f>IF(G941="","",IF(I941&lt;=0,"⚠️ RUPTURE",IF(I941&lt;=J941,"⚠️ CRITIQUE",IF(I941&lt;=K941,"⚡ ATTENTION","✓ OK"))))</f>
        <v/>
      </c>
    </row>
    <row r="942">
      <c r="N942">
        <f>IF(G942="","",IF(I942&lt;=0,"⚠️ RUPTURE",IF(I942&lt;=J942,"⚠️ CRITIQUE",IF(I942&lt;=K942,"⚡ ATTENTION","✓ OK"))))</f>
        <v/>
      </c>
    </row>
    <row r="943">
      <c r="N943">
        <f>IF(G943="","",IF(I943&lt;=0,"⚠️ RUPTURE",IF(I943&lt;=J943,"⚠️ CRITIQUE",IF(I943&lt;=K943,"⚡ ATTENTION","✓ OK"))))</f>
        <v/>
      </c>
    </row>
    <row r="944">
      <c r="N944">
        <f>IF(G944="","",IF(I944&lt;=0,"⚠️ RUPTURE",IF(I944&lt;=J944,"⚠️ CRITIQUE",IF(I944&lt;=K944,"⚡ ATTENTION","✓ OK"))))</f>
        <v/>
      </c>
    </row>
    <row r="945">
      <c r="N945">
        <f>IF(G945="","",IF(I945&lt;=0,"⚠️ RUPTURE",IF(I945&lt;=J945,"⚠️ CRITIQUE",IF(I945&lt;=K945,"⚡ ATTENTION","✓ OK"))))</f>
        <v/>
      </c>
    </row>
    <row r="946">
      <c r="N946">
        <f>IF(G946="","",IF(I946&lt;=0,"⚠️ RUPTURE",IF(I946&lt;=J946,"⚠️ CRITIQUE",IF(I946&lt;=K946,"⚡ ATTENTION","✓ OK"))))</f>
        <v/>
      </c>
    </row>
    <row r="947">
      <c r="N947">
        <f>IF(G947="","",IF(I947&lt;=0,"⚠️ RUPTURE",IF(I947&lt;=J947,"⚠️ CRITIQUE",IF(I947&lt;=K947,"⚡ ATTENTION","✓ OK"))))</f>
        <v/>
      </c>
    </row>
    <row r="948">
      <c r="N948">
        <f>IF(G948="","",IF(I948&lt;=0,"⚠️ RUPTURE",IF(I948&lt;=J948,"⚠️ CRITIQUE",IF(I948&lt;=K948,"⚡ ATTENTION","✓ OK"))))</f>
        <v/>
      </c>
    </row>
    <row r="949">
      <c r="N949">
        <f>IF(G949="","",IF(I949&lt;=0,"⚠️ RUPTURE",IF(I949&lt;=J949,"⚠️ CRITIQUE",IF(I949&lt;=K949,"⚡ ATTENTION","✓ OK"))))</f>
        <v/>
      </c>
    </row>
    <row r="950">
      <c r="N950">
        <f>IF(G950="","",IF(I950&lt;=0,"⚠️ RUPTURE",IF(I950&lt;=J950,"⚠️ CRITIQUE",IF(I950&lt;=K950,"⚡ ATTENTION","✓ OK"))))</f>
        <v/>
      </c>
    </row>
    <row r="951">
      <c r="N951">
        <f>IF(G951="","",IF(I951&lt;=0,"⚠️ RUPTURE",IF(I951&lt;=J951,"⚠️ CRITIQUE",IF(I951&lt;=K951,"⚡ ATTENTION","✓ OK"))))</f>
        <v/>
      </c>
    </row>
    <row r="952">
      <c r="N952">
        <f>IF(G952="","",IF(I952&lt;=0,"⚠️ RUPTURE",IF(I952&lt;=J952,"⚠️ CRITIQUE",IF(I952&lt;=K952,"⚡ ATTENTION","✓ OK"))))</f>
        <v/>
      </c>
    </row>
    <row r="953">
      <c r="N953">
        <f>IF(G953="","",IF(I953&lt;=0,"⚠️ RUPTURE",IF(I953&lt;=J953,"⚠️ CRITIQUE",IF(I953&lt;=K953,"⚡ ATTENTION","✓ OK"))))</f>
        <v/>
      </c>
    </row>
    <row r="954">
      <c r="N954">
        <f>IF(G954="","",IF(I954&lt;=0,"⚠️ RUPTURE",IF(I954&lt;=J954,"⚠️ CRITIQUE",IF(I954&lt;=K954,"⚡ ATTENTION","✓ OK"))))</f>
        <v/>
      </c>
    </row>
    <row r="955">
      <c r="N955">
        <f>IF(G955="","",IF(I955&lt;=0,"⚠️ RUPTURE",IF(I955&lt;=J955,"⚠️ CRITIQUE",IF(I955&lt;=K955,"⚡ ATTENTION","✓ OK"))))</f>
        <v/>
      </c>
    </row>
    <row r="956">
      <c r="N956">
        <f>IF(G956="","",IF(I956&lt;=0,"⚠️ RUPTURE",IF(I956&lt;=J956,"⚠️ CRITIQUE",IF(I956&lt;=K956,"⚡ ATTENTION","✓ OK"))))</f>
        <v/>
      </c>
    </row>
    <row r="957">
      <c r="N957">
        <f>IF(G957="","",IF(I957&lt;=0,"⚠️ RUPTURE",IF(I957&lt;=J957,"⚠️ CRITIQUE",IF(I957&lt;=K957,"⚡ ATTENTION","✓ OK"))))</f>
        <v/>
      </c>
    </row>
    <row r="958">
      <c r="N958">
        <f>IF(G958="","",IF(I958&lt;=0,"⚠️ RUPTURE",IF(I958&lt;=J958,"⚠️ CRITIQUE",IF(I958&lt;=K958,"⚡ ATTENTION","✓ OK"))))</f>
        <v/>
      </c>
    </row>
    <row r="959">
      <c r="N959">
        <f>IF(G959="","",IF(I959&lt;=0,"⚠️ RUPTURE",IF(I959&lt;=J959,"⚠️ CRITIQUE",IF(I959&lt;=K959,"⚡ ATTENTION","✓ OK"))))</f>
        <v/>
      </c>
    </row>
    <row r="960">
      <c r="N960">
        <f>IF(G960="","",IF(I960&lt;=0,"⚠️ RUPTURE",IF(I960&lt;=J960,"⚠️ CRITIQUE",IF(I960&lt;=K960,"⚡ ATTENTION","✓ OK"))))</f>
        <v/>
      </c>
    </row>
    <row r="961">
      <c r="N961">
        <f>IF(G961="","",IF(I961&lt;=0,"⚠️ RUPTURE",IF(I961&lt;=J961,"⚠️ CRITIQUE",IF(I961&lt;=K961,"⚡ ATTENTION","✓ OK"))))</f>
        <v/>
      </c>
    </row>
    <row r="962">
      <c r="N962">
        <f>IF(G962="","",IF(I962&lt;=0,"⚠️ RUPTURE",IF(I962&lt;=J962,"⚠️ CRITIQUE",IF(I962&lt;=K962,"⚡ ATTENTION","✓ OK"))))</f>
        <v/>
      </c>
    </row>
    <row r="963">
      <c r="N963">
        <f>IF(G963="","",IF(I963&lt;=0,"⚠️ RUPTURE",IF(I963&lt;=J963,"⚠️ CRITIQUE",IF(I963&lt;=K963,"⚡ ATTENTION","✓ OK"))))</f>
        <v/>
      </c>
    </row>
    <row r="964">
      <c r="N964">
        <f>IF(G964="","",IF(I964&lt;=0,"⚠️ RUPTURE",IF(I964&lt;=J964,"⚠️ CRITIQUE",IF(I964&lt;=K964,"⚡ ATTENTION","✓ OK"))))</f>
        <v/>
      </c>
    </row>
    <row r="965">
      <c r="N965">
        <f>IF(G965="","",IF(I965&lt;=0,"⚠️ RUPTURE",IF(I965&lt;=J965,"⚠️ CRITIQUE",IF(I965&lt;=K965,"⚡ ATTENTION","✓ OK"))))</f>
        <v/>
      </c>
    </row>
    <row r="966">
      <c r="N966">
        <f>IF(G966="","",IF(I966&lt;=0,"⚠️ RUPTURE",IF(I966&lt;=J966,"⚠️ CRITIQUE",IF(I966&lt;=K966,"⚡ ATTENTION","✓ OK"))))</f>
        <v/>
      </c>
    </row>
    <row r="967">
      <c r="N967">
        <f>IF(G967="","",IF(I967&lt;=0,"⚠️ RUPTURE",IF(I967&lt;=J967,"⚠️ CRITIQUE",IF(I967&lt;=K967,"⚡ ATTENTION","✓ OK"))))</f>
        <v/>
      </c>
    </row>
    <row r="968">
      <c r="N968">
        <f>IF(G968="","",IF(I968&lt;=0,"⚠️ RUPTURE",IF(I968&lt;=J968,"⚠️ CRITIQUE",IF(I968&lt;=K968,"⚡ ATTENTION","✓ OK"))))</f>
        <v/>
      </c>
    </row>
    <row r="969">
      <c r="N969">
        <f>IF(G969="","",IF(I969&lt;=0,"⚠️ RUPTURE",IF(I969&lt;=J969,"⚠️ CRITIQUE",IF(I969&lt;=K969,"⚡ ATTENTION","✓ OK"))))</f>
        <v/>
      </c>
    </row>
    <row r="970">
      <c r="N970">
        <f>IF(G970="","",IF(I970&lt;=0,"⚠️ RUPTURE",IF(I970&lt;=J970,"⚠️ CRITIQUE",IF(I970&lt;=K970,"⚡ ATTENTION","✓ OK"))))</f>
        <v/>
      </c>
    </row>
    <row r="971">
      <c r="N971">
        <f>IF(G971="","",IF(I971&lt;=0,"⚠️ RUPTURE",IF(I971&lt;=J971,"⚠️ CRITIQUE",IF(I971&lt;=K971,"⚡ ATTENTION","✓ OK"))))</f>
        <v/>
      </c>
    </row>
    <row r="972">
      <c r="N972">
        <f>IF(G972="","",IF(I972&lt;=0,"⚠️ RUPTURE",IF(I972&lt;=J972,"⚠️ CRITIQUE",IF(I972&lt;=K972,"⚡ ATTENTION","✓ OK"))))</f>
        <v/>
      </c>
    </row>
    <row r="973">
      <c r="N973">
        <f>IF(G973="","",IF(I973&lt;=0,"⚠️ RUPTURE",IF(I973&lt;=J973,"⚠️ CRITIQUE",IF(I973&lt;=K973,"⚡ ATTENTION","✓ OK"))))</f>
        <v/>
      </c>
    </row>
    <row r="974">
      <c r="N974">
        <f>IF(G974="","",IF(I974&lt;=0,"⚠️ RUPTURE",IF(I974&lt;=J974,"⚠️ CRITIQUE",IF(I974&lt;=K974,"⚡ ATTENTION","✓ OK"))))</f>
        <v/>
      </c>
    </row>
    <row r="975">
      <c r="N975">
        <f>IF(G975="","",IF(I975&lt;=0,"⚠️ RUPTURE",IF(I975&lt;=J975,"⚠️ CRITIQUE",IF(I975&lt;=K975,"⚡ ATTENTION","✓ OK"))))</f>
        <v/>
      </c>
    </row>
    <row r="976">
      <c r="N976">
        <f>IF(G976="","",IF(I976&lt;=0,"⚠️ RUPTURE",IF(I976&lt;=J976,"⚠️ CRITIQUE",IF(I976&lt;=K976,"⚡ ATTENTION","✓ OK"))))</f>
        <v/>
      </c>
    </row>
    <row r="977">
      <c r="N977">
        <f>IF(G977="","",IF(I977&lt;=0,"⚠️ RUPTURE",IF(I977&lt;=J977,"⚠️ CRITIQUE",IF(I977&lt;=K977,"⚡ ATTENTION","✓ OK"))))</f>
        <v/>
      </c>
    </row>
    <row r="978">
      <c r="N978">
        <f>IF(G978="","",IF(I978&lt;=0,"⚠️ RUPTURE",IF(I978&lt;=J978,"⚠️ CRITIQUE",IF(I978&lt;=K978,"⚡ ATTENTION","✓ OK"))))</f>
        <v/>
      </c>
    </row>
    <row r="979">
      <c r="N979">
        <f>IF(G979="","",IF(I979&lt;=0,"⚠️ RUPTURE",IF(I979&lt;=J979,"⚠️ CRITIQUE",IF(I979&lt;=K979,"⚡ ATTENTION","✓ OK"))))</f>
        <v/>
      </c>
    </row>
    <row r="980">
      <c r="N980">
        <f>IF(G980="","",IF(I980&lt;=0,"⚠️ RUPTURE",IF(I980&lt;=J980,"⚠️ CRITIQUE",IF(I980&lt;=K980,"⚡ ATTENTION","✓ OK"))))</f>
        <v/>
      </c>
    </row>
    <row r="981">
      <c r="N981">
        <f>IF(G981="","",IF(I981&lt;=0,"⚠️ RUPTURE",IF(I981&lt;=J981,"⚠️ CRITIQUE",IF(I981&lt;=K981,"⚡ ATTENTION","✓ OK"))))</f>
        <v/>
      </c>
    </row>
    <row r="982">
      <c r="N982">
        <f>IF(G982="","",IF(I982&lt;=0,"⚠️ RUPTURE",IF(I982&lt;=J982,"⚠️ CRITIQUE",IF(I982&lt;=K982,"⚡ ATTENTION","✓ OK"))))</f>
        <v/>
      </c>
    </row>
    <row r="983">
      <c r="N983">
        <f>IF(G983="","",IF(I983&lt;=0,"⚠️ RUPTURE",IF(I983&lt;=J983,"⚠️ CRITIQUE",IF(I983&lt;=K983,"⚡ ATTENTION","✓ OK"))))</f>
        <v/>
      </c>
    </row>
    <row r="984">
      <c r="N984">
        <f>IF(G984="","",IF(I984&lt;=0,"⚠️ RUPTURE",IF(I984&lt;=J984,"⚠️ CRITIQUE",IF(I984&lt;=K984,"⚡ ATTENTION","✓ OK"))))</f>
        <v/>
      </c>
    </row>
    <row r="985">
      <c r="N985">
        <f>IF(G985="","",IF(I985&lt;=0,"⚠️ RUPTURE",IF(I985&lt;=J985,"⚠️ CRITIQUE",IF(I985&lt;=K985,"⚡ ATTENTION","✓ OK"))))</f>
        <v/>
      </c>
    </row>
    <row r="986">
      <c r="N986">
        <f>IF(G986="","",IF(I986&lt;=0,"⚠️ RUPTURE",IF(I986&lt;=J986,"⚠️ CRITIQUE",IF(I986&lt;=K986,"⚡ ATTENTION","✓ OK"))))</f>
        <v/>
      </c>
    </row>
    <row r="987">
      <c r="N987">
        <f>IF(G987="","",IF(I987&lt;=0,"⚠️ RUPTURE",IF(I987&lt;=J987,"⚠️ CRITIQUE",IF(I987&lt;=K987,"⚡ ATTENTION","✓ OK"))))</f>
        <v/>
      </c>
    </row>
    <row r="988">
      <c r="N988">
        <f>IF(G988="","",IF(I988&lt;=0,"⚠️ RUPTURE",IF(I988&lt;=J988,"⚠️ CRITIQUE",IF(I988&lt;=K988,"⚡ ATTENTION","✓ OK"))))</f>
        <v/>
      </c>
    </row>
    <row r="989">
      <c r="N989">
        <f>IF(G989="","",IF(I989&lt;=0,"⚠️ RUPTURE",IF(I989&lt;=J989,"⚠️ CRITIQUE",IF(I989&lt;=K989,"⚡ ATTENTION","✓ OK"))))</f>
        <v/>
      </c>
    </row>
    <row r="990">
      <c r="N990">
        <f>IF(G990="","",IF(I990&lt;=0,"⚠️ RUPTURE",IF(I990&lt;=J990,"⚠️ CRITIQUE",IF(I990&lt;=K990,"⚡ ATTENTION","✓ OK"))))</f>
        <v/>
      </c>
    </row>
    <row r="991">
      <c r="N991">
        <f>IF(G991="","",IF(I991&lt;=0,"⚠️ RUPTURE",IF(I991&lt;=J991,"⚠️ CRITIQUE",IF(I991&lt;=K991,"⚡ ATTENTION","✓ OK"))))</f>
        <v/>
      </c>
    </row>
    <row r="992">
      <c r="N992">
        <f>IF(G992="","",IF(I992&lt;=0,"⚠️ RUPTURE",IF(I992&lt;=J992,"⚠️ CRITIQUE",IF(I992&lt;=K992,"⚡ ATTENTION","✓ OK"))))</f>
        <v/>
      </c>
    </row>
    <row r="993">
      <c r="N993">
        <f>IF(G993="","",IF(I993&lt;=0,"⚠️ RUPTURE",IF(I993&lt;=J993,"⚠️ CRITIQUE",IF(I993&lt;=K993,"⚡ ATTENTION","✓ OK"))))</f>
        <v/>
      </c>
    </row>
    <row r="994">
      <c r="N994">
        <f>IF(G994="","",IF(I994&lt;=0,"⚠️ RUPTURE",IF(I994&lt;=J994,"⚠️ CRITIQUE",IF(I994&lt;=K994,"⚡ ATTENTION","✓ OK"))))</f>
        <v/>
      </c>
    </row>
    <row r="995">
      <c r="N995">
        <f>IF(G995="","",IF(I995&lt;=0,"⚠️ RUPTURE",IF(I995&lt;=J995,"⚠️ CRITIQUE",IF(I995&lt;=K995,"⚡ ATTENTION","✓ OK"))))</f>
        <v/>
      </c>
    </row>
    <row r="996">
      <c r="N996">
        <f>IF(G996="","",IF(I996&lt;=0,"⚠️ RUPTURE",IF(I996&lt;=J996,"⚠️ CRITIQUE",IF(I996&lt;=K996,"⚡ ATTENTION","✓ OK"))))</f>
        <v/>
      </c>
    </row>
    <row r="997">
      <c r="N997">
        <f>IF(G997="","",IF(I997&lt;=0,"⚠️ RUPTURE",IF(I997&lt;=J997,"⚠️ CRITIQUE",IF(I997&lt;=K997,"⚡ ATTENTION","✓ OK"))))</f>
        <v/>
      </c>
    </row>
    <row r="998">
      <c r="N998">
        <f>IF(G998="","",IF(I998&lt;=0,"⚠️ RUPTURE",IF(I998&lt;=J998,"⚠️ CRITIQUE",IF(I998&lt;=K998,"⚡ ATTENTION","✓ OK"))))</f>
        <v/>
      </c>
    </row>
    <row r="999">
      <c r="N999">
        <f>IF(G999="","",IF(I999&lt;=0,"⚠️ RUPTURE",IF(I999&lt;=J999,"⚠️ CRITIQUE",IF(I999&lt;=K999,"⚡ ATTENTION","✓ OK"))))</f>
        <v/>
      </c>
    </row>
    <row r="1000">
      <c r="N1000">
        <f>IF(G1000="","",IF(I1000&lt;=0,"⚠️ RUPTURE",IF(I1000&lt;=J1000,"⚠️ CRITIQUE",IF(I1000&lt;=K1000,"⚡ ATTENTION","✓ OK"))))</f>
        <v/>
      </c>
    </row>
    <row r="1001">
      <c r="N1001">
        <f>IF(G1001="","",IF(I1001&lt;=0,"⚠️ RUPTURE",IF(I1001&lt;=J1001,"⚠️ CRITIQUE",IF(I1001&lt;=K1001,"⚡ ATTENTION","✓ OK"))))</f>
        <v/>
      </c>
    </row>
    <row r="1002">
      <c r="N1002">
        <f>IF(G1002="","",IF(I1002&lt;=0,"⚠️ RUPTURE",IF(I1002&lt;=J1002,"⚠️ CRITIQUE",IF(I1002&lt;=K1002,"⚡ ATTENTION","✓ OK"))))</f>
        <v/>
      </c>
    </row>
    <row r="1003">
      <c r="N1003">
        <f>IF(G1003="","",IF(I1003&lt;=0,"⚠️ RUPTURE",IF(I1003&lt;=J1003,"⚠️ CRITIQUE",IF(I1003&lt;=K1003,"⚡ ATTENTION","✓ OK"))))</f>
        <v/>
      </c>
    </row>
  </sheetData>
  <mergeCells count="2">
    <mergeCell ref="A2:N2"/>
    <mergeCell ref="A1:N1"/>
  </mergeCells>
  <conditionalFormatting sqref="I4:I1003">
    <cfRule type="cellIs" priority="1" operator="lessThan" dxfId="0">
      <formula>=$J4</formula>
    </cfRule>
    <cfRule type="cellIs" priority="2" operator="between" dxfId="1">
      <formula>=$J4</formula>
      <formula>=$K4</formula>
    </cfRule>
    <cfRule type="cellIs" priority="3" operator="greaterThan" dxfId="2">
      <formula>=$K4</formula>
    </cfRule>
  </conditionalFormatting>
  <dataValidations count="3">
    <dataValidation sqref="D4:D1003" showDropDown="0" showInputMessage="0" showErrorMessage="0" allowBlank="1" error="Veuillez sélectionner une catégorie valide" type="list">
      <formula1>CATEGORIES!$A$2:$A$100</formula1>
    </dataValidation>
    <dataValidation sqref="F4:F1003" showDropDown="0" showInputMessage="0" showErrorMessage="0" allowBlank="0" type="list">
      <formula1>"kg,g,L,mL,unité,portion,botte,tête"</formula1>
    </dataValidation>
    <dataValidation sqref="N4:N1003" showDropDown="0" showInputMessage="0" showErrorMessage="0" allowBlank="0" type="list">
      <formula1>"✓ Actif,✗ Inactif"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5" customWidth="1" min="3" max="3"/>
    <col width="20" customWidth="1" min="4" max="4"/>
    <col width="8" customWidth="1" min="5" max="5"/>
  </cols>
  <sheetData>
    <row r="1">
      <c r="A1" s="31" t="inlineStr">
        <is>
          <t>🏷️ GESTION DES CATÉGORIES ET SOUS-CATÉGORIES</t>
        </is>
      </c>
    </row>
    <row r="3">
      <c r="A3" s="33" t="inlineStr">
        <is>
          <t>ID Catégorie</t>
        </is>
      </c>
      <c r="B3" s="33" t="inlineStr">
        <is>
          <t>Nom Catégorie</t>
        </is>
      </c>
      <c r="C3" s="33" t="inlineStr">
        <is>
          <t>Description</t>
        </is>
      </c>
      <c r="D3" s="33" t="inlineStr">
        <is>
          <t>Type</t>
        </is>
      </c>
      <c r="E3" s="33" t="inlineStr">
        <is>
          <t>Actif</t>
        </is>
      </c>
    </row>
    <row r="4">
      <c r="A4" t="inlineStr">
        <is>
          <t>CAT01</t>
        </is>
      </c>
      <c r="B4" t="inlineStr">
        <is>
          <t>Légumes</t>
        </is>
      </c>
      <c r="C4" t="inlineStr">
        <is>
          <t>Tous les légumes frais et secs</t>
        </is>
      </c>
      <c r="D4" t="inlineStr">
        <is>
          <t>Matière Première</t>
        </is>
      </c>
      <c r="E4" t="inlineStr">
        <is>
          <t>Oui</t>
        </is>
      </c>
    </row>
    <row r="5">
      <c r="A5" t="inlineStr">
        <is>
          <t>CAT02</t>
        </is>
      </c>
      <c r="B5" t="inlineStr">
        <is>
          <t>Viandes</t>
        </is>
      </c>
      <c r="C5" t="inlineStr">
        <is>
          <t>Viandes rouges et blanches</t>
        </is>
      </c>
      <c r="D5" t="inlineStr">
        <is>
          <t>Matière Première</t>
        </is>
      </c>
      <c r="E5" t="inlineStr">
        <is>
          <t>Oui</t>
        </is>
      </c>
    </row>
    <row r="6">
      <c r="A6" t="inlineStr">
        <is>
          <t>CAT03</t>
        </is>
      </c>
      <c r="B6" t="inlineStr">
        <is>
          <t>Poissons</t>
        </is>
      </c>
      <c r="C6" t="inlineStr">
        <is>
          <t>Poissons et fruits de mer</t>
        </is>
      </c>
      <c r="D6" t="inlineStr">
        <is>
          <t>Matière Première</t>
        </is>
      </c>
      <c r="E6" t="inlineStr">
        <is>
          <t>Oui</t>
        </is>
      </c>
    </row>
    <row r="7">
      <c r="A7" t="inlineStr">
        <is>
          <t>CAT04</t>
        </is>
      </c>
      <c r="B7" t="inlineStr">
        <is>
          <t>Féculents</t>
        </is>
      </c>
      <c r="C7" t="inlineStr">
        <is>
          <t>Riz, pâtes, pommes de terre</t>
        </is>
      </c>
      <c r="D7" t="inlineStr">
        <is>
          <t>Matière Première</t>
        </is>
      </c>
      <c r="E7" t="inlineStr">
        <is>
          <t>Oui</t>
        </is>
      </c>
    </row>
    <row r="8">
      <c r="A8" t="inlineStr">
        <is>
          <t>CAT05</t>
        </is>
      </c>
      <c r="B8" t="inlineStr">
        <is>
          <t>Condiments</t>
        </is>
      </c>
      <c r="C8" t="inlineStr">
        <is>
          <t>Épices, huiles, sauces</t>
        </is>
      </c>
      <c r="D8" t="inlineStr">
        <is>
          <t>Matière Première</t>
        </is>
      </c>
      <c r="E8" t="inlineStr">
        <is>
          <t>Oui</t>
        </is>
      </c>
    </row>
    <row r="9">
      <c r="A9" t="inlineStr">
        <is>
          <t>CAT06</t>
        </is>
      </c>
      <c r="B9" t="inlineStr">
        <is>
          <t>Boissons</t>
        </is>
      </c>
      <c r="C9" t="inlineStr">
        <is>
          <t>Boissons alcoolisées et non-alcoolisées</t>
        </is>
      </c>
      <c r="D9" t="inlineStr">
        <is>
          <t>Produit Fini</t>
        </is>
      </c>
      <c r="E9" t="inlineStr">
        <is>
          <t>Oui</t>
        </is>
      </c>
    </row>
    <row r="10">
      <c r="A10" t="inlineStr">
        <is>
          <t>CAT07</t>
        </is>
      </c>
      <c r="B10" t="inlineStr">
        <is>
          <t>Entrées</t>
        </is>
      </c>
      <c r="C10" t="inlineStr">
        <is>
          <t>Plats d'entrée</t>
        </is>
      </c>
      <c r="D10" t="inlineStr">
        <is>
          <t>Plat</t>
        </is>
      </c>
      <c r="E10" t="inlineStr">
        <is>
          <t>Oui</t>
        </is>
      </c>
    </row>
    <row r="11">
      <c r="A11" t="inlineStr">
        <is>
          <t>CAT08</t>
        </is>
      </c>
      <c r="B11" t="inlineStr">
        <is>
          <t>Plats Principaux</t>
        </is>
      </c>
      <c r="C11" t="inlineStr">
        <is>
          <t>Plats principaux</t>
        </is>
      </c>
      <c r="D11" t="inlineStr">
        <is>
          <t>Plat</t>
        </is>
      </c>
      <c r="E11" t="inlineStr">
        <is>
          <t>Oui</t>
        </is>
      </c>
    </row>
    <row r="12">
      <c r="A12" t="inlineStr">
        <is>
          <t>CAT09</t>
        </is>
      </c>
      <c r="B12" t="inlineStr">
        <is>
          <t>Desserts</t>
        </is>
      </c>
      <c r="C12" t="inlineStr">
        <is>
          <t>Desserts sucrés</t>
        </is>
      </c>
      <c r="D12" t="inlineStr">
        <is>
          <t>Plat</t>
        </is>
      </c>
      <c r="E12" t="inlineStr">
        <is>
          <t>Oui</t>
        </is>
      </c>
    </row>
    <row r="13">
      <c r="A13" t="inlineStr">
        <is>
          <t>CAT10</t>
        </is>
      </c>
      <c r="B13" t="inlineStr">
        <is>
          <t>Produits Laitiers</t>
        </is>
      </c>
      <c r="C13" t="inlineStr">
        <is>
          <t>Fromages, crèmes, yaourts</t>
        </is>
      </c>
      <c r="D13" t="inlineStr">
        <is>
          <t>Matière Première</t>
        </is>
      </c>
      <c r="E13" t="inlineStr">
        <is>
          <t>Oui</t>
        </is>
      </c>
    </row>
  </sheetData>
  <mergeCells count="1">
    <mergeCell ref="A1:E1"/>
  </mergeCells>
  <dataValidations count="2">
    <dataValidation sqref="D4:D100" showDropDown="0" showInputMessage="0" showErrorMessage="0" allowBlank="0" type="list">
      <formula1>"Matière Première,Plat,Produit Fini,Emballage,Équipement"</formula1>
    </dataValidation>
    <dataValidation sqref="E4:E100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31" t="inlineStr">
        <is>
          <t>📈 GESTION DES STOCKS - SUIVI EN TEMPS RÉEL</t>
        </is>
      </c>
    </row>
    <row r="3">
      <c r="A3" s="25" t="inlineStr">
        <is>
          <t>MOUVEMENTS DE STOCK</t>
        </is>
      </c>
      <c r="R3" s="25" t="inlineStr">
        <is>
          <t>RÉSUMÉ DES STOCKS ACTUELS</t>
        </is>
      </c>
    </row>
    <row r="4">
      <c r="A4" s="37" t="inlineStr">
        <is>
          <t>Date</t>
        </is>
      </c>
      <c r="B4" s="37" t="inlineStr">
        <is>
          <t>ID Produit</t>
        </is>
      </c>
      <c r="C4" s="37" t="inlineStr">
        <is>
          <t>Produit</t>
        </is>
      </c>
      <c r="D4" s="37" t="inlineStr">
        <is>
          <t>Type Mouvement</t>
        </is>
      </c>
      <c r="E4" s="37" t="inlineStr">
        <is>
          <t>Quantité</t>
        </is>
      </c>
      <c r="F4" s="37" t="inlineStr">
        <is>
          <t>Unité</t>
        </is>
      </c>
      <c r="G4" s="37" t="inlineStr">
        <is>
          <t>Prix Unitaire</t>
        </is>
      </c>
      <c r="H4" s="37" t="inlineStr">
        <is>
          <t>Valeur Totale</t>
        </is>
      </c>
      <c r="I4" s="37" t="inlineStr">
        <is>
          <t>Lot/Fournisseur</t>
        </is>
      </c>
      <c r="J4" s="37" t="inlineStr">
        <is>
          <t>Date Péremption</t>
        </is>
      </c>
      <c r="K4" s="37" t="inlineStr">
        <is>
          <t>Stock Avant</t>
        </is>
      </c>
      <c r="L4" s="37" t="inlineStr">
        <is>
          <t>Stock Après</t>
        </is>
      </c>
      <c r="M4" s="37" t="inlineStr">
        <is>
          <t>Utilisateur</t>
        </is>
      </c>
      <c r="N4" s="37" t="inlineStr">
        <is>
          <t>Commentaire</t>
        </is>
      </c>
      <c r="O4" s="37" t="inlineStr">
        <is>
          <t>Référence Doc</t>
        </is>
      </c>
      <c r="P4" s="37" t="inlineStr">
        <is>
          <t>Statut</t>
        </is>
      </c>
      <c r="Q4" s="37" t="inlineStr">
        <is>
          <t>Produit</t>
        </is>
      </c>
      <c r="R4" s="37" t="inlineStr">
        <is>
          <t>Stock Actuel</t>
        </is>
      </c>
      <c r="S4" s="37" t="inlineStr">
        <is>
          <t>Stock Min</t>
        </is>
      </c>
      <c r="T4" s="37" t="inlineStr">
        <is>
          <t>Stock Max</t>
        </is>
      </c>
      <c r="U4" s="37" t="inlineStr">
        <is>
          <t>Valeur Stock</t>
        </is>
      </c>
      <c r="V4" s="37" t="inlineStr">
        <is>
          <t>Statut</t>
        </is>
      </c>
      <c r="W4" s="37" t="inlineStr">
        <is>
          <t>Jours Restants</t>
        </is>
      </c>
    </row>
    <row r="5">
      <c r="A5" s="38" t="n"/>
      <c r="G5" s="8" t="n"/>
      <c r="H5" s="8">
        <f>IF(E5="","",E5*G5)</f>
        <v/>
      </c>
      <c r="J5" s="38" t="n"/>
      <c r="L5">
        <f>IF(D5="","",IF(OR(D5="Entrée Achat",D5="Entrée Retour"),K5+E5,K5-E5))</f>
        <v/>
      </c>
      <c r="P5">
        <f>IF(E5="","",IF(OR(D5="Entrée Achat",D5="Entrée Retour"),"✓ Validé",IF(D5="Sortie Perte","⚠️ Perte",IF(D5="Sortie Périmée","🔴 Périmé","✓ Validé"))))</f>
        <v/>
      </c>
      <c r="Q5">
        <f>IFERROR(INDEX(PRODUITS!A:A, 1), "")</f>
        <v/>
      </c>
      <c r="R5">
        <f>IFERROR(VLOOKUP($R5, PRODUITS!A:I, 9, FALSE), 0)</f>
        <v/>
      </c>
      <c r="S5">
        <f>IFERROR(VLOOKUP($R5, PRODUITS!A:J, 10, FALSE), 0)</f>
        <v/>
      </c>
      <c r="T5">
        <f>$S5*2</f>
        <v/>
      </c>
      <c r="U5">
        <f>IFERROR($S5*VLOOKUP($R5, PRODUITS!A:G, 7, FALSE), 0)</f>
        <v/>
      </c>
      <c r="V5" s="7">
        <f>IF($S5&lt;=0,"⚠️ RUPTURE",IF($S5&lt;=$T5,"⚠️ CRITIQUE",IF($S5&lt;=$U5/2,"⚡ ATTENTION","✓ OK")))</f>
        <v/>
      </c>
    </row>
    <row r="6">
      <c r="A6" s="38" t="n"/>
      <c r="G6" s="8" t="n"/>
      <c r="H6" s="8">
        <f>IF(E6="","",E6*G6)</f>
        <v/>
      </c>
      <c r="J6" s="38" t="n"/>
      <c r="L6">
        <f>IF(D6="","",IF(OR(D6="Entrée Achat",D6="Entrée Retour"),K6+E6,K6-E6))</f>
        <v/>
      </c>
      <c r="P6">
        <f>IF(E6="","",IF(OR(D6="Entrée Achat",D6="Entrée Retour"),"✓ Validé",IF(D6="Sortie Perte","⚠️ Perte",IF(D6="Sortie Périmée","🔴 Périmé","✓ Validé"))))</f>
        <v/>
      </c>
      <c r="Q6">
        <f>IFERROR(INDEX(PRODUITS!A:A, 2), "")</f>
        <v/>
      </c>
      <c r="R6">
        <f>IFERROR(VLOOKUP($R6, PRODUITS!A:I, 9, FALSE), 0)</f>
        <v/>
      </c>
      <c r="S6">
        <f>IFERROR(VLOOKUP($R6, PRODUITS!A:J, 10, FALSE), 0)</f>
        <v/>
      </c>
      <c r="T6">
        <f>$S6*2</f>
        <v/>
      </c>
      <c r="U6">
        <f>IFERROR($S6*VLOOKUP($R6, PRODUITS!A:G, 7, FALSE), 0)</f>
        <v/>
      </c>
      <c r="V6" s="7">
        <f>IF($S6&lt;=0,"⚠️ RUPTURE",IF($S6&lt;=$T6,"⚠️ CRITIQUE",IF($S6&lt;=$U6/2,"⚡ ATTENTION","✓ OK")))</f>
        <v/>
      </c>
    </row>
    <row r="7">
      <c r="A7" s="38" t="n"/>
      <c r="G7" s="8" t="n"/>
      <c r="H7" s="8">
        <f>IF(E7="","",E7*G7)</f>
        <v/>
      </c>
      <c r="J7" s="38" t="n"/>
      <c r="L7">
        <f>IF(D7="","",IF(OR(D7="Entrée Achat",D7="Entrée Retour"),K7+E7,K7-E7))</f>
        <v/>
      </c>
      <c r="P7">
        <f>IF(E7="","",IF(OR(D7="Entrée Achat",D7="Entrée Retour"),"✓ Validé",IF(D7="Sortie Perte","⚠️ Perte",IF(D7="Sortie Périmée","🔴 Périmé","✓ Validé"))))</f>
        <v/>
      </c>
      <c r="Q7">
        <f>IFERROR(INDEX(PRODUITS!A:A, 3), "")</f>
        <v/>
      </c>
      <c r="R7">
        <f>IFERROR(VLOOKUP($R7, PRODUITS!A:I, 9, FALSE), 0)</f>
        <v/>
      </c>
      <c r="S7">
        <f>IFERROR(VLOOKUP($R7, PRODUITS!A:J, 10, FALSE), 0)</f>
        <v/>
      </c>
      <c r="T7">
        <f>$S7*2</f>
        <v/>
      </c>
      <c r="U7">
        <f>IFERROR($S7*VLOOKUP($R7, PRODUITS!A:G, 7, FALSE), 0)</f>
        <v/>
      </c>
      <c r="V7" s="7">
        <f>IF($S7&lt;=0,"⚠️ RUPTURE",IF($S7&lt;=$T7,"⚠️ CRITIQUE",IF($S7&lt;=$U7/2,"⚡ ATTENTION","✓ OK")))</f>
        <v/>
      </c>
    </row>
    <row r="8">
      <c r="A8" s="38" t="n"/>
      <c r="G8" s="8" t="n"/>
      <c r="H8" s="8">
        <f>IF(E8="","",E8*G8)</f>
        <v/>
      </c>
      <c r="J8" s="38" t="n"/>
      <c r="L8">
        <f>IF(D8="","",IF(OR(D8="Entrée Achat",D8="Entrée Retour"),K8+E8,K8-E8))</f>
        <v/>
      </c>
      <c r="P8">
        <f>IF(E8="","",IF(OR(D8="Entrée Achat",D8="Entrée Retour"),"✓ Validé",IF(D8="Sortie Perte","⚠️ Perte",IF(D8="Sortie Périmée","🔴 Périmé","✓ Validé"))))</f>
        <v/>
      </c>
      <c r="Q8">
        <f>IFERROR(INDEX(PRODUITS!A:A, 4), "")</f>
        <v/>
      </c>
      <c r="R8">
        <f>IFERROR(VLOOKUP($R8, PRODUITS!A:I, 9, FALSE), 0)</f>
        <v/>
      </c>
      <c r="S8">
        <f>IFERROR(VLOOKUP($R8, PRODUITS!A:J, 10, FALSE), 0)</f>
        <v/>
      </c>
      <c r="T8">
        <f>$S8*2</f>
        <v/>
      </c>
      <c r="U8">
        <f>IFERROR($S8*VLOOKUP($R8, PRODUITS!A:G, 7, FALSE), 0)</f>
        <v/>
      </c>
      <c r="V8" s="7">
        <f>IF($S8&lt;=0,"⚠️ RUPTURE",IF($S8&lt;=$T8,"⚠️ CRITIQUE",IF($S8&lt;=$U8/2,"⚡ ATTENTION","✓ OK")))</f>
        <v/>
      </c>
    </row>
    <row r="9">
      <c r="A9" s="38" t="n"/>
      <c r="G9" s="8" t="n"/>
      <c r="H9" s="8">
        <f>IF(E9="","",E9*G9)</f>
        <v/>
      </c>
      <c r="J9" s="38" t="n"/>
      <c r="L9">
        <f>IF(D9="","",IF(OR(D9="Entrée Achat",D9="Entrée Retour"),K9+E9,K9-E9))</f>
        <v/>
      </c>
      <c r="P9">
        <f>IF(E9="","",IF(OR(D9="Entrée Achat",D9="Entrée Retour"),"✓ Validé",IF(D9="Sortie Perte","⚠️ Perte",IF(D9="Sortie Périmée","🔴 Périmé","✓ Validé"))))</f>
        <v/>
      </c>
      <c r="Q9">
        <f>IFERROR(INDEX(PRODUITS!A:A, 5), "")</f>
        <v/>
      </c>
      <c r="R9">
        <f>IFERROR(VLOOKUP($R9, PRODUITS!A:I, 9, FALSE), 0)</f>
        <v/>
      </c>
      <c r="S9">
        <f>IFERROR(VLOOKUP($R9, PRODUITS!A:J, 10, FALSE), 0)</f>
        <v/>
      </c>
      <c r="T9">
        <f>$S9*2</f>
        <v/>
      </c>
      <c r="U9">
        <f>IFERROR($S9*VLOOKUP($R9, PRODUITS!A:G, 7, FALSE), 0)</f>
        <v/>
      </c>
      <c r="V9" s="7">
        <f>IF($S9&lt;=0,"⚠️ RUPTURE",IF($S9&lt;=$T9,"⚠️ CRITIQUE",IF($S9&lt;=$U9/2,"⚡ ATTENTION","✓ OK")))</f>
        <v/>
      </c>
    </row>
    <row r="10">
      <c r="A10" s="38" t="n"/>
      <c r="G10" s="8" t="n"/>
      <c r="H10" s="8">
        <f>IF(E10="","",E10*G10)</f>
        <v/>
      </c>
      <c r="J10" s="38" t="n"/>
      <c r="L10">
        <f>IF(D10="","",IF(OR(D10="Entrée Achat",D10="Entrée Retour"),K10+E10,K10-E10))</f>
        <v/>
      </c>
      <c r="P10">
        <f>IF(E10="","",IF(OR(D10="Entrée Achat",D10="Entrée Retour"),"✓ Validé",IF(D10="Sortie Perte","⚠️ Perte",IF(D10="Sortie Périmée","🔴 Périmé","✓ Validé"))))</f>
        <v/>
      </c>
      <c r="Q10">
        <f>IFERROR(INDEX(PRODUITS!A:A, 6), "")</f>
        <v/>
      </c>
      <c r="R10">
        <f>IFERROR(VLOOKUP($R10, PRODUITS!A:I, 9, FALSE), 0)</f>
        <v/>
      </c>
      <c r="S10">
        <f>IFERROR(VLOOKUP($R10, PRODUITS!A:J, 10, FALSE), 0)</f>
        <v/>
      </c>
      <c r="T10">
        <f>$S10*2</f>
        <v/>
      </c>
      <c r="U10">
        <f>IFERROR($S10*VLOOKUP($R10, PRODUITS!A:G, 7, FALSE), 0)</f>
        <v/>
      </c>
      <c r="V10" s="7">
        <f>IF($S10&lt;=0,"⚠️ RUPTURE",IF($S10&lt;=$T10,"⚠️ CRITIQUE",IF($S10&lt;=$U10/2,"⚡ ATTENTION","✓ OK")))</f>
        <v/>
      </c>
    </row>
    <row r="11">
      <c r="A11" s="38" t="n"/>
      <c r="G11" s="8" t="n"/>
      <c r="H11" s="8">
        <f>IF(E11="","",E11*G11)</f>
        <v/>
      </c>
      <c r="J11" s="38" t="n"/>
      <c r="L11">
        <f>IF(D11="","",IF(OR(D11="Entrée Achat",D11="Entrée Retour"),K11+E11,K11-E11))</f>
        <v/>
      </c>
      <c r="P11">
        <f>IF(E11="","",IF(OR(D11="Entrée Achat",D11="Entrée Retour"),"✓ Validé",IF(D11="Sortie Perte","⚠️ Perte",IF(D11="Sortie Périmée","🔴 Périmé","✓ Validé"))))</f>
        <v/>
      </c>
      <c r="Q11">
        <f>IFERROR(INDEX(PRODUITS!A:A, 7), "")</f>
        <v/>
      </c>
      <c r="R11">
        <f>IFERROR(VLOOKUP($R11, PRODUITS!A:I, 9, FALSE), 0)</f>
        <v/>
      </c>
      <c r="S11">
        <f>IFERROR(VLOOKUP($R11, PRODUITS!A:J, 10, FALSE), 0)</f>
        <v/>
      </c>
      <c r="T11">
        <f>$S11*2</f>
        <v/>
      </c>
      <c r="U11">
        <f>IFERROR($S11*VLOOKUP($R11, PRODUITS!A:G, 7, FALSE), 0)</f>
        <v/>
      </c>
      <c r="V11" s="7">
        <f>IF($S11&lt;=0,"⚠️ RUPTURE",IF($S11&lt;=$T11,"⚠️ CRITIQUE",IF($S11&lt;=$U11/2,"⚡ ATTENTION","✓ OK")))</f>
        <v/>
      </c>
    </row>
    <row r="12">
      <c r="A12" s="38" t="n"/>
      <c r="G12" s="8" t="n"/>
      <c r="H12" s="8">
        <f>IF(E12="","",E12*G12)</f>
        <v/>
      </c>
      <c r="J12" s="38" t="n"/>
      <c r="L12">
        <f>IF(D12="","",IF(OR(D12="Entrée Achat",D12="Entrée Retour"),K12+E12,K12-E12))</f>
        <v/>
      </c>
      <c r="P12">
        <f>IF(E12="","",IF(OR(D12="Entrée Achat",D12="Entrée Retour"),"✓ Validé",IF(D12="Sortie Perte","⚠️ Perte",IF(D12="Sortie Périmée","🔴 Périmé","✓ Validé"))))</f>
        <v/>
      </c>
      <c r="Q12">
        <f>IFERROR(INDEX(PRODUITS!A:A, 8), "")</f>
        <v/>
      </c>
      <c r="R12">
        <f>IFERROR(VLOOKUP($R12, PRODUITS!A:I, 9, FALSE), 0)</f>
        <v/>
      </c>
      <c r="S12">
        <f>IFERROR(VLOOKUP($R12, PRODUITS!A:J, 10, FALSE), 0)</f>
        <v/>
      </c>
      <c r="T12">
        <f>$S12*2</f>
        <v/>
      </c>
      <c r="U12">
        <f>IFERROR($S12*VLOOKUP($R12, PRODUITS!A:G, 7, FALSE), 0)</f>
        <v/>
      </c>
      <c r="V12" s="7">
        <f>IF($S12&lt;=0,"⚠️ RUPTURE",IF($S12&lt;=$T12,"⚠️ CRITIQUE",IF($S12&lt;=$U12/2,"⚡ ATTENTION","✓ OK")))</f>
        <v/>
      </c>
    </row>
    <row r="13">
      <c r="A13" s="38" t="n"/>
      <c r="G13" s="8" t="n"/>
      <c r="H13" s="8">
        <f>IF(E13="","",E13*G13)</f>
        <v/>
      </c>
      <c r="J13" s="38" t="n"/>
      <c r="L13">
        <f>IF(D13="","",IF(OR(D13="Entrée Achat",D13="Entrée Retour"),K13+E13,K13-E13))</f>
        <v/>
      </c>
      <c r="P13">
        <f>IF(E13="","",IF(OR(D13="Entrée Achat",D13="Entrée Retour"),"✓ Validé",IF(D13="Sortie Perte","⚠️ Perte",IF(D13="Sortie Périmée","🔴 Périmé","✓ Validé"))))</f>
        <v/>
      </c>
      <c r="Q13">
        <f>IFERROR(INDEX(PRODUITS!A:A, 9), "")</f>
        <v/>
      </c>
      <c r="R13">
        <f>IFERROR(VLOOKUP($R13, PRODUITS!A:I, 9, FALSE), 0)</f>
        <v/>
      </c>
      <c r="S13">
        <f>IFERROR(VLOOKUP($R13, PRODUITS!A:J, 10, FALSE), 0)</f>
        <v/>
      </c>
      <c r="T13">
        <f>$S13*2</f>
        <v/>
      </c>
      <c r="U13">
        <f>IFERROR($S13*VLOOKUP($R13, PRODUITS!A:G, 7, FALSE), 0)</f>
        <v/>
      </c>
      <c r="V13" s="7">
        <f>IF($S13&lt;=0,"⚠️ RUPTURE",IF($S13&lt;=$T13,"⚠️ CRITIQUE",IF($S13&lt;=$U13/2,"⚡ ATTENTION","✓ OK")))</f>
        <v/>
      </c>
    </row>
    <row r="14">
      <c r="A14" s="38" t="n"/>
      <c r="G14" s="8" t="n"/>
      <c r="H14" s="8">
        <f>IF(E14="","",E14*G14)</f>
        <v/>
      </c>
      <c r="J14" s="38" t="n"/>
      <c r="L14">
        <f>IF(D14="","",IF(OR(D14="Entrée Achat",D14="Entrée Retour"),K14+E14,K14-E14))</f>
        <v/>
      </c>
      <c r="P14">
        <f>IF(E14="","",IF(OR(D14="Entrée Achat",D14="Entrée Retour"),"✓ Validé",IF(D14="Sortie Perte","⚠️ Perte",IF(D14="Sortie Périmée","🔴 Périmé","✓ Validé"))))</f>
        <v/>
      </c>
      <c r="Q14">
        <f>IFERROR(INDEX(PRODUITS!A:A, 10), "")</f>
        <v/>
      </c>
      <c r="R14">
        <f>IFERROR(VLOOKUP($R14, PRODUITS!A:I, 9, FALSE), 0)</f>
        <v/>
      </c>
      <c r="S14">
        <f>IFERROR(VLOOKUP($R14, PRODUITS!A:J, 10, FALSE), 0)</f>
        <v/>
      </c>
      <c r="T14">
        <f>$S14*2</f>
        <v/>
      </c>
      <c r="U14">
        <f>IFERROR($S14*VLOOKUP($R14, PRODUITS!A:G, 7, FALSE), 0)</f>
        <v/>
      </c>
      <c r="V14" s="7">
        <f>IF($S14&lt;=0,"⚠️ RUPTURE",IF($S14&lt;=$T14,"⚠️ CRITIQUE",IF($S14&lt;=$U14/2,"⚡ ATTENTION","✓ OK")))</f>
        <v/>
      </c>
    </row>
    <row r="15">
      <c r="A15" s="38" t="n"/>
      <c r="G15" s="8" t="n"/>
      <c r="H15" s="8">
        <f>IF(E15="","",E15*G15)</f>
        <v/>
      </c>
      <c r="J15" s="38" t="n"/>
      <c r="L15">
        <f>IF(D15="","",IF(OR(D15="Entrée Achat",D15="Entrée Retour"),K15+E15,K15-E15))</f>
        <v/>
      </c>
      <c r="P15">
        <f>IF(E15="","",IF(OR(D15="Entrée Achat",D15="Entrée Retour"),"✓ Validé",IF(D15="Sortie Perte","⚠️ Perte",IF(D15="Sortie Périmée","🔴 Périmé","✓ Validé"))))</f>
        <v/>
      </c>
      <c r="Q15">
        <f>IFERROR(INDEX(PRODUITS!A:A, 11), "")</f>
        <v/>
      </c>
      <c r="R15">
        <f>IFERROR(VLOOKUP($R15, PRODUITS!A:I, 9, FALSE), 0)</f>
        <v/>
      </c>
      <c r="S15">
        <f>IFERROR(VLOOKUP($R15, PRODUITS!A:J, 10, FALSE), 0)</f>
        <v/>
      </c>
      <c r="T15">
        <f>$S15*2</f>
        <v/>
      </c>
      <c r="U15">
        <f>IFERROR($S15*VLOOKUP($R15, PRODUITS!A:G, 7, FALSE), 0)</f>
        <v/>
      </c>
      <c r="V15" s="7">
        <f>IF($S15&lt;=0,"⚠️ RUPTURE",IF($S15&lt;=$T15,"⚠️ CRITIQUE",IF($S15&lt;=$U15/2,"⚡ ATTENTION","✓ OK")))</f>
        <v/>
      </c>
    </row>
    <row r="16">
      <c r="A16" s="38" t="n"/>
      <c r="G16" s="8" t="n"/>
      <c r="H16" s="8">
        <f>IF(E16="","",E16*G16)</f>
        <v/>
      </c>
      <c r="J16" s="38" t="n"/>
      <c r="L16">
        <f>IF(D16="","",IF(OR(D16="Entrée Achat",D16="Entrée Retour"),K16+E16,K16-E16))</f>
        <v/>
      </c>
      <c r="P16">
        <f>IF(E16="","",IF(OR(D16="Entrée Achat",D16="Entrée Retour"),"✓ Validé",IF(D16="Sortie Perte","⚠️ Perte",IF(D16="Sortie Périmée","🔴 Périmé","✓ Validé"))))</f>
        <v/>
      </c>
      <c r="Q16">
        <f>IFERROR(INDEX(PRODUITS!A:A, 12), "")</f>
        <v/>
      </c>
      <c r="R16">
        <f>IFERROR(VLOOKUP($R16, PRODUITS!A:I, 9, FALSE), 0)</f>
        <v/>
      </c>
      <c r="S16">
        <f>IFERROR(VLOOKUP($R16, PRODUITS!A:J, 10, FALSE), 0)</f>
        <v/>
      </c>
      <c r="T16">
        <f>$S16*2</f>
        <v/>
      </c>
      <c r="U16">
        <f>IFERROR($S16*VLOOKUP($R16, PRODUITS!A:G, 7, FALSE), 0)</f>
        <v/>
      </c>
      <c r="V16" s="7">
        <f>IF($S16&lt;=0,"⚠️ RUPTURE",IF($S16&lt;=$T16,"⚠️ CRITIQUE",IF($S16&lt;=$U16/2,"⚡ ATTENTION","✓ OK")))</f>
        <v/>
      </c>
    </row>
    <row r="17">
      <c r="A17" s="38" t="n"/>
      <c r="G17" s="8" t="n"/>
      <c r="H17" s="8">
        <f>IF(E17="","",E17*G17)</f>
        <v/>
      </c>
      <c r="J17" s="38" t="n"/>
      <c r="L17">
        <f>IF(D17="","",IF(OR(D17="Entrée Achat",D17="Entrée Retour"),K17+E17,K17-E17))</f>
        <v/>
      </c>
      <c r="P17">
        <f>IF(E17="","",IF(OR(D17="Entrée Achat",D17="Entrée Retour"),"✓ Validé",IF(D17="Sortie Perte","⚠️ Perte",IF(D17="Sortie Périmée","🔴 Périmé","✓ Validé"))))</f>
        <v/>
      </c>
      <c r="Q17">
        <f>IFERROR(INDEX(PRODUITS!A:A, 13), "")</f>
        <v/>
      </c>
      <c r="R17">
        <f>IFERROR(VLOOKUP($R17, PRODUITS!A:I, 9, FALSE), 0)</f>
        <v/>
      </c>
      <c r="S17">
        <f>IFERROR(VLOOKUP($R17, PRODUITS!A:J, 10, FALSE), 0)</f>
        <v/>
      </c>
      <c r="T17">
        <f>$S17*2</f>
        <v/>
      </c>
      <c r="U17">
        <f>IFERROR($S17*VLOOKUP($R17, PRODUITS!A:G, 7, FALSE), 0)</f>
        <v/>
      </c>
      <c r="V17" s="7">
        <f>IF($S17&lt;=0,"⚠️ RUPTURE",IF($S17&lt;=$T17,"⚠️ CRITIQUE",IF($S17&lt;=$U17/2,"⚡ ATTENTION","✓ OK")))</f>
        <v/>
      </c>
    </row>
    <row r="18">
      <c r="A18" s="38" t="n"/>
      <c r="G18" s="8" t="n"/>
      <c r="H18" s="8">
        <f>IF(E18="","",E18*G18)</f>
        <v/>
      </c>
      <c r="J18" s="38" t="n"/>
      <c r="L18">
        <f>IF(D18="","",IF(OR(D18="Entrée Achat",D18="Entrée Retour"),K18+E18,K18-E18))</f>
        <v/>
      </c>
      <c r="P18">
        <f>IF(E18="","",IF(OR(D18="Entrée Achat",D18="Entrée Retour"),"✓ Validé",IF(D18="Sortie Perte","⚠️ Perte",IF(D18="Sortie Périmée","🔴 Périmé","✓ Validé"))))</f>
        <v/>
      </c>
      <c r="Q18">
        <f>IFERROR(INDEX(PRODUITS!A:A, 14), "")</f>
        <v/>
      </c>
      <c r="R18">
        <f>IFERROR(VLOOKUP($R18, PRODUITS!A:I, 9, FALSE), 0)</f>
        <v/>
      </c>
      <c r="S18">
        <f>IFERROR(VLOOKUP($R18, PRODUITS!A:J, 10, FALSE), 0)</f>
        <v/>
      </c>
      <c r="T18">
        <f>$S18*2</f>
        <v/>
      </c>
      <c r="U18">
        <f>IFERROR($S18*VLOOKUP($R18, PRODUITS!A:G, 7, FALSE), 0)</f>
        <v/>
      </c>
      <c r="V18" s="7">
        <f>IF($S18&lt;=0,"⚠️ RUPTURE",IF($S18&lt;=$T18,"⚠️ CRITIQUE",IF($S18&lt;=$U18/2,"⚡ ATTENTION","✓ OK")))</f>
        <v/>
      </c>
    </row>
    <row r="19">
      <c r="A19" s="38" t="n"/>
      <c r="G19" s="8" t="n"/>
      <c r="H19" s="8">
        <f>IF(E19="","",E19*G19)</f>
        <v/>
      </c>
      <c r="J19" s="38" t="n"/>
      <c r="L19">
        <f>IF(D19="","",IF(OR(D19="Entrée Achat",D19="Entrée Retour"),K19+E19,K19-E19))</f>
        <v/>
      </c>
      <c r="P19">
        <f>IF(E19="","",IF(OR(D19="Entrée Achat",D19="Entrée Retour"),"✓ Validé",IF(D19="Sortie Perte","⚠️ Perte",IF(D19="Sortie Périmée","🔴 Périmé","✓ Validé"))))</f>
        <v/>
      </c>
      <c r="Q19">
        <f>IFERROR(INDEX(PRODUITS!A:A, 15), "")</f>
        <v/>
      </c>
      <c r="R19">
        <f>IFERROR(VLOOKUP($R19, PRODUITS!A:I, 9, FALSE), 0)</f>
        <v/>
      </c>
      <c r="S19">
        <f>IFERROR(VLOOKUP($R19, PRODUITS!A:J, 10, FALSE), 0)</f>
        <v/>
      </c>
      <c r="T19">
        <f>$S19*2</f>
        <v/>
      </c>
      <c r="U19">
        <f>IFERROR($S19*VLOOKUP($R19, PRODUITS!A:G, 7, FALSE), 0)</f>
        <v/>
      </c>
      <c r="V19" s="7">
        <f>IF($S19&lt;=0,"⚠️ RUPTURE",IF($S19&lt;=$T19,"⚠️ CRITIQUE",IF($S19&lt;=$U19/2,"⚡ ATTENTION","✓ OK")))</f>
        <v/>
      </c>
    </row>
    <row r="20">
      <c r="A20" s="38" t="n"/>
      <c r="G20" s="8" t="n"/>
      <c r="H20" s="8">
        <f>IF(E20="","",E20*G20)</f>
        <v/>
      </c>
      <c r="J20" s="38" t="n"/>
      <c r="L20">
        <f>IF(D20="","",IF(OR(D20="Entrée Achat",D20="Entrée Retour"),K20+E20,K20-E20))</f>
        <v/>
      </c>
      <c r="P20">
        <f>IF(E20="","",IF(OR(D20="Entrée Achat",D20="Entrée Retour"),"✓ Validé",IF(D20="Sortie Perte","⚠️ Perte",IF(D20="Sortie Périmée","🔴 Périmé","✓ Validé"))))</f>
        <v/>
      </c>
      <c r="Q20">
        <f>IFERROR(INDEX(PRODUITS!A:A, 16), "")</f>
        <v/>
      </c>
      <c r="R20">
        <f>IFERROR(VLOOKUP($R20, PRODUITS!A:I, 9, FALSE), 0)</f>
        <v/>
      </c>
      <c r="S20">
        <f>IFERROR(VLOOKUP($R20, PRODUITS!A:J, 10, FALSE), 0)</f>
        <v/>
      </c>
      <c r="T20">
        <f>$S20*2</f>
        <v/>
      </c>
      <c r="U20">
        <f>IFERROR($S20*VLOOKUP($R20, PRODUITS!A:G, 7, FALSE), 0)</f>
        <v/>
      </c>
      <c r="V20" s="7">
        <f>IF($S20&lt;=0,"⚠️ RUPTURE",IF($S20&lt;=$T20,"⚠️ CRITIQUE",IF($S20&lt;=$U20/2,"⚡ ATTENTION","✓ OK")))</f>
        <v/>
      </c>
    </row>
    <row r="21">
      <c r="A21" s="38" t="n"/>
      <c r="G21" s="8" t="n"/>
      <c r="H21" s="8">
        <f>IF(E21="","",E21*G21)</f>
        <v/>
      </c>
      <c r="J21" s="38" t="n"/>
      <c r="L21">
        <f>IF(D21="","",IF(OR(D21="Entrée Achat",D21="Entrée Retour"),K21+E21,K21-E21))</f>
        <v/>
      </c>
      <c r="P21">
        <f>IF(E21="","",IF(OR(D21="Entrée Achat",D21="Entrée Retour"),"✓ Validé",IF(D21="Sortie Perte","⚠️ Perte",IF(D21="Sortie Périmée","🔴 Périmé","✓ Validé"))))</f>
        <v/>
      </c>
      <c r="Q21">
        <f>IFERROR(INDEX(PRODUITS!A:A, 17), "")</f>
        <v/>
      </c>
      <c r="R21">
        <f>IFERROR(VLOOKUP($R21, PRODUITS!A:I, 9, FALSE), 0)</f>
        <v/>
      </c>
      <c r="S21">
        <f>IFERROR(VLOOKUP($R21, PRODUITS!A:J, 10, FALSE), 0)</f>
        <v/>
      </c>
      <c r="T21">
        <f>$S21*2</f>
        <v/>
      </c>
      <c r="U21">
        <f>IFERROR($S21*VLOOKUP($R21, PRODUITS!A:G, 7, FALSE), 0)</f>
        <v/>
      </c>
      <c r="V21" s="7">
        <f>IF($S21&lt;=0,"⚠️ RUPTURE",IF($S21&lt;=$T21,"⚠️ CRITIQUE",IF($S21&lt;=$U21/2,"⚡ ATTENTION","✓ OK")))</f>
        <v/>
      </c>
    </row>
    <row r="22">
      <c r="A22" s="38" t="n"/>
      <c r="G22" s="8" t="n"/>
      <c r="H22" s="8">
        <f>IF(E22="","",E22*G22)</f>
        <v/>
      </c>
      <c r="J22" s="38" t="n"/>
      <c r="L22">
        <f>IF(D22="","",IF(OR(D22="Entrée Achat",D22="Entrée Retour"),K22+E22,K22-E22))</f>
        <v/>
      </c>
      <c r="P22">
        <f>IF(E22="","",IF(OR(D22="Entrée Achat",D22="Entrée Retour"),"✓ Validé",IF(D22="Sortie Perte","⚠️ Perte",IF(D22="Sortie Périmée","🔴 Périmé","✓ Validé"))))</f>
        <v/>
      </c>
      <c r="Q22">
        <f>IFERROR(INDEX(PRODUITS!A:A, 18), "")</f>
        <v/>
      </c>
      <c r="R22">
        <f>IFERROR(VLOOKUP($R22, PRODUITS!A:I, 9, FALSE), 0)</f>
        <v/>
      </c>
      <c r="S22">
        <f>IFERROR(VLOOKUP($R22, PRODUITS!A:J, 10, FALSE), 0)</f>
        <v/>
      </c>
      <c r="T22">
        <f>$S22*2</f>
        <v/>
      </c>
      <c r="U22">
        <f>IFERROR($S22*VLOOKUP($R22, PRODUITS!A:G, 7, FALSE), 0)</f>
        <v/>
      </c>
      <c r="V22" s="7">
        <f>IF($S22&lt;=0,"⚠️ RUPTURE",IF($S22&lt;=$T22,"⚠️ CRITIQUE",IF($S22&lt;=$U22/2,"⚡ ATTENTION","✓ OK")))</f>
        <v/>
      </c>
    </row>
    <row r="23">
      <c r="A23" s="38" t="n"/>
      <c r="G23" s="8" t="n"/>
      <c r="H23" s="8">
        <f>IF(E23="","",E23*G23)</f>
        <v/>
      </c>
      <c r="J23" s="38" t="n"/>
      <c r="L23">
        <f>IF(D23="","",IF(OR(D23="Entrée Achat",D23="Entrée Retour"),K23+E23,K23-E23))</f>
        <v/>
      </c>
      <c r="P23">
        <f>IF(E23="","",IF(OR(D23="Entrée Achat",D23="Entrée Retour"),"✓ Validé",IF(D23="Sortie Perte","⚠️ Perte",IF(D23="Sortie Périmée","🔴 Périmé","✓ Validé"))))</f>
        <v/>
      </c>
      <c r="Q23">
        <f>IFERROR(INDEX(PRODUITS!A:A, 19), "")</f>
        <v/>
      </c>
      <c r="R23">
        <f>IFERROR(VLOOKUP($R23, PRODUITS!A:I, 9, FALSE), 0)</f>
        <v/>
      </c>
      <c r="S23">
        <f>IFERROR(VLOOKUP($R23, PRODUITS!A:J, 10, FALSE), 0)</f>
        <v/>
      </c>
      <c r="T23">
        <f>$S23*2</f>
        <v/>
      </c>
      <c r="U23">
        <f>IFERROR($S23*VLOOKUP($R23, PRODUITS!A:G, 7, FALSE), 0)</f>
        <v/>
      </c>
      <c r="V23" s="7">
        <f>IF($S23&lt;=0,"⚠️ RUPTURE",IF($S23&lt;=$T23,"⚠️ CRITIQUE",IF($S23&lt;=$U23/2,"⚡ ATTENTION","✓ OK")))</f>
        <v/>
      </c>
    </row>
    <row r="24">
      <c r="A24" s="38" t="n"/>
      <c r="G24" s="8" t="n"/>
      <c r="H24" s="8">
        <f>IF(E24="","",E24*G24)</f>
        <v/>
      </c>
      <c r="J24" s="38" t="n"/>
      <c r="L24">
        <f>IF(D24="","",IF(OR(D24="Entrée Achat",D24="Entrée Retour"),K24+E24,K24-E24))</f>
        <v/>
      </c>
      <c r="P24">
        <f>IF(E24="","",IF(OR(D24="Entrée Achat",D24="Entrée Retour"),"✓ Validé",IF(D24="Sortie Perte","⚠️ Perte",IF(D24="Sortie Périmée","🔴 Périmé","✓ Validé"))))</f>
        <v/>
      </c>
      <c r="Q24">
        <f>IFERROR(INDEX(PRODUITS!A:A, 20), "")</f>
        <v/>
      </c>
      <c r="R24">
        <f>IFERROR(VLOOKUP($R24, PRODUITS!A:I, 9, FALSE), 0)</f>
        <v/>
      </c>
      <c r="S24">
        <f>IFERROR(VLOOKUP($R24, PRODUITS!A:J, 10, FALSE), 0)</f>
        <v/>
      </c>
      <c r="T24">
        <f>$S24*2</f>
        <v/>
      </c>
      <c r="U24">
        <f>IFERROR($S24*VLOOKUP($R24, PRODUITS!A:G, 7, FALSE), 0)</f>
        <v/>
      </c>
      <c r="V24" s="7">
        <f>IF($S24&lt;=0,"⚠️ RUPTURE",IF($S24&lt;=$T24,"⚠️ CRITIQUE",IF($S24&lt;=$U24/2,"⚡ ATTENTION","✓ OK")))</f>
        <v/>
      </c>
    </row>
    <row r="25">
      <c r="A25" s="38" t="n"/>
      <c r="G25" s="8" t="n"/>
      <c r="H25" s="8">
        <f>IF(E25="","",E25*G25)</f>
        <v/>
      </c>
      <c r="J25" s="38" t="n"/>
      <c r="L25">
        <f>IF(D25="","",IF(OR(D25="Entrée Achat",D25="Entrée Retour"),K25+E25,K25-E25))</f>
        <v/>
      </c>
      <c r="P25">
        <f>IF(E25="","",IF(OR(D25="Entrée Achat",D25="Entrée Retour"),"✓ Validé",IF(D25="Sortie Perte","⚠️ Perte",IF(D25="Sortie Périmée","🔴 Périmé","✓ Validé"))))</f>
        <v/>
      </c>
      <c r="Q25">
        <f>IFERROR(INDEX(PRODUITS!A:A, 21), "")</f>
        <v/>
      </c>
      <c r="R25">
        <f>IFERROR(VLOOKUP($R25, PRODUITS!A:I, 9, FALSE), 0)</f>
        <v/>
      </c>
      <c r="S25">
        <f>IFERROR(VLOOKUP($R25, PRODUITS!A:J, 10, FALSE), 0)</f>
        <v/>
      </c>
      <c r="T25">
        <f>$S25*2</f>
        <v/>
      </c>
      <c r="U25">
        <f>IFERROR($S25*VLOOKUP($R25, PRODUITS!A:G, 7, FALSE), 0)</f>
        <v/>
      </c>
      <c r="V25" s="7">
        <f>IF($S25&lt;=0,"⚠️ RUPTURE",IF($S25&lt;=$T25,"⚠️ CRITIQUE",IF($S25&lt;=$U25/2,"⚡ ATTENTION","✓ OK")))</f>
        <v/>
      </c>
    </row>
    <row r="26">
      <c r="A26" s="38" t="n"/>
      <c r="G26" s="8" t="n"/>
      <c r="H26" s="8">
        <f>IF(E26="","",E26*G26)</f>
        <v/>
      </c>
      <c r="J26" s="38" t="n"/>
      <c r="L26">
        <f>IF(D26="","",IF(OR(D26="Entrée Achat",D26="Entrée Retour"),K26+E26,K26-E26))</f>
        <v/>
      </c>
      <c r="P26">
        <f>IF(E26="","",IF(OR(D26="Entrée Achat",D26="Entrée Retour"),"✓ Validé",IF(D26="Sortie Perte","⚠️ Perte",IF(D26="Sortie Périmée","🔴 Périmé","✓ Validé"))))</f>
        <v/>
      </c>
      <c r="Q26">
        <f>IFERROR(INDEX(PRODUITS!A:A, 22), "")</f>
        <v/>
      </c>
      <c r="R26">
        <f>IFERROR(VLOOKUP($R26, PRODUITS!A:I, 9, FALSE), 0)</f>
        <v/>
      </c>
      <c r="S26">
        <f>IFERROR(VLOOKUP($R26, PRODUITS!A:J, 10, FALSE), 0)</f>
        <v/>
      </c>
      <c r="T26">
        <f>$S26*2</f>
        <v/>
      </c>
      <c r="U26">
        <f>IFERROR($S26*VLOOKUP($R26, PRODUITS!A:G, 7, FALSE), 0)</f>
        <v/>
      </c>
      <c r="V26" s="7">
        <f>IF($S26&lt;=0,"⚠️ RUPTURE",IF($S26&lt;=$T26,"⚠️ CRITIQUE",IF($S26&lt;=$U26/2,"⚡ ATTENTION","✓ OK")))</f>
        <v/>
      </c>
    </row>
    <row r="27">
      <c r="A27" s="38" t="n"/>
      <c r="G27" s="8" t="n"/>
      <c r="H27" s="8">
        <f>IF(E27="","",E27*G27)</f>
        <v/>
      </c>
      <c r="J27" s="38" t="n"/>
      <c r="L27">
        <f>IF(D27="","",IF(OR(D27="Entrée Achat",D27="Entrée Retour"),K27+E27,K27-E27))</f>
        <v/>
      </c>
      <c r="P27">
        <f>IF(E27="","",IF(OR(D27="Entrée Achat",D27="Entrée Retour"),"✓ Validé",IF(D27="Sortie Perte","⚠️ Perte",IF(D27="Sortie Périmée","🔴 Périmé","✓ Validé"))))</f>
        <v/>
      </c>
      <c r="Q27">
        <f>IFERROR(INDEX(PRODUITS!A:A, 23), "")</f>
        <v/>
      </c>
      <c r="R27">
        <f>IFERROR(VLOOKUP($R27, PRODUITS!A:I, 9, FALSE), 0)</f>
        <v/>
      </c>
      <c r="S27">
        <f>IFERROR(VLOOKUP($R27, PRODUITS!A:J, 10, FALSE), 0)</f>
        <v/>
      </c>
      <c r="T27">
        <f>$S27*2</f>
        <v/>
      </c>
      <c r="U27">
        <f>IFERROR($S27*VLOOKUP($R27, PRODUITS!A:G, 7, FALSE), 0)</f>
        <v/>
      </c>
      <c r="V27" s="7">
        <f>IF($S27&lt;=0,"⚠️ RUPTURE",IF($S27&lt;=$T27,"⚠️ CRITIQUE",IF($S27&lt;=$U27/2,"⚡ ATTENTION","✓ OK")))</f>
        <v/>
      </c>
    </row>
    <row r="28">
      <c r="A28" s="38" t="n"/>
      <c r="G28" s="8" t="n"/>
      <c r="H28" s="8">
        <f>IF(E28="","",E28*G28)</f>
        <v/>
      </c>
      <c r="J28" s="38" t="n"/>
      <c r="L28">
        <f>IF(D28="","",IF(OR(D28="Entrée Achat",D28="Entrée Retour"),K28+E28,K28-E28))</f>
        <v/>
      </c>
      <c r="P28">
        <f>IF(E28="","",IF(OR(D28="Entrée Achat",D28="Entrée Retour"),"✓ Validé",IF(D28="Sortie Perte","⚠️ Perte",IF(D28="Sortie Périmée","🔴 Périmé","✓ Validé"))))</f>
        <v/>
      </c>
      <c r="Q28">
        <f>IFERROR(INDEX(PRODUITS!A:A, 24), "")</f>
        <v/>
      </c>
      <c r="R28">
        <f>IFERROR(VLOOKUP($R28, PRODUITS!A:I, 9, FALSE), 0)</f>
        <v/>
      </c>
      <c r="S28">
        <f>IFERROR(VLOOKUP($R28, PRODUITS!A:J, 10, FALSE), 0)</f>
        <v/>
      </c>
      <c r="T28">
        <f>$S28*2</f>
        <v/>
      </c>
      <c r="U28">
        <f>IFERROR($S28*VLOOKUP($R28, PRODUITS!A:G, 7, FALSE), 0)</f>
        <v/>
      </c>
      <c r="V28" s="7">
        <f>IF($S28&lt;=0,"⚠️ RUPTURE",IF($S28&lt;=$T28,"⚠️ CRITIQUE",IF($S28&lt;=$U28/2,"⚡ ATTENTION","✓ OK")))</f>
        <v/>
      </c>
    </row>
    <row r="29">
      <c r="A29" s="38" t="n"/>
      <c r="G29" s="8" t="n"/>
      <c r="H29" s="8">
        <f>IF(E29="","",E29*G29)</f>
        <v/>
      </c>
      <c r="J29" s="38" t="n"/>
      <c r="L29">
        <f>IF(D29="","",IF(OR(D29="Entrée Achat",D29="Entrée Retour"),K29+E29,K29-E29))</f>
        <v/>
      </c>
      <c r="P29">
        <f>IF(E29="","",IF(OR(D29="Entrée Achat",D29="Entrée Retour"),"✓ Validé",IF(D29="Sortie Perte","⚠️ Perte",IF(D29="Sortie Périmée","🔴 Périmé","✓ Validé"))))</f>
        <v/>
      </c>
      <c r="Q29">
        <f>IFERROR(INDEX(PRODUITS!A:A, 25), "")</f>
        <v/>
      </c>
      <c r="R29">
        <f>IFERROR(VLOOKUP($R29, PRODUITS!A:I, 9, FALSE), 0)</f>
        <v/>
      </c>
      <c r="S29">
        <f>IFERROR(VLOOKUP($R29, PRODUITS!A:J, 10, FALSE), 0)</f>
        <v/>
      </c>
      <c r="T29">
        <f>$S29*2</f>
        <v/>
      </c>
      <c r="U29">
        <f>IFERROR($S29*VLOOKUP($R29, PRODUITS!A:G, 7, FALSE), 0)</f>
        <v/>
      </c>
      <c r="V29" s="7">
        <f>IF($S29&lt;=0,"⚠️ RUPTURE",IF($S29&lt;=$T29,"⚠️ CRITIQUE",IF($S29&lt;=$U29/2,"⚡ ATTENTION","✓ OK")))</f>
        <v/>
      </c>
    </row>
    <row r="30">
      <c r="A30" s="38" t="n"/>
      <c r="G30" s="8" t="n"/>
      <c r="H30" s="8">
        <f>IF(E30="","",E30*G30)</f>
        <v/>
      </c>
      <c r="J30" s="38" t="n"/>
      <c r="L30">
        <f>IF(D30="","",IF(OR(D30="Entrée Achat",D30="Entrée Retour"),K30+E30,K30-E30))</f>
        <v/>
      </c>
      <c r="P30">
        <f>IF(E30="","",IF(OR(D30="Entrée Achat",D30="Entrée Retour"),"✓ Validé",IF(D30="Sortie Perte","⚠️ Perte",IF(D30="Sortie Périmée","🔴 Périmé","✓ Validé"))))</f>
        <v/>
      </c>
      <c r="Q30">
        <f>IFERROR(INDEX(PRODUITS!A:A, 26), "")</f>
        <v/>
      </c>
      <c r="R30">
        <f>IFERROR(VLOOKUP($R30, PRODUITS!A:I, 9, FALSE), 0)</f>
        <v/>
      </c>
      <c r="S30">
        <f>IFERROR(VLOOKUP($R30, PRODUITS!A:J, 10, FALSE), 0)</f>
        <v/>
      </c>
      <c r="T30">
        <f>$S30*2</f>
        <v/>
      </c>
      <c r="U30">
        <f>IFERROR($S30*VLOOKUP($R30, PRODUITS!A:G, 7, FALSE), 0)</f>
        <v/>
      </c>
      <c r="V30" s="7">
        <f>IF($S30&lt;=0,"⚠️ RUPTURE",IF($S30&lt;=$T30,"⚠️ CRITIQUE",IF($S30&lt;=$U30/2,"⚡ ATTENTION","✓ OK")))</f>
        <v/>
      </c>
    </row>
    <row r="31">
      <c r="A31" s="38" t="n"/>
      <c r="G31" s="8" t="n"/>
      <c r="H31" s="8">
        <f>IF(E31="","",E31*G31)</f>
        <v/>
      </c>
      <c r="J31" s="38" t="n"/>
      <c r="L31">
        <f>IF(D31="","",IF(OR(D31="Entrée Achat",D31="Entrée Retour"),K31+E31,K31-E31))</f>
        <v/>
      </c>
      <c r="P31">
        <f>IF(E31="","",IF(OR(D31="Entrée Achat",D31="Entrée Retour"),"✓ Validé",IF(D31="Sortie Perte","⚠️ Perte",IF(D31="Sortie Périmée","🔴 Périmé","✓ Validé"))))</f>
        <v/>
      </c>
      <c r="Q31">
        <f>IFERROR(INDEX(PRODUITS!A:A, 27), "")</f>
        <v/>
      </c>
      <c r="R31">
        <f>IFERROR(VLOOKUP($R31, PRODUITS!A:I, 9, FALSE), 0)</f>
        <v/>
      </c>
      <c r="S31">
        <f>IFERROR(VLOOKUP($R31, PRODUITS!A:J, 10, FALSE), 0)</f>
        <v/>
      </c>
      <c r="T31">
        <f>$S31*2</f>
        <v/>
      </c>
      <c r="U31">
        <f>IFERROR($S31*VLOOKUP($R31, PRODUITS!A:G, 7, FALSE), 0)</f>
        <v/>
      </c>
      <c r="V31" s="7">
        <f>IF($S31&lt;=0,"⚠️ RUPTURE",IF($S31&lt;=$T31,"⚠️ CRITIQUE",IF($S31&lt;=$U31/2,"⚡ ATTENTION","✓ OK")))</f>
        <v/>
      </c>
    </row>
    <row r="32">
      <c r="A32" s="38" t="n"/>
      <c r="G32" s="8" t="n"/>
      <c r="H32" s="8">
        <f>IF(E32="","",E32*G32)</f>
        <v/>
      </c>
      <c r="J32" s="38" t="n"/>
      <c r="L32">
        <f>IF(D32="","",IF(OR(D32="Entrée Achat",D32="Entrée Retour"),K32+E32,K32-E32))</f>
        <v/>
      </c>
      <c r="P32">
        <f>IF(E32="","",IF(OR(D32="Entrée Achat",D32="Entrée Retour"),"✓ Validé",IF(D32="Sortie Perte","⚠️ Perte",IF(D32="Sortie Périmée","🔴 Périmé","✓ Validé"))))</f>
        <v/>
      </c>
      <c r="Q32">
        <f>IFERROR(INDEX(PRODUITS!A:A, 28), "")</f>
        <v/>
      </c>
      <c r="R32">
        <f>IFERROR(VLOOKUP($R32, PRODUITS!A:I, 9, FALSE), 0)</f>
        <v/>
      </c>
      <c r="S32">
        <f>IFERROR(VLOOKUP($R32, PRODUITS!A:J, 10, FALSE), 0)</f>
        <v/>
      </c>
      <c r="T32">
        <f>$S32*2</f>
        <v/>
      </c>
      <c r="U32">
        <f>IFERROR($S32*VLOOKUP($R32, PRODUITS!A:G, 7, FALSE), 0)</f>
        <v/>
      </c>
      <c r="V32" s="7">
        <f>IF($S32&lt;=0,"⚠️ RUPTURE",IF($S32&lt;=$T32,"⚠️ CRITIQUE",IF($S32&lt;=$U32/2,"⚡ ATTENTION","✓ OK")))</f>
        <v/>
      </c>
    </row>
    <row r="33">
      <c r="A33" s="38" t="n"/>
      <c r="G33" s="8" t="n"/>
      <c r="H33" s="8">
        <f>IF(E33="","",E33*G33)</f>
        <v/>
      </c>
      <c r="J33" s="38" t="n"/>
      <c r="L33">
        <f>IF(D33="","",IF(OR(D33="Entrée Achat",D33="Entrée Retour"),K33+E33,K33-E33))</f>
        <v/>
      </c>
      <c r="P33">
        <f>IF(E33="","",IF(OR(D33="Entrée Achat",D33="Entrée Retour"),"✓ Validé",IF(D33="Sortie Perte","⚠️ Perte",IF(D33="Sortie Périmée","🔴 Périmé","✓ Validé"))))</f>
        <v/>
      </c>
      <c r="Q33">
        <f>IFERROR(INDEX(PRODUITS!A:A, 29), "")</f>
        <v/>
      </c>
      <c r="R33">
        <f>IFERROR(VLOOKUP($R33, PRODUITS!A:I, 9, FALSE), 0)</f>
        <v/>
      </c>
      <c r="S33">
        <f>IFERROR(VLOOKUP($R33, PRODUITS!A:J, 10, FALSE), 0)</f>
        <v/>
      </c>
      <c r="T33">
        <f>$S33*2</f>
        <v/>
      </c>
      <c r="U33">
        <f>IFERROR($S33*VLOOKUP($R33, PRODUITS!A:G, 7, FALSE), 0)</f>
        <v/>
      </c>
      <c r="V33" s="7">
        <f>IF($S33&lt;=0,"⚠️ RUPTURE",IF($S33&lt;=$T33,"⚠️ CRITIQUE",IF($S33&lt;=$U33/2,"⚡ ATTENTION","✓ OK")))</f>
        <v/>
      </c>
    </row>
    <row r="34">
      <c r="A34" s="38" t="n"/>
      <c r="G34" s="8" t="n"/>
      <c r="H34" s="8">
        <f>IF(E34="","",E34*G34)</f>
        <v/>
      </c>
      <c r="J34" s="38" t="n"/>
      <c r="L34">
        <f>IF(D34="","",IF(OR(D34="Entrée Achat",D34="Entrée Retour"),K34+E34,K34-E34))</f>
        <v/>
      </c>
      <c r="P34">
        <f>IF(E34="","",IF(OR(D34="Entrée Achat",D34="Entrée Retour"),"✓ Validé",IF(D34="Sortie Perte","⚠️ Perte",IF(D34="Sortie Périmée","🔴 Périmé","✓ Validé"))))</f>
        <v/>
      </c>
      <c r="Q34">
        <f>IFERROR(INDEX(PRODUITS!A:A, 30), "")</f>
        <v/>
      </c>
      <c r="R34">
        <f>IFERROR(VLOOKUP($R34, PRODUITS!A:I, 9, FALSE), 0)</f>
        <v/>
      </c>
      <c r="S34">
        <f>IFERROR(VLOOKUP($R34, PRODUITS!A:J, 10, FALSE), 0)</f>
        <v/>
      </c>
      <c r="T34">
        <f>$S34*2</f>
        <v/>
      </c>
      <c r="U34">
        <f>IFERROR($S34*VLOOKUP($R34, PRODUITS!A:G, 7, FALSE), 0)</f>
        <v/>
      </c>
      <c r="V34" s="7">
        <f>IF($S34&lt;=0,"⚠️ RUPTURE",IF($S34&lt;=$T34,"⚠️ CRITIQUE",IF($S34&lt;=$U34/2,"⚡ ATTENTION","✓ OK")))</f>
        <v/>
      </c>
    </row>
    <row r="35">
      <c r="A35" s="38" t="n"/>
      <c r="G35" s="8" t="n"/>
      <c r="H35" s="8">
        <f>IF(E35="","",E35*G35)</f>
        <v/>
      </c>
      <c r="J35" s="38" t="n"/>
      <c r="L35">
        <f>IF(D35="","",IF(OR(D35="Entrée Achat",D35="Entrée Retour"),K35+E35,K35-E35))</f>
        <v/>
      </c>
      <c r="P35">
        <f>IF(E35="","",IF(OR(D35="Entrée Achat",D35="Entrée Retour"),"✓ Validé",IF(D35="Sortie Perte","⚠️ Perte",IF(D35="Sortie Périmée","🔴 Périmé","✓ Validé"))))</f>
        <v/>
      </c>
      <c r="Q35">
        <f>IFERROR(INDEX(PRODUITS!A:A, 31), "")</f>
        <v/>
      </c>
      <c r="R35">
        <f>IFERROR(VLOOKUP($R35, PRODUITS!A:I, 9, FALSE), 0)</f>
        <v/>
      </c>
      <c r="S35">
        <f>IFERROR(VLOOKUP($R35, PRODUITS!A:J, 10, FALSE), 0)</f>
        <v/>
      </c>
      <c r="T35">
        <f>$S35*2</f>
        <v/>
      </c>
      <c r="U35">
        <f>IFERROR($S35*VLOOKUP($R35, PRODUITS!A:G, 7, FALSE), 0)</f>
        <v/>
      </c>
      <c r="V35" s="7">
        <f>IF($S35&lt;=0,"⚠️ RUPTURE",IF($S35&lt;=$T35,"⚠️ CRITIQUE",IF($S35&lt;=$U35/2,"⚡ ATTENTION","✓ OK")))</f>
        <v/>
      </c>
    </row>
    <row r="36">
      <c r="A36" s="38" t="n"/>
      <c r="G36" s="8" t="n"/>
      <c r="H36" s="8">
        <f>IF(E36="","",E36*G36)</f>
        <v/>
      </c>
      <c r="J36" s="38" t="n"/>
      <c r="L36">
        <f>IF(D36="","",IF(OR(D36="Entrée Achat",D36="Entrée Retour"),K36+E36,K36-E36))</f>
        <v/>
      </c>
      <c r="P36">
        <f>IF(E36="","",IF(OR(D36="Entrée Achat",D36="Entrée Retour"),"✓ Validé",IF(D36="Sortie Perte","⚠️ Perte",IF(D36="Sortie Périmée","🔴 Périmé","✓ Validé"))))</f>
        <v/>
      </c>
      <c r="Q36">
        <f>IFERROR(INDEX(PRODUITS!A:A, 32), "")</f>
        <v/>
      </c>
      <c r="R36">
        <f>IFERROR(VLOOKUP($R36, PRODUITS!A:I, 9, FALSE), 0)</f>
        <v/>
      </c>
      <c r="S36">
        <f>IFERROR(VLOOKUP($R36, PRODUITS!A:J, 10, FALSE), 0)</f>
        <v/>
      </c>
      <c r="T36">
        <f>$S36*2</f>
        <v/>
      </c>
      <c r="U36">
        <f>IFERROR($S36*VLOOKUP($R36, PRODUITS!A:G, 7, FALSE), 0)</f>
        <v/>
      </c>
      <c r="V36" s="7">
        <f>IF($S36&lt;=0,"⚠️ RUPTURE",IF($S36&lt;=$T36,"⚠️ CRITIQUE",IF($S36&lt;=$U36/2,"⚡ ATTENTION","✓ OK")))</f>
        <v/>
      </c>
    </row>
    <row r="37">
      <c r="A37" s="38" t="n"/>
      <c r="G37" s="8" t="n"/>
      <c r="H37" s="8">
        <f>IF(E37="","",E37*G37)</f>
        <v/>
      </c>
      <c r="J37" s="38" t="n"/>
      <c r="L37">
        <f>IF(D37="","",IF(OR(D37="Entrée Achat",D37="Entrée Retour"),K37+E37,K37-E37))</f>
        <v/>
      </c>
      <c r="P37">
        <f>IF(E37="","",IF(OR(D37="Entrée Achat",D37="Entrée Retour"),"✓ Validé",IF(D37="Sortie Perte","⚠️ Perte",IF(D37="Sortie Périmée","🔴 Périmé","✓ Validé"))))</f>
        <v/>
      </c>
      <c r="Q37">
        <f>IFERROR(INDEX(PRODUITS!A:A, 33), "")</f>
        <v/>
      </c>
      <c r="R37">
        <f>IFERROR(VLOOKUP($R37, PRODUITS!A:I, 9, FALSE), 0)</f>
        <v/>
      </c>
      <c r="S37">
        <f>IFERROR(VLOOKUP($R37, PRODUITS!A:J, 10, FALSE), 0)</f>
        <v/>
      </c>
      <c r="T37">
        <f>$S37*2</f>
        <v/>
      </c>
      <c r="U37">
        <f>IFERROR($S37*VLOOKUP($R37, PRODUITS!A:G, 7, FALSE), 0)</f>
        <v/>
      </c>
      <c r="V37" s="7">
        <f>IF($S37&lt;=0,"⚠️ RUPTURE",IF($S37&lt;=$T37,"⚠️ CRITIQUE",IF($S37&lt;=$U37/2,"⚡ ATTENTION","✓ OK")))</f>
        <v/>
      </c>
    </row>
    <row r="38">
      <c r="A38" s="38" t="n"/>
      <c r="G38" s="8" t="n"/>
      <c r="H38" s="8">
        <f>IF(E38="","",E38*G38)</f>
        <v/>
      </c>
      <c r="J38" s="38" t="n"/>
      <c r="L38">
        <f>IF(D38="","",IF(OR(D38="Entrée Achat",D38="Entrée Retour"),K38+E38,K38-E38))</f>
        <v/>
      </c>
      <c r="P38">
        <f>IF(E38="","",IF(OR(D38="Entrée Achat",D38="Entrée Retour"),"✓ Validé",IF(D38="Sortie Perte","⚠️ Perte",IF(D38="Sortie Périmée","🔴 Périmé","✓ Validé"))))</f>
        <v/>
      </c>
      <c r="Q38">
        <f>IFERROR(INDEX(PRODUITS!A:A, 34), "")</f>
        <v/>
      </c>
      <c r="R38">
        <f>IFERROR(VLOOKUP($R38, PRODUITS!A:I, 9, FALSE), 0)</f>
        <v/>
      </c>
      <c r="S38">
        <f>IFERROR(VLOOKUP($R38, PRODUITS!A:J, 10, FALSE), 0)</f>
        <v/>
      </c>
      <c r="T38">
        <f>$S38*2</f>
        <v/>
      </c>
      <c r="U38">
        <f>IFERROR($S38*VLOOKUP($R38, PRODUITS!A:G, 7, FALSE), 0)</f>
        <v/>
      </c>
      <c r="V38" s="7">
        <f>IF($S38&lt;=0,"⚠️ RUPTURE",IF($S38&lt;=$T38,"⚠️ CRITIQUE",IF($S38&lt;=$U38/2,"⚡ ATTENTION","✓ OK")))</f>
        <v/>
      </c>
    </row>
    <row r="39">
      <c r="A39" s="38" t="n"/>
      <c r="G39" s="8" t="n"/>
      <c r="H39" s="8">
        <f>IF(E39="","",E39*G39)</f>
        <v/>
      </c>
      <c r="J39" s="38" t="n"/>
      <c r="L39">
        <f>IF(D39="","",IF(OR(D39="Entrée Achat",D39="Entrée Retour"),K39+E39,K39-E39))</f>
        <v/>
      </c>
      <c r="P39">
        <f>IF(E39="","",IF(OR(D39="Entrée Achat",D39="Entrée Retour"),"✓ Validé",IF(D39="Sortie Perte","⚠️ Perte",IF(D39="Sortie Périmée","🔴 Périmé","✓ Validé"))))</f>
        <v/>
      </c>
      <c r="Q39">
        <f>IFERROR(INDEX(PRODUITS!A:A, 35), "")</f>
        <v/>
      </c>
      <c r="R39">
        <f>IFERROR(VLOOKUP($R39, PRODUITS!A:I, 9, FALSE), 0)</f>
        <v/>
      </c>
      <c r="S39">
        <f>IFERROR(VLOOKUP($R39, PRODUITS!A:J, 10, FALSE), 0)</f>
        <v/>
      </c>
      <c r="T39">
        <f>$S39*2</f>
        <v/>
      </c>
      <c r="U39">
        <f>IFERROR($S39*VLOOKUP($R39, PRODUITS!A:G, 7, FALSE), 0)</f>
        <v/>
      </c>
      <c r="V39" s="7">
        <f>IF($S39&lt;=0,"⚠️ RUPTURE",IF($S39&lt;=$T39,"⚠️ CRITIQUE",IF($S39&lt;=$U39/2,"⚡ ATTENTION","✓ OK")))</f>
        <v/>
      </c>
    </row>
    <row r="40">
      <c r="A40" s="38" t="n"/>
      <c r="G40" s="8" t="n"/>
      <c r="H40" s="8">
        <f>IF(E40="","",E40*G40)</f>
        <v/>
      </c>
      <c r="J40" s="38" t="n"/>
      <c r="L40">
        <f>IF(D40="","",IF(OR(D40="Entrée Achat",D40="Entrée Retour"),K40+E40,K40-E40))</f>
        <v/>
      </c>
      <c r="P40">
        <f>IF(E40="","",IF(OR(D40="Entrée Achat",D40="Entrée Retour"),"✓ Validé",IF(D40="Sortie Perte","⚠️ Perte",IF(D40="Sortie Périmée","🔴 Périmé","✓ Validé"))))</f>
        <v/>
      </c>
      <c r="Q40">
        <f>IFERROR(INDEX(PRODUITS!A:A, 36), "")</f>
        <v/>
      </c>
      <c r="R40">
        <f>IFERROR(VLOOKUP($R40, PRODUITS!A:I, 9, FALSE), 0)</f>
        <v/>
      </c>
      <c r="S40">
        <f>IFERROR(VLOOKUP($R40, PRODUITS!A:J, 10, FALSE), 0)</f>
        <v/>
      </c>
      <c r="T40">
        <f>$S40*2</f>
        <v/>
      </c>
      <c r="U40">
        <f>IFERROR($S40*VLOOKUP($R40, PRODUITS!A:G, 7, FALSE), 0)</f>
        <v/>
      </c>
      <c r="V40" s="7">
        <f>IF($S40&lt;=0,"⚠️ RUPTURE",IF($S40&lt;=$T40,"⚠️ CRITIQUE",IF($S40&lt;=$U40/2,"⚡ ATTENTION","✓ OK")))</f>
        <v/>
      </c>
    </row>
    <row r="41">
      <c r="A41" s="38" t="n"/>
      <c r="G41" s="8" t="n"/>
      <c r="H41" s="8">
        <f>IF(E41="","",E41*G41)</f>
        <v/>
      </c>
      <c r="J41" s="38" t="n"/>
      <c r="L41">
        <f>IF(D41="","",IF(OR(D41="Entrée Achat",D41="Entrée Retour"),K41+E41,K41-E41))</f>
        <v/>
      </c>
      <c r="P41">
        <f>IF(E41="","",IF(OR(D41="Entrée Achat",D41="Entrée Retour"),"✓ Validé",IF(D41="Sortie Perte","⚠️ Perte",IF(D41="Sortie Périmée","🔴 Périmé","✓ Validé"))))</f>
        <v/>
      </c>
      <c r="Q41">
        <f>IFERROR(INDEX(PRODUITS!A:A, 37), "")</f>
        <v/>
      </c>
      <c r="R41">
        <f>IFERROR(VLOOKUP($R41, PRODUITS!A:I, 9, FALSE), 0)</f>
        <v/>
      </c>
      <c r="S41">
        <f>IFERROR(VLOOKUP($R41, PRODUITS!A:J, 10, FALSE), 0)</f>
        <v/>
      </c>
      <c r="T41">
        <f>$S41*2</f>
        <v/>
      </c>
      <c r="U41">
        <f>IFERROR($S41*VLOOKUP($R41, PRODUITS!A:G, 7, FALSE), 0)</f>
        <v/>
      </c>
      <c r="V41" s="7">
        <f>IF($S41&lt;=0,"⚠️ RUPTURE",IF($S41&lt;=$T41,"⚠️ CRITIQUE",IF($S41&lt;=$U41/2,"⚡ ATTENTION","✓ OK")))</f>
        <v/>
      </c>
    </row>
    <row r="42">
      <c r="A42" s="38" t="n"/>
      <c r="G42" s="8" t="n"/>
      <c r="H42" s="8">
        <f>IF(E42="","",E42*G42)</f>
        <v/>
      </c>
      <c r="J42" s="38" t="n"/>
      <c r="L42">
        <f>IF(D42="","",IF(OR(D42="Entrée Achat",D42="Entrée Retour"),K42+E42,K42-E42))</f>
        <v/>
      </c>
      <c r="P42">
        <f>IF(E42="","",IF(OR(D42="Entrée Achat",D42="Entrée Retour"),"✓ Validé",IF(D42="Sortie Perte","⚠️ Perte",IF(D42="Sortie Périmée","🔴 Périmé","✓ Validé"))))</f>
        <v/>
      </c>
      <c r="Q42">
        <f>IFERROR(INDEX(PRODUITS!A:A, 38), "")</f>
        <v/>
      </c>
      <c r="R42">
        <f>IFERROR(VLOOKUP($R42, PRODUITS!A:I, 9, FALSE), 0)</f>
        <v/>
      </c>
      <c r="S42">
        <f>IFERROR(VLOOKUP($R42, PRODUITS!A:J, 10, FALSE), 0)</f>
        <v/>
      </c>
      <c r="T42">
        <f>$S42*2</f>
        <v/>
      </c>
      <c r="U42">
        <f>IFERROR($S42*VLOOKUP($R42, PRODUITS!A:G, 7, FALSE), 0)</f>
        <v/>
      </c>
      <c r="V42" s="7">
        <f>IF($S42&lt;=0,"⚠️ RUPTURE",IF($S42&lt;=$T42,"⚠️ CRITIQUE",IF($S42&lt;=$U42/2,"⚡ ATTENTION","✓ OK")))</f>
        <v/>
      </c>
    </row>
    <row r="43">
      <c r="A43" s="38" t="n"/>
      <c r="G43" s="8" t="n"/>
      <c r="H43" s="8">
        <f>IF(E43="","",E43*G43)</f>
        <v/>
      </c>
      <c r="J43" s="38" t="n"/>
      <c r="L43">
        <f>IF(D43="","",IF(OR(D43="Entrée Achat",D43="Entrée Retour"),K43+E43,K43-E43))</f>
        <v/>
      </c>
      <c r="P43">
        <f>IF(E43="","",IF(OR(D43="Entrée Achat",D43="Entrée Retour"),"✓ Validé",IF(D43="Sortie Perte","⚠️ Perte",IF(D43="Sortie Périmée","🔴 Périmé","✓ Validé"))))</f>
        <v/>
      </c>
      <c r="Q43">
        <f>IFERROR(INDEX(PRODUITS!A:A, 39), "")</f>
        <v/>
      </c>
      <c r="R43">
        <f>IFERROR(VLOOKUP($R43, PRODUITS!A:I, 9, FALSE), 0)</f>
        <v/>
      </c>
      <c r="S43">
        <f>IFERROR(VLOOKUP($R43, PRODUITS!A:J, 10, FALSE), 0)</f>
        <v/>
      </c>
      <c r="T43">
        <f>$S43*2</f>
        <v/>
      </c>
      <c r="U43">
        <f>IFERROR($S43*VLOOKUP($R43, PRODUITS!A:G, 7, FALSE), 0)</f>
        <v/>
      </c>
      <c r="V43" s="7">
        <f>IF($S43&lt;=0,"⚠️ RUPTURE",IF($S43&lt;=$T43,"⚠️ CRITIQUE",IF($S43&lt;=$U43/2,"⚡ ATTENTION","✓ OK")))</f>
        <v/>
      </c>
    </row>
    <row r="44">
      <c r="A44" s="38" t="n"/>
      <c r="G44" s="8" t="n"/>
      <c r="H44" s="8">
        <f>IF(E44="","",E44*G44)</f>
        <v/>
      </c>
      <c r="J44" s="38" t="n"/>
      <c r="L44">
        <f>IF(D44="","",IF(OR(D44="Entrée Achat",D44="Entrée Retour"),K44+E44,K44-E44))</f>
        <v/>
      </c>
      <c r="P44">
        <f>IF(E44="","",IF(OR(D44="Entrée Achat",D44="Entrée Retour"),"✓ Validé",IF(D44="Sortie Perte","⚠️ Perte",IF(D44="Sortie Périmée","🔴 Périmé","✓ Validé"))))</f>
        <v/>
      </c>
      <c r="Q44">
        <f>IFERROR(INDEX(PRODUITS!A:A, 40), "")</f>
        <v/>
      </c>
      <c r="R44">
        <f>IFERROR(VLOOKUP($R44, PRODUITS!A:I, 9, FALSE), 0)</f>
        <v/>
      </c>
      <c r="S44">
        <f>IFERROR(VLOOKUP($R44, PRODUITS!A:J, 10, FALSE), 0)</f>
        <v/>
      </c>
      <c r="T44">
        <f>$S44*2</f>
        <v/>
      </c>
      <c r="U44">
        <f>IFERROR($S44*VLOOKUP($R44, PRODUITS!A:G, 7, FALSE), 0)</f>
        <v/>
      </c>
      <c r="V44" s="7">
        <f>IF($S44&lt;=0,"⚠️ RUPTURE",IF($S44&lt;=$T44,"⚠️ CRITIQUE",IF($S44&lt;=$U44/2,"⚡ ATTENTION","✓ OK")))</f>
        <v/>
      </c>
    </row>
    <row r="45">
      <c r="A45" s="38" t="n"/>
      <c r="G45" s="8" t="n"/>
      <c r="H45" s="8">
        <f>IF(E45="","",E45*G45)</f>
        <v/>
      </c>
      <c r="J45" s="38" t="n"/>
      <c r="L45">
        <f>IF(D45="","",IF(OR(D45="Entrée Achat",D45="Entrée Retour"),K45+E45,K45-E45))</f>
        <v/>
      </c>
      <c r="P45">
        <f>IF(E45="","",IF(OR(D45="Entrée Achat",D45="Entrée Retour"),"✓ Validé",IF(D45="Sortie Perte","⚠️ Perte",IF(D45="Sortie Périmée","🔴 Périmé","✓ Validé"))))</f>
        <v/>
      </c>
      <c r="Q45">
        <f>IFERROR(INDEX(PRODUITS!A:A, 41), "")</f>
        <v/>
      </c>
      <c r="R45">
        <f>IFERROR(VLOOKUP($R45, PRODUITS!A:I, 9, FALSE), 0)</f>
        <v/>
      </c>
      <c r="S45">
        <f>IFERROR(VLOOKUP($R45, PRODUITS!A:J, 10, FALSE), 0)</f>
        <v/>
      </c>
      <c r="T45">
        <f>$S45*2</f>
        <v/>
      </c>
      <c r="U45">
        <f>IFERROR($S45*VLOOKUP($R45, PRODUITS!A:G, 7, FALSE), 0)</f>
        <v/>
      </c>
      <c r="V45" s="7">
        <f>IF($S45&lt;=0,"⚠️ RUPTURE",IF($S45&lt;=$T45,"⚠️ CRITIQUE",IF($S45&lt;=$U45/2,"⚡ ATTENTION","✓ OK")))</f>
        <v/>
      </c>
    </row>
    <row r="46">
      <c r="A46" s="38" t="n"/>
      <c r="G46" s="8" t="n"/>
      <c r="H46" s="8">
        <f>IF(E46="","",E46*G46)</f>
        <v/>
      </c>
      <c r="J46" s="38" t="n"/>
      <c r="L46">
        <f>IF(D46="","",IF(OR(D46="Entrée Achat",D46="Entrée Retour"),K46+E46,K46-E46))</f>
        <v/>
      </c>
      <c r="P46">
        <f>IF(E46="","",IF(OR(D46="Entrée Achat",D46="Entrée Retour"),"✓ Validé",IF(D46="Sortie Perte","⚠️ Perte",IF(D46="Sortie Périmée","🔴 Périmé","✓ Validé"))))</f>
        <v/>
      </c>
      <c r="Q46">
        <f>IFERROR(INDEX(PRODUITS!A:A, 42), "")</f>
        <v/>
      </c>
      <c r="R46">
        <f>IFERROR(VLOOKUP($R46, PRODUITS!A:I, 9, FALSE), 0)</f>
        <v/>
      </c>
      <c r="S46">
        <f>IFERROR(VLOOKUP($R46, PRODUITS!A:J, 10, FALSE), 0)</f>
        <v/>
      </c>
      <c r="T46">
        <f>$S46*2</f>
        <v/>
      </c>
      <c r="U46">
        <f>IFERROR($S46*VLOOKUP($R46, PRODUITS!A:G, 7, FALSE), 0)</f>
        <v/>
      </c>
      <c r="V46" s="7">
        <f>IF($S46&lt;=0,"⚠️ RUPTURE",IF($S46&lt;=$T46,"⚠️ CRITIQUE",IF($S46&lt;=$U46/2,"⚡ ATTENTION","✓ OK")))</f>
        <v/>
      </c>
    </row>
    <row r="47">
      <c r="A47" s="38" t="n"/>
      <c r="G47" s="8" t="n"/>
      <c r="H47" s="8">
        <f>IF(E47="","",E47*G47)</f>
        <v/>
      </c>
      <c r="J47" s="38" t="n"/>
      <c r="L47">
        <f>IF(D47="","",IF(OR(D47="Entrée Achat",D47="Entrée Retour"),K47+E47,K47-E47))</f>
        <v/>
      </c>
      <c r="P47">
        <f>IF(E47="","",IF(OR(D47="Entrée Achat",D47="Entrée Retour"),"✓ Validé",IF(D47="Sortie Perte","⚠️ Perte",IF(D47="Sortie Périmée","🔴 Périmé","✓ Validé"))))</f>
        <v/>
      </c>
      <c r="Q47">
        <f>IFERROR(INDEX(PRODUITS!A:A, 43), "")</f>
        <v/>
      </c>
      <c r="R47">
        <f>IFERROR(VLOOKUP($R47, PRODUITS!A:I, 9, FALSE), 0)</f>
        <v/>
      </c>
      <c r="S47">
        <f>IFERROR(VLOOKUP($R47, PRODUITS!A:J, 10, FALSE), 0)</f>
        <v/>
      </c>
      <c r="T47">
        <f>$S47*2</f>
        <v/>
      </c>
      <c r="U47">
        <f>IFERROR($S47*VLOOKUP($R47, PRODUITS!A:G, 7, FALSE), 0)</f>
        <v/>
      </c>
      <c r="V47" s="7">
        <f>IF($S47&lt;=0,"⚠️ RUPTURE",IF($S47&lt;=$T47,"⚠️ CRITIQUE",IF($S47&lt;=$U47/2,"⚡ ATTENTION","✓ OK")))</f>
        <v/>
      </c>
    </row>
    <row r="48">
      <c r="A48" s="38" t="n"/>
      <c r="G48" s="8" t="n"/>
      <c r="H48" s="8">
        <f>IF(E48="","",E48*G48)</f>
        <v/>
      </c>
      <c r="J48" s="38" t="n"/>
      <c r="L48">
        <f>IF(D48="","",IF(OR(D48="Entrée Achat",D48="Entrée Retour"),K48+E48,K48-E48))</f>
        <v/>
      </c>
      <c r="P48">
        <f>IF(E48="","",IF(OR(D48="Entrée Achat",D48="Entrée Retour"),"✓ Validé",IF(D48="Sortie Perte","⚠️ Perte",IF(D48="Sortie Périmée","🔴 Périmé","✓ Validé"))))</f>
        <v/>
      </c>
      <c r="Q48">
        <f>IFERROR(INDEX(PRODUITS!A:A, 44), "")</f>
        <v/>
      </c>
      <c r="R48">
        <f>IFERROR(VLOOKUP($R48, PRODUITS!A:I, 9, FALSE), 0)</f>
        <v/>
      </c>
      <c r="S48">
        <f>IFERROR(VLOOKUP($R48, PRODUITS!A:J, 10, FALSE), 0)</f>
        <v/>
      </c>
      <c r="T48">
        <f>$S48*2</f>
        <v/>
      </c>
      <c r="U48">
        <f>IFERROR($S48*VLOOKUP($R48, PRODUITS!A:G, 7, FALSE), 0)</f>
        <v/>
      </c>
      <c r="V48" s="7">
        <f>IF($S48&lt;=0,"⚠️ RUPTURE",IF($S48&lt;=$T48,"⚠️ CRITIQUE",IF($S48&lt;=$U48/2,"⚡ ATTENTION","✓ OK")))</f>
        <v/>
      </c>
    </row>
    <row r="49">
      <c r="A49" s="38" t="n"/>
      <c r="G49" s="8" t="n"/>
      <c r="H49" s="8">
        <f>IF(E49="","",E49*G49)</f>
        <v/>
      </c>
      <c r="J49" s="38" t="n"/>
      <c r="L49">
        <f>IF(D49="","",IF(OR(D49="Entrée Achat",D49="Entrée Retour"),K49+E49,K49-E49))</f>
        <v/>
      </c>
      <c r="P49">
        <f>IF(E49="","",IF(OR(D49="Entrée Achat",D49="Entrée Retour"),"✓ Validé",IF(D49="Sortie Perte","⚠️ Perte",IF(D49="Sortie Périmée","🔴 Périmé","✓ Validé"))))</f>
        <v/>
      </c>
      <c r="Q49">
        <f>IFERROR(INDEX(PRODUITS!A:A, 45), "")</f>
        <v/>
      </c>
      <c r="R49">
        <f>IFERROR(VLOOKUP($R49, PRODUITS!A:I, 9, FALSE), 0)</f>
        <v/>
      </c>
      <c r="S49">
        <f>IFERROR(VLOOKUP($R49, PRODUITS!A:J, 10, FALSE), 0)</f>
        <v/>
      </c>
      <c r="T49">
        <f>$S49*2</f>
        <v/>
      </c>
      <c r="U49">
        <f>IFERROR($S49*VLOOKUP($R49, PRODUITS!A:G, 7, FALSE), 0)</f>
        <v/>
      </c>
      <c r="V49" s="7">
        <f>IF($S49&lt;=0,"⚠️ RUPTURE",IF($S49&lt;=$T49,"⚠️ CRITIQUE",IF($S49&lt;=$U49/2,"⚡ ATTENTION","✓ OK")))</f>
        <v/>
      </c>
    </row>
    <row r="50">
      <c r="A50" s="38" t="n"/>
      <c r="G50" s="8" t="n"/>
      <c r="H50" s="8">
        <f>IF(E50="","",E50*G50)</f>
        <v/>
      </c>
      <c r="J50" s="38" t="n"/>
      <c r="L50">
        <f>IF(D50="","",IF(OR(D50="Entrée Achat",D50="Entrée Retour"),K50+E50,K50-E50))</f>
        <v/>
      </c>
      <c r="P50">
        <f>IF(E50="","",IF(OR(D50="Entrée Achat",D50="Entrée Retour"),"✓ Validé",IF(D50="Sortie Perte","⚠️ Perte",IF(D50="Sortie Périmée","🔴 Périmé","✓ Validé"))))</f>
        <v/>
      </c>
    </row>
    <row r="51">
      <c r="A51" s="38" t="n"/>
      <c r="G51" s="8" t="n"/>
      <c r="H51" s="8">
        <f>IF(E51="","",E51*G51)</f>
        <v/>
      </c>
      <c r="J51" s="38" t="n"/>
      <c r="L51">
        <f>IF(D51="","",IF(OR(D51="Entrée Achat",D51="Entrée Retour"),K51+E51,K51-E51))</f>
        <v/>
      </c>
      <c r="P51">
        <f>IF(E51="","",IF(OR(D51="Entrée Achat",D51="Entrée Retour"),"✓ Validé",IF(D51="Sortie Perte","⚠️ Perte",IF(D51="Sortie Périmée","🔴 Périmé","✓ Validé"))))</f>
        <v/>
      </c>
    </row>
    <row r="52">
      <c r="A52" s="38" t="n"/>
      <c r="G52" s="8" t="n"/>
      <c r="H52" s="8">
        <f>IF(E52="","",E52*G52)</f>
        <v/>
      </c>
      <c r="J52" s="38" t="n"/>
      <c r="L52">
        <f>IF(D52="","",IF(OR(D52="Entrée Achat",D52="Entrée Retour"),K52+E52,K52-E52))</f>
        <v/>
      </c>
      <c r="P52">
        <f>IF(E52="","",IF(OR(D52="Entrée Achat",D52="Entrée Retour"),"✓ Validé",IF(D52="Sortie Perte","⚠️ Perte",IF(D52="Sortie Périmée","🔴 Périmé","✓ Validé"))))</f>
        <v/>
      </c>
    </row>
    <row r="53">
      <c r="A53" s="38" t="n"/>
      <c r="G53" s="8" t="n"/>
      <c r="H53" s="8">
        <f>IF(E53="","",E53*G53)</f>
        <v/>
      </c>
      <c r="J53" s="38" t="n"/>
      <c r="L53">
        <f>IF(D53="","",IF(OR(D53="Entrée Achat",D53="Entrée Retour"),K53+E53,K53-E53))</f>
        <v/>
      </c>
      <c r="P53">
        <f>IF(E53="","",IF(OR(D53="Entrée Achat",D53="Entrée Retour"),"✓ Validé",IF(D53="Sortie Perte","⚠️ Perte",IF(D53="Sortie Périmée","🔴 Périmé","✓ Validé"))))</f>
        <v/>
      </c>
    </row>
    <row r="54">
      <c r="A54" s="38" t="n"/>
      <c r="G54" s="8" t="n"/>
      <c r="H54" s="8">
        <f>IF(E54="","",E54*G54)</f>
        <v/>
      </c>
      <c r="J54" s="38" t="n"/>
      <c r="L54">
        <f>IF(D54="","",IF(OR(D54="Entrée Achat",D54="Entrée Retour"),K54+E54,K54-E54))</f>
        <v/>
      </c>
      <c r="P54">
        <f>IF(E54="","",IF(OR(D54="Entrée Achat",D54="Entrée Retour"),"✓ Validé",IF(D54="Sortie Perte","⚠️ Perte",IF(D54="Sortie Périmée","🔴 Périmé","✓ Validé"))))</f>
        <v/>
      </c>
    </row>
    <row r="55">
      <c r="A55" s="38" t="n"/>
      <c r="G55" s="8" t="n"/>
      <c r="H55" s="8">
        <f>IF(E55="","",E55*G55)</f>
        <v/>
      </c>
      <c r="J55" s="38" t="n"/>
      <c r="L55">
        <f>IF(D55="","",IF(OR(D55="Entrée Achat",D55="Entrée Retour"),K55+E55,K55-E55))</f>
        <v/>
      </c>
      <c r="P55">
        <f>IF(E55="","",IF(OR(D55="Entrée Achat",D55="Entrée Retour"),"✓ Validé",IF(D55="Sortie Perte","⚠️ Perte",IF(D55="Sortie Périmée","🔴 Périmé","✓ Validé"))))</f>
        <v/>
      </c>
    </row>
    <row r="56">
      <c r="A56" s="38" t="n"/>
      <c r="G56" s="8" t="n"/>
      <c r="H56" s="8">
        <f>IF(E56="","",E56*G56)</f>
        <v/>
      </c>
      <c r="J56" s="38" t="n"/>
      <c r="L56">
        <f>IF(D56="","",IF(OR(D56="Entrée Achat",D56="Entrée Retour"),K56+E56,K56-E56))</f>
        <v/>
      </c>
      <c r="P56">
        <f>IF(E56="","",IF(OR(D56="Entrée Achat",D56="Entrée Retour"),"✓ Validé",IF(D56="Sortie Perte","⚠️ Perte",IF(D56="Sortie Périmée","🔴 Périmé","✓ Validé"))))</f>
        <v/>
      </c>
    </row>
    <row r="57">
      <c r="A57" s="38" t="n"/>
      <c r="G57" s="8" t="n"/>
      <c r="H57" s="8">
        <f>IF(E57="","",E57*G57)</f>
        <v/>
      </c>
      <c r="J57" s="38" t="n"/>
      <c r="L57">
        <f>IF(D57="","",IF(OR(D57="Entrée Achat",D57="Entrée Retour"),K57+E57,K57-E57))</f>
        <v/>
      </c>
      <c r="P57">
        <f>IF(E57="","",IF(OR(D57="Entrée Achat",D57="Entrée Retour"),"✓ Validé",IF(D57="Sortie Perte","⚠️ Perte",IF(D57="Sortie Périmée","🔴 Périmé","✓ Validé"))))</f>
        <v/>
      </c>
    </row>
    <row r="58">
      <c r="A58" s="38" t="n"/>
      <c r="G58" s="8" t="n"/>
      <c r="H58" s="8">
        <f>IF(E58="","",E58*G58)</f>
        <v/>
      </c>
      <c r="J58" s="38" t="n"/>
      <c r="L58">
        <f>IF(D58="","",IF(OR(D58="Entrée Achat",D58="Entrée Retour"),K58+E58,K58-E58))</f>
        <v/>
      </c>
      <c r="P58">
        <f>IF(E58="","",IF(OR(D58="Entrée Achat",D58="Entrée Retour"),"✓ Validé",IF(D58="Sortie Perte","⚠️ Perte",IF(D58="Sortie Périmée","🔴 Périmé","✓ Validé"))))</f>
        <v/>
      </c>
    </row>
    <row r="59">
      <c r="A59" s="38" t="n"/>
      <c r="G59" s="8" t="n"/>
      <c r="H59" s="8">
        <f>IF(E59="","",E59*G59)</f>
        <v/>
      </c>
      <c r="J59" s="38" t="n"/>
      <c r="L59">
        <f>IF(D59="","",IF(OR(D59="Entrée Achat",D59="Entrée Retour"),K59+E59,K59-E59))</f>
        <v/>
      </c>
      <c r="P59">
        <f>IF(E59="","",IF(OR(D59="Entrée Achat",D59="Entrée Retour"),"✓ Validé",IF(D59="Sortie Perte","⚠️ Perte",IF(D59="Sortie Périmée","🔴 Périmé","✓ Validé"))))</f>
        <v/>
      </c>
    </row>
    <row r="60">
      <c r="A60" s="38" t="n"/>
      <c r="G60" s="8" t="n"/>
      <c r="H60" s="8">
        <f>IF(E60="","",E60*G60)</f>
        <v/>
      </c>
      <c r="J60" s="38" t="n"/>
      <c r="L60">
        <f>IF(D60="","",IF(OR(D60="Entrée Achat",D60="Entrée Retour"),K60+E60,K60-E60))</f>
        <v/>
      </c>
      <c r="P60">
        <f>IF(E60="","",IF(OR(D60="Entrée Achat",D60="Entrée Retour"),"✓ Validé",IF(D60="Sortie Perte","⚠️ Perte",IF(D60="Sortie Périmée","🔴 Périmé","✓ Validé"))))</f>
        <v/>
      </c>
    </row>
    <row r="61">
      <c r="A61" s="38" t="n"/>
      <c r="G61" s="8" t="n"/>
      <c r="H61" s="8">
        <f>IF(E61="","",E61*G61)</f>
        <v/>
      </c>
      <c r="J61" s="38" t="n"/>
      <c r="L61">
        <f>IF(D61="","",IF(OR(D61="Entrée Achat",D61="Entrée Retour"),K61+E61,K61-E61))</f>
        <v/>
      </c>
      <c r="P61">
        <f>IF(E61="","",IF(OR(D61="Entrée Achat",D61="Entrée Retour"),"✓ Validé",IF(D61="Sortie Perte","⚠️ Perte",IF(D61="Sortie Périmée","🔴 Périmé","✓ Validé"))))</f>
        <v/>
      </c>
    </row>
    <row r="62">
      <c r="A62" s="38" t="n"/>
      <c r="G62" s="8" t="n"/>
      <c r="H62" s="8">
        <f>IF(E62="","",E62*G62)</f>
        <v/>
      </c>
      <c r="J62" s="38" t="n"/>
      <c r="L62">
        <f>IF(D62="","",IF(OR(D62="Entrée Achat",D62="Entrée Retour"),K62+E62,K62-E62))</f>
        <v/>
      </c>
      <c r="P62">
        <f>IF(E62="","",IF(OR(D62="Entrée Achat",D62="Entrée Retour"),"✓ Validé",IF(D62="Sortie Perte","⚠️ Perte",IF(D62="Sortie Périmée","🔴 Périmé","✓ Validé"))))</f>
        <v/>
      </c>
    </row>
    <row r="63">
      <c r="A63" s="38" t="n"/>
      <c r="G63" s="8" t="n"/>
      <c r="H63" s="8">
        <f>IF(E63="","",E63*G63)</f>
        <v/>
      </c>
      <c r="J63" s="38" t="n"/>
      <c r="L63">
        <f>IF(D63="","",IF(OR(D63="Entrée Achat",D63="Entrée Retour"),K63+E63,K63-E63))</f>
        <v/>
      </c>
      <c r="P63">
        <f>IF(E63="","",IF(OR(D63="Entrée Achat",D63="Entrée Retour"),"✓ Validé",IF(D63="Sortie Perte","⚠️ Perte",IF(D63="Sortie Périmée","🔴 Périmé","✓ Validé"))))</f>
        <v/>
      </c>
    </row>
    <row r="64">
      <c r="A64" s="38" t="n"/>
      <c r="G64" s="8" t="n"/>
      <c r="H64" s="8">
        <f>IF(E64="","",E64*G64)</f>
        <v/>
      </c>
      <c r="J64" s="38" t="n"/>
      <c r="L64">
        <f>IF(D64="","",IF(OR(D64="Entrée Achat",D64="Entrée Retour"),K64+E64,K64-E64))</f>
        <v/>
      </c>
      <c r="P64">
        <f>IF(E64="","",IF(OR(D64="Entrée Achat",D64="Entrée Retour"),"✓ Validé",IF(D64="Sortie Perte","⚠️ Perte",IF(D64="Sortie Périmée","🔴 Périmé","✓ Validé"))))</f>
        <v/>
      </c>
    </row>
    <row r="65">
      <c r="A65" s="38" t="n"/>
      <c r="G65" s="8" t="n"/>
      <c r="H65" s="8">
        <f>IF(E65="","",E65*G65)</f>
        <v/>
      </c>
      <c r="J65" s="38" t="n"/>
      <c r="L65">
        <f>IF(D65="","",IF(OR(D65="Entrée Achat",D65="Entrée Retour"),K65+E65,K65-E65))</f>
        <v/>
      </c>
      <c r="P65">
        <f>IF(E65="","",IF(OR(D65="Entrée Achat",D65="Entrée Retour"),"✓ Validé",IF(D65="Sortie Perte","⚠️ Perte",IF(D65="Sortie Périmée","🔴 Périmé","✓ Validé"))))</f>
        <v/>
      </c>
    </row>
    <row r="66">
      <c r="A66" s="38" t="n"/>
      <c r="G66" s="8" t="n"/>
      <c r="H66" s="8">
        <f>IF(E66="","",E66*G66)</f>
        <v/>
      </c>
      <c r="J66" s="38" t="n"/>
      <c r="L66">
        <f>IF(D66="","",IF(OR(D66="Entrée Achat",D66="Entrée Retour"),K66+E66,K66-E66))</f>
        <v/>
      </c>
      <c r="P66">
        <f>IF(E66="","",IF(OR(D66="Entrée Achat",D66="Entrée Retour"),"✓ Validé",IF(D66="Sortie Perte","⚠️ Perte",IF(D66="Sortie Périmée","🔴 Périmé","✓ Validé"))))</f>
        <v/>
      </c>
    </row>
    <row r="67">
      <c r="A67" s="38" t="n"/>
      <c r="G67" s="8" t="n"/>
      <c r="H67" s="8">
        <f>IF(E67="","",E67*G67)</f>
        <v/>
      </c>
      <c r="J67" s="38" t="n"/>
      <c r="L67">
        <f>IF(D67="","",IF(OR(D67="Entrée Achat",D67="Entrée Retour"),K67+E67,K67-E67))</f>
        <v/>
      </c>
      <c r="P67">
        <f>IF(E67="","",IF(OR(D67="Entrée Achat",D67="Entrée Retour"),"✓ Validé",IF(D67="Sortie Perte","⚠️ Perte",IF(D67="Sortie Périmée","🔴 Périmé","✓ Validé"))))</f>
        <v/>
      </c>
    </row>
    <row r="68">
      <c r="A68" s="38" t="n"/>
      <c r="G68" s="8" t="n"/>
      <c r="H68" s="8">
        <f>IF(E68="","",E68*G68)</f>
        <v/>
      </c>
      <c r="J68" s="38" t="n"/>
      <c r="L68">
        <f>IF(D68="","",IF(OR(D68="Entrée Achat",D68="Entrée Retour"),K68+E68,K68-E68))</f>
        <v/>
      </c>
      <c r="P68">
        <f>IF(E68="","",IF(OR(D68="Entrée Achat",D68="Entrée Retour"),"✓ Validé",IF(D68="Sortie Perte","⚠️ Perte",IF(D68="Sortie Périmée","🔴 Périmé","✓ Validé"))))</f>
        <v/>
      </c>
    </row>
    <row r="69">
      <c r="A69" s="38" t="n"/>
      <c r="G69" s="8" t="n"/>
      <c r="H69" s="8">
        <f>IF(E69="","",E69*G69)</f>
        <v/>
      </c>
      <c r="J69" s="38" t="n"/>
      <c r="L69">
        <f>IF(D69="","",IF(OR(D69="Entrée Achat",D69="Entrée Retour"),K69+E69,K69-E69))</f>
        <v/>
      </c>
      <c r="P69">
        <f>IF(E69="","",IF(OR(D69="Entrée Achat",D69="Entrée Retour"),"✓ Validé",IF(D69="Sortie Perte","⚠️ Perte",IF(D69="Sortie Périmée","🔴 Périmé","✓ Validé"))))</f>
        <v/>
      </c>
    </row>
    <row r="70">
      <c r="A70" s="38" t="n"/>
      <c r="G70" s="8" t="n"/>
      <c r="H70" s="8">
        <f>IF(E70="","",E70*G70)</f>
        <v/>
      </c>
      <c r="J70" s="38" t="n"/>
      <c r="L70">
        <f>IF(D70="","",IF(OR(D70="Entrée Achat",D70="Entrée Retour"),K70+E70,K70-E70))</f>
        <v/>
      </c>
      <c r="P70">
        <f>IF(E70="","",IF(OR(D70="Entrée Achat",D70="Entrée Retour"),"✓ Validé",IF(D70="Sortie Perte","⚠️ Perte",IF(D70="Sortie Périmée","🔴 Périmé","✓ Validé"))))</f>
        <v/>
      </c>
    </row>
    <row r="71">
      <c r="A71" s="38" t="n"/>
      <c r="G71" s="8" t="n"/>
      <c r="H71" s="8">
        <f>IF(E71="","",E71*G71)</f>
        <v/>
      </c>
      <c r="J71" s="38" t="n"/>
      <c r="L71">
        <f>IF(D71="","",IF(OR(D71="Entrée Achat",D71="Entrée Retour"),K71+E71,K71-E71))</f>
        <v/>
      </c>
      <c r="P71">
        <f>IF(E71="","",IF(OR(D71="Entrée Achat",D71="Entrée Retour"),"✓ Validé",IF(D71="Sortie Perte","⚠️ Perte",IF(D71="Sortie Périmée","🔴 Périmé","✓ Validé"))))</f>
        <v/>
      </c>
    </row>
    <row r="72">
      <c r="A72" s="38" t="n"/>
      <c r="G72" s="8" t="n"/>
      <c r="H72" s="8">
        <f>IF(E72="","",E72*G72)</f>
        <v/>
      </c>
      <c r="J72" s="38" t="n"/>
      <c r="L72">
        <f>IF(D72="","",IF(OR(D72="Entrée Achat",D72="Entrée Retour"),K72+E72,K72-E72))</f>
        <v/>
      </c>
      <c r="P72">
        <f>IF(E72="","",IF(OR(D72="Entrée Achat",D72="Entrée Retour"),"✓ Validé",IF(D72="Sortie Perte","⚠️ Perte",IF(D72="Sortie Périmée","🔴 Périmé","✓ Validé"))))</f>
        <v/>
      </c>
    </row>
    <row r="73">
      <c r="A73" s="38" t="n"/>
      <c r="G73" s="8" t="n"/>
      <c r="H73" s="8">
        <f>IF(E73="","",E73*G73)</f>
        <v/>
      </c>
      <c r="J73" s="38" t="n"/>
      <c r="L73">
        <f>IF(D73="","",IF(OR(D73="Entrée Achat",D73="Entrée Retour"),K73+E73,K73-E73))</f>
        <v/>
      </c>
      <c r="P73">
        <f>IF(E73="","",IF(OR(D73="Entrée Achat",D73="Entrée Retour"),"✓ Validé",IF(D73="Sortie Perte","⚠️ Perte",IF(D73="Sortie Périmée","🔴 Périmé","✓ Validé"))))</f>
        <v/>
      </c>
    </row>
    <row r="74">
      <c r="A74" s="38" t="n"/>
      <c r="G74" s="8" t="n"/>
      <c r="H74" s="8">
        <f>IF(E74="","",E74*G74)</f>
        <v/>
      </c>
      <c r="J74" s="38" t="n"/>
      <c r="L74">
        <f>IF(D74="","",IF(OR(D74="Entrée Achat",D74="Entrée Retour"),K74+E74,K74-E74))</f>
        <v/>
      </c>
      <c r="P74">
        <f>IF(E74="","",IF(OR(D74="Entrée Achat",D74="Entrée Retour"),"✓ Validé",IF(D74="Sortie Perte","⚠️ Perte",IF(D74="Sortie Périmée","🔴 Périmé","✓ Validé"))))</f>
        <v/>
      </c>
    </row>
    <row r="75">
      <c r="A75" s="38" t="n"/>
      <c r="G75" s="8" t="n"/>
      <c r="H75" s="8">
        <f>IF(E75="","",E75*G75)</f>
        <v/>
      </c>
      <c r="J75" s="38" t="n"/>
      <c r="L75">
        <f>IF(D75="","",IF(OR(D75="Entrée Achat",D75="Entrée Retour"),K75+E75,K75-E75))</f>
        <v/>
      </c>
      <c r="P75">
        <f>IF(E75="","",IF(OR(D75="Entrée Achat",D75="Entrée Retour"),"✓ Validé",IF(D75="Sortie Perte","⚠️ Perte",IF(D75="Sortie Périmée","🔴 Périmé","✓ Validé"))))</f>
        <v/>
      </c>
    </row>
    <row r="76">
      <c r="A76" s="38" t="n"/>
      <c r="G76" s="8" t="n"/>
      <c r="H76" s="8">
        <f>IF(E76="","",E76*G76)</f>
        <v/>
      </c>
      <c r="J76" s="38" t="n"/>
      <c r="L76">
        <f>IF(D76="","",IF(OR(D76="Entrée Achat",D76="Entrée Retour"),K76+E76,K76-E76))</f>
        <v/>
      </c>
      <c r="P76">
        <f>IF(E76="","",IF(OR(D76="Entrée Achat",D76="Entrée Retour"),"✓ Validé",IF(D76="Sortie Perte","⚠️ Perte",IF(D76="Sortie Périmée","🔴 Périmé","✓ Validé"))))</f>
        <v/>
      </c>
    </row>
    <row r="77">
      <c r="A77" s="38" t="n"/>
      <c r="G77" s="8" t="n"/>
      <c r="H77" s="8">
        <f>IF(E77="","",E77*G77)</f>
        <v/>
      </c>
      <c r="J77" s="38" t="n"/>
      <c r="L77">
        <f>IF(D77="","",IF(OR(D77="Entrée Achat",D77="Entrée Retour"),K77+E77,K77-E77))</f>
        <v/>
      </c>
      <c r="P77">
        <f>IF(E77="","",IF(OR(D77="Entrée Achat",D77="Entrée Retour"),"✓ Validé",IF(D77="Sortie Perte","⚠️ Perte",IF(D77="Sortie Périmée","🔴 Périmé","✓ Validé"))))</f>
        <v/>
      </c>
    </row>
    <row r="78">
      <c r="A78" s="38" t="n"/>
      <c r="G78" s="8" t="n"/>
      <c r="H78" s="8">
        <f>IF(E78="","",E78*G78)</f>
        <v/>
      </c>
      <c r="J78" s="38" t="n"/>
      <c r="L78">
        <f>IF(D78="","",IF(OR(D78="Entrée Achat",D78="Entrée Retour"),K78+E78,K78-E78))</f>
        <v/>
      </c>
      <c r="P78">
        <f>IF(E78="","",IF(OR(D78="Entrée Achat",D78="Entrée Retour"),"✓ Validé",IF(D78="Sortie Perte","⚠️ Perte",IF(D78="Sortie Périmée","🔴 Périmé","✓ Validé"))))</f>
        <v/>
      </c>
    </row>
    <row r="79">
      <c r="A79" s="38" t="n"/>
      <c r="G79" s="8" t="n"/>
      <c r="H79" s="8">
        <f>IF(E79="","",E79*G79)</f>
        <v/>
      </c>
      <c r="J79" s="38" t="n"/>
      <c r="L79">
        <f>IF(D79="","",IF(OR(D79="Entrée Achat",D79="Entrée Retour"),K79+E79,K79-E79))</f>
        <v/>
      </c>
      <c r="P79">
        <f>IF(E79="","",IF(OR(D79="Entrée Achat",D79="Entrée Retour"),"✓ Validé",IF(D79="Sortie Perte","⚠️ Perte",IF(D79="Sortie Périmée","🔴 Périmé","✓ Validé"))))</f>
        <v/>
      </c>
    </row>
    <row r="80">
      <c r="A80" s="38" t="n"/>
      <c r="G80" s="8" t="n"/>
      <c r="H80" s="8">
        <f>IF(E80="","",E80*G80)</f>
        <v/>
      </c>
      <c r="J80" s="38" t="n"/>
      <c r="L80">
        <f>IF(D80="","",IF(OR(D80="Entrée Achat",D80="Entrée Retour"),K80+E80,K80-E80))</f>
        <v/>
      </c>
      <c r="P80">
        <f>IF(E80="","",IF(OR(D80="Entrée Achat",D80="Entrée Retour"),"✓ Validé",IF(D80="Sortie Perte","⚠️ Perte",IF(D80="Sortie Périmée","🔴 Périmé","✓ Validé"))))</f>
        <v/>
      </c>
    </row>
    <row r="81">
      <c r="A81" s="38" t="n"/>
      <c r="G81" s="8" t="n"/>
      <c r="H81" s="8">
        <f>IF(E81="","",E81*G81)</f>
        <v/>
      </c>
      <c r="J81" s="38" t="n"/>
      <c r="L81">
        <f>IF(D81="","",IF(OR(D81="Entrée Achat",D81="Entrée Retour"),K81+E81,K81-E81))</f>
        <v/>
      </c>
      <c r="P81">
        <f>IF(E81="","",IF(OR(D81="Entrée Achat",D81="Entrée Retour"),"✓ Validé",IF(D81="Sortie Perte","⚠️ Perte",IF(D81="Sortie Périmée","🔴 Périmé","✓ Validé"))))</f>
        <v/>
      </c>
    </row>
    <row r="82">
      <c r="A82" s="38" t="n"/>
      <c r="G82" s="8" t="n"/>
      <c r="H82" s="8">
        <f>IF(E82="","",E82*G82)</f>
        <v/>
      </c>
      <c r="J82" s="38" t="n"/>
      <c r="L82">
        <f>IF(D82="","",IF(OR(D82="Entrée Achat",D82="Entrée Retour"),K82+E82,K82-E82))</f>
        <v/>
      </c>
      <c r="P82">
        <f>IF(E82="","",IF(OR(D82="Entrée Achat",D82="Entrée Retour"),"✓ Validé",IF(D82="Sortie Perte","⚠️ Perte",IF(D82="Sortie Périmée","🔴 Périmé","✓ Validé"))))</f>
        <v/>
      </c>
    </row>
    <row r="83">
      <c r="A83" s="38" t="n"/>
      <c r="G83" s="8" t="n"/>
      <c r="H83" s="8">
        <f>IF(E83="","",E83*G83)</f>
        <v/>
      </c>
      <c r="J83" s="38" t="n"/>
      <c r="L83">
        <f>IF(D83="","",IF(OR(D83="Entrée Achat",D83="Entrée Retour"),K83+E83,K83-E83))</f>
        <v/>
      </c>
      <c r="P83">
        <f>IF(E83="","",IF(OR(D83="Entrée Achat",D83="Entrée Retour"),"✓ Validé",IF(D83="Sortie Perte","⚠️ Perte",IF(D83="Sortie Périmée","🔴 Périmé","✓ Validé"))))</f>
        <v/>
      </c>
    </row>
    <row r="84">
      <c r="A84" s="38" t="n"/>
      <c r="G84" s="8" t="n"/>
      <c r="H84" s="8">
        <f>IF(E84="","",E84*G84)</f>
        <v/>
      </c>
      <c r="J84" s="38" t="n"/>
      <c r="L84">
        <f>IF(D84="","",IF(OR(D84="Entrée Achat",D84="Entrée Retour"),K84+E84,K84-E84))</f>
        <v/>
      </c>
      <c r="P84">
        <f>IF(E84="","",IF(OR(D84="Entrée Achat",D84="Entrée Retour"),"✓ Validé",IF(D84="Sortie Perte","⚠️ Perte",IF(D84="Sortie Périmée","🔴 Périmé","✓ Validé"))))</f>
        <v/>
      </c>
    </row>
    <row r="85">
      <c r="A85" s="38" t="n"/>
      <c r="G85" s="8" t="n"/>
      <c r="H85" s="8">
        <f>IF(E85="","",E85*G85)</f>
        <v/>
      </c>
      <c r="J85" s="38" t="n"/>
      <c r="L85">
        <f>IF(D85="","",IF(OR(D85="Entrée Achat",D85="Entrée Retour"),K85+E85,K85-E85))</f>
        <v/>
      </c>
      <c r="P85">
        <f>IF(E85="","",IF(OR(D85="Entrée Achat",D85="Entrée Retour"),"✓ Validé",IF(D85="Sortie Perte","⚠️ Perte",IF(D85="Sortie Périmée","🔴 Périmé","✓ Validé"))))</f>
        <v/>
      </c>
    </row>
    <row r="86">
      <c r="A86" s="38" t="n"/>
      <c r="G86" s="8" t="n"/>
      <c r="H86" s="8">
        <f>IF(E86="","",E86*G86)</f>
        <v/>
      </c>
      <c r="J86" s="38" t="n"/>
      <c r="L86">
        <f>IF(D86="","",IF(OR(D86="Entrée Achat",D86="Entrée Retour"),K86+E86,K86-E86))</f>
        <v/>
      </c>
      <c r="P86">
        <f>IF(E86="","",IF(OR(D86="Entrée Achat",D86="Entrée Retour"),"✓ Validé",IF(D86="Sortie Perte","⚠️ Perte",IF(D86="Sortie Périmée","🔴 Périmé","✓ Validé"))))</f>
        <v/>
      </c>
    </row>
    <row r="87">
      <c r="A87" s="38" t="n"/>
      <c r="G87" s="8" t="n"/>
      <c r="H87" s="8">
        <f>IF(E87="","",E87*G87)</f>
        <v/>
      </c>
      <c r="J87" s="38" t="n"/>
      <c r="L87">
        <f>IF(D87="","",IF(OR(D87="Entrée Achat",D87="Entrée Retour"),K87+E87,K87-E87))</f>
        <v/>
      </c>
      <c r="P87">
        <f>IF(E87="","",IF(OR(D87="Entrée Achat",D87="Entrée Retour"),"✓ Validé",IF(D87="Sortie Perte","⚠️ Perte",IF(D87="Sortie Périmée","🔴 Périmé","✓ Validé"))))</f>
        <v/>
      </c>
    </row>
    <row r="88">
      <c r="A88" s="38" t="n"/>
      <c r="G88" s="8" t="n"/>
      <c r="H88" s="8">
        <f>IF(E88="","",E88*G88)</f>
        <v/>
      </c>
      <c r="J88" s="38" t="n"/>
      <c r="L88">
        <f>IF(D88="","",IF(OR(D88="Entrée Achat",D88="Entrée Retour"),K88+E88,K88-E88))</f>
        <v/>
      </c>
      <c r="P88">
        <f>IF(E88="","",IF(OR(D88="Entrée Achat",D88="Entrée Retour"),"✓ Validé",IF(D88="Sortie Perte","⚠️ Perte",IF(D88="Sortie Périmée","🔴 Périmé","✓ Validé"))))</f>
        <v/>
      </c>
    </row>
    <row r="89">
      <c r="A89" s="38" t="n"/>
      <c r="G89" s="8" t="n"/>
      <c r="H89" s="8">
        <f>IF(E89="","",E89*G89)</f>
        <v/>
      </c>
      <c r="J89" s="38" t="n"/>
      <c r="L89">
        <f>IF(D89="","",IF(OR(D89="Entrée Achat",D89="Entrée Retour"),K89+E89,K89-E89))</f>
        <v/>
      </c>
      <c r="P89">
        <f>IF(E89="","",IF(OR(D89="Entrée Achat",D89="Entrée Retour"),"✓ Validé",IF(D89="Sortie Perte","⚠️ Perte",IF(D89="Sortie Périmée","🔴 Périmé","✓ Validé"))))</f>
        <v/>
      </c>
    </row>
    <row r="90">
      <c r="A90" s="38" t="n"/>
      <c r="G90" s="8" t="n"/>
      <c r="H90" s="8">
        <f>IF(E90="","",E90*G90)</f>
        <v/>
      </c>
      <c r="J90" s="38" t="n"/>
      <c r="L90">
        <f>IF(D90="","",IF(OR(D90="Entrée Achat",D90="Entrée Retour"),K90+E90,K90-E90))</f>
        <v/>
      </c>
      <c r="P90">
        <f>IF(E90="","",IF(OR(D90="Entrée Achat",D90="Entrée Retour"),"✓ Validé",IF(D90="Sortie Perte","⚠️ Perte",IF(D90="Sortie Périmée","🔴 Périmé","✓ Validé"))))</f>
        <v/>
      </c>
    </row>
    <row r="91">
      <c r="A91" s="38" t="n"/>
      <c r="G91" s="8" t="n"/>
      <c r="H91" s="8">
        <f>IF(E91="","",E91*G91)</f>
        <v/>
      </c>
      <c r="J91" s="38" t="n"/>
      <c r="L91">
        <f>IF(D91="","",IF(OR(D91="Entrée Achat",D91="Entrée Retour"),K91+E91,K91-E91))</f>
        <v/>
      </c>
      <c r="P91">
        <f>IF(E91="","",IF(OR(D91="Entrée Achat",D91="Entrée Retour"),"✓ Validé",IF(D91="Sortie Perte","⚠️ Perte",IF(D91="Sortie Périmée","🔴 Périmé","✓ Validé"))))</f>
        <v/>
      </c>
    </row>
    <row r="92">
      <c r="A92" s="38" t="n"/>
      <c r="G92" s="8" t="n"/>
      <c r="H92" s="8">
        <f>IF(E92="","",E92*G92)</f>
        <v/>
      </c>
      <c r="J92" s="38" t="n"/>
      <c r="L92">
        <f>IF(D92="","",IF(OR(D92="Entrée Achat",D92="Entrée Retour"),K92+E92,K92-E92))</f>
        <v/>
      </c>
      <c r="P92">
        <f>IF(E92="","",IF(OR(D92="Entrée Achat",D92="Entrée Retour"),"✓ Validé",IF(D92="Sortie Perte","⚠️ Perte",IF(D92="Sortie Périmée","🔴 Périmé","✓ Validé"))))</f>
        <v/>
      </c>
    </row>
    <row r="93">
      <c r="A93" s="38" t="n"/>
      <c r="G93" s="8" t="n"/>
      <c r="H93" s="8">
        <f>IF(E93="","",E93*G93)</f>
        <v/>
      </c>
      <c r="J93" s="38" t="n"/>
      <c r="L93">
        <f>IF(D93="","",IF(OR(D93="Entrée Achat",D93="Entrée Retour"),K93+E93,K93-E93))</f>
        <v/>
      </c>
      <c r="P93">
        <f>IF(E93="","",IF(OR(D93="Entrée Achat",D93="Entrée Retour"),"✓ Validé",IF(D93="Sortie Perte","⚠️ Perte",IF(D93="Sortie Périmée","🔴 Périmé","✓ Validé"))))</f>
        <v/>
      </c>
    </row>
    <row r="94">
      <c r="A94" s="38" t="n"/>
      <c r="G94" s="8" t="n"/>
      <c r="H94" s="8">
        <f>IF(E94="","",E94*G94)</f>
        <v/>
      </c>
      <c r="J94" s="38" t="n"/>
      <c r="L94">
        <f>IF(D94="","",IF(OR(D94="Entrée Achat",D94="Entrée Retour"),K94+E94,K94-E94))</f>
        <v/>
      </c>
      <c r="P94">
        <f>IF(E94="","",IF(OR(D94="Entrée Achat",D94="Entrée Retour"),"✓ Validé",IF(D94="Sortie Perte","⚠️ Perte",IF(D94="Sortie Périmée","🔴 Périmé","✓ Validé"))))</f>
        <v/>
      </c>
    </row>
    <row r="95">
      <c r="A95" s="38" t="n"/>
      <c r="G95" s="8" t="n"/>
      <c r="H95" s="8">
        <f>IF(E95="","",E95*G95)</f>
        <v/>
      </c>
      <c r="J95" s="38" t="n"/>
      <c r="L95">
        <f>IF(D95="","",IF(OR(D95="Entrée Achat",D95="Entrée Retour"),K95+E95,K95-E95))</f>
        <v/>
      </c>
      <c r="P95">
        <f>IF(E95="","",IF(OR(D95="Entrée Achat",D95="Entrée Retour"),"✓ Validé",IF(D95="Sortie Perte","⚠️ Perte",IF(D95="Sortie Périmée","🔴 Périmé","✓ Validé"))))</f>
        <v/>
      </c>
    </row>
    <row r="96">
      <c r="A96" s="38" t="n"/>
      <c r="G96" s="8" t="n"/>
      <c r="H96" s="8">
        <f>IF(E96="","",E96*G96)</f>
        <v/>
      </c>
      <c r="J96" s="38" t="n"/>
      <c r="L96">
        <f>IF(D96="","",IF(OR(D96="Entrée Achat",D96="Entrée Retour"),K96+E96,K96-E96))</f>
        <v/>
      </c>
      <c r="P96">
        <f>IF(E96="","",IF(OR(D96="Entrée Achat",D96="Entrée Retour"),"✓ Validé",IF(D96="Sortie Perte","⚠️ Perte",IF(D96="Sortie Périmée","🔴 Périmé","✓ Validé"))))</f>
        <v/>
      </c>
    </row>
    <row r="97">
      <c r="A97" s="38" t="n"/>
      <c r="G97" s="8" t="n"/>
      <c r="H97" s="8">
        <f>IF(E97="","",E97*G97)</f>
        <v/>
      </c>
      <c r="J97" s="38" t="n"/>
      <c r="L97">
        <f>IF(D97="","",IF(OR(D97="Entrée Achat",D97="Entrée Retour"),K97+E97,K97-E97))</f>
        <v/>
      </c>
      <c r="P97">
        <f>IF(E97="","",IF(OR(D97="Entrée Achat",D97="Entrée Retour"),"✓ Validé",IF(D97="Sortie Perte","⚠️ Perte",IF(D97="Sortie Périmée","🔴 Périmé","✓ Validé"))))</f>
        <v/>
      </c>
    </row>
    <row r="98">
      <c r="A98" s="38" t="n"/>
      <c r="G98" s="8" t="n"/>
      <c r="H98" s="8">
        <f>IF(E98="","",E98*G98)</f>
        <v/>
      </c>
      <c r="J98" s="38" t="n"/>
      <c r="L98">
        <f>IF(D98="","",IF(OR(D98="Entrée Achat",D98="Entrée Retour"),K98+E98,K98-E98))</f>
        <v/>
      </c>
      <c r="P98">
        <f>IF(E98="","",IF(OR(D98="Entrée Achat",D98="Entrée Retour"),"✓ Validé",IF(D98="Sortie Perte","⚠️ Perte",IF(D98="Sortie Périmée","🔴 Périmé","✓ Validé"))))</f>
        <v/>
      </c>
    </row>
    <row r="99">
      <c r="A99" s="38" t="n"/>
      <c r="G99" s="8" t="n"/>
      <c r="H99" s="8">
        <f>IF(E99="","",E99*G99)</f>
        <v/>
      </c>
      <c r="J99" s="38" t="n"/>
      <c r="L99">
        <f>IF(D99="","",IF(OR(D99="Entrée Achat",D99="Entrée Retour"),K99+E99,K99-E99))</f>
        <v/>
      </c>
      <c r="P99">
        <f>IF(E99="","",IF(OR(D99="Entrée Achat",D99="Entrée Retour"),"✓ Validé",IF(D99="Sortie Perte","⚠️ Perte",IF(D99="Sortie Périmée","🔴 Périmé","✓ Validé"))))</f>
        <v/>
      </c>
    </row>
    <row r="100">
      <c r="A100" s="38" t="n"/>
      <c r="G100" s="8" t="n"/>
      <c r="H100" s="8">
        <f>IF(E100="","",E100*G100)</f>
        <v/>
      </c>
      <c r="J100" s="38" t="n"/>
      <c r="L100">
        <f>IF(D100="","",IF(OR(D100="Entrée Achat",D100="Entrée Retour"),K100+E100,K100-E100))</f>
        <v/>
      </c>
      <c r="P100">
        <f>IF(E100="","",IF(OR(D100="Entrée Achat",D100="Entrée Retour"),"✓ Validé",IF(D100="Sortie Perte","⚠️ Perte",IF(D100="Sortie Périmée","🔴 Périmé","✓ Validé"))))</f>
        <v/>
      </c>
    </row>
    <row r="101">
      <c r="A101" s="38" t="n"/>
      <c r="G101" s="8" t="n"/>
      <c r="H101" s="8">
        <f>IF(E101="","",E101*G101)</f>
        <v/>
      </c>
      <c r="J101" s="38" t="n"/>
      <c r="L101">
        <f>IF(D101="","",IF(OR(D101="Entrée Achat",D101="Entrée Retour"),K101+E101,K101-E101))</f>
        <v/>
      </c>
      <c r="P101">
        <f>IF(E101="","",IF(OR(D101="Entrée Achat",D101="Entrée Retour"),"✓ Validé",IF(D101="Sortie Perte","⚠️ Perte",IF(D101="Sortie Périmée","🔴 Périmé","✓ Validé"))))</f>
        <v/>
      </c>
    </row>
    <row r="102">
      <c r="A102" s="38" t="n"/>
      <c r="G102" s="8" t="n"/>
      <c r="H102" s="8">
        <f>IF(E102="","",E102*G102)</f>
        <v/>
      </c>
      <c r="J102" s="38" t="n"/>
      <c r="L102">
        <f>IF(D102="","",IF(OR(D102="Entrée Achat",D102="Entrée Retour"),K102+E102,K102-E102))</f>
        <v/>
      </c>
      <c r="P102">
        <f>IF(E102="","",IF(OR(D102="Entrée Achat",D102="Entrée Retour"),"✓ Validé",IF(D102="Sortie Perte","⚠️ Perte",IF(D102="Sortie Périmée","🔴 Périmé","✓ Validé"))))</f>
        <v/>
      </c>
    </row>
    <row r="103">
      <c r="A103" s="38" t="n"/>
      <c r="G103" s="8" t="n"/>
      <c r="H103" s="8">
        <f>IF(E103="","",E103*G103)</f>
        <v/>
      </c>
      <c r="J103" s="38" t="n"/>
      <c r="L103">
        <f>IF(D103="","",IF(OR(D103="Entrée Achat",D103="Entrée Retour"),K103+E103,K103-E103))</f>
        <v/>
      </c>
      <c r="P103">
        <f>IF(E103="","",IF(OR(D103="Entrée Achat",D103="Entrée Retour"),"✓ Validé",IF(D103="Sortie Perte","⚠️ Perte",IF(D103="Sortie Périmée","🔴 Périmé","✓ Validé"))))</f>
        <v/>
      </c>
    </row>
    <row r="104">
      <c r="A104" s="38" t="n"/>
      <c r="G104" s="8" t="n"/>
      <c r="H104" s="8">
        <f>IF(E104="","",E104*G104)</f>
        <v/>
      </c>
      <c r="J104" s="38" t="n"/>
      <c r="L104">
        <f>IF(D104="","",IF(OR(D104="Entrée Achat",D104="Entrée Retour"),K104+E104,K104-E104))</f>
        <v/>
      </c>
      <c r="P104">
        <f>IF(E104="","",IF(OR(D104="Entrée Achat",D104="Entrée Retour"),"✓ Validé",IF(D104="Sortie Perte","⚠️ Perte",IF(D104="Sortie Périmée","🔴 Périmé","✓ Validé"))))</f>
        <v/>
      </c>
    </row>
    <row r="105">
      <c r="A105" s="38" t="n"/>
      <c r="G105" s="8" t="n"/>
      <c r="H105" s="8">
        <f>IF(E105="","",E105*G105)</f>
        <v/>
      </c>
      <c r="J105" s="38" t="n"/>
      <c r="L105">
        <f>IF(D105="","",IF(OR(D105="Entrée Achat",D105="Entrée Retour"),K105+E105,K105-E105))</f>
        <v/>
      </c>
      <c r="P105">
        <f>IF(E105="","",IF(OR(D105="Entrée Achat",D105="Entrée Retour"),"✓ Validé",IF(D105="Sortie Perte","⚠️ Perte",IF(D105="Sortie Périmée","🔴 Périmé","✓ Validé"))))</f>
        <v/>
      </c>
    </row>
    <row r="106">
      <c r="A106" s="38" t="n"/>
      <c r="G106" s="8" t="n"/>
      <c r="H106" s="8">
        <f>IF(E106="","",E106*G106)</f>
        <v/>
      </c>
      <c r="J106" s="38" t="n"/>
      <c r="L106">
        <f>IF(D106="","",IF(OR(D106="Entrée Achat",D106="Entrée Retour"),K106+E106,K106-E106))</f>
        <v/>
      </c>
      <c r="P106">
        <f>IF(E106="","",IF(OR(D106="Entrée Achat",D106="Entrée Retour"),"✓ Validé",IF(D106="Sortie Perte","⚠️ Perte",IF(D106="Sortie Périmée","🔴 Périmé","✓ Validé"))))</f>
        <v/>
      </c>
    </row>
    <row r="107">
      <c r="A107" s="38" t="n"/>
      <c r="G107" s="8" t="n"/>
      <c r="H107" s="8">
        <f>IF(E107="","",E107*G107)</f>
        <v/>
      </c>
      <c r="J107" s="38" t="n"/>
      <c r="L107">
        <f>IF(D107="","",IF(OR(D107="Entrée Achat",D107="Entrée Retour"),K107+E107,K107-E107))</f>
        <v/>
      </c>
      <c r="P107">
        <f>IF(E107="","",IF(OR(D107="Entrée Achat",D107="Entrée Retour"),"✓ Validé",IF(D107="Sortie Perte","⚠️ Perte",IF(D107="Sortie Périmée","🔴 Périmé","✓ Validé"))))</f>
        <v/>
      </c>
    </row>
    <row r="108">
      <c r="A108" s="38" t="n"/>
      <c r="G108" s="8" t="n"/>
      <c r="H108" s="8">
        <f>IF(E108="","",E108*G108)</f>
        <v/>
      </c>
      <c r="J108" s="38" t="n"/>
      <c r="L108">
        <f>IF(D108="","",IF(OR(D108="Entrée Achat",D108="Entrée Retour"),K108+E108,K108-E108))</f>
        <v/>
      </c>
      <c r="P108">
        <f>IF(E108="","",IF(OR(D108="Entrée Achat",D108="Entrée Retour"),"✓ Validé",IF(D108="Sortie Perte","⚠️ Perte",IF(D108="Sortie Périmée","🔴 Périmé","✓ Validé"))))</f>
        <v/>
      </c>
    </row>
    <row r="109">
      <c r="A109" s="38" t="n"/>
      <c r="G109" s="8" t="n"/>
      <c r="H109" s="8">
        <f>IF(E109="","",E109*G109)</f>
        <v/>
      </c>
      <c r="J109" s="38" t="n"/>
      <c r="L109">
        <f>IF(D109="","",IF(OR(D109="Entrée Achat",D109="Entrée Retour"),K109+E109,K109-E109))</f>
        <v/>
      </c>
      <c r="P109">
        <f>IF(E109="","",IF(OR(D109="Entrée Achat",D109="Entrée Retour"),"✓ Validé",IF(D109="Sortie Perte","⚠️ Perte",IF(D109="Sortie Périmée","🔴 Périmé","✓ Validé"))))</f>
        <v/>
      </c>
    </row>
    <row r="110">
      <c r="A110" s="38" t="n"/>
      <c r="G110" s="8" t="n"/>
      <c r="H110" s="8">
        <f>IF(E110="","",E110*G110)</f>
        <v/>
      </c>
      <c r="J110" s="38" t="n"/>
      <c r="L110">
        <f>IF(D110="","",IF(OR(D110="Entrée Achat",D110="Entrée Retour"),K110+E110,K110-E110))</f>
        <v/>
      </c>
      <c r="P110">
        <f>IF(E110="","",IF(OR(D110="Entrée Achat",D110="Entrée Retour"),"✓ Validé",IF(D110="Sortie Perte","⚠️ Perte",IF(D110="Sortie Périmée","🔴 Périmé","✓ Validé"))))</f>
        <v/>
      </c>
    </row>
    <row r="111">
      <c r="A111" s="38" t="n"/>
      <c r="G111" s="8" t="n"/>
      <c r="H111" s="8">
        <f>IF(E111="","",E111*G111)</f>
        <v/>
      </c>
      <c r="J111" s="38" t="n"/>
      <c r="L111">
        <f>IF(D111="","",IF(OR(D111="Entrée Achat",D111="Entrée Retour"),K111+E111,K111-E111))</f>
        <v/>
      </c>
      <c r="P111">
        <f>IF(E111="","",IF(OR(D111="Entrée Achat",D111="Entrée Retour"),"✓ Validé",IF(D111="Sortie Perte","⚠️ Perte",IF(D111="Sortie Périmée","🔴 Périmé","✓ Validé"))))</f>
        <v/>
      </c>
    </row>
    <row r="112">
      <c r="A112" s="38" t="n"/>
      <c r="G112" s="8" t="n"/>
      <c r="H112" s="8">
        <f>IF(E112="","",E112*G112)</f>
        <v/>
      </c>
      <c r="J112" s="38" t="n"/>
      <c r="L112">
        <f>IF(D112="","",IF(OR(D112="Entrée Achat",D112="Entrée Retour"),K112+E112,K112-E112))</f>
        <v/>
      </c>
      <c r="P112">
        <f>IF(E112="","",IF(OR(D112="Entrée Achat",D112="Entrée Retour"),"✓ Validé",IF(D112="Sortie Perte","⚠️ Perte",IF(D112="Sortie Périmée","🔴 Périmé","✓ Validé"))))</f>
        <v/>
      </c>
    </row>
    <row r="113">
      <c r="A113" s="38" t="n"/>
      <c r="G113" s="8" t="n"/>
      <c r="H113" s="8">
        <f>IF(E113="","",E113*G113)</f>
        <v/>
      </c>
      <c r="J113" s="38" t="n"/>
      <c r="L113">
        <f>IF(D113="","",IF(OR(D113="Entrée Achat",D113="Entrée Retour"),K113+E113,K113-E113))</f>
        <v/>
      </c>
      <c r="P113">
        <f>IF(E113="","",IF(OR(D113="Entrée Achat",D113="Entrée Retour"),"✓ Validé",IF(D113="Sortie Perte","⚠️ Perte",IF(D113="Sortie Périmée","🔴 Périmé","✓ Validé"))))</f>
        <v/>
      </c>
    </row>
    <row r="114">
      <c r="A114" s="38" t="n"/>
      <c r="G114" s="8" t="n"/>
      <c r="H114" s="8">
        <f>IF(E114="","",E114*G114)</f>
        <v/>
      </c>
      <c r="J114" s="38" t="n"/>
      <c r="L114">
        <f>IF(D114="","",IF(OR(D114="Entrée Achat",D114="Entrée Retour"),K114+E114,K114-E114))</f>
        <v/>
      </c>
      <c r="P114">
        <f>IF(E114="","",IF(OR(D114="Entrée Achat",D114="Entrée Retour"),"✓ Validé",IF(D114="Sortie Perte","⚠️ Perte",IF(D114="Sortie Périmée","🔴 Périmé","✓ Validé"))))</f>
        <v/>
      </c>
    </row>
    <row r="115">
      <c r="A115" s="38" t="n"/>
      <c r="G115" s="8" t="n"/>
      <c r="H115" s="8">
        <f>IF(E115="","",E115*G115)</f>
        <v/>
      </c>
      <c r="J115" s="38" t="n"/>
      <c r="L115">
        <f>IF(D115="","",IF(OR(D115="Entrée Achat",D115="Entrée Retour"),K115+E115,K115-E115))</f>
        <v/>
      </c>
      <c r="P115">
        <f>IF(E115="","",IF(OR(D115="Entrée Achat",D115="Entrée Retour"),"✓ Validé",IF(D115="Sortie Perte","⚠️ Perte",IF(D115="Sortie Périmée","🔴 Périmé","✓ Validé"))))</f>
        <v/>
      </c>
    </row>
    <row r="116">
      <c r="A116" s="38" t="n"/>
      <c r="G116" s="8" t="n"/>
      <c r="H116" s="8">
        <f>IF(E116="","",E116*G116)</f>
        <v/>
      </c>
      <c r="J116" s="38" t="n"/>
      <c r="L116">
        <f>IF(D116="","",IF(OR(D116="Entrée Achat",D116="Entrée Retour"),K116+E116,K116-E116))</f>
        <v/>
      </c>
      <c r="P116">
        <f>IF(E116="","",IF(OR(D116="Entrée Achat",D116="Entrée Retour"),"✓ Validé",IF(D116="Sortie Perte","⚠️ Perte",IF(D116="Sortie Périmée","🔴 Périmé","✓ Validé"))))</f>
        <v/>
      </c>
    </row>
    <row r="117">
      <c r="A117" s="38" t="n"/>
      <c r="G117" s="8" t="n"/>
      <c r="H117" s="8">
        <f>IF(E117="","",E117*G117)</f>
        <v/>
      </c>
      <c r="J117" s="38" t="n"/>
      <c r="L117">
        <f>IF(D117="","",IF(OR(D117="Entrée Achat",D117="Entrée Retour"),K117+E117,K117-E117))</f>
        <v/>
      </c>
      <c r="P117">
        <f>IF(E117="","",IF(OR(D117="Entrée Achat",D117="Entrée Retour"),"✓ Validé",IF(D117="Sortie Perte","⚠️ Perte",IF(D117="Sortie Périmée","🔴 Périmé","✓ Validé"))))</f>
        <v/>
      </c>
    </row>
    <row r="118">
      <c r="A118" s="38" t="n"/>
      <c r="G118" s="8" t="n"/>
      <c r="H118" s="8">
        <f>IF(E118="","",E118*G118)</f>
        <v/>
      </c>
      <c r="J118" s="38" t="n"/>
      <c r="L118">
        <f>IF(D118="","",IF(OR(D118="Entrée Achat",D118="Entrée Retour"),K118+E118,K118-E118))</f>
        <v/>
      </c>
      <c r="P118">
        <f>IF(E118="","",IF(OR(D118="Entrée Achat",D118="Entrée Retour"),"✓ Validé",IF(D118="Sortie Perte","⚠️ Perte",IF(D118="Sortie Périmée","🔴 Périmé","✓ Validé"))))</f>
        <v/>
      </c>
    </row>
    <row r="119">
      <c r="A119" s="38" t="n"/>
      <c r="G119" s="8" t="n"/>
      <c r="H119" s="8">
        <f>IF(E119="","",E119*G119)</f>
        <v/>
      </c>
      <c r="J119" s="38" t="n"/>
      <c r="L119">
        <f>IF(D119="","",IF(OR(D119="Entrée Achat",D119="Entrée Retour"),K119+E119,K119-E119))</f>
        <v/>
      </c>
      <c r="P119">
        <f>IF(E119="","",IF(OR(D119="Entrée Achat",D119="Entrée Retour"),"✓ Validé",IF(D119="Sortie Perte","⚠️ Perte",IF(D119="Sortie Périmée","🔴 Périmé","✓ Validé"))))</f>
        <v/>
      </c>
    </row>
    <row r="120">
      <c r="A120" s="38" t="n"/>
      <c r="G120" s="8" t="n"/>
      <c r="H120" s="8">
        <f>IF(E120="","",E120*G120)</f>
        <v/>
      </c>
      <c r="J120" s="38" t="n"/>
      <c r="L120">
        <f>IF(D120="","",IF(OR(D120="Entrée Achat",D120="Entrée Retour"),K120+E120,K120-E120))</f>
        <v/>
      </c>
      <c r="P120">
        <f>IF(E120="","",IF(OR(D120="Entrée Achat",D120="Entrée Retour"),"✓ Validé",IF(D120="Sortie Perte","⚠️ Perte",IF(D120="Sortie Périmée","🔴 Périmé","✓ Validé"))))</f>
        <v/>
      </c>
    </row>
    <row r="121">
      <c r="A121" s="38" t="n"/>
      <c r="G121" s="8" t="n"/>
      <c r="H121" s="8">
        <f>IF(E121="","",E121*G121)</f>
        <v/>
      </c>
      <c r="J121" s="38" t="n"/>
      <c r="L121">
        <f>IF(D121="","",IF(OR(D121="Entrée Achat",D121="Entrée Retour"),K121+E121,K121-E121))</f>
        <v/>
      </c>
      <c r="P121">
        <f>IF(E121="","",IF(OR(D121="Entrée Achat",D121="Entrée Retour"),"✓ Validé",IF(D121="Sortie Perte","⚠️ Perte",IF(D121="Sortie Périmée","🔴 Périmé","✓ Validé"))))</f>
        <v/>
      </c>
    </row>
    <row r="122">
      <c r="A122" s="38" t="n"/>
      <c r="G122" s="8" t="n"/>
      <c r="H122" s="8">
        <f>IF(E122="","",E122*G122)</f>
        <v/>
      </c>
      <c r="J122" s="38" t="n"/>
      <c r="L122">
        <f>IF(D122="","",IF(OR(D122="Entrée Achat",D122="Entrée Retour"),K122+E122,K122-E122))</f>
        <v/>
      </c>
      <c r="P122">
        <f>IF(E122="","",IF(OR(D122="Entrée Achat",D122="Entrée Retour"),"✓ Validé",IF(D122="Sortie Perte","⚠️ Perte",IF(D122="Sortie Périmée","🔴 Périmé","✓ Validé"))))</f>
        <v/>
      </c>
    </row>
    <row r="123">
      <c r="A123" s="38" t="n"/>
      <c r="G123" s="8" t="n"/>
      <c r="H123" s="8">
        <f>IF(E123="","",E123*G123)</f>
        <v/>
      </c>
      <c r="J123" s="38" t="n"/>
      <c r="L123">
        <f>IF(D123="","",IF(OR(D123="Entrée Achat",D123="Entrée Retour"),K123+E123,K123-E123))</f>
        <v/>
      </c>
      <c r="P123">
        <f>IF(E123="","",IF(OR(D123="Entrée Achat",D123="Entrée Retour"),"✓ Validé",IF(D123="Sortie Perte","⚠️ Perte",IF(D123="Sortie Périmée","🔴 Périmé","✓ Validé"))))</f>
        <v/>
      </c>
    </row>
    <row r="124">
      <c r="A124" s="38" t="n"/>
      <c r="G124" s="8" t="n"/>
      <c r="H124" s="8">
        <f>IF(E124="","",E124*G124)</f>
        <v/>
      </c>
      <c r="J124" s="38" t="n"/>
      <c r="L124">
        <f>IF(D124="","",IF(OR(D124="Entrée Achat",D124="Entrée Retour"),K124+E124,K124-E124))</f>
        <v/>
      </c>
      <c r="P124">
        <f>IF(E124="","",IF(OR(D124="Entrée Achat",D124="Entrée Retour"),"✓ Validé",IF(D124="Sortie Perte","⚠️ Perte",IF(D124="Sortie Périmée","🔴 Périmé","✓ Validé"))))</f>
        <v/>
      </c>
    </row>
    <row r="125">
      <c r="A125" s="38" t="n"/>
      <c r="G125" s="8" t="n"/>
      <c r="H125" s="8">
        <f>IF(E125="","",E125*G125)</f>
        <v/>
      </c>
      <c r="J125" s="38" t="n"/>
      <c r="L125">
        <f>IF(D125="","",IF(OR(D125="Entrée Achat",D125="Entrée Retour"),K125+E125,K125-E125))</f>
        <v/>
      </c>
      <c r="P125">
        <f>IF(E125="","",IF(OR(D125="Entrée Achat",D125="Entrée Retour"),"✓ Validé",IF(D125="Sortie Perte","⚠️ Perte",IF(D125="Sortie Périmée","🔴 Périmé","✓ Validé"))))</f>
        <v/>
      </c>
    </row>
    <row r="126">
      <c r="A126" s="38" t="n"/>
      <c r="G126" s="8" t="n"/>
      <c r="H126" s="8">
        <f>IF(E126="","",E126*G126)</f>
        <v/>
      </c>
      <c r="J126" s="38" t="n"/>
      <c r="L126">
        <f>IF(D126="","",IF(OR(D126="Entrée Achat",D126="Entrée Retour"),K126+E126,K126-E126))</f>
        <v/>
      </c>
      <c r="P126">
        <f>IF(E126="","",IF(OR(D126="Entrée Achat",D126="Entrée Retour"),"✓ Validé",IF(D126="Sortie Perte","⚠️ Perte",IF(D126="Sortie Périmée","🔴 Périmé","✓ Validé"))))</f>
        <v/>
      </c>
    </row>
    <row r="127">
      <c r="A127" s="38" t="n"/>
      <c r="G127" s="8" t="n"/>
      <c r="H127" s="8">
        <f>IF(E127="","",E127*G127)</f>
        <v/>
      </c>
      <c r="J127" s="38" t="n"/>
      <c r="L127">
        <f>IF(D127="","",IF(OR(D127="Entrée Achat",D127="Entrée Retour"),K127+E127,K127-E127))</f>
        <v/>
      </c>
      <c r="P127">
        <f>IF(E127="","",IF(OR(D127="Entrée Achat",D127="Entrée Retour"),"✓ Validé",IF(D127="Sortie Perte","⚠️ Perte",IF(D127="Sortie Périmée","🔴 Périmé","✓ Validé"))))</f>
        <v/>
      </c>
    </row>
    <row r="128">
      <c r="A128" s="38" t="n"/>
      <c r="G128" s="8" t="n"/>
      <c r="H128" s="8">
        <f>IF(E128="","",E128*G128)</f>
        <v/>
      </c>
      <c r="J128" s="38" t="n"/>
      <c r="L128">
        <f>IF(D128="","",IF(OR(D128="Entrée Achat",D128="Entrée Retour"),K128+E128,K128-E128))</f>
        <v/>
      </c>
      <c r="P128">
        <f>IF(E128="","",IF(OR(D128="Entrée Achat",D128="Entrée Retour"),"✓ Validé",IF(D128="Sortie Perte","⚠️ Perte",IF(D128="Sortie Périmée","🔴 Périmé","✓ Validé"))))</f>
        <v/>
      </c>
    </row>
    <row r="129">
      <c r="A129" s="38" t="n"/>
      <c r="G129" s="8" t="n"/>
      <c r="H129" s="8">
        <f>IF(E129="","",E129*G129)</f>
        <v/>
      </c>
      <c r="J129" s="38" t="n"/>
      <c r="L129">
        <f>IF(D129="","",IF(OR(D129="Entrée Achat",D129="Entrée Retour"),K129+E129,K129-E129))</f>
        <v/>
      </c>
      <c r="P129">
        <f>IF(E129="","",IF(OR(D129="Entrée Achat",D129="Entrée Retour"),"✓ Validé",IF(D129="Sortie Perte","⚠️ Perte",IF(D129="Sortie Périmée","🔴 Périmé","✓ Validé"))))</f>
        <v/>
      </c>
    </row>
    <row r="130">
      <c r="A130" s="38" t="n"/>
      <c r="G130" s="8" t="n"/>
      <c r="H130" s="8">
        <f>IF(E130="","",E130*G130)</f>
        <v/>
      </c>
      <c r="J130" s="38" t="n"/>
      <c r="L130">
        <f>IF(D130="","",IF(OR(D130="Entrée Achat",D130="Entrée Retour"),K130+E130,K130-E130))</f>
        <v/>
      </c>
      <c r="P130">
        <f>IF(E130="","",IF(OR(D130="Entrée Achat",D130="Entrée Retour"),"✓ Validé",IF(D130="Sortie Perte","⚠️ Perte",IF(D130="Sortie Périmée","🔴 Périmé","✓ Validé"))))</f>
        <v/>
      </c>
    </row>
    <row r="131">
      <c r="A131" s="38" t="n"/>
      <c r="G131" s="8" t="n"/>
      <c r="H131" s="8">
        <f>IF(E131="","",E131*G131)</f>
        <v/>
      </c>
      <c r="J131" s="38" t="n"/>
      <c r="L131">
        <f>IF(D131="","",IF(OR(D131="Entrée Achat",D131="Entrée Retour"),K131+E131,K131-E131))</f>
        <v/>
      </c>
      <c r="P131">
        <f>IF(E131="","",IF(OR(D131="Entrée Achat",D131="Entrée Retour"),"✓ Validé",IF(D131="Sortie Perte","⚠️ Perte",IF(D131="Sortie Périmée","🔴 Périmé","✓ Validé"))))</f>
        <v/>
      </c>
    </row>
    <row r="132">
      <c r="A132" s="38" t="n"/>
      <c r="G132" s="8" t="n"/>
      <c r="H132" s="8">
        <f>IF(E132="","",E132*G132)</f>
        <v/>
      </c>
      <c r="J132" s="38" t="n"/>
      <c r="L132">
        <f>IF(D132="","",IF(OR(D132="Entrée Achat",D132="Entrée Retour"),K132+E132,K132-E132))</f>
        <v/>
      </c>
      <c r="P132">
        <f>IF(E132="","",IF(OR(D132="Entrée Achat",D132="Entrée Retour"),"✓ Validé",IF(D132="Sortie Perte","⚠️ Perte",IF(D132="Sortie Périmée","🔴 Périmé","✓ Validé"))))</f>
        <v/>
      </c>
    </row>
    <row r="133">
      <c r="A133" s="38" t="n"/>
      <c r="G133" s="8" t="n"/>
      <c r="H133" s="8">
        <f>IF(E133="","",E133*G133)</f>
        <v/>
      </c>
      <c r="J133" s="38" t="n"/>
      <c r="L133">
        <f>IF(D133="","",IF(OR(D133="Entrée Achat",D133="Entrée Retour"),K133+E133,K133-E133))</f>
        <v/>
      </c>
      <c r="P133">
        <f>IF(E133="","",IF(OR(D133="Entrée Achat",D133="Entrée Retour"),"✓ Validé",IF(D133="Sortie Perte","⚠️ Perte",IF(D133="Sortie Périmée","🔴 Périmé","✓ Validé"))))</f>
        <v/>
      </c>
    </row>
    <row r="134">
      <c r="A134" s="38" t="n"/>
      <c r="G134" s="8" t="n"/>
      <c r="H134" s="8">
        <f>IF(E134="","",E134*G134)</f>
        <v/>
      </c>
      <c r="J134" s="38" t="n"/>
      <c r="L134">
        <f>IF(D134="","",IF(OR(D134="Entrée Achat",D134="Entrée Retour"),K134+E134,K134-E134))</f>
        <v/>
      </c>
      <c r="P134">
        <f>IF(E134="","",IF(OR(D134="Entrée Achat",D134="Entrée Retour"),"✓ Validé",IF(D134="Sortie Perte","⚠️ Perte",IF(D134="Sortie Périmée","🔴 Périmé","✓ Validé"))))</f>
        <v/>
      </c>
    </row>
    <row r="135">
      <c r="A135" s="38" t="n"/>
      <c r="G135" s="8" t="n"/>
      <c r="H135" s="8">
        <f>IF(E135="","",E135*G135)</f>
        <v/>
      </c>
      <c r="J135" s="38" t="n"/>
      <c r="L135">
        <f>IF(D135="","",IF(OR(D135="Entrée Achat",D135="Entrée Retour"),K135+E135,K135-E135))</f>
        <v/>
      </c>
      <c r="P135">
        <f>IF(E135="","",IF(OR(D135="Entrée Achat",D135="Entrée Retour"),"✓ Validé",IF(D135="Sortie Perte","⚠️ Perte",IF(D135="Sortie Périmée","🔴 Périmé","✓ Validé"))))</f>
        <v/>
      </c>
    </row>
    <row r="136">
      <c r="A136" s="38" t="n"/>
      <c r="G136" s="8" t="n"/>
      <c r="H136" s="8">
        <f>IF(E136="","",E136*G136)</f>
        <v/>
      </c>
      <c r="J136" s="38" t="n"/>
      <c r="L136">
        <f>IF(D136="","",IF(OR(D136="Entrée Achat",D136="Entrée Retour"),K136+E136,K136-E136))</f>
        <v/>
      </c>
      <c r="P136">
        <f>IF(E136="","",IF(OR(D136="Entrée Achat",D136="Entrée Retour"),"✓ Validé",IF(D136="Sortie Perte","⚠️ Perte",IF(D136="Sortie Périmée","🔴 Périmé","✓ Validé"))))</f>
        <v/>
      </c>
    </row>
    <row r="137">
      <c r="A137" s="38" t="n"/>
      <c r="G137" s="8" t="n"/>
      <c r="H137" s="8">
        <f>IF(E137="","",E137*G137)</f>
        <v/>
      </c>
      <c r="J137" s="38" t="n"/>
      <c r="L137">
        <f>IF(D137="","",IF(OR(D137="Entrée Achat",D137="Entrée Retour"),K137+E137,K137-E137))</f>
        <v/>
      </c>
      <c r="P137">
        <f>IF(E137="","",IF(OR(D137="Entrée Achat",D137="Entrée Retour"),"✓ Validé",IF(D137="Sortie Perte","⚠️ Perte",IF(D137="Sortie Périmée","🔴 Périmé","✓ Validé"))))</f>
        <v/>
      </c>
    </row>
    <row r="138">
      <c r="A138" s="38" t="n"/>
      <c r="G138" s="8" t="n"/>
      <c r="H138" s="8">
        <f>IF(E138="","",E138*G138)</f>
        <v/>
      </c>
      <c r="J138" s="38" t="n"/>
      <c r="L138">
        <f>IF(D138="","",IF(OR(D138="Entrée Achat",D138="Entrée Retour"),K138+E138,K138-E138))</f>
        <v/>
      </c>
      <c r="P138">
        <f>IF(E138="","",IF(OR(D138="Entrée Achat",D138="Entrée Retour"),"✓ Validé",IF(D138="Sortie Perte","⚠️ Perte",IF(D138="Sortie Périmée","🔴 Périmé","✓ Validé"))))</f>
        <v/>
      </c>
    </row>
    <row r="139">
      <c r="A139" s="38" t="n"/>
      <c r="G139" s="8" t="n"/>
      <c r="H139" s="8">
        <f>IF(E139="","",E139*G139)</f>
        <v/>
      </c>
      <c r="J139" s="38" t="n"/>
      <c r="L139">
        <f>IF(D139="","",IF(OR(D139="Entrée Achat",D139="Entrée Retour"),K139+E139,K139-E139))</f>
        <v/>
      </c>
      <c r="P139">
        <f>IF(E139="","",IF(OR(D139="Entrée Achat",D139="Entrée Retour"),"✓ Validé",IF(D139="Sortie Perte","⚠️ Perte",IF(D139="Sortie Périmée","🔴 Périmé","✓ Validé"))))</f>
        <v/>
      </c>
    </row>
    <row r="140">
      <c r="A140" s="38" t="n"/>
      <c r="G140" s="8" t="n"/>
      <c r="H140" s="8">
        <f>IF(E140="","",E140*G140)</f>
        <v/>
      </c>
      <c r="J140" s="38" t="n"/>
      <c r="L140">
        <f>IF(D140="","",IF(OR(D140="Entrée Achat",D140="Entrée Retour"),K140+E140,K140-E140))</f>
        <v/>
      </c>
      <c r="P140">
        <f>IF(E140="","",IF(OR(D140="Entrée Achat",D140="Entrée Retour"),"✓ Validé",IF(D140="Sortie Perte","⚠️ Perte",IF(D140="Sortie Périmée","🔴 Périmé","✓ Validé"))))</f>
        <v/>
      </c>
    </row>
    <row r="141">
      <c r="A141" s="38" t="n"/>
      <c r="G141" s="8" t="n"/>
      <c r="H141" s="8">
        <f>IF(E141="","",E141*G141)</f>
        <v/>
      </c>
      <c r="J141" s="38" t="n"/>
      <c r="L141">
        <f>IF(D141="","",IF(OR(D141="Entrée Achat",D141="Entrée Retour"),K141+E141,K141-E141))</f>
        <v/>
      </c>
      <c r="P141">
        <f>IF(E141="","",IF(OR(D141="Entrée Achat",D141="Entrée Retour"),"✓ Validé",IF(D141="Sortie Perte","⚠️ Perte",IF(D141="Sortie Périmée","🔴 Périmé","✓ Validé"))))</f>
        <v/>
      </c>
    </row>
    <row r="142">
      <c r="A142" s="38" t="n"/>
      <c r="G142" s="8" t="n"/>
      <c r="H142" s="8">
        <f>IF(E142="","",E142*G142)</f>
        <v/>
      </c>
      <c r="J142" s="38" t="n"/>
      <c r="L142">
        <f>IF(D142="","",IF(OR(D142="Entrée Achat",D142="Entrée Retour"),K142+E142,K142-E142))</f>
        <v/>
      </c>
      <c r="P142">
        <f>IF(E142="","",IF(OR(D142="Entrée Achat",D142="Entrée Retour"),"✓ Validé",IF(D142="Sortie Perte","⚠️ Perte",IF(D142="Sortie Périmée","🔴 Périmé","✓ Validé"))))</f>
        <v/>
      </c>
    </row>
    <row r="143">
      <c r="A143" s="38" t="n"/>
      <c r="G143" s="8" t="n"/>
      <c r="H143" s="8">
        <f>IF(E143="","",E143*G143)</f>
        <v/>
      </c>
      <c r="J143" s="38" t="n"/>
      <c r="L143">
        <f>IF(D143="","",IF(OR(D143="Entrée Achat",D143="Entrée Retour"),K143+E143,K143-E143))</f>
        <v/>
      </c>
      <c r="P143">
        <f>IF(E143="","",IF(OR(D143="Entrée Achat",D143="Entrée Retour"),"✓ Validé",IF(D143="Sortie Perte","⚠️ Perte",IF(D143="Sortie Périmée","🔴 Périmé","✓ Validé"))))</f>
        <v/>
      </c>
    </row>
    <row r="144">
      <c r="A144" s="38" t="n"/>
      <c r="G144" s="8" t="n"/>
      <c r="H144" s="8">
        <f>IF(E144="","",E144*G144)</f>
        <v/>
      </c>
      <c r="J144" s="38" t="n"/>
      <c r="L144">
        <f>IF(D144="","",IF(OR(D144="Entrée Achat",D144="Entrée Retour"),K144+E144,K144-E144))</f>
        <v/>
      </c>
      <c r="P144">
        <f>IF(E144="","",IF(OR(D144="Entrée Achat",D144="Entrée Retour"),"✓ Validé",IF(D144="Sortie Perte","⚠️ Perte",IF(D144="Sortie Périmée","🔴 Périmé","✓ Validé"))))</f>
        <v/>
      </c>
    </row>
    <row r="145">
      <c r="A145" s="38" t="n"/>
      <c r="G145" s="8" t="n"/>
      <c r="H145" s="8">
        <f>IF(E145="","",E145*G145)</f>
        <v/>
      </c>
      <c r="J145" s="38" t="n"/>
      <c r="L145">
        <f>IF(D145="","",IF(OR(D145="Entrée Achat",D145="Entrée Retour"),K145+E145,K145-E145))</f>
        <v/>
      </c>
      <c r="P145">
        <f>IF(E145="","",IF(OR(D145="Entrée Achat",D145="Entrée Retour"),"✓ Validé",IF(D145="Sortie Perte","⚠️ Perte",IF(D145="Sortie Périmée","🔴 Périmé","✓ Validé"))))</f>
        <v/>
      </c>
    </row>
    <row r="146">
      <c r="A146" s="38" t="n"/>
      <c r="G146" s="8" t="n"/>
      <c r="H146" s="8">
        <f>IF(E146="","",E146*G146)</f>
        <v/>
      </c>
      <c r="J146" s="38" t="n"/>
      <c r="L146">
        <f>IF(D146="","",IF(OR(D146="Entrée Achat",D146="Entrée Retour"),K146+E146,K146-E146))</f>
        <v/>
      </c>
      <c r="P146">
        <f>IF(E146="","",IF(OR(D146="Entrée Achat",D146="Entrée Retour"),"✓ Validé",IF(D146="Sortie Perte","⚠️ Perte",IF(D146="Sortie Périmée","🔴 Périmé","✓ Validé"))))</f>
        <v/>
      </c>
    </row>
    <row r="147">
      <c r="A147" s="38" t="n"/>
      <c r="G147" s="8" t="n"/>
      <c r="H147" s="8">
        <f>IF(E147="","",E147*G147)</f>
        <v/>
      </c>
      <c r="J147" s="38" t="n"/>
      <c r="L147">
        <f>IF(D147="","",IF(OR(D147="Entrée Achat",D147="Entrée Retour"),K147+E147,K147-E147))</f>
        <v/>
      </c>
      <c r="P147">
        <f>IF(E147="","",IF(OR(D147="Entrée Achat",D147="Entrée Retour"),"✓ Validé",IF(D147="Sortie Perte","⚠️ Perte",IF(D147="Sortie Périmée","🔴 Périmé","✓ Validé"))))</f>
        <v/>
      </c>
    </row>
    <row r="148">
      <c r="A148" s="38" t="n"/>
      <c r="G148" s="8" t="n"/>
      <c r="H148" s="8">
        <f>IF(E148="","",E148*G148)</f>
        <v/>
      </c>
      <c r="J148" s="38" t="n"/>
      <c r="L148">
        <f>IF(D148="","",IF(OR(D148="Entrée Achat",D148="Entrée Retour"),K148+E148,K148-E148))</f>
        <v/>
      </c>
      <c r="P148">
        <f>IF(E148="","",IF(OR(D148="Entrée Achat",D148="Entrée Retour"),"✓ Validé",IF(D148="Sortie Perte","⚠️ Perte",IF(D148="Sortie Périmée","🔴 Périmé","✓ Validé"))))</f>
        <v/>
      </c>
    </row>
    <row r="149">
      <c r="A149" s="38" t="n"/>
      <c r="G149" s="8" t="n"/>
      <c r="H149" s="8">
        <f>IF(E149="","",E149*G149)</f>
        <v/>
      </c>
      <c r="J149" s="38" t="n"/>
      <c r="L149">
        <f>IF(D149="","",IF(OR(D149="Entrée Achat",D149="Entrée Retour"),K149+E149,K149-E149))</f>
        <v/>
      </c>
      <c r="P149">
        <f>IF(E149="","",IF(OR(D149="Entrée Achat",D149="Entrée Retour"),"✓ Validé",IF(D149="Sortie Perte","⚠️ Perte",IF(D149="Sortie Périmée","🔴 Périmé","✓ Validé"))))</f>
        <v/>
      </c>
    </row>
    <row r="150">
      <c r="A150" s="38" t="n"/>
      <c r="G150" s="8" t="n"/>
      <c r="H150" s="8">
        <f>IF(E150="","",E150*G150)</f>
        <v/>
      </c>
      <c r="J150" s="38" t="n"/>
      <c r="L150">
        <f>IF(D150="","",IF(OR(D150="Entrée Achat",D150="Entrée Retour"),K150+E150,K150-E150))</f>
        <v/>
      </c>
      <c r="P150">
        <f>IF(E150="","",IF(OR(D150="Entrée Achat",D150="Entrée Retour"),"✓ Validé",IF(D150="Sortie Perte","⚠️ Perte",IF(D150="Sortie Périmée","🔴 Périmé","✓ Validé"))))</f>
        <v/>
      </c>
    </row>
    <row r="151">
      <c r="A151" s="38" t="n"/>
      <c r="G151" s="8" t="n"/>
      <c r="H151" s="8">
        <f>IF(E151="","",E151*G151)</f>
        <v/>
      </c>
      <c r="J151" s="38" t="n"/>
      <c r="L151">
        <f>IF(D151="","",IF(OR(D151="Entrée Achat",D151="Entrée Retour"),K151+E151,K151-E151))</f>
        <v/>
      </c>
      <c r="P151">
        <f>IF(E151="","",IF(OR(D151="Entrée Achat",D151="Entrée Retour"),"✓ Validé",IF(D151="Sortie Perte","⚠️ Perte",IF(D151="Sortie Périmée","🔴 Périmé","✓ Validé"))))</f>
        <v/>
      </c>
    </row>
    <row r="152">
      <c r="A152" s="38" t="n"/>
      <c r="G152" s="8" t="n"/>
      <c r="H152" s="8">
        <f>IF(E152="","",E152*G152)</f>
        <v/>
      </c>
      <c r="J152" s="38" t="n"/>
      <c r="L152">
        <f>IF(D152="","",IF(OR(D152="Entrée Achat",D152="Entrée Retour"),K152+E152,K152-E152))</f>
        <v/>
      </c>
      <c r="P152">
        <f>IF(E152="","",IF(OR(D152="Entrée Achat",D152="Entrée Retour"),"✓ Validé",IF(D152="Sortie Perte","⚠️ Perte",IF(D152="Sortie Périmée","🔴 Périmé","✓ Validé"))))</f>
        <v/>
      </c>
    </row>
    <row r="153">
      <c r="A153" s="38" t="n"/>
      <c r="G153" s="8" t="n"/>
      <c r="H153" s="8">
        <f>IF(E153="","",E153*G153)</f>
        <v/>
      </c>
      <c r="J153" s="38" t="n"/>
      <c r="L153">
        <f>IF(D153="","",IF(OR(D153="Entrée Achat",D153="Entrée Retour"),K153+E153,K153-E153))</f>
        <v/>
      </c>
      <c r="P153">
        <f>IF(E153="","",IF(OR(D153="Entrée Achat",D153="Entrée Retour"),"✓ Validé",IF(D153="Sortie Perte","⚠️ Perte",IF(D153="Sortie Périmée","🔴 Périmé","✓ Validé"))))</f>
        <v/>
      </c>
    </row>
    <row r="154">
      <c r="A154" s="38" t="n"/>
      <c r="G154" s="8" t="n"/>
      <c r="H154" s="8">
        <f>IF(E154="","",E154*G154)</f>
        <v/>
      </c>
      <c r="J154" s="38" t="n"/>
      <c r="L154">
        <f>IF(D154="","",IF(OR(D154="Entrée Achat",D154="Entrée Retour"),K154+E154,K154-E154))</f>
        <v/>
      </c>
      <c r="P154">
        <f>IF(E154="","",IF(OR(D154="Entrée Achat",D154="Entrée Retour"),"✓ Validé",IF(D154="Sortie Perte","⚠️ Perte",IF(D154="Sortie Périmée","🔴 Périmé","✓ Validé"))))</f>
        <v/>
      </c>
    </row>
    <row r="155">
      <c r="A155" s="38" t="n"/>
      <c r="G155" s="8" t="n"/>
      <c r="H155" s="8">
        <f>IF(E155="","",E155*G155)</f>
        <v/>
      </c>
      <c r="J155" s="38" t="n"/>
      <c r="L155">
        <f>IF(D155="","",IF(OR(D155="Entrée Achat",D155="Entrée Retour"),K155+E155,K155-E155))</f>
        <v/>
      </c>
      <c r="P155">
        <f>IF(E155="","",IF(OR(D155="Entrée Achat",D155="Entrée Retour"),"✓ Validé",IF(D155="Sortie Perte","⚠️ Perte",IF(D155="Sortie Périmée","🔴 Périmé","✓ Validé"))))</f>
        <v/>
      </c>
    </row>
    <row r="156">
      <c r="A156" s="38" t="n"/>
      <c r="G156" s="8" t="n"/>
      <c r="H156" s="8">
        <f>IF(E156="","",E156*G156)</f>
        <v/>
      </c>
      <c r="J156" s="38" t="n"/>
      <c r="L156">
        <f>IF(D156="","",IF(OR(D156="Entrée Achat",D156="Entrée Retour"),K156+E156,K156-E156))</f>
        <v/>
      </c>
      <c r="P156">
        <f>IF(E156="","",IF(OR(D156="Entrée Achat",D156="Entrée Retour"),"✓ Validé",IF(D156="Sortie Perte","⚠️ Perte",IF(D156="Sortie Périmée","🔴 Périmé","✓ Validé"))))</f>
        <v/>
      </c>
    </row>
    <row r="157">
      <c r="A157" s="38" t="n"/>
      <c r="G157" s="8" t="n"/>
      <c r="H157" s="8">
        <f>IF(E157="","",E157*G157)</f>
        <v/>
      </c>
      <c r="J157" s="38" t="n"/>
      <c r="L157">
        <f>IF(D157="","",IF(OR(D157="Entrée Achat",D157="Entrée Retour"),K157+E157,K157-E157))</f>
        <v/>
      </c>
      <c r="P157">
        <f>IF(E157="","",IF(OR(D157="Entrée Achat",D157="Entrée Retour"),"✓ Validé",IF(D157="Sortie Perte","⚠️ Perte",IF(D157="Sortie Périmée","🔴 Périmé","✓ Validé"))))</f>
        <v/>
      </c>
    </row>
    <row r="158">
      <c r="A158" s="38" t="n"/>
      <c r="G158" s="8" t="n"/>
      <c r="H158" s="8">
        <f>IF(E158="","",E158*G158)</f>
        <v/>
      </c>
      <c r="J158" s="38" t="n"/>
      <c r="L158">
        <f>IF(D158="","",IF(OR(D158="Entrée Achat",D158="Entrée Retour"),K158+E158,K158-E158))</f>
        <v/>
      </c>
      <c r="P158">
        <f>IF(E158="","",IF(OR(D158="Entrée Achat",D158="Entrée Retour"),"✓ Validé",IF(D158="Sortie Perte","⚠️ Perte",IF(D158="Sortie Périmée","🔴 Périmé","✓ Validé"))))</f>
        <v/>
      </c>
    </row>
    <row r="159">
      <c r="A159" s="38" t="n"/>
      <c r="G159" s="8" t="n"/>
      <c r="H159" s="8">
        <f>IF(E159="","",E159*G159)</f>
        <v/>
      </c>
      <c r="J159" s="38" t="n"/>
      <c r="L159">
        <f>IF(D159="","",IF(OR(D159="Entrée Achat",D159="Entrée Retour"),K159+E159,K159-E159))</f>
        <v/>
      </c>
      <c r="P159">
        <f>IF(E159="","",IF(OR(D159="Entrée Achat",D159="Entrée Retour"),"✓ Validé",IF(D159="Sortie Perte","⚠️ Perte",IF(D159="Sortie Périmée","🔴 Périmé","✓ Validé"))))</f>
        <v/>
      </c>
    </row>
    <row r="160">
      <c r="A160" s="38" t="n"/>
      <c r="G160" s="8" t="n"/>
      <c r="H160" s="8">
        <f>IF(E160="","",E160*G160)</f>
        <v/>
      </c>
      <c r="J160" s="38" t="n"/>
      <c r="L160">
        <f>IF(D160="","",IF(OR(D160="Entrée Achat",D160="Entrée Retour"),K160+E160,K160-E160))</f>
        <v/>
      </c>
      <c r="P160">
        <f>IF(E160="","",IF(OR(D160="Entrée Achat",D160="Entrée Retour"),"✓ Validé",IF(D160="Sortie Perte","⚠️ Perte",IF(D160="Sortie Périmée","🔴 Périmé","✓ Validé"))))</f>
        <v/>
      </c>
    </row>
    <row r="161">
      <c r="A161" s="38" t="n"/>
      <c r="G161" s="8" t="n"/>
      <c r="H161" s="8">
        <f>IF(E161="","",E161*G161)</f>
        <v/>
      </c>
      <c r="J161" s="38" t="n"/>
      <c r="L161">
        <f>IF(D161="","",IF(OR(D161="Entrée Achat",D161="Entrée Retour"),K161+E161,K161-E161))</f>
        <v/>
      </c>
      <c r="P161">
        <f>IF(E161="","",IF(OR(D161="Entrée Achat",D161="Entrée Retour"),"✓ Validé",IF(D161="Sortie Perte","⚠️ Perte",IF(D161="Sortie Périmée","🔴 Périmé","✓ Validé"))))</f>
        <v/>
      </c>
    </row>
    <row r="162">
      <c r="A162" s="38" t="n"/>
      <c r="G162" s="8" t="n"/>
      <c r="H162" s="8">
        <f>IF(E162="","",E162*G162)</f>
        <v/>
      </c>
      <c r="J162" s="38" t="n"/>
      <c r="L162">
        <f>IF(D162="","",IF(OR(D162="Entrée Achat",D162="Entrée Retour"),K162+E162,K162-E162))</f>
        <v/>
      </c>
      <c r="P162">
        <f>IF(E162="","",IF(OR(D162="Entrée Achat",D162="Entrée Retour"),"✓ Validé",IF(D162="Sortie Perte","⚠️ Perte",IF(D162="Sortie Périmée","🔴 Périmé","✓ Validé"))))</f>
        <v/>
      </c>
    </row>
    <row r="163">
      <c r="A163" s="38" t="n"/>
      <c r="G163" s="8" t="n"/>
      <c r="H163" s="8">
        <f>IF(E163="","",E163*G163)</f>
        <v/>
      </c>
      <c r="J163" s="38" t="n"/>
      <c r="L163">
        <f>IF(D163="","",IF(OR(D163="Entrée Achat",D163="Entrée Retour"),K163+E163,K163-E163))</f>
        <v/>
      </c>
      <c r="P163">
        <f>IF(E163="","",IF(OR(D163="Entrée Achat",D163="Entrée Retour"),"✓ Validé",IF(D163="Sortie Perte","⚠️ Perte",IF(D163="Sortie Périmée","🔴 Périmé","✓ Validé"))))</f>
        <v/>
      </c>
    </row>
    <row r="164">
      <c r="A164" s="38" t="n"/>
      <c r="G164" s="8" t="n"/>
      <c r="H164" s="8">
        <f>IF(E164="","",E164*G164)</f>
        <v/>
      </c>
      <c r="J164" s="38" t="n"/>
      <c r="L164">
        <f>IF(D164="","",IF(OR(D164="Entrée Achat",D164="Entrée Retour"),K164+E164,K164-E164))</f>
        <v/>
      </c>
      <c r="P164">
        <f>IF(E164="","",IF(OR(D164="Entrée Achat",D164="Entrée Retour"),"✓ Validé",IF(D164="Sortie Perte","⚠️ Perte",IF(D164="Sortie Périmée","🔴 Périmé","✓ Validé"))))</f>
        <v/>
      </c>
    </row>
    <row r="165">
      <c r="A165" s="38" t="n"/>
      <c r="G165" s="8" t="n"/>
      <c r="H165" s="8">
        <f>IF(E165="","",E165*G165)</f>
        <v/>
      </c>
      <c r="J165" s="38" t="n"/>
      <c r="L165">
        <f>IF(D165="","",IF(OR(D165="Entrée Achat",D165="Entrée Retour"),K165+E165,K165-E165))</f>
        <v/>
      </c>
      <c r="P165">
        <f>IF(E165="","",IF(OR(D165="Entrée Achat",D165="Entrée Retour"),"✓ Validé",IF(D165="Sortie Perte","⚠️ Perte",IF(D165="Sortie Périmée","🔴 Périmé","✓ Validé"))))</f>
        <v/>
      </c>
    </row>
    <row r="166">
      <c r="A166" s="38" t="n"/>
      <c r="G166" s="8" t="n"/>
      <c r="H166" s="8">
        <f>IF(E166="","",E166*G166)</f>
        <v/>
      </c>
      <c r="J166" s="38" t="n"/>
      <c r="L166">
        <f>IF(D166="","",IF(OR(D166="Entrée Achat",D166="Entrée Retour"),K166+E166,K166-E166))</f>
        <v/>
      </c>
      <c r="P166">
        <f>IF(E166="","",IF(OR(D166="Entrée Achat",D166="Entrée Retour"),"✓ Validé",IF(D166="Sortie Perte","⚠️ Perte",IF(D166="Sortie Périmée","🔴 Périmé","✓ Validé"))))</f>
        <v/>
      </c>
    </row>
    <row r="167">
      <c r="A167" s="38" t="n"/>
      <c r="G167" s="8" t="n"/>
      <c r="H167" s="8">
        <f>IF(E167="","",E167*G167)</f>
        <v/>
      </c>
      <c r="J167" s="38" t="n"/>
      <c r="L167">
        <f>IF(D167="","",IF(OR(D167="Entrée Achat",D167="Entrée Retour"),K167+E167,K167-E167))</f>
        <v/>
      </c>
      <c r="P167">
        <f>IF(E167="","",IF(OR(D167="Entrée Achat",D167="Entrée Retour"),"✓ Validé",IF(D167="Sortie Perte","⚠️ Perte",IF(D167="Sortie Périmée","🔴 Périmé","✓ Validé"))))</f>
        <v/>
      </c>
    </row>
    <row r="168">
      <c r="A168" s="38" t="n"/>
      <c r="G168" s="8" t="n"/>
      <c r="H168" s="8">
        <f>IF(E168="","",E168*G168)</f>
        <v/>
      </c>
      <c r="J168" s="38" t="n"/>
      <c r="L168">
        <f>IF(D168="","",IF(OR(D168="Entrée Achat",D168="Entrée Retour"),K168+E168,K168-E168))</f>
        <v/>
      </c>
      <c r="P168">
        <f>IF(E168="","",IF(OR(D168="Entrée Achat",D168="Entrée Retour"),"✓ Validé",IF(D168="Sortie Perte","⚠️ Perte",IF(D168="Sortie Périmée","🔴 Périmé","✓ Validé"))))</f>
        <v/>
      </c>
    </row>
    <row r="169">
      <c r="A169" s="38" t="n"/>
      <c r="G169" s="8" t="n"/>
      <c r="H169" s="8">
        <f>IF(E169="","",E169*G169)</f>
        <v/>
      </c>
      <c r="J169" s="38" t="n"/>
      <c r="L169">
        <f>IF(D169="","",IF(OR(D169="Entrée Achat",D169="Entrée Retour"),K169+E169,K169-E169))</f>
        <v/>
      </c>
      <c r="P169">
        <f>IF(E169="","",IF(OR(D169="Entrée Achat",D169="Entrée Retour"),"✓ Validé",IF(D169="Sortie Perte","⚠️ Perte",IF(D169="Sortie Périmée","🔴 Périmé","✓ Validé"))))</f>
        <v/>
      </c>
    </row>
    <row r="170">
      <c r="A170" s="38" t="n"/>
      <c r="G170" s="8" t="n"/>
      <c r="H170" s="8">
        <f>IF(E170="","",E170*G170)</f>
        <v/>
      </c>
      <c r="J170" s="38" t="n"/>
      <c r="L170">
        <f>IF(D170="","",IF(OR(D170="Entrée Achat",D170="Entrée Retour"),K170+E170,K170-E170))</f>
        <v/>
      </c>
      <c r="P170">
        <f>IF(E170="","",IF(OR(D170="Entrée Achat",D170="Entrée Retour"),"✓ Validé",IF(D170="Sortie Perte","⚠️ Perte",IF(D170="Sortie Périmée","🔴 Périmé","✓ Validé"))))</f>
        <v/>
      </c>
    </row>
    <row r="171">
      <c r="A171" s="38" t="n"/>
      <c r="G171" s="8" t="n"/>
      <c r="H171" s="8">
        <f>IF(E171="","",E171*G171)</f>
        <v/>
      </c>
      <c r="J171" s="38" t="n"/>
      <c r="L171">
        <f>IF(D171="","",IF(OR(D171="Entrée Achat",D171="Entrée Retour"),K171+E171,K171-E171))</f>
        <v/>
      </c>
      <c r="P171">
        <f>IF(E171="","",IF(OR(D171="Entrée Achat",D171="Entrée Retour"),"✓ Validé",IF(D171="Sortie Perte","⚠️ Perte",IF(D171="Sortie Périmée","🔴 Périmé","✓ Validé"))))</f>
        <v/>
      </c>
    </row>
    <row r="172">
      <c r="A172" s="38" t="n"/>
      <c r="G172" s="8" t="n"/>
      <c r="H172" s="8">
        <f>IF(E172="","",E172*G172)</f>
        <v/>
      </c>
      <c r="J172" s="38" t="n"/>
      <c r="L172">
        <f>IF(D172="","",IF(OR(D172="Entrée Achat",D172="Entrée Retour"),K172+E172,K172-E172))</f>
        <v/>
      </c>
      <c r="P172">
        <f>IF(E172="","",IF(OR(D172="Entrée Achat",D172="Entrée Retour"),"✓ Validé",IF(D172="Sortie Perte","⚠️ Perte",IF(D172="Sortie Périmée","🔴 Périmé","✓ Validé"))))</f>
        <v/>
      </c>
    </row>
    <row r="173">
      <c r="A173" s="38" t="n"/>
      <c r="G173" s="8" t="n"/>
      <c r="H173" s="8">
        <f>IF(E173="","",E173*G173)</f>
        <v/>
      </c>
      <c r="J173" s="38" t="n"/>
      <c r="L173">
        <f>IF(D173="","",IF(OR(D173="Entrée Achat",D173="Entrée Retour"),K173+E173,K173-E173))</f>
        <v/>
      </c>
      <c r="P173">
        <f>IF(E173="","",IF(OR(D173="Entrée Achat",D173="Entrée Retour"),"✓ Validé",IF(D173="Sortie Perte","⚠️ Perte",IF(D173="Sortie Périmée","🔴 Périmé","✓ Validé"))))</f>
        <v/>
      </c>
    </row>
    <row r="174">
      <c r="A174" s="38" t="n"/>
      <c r="G174" s="8" t="n"/>
      <c r="H174" s="8">
        <f>IF(E174="","",E174*G174)</f>
        <v/>
      </c>
      <c r="J174" s="38" t="n"/>
      <c r="L174">
        <f>IF(D174="","",IF(OR(D174="Entrée Achat",D174="Entrée Retour"),K174+E174,K174-E174))</f>
        <v/>
      </c>
      <c r="P174">
        <f>IF(E174="","",IF(OR(D174="Entrée Achat",D174="Entrée Retour"),"✓ Validé",IF(D174="Sortie Perte","⚠️ Perte",IF(D174="Sortie Périmée","🔴 Périmé","✓ Validé"))))</f>
        <v/>
      </c>
    </row>
    <row r="175">
      <c r="A175" s="38" t="n"/>
      <c r="G175" s="8" t="n"/>
      <c r="H175" s="8">
        <f>IF(E175="","",E175*G175)</f>
        <v/>
      </c>
      <c r="J175" s="38" t="n"/>
      <c r="L175">
        <f>IF(D175="","",IF(OR(D175="Entrée Achat",D175="Entrée Retour"),K175+E175,K175-E175))</f>
        <v/>
      </c>
      <c r="P175">
        <f>IF(E175="","",IF(OR(D175="Entrée Achat",D175="Entrée Retour"),"✓ Validé",IF(D175="Sortie Perte","⚠️ Perte",IF(D175="Sortie Périmée","🔴 Périmé","✓ Validé"))))</f>
        <v/>
      </c>
    </row>
    <row r="176">
      <c r="A176" s="38" t="n"/>
      <c r="G176" s="8" t="n"/>
      <c r="H176" s="8">
        <f>IF(E176="","",E176*G176)</f>
        <v/>
      </c>
      <c r="J176" s="38" t="n"/>
      <c r="L176">
        <f>IF(D176="","",IF(OR(D176="Entrée Achat",D176="Entrée Retour"),K176+E176,K176-E176))</f>
        <v/>
      </c>
      <c r="P176">
        <f>IF(E176="","",IF(OR(D176="Entrée Achat",D176="Entrée Retour"),"✓ Validé",IF(D176="Sortie Perte","⚠️ Perte",IF(D176="Sortie Périmée","🔴 Périmé","✓ Validé"))))</f>
        <v/>
      </c>
    </row>
    <row r="177">
      <c r="A177" s="38" t="n"/>
      <c r="G177" s="8" t="n"/>
      <c r="H177" s="8">
        <f>IF(E177="","",E177*G177)</f>
        <v/>
      </c>
      <c r="J177" s="38" t="n"/>
      <c r="L177">
        <f>IF(D177="","",IF(OR(D177="Entrée Achat",D177="Entrée Retour"),K177+E177,K177-E177))</f>
        <v/>
      </c>
      <c r="P177">
        <f>IF(E177="","",IF(OR(D177="Entrée Achat",D177="Entrée Retour"),"✓ Validé",IF(D177="Sortie Perte","⚠️ Perte",IF(D177="Sortie Périmée","🔴 Périmé","✓ Validé"))))</f>
        <v/>
      </c>
    </row>
    <row r="178">
      <c r="A178" s="38" t="n"/>
      <c r="G178" s="8" t="n"/>
      <c r="H178" s="8">
        <f>IF(E178="","",E178*G178)</f>
        <v/>
      </c>
      <c r="J178" s="38" t="n"/>
      <c r="L178">
        <f>IF(D178="","",IF(OR(D178="Entrée Achat",D178="Entrée Retour"),K178+E178,K178-E178))</f>
        <v/>
      </c>
      <c r="P178">
        <f>IF(E178="","",IF(OR(D178="Entrée Achat",D178="Entrée Retour"),"✓ Validé",IF(D178="Sortie Perte","⚠️ Perte",IF(D178="Sortie Périmée","🔴 Périmé","✓ Validé"))))</f>
        <v/>
      </c>
    </row>
    <row r="179">
      <c r="A179" s="38" t="n"/>
      <c r="G179" s="8" t="n"/>
      <c r="H179" s="8">
        <f>IF(E179="","",E179*G179)</f>
        <v/>
      </c>
      <c r="J179" s="38" t="n"/>
      <c r="L179">
        <f>IF(D179="","",IF(OR(D179="Entrée Achat",D179="Entrée Retour"),K179+E179,K179-E179))</f>
        <v/>
      </c>
      <c r="P179">
        <f>IF(E179="","",IF(OR(D179="Entrée Achat",D179="Entrée Retour"),"✓ Validé",IF(D179="Sortie Perte","⚠️ Perte",IF(D179="Sortie Périmée","🔴 Périmé","✓ Validé"))))</f>
        <v/>
      </c>
    </row>
    <row r="180">
      <c r="A180" s="38" t="n"/>
      <c r="G180" s="8" t="n"/>
      <c r="H180" s="8">
        <f>IF(E180="","",E180*G180)</f>
        <v/>
      </c>
      <c r="J180" s="38" t="n"/>
      <c r="L180">
        <f>IF(D180="","",IF(OR(D180="Entrée Achat",D180="Entrée Retour"),K180+E180,K180-E180))</f>
        <v/>
      </c>
      <c r="P180">
        <f>IF(E180="","",IF(OR(D180="Entrée Achat",D180="Entrée Retour"),"✓ Validé",IF(D180="Sortie Perte","⚠️ Perte",IF(D180="Sortie Périmée","🔴 Périmé","✓ Validé"))))</f>
        <v/>
      </c>
    </row>
    <row r="181">
      <c r="A181" s="38" t="n"/>
      <c r="G181" s="8" t="n"/>
      <c r="H181" s="8">
        <f>IF(E181="","",E181*G181)</f>
        <v/>
      </c>
      <c r="J181" s="38" t="n"/>
      <c r="L181">
        <f>IF(D181="","",IF(OR(D181="Entrée Achat",D181="Entrée Retour"),K181+E181,K181-E181))</f>
        <v/>
      </c>
      <c r="P181">
        <f>IF(E181="","",IF(OR(D181="Entrée Achat",D181="Entrée Retour"),"✓ Validé",IF(D181="Sortie Perte","⚠️ Perte",IF(D181="Sortie Périmée","🔴 Périmé","✓ Validé"))))</f>
        <v/>
      </c>
    </row>
    <row r="182">
      <c r="A182" s="38" t="n"/>
      <c r="G182" s="8" t="n"/>
      <c r="H182" s="8">
        <f>IF(E182="","",E182*G182)</f>
        <v/>
      </c>
      <c r="J182" s="38" t="n"/>
      <c r="L182">
        <f>IF(D182="","",IF(OR(D182="Entrée Achat",D182="Entrée Retour"),K182+E182,K182-E182))</f>
        <v/>
      </c>
      <c r="P182">
        <f>IF(E182="","",IF(OR(D182="Entrée Achat",D182="Entrée Retour"),"✓ Validé",IF(D182="Sortie Perte","⚠️ Perte",IF(D182="Sortie Périmée","🔴 Périmé","✓ Validé"))))</f>
        <v/>
      </c>
    </row>
    <row r="183">
      <c r="A183" s="38" t="n"/>
      <c r="G183" s="8" t="n"/>
      <c r="H183" s="8">
        <f>IF(E183="","",E183*G183)</f>
        <v/>
      </c>
      <c r="J183" s="38" t="n"/>
      <c r="L183">
        <f>IF(D183="","",IF(OR(D183="Entrée Achat",D183="Entrée Retour"),K183+E183,K183-E183))</f>
        <v/>
      </c>
      <c r="P183">
        <f>IF(E183="","",IF(OR(D183="Entrée Achat",D183="Entrée Retour"),"✓ Validé",IF(D183="Sortie Perte","⚠️ Perte",IF(D183="Sortie Périmée","🔴 Périmé","✓ Validé"))))</f>
        <v/>
      </c>
    </row>
    <row r="184">
      <c r="A184" s="38" t="n"/>
      <c r="G184" s="8" t="n"/>
      <c r="H184" s="8">
        <f>IF(E184="","",E184*G184)</f>
        <v/>
      </c>
      <c r="J184" s="38" t="n"/>
      <c r="L184">
        <f>IF(D184="","",IF(OR(D184="Entrée Achat",D184="Entrée Retour"),K184+E184,K184-E184))</f>
        <v/>
      </c>
      <c r="P184">
        <f>IF(E184="","",IF(OR(D184="Entrée Achat",D184="Entrée Retour"),"✓ Validé",IF(D184="Sortie Perte","⚠️ Perte",IF(D184="Sortie Périmée","🔴 Périmé","✓ Validé"))))</f>
        <v/>
      </c>
    </row>
    <row r="185">
      <c r="A185" s="38" t="n"/>
      <c r="G185" s="8" t="n"/>
      <c r="H185" s="8">
        <f>IF(E185="","",E185*G185)</f>
        <v/>
      </c>
      <c r="J185" s="38" t="n"/>
      <c r="L185">
        <f>IF(D185="","",IF(OR(D185="Entrée Achat",D185="Entrée Retour"),K185+E185,K185-E185))</f>
        <v/>
      </c>
      <c r="P185">
        <f>IF(E185="","",IF(OR(D185="Entrée Achat",D185="Entrée Retour"),"✓ Validé",IF(D185="Sortie Perte","⚠️ Perte",IF(D185="Sortie Périmée","🔴 Périmé","✓ Validé"))))</f>
        <v/>
      </c>
    </row>
    <row r="186">
      <c r="A186" s="38" t="n"/>
      <c r="G186" s="8" t="n"/>
      <c r="H186" s="8">
        <f>IF(E186="","",E186*G186)</f>
        <v/>
      </c>
      <c r="J186" s="38" t="n"/>
      <c r="L186">
        <f>IF(D186="","",IF(OR(D186="Entrée Achat",D186="Entrée Retour"),K186+E186,K186-E186))</f>
        <v/>
      </c>
      <c r="P186">
        <f>IF(E186="","",IF(OR(D186="Entrée Achat",D186="Entrée Retour"),"✓ Validé",IF(D186="Sortie Perte","⚠️ Perte",IF(D186="Sortie Périmée","🔴 Périmé","✓ Validé"))))</f>
        <v/>
      </c>
    </row>
    <row r="187">
      <c r="A187" s="38" t="n"/>
      <c r="G187" s="8" t="n"/>
      <c r="H187" s="8">
        <f>IF(E187="","",E187*G187)</f>
        <v/>
      </c>
      <c r="J187" s="38" t="n"/>
      <c r="L187">
        <f>IF(D187="","",IF(OR(D187="Entrée Achat",D187="Entrée Retour"),K187+E187,K187-E187))</f>
        <v/>
      </c>
      <c r="P187">
        <f>IF(E187="","",IF(OR(D187="Entrée Achat",D187="Entrée Retour"),"✓ Validé",IF(D187="Sortie Perte","⚠️ Perte",IF(D187="Sortie Périmée","🔴 Périmé","✓ Validé"))))</f>
        <v/>
      </c>
    </row>
    <row r="188">
      <c r="A188" s="38" t="n"/>
      <c r="G188" s="8" t="n"/>
      <c r="H188" s="8">
        <f>IF(E188="","",E188*G188)</f>
        <v/>
      </c>
      <c r="J188" s="38" t="n"/>
      <c r="L188">
        <f>IF(D188="","",IF(OR(D188="Entrée Achat",D188="Entrée Retour"),K188+E188,K188-E188))</f>
        <v/>
      </c>
      <c r="P188">
        <f>IF(E188="","",IF(OR(D188="Entrée Achat",D188="Entrée Retour"),"✓ Validé",IF(D188="Sortie Perte","⚠️ Perte",IF(D188="Sortie Périmée","🔴 Périmé","✓ Validé"))))</f>
        <v/>
      </c>
    </row>
    <row r="189">
      <c r="A189" s="38" t="n"/>
      <c r="G189" s="8" t="n"/>
      <c r="H189" s="8">
        <f>IF(E189="","",E189*G189)</f>
        <v/>
      </c>
      <c r="J189" s="38" t="n"/>
      <c r="L189">
        <f>IF(D189="","",IF(OR(D189="Entrée Achat",D189="Entrée Retour"),K189+E189,K189-E189))</f>
        <v/>
      </c>
      <c r="P189">
        <f>IF(E189="","",IF(OR(D189="Entrée Achat",D189="Entrée Retour"),"✓ Validé",IF(D189="Sortie Perte","⚠️ Perte",IF(D189="Sortie Périmée","🔴 Périmé","✓ Validé"))))</f>
        <v/>
      </c>
    </row>
    <row r="190">
      <c r="A190" s="38" t="n"/>
      <c r="G190" s="8" t="n"/>
      <c r="H190" s="8">
        <f>IF(E190="","",E190*G190)</f>
        <v/>
      </c>
      <c r="J190" s="38" t="n"/>
      <c r="L190">
        <f>IF(D190="","",IF(OR(D190="Entrée Achat",D190="Entrée Retour"),K190+E190,K190-E190))</f>
        <v/>
      </c>
      <c r="P190">
        <f>IF(E190="","",IF(OR(D190="Entrée Achat",D190="Entrée Retour"),"✓ Validé",IF(D190="Sortie Perte","⚠️ Perte",IF(D190="Sortie Périmée","🔴 Périmé","✓ Validé"))))</f>
        <v/>
      </c>
    </row>
    <row r="191">
      <c r="A191" s="38" t="n"/>
      <c r="G191" s="8" t="n"/>
      <c r="H191" s="8">
        <f>IF(E191="","",E191*G191)</f>
        <v/>
      </c>
      <c r="J191" s="38" t="n"/>
      <c r="L191">
        <f>IF(D191="","",IF(OR(D191="Entrée Achat",D191="Entrée Retour"),K191+E191,K191-E191))</f>
        <v/>
      </c>
      <c r="P191">
        <f>IF(E191="","",IF(OR(D191="Entrée Achat",D191="Entrée Retour"),"✓ Validé",IF(D191="Sortie Perte","⚠️ Perte",IF(D191="Sortie Périmée","🔴 Périmé","✓ Validé"))))</f>
        <v/>
      </c>
    </row>
    <row r="192">
      <c r="A192" s="38" t="n"/>
      <c r="G192" s="8" t="n"/>
      <c r="H192" s="8">
        <f>IF(E192="","",E192*G192)</f>
        <v/>
      </c>
      <c r="J192" s="38" t="n"/>
      <c r="L192">
        <f>IF(D192="","",IF(OR(D192="Entrée Achat",D192="Entrée Retour"),K192+E192,K192-E192))</f>
        <v/>
      </c>
      <c r="P192">
        <f>IF(E192="","",IF(OR(D192="Entrée Achat",D192="Entrée Retour"),"✓ Validé",IF(D192="Sortie Perte","⚠️ Perte",IF(D192="Sortie Périmée","🔴 Périmé","✓ Validé"))))</f>
        <v/>
      </c>
    </row>
    <row r="193">
      <c r="A193" s="38" t="n"/>
      <c r="G193" s="8" t="n"/>
      <c r="H193" s="8">
        <f>IF(E193="","",E193*G193)</f>
        <v/>
      </c>
      <c r="J193" s="38" t="n"/>
      <c r="L193">
        <f>IF(D193="","",IF(OR(D193="Entrée Achat",D193="Entrée Retour"),K193+E193,K193-E193))</f>
        <v/>
      </c>
      <c r="P193">
        <f>IF(E193="","",IF(OR(D193="Entrée Achat",D193="Entrée Retour"),"✓ Validé",IF(D193="Sortie Perte","⚠️ Perte",IF(D193="Sortie Périmée","🔴 Périmé","✓ Validé"))))</f>
        <v/>
      </c>
    </row>
    <row r="194">
      <c r="A194" s="38" t="n"/>
      <c r="G194" s="8" t="n"/>
      <c r="H194" s="8">
        <f>IF(E194="","",E194*G194)</f>
        <v/>
      </c>
      <c r="J194" s="38" t="n"/>
      <c r="L194">
        <f>IF(D194="","",IF(OR(D194="Entrée Achat",D194="Entrée Retour"),K194+E194,K194-E194))</f>
        <v/>
      </c>
      <c r="P194">
        <f>IF(E194="","",IF(OR(D194="Entrée Achat",D194="Entrée Retour"),"✓ Validé",IF(D194="Sortie Perte","⚠️ Perte",IF(D194="Sortie Périmée","🔴 Périmé","✓ Validé"))))</f>
        <v/>
      </c>
    </row>
    <row r="195">
      <c r="A195" s="38" t="n"/>
      <c r="G195" s="8" t="n"/>
      <c r="H195" s="8">
        <f>IF(E195="","",E195*G195)</f>
        <v/>
      </c>
      <c r="J195" s="38" t="n"/>
      <c r="L195">
        <f>IF(D195="","",IF(OR(D195="Entrée Achat",D195="Entrée Retour"),K195+E195,K195-E195))</f>
        <v/>
      </c>
      <c r="P195">
        <f>IF(E195="","",IF(OR(D195="Entrée Achat",D195="Entrée Retour"),"✓ Validé",IF(D195="Sortie Perte","⚠️ Perte",IF(D195="Sortie Périmée","🔴 Périmé","✓ Validé"))))</f>
        <v/>
      </c>
    </row>
    <row r="196">
      <c r="A196" s="38" t="n"/>
      <c r="G196" s="8" t="n"/>
      <c r="H196" s="8">
        <f>IF(E196="","",E196*G196)</f>
        <v/>
      </c>
      <c r="J196" s="38" t="n"/>
      <c r="L196">
        <f>IF(D196="","",IF(OR(D196="Entrée Achat",D196="Entrée Retour"),K196+E196,K196-E196))</f>
        <v/>
      </c>
      <c r="P196">
        <f>IF(E196="","",IF(OR(D196="Entrée Achat",D196="Entrée Retour"),"✓ Validé",IF(D196="Sortie Perte","⚠️ Perte",IF(D196="Sortie Périmée","🔴 Périmé","✓ Validé"))))</f>
        <v/>
      </c>
    </row>
    <row r="197">
      <c r="A197" s="38" t="n"/>
      <c r="G197" s="8" t="n"/>
      <c r="H197" s="8">
        <f>IF(E197="","",E197*G197)</f>
        <v/>
      </c>
      <c r="J197" s="38" t="n"/>
      <c r="L197">
        <f>IF(D197="","",IF(OR(D197="Entrée Achat",D197="Entrée Retour"),K197+E197,K197-E197))</f>
        <v/>
      </c>
      <c r="P197">
        <f>IF(E197="","",IF(OR(D197="Entrée Achat",D197="Entrée Retour"),"✓ Validé",IF(D197="Sortie Perte","⚠️ Perte",IF(D197="Sortie Périmée","🔴 Périmé","✓ Validé"))))</f>
        <v/>
      </c>
    </row>
    <row r="198">
      <c r="A198" s="38" t="n"/>
      <c r="G198" s="8" t="n"/>
      <c r="H198" s="8">
        <f>IF(E198="","",E198*G198)</f>
        <v/>
      </c>
      <c r="J198" s="38" t="n"/>
      <c r="L198">
        <f>IF(D198="","",IF(OR(D198="Entrée Achat",D198="Entrée Retour"),K198+E198,K198-E198))</f>
        <v/>
      </c>
      <c r="P198">
        <f>IF(E198="","",IF(OR(D198="Entrée Achat",D198="Entrée Retour"),"✓ Validé",IF(D198="Sortie Perte","⚠️ Perte",IF(D198="Sortie Périmée","🔴 Périmé","✓ Validé"))))</f>
        <v/>
      </c>
    </row>
    <row r="199">
      <c r="A199" s="38" t="n"/>
      <c r="G199" s="8" t="n"/>
      <c r="H199" s="8">
        <f>IF(E199="","",E199*G199)</f>
        <v/>
      </c>
      <c r="J199" s="38" t="n"/>
      <c r="L199">
        <f>IF(D199="","",IF(OR(D199="Entrée Achat",D199="Entrée Retour"),K199+E199,K199-E199))</f>
        <v/>
      </c>
      <c r="P199">
        <f>IF(E199="","",IF(OR(D199="Entrée Achat",D199="Entrée Retour"),"✓ Validé",IF(D199="Sortie Perte","⚠️ Perte",IF(D199="Sortie Périmée","🔴 Périmé","✓ Validé"))))</f>
        <v/>
      </c>
    </row>
    <row r="200">
      <c r="A200" s="38" t="n"/>
      <c r="G200" s="8" t="n"/>
      <c r="H200" s="8">
        <f>IF(E200="","",E200*G200)</f>
        <v/>
      </c>
      <c r="J200" s="38" t="n"/>
      <c r="L200">
        <f>IF(D200="","",IF(OR(D200="Entrée Achat",D200="Entrée Retour"),K200+E200,K200-E200))</f>
        <v/>
      </c>
      <c r="P200">
        <f>IF(E200="","",IF(OR(D200="Entrée Achat",D200="Entrée Retour"),"✓ Validé",IF(D200="Sortie Perte","⚠️ Perte",IF(D200="Sortie Périmée","🔴 Périmé","✓ Validé"))))</f>
        <v/>
      </c>
    </row>
    <row r="201">
      <c r="A201" s="38" t="n"/>
      <c r="G201" s="8" t="n"/>
      <c r="H201" s="8">
        <f>IF(E201="","",E201*G201)</f>
        <v/>
      </c>
      <c r="J201" s="38" t="n"/>
      <c r="L201">
        <f>IF(D201="","",IF(OR(D201="Entrée Achat",D201="Entrée Retour"),K201+E201,K201-E201))</f>
        <v/>
      </c>
      <c r="P201">
        <f>IF(E201="","",IF(OR(D201="Entrée Achat",D201="Entrée Retour"),"✓ Validé",IF(D201="Sortie Perte","⚠️ Perte",IF(D201="Sortie Périmée","🔴 Périmé","✓ Validé"))))</f>
        <v/>
      </c>
    </row>
    <row r="202">
      <c r="A202" s="38" t="n"/>
      <c r="G202" s="8" t="n"/>
      <c r="H202" s="8">
        <f>IF(E202="","",E202*G202)</f>
        <v/>
      </c>
      <c r="J202" s="38" t="n"/>
      <c r="L202">
        <f>IF(D202="","",IF(OR(D202="Entrée Achat",D202="Entrée Retour"),K202+E202,K202-E202))</f>
        <v/>
      </c>
      <c r="P202">
        <f>IF(E202="","",IF(OR(D202="Entrée Achat",D202="Entrée Retour"),"✓ Validé",IF(D202="Sortie Perte","⚠️ Perte",IF(D202="Sortie Périmée","🔴 Périmé","✓ Validé"))))</f>
        <v/>
      </c>
    </row>
    <row r="203">
      <c r="A203" s="38" t="n"/>
      <c r="G203" s="8" t="n"/>
      <c r="H203" s="8">
        <f>IF(E203="","",E203*G203)</f>
        <v/>
      </c>
      <c r="J203" s="38" t="n"/>
      <c r="L203">
        <f>IF(D203="","",IF(OR(D203="Entrée Achat",D203="Entrée Retour"),K203+E203,K203-E203))</f>
        <v/>
      </c>
      <c r="P203">
        <f>IF(E203="","",IF(OR(D203="Entrée Achat",D203="Entrée Retour"),"✓ Validé",IF(D203="Sortie Perte","⚠️ Perte",IF(D203="Sortie Périmée","🔴 Périmé","✓ Validé"))))</f>
        <v/>
      </c>
    </row>
    <row r="204">
      <c r="A204" s="38" t="n"/>
      <c r="G204" s="8" t="n"/>
      <c r="H204" s="8">
        <f>IF(E204="","",E204*G204)</f>
        <v/>
      </c>
      <c r="J204" s="38" t="n"/>
      <c r="L204">
        <f>IF(D204="","",IF(OR(D204="Entrée Achat",D204="Entrée Retour"),K204+E204,K204-E204))</f>
        <v/>
      </c>
      <c r="P204">
        <f>IF(E204="","",IF(OR(D204="Entrée Achat",D204="Entrée Retour"),"✓ Validé",IF(D204="Sortie Perte","⚠️ Perte",IF(D204="Sortie Périmée","🔴 Périmé","✓ Validé"))))</f>
        <v/>
      </c>
    </row>
    <row r="205">
      <c r="A205" s="38" t="n"/>
      <c r="G205" s="8" t="n"/>
      <c r="H205" s="8">
        <f>IF(E205="","",E205*G205)</f>
        <v/>
      </c>
      <c r="J205" s="38" t="n"/>
      <c r="L205">
        <f>IF(D205="","",IF(OR(D205="Entrée Achat",D205="Entrée Retour"),K205+E205,K205-E205))</f>
        <v/>
      </c>
      <c r="P205">
        <f>IF(E205="","",IF(OR(D205="Entrée Achat",D205="Entrée Retour"),"✓ Validé",IF(D205="Sortie Perte","⚠️ Perte",IF(D205="Sortie Périmée","🔴 Périmé","✓ Validé"))))</f>
        <v/>
      </c>
    </row>
    <row r="206">
      <c r="A206" s="38" t="n"/>
      <c r="G206" s="8" t="n"/>
      <c r="H206" s="8">
        <f>IF(E206="","",E206*G206)</f>
        <v/>
      </c>
      <c r="J206" s="38" t="n"/>
      <c r="L206">
        <f>IF(D206="","",IF(OR(D206="Entrée Achat",D206="Entrée Retour"),K206+E206,K206-E206))</f>
        <v/>
      </c>
      <c r="P206">
        <f>IF(E206="","",IF(OR(D206="Entrée Achat",D206="Entrée Retour"),"✓ Validé",IF(D206="Sortie Perte","⚠️ Perte",IF(D206="Sortie Périmée","🔴 Périmé","✓ Validé"))))</f>
        <v/>
      </c>
    </row>
    <row r="207">
      <c r="A207" s="38" t="n"/>
      <c r="G207" s="8" t="n"/>
      <c r="H207" s="8">
        <f>IF(E207="","",E207*G207)</f>
        <v/>
      </c>
      <c r="J207" s="38" t="n"/>
      <c r="L207">
        <f>IF(D207="","",IF(OR(D207="Entrée Achat",D207="Entrée Retour"),K207+E207,K207-E207))</f>
        <v/>
      </c>
      <c r="P207">
        <f>IF(E207="","",IF(OR(D207="Entrée Achat",D207="Entrée Retour"),"✓ Validé",IF(D207="Sortie Perte","⚠️ Perte",IF(D207="Sortie Périmée","🔴 Périmé","✓ Validé"))))</f>
        <v/>
      </c>
    </row>
    <row r="208">
      <c r="A208" s="38" t="n"/>
      <c r="G208" s="8" t="n"/>
      <c r="H208" s="8">
        <f>IF(E208="","",E208*G208)</f>
        <v/>
      </c>
      <c r="J208" s="38" t="n"/>
      <c r="L208">
        <f>IF(D208="","",IF(OR(D208="Entrée Achat",D208="Entrée Retour"),K208+E208,K208-E208))</f>
        <v/>
      </c>
      <c r="P208">
        <f>IF(E208="","",IF(OR(D208="Entrée Achat",D208="Entrée Retour"),"✓ Validé",IF(D208="Sortie Perte","⚠️ Perte",IF(D208="Sortie Périmée","🔴 Périmé","✓ Validé"))))</f>
        <v/>
      </c>
    </row>
    <row r="209">
      <c r="A209" s="38" t="n"/>
      <c r="G209" s="8" t="n"/>
      <c r="H209" s="8">
        <f>IF(E209="","",E209*G209)</f>
        <v/>
      </c>
      <c r="J209" s="38" t="n"/>
      <c r="L209">
        <f>IF(D209="","",IF(OR(D209="Entrée Achat",D209="Entrée Retour"),K209+E209,K209-E209))</f>
        <v/>
      </c>
      <c r="P209">
        <f>IF(E209="","",IF(OR(D209="Entrée Achat",D209="Entrée Retour"),"✓ Validé",IF(D209="Sortie Perte","⚠️ Perte",IF(D209="Sortie Périmée","🔴 Périmé","✓ Validé"))))</f>
        <v/>
      </c>
    </row>
    <row r="210">
      <c r="A210" s="38" t="n"/>
      <c r="G210" s="8" t="n"/>
      <c r="H210" s="8">
        <f>IF(E210="","",E210*G210)</f>
        <v/>
      </c>
      <c r="J210" s="38" t="n"/>
      <c r="L210">
        <f>IF(D210="","",IF(OR(D210="Entrée Achat",D210="Entrée Retour"),K210+E210,K210-E210))</f>
        <v/>
      </c>
      <c r="P210">
        <f>IF(E210="","",IF(OR(D210="Entrée Achat",D210="Entrée Retour"),"✓ Validé",IF(D210="Sortie Perte","⚠️ Perte",IF(D210="Sortie Périmée","🔴 Périmé","✓ Validé"))))</f>
        <v/>
      </c>
    </row>
    <row r="211">
      <c r="A211" s="38" t="n"/>
      <c r="G211" s="8" t="n"/>
      <c r="H211" s="8">
        <f>IF(E211="","",E211*G211)</f>
        <v/>
      </c>
      <c r="J211" s="38" t="n"/>
      <c r="L211">
        <f>IF(D211="","",IF(OR(D211="Entrée Achat",D211="Entrée Retour"),K211+E211,K211-E211))</f>
        <v/>
      </c>
      <c r="P211">
        <f>IF(E211="","",IF(OR(D211="Entrée Achat",D211="Entrée Retour"),"✓ Validé",IF(D211="Sortie Perte","⚠️ Perte",IF(D211="Sortie Périmée","🔴 Périmé","✓ Validé"))))</f>
        <v/>
      </c>
    </row>
    <row r="212">
      <c r="A212" s="38" t="n"/>
      <c r="G212" s="8" t="n"/>
      <c r="H212" s="8">
        <f>IF(E212="","",E212*G212)</f>
        <v/>
      </c>
      <c r="J212" s="38" t="n"/>
      <c r="L212">
        <f>IF(D212="","",IF(OR(D212="Entrée Achat",D212="Entrée Retour"),K212+E212,K212-E212))</f>
        <v/>
      </c>
      <c r="P212">
        <f>IF(E212="","",IF(OR(D212="Entrée Achat",D212="Entrée Retour"),"✓ Validé",IF(D212="Sortie Perte","⚠️ Perte",IF(D212="Sortie Périmée","🔴 Périmé","✓ Validé"))))</f>
        <v/>
      </c>
    </row>
    <row r="213">
      <c r="A213" s="38" t="n"/>
      <c r="G213" s="8" t="n"/>
      <c r="H213" s="8">
        <f>IF(E213="","",E213*G213)</f>
        <v/>
      </c>
      <c r="J213" s="38" t="n"/>
      <c r="L213">
        <f>IF(D213="","",IF(OR(D213="Entrée Achat",D213="Entrée Retour"),K213+E213,K213-E213))</f>
        <v/>
      </c>
      <c r="P213">
        <f>IF(E213="","",IF(OR(D213="Entrée Achat",D213="Entrée Retour"),"✓ Validé",IF(D213="Sortie Perte","⚠️ Perte",IF(D213="Sortie Périmée","🔴 Périmé","✓ Validé"))))</f>
        <v/>
      </c>
    </row>
    <row r="214">
      <c r="A214" s="38" t="n"/>
      <c r="G214" s="8" t="n"/>
      <c r="H214" s="8">
        <f>IF(E214="","",E214*G214)</f>
        <v/>
      </c>
      <c r="J214" s="38" t="n"/>
      <c r="L214">
        <f>IF(D214="","",IF(OR(D214="Entrée Achat",D214="Entrée Retour"),K214+E214,K214-E214))</f>
        <v/>
      </c>
      <c r="P214">
        <f>IF(E214="","",IF(OR(D214="Entrée Achat",D214="Entrée Retour"),"✓ Validé",IF(D214="Sortie Perte","⚠️ Perte",IF(D214="Sortie Périmée","🔴 Périmé","✓ Validé"))))</f>
        <v/>
      </c>
    </row>
    <row r="215">
      <c r="A215" s="38" t="n"/>
      <c r="G215" s="8" t="n"/>
      <c r="H215" s="8">
        <f>IF(E215="","",E215*G215)</f>
        <v/>
      </c>
      <c r="J215" s="38" t="n"/>
      <c r="L215">
        <f>IF(D215="","",IF(OR(D215="Entrée Achat",D215="Entrée Retour"),K215+E215,K215-E215))</f>
        <v/>
      </c>
      <c r="P215">
        <f>IF(E215="","",IF(OR(D215="Entrée Achat",D215="Entrée Retour"),"✓ Validé",IF(D215="Sortie Perte","⚠️ Perte",IF(D215="Sortie Périmée","🔴 Périmé","✓ Validé"))))</f>
        <v/>
      </c>
    </row>
    <row r="216">
      <c r="A216" s="38" t="n"/>
      <c r="G216" s="8" t="n"/>
      <c r="H216" s="8">
        <f>IF(E216="","",E216*G216)</f>
        <v/>
      </c>
      <c r="J216" s="38" t="n"/>
      <c r="L216">
        <f>IF(D216="","",IF(OR(D216="Entrée Achat",D216="Entrée Retour"),K216+E216,K216-E216))</f>
        <v/>
      </c>
      <c r="P216">
        <f>IF(E216="","",IF(OR(D216="Entrée Achat",D216="Entrée Retour"),"✓ Validé",IF(D216="Sortie Perte","⚠️ Perte",IF(D216="Sortie Périmée","🔴 Périmé","✓ Validé"))))</f>
        <v/>
      </c>
    </row>
    <row r="217">
      <c r="A217" s="38" t="n"/>
      <c r="G217" s="8" t="n"/>
      <c r="H217" s="8">
        <f>IF(E217="","",E217*G217)</f>
        <v/>
      </c>
      <c r="J217" s="38" t="n"/>
      <c r="L217">
        <f>IF(D217="","",IF(OR(D217="Entrée Achat",D217="Entrée Retour"),K217+E217,K217-E217))</f>
        <v/>
      </c>
      <c r="P217">
        <f>IF(E217="","",IF(OR(D217="Entrée Achat",D217="Entrée Retour"),"✓ Validé",IF(D217="Sortie Perte","⚠️ Perte",IF(D217="Sortie Périmée","🔴 Périmé","✓ Validé"))))</f>
        <v/>
      </c>
    </row>
    <row r="218">
      <c r="A218" s="38" t="n"/>
      <c r="G218" s="8" t="n"/>
      <c r="H218" s="8">
        <f>IF(E218="","",E218*G218)</f>
        <v/>
      </c>
      <c r="J218" s="38" t="n"/>
      <c r="L218">
        <f>IF(D218="","",IF(OR(D218="Entrée Achat",D218="Entrée Retour"),K218+E218,K218-E218))</f>
        <v/>
      </c>
      <c r="P218">
        <f>IF(E218="","",IF(OR(D218="Entrée Achat",D218="Entrée Retour"),"✓ Validé",IF(D218="Sortie Perte","⚠️ Perte",IF(D218="Sortie Périmée","🔴 Périmé","✓ Validé"))))</f>
        <v/>
      </c>
    </row>
    <row r="219">
      <c r="A219" s="38" t="n"/>
      <c r="G219" s="8" t="n"/>
      <c r="H219" s="8">
        <f>IF(E219="","",E219*G219)</f>
        <v/>
      </c>
      <c r="J219" s="38" t="n"/>
      <c r="L219">
        <f>IF(D219="","",IF(OR(D219="Entrée Achat",D219="Entrée Retour"),K219+E219,K219-E219))</f>
        <v/>
      </c>
      <c r="P219">
        <f>IF(E219="","",IF(OR(D219="Entrée Achat",D219="Entrée Retour"),"✓ Validé",IF(D219="Sortie Perte","⚠️ Perte",IF(D219="Sortie Périmée","🔴 Périmé","✓ Validé"))))</f>
        <v/>
      </c>
    </row>
    <row r="220">
      <c r="A220" s="38" t="n"/>
      <c r="G220" s="8" t="n"/>
      <c r="H220" s="8">
        <f>IF(E220="","",E220*G220)</f>
        <v/>
      </c>
      <c r="J220" s="38" t="n"/>
      <c r="L220">
        <f>IF(D220="","",IF(OR(D220="Entrée Achat",D220="Entrée Retour"),K220+E220,K220-E220))</f>
        <v/>
      </c>
      <c r="P220">
        <f>IF(E220="","",IF(OR(D220="Entrée Achat",D220="Entrée Retour"),"✓ Validé",IF(D220="Sortie Perte","⚠️ Perte",IF(D220="Sortie Périmée","🔴 Périmé","✓ Validé"))))</f>
        <v/>
      </c>
    </row>
    <row r="221">
      <c r="A221" s="38" t="n"/>
      <c r="G221" s="8" t="n"/>
      <c r="H221" s="8">
        <f>IF(E221="","",E221*G221)</f>
        <v/>
      </c>
      <c r="J221" s="38" t="n"/>
      <c r="L221">
        <f>IF(D221="","",IF(OR(D221="Entrée Achat",D221="Entrée Retour"),K221+E221,K221-E221))</f>
        <v/>
      </c>
      <c r="P221">
        <f>IF(E221="","",IF(OR(D221="Entrée Achat",D221="Entrée Retour"),"✓ Validé",IF(D221="Sortie Perte","⚠️ Perte",IF(D221="Sortie Périmée","🔴 Périmé","✓ Validé"))))</f>
        <v/>
      </c>
    </row>
    <row r="222">
      <c r="A222" s="38" t="n"/>
      <c r="G222" s="8" t="n"/>
      <c r="H222" s="8">
        <f>IF(E222="","",E222*G222)</f>
        <v/>
      </c>
      <c r="J222" s="38" t="n"/>
      <c r="L222">
        <f>IF(D222="","",IF(OR(D222="Entrée Achat",D222="Entrée Retour"),K222+E222,K222-E222))</f>
        <v/>
      </c>
      <c r="P222">
        <f>IF(E222="","",IF(OR(D222="Entrée Achat",D222="Entrée Retour"),"✓ Validé",IF(D222="Sortie Perte","⚠️ Perte",IF(D222="Sortie Périmée","🔴 Périmé","✓ Validé"))))</f>
        <v/>
      </c>
    </row>
    <row r="223">
      <c r="A223" s="38" t="n"/>
      <c r="G223" s="8" t="n"/>
      <c r="H223" s="8">
        <f>IF(E223="","",E223*G223)</f>
        <v/>
      </c>
      <c r="J223" s="38" t="n"/>
      <c r="L223">
        <f>IF(D223="","",IF(OR(D223="Entrée Achat",D223="Entrée Retour"),K223+E223,K223-E223))</f>
        <v/>
      </c>
      <c r="P223">
        <f>IF(E223="","",IF(OR(D223="Entrée Achat",D223="Entrée Retour"),"✓ Validé",IF(D223="Sortie Perte","⚠️ Perte",IF(D223="Sortie Périmée","🔴 Périmé","✓ Validé"))))</f>
        <v/>
      </c>
    </row>
    <row r="224">
      <c r="A224" s="38" t="n"/>
      <c r="G224" s="8" t="n"/>
      <c r="H224" s="8">
        <f>IF(E224="","",E224*G224)</f>
        <v/>
      </c>
      <c r="J224" s="38" t="n"/>
      <c r="L224">
        <f>IF(D224="","",IF(OR(D224="Entrée Achat",D224="Entrée Retour"),K224+E224,K224-E224))</f>
        <v/>
      </c>
      <c r="P224">
        <f>IF(E224="","",IF(OR(D224="Entrée Achat",D224="Entrée Retour"),"✓ Validé",IF(D224="Sortie Perte","⚠️ Perte",IF(D224="Sortie Périmée","🔴 Périmé","✓ Validé"))))</f>
        <v/>
      </c>
    </row>
    <row r="225">
      <c r="A225" s="38" t="n"/>
      <c r="G225" s="8" t="n"/>
      <c r="H225" s="8">
        <f>IF(E225="","",E225*G225)</f>
        <v/>
      </c>
      <c r="J225" s="38" t="n"/>
      <c r="L225">
        <f>IF(D225="","",IF(OR(D225="Entrée Achat",D225="Entrée Retour"),K225+E225,K225-E225))</f>
        <v/>
      </c>
      <c r="P225">
        <f>IF(E225="","",IF(OR(D225="Entrée Achat",D225="Entrée Retour"),"✓ Validé",IF(D225="Sortie Perte","⚠️ Perte",IF(D225="Sortie Périmée","🔴 Périmé","✓ Validé"))))</f>
        <v/>
      </c>
    </row>
    <row r="226">
      <c r="A226" s="38" t="n"/>
      <c r="G226" s="8" t="n"/>
      <c r="H226" s="8">
        <f>IF(E226="","",E226*G226)</f>
        <v/>
      </c>
      <c r="J226" s="38" t="n"/>
      <c r="L226">
        <f>IF(D226="","",IF(OR(D226="Entrée Achat",D226="Entrée Retour"),K226+E226,K226-E226))</f>
        <v/>
      </c>
      <c r="P226">
        <f>IF(E226="","",IF(OR(D226="Entrée Achat",D226="Entrée Retour"),"✓ Validé",IF(D226="Sortie Perte","⚠️ Perte",IF(D226="Sortie Périmée","🔴 Périmé","✓ Validé"))))</f>
        <v/>
      </c>
    </row>
    <row r="227">
      <c r="A227" s="38" t="n"/>
      <c r="G227" s="8" t="n"/>
      <c r="H227" s="8">
        <f>IF(E227="","",E227*G227)</f>
        <v/>
      </c>
      <c r="J227" s="38" t="n"/>
      <c r="L227">
        <f>IF(D227="","",IF(OR(D227="Entrée Achat",D227="Entrée Retour"),K227+E227,K227-E227))</f>
        <v/>
      </c>
      <c r="P227">
        <f>IF(E227="","",IF(OR(D227="Entrée Achat",D227="Entrée Retour"),"✓ Validé",IF(D227="Sortie Perte","⚠️ Perte",IF(D227="Sortie Périmée","🔴 Périmé","✓ Validé"))))</f>
        <v/>
      </c>
    </row>
    <row r="228">
      <c r="A228" s="38" t="n"/>
      <c r="G228" s="8" t="n"/>
      <c r="H228" s="8">
        <f>IF(E228="","",E228*G228)</f>
        <v/>
      </c>
      <c r="J228" s="38" t="n"/>
      <c r="L228">
        <f>IF(D228="","",IF(OR(D228="Entrée Achat",D228="Entrée Retour"),K228+E228,K228-E228))</f>
        <v/>
      </c>
      <c r="P228">
        <f>IF(E228="","",IF(OR(D228="Entrée Achat",D228="Entrée Retour"),"✓ Validé",IF(D228="Sortie Perte","⚠️ Perte",IF(D228="Sortie Périmée","🔴 Périmé","✓ Validé"))))</f>
        <v/>
      </c>
    </row>
    <row r="229">
      <c r="A229" s="38" t="n"/>
      <c r="G229" s="8" t="n"/>
      <c r="H229" s="8">
        <f>IF(E229="","",E229*G229)</f>
        <v/>
      </c>
      <c r="J229" s="38" t="n"/>
      <c r="L229">
        <f>IF(D229="","",IF(OR(D229="Entrée Achat",D229="Entrée Retour"),K229+E229,K229-E229))</f>
        <v/>
      </c>
      <c r="P229">
        <f>IF(E229="","",IF(OR(D229="Entrée Achat",D229="Entrée Retour"),"✓ Validé",IF(D229="Sortie Perte","⚠️ Perte",IF(D229="Sortie Périmée","🔴 Périmé","✓ Validé"))))</f>
        <v/>
      </c>
    </row>
    <row r="230">
      <c r="A230" s="38" t="n"/>
      <c r="G230" s="8" t="n"/>
      <c r="H230" s="8">
        <f>IF(E230="","",E230*G230)</f>
        <v/>
      </c>
      <c r="J230" s="38" t="n"/>
      <c r="L230">
        <f>IF(D230="","",IF(OR(D230="Entrée Achat",D230="Entrée Retour"),K230+E230,K230-E230))</f>
        <v/>
      </c>
      <c r="P230">
        <f>IF(E230="","",IF(OR(D230="Entrée Achat",D230="Entrée Retour"),"✓ Validé",IF(D230="Sortie Perte","⚠️ Perte",IF(D230="Sortie Périmée","🔴 Périmé","✓ Validé"))))</f>
        <v/>
      </c>
    </row>
    <row r="231">
      <c r="A231" s="38" t="n"/>
      <c r="G231" s="8" t="n"/>
      <c r="H231" s="8">
        <f>IF(E231="","",E231*G231)</f>
        <v/>
      </c>
      <c r="J231" s="38" t="n"/>
      <c r="L231">
        <f>IF(D231="","",IF(OR(D231="Entrée Achat",D231="Entrée Retour"),K231+E231,K231-E231))</f>
        <v/>
      </c>
      <c r="P231">
        <f>IF(E231="","",IF(OR(D231="Entrée Achat",D231="Entrée Retour"),"✓ Validé",IF(D231="Sortie Perte","⚠️ Perte",IF(D231="Sortie Périmée","🔴 Périmé","✓ Validé"))))</f>
        <v/>
      </c>
    </row>
    <row r="232">
      <c r="A232" s="38" t="n"/>
      <c r="G232" s="8" t="n"/>
      <c r="H232" s="8">
        <f>IF(E232="","",E232*G232)</f>
        <v/>
      </c>
      <c r="J232" s="38" t="n"/>
      <c r="L232">
        <f>IF(D232="","",IF(OR(D232="Entrée Achat",D232="Entrée Retour"),K232+E232,K232-E232))</f>
        <v/>
      </c>
      <c r="P232">
        <f>IF(E232="","",IF(OR(D232="Entrée Achat",D232="Entrée Retour"),"✓ Validé",IF(D232="Sortie Perte","⚠️ Perte",IF(D232="Sortie Périmée","🔴 Périmé","✓ Validé"))))</f>
        <v/>
      </c>
    </row>
    <row r="233">
      <c r="A233" s="38" t="n"/>
      <c r="G233" s="8" t="n"/>
      <c r="H233" s="8">
        <f>IF(E233="","",E233*G233)</f>
        <v/>
      </c>
      <c r="J233" s="38" t="n"/>
      <c r="L233">
        <f>IF(D233="","",IF(OR(D233="Entrée Achat",D233="Entrée Retour"),K233+E233,K233-E233))</f>
        <v/>
      </c>
      <c r="P233">
        <f>IF(E233="","",IF(OR(D233="Entrée Achat",D233="Entrée Retour"),"✓ Validé",IF(D233="Sortie Perte","⚠️ Perte",IF(D233="Sortie Périmée","🔴 Périmé","✓ Validé"))))</f>
        <v/>
      </c>
    </row>
    <row r="234">
      <c r="A234" s="38" t="n"/>
      <c r="G234" s="8" t="n"/>
      <c r="H234" s="8">
        <f>IF(E234="","",E234*G234)</f>
        <v/>
      </c>
      <c r="J234" s="38" t="n"/>
      <c r="L234">
        <f>IF(D234="","",IF(OR(D234="Entrée Achat",D234="Entrée Retour"),K234+E234,K234-E234))</f>
        <v/>
      </c>
      <c r="P234">
        <f>IF(E234="","",IF(OR(D234="Entrée Achat",D234="Entrée Retour"),"✓ Validé",IF(D234="Sortie Perte","⚠️ Perte",IF(D234="Sortie Périmée","🔴 Périmé","✓ Validé"))))</f>
        <v/>
      </c>
    </row>
    <row r="235">
      <c r="A235" s="38" t="n"/>
      <c r="G235" s="8" t="n"/>
      <c r="H235" s="8">
        <f>IF(E235="","",E235*G235)</f>
        <v/>
      </c>
      <c r="J235" s="38" t="n"/>
      <c r="L235">
        <f>IF(D235="","",IF(OR(D235="Entrée Achat",D235="Entrée Retour"),K235+E235,K235-E235))</f>
        <v/>
      </c>
      <c r="P235">
        <f>IF(E235="","",IF(OR(D235="Entrée Achat",D235="Entrée Retour"),"✓ Validé",IF(D235="Sortie Perte","⚠️ Perte",IF(D235="Sortie Périmée","🔴 Périmé","✓ Validé"))))</f>
        <v/>
      </c>
    </row>
    <row r="236">
      <c r="A236" s="38" t="n"/>
      <c r="G236" s="8" t="n"/>
      <c r="H236" s="8">
        <f>IF(E236="","",E236*G236)</f>
        <v/>
      </c>
      <c r="J236" s="38" t="n"/>
      <c r="L236">
        <f>IF(D236="","",IF(OR(D236="Entrée Achat",D236="Entrée Retour"),K236+E236,K236-E236))</f>
        <v/>
      </c>
      <c r="P236">
        <f>IF(E236="","",IF(OR(D236="Entrée Achat",D236="Entrée Retour"),"✓ Validé",IF(D236="Sortie Perte","⚠️ Perte",IF(D236="Sortie Périmée","🔴 Périmé","✓ Validé"))))</f>
        <v/>
      </c>
    </row>
    <row r="237">
      <c r="A237" s="38" t="n"/>
      <c r="G237" s="8" t="n"/>
      <c r="H237" s="8">
        <f>IF(E237="","",E237*G237)</f>
        <v/>
      </c>
      <c r="J237" s="38" t="n"/>
      <c r="L237">
        <f>IF(D237="","",IF(OR(D237="Entrée Achat",D237="Entrée Retour"),K237+E237,K237-E237))</f>
        <v/>
      </c>
      <c r="P237">
        <f>IF(E237="","",IF(OR(D237="Entrée Achat",D237="Entrée Retour"),"✓ Validé",IF(D237="Sortie Perte","⚠️ Perte",IF(D237="Sortie Périmée","🔴 Périmé","✓ Validé"))))</f>
        <v/>
      </c>
    </row>
    <row r="238">
      <c r="A238" s="38" t="n"/>
      <c r="G238" s="8" t="n"/>
      <c r="H238" s="8">
        <f>IF(E238="","",E238*G238)</f>
        <v/>
      </c>
      <c r="J238" s="38" t="n"/>
      <c r="L238">
        <f>IF(D238="","",IF(OR(D238="Entrée Achat",D238="Entrée Retour"),K238+E238,K238-E238))</f>
        <v/>
      </c>
      <c r="P238">
        <f>IF(E238="","",IF(OR(D238="Entrée Achat",D238="Entrée Retour"),"✓ Validé",IF(D238="Sortie Perte","⚠️ Perte",IF(D238="Sortie Périmée","🔴 Périmé","✓ Validé"))))</f>
        <v/>
      </c>
    </row>
    <row r="239">
      <c r="A239" s="38" t="n"/>
      <c r="G239" s="8" t="n"/>
      <c r="H239" s="8">
        <f>IF(E239="","",E239*G239)</f>
        <v/>
      </c>
      <c r="J239" s="38" t="n"/>
      <c r="L239">
        <f>IF(D239="","",IF(OR(D239="Entrée Achat",D239="Entrée Retour"),K239+E239,K239-E239))</f>
        <v/>
      </c>
      <c r="P239">
        <f>IF(E239="","",IF(OR(D239="Entrée Achat",D239="Entrée Retour"),"✓ Validé",IF(D239="Sortie Perte","⚠️ Perte",IF(D239="Sortie Périmée","🔴 Périmé","✓ Validé"))))</f>
        <v/>
      </c>
    </row>
    <row r="240">
      <c r="A240" s="38" t="n"/>
      <c r="G240" s="8" t="n"/>
      <c r="H240" s="8">
        <f>IF(E240="","",E240*G240)</f>
        <v/>
      </c>
      <c r="J240" s="38" t="n"/>
      <c r="L240">
        <f>IF(D240="","",IF(OR(D240="Entrée Achat",D240="Entrée Retour"),K240+E240,K240-E240))</f>
        <v/>
      </c>
      <c r="P240">
        <f>IF(E240="","",IF(OR(D240="Entrée Achat",D240="Entrée Retour"),"✓ Validé",IF(D240="Sortie Perte","⚠️ Perte",IF(D240="Sortie Périmée","🔴 Périmé","✓ Validé"))))</f>
        <v/>
      </c>
    </row>
    <row r="241">
      <c r="A241" s="38" t="n"/>
      <c r="G241" s="8" t="n"/>
      <c r="H241" s="8">
        <f>IF(E241="","",E241*G241)</f>
        <v/>
      </c>
      <c r="J241" s="38" t="n"/>
      <c r="L241">
        <f>IF(D241="","",IF(OR(D241="Entrée Achat",D241="Entrée Retour"),K241+E241,K241-E241))</f>
        <v/>
      </c>
      <c r="P241">
        <f>IF(E241="","",IF(OR(D241="Entrée Achat",D241="Entrée Retour"),"✓ Validé",IF(D241="Sortie Perte","⚠️ Perte",IF(D241="Sortie Périmée","🔴 Périmé","✓ Validé"))))</f>
        <v/>
      </c>
    </row>
    <row r="242">
      <c r="A242" s="38" t="n"/>
      <c r="G242" s="8" t="n"/>
      <c r="H242" s="8">
        <f>IF(E242="","",E242*G242)</f>
        <v/>
      </c>
      <c r="J242" s="38" t="n"/>
      <c r="L242">
        <f>IF(D242="","",IF(OR(D242="Entrée Achat",D242="Entrée Retour"),K242+E242,K242-E242))</f>
        <v/>
      </c>
      <c r="P242">
        <f>IF(E242="","",IF(OR(D242="Entrée Achat",D242="Entrée Retour"),"✓ Validé",IF(D242="Sortie Perte","⚠️ Perte",IF(D242="Sortie Périmée","🔴 Périmé","✓ Validé"))))</f>
        <v/>
      </c>
    </row>
    <row r="243">
      <c r="A243" s="38" t="n"/>
      <c r="G243" s="8" t="n"/>
      <c r="H243" s="8">
        <f>IF(E243="","",E243*G243)</f>
        <v/>
      </c>
      <c r="J243" s="38" t="n"/>
      <c r="L243">
        <f>IF(D243="","",IF(OR(D243="Entrée Achat",D243="Entrée Retour"),K243+E243,K243-E243))</f>
        <v/>
      </c>
      <c r="P243">
        <f>IF(E243="","",IF(OR(D243="Entrée Achat",D243="Entrée Retour"),"✓ Validé",IF(D243="Sortie Perte","⚠️ Perte",IF(D243="Sortie Périmée","🔴 Périmé","✓ Validé"))))</f>
        <v/>
      </c>
    </row>
    <row r="244">
      <c r="A244" s="38" t="n"/>
      <c r="G244" s="8" t="n"/>
      <c r="H244" s="8">
        <f>IF(E244="","",E244*G244)</f>
        <v/>
      </c>
      <c r="J244" s="38" t="n"/>
      <c r="L244">
        <f>IF(D244="","",IF(OR(D244="Entrée Achat",D244="Entrée Retour"),K244+E244,K244-E244))</f>
        <v/>
      </c>
      <c r="P244">
        <f>IF(E244="","",IF(OR(D244="Entrée Achat",D244="Entrée Retour"),"✓ Validé",IF(D244="Sortie Perte","⚠️ Perte",IF(D244="Sortie Périmée","🔴 Périmé","✓ Validé"))))</f>
        <v/>
      </c>
    </row>
    <row r="245">
      <c r="A245" s="38" t="n"/>
      <c r="G245" s="8" t="n"/>
      <c r="H245" s="8">
        <f>IF(E245="","",E245*G245)</f>
        <v/>
      </c>
      <c r="J245" s="38" t="n"/>
      <c r="L245">
        <f>IF(D245="","",IF(OR(D245="Entrée Achat",D245="Entrée Retour"),K245+E245,K245-E245))</f>
        <v/>
      </c>
      <c r="P245">
        <f>IF(E245="","",IF(OR(D245="Entrée Achat",D245="Entrée Retour"),"✓ Validé",IF(D245="Sortie Perte","⚠️ Perte",IF(D245="Sortie Périmée","🔴 Périmé","✓ Validé"))))</f>
        <v/>
      </c>
    </row>
    <row r="246">
      <c r="A246" s="38" t="n"/>
      <c r="G246" s="8" t="n"/>
      <c r="H246" s="8">
        <f>IF(E246="","",E246*G246)</f>
        <v/>
      </c>
      <c r="J246" s="38" t="n"/>
      <c r="L246">
        <f>IF(D246="","",IF(OR(D246="Entrée Achat",D246="Entrée Retour"),K246+E246,K246-E246))</f>
        <v/>
      </c>
      <c r="P246">
        <f>IF(E246="","",IF(OR(D246="Entrée Achat",D246="Entrée Retour"),"✓ Validé",IF(D246="Sortie Perte","⚠️ Perte",IF(D246="Sortie Périmée","🔴 Périmé","✓ Validé"))))</f>
        <v/>
      </c>
    </row>
    <row r="247">
      <c r="A247" s="38" t="n"/>
      <c r="G247" s="8" t="n"/>
      <c r="H247" s="8">
        <f>IF(E247="","",E247*G247)</f>
        <v/>
      </c>
      <c r="J247" s="38" t="n"/>
      <c r="L247">
        <f>IF(D247="","",IF(OR(D247="Entrée Achat",D247="Entrée Retour"),K247+E247,K247-E247))</f>
        <v/>
      </c>
      <c r="P247">
        <f>IF(E247="","",IF(OR(D247="Entrée Achat",D247="Entrée Retour"),"✓ Validé",IF(D247="Sortie Perte","⚠️ Perte",IF(D247="Sortie Périmée","🔴 Périmé","✓ Validé"))))</f>
        <v/>
      </c>
    </row>
    <row r="248">
      <c r="A248" s="38" t="n"/>
      <c r="G248" s="8" t="n"/>
      <c r="H248" s="8">
        <f>IF(E248="","",E248*G248)</f>
        <v/>
      </c>
      <c r="J248" s="38" t="n"/>
      <c r="L248">
        <f>IF(D248="","",IF(OR(D248="Entrée Achat",D248="Entrée Retour"),K248+E248,K248-E248))</f>
        <v/>
      </c>
      <c r="P248">
        <f>IF(E248="","",IF(OR(D248="Entrée Achat",D248="Entrée Retour"),"✓ Validé",IF(D248="Sortie Perte","⚠️ Perte",IF(D248="Sortie Périmée","🔴 Périmé","✓ Validé"))))</f>
        <v/>
      </c>
    </row>
    <row r="249">
      <c r="A249" s="38" t="n"/>
      <c r="G249" s="8" t="n"/>
      <c r="H249" s="8">
        <f>IF(E249="","",E249*G249)</f>
        <v/>
      </c>
      <c r="J249" s="38" t="n"/>
      <c r="L249">
        <f>IF(D249="","",IF(OR(D249="Entrée Achat",D249="Entrée Retour"),K249+E249,K249-E249))</f>
        <v/>
      </c>
      <c r="P249">
        <f>IF(E249="","",IF(OR(D249="Entrée Achat",D249="Entrée Retour"),"✓ Validé",IF(D249="Sortie Perte","⚠️ Perte",IF(D249="Sortie Périmée","🔴 Périmé","✓ Validé"))))</f>
        <v/>
      </c>
    </row>
    <row r="250">
      <c r="A250" s="38" t="n"/>
      <c r="G250" s="8" t="n"/>
      <c r="H250" s="8">
        <f>IF(E250="","",E250*G250)</f>
        <v/>
      </c>
      <c r="J250" s="38" t="n"/>
      <c r="L250">
        <f>IF(D250="","",IF(OR(D250="Entrée Achat",D250="Entrée Retour"),K250+E250,K250-E250))</f>
        <v/>
      </c>
      <c r="P250">
        <f>IF(E250="","",IF(OR(D250="Entrée Achat",D250="Entrée Retour"),"✓ Validé",IF(D250="Sortie Perte","⚠️ Perte",IF(D250="Sortie Périmée","🔴 Périmé","✓ Validé"))))</f>
        <v/>
      </c>
    </row>
    <row r="251">
      <c r="A251" s="38" t="n"/>
      <c r="G251" s="8" t="n"/>
      <c r="H251" s="8">
        <f>IF(E251="","",E251*G251)</f>
        <v/>
      </c>
      <c r="J251" s="38" t="n"/>
      <c r="L251">
        <f>IF(D251="","",IF(OR(D251="Entrée Achat",D251="Entrée Retour"),K251+E251,K251-E251))</f>
        <v/>
      </c>
      <c r="P251">
        <f>IF(E251="","",IF(OR(D251="Entrée Achat",D251="Entrée Retour"),"✓ Validé",IF(D251="Sortie Perte","⚠️ Perte",IF(D251="Sortie Périmée","🔴 Périmé","✓ Validé"))))</f>
        <v/>
      </c>
    </row>
    <row r="252">
      <c r="A252" s="38" t="n"/>
      <c r="G252" s="8" t="n"/>
      <c r="H252" s="8">
        <f>IF(E252="","",E252*G252)</f>
        <v/>
      </c>
      <c r="J252" s="38" t="n"/>
      <c r="L252">
        <f>IF(D252="","",IF(OR(D252="Entrée Achat",D252="Entrée Retour"),K252+E252,K252-E252))</f>
        <v/>
      </c>
      <c r="P252">
        <f>IF(E252="","",IF(OR(D252="Entrée Achat",D252="Entrée Retour"),"✓ Validé",IF(D252="Sortie Perte","⚠️ Perte",IF(D252="Sortie Périmée","🔴 Périmé","✓ Validé"))))</f>
        <v/>
      </c>
    </row>
    <row r="253">
      <c r="A253" s="38" t="n"/>
      <c r="G253" s="8" t="n"/>
      <c r="H253" s="8">
        <f>IF(E253="","",E253*G253)</f>
        <v/>
      </c>
      <c r="J253" s="38" t="n"/>
      <c r="L253">
        <f>IF(D253="","",IF(OR(D253="Entrée Achat",D253="Entrée Retour"),K253+E253,K253-E253))</f>
        <v/>
      </c>
      <c r="P253">
        <f>IF(E253="","",IF(OR(D253="Entrée Achat",D253="Entrée Retour"),"✓ Validé",IF(D253="Sortie Perte","⚠️ Perte",IF(D253="Sortie Périmée","🔴 Périmé","✓ Validé"))))</f>
        <v/>
      </c>
    </row>
    <row r="254">
      <c r="A254" s="38" t="n"/>
      <c r="G254" s="8" t="n"/>
      <c r="H254" s="8">
        <f>IF(E254="","",E254*G254)</f>
        <v/>
      </c>
      <c r="J254" s="38" t="n"/>
      <c r="L254">
        <f>IF(D254="","",IF(OR(D254="Entrée Achat",D254="Entrée Retour"),K254+E254,K254-E254))</f>
        <v/>
      </c>
      <c r="P254">
        <f>IF(E254="","",IF(OR(D254="Entrée Achat",D254="Entrée Retour"),"✓ Validé",IF(D254="Sortie Perte","⚠️ Perte",IF(D254="Sortie Périmée","🔴 Périmé","✓ Validé"))))</f>
        <v/>
      </c>
    </row>
    <row r="255">
      <c r="A255" s="38" t="n"/>
      <c r="G255" s="8" t="n"/>
      <c r="H255" s="8">
        <f>IF(E255="","",E255*G255)</f>
        <v/>
      </c>
      <c r="J255" s="38" t="n"/>
      <c r="L255">
        <f>IF(D255="","",IF(OR(D255="Entrée Achat",D255="Entrée Retour"),K255+E255,K255-E255))</f>
        <v/>
      </c>
      <c r="P255">
        <f>IF(E255="","",IF(OR(D255="Entrée Achat",D255="Entrée Retour"),"✓ Validé",IF(D255="Sortie Perte","⚠️ Perte",IF(D255="Sortie Périmée","🔴 Périmé","✓ Validé"))))</f>
        <v/>
      </c>
    </row>
    <row r="256">
      <c r="A256" s="38" t="n"/>
      <c r="G256" s="8" t="n"/>
      <c r="H256" s="8">
        <f>IF(E256="","",E256*G256)</f>
        <v/>
      </c>
      <c r="J256" s="38" t="n"/>
      <c r="L256">
        <f>IF(D256="","",IF(OR(D256="Entrée Achat",D256="Entrée Retour"),K256+E256,K256-E256))</f>
        <v/>
      </c>
      <c r="P256">
        <f>IF(E256="","",IF(OR(D256="Entrée Achat",D256="Entrée Retour"),"✓ Validé",IF(D256="Sortie Perte","⚠️ Perte",IF(D256="Sortie Périmée","🔴 Périmé","✓ Validé"))))</f>
        <v/>
      </c>
    </row>
    <row r="257">
      <c r="A257" s="38" t="n"/>
      <c r="G257" s="8" t="n"/>
      <c r="H257" s="8">
        <f>IF(E257="","",E257*G257)</f>
        <v/>
      </c>
      <c r="J257" s="38" t="n"/>
      <c r="L257">
        <f>IF(D257="","",IF(OR(D257="Entrée Achat",D257="Entrée Retour"),K257+E257,K257-E257))</f>
        <v/>
      </c>
      <c r="P257">
        <f>IF(E257="","",IF(OR(D257="Entrée Achat",D257="Entrée Retour"),"✓ Validé",IF(D257="Sortie Perte","⚠️ Perte",IF(D257="Sortie Périmée","🔴 Périmé","✓ Validé"))))</f>
        <v/>
      </c>
    </row>
    <row r="258">
      <c r="A258" s="38" t="n"/>
      <c r="G258" s="8" t="n"/>
      <c r="H258" s="8">
        <f>IF(E258="","",E258*G258)</f>
        <v/>
      </c>
      <c r="J258" s="38" t="n"/>
      <c r="L258">
        <f>IF(D258="","",IF(OR(D258="Entrée Achat",D258="Entrée Retour"),K258+E258,K258-E258))</f>
        <v/>
      </c>
      <c r="P258">
        <f>IF(E258="","",IF(OR(D258="Entrée Achat",D258="Entrée Retour"),"✓ Validé",IF(D258="Sortie Perte","⚠️ Perte",IF(D258="Sortie Périmée","🔴 Périmé","✓ Validé"))))</f>
        <v/>
      </c>
    </row>
    <row r="259">
      <c r="A259" s="38" t="n"/>
      <c r="G259" s="8" t="n"/>
      <c r="H259" s="8">
        <f>IF(E259="","",E259*G259)</f>
        <v/>
      </c>
      <c r="J259" s="38" t="n"/>
      <c r="L259">
        <f>IF(D259="","",IF(OR(D259="Entrée Achat",D259="Entrée Retour"),K259+E259,K259-E259))</f>
        <v/>
      </c>
      <c r="P259">
        <f>IF(E259="","",IF(OR(D259="Entrée Achat",D259="Entrée Retour"),"✓ Validé",IF(D259="Sortie Perte","⚠️ Perte",IF(D259="Sortie Périmée","🔴 Périmé","✓ Validé"))))</f>
        <v/>
      </c>
    </row>
    <row r="260">
      <c r="A260" s="38" t="n"/>
      <c r="G260" s="8" t="n"/>
      <c r="H260" s="8">
        <f>IF(E260="","",E260*G260)</f>
        <v/>
      </c>
      <c r="J260" s="38" t="n"/>
      <c r="L260">
        <f>IF(D260="","",IF(OR(D260="Entrée Achat",D260="Entrée Retour"),K260+E260,K260-E260))</f>
        <v/>
      </c>
      <c r="P260">
        <f>IF(E260="","",IF(OR(D260="Entrée Achat",D260="Entrée Retour"),"✓ Validé",IF(D260="Sortie Perte","⚠️ Perte",IF(D260="Sortie Périmée","🔴 Périmé","✓ Validé"))))</f>
        <v/>
      </c>
    </row>
    <row r="261">
      <c r="A261" s="38" t="n"/>
      <c r="G261" s="8" t="n"/>
      <c r="H261" s="8">
        <f>IF(E261="","",E261*G261)</f>
        <v/>
      </c>
      <c r="J261" s="38" t="n"/>
      <c r="L261">
        <f>IF(D261="","",IF(OR(D261="Entrée Achat",D261="Entrée Retour"),K261+E261,K261-E261))</f>
        <v/>
      </c>
      <c r="P261">
        <f>IF(E261="","",IF(OR(D261="Entrée Achat",D261="Entrée Retour"),"✓ Validé",IF(D261="Sortie Perte","⚠️ Perte",IF(D261="Sortie Périmée","🔴 Périmé","✓ Validé"))))</f>
        <v/>
      </c>
    </row>
    <row r="262">
      <c r="A262" s="38" t="n"/>
      <c r="G262" s="8" t="n"/>
      <c r="H262" s="8">
        <f>IF(E262="","",E262*G262)</f>
        <v/>
      </c>
      <c r="J262" s="38" t="n"/>
      <c r="L262">
        <f>IF(D262="","",IF(OR(D262="Entrée Achat",D262="Entrée Retour"),K262+E262,K262-E262))</f>
        <v/>
      </c>
      <c r="P262">
        <f>IF(E262="","",IF(OR(D262="Entrée Achat",D262="Entrée Retour"),"✓ Validé",IF(D262="Sortie Perte","⚠️ Perte",IF(D262="Sortie Périmée","🔴 Périmé","✓ Validé"))))</f>
        <v/>
      </c>
    </row>
    <row r="263">
      <c r="A263" s="38" t="n"/>
      <c r="G263" s="8" t="n"/>
      <c r="H263" s="8">
        <f>IF(E263="","",E263*G263)</f>
        <v/>
      </c>
      <c r="J263" s="38" t="n"/>
      <c r="L263">
        <f>IF(D263="","",IF(OR(D263="Entrée Achat",D263="Entrée Retour"),K263+E263,K263-E263))</f>
        <v/>
      </c>
      <c r="P263">
        <f>IF(E263="","",IF(OR(D263="Entrée Achat",D263="Entrée Retour"),"✓ Validé",IF(D263="Sortie Perte","⚠️ Perte",IF(D263="Sortie Périmée","🔴 Périmé","✓ Validé"))))</f>
        <v/>
      </c>
    </row>
    <row r="264">
      <c r="A264" s="38" t="n"/>
      <c r="G264" s="8" t="n"/>
      <c r="H264" s="8">
        <f>IF(E264="","",E264*G264)</f>
        <v/>
      </c>
      <c r="J264" s="38" t="n"/>
      <c r="L264">
        <f>IF(D264="","",IF(OR(D264="Entrée Achat",D264="Entrée Retour"),K264+E264,K264-E264))</f>
        <v/>
      </c>
      <c r="P264">
        <f>IF(E264="","",IF(OR(D264="Entrée Achat",D264="Entrée Retour"),"✓ Validé",IF(D264="Sortie Perte","⚠️ Perte",IF(D264="Sortie Périmée","🔴 Périmé","✓ Validé"))))</f>
        <v/>
      </c>
    </row>
    <row r="265">
      <c r="A265" s="38" t="n"/>
      <c r="G265" s="8" t="n"/>
      <c r="H265" s="8">
        <f>IF(E265="","",E265*G265)</f>
        <v/>
      </c>
      <c r="J265" s="38" t="n"/>
      <c r="L265">
        <f>IF(D265="","",IF(OR(D265="Entrée Achat",D265="Entrée Retour"),K265+E265,K265-E265))</f>
        <v/>
      </c>
      <c r="P265">
        <f>IF(E265="","",IF(OR(D265="Entrée Achat",D265="Entrée Retour"),"✓ Validé",IF(D265="Sortie Perte","⚠️ Perte",IF(D265="Sortie Périmée","🔴 Périmé","✓ Validé"))))</f>
        <v/>
      </c>
    </row>
    <row r="266">
      <c r="A266" s="38" t="n"/>
      <c r="G266" s="8" t="n"/>
      <c r="H266" s="8">
        <f>IF(E266="","",E266*G266)</f>
        <v/>
      </c>
      <c r="J266" s="38" t="n"/>
      <c r="L266">
        <f>IF(D266="","",IF(OR(D266="Entrée Achat",D266="Entrée Retour"),K266+E266,K266-E266))</f>
        <v/>
      </c>
      <c r="P266">
        <f>IF(E266="","",IF(OR(D266="Entrée Achat",D266="Entrée Retour"),"✓ Validé",IF(D266="Sortie Perte","⚠️ Perte",IF(D266="Sortie Périmée","🔴 Périmé","✓ Validé"))))</f>
        <v/>
      </c>
    </row>
    <row r="267">
      <c r="A267" s="38" t="n"/>
      <c r="G267" s="8" t="n"/>
      <c r="H267" s="8">
        <f>IF(E267="","",E267*G267)</f>
        <v/>
      </c>
      <c r="J267" s="38" t="n"/>
      <c r="L267">
        <f>IF(D267="","",IF(OR(D267="Entrée Achat",D267="Entrée Retour"),K267+E267,K267-E267))</f>
        <v/>
      </c>
      <c r="P267">
        <f>IF(E267="","",IF(OR(D267="Entrée Achat",D267="Entrée Retour"),"✓ Validé",IF(D267="Sortie Perte","⚠️ Perte",IF(D267="Sortie Périmée","🔴 Périmé","✓ Validé"))))</f>
        <v/>
      </c>
    </row>
    <row r="268">
      <c r="A268" s="38" t="n"/>
      <c r="G268" s="8" t="n"/>
      <c r="H268" s="8">
        <f>IF(E268="","",E268*G268)</f>
        <v/>
      </c>
      <c r="J268" s="38" t="n"/>
      <c r="L268">
        <f>IF(D268="","",IF(OR(D268="Entrée Achat",D268="Entrée Retour"),K268+E268,K268-E268))</f>
        <v/>
      </c>
      <c r="P268">
        <f>IF(E268="","",IF(OR(D268="Entrée Achat",D268="Entrée Retour"),"✓ Validé",IF(D268="Sortie Perte","⚠️ Perte",IF(D268="Sortie Périmée","🔴 Périmé","✓ Validé"))))</f>
        <v/>
      </c>
    </row>
    <row r="269">
      <c r="A269" s="38" t="n"/>
      <c r="G269" s="8" t="n"/>
      <c r="H269" s="8">
        <f>IF(E269="","",E269*G269)</f>
        <v/>
      </c>
      <c r="J269" s="38" t="n"/>
      <c r="L269">
        <f>IF(D269="","",IF(OR(D269="Entrée Achat",D269="Entrée Retour"),K269+E269,K269-E269))</f>
        <v/>
      </c>
      <c r="P269">
        <f>IF(E269="","",IF(OR(D269="Entrée Achat",D269="Entrée Retour"),"✓ Validé",IF(D269="Sortie Perte","⚠️ Perte",IF(D269="Sortie Périmée","🔴 Périmé","✓ Validé"))))</f>
        <v/>
      </c>
    </row>
    <row r="270">
      <c r="A270" s="38" t="n"/>
      <c r="G270" s="8" t="n"/>
      <c r="H270" s="8">
        <f>IF(E270="","",E270*G270)</f>
        <v/>
      </c>
      <c r="J270" s="38" t="n"/>
      <c r="L270">
        <f>IF(D270="","",IF(OR(D270="Entrée Achat",D270="Entrée Retour"),K270+E270,K270-E270))</f>
        <v/>
      </c>
      <c r="P270">
        <f>IF(E270="","",IF(OR(D270="Entrée Achat",D270="Entrée Retour"),"✓ Validé",IF(D270="Sortie Perte","⚠️ Perte",IF(D270="Sortie Périmée","🔴 Périmé","✓ Validé"))))</f>
        <v/>
      </c>
    </row>
    <row r="271">
      <c r="A271" s="38" t="n"/>
      <c r="G271" s="8" t="n"/>
      <c r="H271" s="8">
        <f>IF(E271="","",E271*G271)</f>
        <v/>
      </c>
      <c r="J271" s="38" t="n"/>
      <c r="L271">
        <f>IF(D271="","",IF(OR(D271="Entrée Achat",D271="Entrée Retour"),K271+E271,K271-E271))</f>
        <v/>
      </c>
      <c r="P271">
        <f>IF(E271="","",IF(OR(D271="Entrée Achat",D271="Entrée Retour"),"✓ Validé",IF(D271="Sortie Perte","⚠️ Perte",IF(D271="Sortie Périmée","🔴 Périmé","✓ Validé"))))</f>
        <v/>
      </c>
    </row>
    <row r="272">
      <c r="A272" s="38" t="n"/>
      <c r="G272" s="8" t="n"/>
      <c r="H272" s="8">
        <f>IF(E272="","",E272*G272)</f>
        <v/>
      </c>
      <c r="J272" s="38" t="n"/>
      <c r="L272">
        <f>IF(D272="","",IF(OR(D272="Entrée Achat",D272="Entrée Retour"),K272+E272,K272-E272))</f>
        <v/>
      </c>
      <c r="P272">
        <f>IF(E272="","",IF(OR(D272="Entrée Achat",D272="Entrée Retour"),"✓ Validé",IF(D272="Sortie Perte","⚠️ Perte",IF(D272="Sortie Périmée","🔴 Périmé","✓ Validé"))))</f>
        <v/>
      </c>
    </row>
    <row r="273">
      <c r="A273" s="38" t="n"/>
      <c r="G273" s="8" t="n"/>
      <c r="H273" s="8">
        <f>IF(E273="","",E273*G273)</f>
        <v/>
      </c>
      <c r="J273" s="38" t="n"/>
      <c r="L273">
        <f>IF(D273="","",IF(OR(D273="Entrée Achat",D273="Entrée Retour"),K273+E273,K273-E273))</f>
        <v/>
      </c>
      <c r="P273">
        <f>IF(E273="","",IF(OR(D273="Entrée Achat",D273="Entrée Retour"),"✓ Validé",IF(D273="Sortie Perte","⚠️ Perte",IF(D273="Sortie Périmée","🔴 Périmé","✓ Validé"))))</f>
        <v/>
      </c>
    </row>
    <row r="274">
      <c r="A274" s="38" t="n"/>
      <c r="G274" s="8" t="n"/>
      <c r="H274" s="8">
        <f>IF(E274="","",E274*G274)</f>
        <v/>
      </c>
      <c r="J274" s="38" t="n"/>
      <c r="L274">
        <f>IF(D274="","",IF(OR(D274="Entrée Achat",D274="Entrée Retour"),K274+E274,K274-E274))</f>
        <v/>
      </c>
      <c r="P274">
        <f>IF(E274="","",IF(OR(D274="Entrée Achat",D274="Entrée Retour"),"✓ Validé",IF(D274="Sortie Perte","⚠️ Perte",IF(D274="Sortie Périmée","🔴 Périmé","✓ Validé"))))</f>
        <v/>
      </c>
    </row>
    <row r="275">
      <c r="A275" s="38" t="n"/>
      <c r="G275" s="8" t="n"/>
      <c r="H275" s="8">
        <f>IF(E275="","",E275*G275)</f>
        <v/>
      </c>
      <c r="J275" s="38" t="n"/>
      <c r="L275">
        <f>IF(D275="","",IF(OR(D275="Entrée Achat",D275="Entrée Retour"),K275+E275,K275-E275))</f>
        <v/>
      </c>
      <c r="P275">
        <f>IF(E275="","",IF(OR(D275="Entrée Achat",D275="Entrée Retour"),"✓ Validé",IF(D275="Sortie Perte","⚠️ Perte",IF(D275="Sortie Périmée","🔴 Périmé","✓ Validé"))))</f>
        <v/>
      </c>
    </row>
    <row r="276">
      <c r="A276" s="38" t="n"/>
      <c r="G276" s="8" t="n"/>
      <c r="H276" s="8">
        <f>IF(E276="","",E276*G276)</f>
        <v/>
      </c>
      <c r="J276" s="38" t="n"/>
      <c r="L276">
        <f>IF(D276="","",IF(OR(D276="Entrée Achat",D276="Entrée Retour"),K276+E276,K276-E276))</f>
        <v/>
      </c>
      <c r="P276">
        <f>IF(E276="","",IF(OR(D276="Entrée Achat",D276="Entrée Retour"),"✓ Validé",IF(D276="Sortie Perte","⚠️ Perte",IF(D276="Sortie Périmée","🔴 Périmé","✓ Validé"))))</f>
        <v/>
      </c>
    </row>
    <row r="277">
      <c r="A277" s="38" t="n"/>
      <c r="G277" s="8" t="n"/>
      <c r="H277" s="8">
        <f>IF(E277="","",E277*G277)</f>
        <v/>
      </c>
      <c r="J277" s="38" t="n"/>
      <c r="L277">
        <f>IF(D277="","",IF(OR(D277="Entrée Achat",D277="Entrée Retour"),K277+E277,K277-E277))</f>
        <v/>
      </c>
      <c r="P277">
        <f>IF(E277="","",IF(OR(D277="Entrée Achat",D277="Entrée Retour"),"✓ Validé",IF(D277="Sortie Perte","⚠️ Perte",IF(D277="Sortie Périmée","🔴 Périmé","✓ Validé"))))</f>
        <v/>
      </c>
    </row>
    <row r="278">
      <c r="A278" s="38" t="n"/>
      <c r="G278" s="8" t="n"/>
      <c r="H278" s="8">
        <f>IF(E278="","",E278*G278)</f>
        <v/>
      </c>
      <c r="J278" s="38" t="n"/>
      <c r="L278">
        <f>IF(D278="","",IF(OR(D278="Entrée Achat",D278="Entrée Retour"),K278+E278,K278-E278))</f>
        <v/>
      </c>
      <c r="P278">
        <f>IF(E278="","",IF(OR(D278="Entrée Achat",D278="Entrée Retour"),"✓ Validé",IF(D278="Sortie Perte","⚠️ Perte",IF(D278="Sortie Périmée","🔴 Périmé","✓ Validé"))))</f>
        <v/>
      </c>
    </row>
    <row r="279">
      <c r="A279" s="38" t="n"/>
      <c r="G279" s="8" t="n"/>
      <c r="H279" s="8">
        <f>IF(E279="","",E279*G279)</f>
        <v/>
      </c>
      <c r="J279" s="38" t="n"/>
      <c r="L279">
        <f>IF(D279="","",IF(OR(D279="Entrée Achat",D279="Entrée Retour"),K279+E279,K279-E279))</f>
        <v/>
      </c>
      <c r="P279">
        <f>IF(E279="","",IF(OR(D279="Entrée Achat",D279="Entrée Retour"),"✓ Validé",IF(D279="Sortie Perte","⚠️ Perte",IF(D279="Sortie Périmée","🔴 Périmé","✓ Validé"))))</f>
        <v/>
      </c>
    </row>
    <row r="280">
      <c r="A280" s="38" t="n"/>
      <c r="G280" s="8" t="n"/>
      <c r="H280" s="8">
        <f>IF(E280="","",E280*G280)</f>
        <v/>
      </c>
      <c r="J280" s="38" t="n"/>
      <c r="L280">
        <f>IF(D280="","",IF(OR(D280="Entrée Achat",D280="Entrée Retour"),K280+E280,K280-E280))</f>
        <v/>
      </c>
      <c r="P280">
        <f>IF(E280="","",IF(OR(D280="Entrée Achat",D280="Entrée Retour"),"✓ Validé",IF(D280="Sortie Perte","⚠️ Perte",IF(D280="Sortie Périmée","🔴 Périmé","✓ Validé"))))</f>
        <v/>
      </c>
    </row>
    <row r="281">
      <c r="A281" s="38" t="n"/>
      <c r="G281" s="8" t="n"/>
      <c r="H281" s="8">
        <f>IF(E281="","",E281*G281)</f>
        <v/>
      </c>
      <c r="J281" s="38" t="n"/>
      <c r="L281">
        <f>IF(D281="","",IF(OR(D281="Entrée Achat",D281="Entrée Retour"),K281+E281,K281-E281))</f>
        <v/>
      </c>
      <c r="P281">
        <f>IF(E281="","",IF(OR(D281="Entrée Achat",D281="Entrée Retour"),"✓ Validé",IF(D281="Sortie Perte","⚠️ Perte",IF(D281="Sortie Périmée","🔴 Périmé","✓ Validé"))))</f>
        <v/>
      </c>
    </row>
    <row r="282">
      <c r="A282" s="38" t="n"/>
      <c r="G282" s="8" t="n"/>
      <c r="H282" s="8">
        <f>IF(E282="","",E282*G282)</f>
        <v/>
      </c>
      <c r="J282" s="38" t="n"/>
      <c r="L282">
        <f>IF(D282="","",IF(OR(D282="Entrée Achat",D282="Entrée Retour"),K282+E282,K282-E282))</f>
        <v/>
      </c>
      <c r="P282">
        <f>IF(E282="","",IF(OR(D282="Entrée Achat",D282="Entrée Retour"),"✓ Validé",IF(D282="Sortie Perte","⚠️ Perte",IF(D282="Sortie Périmée","🔴 Périmé","✓ Validé"))))</f>
        <v/>
      </c>
    </row>
    <row r="283">
      <c r="A283" s="38" t="n"/>
      <c r="G283" s="8" t="n"/>
      <c r="H283" s="8">
        <f>IF(E283="","",E283*G283)</f>
        <v/>
      </c>
      <c r="J283" s="38" t="n"/>
      <c r="L283">
        <f>IF(D283="","",IF(OR(D283="Entrée Achat",D283="Entrée Retour"),K283+E283,K283-E283))</f>
        <v/>
      </c>
      <c r="P283">
        <f>IF(E283="","",IF(OR(D283="Entrée Achat",D283="Entrée Retour"),"✓ Validé",IF(D283="Sortie Perte","⚠️ Perte",IF(D283="Sortie Périmée","🔴 Périmé","✓ Validé"))))</f>
        <v/>
      </c>
    </row>
    <row r="284">
      <c r="A284" s="38" t="n"/>
      <c r="G284" s="8" t="n"/>
      <c r="H284" s="8">
        <f>IF(E284="","",E284*G284)</f>
        <v/>
      </c>
      <c r="J284" s="38" t="n"/>
      <c r="L284">
        <f>IF(D284="","",IF(OR(D284="Entrée Achat",D284="Entrée Retour"),K284+E284,K284-E284))</f>
        <v/>
      </c>
      <c r="P284">
        <f>IF(E284="","",IF(OR(D284="Entrée Achat",D284="Entrée Retour"),"✓ Validé",IF(D284="Sortie Perte","⚠️ Perte",IF(D284="Sortie Périmée","🔴 Périmé","✓ Validé"))))</f>
        <v/>
      </c>
    </row>
    <row r="285">
      <c r="A285" s="38" t="n"/>
      <c r="G285" s="8" t="n"/>
      <c r="H285" s="8">
        <f>IF(E285="","",E285*G285)</f>
        <v/>
      </c>
      <c r="J285" s="38" t="n"/>
      <c r="L285">
        <f>IF(D285="","",IF(OR(D285="Entrée Achat",D285="Entrée Retour"),K285+E285,K285-E285))</f>
        <v/>
      </c>
      <c r="P285">
        <f>IF(E285="","",IF(OR(D285="Entrée Achat",D285="Entrée Retour"),"✓ Validé",IF(D285="Sortie Perte","⚠️ Perte",IF(D285="Sortie Périmée","🔴 Périmé","✓ Validé"))))</f>
        <v/>
      </c>
    </row>
    <row r="286">
      <c r="A286" s="38" t="n"/>
      <c r="G286" s="8" t="n"/>
      <c r="H286" s="8">
        <f>IF(E286="","",E286*G286)</f>
        <v/>
      </c>
      <c r="J286" s="38" t="n"/>
      <c r="L286">
        <f>IF(D286="","",IF(OR(D286="Entrée Achat",D286="Entrée Retour"),K286+E286,K286-E286))</f>
        <v/>
      </c>
      <c r="P286">
        <f>IF(E286="","",IF(OR(D286="Entrée Achat",D286="Entrée Retour"),"✓ Validé",IF(D286="Sortie Perte","⚠️ Perte",IF(D286="Sortie Périmée","🔴 Périmé","✓ Validé"))))</f>
        <v/>
      </c>
    </row>
    <row r="287">
      <c r="A287" s="38" t="n"/>
      <c r="G287" s="8" t="n"/>
      <c r="H287" s="8">
        <f>IF(E287="","",E287*G287)</f>
        <v/>
      </c>
      <c r="J287" s="38" t="n"/>
      <c r="L287">
        <f>IF(D287="","",IF(OR(D287="Entrée Achat",D287="Entrée Retour"),K287+E287,K287-E287))</f>
        <v/>
      </c>
      <c r="P287">
        <f>IF(E287="","",IF(OR(D287="Entrée Achat",D287="Entrée Retour"),"✓ Validé",IF(D287="Sortie Perte","⚠️ Perte",IF(D287="Sortie Périmée","🔴 Périmé","✓ Validé"))))</f>
        <v/>
      </c>
    </row>
    <row r="288">
      <c r="A288" s="38" t="n"/>
      <c r="G288" s="8" t="n"/>
      <c r="H288" s="8">
        <f>IF(E288="","",E288*G288)</f>
        <v/>
      </c>
      <c r="J288" s="38" t="n"/>
      <c r="L288">
        <f>IF(D288="","",IF(OR(D288="Entrée Achat",D288="Entrée Retour"),K288+E288,K288-E288))</f>
        <v/>
      </c>
      <c r="P288">
        <f>IF(E288="","",IF(OR(D288="Entrée Achat",D288="Entrée Retour"),"✓ Validé",IF(D288="Sortie Perte","⚠️ Perte",IF(D288="Sortie Périmée","🔴 Périmé","✓ Validé"))))</f>
        <v/>
      </c>
    </row>
    <row r="289">
      <c r="A289" s="38" t="n"/>
      <c r="G289" s="8" t="n"/>
      <c r="H289" s="8">
        <f>IF(E289="","",E289*G289)</f>
        <v/>
      </c>
      <c r="J289" s="38" t="n"/>
      <c r="L289">
        <f>IF(D289="","",IF(OR(D289="Entrée Achat",D289="Entrée Retour"),K289+E289,K289-E289))</f>
        <v/>
      </c>
      <c r="P289">
        <f>IF(E289="","",IF(OR(D289="Entrée Achat",D289="Entrée Retour"),"✓ Validé",IF(D289="Sortie Perte","⚠️ Perte",IF(D289="Sortie Périmée","🔴 Périmé","✓ Validé"))))</f>
        <v/>
      </c>
    </row>
    <row r="290">
      <c r="A290" s="38" t="n"/>
      <c r="G290" s="8" t="n"/>
      <c r="H290" s="8">
        <f>IF(E290="","",E290*G290)</f>
        <v/>
      </c>
      <c r="J290" s="38" t="n"/>
      <c r="L290">
        <f>IF(D290="","",IF(OR(D290="Entrée Achat",D290="Entrée Retour"),K290+E290,K290-E290))</f>
        <v/>
      </c>
      <c r="P290">
        <f>IF(E290="","",IF(OR(D290="Entrée Achat",D290="Entrée Retour"),"✓ Validé",IF(D290="Sortie Perte","⚠️ Perte",IF(D290="Sortie Périmée","🔴 Périmé","✓ Validé"))))</f>
        <v/>
      </c>
    </row>
    <row r="291">
      <c r="A291" s="38" t="n"/>
      <c r="G291" s="8" t="n"/>
      <c r="H291" s="8">
        <f>IF(E291="","",E291*G291)</f>
        <v/>
      </c>
      <c r="J291" s="38" t="n"/>
      <c r="L291">
        <f>IF(D291="","",IF(OR(D291="Entrée Achat",D291="Entrée Retour"),K291+E291,K291-E291))</f>
        <v/>
      </c>
      <c r="P291">
        <f>IF(E291="","",IF(OR(D291="Entrée Achat",D291="Entrée Retour"),"✓ Validé",IF(D291="Sortie Perte","⚠️ Perte",IF(D291="Sortie Périmée","🔴 Périmé","✓ Validé"))))</f>
        <v/>
      </c>
    </row>
    <row r="292">
      <c r="A292" s="38" t="n"/>
      <c r="G292" s="8" t="n"/>
      <c r="H292" s="8">
        <f>IF(E292="","",E292*G292)</f>
        <v/>
      </c>
      <c r="J292" s="38" t="n"/>
      <c r="L292">
        <f>IF(D292="","",IF(OR(D292="Entrée Achat",D292="Entrée Retour"),K292+E292,K292-E292))</f>
        <v/>
      </c>
      <c r="P292">
        <f>IF(E292="","",IF(OR(D292="Entrée Achat",D292="Entrée Retour"),"✓ Validé",IF(D292="Sortie Perte","⚠️ Perte",IF(D292="Sortie Périmée","🔴 Périmé","✓ Validé"))))</f>
        <v/>
      </c>
    </row>
    <row r="293">
      <c r="A293" s="38" t="n"/>
      <c r="G293" s="8" t="n"/>
      <c r="H293" s="8">
        <f>IF(E293="","",E293*G293)</f>
        <v/>
      </c>
      <c r="J293" s="38" t="n"/>
      <c r="L293">
        <f>IF(D293="","",IF(OR(D293="Entrée Achat",D293="Entrée Retour"),K293+E293,K293-E293))</f>
        <v/>
      </c>
      <c r="P293">
        <f>IF(E293="","",IF(OR(D293="Entrée Achat",D293="Entrée Retour"),"✓ Validé",IF(D293="Sortie Perte","⚠️ Perte",IF(D293="Sortie Périmée","🔴 Périmé","✓ Validé"))))</f>
        <v/>
      </c>
    </row>
    <row r="294">
      <c r="A294" s="38" t="n"/>
      <c r="G294" s="8" t="n"/>
      <c r="H294" s="8">
        <f>IF(E294="","",E294*G294)</f>
        <v/>
      </c>
      <c r="J294" s="38" t="n"/>
      <c r="L294">
        <f>IF(D294="","",IF(OR(D294="Entrée Achat",D294="Entrée Retour"),K294+E294,K294-E294))</f>
        <v/>
      </c>
      <c r="P294">
        <f>IF(E294="","",IF(OR(D294="Entrée Achat",D294="Entrée Retour"),"✓ Validé",IF(D294="Sortie Perte","⚠️ Perte",IF(D294="Sortie Périmée","🔴 Périmé","✓ Validé"))))</f>
        <v/>
      </c>
    </row>
    <row r="295">
      <c r="A295" s="38" t="n"/>
      <c r="G295" s="8" t="n"/>
      <c r="H295" s="8">
        <f>IF(E295="","",E295*G295)</f>
        <v/>
      </c>
      <c r="J295" s="38" t="n"/>
      <c r="L295">
        <f>IF(D295="","",IF(OR(D295="Entrée Achat",D295="Entrée Retour"),K295+E295,K295-E295))</f>
        <v/>
      </c>
      <c r="P295">
        <f>IF(E295="","",IF(OR(D295="Entrée Achat",D295="Entrée Retour"),"✓ Validé",IF(D295="Sortie Perte","⚠️ Perte",IF(D295="Sortie Périmée","🔴 Périmé","✓ Validé"))))</f>
        <v/>
      </c>
    </row>
    <row r="296">
      <c r="A296" s="38" t="n"/>
      <c r="G296" s="8" t="n"/>
      <c r="H296" s="8">
        <f>IF(E296="","",E296*G296)</f>
        <v/>
      </c>
      <c r="J296" s="38" t="n"/>
      <c r="L296">
        <f>IF(D296="","",IF(OR(D296="Entrée Achat",D296="Entrée Retour"),K296+E296,K296-E296))</f>
        <v/>
      </c>
      <c r="P296">
        <f>IF(E296="","",IF(OR(D296="Entrée Achat",D296="Entrée Retour"),"✓ Validé",IF(D296="Sortie Perte","⚠️ Perte",IF(D296="Sortie Périmée","🔴 Périmé","✓ Validé"))))</f>
        <v/>
      </c>
    </row>
    <row r="297">
      <c r="A297" s="38" t="n"/>
      <c r="G297" s="8" t="n"/>
      <c r="H297" s="8">
        <f>IF(E297="","",E297*G297)</f>
        <v/>
      </c>
      <c r="J297" s="38" t="n"/>
      <c r="L297">
        <f>IF(D297="","",IF(OR(D297="Entrée Achat",D297="Entrée Retour"),K297+E297,K297-E297))</f>
        <v/>
      </c>
      <c r="P297">
        <f>IF(E297="","",IF(OR(D297="Entrée Achat",D297="Entrée Retour"),"✓ Validé",IF(D297="Sortie Perte","⚠️ Perte",IF(D297="Sortie Périmée","🔴 Périmé","✓ Validé"))))</f>
        <v/>
      </c>
    </row>
    <row r="298">
      <c r="A298" s="38" t="n"/>
      <c r="G298" s="8" t="n"/>
      <c r="H298" s="8">
        <f>IF(E298="","",E298*G298)</f>
        <v/>
      </c>
      <c r="J298" s="38" t="n"/>
      <c r="L298">
        <f>IF(D298="","",IF(OR(D298="Entrée Achat",D298="Entrée Retour"),K298+E298,K298-E298))</f>
        <v/>
      </c>
      <c r="P298">
        <f>IF(E298="","",IF(OR(D298="Entrée Achat",D298="Entrée Retour"),"✓ Validé",IF(D298="Sortie Perte","⚠️ Perte",IF(D298="Sortie Périmée","🔴 Périmé","✓ Validé"))))</f>
        <v/>
      </c>
    </row>
    <row r="299">
      <c r="A299" s="38" t="n"/>
      <c r="G299" s="8" t="n"/>
      <c r="H299" s="8">
        <f>IF(E299="","",E299*G299)</f>
        <v/>
      </c>
      <c r="J299" s="38" t="n"/>
      <c r="L299">
        <f>IF(D299="","",IF(OR(D299="Entrée Achat",D299="Entrée Retour"),K299+E299,K299-E299))</f>
        <v/>
      </c>
      <c r="P299">
        <f>IF(E299="","",IF(OR(D299="Entrée Achat",D299="Entrée Retour"),"✓ Validé",IF(D299="Sortie Perte","⚠️ Perte",IF(D299="Sortie Périmée","🔴 Périmé","✓ Validé"))))</f>
        <v/>
      </c>
    </row>
    <row r="300">
      <c r="A300" s="38" t="n"/>
      <c r="G300" s="8" t="n"/>
      <c r="H300" s="8">
        <f>IF(E300="","",E300*G300)</f>
        <v/>
      </c>
      <c r="J300" s="38" t="n"/>
      <c r="L300">
        <f>IF(D300="","",IF(OR(D300="Entrée Achat",D300="Entrée Retour"),K300+E300,K300-E300))</f>
        <v/>
      </c>
      <c r="P300">
        <f>IF(E300="","",IF(OR(D300="Entrée Achat",D300="Entrée Retour"),"✓ Validé",IF(D300="Sortie Perte","⚠️ Perte",IF(D300="Sortie Périmée","🔴 Périmé","✓ Validé"))))</f>
        <v/>
      </c>
    </row>
    <row r="301">
      <c r="A301" s="38" t="n"/>
      <c r="G301" s="8" t="n"/>
      <c r="H301" s="8">
        <f>IF(E301="","",E301*G301)</f>
        <v/>
      </c>
      <c r="J301" s="38" t="n"/>
      <c r="L301">
        <f>IF(D301="","",IF(OR(D301="Entrée Achat",D301="Entrée Retour"),K301+E301,K301-E301))</f>
        <v/>
      </c>
      <c r="P301">
        <f>IF(E301="","",IF(OR(D301="Entrée Achat",D301="Entrée Retour"),"✓ Validé",IF(D301="Sortie Perte","⚠️ Perte",IF(D301="Sortie Périmée","🔴 Périmé","✓ Validé"))))</f>
        <v/>
      </c>
    </row>
    <row r="302">
      <c r="A302" s="38" t="n"/>
      <c r="G302" s="8" t="n"/>
      <c r="H302" s="8">
        <f>IF(E302="","",E302*G302)</f>
        <v/>
      </c>
      <c r="J302" s="38" t="n"/>
      <c r="L302">
        <f>IF(D302="","",IF(OR(D302="Entrée Achat",D302="Entrée Retour"),K302+E302,K302-E302))</f>
        <v/>
      </c>
      <c r="P302">
        <f>IF(E302="","",IF(OR(D302="Entrée Achat",D302="Entrée Retour"),"✓ Validé",IF(D302="Sortie Perte","⚠️ Perte",IF(D302="Sortie Périmée","🔴 Périmé","✓ Validé"))))</f>
        <v/>
      </c>
    </row>
    <row r="303">
      <c r="A303" s="38" t="n"/>
      <c r="G303" s="8" t="n"/>
      <c r="H303" s="8">
        <f>IF(E303="","",E303*G303)</f>
        <v/>
      </c>
      <c r="J303" s="38" t="n"/>
      <c r="L303">
        <f>IF(D303="","",IF(OR(D303="Entrée Achat",D303="Entrée Retour"),K303+E303,K303-E303))</f>
        <v/>
      </c>
      <c r="P303">
        <f>IF(E303="","",IF(OR(D303="Entrée Achat",D303="Entrée Retour"),"✓ Validé",IF(D303="Sortie Perte","⚠️ Perte",IF(D303="Sortie Périmée","🔴 Périmé","✓ Validé"))))</f>
        <v/>
      </c>
    </row>
    <row r="304">
      <c r="A304" s="38" t="n"/>
      <c r="G304" s="8" t="n"/>
      <c r="H304" s="8">
        <f>IF(E304="","",E304*G304)</f>
        <v/>
      </c>
      <c r="J304" s="38" t="n"/>
      <c r="L304">
        <f>IF(D304="","",IF(OR(D304="Entrée Achat",D304="Entrée Retour"),K304+E304,K304-E304))</f>
        <v/>
      </c>
      <c r="P304">
        <f>IF(E304="","",IF(OR(D304="Entrée Achat",D304="Entrée Retour"),"✓ Validé",IF(D304="Sortie Perte","⚠️ Perte",IF(D304="Sortie Périmée","🔴 Périmé","✓ Validé"))))</f>
        <v/>
      </c>
    </row>
    <row r="305">
      <c r="A305" s="38" t="n"/>
      <c r="G305" s="8" t="n"/>
      <c r="H305" s="8">
        <f>IF(E305="","",E305*G305)</f>
        <v/>
      </c>
      <c r="J305" s="38" t="n"/>
      <c r="L305">
        <f>IF(D305="","",IF(OR(D305="Entrée Achat",D305="Entrée Retour"),K305+E305,K305-E305))</f>
        <v/>
      </c>
      <c r="P305">
        <f>IF(E305="","",IF(OR(D305="Entrée Achat",D305="Entrée Retour"),"✓ Validé",IF(D305="Sortie Perte","⚠️ Perte",IF(D305="Sortie Périmée","🔴 Périmé","✓ Validé"))))</f>
        <v/>
      </c>
    </row>
    <row r="306">
      <c r="A306" s="38" t="n"/>
      <c r="G306" s="8" t="n"/>
      <c r="H306" s="8">
        <f>IF(E306="","",E306*G306)</f>
        <v/>
      </c>
      <c r="J306" s="38" t="n"/>
      <c r="L306">
        <f>IF(D306="","",IF(OR(D306="Entrée Achat",D306="Entrée Retour"),K306+E306,K306-E306))</f>
        <v/>
      </c>
      <c r="P306">
        <f>IF(E306="","",IF(OR(D306="Entrée Achat",D306="Entrée Retour"),"✓ Validé",IF(D306="Sortie Perte","⚠️ Perte",IF(D306="Sortie Périmée","🔴 Périmé","✓ Validé"))))</f>
        <v/>
      </c>
    </row>
    <row r="307">
      <c r="A307" s="38" t="n"/>
      <c r="G307" s="8" t="n"/>
      <c r="H307" s="8">
        <f>IF(E307="","",E307*G307)</f>
        <v/>
      </c>
      <c r="J307" s="38" t="n"/>
      <c r="L307">
        <f>IF(D307="","",IF(OR(D307="Entrée Achat",D307="Entrée Retour"),K307+E307,K307-E307))</f>
        <v/>
      </c>
      <c r="P307">
        <f>IF(E307="","",IF(OR(D307="Entrée Achat",D307="Entrée Retour"),"✓ Validé",IF(D307="Sortie Perte","⚠️ Perte",IF(D307="Sortie Périmée","🔴 Périmé","✓ Validé"))))</f>
        <v/>
      </c>
    </row>
    <row r="308">
      <c r="A308" s="38" t="n"/>
      <c r="G308" s="8" t="n"/>
      <c r="H308" s="8">
        <f>IF(E308="","",E308*G308)</f>
        <v/>
      </c>
      <c r="J308" s="38" t="n"/>
      <c r="L308">
        <f>IF(D308="","",IF(OR(D308="Entrée Achat",D308="Entrée Retour"),K308+E308,K308-E308))</f>
        <v/>
      </c>
      <c r="P308">
        <f>IF(E308="","",IF(OR(D308="Entrée Achat",D308="Entrée Retour"),"✓ Validé",IF(D308="Sortie Perte","⚠️ Perte",IF(D308="Sortie Périmée","🔴 Périmé","✓ Validé"))))</f>
        <v/>
      </c>
    </row>
    <row r="309">
      <c r="A309" s="38" t="n"/>
      <c r="G309" s="8" t="n"/>
      <c r="H309" s="8">
        <f>IF(E309="","",E309*G309)</f>
        <v/>
      </c>
      <c r="J309" s="38" t="n"/>
      <c r="L309">
        <f>IF(D309="","",IF(OR(D309="Entrée Achat",D309="Entrée Retour"),K309+E309,K309-E309))</f>
        <v/>
      </c>
      <c r="P309">
        <f>IF(E309="","",IF(OR(D309="Entrée Achat",D309="Entrée Retour"),"✓ Validé",IF(D309="Sortie Perte","⚠️ Perte",IF(D309="Sortie Périmée","🔴 Périmé","✓ Validé"))))</f>
        <v/>
      </c>
    </row>
    <row r="310">
      <c r="A310" s="38" t="n"/>
      <c r="G310" s="8" t="n"/>
      <c r="H310" s="8">
        <f>IF(E310="","",E310*G310)</f>
        <v/>
      </c>
      <c r="J310" s="38" t="n"/>
      <c r="L310">
        <f>IF(D310="","",IF(OR(D310="Entrée Achat",D310="Entrée Retour"),K310+E310,K310-E310))</f>
        <v/>
      </c>
      <c r="P310">
        <f>IF(E310="","",IF(OR(D310="Entrée Achat",D310="Entrée Retour"),"✓ Validé",IF(D310="Sortie Perte","⚠️ Perte",IF(D310="Sortie Périmée","🔴 Périmé","✓ Validé"))))</f>
        <v/>
      </c>
    </row>
    <row r="311">
      <c r="A311" s="38" t="n"/>
      <c r="G311" s="8" t="n"/>
      <c r="H311" s="8">
        <f>IF(E311="","",E311*G311)</f>
        <v/>
      </c>
      <c r="J311" s="38" t="n"/>
      <c r="L311">
        <f>IF(D311="","",IF(OR(D311="Entrée Achat",D311="Entrée Retour"),K311+E311,K311-E311))</f>
        <v/>
      </c>
      <c r="P311">
        <f>IF(E311="","",IF(OR(D311="Entrée Achat",D311="Entrée Retour"),"✓ Validé",IF(D311="Sortie Perte","⚠️ Perte",IF(D311="Sortie Périmée","🔴 Périmé","✓ Validé"))))</f>
        <v/>
      </c>
    </row>
    <row r="312">
      <c r="A312" s="38" t="n"/>
      <c r="G312" s="8" t="n"/>
      <c r="H312" s="8">
        <f>IF(E312="","",E312*G312)</f>
        <v/>
      </c>
      <c r="J312" s="38" t="n"/>
      <c r="L312">
        <f>IF(D312="","",IF(OR(D312="Entrée Achat",D312="Entrée Retour"),K312+E312,K312-E312))</f>
        <v/>
      </c>
      <c r="P312">
        <f>IF(E312="","",IF(OR(D312="Entrée Achat",D312="Entrée Retour"),"✓ Validé",IF(D312="Sortie Perte","⚠️ Perte",IF(D312="Sortie Périmée","🔴 Périmé","✓ Validé"))))</f>
        <v/>
      </c>
    </row>
    <row r="313">
      <c r="A313" s="38" t="n"/>
      <c r="G313" s="8" t="n"/>
      <c r="H313" s="8">
        <f>IF(E313="","",E313*G313)</f>
        <v/>
      </c>
      <c r="J313" s="38" t="n"/>
      <c r="L313">
        <f>IF(D313="","",IF(OR(D313="Entrée Achat",D313="Entrée Retour"),K313+E313,K313-E313))</f>
        <v/>
      </c>
      <c r="P313">
        <f>IF(E313="","",IF(OR(D313="Entrée Achat",D313="Entrée Retour"),"✓ Validé",IF(D313="Sortie Perte","⚠️ Perte",IF(D313="Sortie Périmée","🔴 Périmé","✓ Validé"))))</f>
        <v/>
      </c>
    </row>
    <row r="314">
      <c r="A314" s="38" t="n"/>
      <c r="G314" s="8" t="n"/>
      <c r="H314" s="8">
        <f>IF(E314="","",E314*G314)</f>
        <v/>
      </c>
      <c r="J314" s="38" t="n"/>
      <c r="L314">
        <f>IF(D314="","",IF(OR(D314="Entrée Achat",D314="Entrée Retour"),K314+E314,K314-E314))</f>
        <v/>
      </c>
      <c r="P314">
        <f>IF(E314="","",IF(OR(D314="Entrée Achat",D314="Entrée Retour"),"✓ Validé",IF(D314="Sortie Perte","⚠️ Perte",IF(D314="Sortie Périmée","🔴 Périmé","✓ Validé"))))</f>
        <v/>
      </c>
    </row>
    <row r="315">
      <c r="A315" s="38" t="n"/>
      <c r="G315" s="8" t="n"/>
      <c r="H315" s="8">
        <f>IF(E315="","",E315*G315)</f>
        <v/>
      </c>
      <c r="J315" s="38" t="n"/>
      <c r="L315">
        <f>IF(D315="","",IF(OR(D315="Entrée Achat",D315="Entrée Retour"),K315+E315,K315-E315))</f>
        <v/>
      </c>
      <c r="P315">
        <f>IF(E315="","",IF(OR(D315="Entrée Achat",D315="Entrée Retour"),"✓ Validé",IF(D315="Sortie Perte","⚠️ Perte",IF(D315="Sortie Périmée","🔴 Périmé","✓ Validé"))))</f>
        <v/>
      </c>
    </row>
    <row r="316">
      <c r="A316" s="38" t="n"/>
      <c r="G316" s="8" t="n"/>
      <c r="H316" s="8">
        <f>IF(E316="","",E316*G316)</f>
        <v/>
      </c>
      <c r="J316" s="38" t="n"/>
      <c r="L316">
        <f>IF(D316="","",IF(OR(D316="Entrée Achat",D316="Entrée Retour"),K316+E316,K316-E316))</f>
        <v/>
      </c>
      <c r="P316">
        <f>IF(E316="","",IF(OR(D316="Entrée Achat",D316="Entrée Retour"),"✓ Validé",IF(D316="Sortie Perte","⚠️ Perte",IF(D316="Sortie Périmée","🔴 Périmé","✓ Validé"))))</f>
        <v/>
      </c>
    </row>
    <row r="317">
      <c r="A317" s="38" t="n"/>
      <c r="G317" s="8" t="n"/>
      <c r="H317" s="8">
        <f>IF(E317="","",E317*G317)</f>
        <v/>
      </c>
      <c r="J317" s="38" t="n"/>
      <c r="L317">
        <f>IF(D317="","",IF(OR(D317="Entrée Achat",D317="Entrée Retour"),K317+E317,K317-E317))</f>
        <v/>
      </c>
      <c r="P317">
        <f>IF(E317="","",IF(OR(D317="Entrée Achat",D317="Entrée Retour"),"✓ Validé",IF(D317="Sortie Perte","⚠️ Perte",IF(D317="Sortie Périmée","🔴 Périmé","✓ Validé"))))</f>
        <v/>
      </c>
    </row>
    <row r="318">
      <c r="A318" s="38" t="n"/>
      <c r="G318" s="8" t="n"/>
      <c r="H318" s="8">
        <f>IF(E318="","",E318*G318)</f>
        <v/>
      </c>
      <c r="J318" s="38" t="n"/>
      <c r="L318">
        <f>IF(D318="","",IF(OR(D318="Entrée Achat",D318="Entrée Retour"),K318+E318,K318-E318))</f>
        <v/>
      </c>
      <c r="P318">
        <f>IF(E318="","",IF(OR(D318="Entrée Achat",D318="Entrée Retour"),"✓ Validé",IF(D318="Sortie Perte","⚠️ Perte",IF(D318="Sortie Périmée","🔴 Périmé","✓ Validé"))))</f>
        <v/>
      </c>
    </row>
    <row r="319">
      <c r="A319" s="38" t="n"/>
      <c r="G319" s="8" t="n"/>
      <c r="H319" s="8">
        <f>IF(E319="","",E319*G319)</f>
        <v/>
      </c>
      <c r="J319" s="38" t="n"/>
      <c r="L319">
        <f>IF(D319="","",IF(OR(D319="Entrée Achat",D319="Entrée Retour"),K319+E319,K319-E319))</f>
        <v/>
      </c>
      <c r="P319">
        <f>IF(E319="","",IF(OR(D319="Entrée Achat",D319="Entrée Retour"),"✓ Validé",IF(D319="Sortie Perte","⚠️ Perte",IF(D319="Sortie Périmée","🔴 Périmé","✓ Validé"))))</f>
        <v/>
      </c>
    </row>
    <row r="320">
      <c r="A320" s="38" t="n"/>
      <c r="G320" s="8" t="n"/>
      <c r="H320" s="8">
        <f>IF(E320="","",E320*G320)</f>
        <v/>
      </c>
      <c r="J320" s="38" t="n"/>
      <c r="L320">
        <f>IF(D320="","",IF(OR(D320="Entrée Achat",D320="Entrée Retour"),K320+E320,K320-E320))</f>
        <v/>
      </c>
      <c r="P320">
        <f>IF(E320="","",IF(OR(D320="Entrée Achat",D320="Entrée Retour"),"✓ Validé",IF(D320="Sortie Perte","⚠️ Perte",IF(D320="Sortie Périmée","🔴 Périmé","✓ Validé"))))</f>
        <v/>
      </c>
    </row>
    <row r="321">
      <c r="A321" s="38" t="n"/>
      <c r="G321" s="8" t="n"/>
      <c r="H321" s="8">
        <f>IF(E321="","",E321*G321)</f>
        <v/>
      </c>
      <c r="J321" s="38" t="n"/>
      <c r="L321">
        <f>IF(D321="","",IF(OR(D321="Entrée Achat",D321="Entrée Retour"),K321+E321,K321-E321))</f>
        <v/>
      </c>
      <c r="P321">
        <f>IF(E321="","",IF(OR(D321="Entrée Achat",D321="Entrée Retour"),"✓ Validé",IF(D321="Sortie Perte","⚠️ Perte",IF(D321="Sortie Périmée","🔴 Périmé","✓ Validé"))))</f>
        <v/>
      </c>
    </row>
    <row r="322">
      <c r="A322" s="38" t="n"/>
      <c r="G322" s="8" t="n"/>
      <c r="H322" s="8">
        <f>IF(E322="","",E322*G322)</f>
        <v/>
      </c>
      <c r="J322" s="38" t="n"/>
      <c r="L322">
        <f>IF(D322="","",IF(OR(D322="Entrée Achat",D322="Entrée Retour"),K322+E322,K322-E322))</f>
        <v/>
      </c>
      <c r="P322">
        <f>IF(E322="","",IF(OR(D322="Entrée Achat",D322="Entrée Retour"),"✓ Validé",IF(D322="Sortie Perte","⚠️ Perte",IF(D322="Sortie Périmée","🔴 Périmé","✓ Validé"))))</f>
        <v/>
      </c>
    </row>
    <row r="323">
      <c r="A323" s="38" t="n"/>
      <c r="G323" s="8" t="n"/>
      <c r="H323" s="8">
        <f>IF(E323="","",E323*G323)</f>
        <v/>
      </c>
      <c r="J323" s="38" t="n"/>
      <c r="L323">
        <f>IF(D323="","",IF(OR(D323="Entrée Achat",D323="Entrée Retour"),K323+E323,K323-E323))</f>
        <v/>
      </c>
      <c r="P323">
        <f>IF(E323="","",IF(OR(D323="Entrée Achat",D323="Entrée Retour"),"✓ Validé",IF(D323="Sortie Perte","⚠️ Perte",IF(D323="Sortie Périmée","🔴 Périmé","✓ Validé"))))</f>
        <v/>
      </c>
    </row>
    <row r="324">
      <c r="A324" s="38" t="n"/>
      <c r="G324" s="8" t="n"/>
      <c r="H324" s="8">
        <f>IF(E324="","",E324*G324)</f>
        <v/>
      </c>
      <c r="J324" s="38" t="n"/>
      <c r="L324">
        <f>IF(D324="","",IF(OR(D324="Entrée Achat",D324="Entrée Retour"),K324+E324,K324-E324))</f>
        <v/>
      </c>
      <c r="P324">
        <f>IF(E324="","",IF(OR(D324="Entrée Achat",D324="Entrée Retour"),"✓ Validé",IF(D324="Sortie Perte","⚠️ Perte",IF(D324="Sortie Périmée","🔴 Périmé","✓ Validé"))))</f>
        <v/>
      </c>
    </row>
    <row r="325">
      <c r="A325" s="38" t="n"/>
      <c r="G325" s="8" t="n"/>
      <c r="H325" s="8">
        <f>IF(E325="","",E325*G325)</f>
        <v/>
      </c>
      <c r="J325" s="38" t="n"/>
      <c r="L325">
        <f>IF(D325="","",IF(OR(D325="Entrée Achat",D325="Entrée Retour"),K325+E325,K325-E325))</f>
        <v/>
      </c>
      <c r="P325">
        <f>IF(E325="","",IF(OR(D325="Entrée Achat",D325="Entrée Retour"),"✓ Validé",IF(D325="Sortie Perte","⚠️ Perte",IF(D325="Sortie Périmée","🔴 Périmé","✓ Validé"))))</f>
        <v/>
      </c>
    </row>
    <row r="326">
      <c r="A326" s="38" t="n"/>
      <c r="G326" s="8" t="n"/>
      <c r="H326" s="8">
        <f>IF(E326="","",E326*G326)</f>
        <v/>
      </c>
      <c r="J326" s="38" t="n"/>
      <c r="L326">
        <f>IF(D326="","",IF(OR(D326="Entrée Achat",D326="Entrée Retour"),K326+E326,K326-E326))</f>
        <v/>
      </c>
      <c r="P326">
        <f>IF(E326="","",IF(OR(D326="Entrée Achat",D326="Entrée Retour"),"✓ Validé",IF(D326="Sortie Perte","⚠️ Perte",IF(D326="Sortie Périmée","🔴 Périmé","✓ Validé"))))</f>
        <v/>
      </c>
    </row>
    <row r="327">
      <c r="A327" s="38" t="n"/>
      <c r="G327" s="8" t="n"/>
      <c r="H327" s="8">
        <f>IF(E327="","",E327*G327)</f>
        <v/>
      </c>
      <c r="J327" s="38" t="n"/>
      <c r="L327">
        <f>IF(D327="","",IF(OR(D327="Entrée Achat",D327="Entrée Retour"),K327+E327,K327-E327))</f>
        <v/>
      </c>
      <c r="P327">
        <f>IF(E327="","",IF(OR(D327="Entrée Achat",D327="Entrée Retour"),"✓ Validé",IF(D327="Sortie Perte","⚠️ Perte",IF(D327="Sortie Périmée","🔴 Périmé","✓ Validé"))))</f>
        <v/>
      </c>
    </row>
    <row r="328">
      <c r="A328" s="38" t="n"/>
      <c r="G328" s="8" t="n"/>
      <c r="H328" s="8">
        <f>IF(E328="","",E328*G328)</f>
        <v/>
      </c>
      <c r="J328" s="38" t="n"/>
      <c r="L328">
        <f>IF(D328="","",IF(OR(D328="Entrée Achat",D328="Entrée Retour"),K328+E328,K328-E328))</f>
        <v/>
      </c>
      <c r="P328">
        <f>IF(E328="","",IF(OR(D328="Entrée Achat",D328="Entrée Retour"),"✓ Validé",IF(D328="Sortie Perte","⚠️ Perte",IF(D328="Sortie Périmée","🔴 Périmé","✓ Validé"))))</f>
        <v/>
      </c>
    </row>
    <row r="329">
      <c r="A329" s="38" t="n"/>
      <c r="G329" s="8" t="n"/>
      <c r="H329" s="8">
        <f>IF(E329="","",E329*G329)</f>
        <v/>
      </c>
      <c r="J329" s="38" t="n"/>
      <c r="L329">
        <f>IF(D329="","",IF(OR(D329="Entrée Achat",D329="Entrée Retour"),K329+E329,K329-E329))</f>
        <v/>
      </c>
      <c r="P329">
        <f>IF(E329="","",IF(OR(D329="Entrée Achat",D329="Entrée Retour"),"✓ Validé",IF(D329="Sortie Perte","⚠️ Perte",IF(D329="Sortie Périmée","🔴 Périmé","✓ Validé"))))</f>
        <v/>
      </c>
    </row>
    <row r="330">
      <c r="A330" s="38" t="n"/>
      <c r="G330" s="8" t="n"/>
      <c r="H330" s="8">
        <f>IF(E330="","",E330*G330)</f>
        <v/>
      </c>
      <c r="J330" s="38" t="n"/>
      <c r="L330">
        <f>IF(D330="","",IF(OR(D330="Entrée Achat",D330="Entrée Retour"),K330+E330,K330-E330))</f>
        <v/>
      </c>
      <c r="P330">
        <f>IF(E330="","",IF(OR(D330="Entrée Achat",D330="Entrée Retour"),"✓ Validé",IF(D330="Sortie Perte","⚠️ Perte",IF(D330="Sortie Périmée","🔴 Périmé","✓ Validé"))))</f>
        <v/>
      </c>
    </row>
    <row r="331">
      <c r="A331" s="38" t="n"/>
      <c r="G331" s="8" t="n"/>
      <c r="H331" s="8">
        <f>IF(E331="","",E331*G331)</f>
        <v/>
      </c>
      <c r="J331" s="38" t="n"/>
      <c r="L331">
        <f>IF(D331="","",IF(OR(D331="Entrée Achat",D331="Entrée Retour"),K331+E331,K331-E331))</f>
        <v/>
      </c>
      <c r="P331">
        <f>IF(E331="","",IF(OR(D331="Entrée Achat",D331="Entrée Retour"),"✓ Validé",IF(D331="Sortie Perte","⚠️ Perte",IF(D331="Sortie Périmée","🔴 Périmé","✓ Validé"))))</f>
        <v/>
      </c>
    </row>
    <row r="332">
      <c r="A332" s="38" t="n"/>
      <c r="G332" s="8" t="n"/>
      <c r="H332" s="8">
        <f>IF(E332="","",E332*G332)</f>
        <v/>
      </c>
      <c r="J332" s="38" t="n"/>
      <c r="L332">
        <f>IF(D332="","",IF(OR(D332="Entrée Achat",D332="Entrée Retour"),K332+E332,K332-E332))</f>
        <v/>
      </c>
      <c r="P332">
        <f>IF(E332="","",IF(OR(D332="Entrée Achat",D332="Entrée Retour"),"✓ Validé",IF(D332="Sortie Perte","⚠️ Perte",IF(D332="Sortie Périmée","🔴 Périmé","✓ Validé"))))</f>
        <v/>
      </c>
    </row>
    <row r="333">
      <c r="A333" s="38" t="n"/>
      <c r="G333" s="8" t="n"/>
      <c r="H333" s="8">
        <f>IF(E333="","",E333*G333)</f>
        <v/>
      </c>
      <c r="J333" s="38" t="n"/>
      <c r="L333">
        <f>IF(D333="","",IF(OR(D333="Entrée Achat",D333="Entrée Retour"),K333+E333,K333-E333))</f>
        <v/>
      </c>
      <c r="P333">
        <f>IF(E333="","",IF(OR(D333="Entrée Achat",D333="Entrée Retour"),"✓ Validé",IF(D333="Sortie Perte","⚠️ Perte",IF(D333="Sortie Périmée","🔴 Périmé","✓ Validé"))))</f>
        <v/>
      </c>
    </row>
    <row r="334">
      <c r="A334" s="38" t="n"/>
      <c r="G334" s="8" t="n"/>
      <c r="H334" s="8">
        <f>IF(E334="","",E334*G334)</f>
        <v/>
      </c>
      <c r="J334" s="38" t="n"/>
      <c r="L334">
        <f>IF(D334="","",IF(OR(D334="Entrée Achat",D334="Entrée Retour"),K334+E334,K334-E334))</f>
        <v/>
      </c>
      <c r="P334">
        <f>IF(E334="","",IF(OR(D334="Entrée Achat",D334="Entrée Retour"),"✓ Validé",IF(D334="Sortie Perte","⚠️ Perte",IF(D334="Sortie Périmée","🔴 Périmé","✓ Validé"))))</f>
        <v/>
      </c>
    </row>
    <row r="335">
      <c r="A335" s="38" t="n"/>
      <c r="G335" s="8" t="n"/>
      <c r="H335" s="8">
        <f>IF(E335="","",E335*G335)</f>
        <v/>
      </c>
      <c r="J335" s="38" t="n"/>
      <c r="L335">
        <f>IF(D335="","",IF(OR(D335="Entrée Achat",D335="Entrée Retour"),K335+E335,K335-E335))</f>
        <v/>
      </c>
      <c r="P335">
        <f>IF(E335="","",IF(OR(D335="Entrée Achat",D335="Entrée Retour"),"✓ Validé",IF(D335="Sortie Perte","⚠️ Perte",IF(D335="Sortie Périmée","🔴 Périmé","✓ Validé"))))</f>
        <v/>
      </c>
    </row>
    <row r="336">
      <c r="A336" s="38" t="n"/>
      <c r="G336" s="8" t="n"/>
      <c r="H336" s="8">
        <f>IF(E336="","",E336*G336)</f>
        <v/>
      </c>
      <c r="J336" s="38" t="n"/>
      <c r="L336">
        <f>IF(D336="","",IF(OR(D336="Entrée Achat",D336="Entrée Retour"),K336+E336,K336-E336))</f>
        <v/>
      </c>
      <c r="P336">
        <f>IF(E336="","",IF(OR(D336="Entrée Achat",D336="Entrée Retour"),"✓ Validé",IF(D336="Sortie Perte","⚠️ Perte",IF(D336="Sortie Périmée","🔴 Périmé","✓ Validé"))))</f>
        <v/>
      </c>
    </row>
    <row r="337">
      <c r="A337" s="38" t="n"/>
      <c r="G337" s="8" t="n"/>
      <c r="H337" s="8">
        <f>IF(E337="","",E337*G337)</f>
        <v/>
      </c>
      <c r="J337" s="38" t="n"/>
      <c r="L337">
        <f>IF(D337="","",IF(OR(D337="Entrée Achat",D337="Entrée Retour"),K337+E337,K337-E337))</f>
        <v/>
      </c>
      <c r="P337">
        <f>IF(E337="","",IF(OR(D337="Entrée Achat",D337="Entrée Retour"),"✓ Validé",IF(D337="Sortie Perte","⚠️ Perte",IF(D337="Sortie Périmée","🔴 Périmé","✓ Validé"))))</f>
        <v/>
      </c>
    </row>
    <row r="338">
      <c r="A338" s="38" t="n"/>
      <c r="G338" s="8" t="n"/>
      <c r="H338" s="8">
        <f>IF(E338="","",E338*G338)</f>
        <v/>
      </c>
      <c r="J338" s="38" t="n"/>
      <c r="L338">
        <f>IF(D338="","",IF(OR(D338="Entrée Achat",D338="Entrée Retour"),K338+E338,K338-E338))</f>
        <v/>
      </c>
      <c r="P338">
        <f>IF(E338="","",IF(OR(D338="Entrée Achat",D338="Entrée Retour"),"✓ Validé",IF(D338="Sortie Perte","⚠️ Perte",IF(D338="Sortie Périmée","🔴 Périmé","✓ Validé"))))</f>
        <v/>
      </c>
    </row>
    <row r="339">
      <c r="A339" s="38" t="n"/>
      <c r="G339" s="8" t="n"/>
      <c r="H339" s="8">
        <f>IF(E339="","",E339*G339)</f>
        <v/>
      </c>
      <c r="J339" s="38" t="n"/>
      <c r="L339">
        <f>IF(D339="","",IF(OR(D339="Entrée Achat",D339="Entrée Retour"),K339+E339,K339-E339))</f>
        <v/>
      </c>
      <c r="P339">
        <f>IF(E339="","",IF(OR(D339="Entrée Achat",D339="Entrée Retour"),"✓ Validé",IF(D339="Sortie Perte","⚠️ Perte",IF(D339="Sortie Périmée","🔴 Périmé","✓ Validé"))))</f>
        <v/>
      </c>
    </row>
    <row r="340">
      <c r="A340" s="38" t="n"/>
      <c r="G340" s="8" t="n"/>
      <c r="H340" s="8">
        <f>IF(E340="","",E340*G340)</f>
        <v/>
      </c>
      <c r="J340" s="38" t="n"/>
      <c r="L340">
        <f>IF(D340="","",IF(OR(D340="Entrée Achat",D340="Entrée Retour"),K340+E340,K340-E340))</f>
        <v/>
      </c>
      <c r="P340">
        <f>IF(E340="","",IF(OR(D340="Entrée Achat",D340="Entrée Retour"),"✓ Validé",IF(D340="Sortie Perte","⚠️ Perte",IF(D340="Sortie Périmée","🔴 Périmé","✓ Validé"))))</f>
        <v/>
      </c>
    </row>
    <row r="341">
      <c r="A341" s="38" t="n"/>
      <c r="G341" s="8" t="n"/>
      <c r="H341" s="8">
        <f>IF(E341="","",E341*G341)</f>
        <v/>
      </c>
      <c r="J341" s="38" t="n"/>
      <c r="L341">
        <f>IF(D341="","",IF(OR(D341="Entrée Achat",D341="Entrée Retour"),K341+E341,K341-E341))</f>
        <v/>
      </c>
      <c r="P341">
        <f>IF(E341="","",IF(OR(D341="Entrée Achat",D341="Entrée Retour"),"✓ Validé",IF(D341="Sortie Perte","⚠️ Perte",IF(D341="Sortie Périmée","🔴 Périmé","✓ Validé"))))</f>
        <v/>
      </c>
    </row>
    <row r="342">
      <c r="A342" s="38" t="n"/>
      <c r="G342" s="8" t="n"/>
      <c r="H342" s="8">
        <f>IF(E342="","",E342*G342)</f>
        <v/>
      </c>
      <c r="J342" s="38" t="n"/>
      <c r="L342">
        <f>IF(D342="","",IF(OR(D342="Entrée Achat",D342="Entrée Retour"),K342+E342,K342-E342))</f>
        <v/>
      </c>
      <c r="P342">
        <f>IF(E342="","",IF(OR(D342="Entrée Achat",D342="Entrée Retour"),"✓ Validé",IF(D342="Sortie Perte","⚠️ Perte",IF(D342="Sortie Périmée","🔴 Périmé","✓ Validé"))))</f>
        <v/>
      </c>
    </row>
    <row r="343">
      <c r="A343" s="38" t="n"/>
      <c r="G343" s="8" t="n"/>
      <c r="H343" s="8">
        <f>IF(E343="","",E343*G343)</f>
        <v/>
      </c>
      <c r="J343" s="38" t="n"/>
      <c r="L343">
        <f>IF(D343="","",IF(OR(D343="Entrée Achat",D343="Entrée Retour"),K343+E343,K343-E343))</f>
        <v/>
      </c>
      <c r="P343">
        <f>IF(E343="","",IF(OR(D343="Entrée Achat",D343="Entrée Retour"),"✓ Validé",IF(D343="Sortie Perte","⚠️ Perte",IF(D343="Sortie Périmée","🔴 Périmé","✓ Validé"))))</f>
        <v/>
      </c>
    </row>
    <row r="344">
      <c r="A344" s="38" t="n"/>
      <c r="G344" s="8" t="n"/>
      <c r="H344" s="8">
        <f>IF(E344="","",E344*G344)</f>
        <v/>
      </c>
      <c r="J344" s="38" t="n"/>
      <c r="L344">
        <f>IF(D344="","",IF(OR(D344="Entrée Achat",D344="Entrée Retour"),K344+E344,K344-E344))</f>
        <v/>
      </c>
      <c r="P344">
        <f>IF(E344="","",IF(OR(D344="Entrée Achat",D344="Entrée Retour"),"✓ Validé",IF(D344="Sortie Perte","⚠️ Perte",IF(D344="Sortie Périmée","🔴 Périmé","✓ Validé"))))</f>
        <v/>
      </c>
    </row>
    <row r="345">
      <c r="A345" s="38" t="n"/>
      <c r="G345" s="8" t="n"/>
      <c r="H345" s="8">
        <f>IF(E345="","",E345*G345)</f>
        <v/>
      </c>
      <c r="J345" s="38" t="n"/>
      <c r="L345">
        <f>IF(D345="","",IF(OR(D345="Entrée Achat",D345="Entrée Retour"),K345+E345,K345-E345))</f>
        <v/>
      </c>
      <c r="P345">
        <f>IF(E345="","",IF(OR(D345="Entrée Achat",D345="Entrée Retour"),"✓ Validé",IF(D345="Sortie Perte","⚠️ Perte",IF(D345="Sortie Périmée","🔴 Périmé","✓ Validé"))))</f>
        <v/>
      </c>
    </row>
    <row r="346">
      <c r="A346" s="38" t="n"/>
      <c r="G346" s="8" t="n"/>
      <c r="H346" s="8">
        <f>IF(E346="","",E346*G346)</f>
        <v/>
      </c>
      <c r="J346" s="38" t="n"/>
      <c r="L346">
        <f>IF(D346="","",IF(OR(D346="Entrée Achat",D346="Entrée Retour"),K346+E346,K346-E346))</f>
        <v/>
      </c>
      <c r="P346">
        <f>IF(E346="","",IF(OR(D346="Entrée Achat",D346="Entrée Retour"),"✓ Validé",IF(D346="Sortie Perte","⚠️ Perte",IF(D346="Sortie Périmée","🔴 Périmé","✓ Validé"))))</f>
        <v/>
      </c>
    </row>
    <row r="347">
      <c r="A347" s="38" t="n"/>
      <c r="G347" s="8" t="n"/>
      <c r="H347" s="8">
        <f>IF(E347="","",E347*G347)</f>
        <v/>
      </c>
      <c r="J347" s="38" t="n"/>
      <c r="L347">
        <f>IF(D347="","",IF(OR(D347="Entrée Achat",D347="Entrée Retour"),K347+E347,K347-E347))</f>
        <v/>
      </c>
      <c r="P347">
        <f>IF(E347="","",IF(OR(D347="Entrée Achat",D347="Entrée Retour"),"✓ Validé",IF(D347="Sortie Perte","⚠️ Perte",IF(D347="Sortie Périmée","🔴 Périmé","✓ Validé"))))</f>
        <v/>
      </c>
    </row>
    <row r="348">
      <c r="A348" s="38" t="n"/>
      <c r="G348" s="8" t="n"/>
      <c r="H348" s="8">
        <f>IF(E348="","",E348*G348)</f>
        <v/>
      </c>
      <c r="J348" s="38" t="n"/>
      <c r="L348">
        <f>IF(D348="","",IF(OR(D348="Entrée Achat",D348="Entrée Retour"),K348+E348,K348-E348))</f>
        <v/>
      </c>
      <c r="P348">
        <f>IF(E348="","",IF(OR(D348="Entrée Achat",D348="Entrée Retour"),"✓ Validé",IF(D348="Sortie Perte","⚠️ Perte",IF(D348="Sortie Périmée","🔴 Périmé","✓ Validé"))))</f>
        <v/>
      </c>
    </row>
    <row r="349">
      <c r="A349" s="38" t="n"/>
      <c r="G349" s="8" t="n"/>
      <c r="H349" s="8">
        <f>IF(E349="","",E349*G349)</f>
        <v/>
      </c>
      <c r="J349" s="38" t="n"/>
      <c r="L349">
        <f>IF(D349="","",IF(OR(D349="Entrée Achat",D349="Entrée Retour"),K349+E349,K349-E349))</f>
        <v/>
      </c>
      <c r="P349">
        <f>IF(E349="","",IF(OR(D349="Entrée Achat",D349="Entrée Retour"),"✓ Validé",IF(D349="Sortie Perte","⚠️ Perte",IF(D349="Sortie Périmée","🔴 Périmé","✓ Validé"))))</f>
        <v/>
      </c>
    </row>
    <row r="350">
      <c r="A350" s="38" t="n"/>
      <c r="G350" s="8" t="n"/>
      <c r="H350" s="8">
        <f>IF(E350="","",E350*G350)</f>
        <v/>
      </c>
      <c r="J350" s="38" t="n"/>
      <c r="L350">
        <f>IF(D350="","",IF(OR(D350="Entrée Achat",D350="Entrée Retour"),K350+E350,K350-E350))</f>
        <v/>
      </c>
      <c r="P350">
        <f>IF(E350="","",IF(OR(D350="Entrée Achat",D350="Entrée Retour"),"✓ Validé",IF(D350="Sortie Perte","⚠️ Perte",IF(D350="Sortie Périmée","🔴 Périmé","✓ Validé"))))</f>
        <v/>
      </c>
    </row>
    <row r="351">
      <c r="A351" s="38" t="n"/>
      <c r="G351" s="8" t="n"/>
      <c r="H351" s="8">
        <f>IF(E351="","",E351*G351)</f>
        <v/>
      </c>
      <c r="J351" s="38" t="n"/>
      <c r="L351">
        <f>IF(D351="","",IF(OR(D351="Entrée Achat",D351="Entrée Retour"),K351+E351,K351-E351))</f>
        <v/>
      </c>
      <c r="P351">
        <f>IF(E351="","",IF(OR(D351="Entrée Achat",D351="Entrée Retour"),"✓ Validé",IF(D351="Sortie Perte","⚠️ Perte",IF(D351="Sortie Périmée","🔴 Périmé","✓ Validé"))))</f>
        <v/>
      </c>
    </row>
    <row r="352">
      <c r="A352" s="38" t="n"/>
      <c r="G352" s="8" t="n"/>
      <c r="H352" s="8">
        <f>IF(E352="","",E352*G352)</f>
        <v/>
      </c>
      <c r="J352" s="38" t="n"/>
      <c r="L352">
        <f>IF(D352="","",IF(OR(D352="Entrée Achat",D352="Entrée Retour"),K352+E352,K352-E352))</f>
        <v/>
      </c>
      <c r="P352">
        <f>IF(E352="","",IF(OR(D352="Entrée Achat",D352="Entrée Retour"),"✓ Validé",IF(D352="Sortie Perte","⚠️ Perte",IF(D352="Sortie Périmée","🔴 Périmé","✓ Validé"))))</f>
        <v/>
      </c>
    </row>
    <row r="353">
      <c r="A353" s="38" t="n"/>
      <c r="G353" s="8" t="n"/>
      <c r="H353" s="8">
        <f>IF(E353="","",E353*G353)</f>
        <v/>
      </c>
      <c r="J353" s="38" t="n"/>
      <c r="L353">
        <f>IF(D353="","",IF(OR(D353="Entrée Achat",D353="Entrée Retour"),K353+E353,K353-E353))</f>
        <v/>
      </c>
      <c r="P353">
        <f>IF(E353="","",IF(OR(D353="Entrée Achat",D353="Entrée Retour"),"✓ Validé",IF(D353="Sortie Perte","⚠️ Perte",IF(D353="Sortie Périmée","🔴 Périmé","✓ Validé"))))</f>
        <v/>
      </c>
    </row>
    <row r="354">
      <c r="A354" s="38" t="n"/>
      <c r="G354" s="8" t="n"/>
      <c r="H354" s="8">
        <f>IF(E354="","",E354*G354)</f>
        <v/>
      </c>
      <c r="J354" s="38" t="n"/>
      <c r="L354">
        <f>IF(D354="","",IF(OR(D354="Entrée Achat",D354="Entrée Retour"),K354+E354,K354-E354))</f>
        <v/>
      </c>
      <c r="P354">
        <f>IF(E354="","",IF(OR(D354="Entrée Achat",D354="Entrée Retour"),"✓ Validé",IF(D354="Sortie Perte","⚠️ Perte",IF(D354="Sortie Périmée","🔴 Périmé","✓ Validé"))))</f>
        <v/>
      </c>
    </row>
    <row r="355">
      <c r="A355" s="38" t="n"/>
      <c r="G355" s="8" t="n"/>
      <c r="H355" s="8">
        <f>IF(E355="","",E355*G355)</f>
        <v/>
      </c>
      <c r="J355" s="38" t="n"/>
      <c r="L355">
        <f>IF(D355="","",IF(OR(D355="Entrée Achat",D355="Entrée Retour"),K355+E355,K355-E355))</f>
        <v/>
      </c>
      <c r="P355">
        <f>IF(E355="","",IF(OR(D355="Entrée Achat",D355="Entrée Retour"),"✓ Validé",IF(D355="Sortie Perte","⚠️ Perte",IF(D355="Sortie Périmée","🔴 Périmé","✓ Validé"))))</f>
        <v/>
      </c>
    </row>
    <row r="356">
      <c r="A356" s="38" t="n"/>
      <c r="G356" s="8" t="n"/>
      <c r="H356" s="8">
        <f>IF(E356="","",E356*G356)</f>
        <v/>
      </c>
      <c r="J356" s="38" t="n"/>
      <c r="L356">
        <f>IF(D356="","",IF(OR(D356="Entrée Achat",D356="Entrée Retour"),K356+E356,K356-E356))</f>
        <v/>
      </c>
      <c r="P356">
        <f>IF(E356="","",IF(OR(D356="Entrée Achat",D356="Entrée Retour"),"✓ Validé",IF(D356="Sortie Perte","⚠️ Perte",IF(D356="Sortie Périmée","🔴 Périmé","✓ Validé"))))</f>
        <v/>
      </c>
    </row>
    <row r="357">
      <c r="A357" s="38" t="n"/>
      <c r="G357" s="8" t="n"/>
      <c r="H357" s="8">
        <f>IF(E357="","",E357*G357)</f>
        <v/>
      </c>
      <c r="J357" s="38" t="n"/>
      <c r="L357">
        <f>IF(D357="","",IF(OR(D357="Entrée Achat",D357="Entrée Retour"),K357+E357,K357-E357))</f>
        <v/>
      </c>
      <c r="P357">
        <f>IF(E357="","",IF(OR(D357="Entrée Achat",D357="Entrée Retour"),"✓ Validé",IF(D357="Sortie Perte","⚠️ Perte",IF(D357="Sortie Périmée","🔴 Périmé","✓ Validé"))))</f>
        <v/>
      </c>
    </row>
    <row r="358">
      <c r="A358" s="38" t="n"/>
      <c r="G358" s="8" t="n"/>
      <c r="H358" s="8">
        <f>IF(E358="","",E358*G358)</f>
        <v/>
      </c>
      <c r="J358" s="38" t="n"/>
      <c r="L358">
        <f>IF(D358="","",IF(OR(D358="Entrée Achat",D358="Entrée Retour"),K358+E358,K358-E358))</f>
        <v/>
      </c>
      <c r="P358">
        <f>IF(E358="","",IF(OR(D358="Entrée Achat",D358="Entrée Retour"),"✓ Validé",IF(D358="Sortie Perte","⚠️ Perte",IF(D358="Sortie Périmée","🔴 Périmé","✓ Validé"))))</f>
        <v/>
      </c>
    </row>
    <row r="359">
      <c r="A359" s="38" t="n"/>
      <c r="G359" s="8" t="n"/>
      <c r="H359" s="8">
        <f>IF(E359="","",E359*G359)</f>
        <v/>
      </c>
      <c r="J359" s="38" t="n"/>
      <c r="L359">
        <f>IF(D359="","",IF(OR(D359="Entrée Achat",D359="Entrée Retour"),K359+E359,K359-E359))</f>
        <v/>
      </c>
      <c r="P359">
        <f>IF(E359="","",IF(OR(D359="Entrée Achat",D359="Entrée Retour"),"✓ Validé",IF(D359="Sortie Perte","⚠️ Perte",IF(D359="Sortie Périmée","🔴 Périmé","✓ Validé"))))</f>
        <v/>
      </c>
    </row>
    <row r="360">
      <c r="A360" s="38" t="n"/>
      <c r="G360" s="8" t="n"/>
      <c r="H360" s="8">
        <f>IF(E360="","",E360*G360)</f>
        <v/>
      </c>
      <c r="J360" s="38" t="n"/>
      <c r="L360">
        <f>IF(D360="","",IF(OR(D360="Entrée Achat",D360="Entrée Retour"),K360+E360,K360-E360))</f>
        <v/>
      </c>
      <c r="P360">
        <f>IF(E360="","",IF(OR(D360="Entrée Achat",D360="Entrée Retour"),"✓ Validé",IF(D360="Sortie Perte","⚠️ Perte",IF(D360="Sortie Périmée","🔴 Périmé","✓ Validé"))))</f>
        <v/>
      </c>
    </row>
    <row r="361">
      <c r="A361" s="38" t="n"/>
      <c r="G361" s="8" t="n"/>
      <c r="H361" s="8">
        <f>IF(E361="","",E361*G361)</f>
        <v/>
      </c>
      <c r="J361" s="38" t="n"/>
      <c r="L361">
        <f>IF(D361="","",IF(OR(D361="Entrée Achat",D361="Entrée Retour"),K361+E361,K361-E361))</f>
        <v/>
      </c>
      <c r="P361">
        <f>IF(E361="","",IF(OR(D361="Entrée Achat",D361="Entrée Retour"),"✓ Validé",IF(D361="Sortie Perte","⚠️ Perte",IF(D361="Sortie Périmée","🔴 Périmé","✓ Validé"))))</f>
        <v/>
      </c>
    </row>
    <row r="362">
      <c r="A362" s="38" t="n"/>
      <c r="G362" s="8" t="n"/>
      <c r="H362" s="8">
        <f>IF(E362="","",E362*G362)</f>
        <v/>
      </c>
      <c r="J362" s="38" t="n"/>
      <c r="L362">
        <f>IF(D362="","",IF(OR(D362="Entrée Achat",D362="Entrée Retour"),K362+E362,K362-E362))</f>
        <v/>
      </c>
      <c r="P362">
        <f>IF(E362="","",IF(OR(D362="Entrée Achat",D362="Entrée Retour"),"✓ Validé",IF(D362="Sortie Perte","⚠️ Perte",IF(D362="Sortie Périmée","🔴 Périmé","✓ Validé"))))</f>
        <v/>
      </c>
    </row>
    <row r="363">
      <c r="A363" s="38" t="n"/>
      <c r="G363" s="8" t="n"/>
      <c r="H363" s="8">
        <f>IF(E363="","",E363*G363)</f>
        <v/>
      </c>
      <c r="J363" s="38" t="n"/>
      <c r="L363">
        <f>IF(D363="","",IF(OR(D363="Entrée Achat",D363="Entrée Retour"),K363+E363,K363-E363))</f>
        <v/>
      </c>
      <c r="P363">
        <f>IF(E363="","",IF(OR(D363="Entrée Achat",D363="Entrée Retour"),"✓ Validé",IF(D363="Sortie Perte","⚠️ Perte",IF(D363="Sortie Périmée","🔴 Périmé","✓ Validé"))))</f>
        <v/>
      </c>
    </row>
    <row r="364">
      <c r="A364" s="38" t="n"/>
      <c r="G364" s="8" t="n"/>
      <c r="H364" s="8">
        <f>IF(E364="","",E364*G364)</f>
        <v/>
      </c>
      <c r="J364" s="38" t="n"/>
      <c r="L364">
        <f>IF(D364="","",IF(OR(D364="Entrée Achat",D364="Entrée Retour"),K364+E364,K364-E364))</f>
        <v/>
      </c>
      <c r="P364">
        <f>IF(E364="","",IF(OR(D364="Entrée Achat",D364="Entrée Retour"),"✓ Validé",IF(D364="Sortie Perte","⚠️ Perte",IF(D364="Sortie Périmée","🔴 Périmé","✓ Validé"))))</f>
        <v/>
      </c>
    </row>
    <row r="365">
      <c r="A365" s="38" t="n"/>
      <c r="G365" s="8" t="n"/>
      <c r="H365" s="8">
        <f>IF(E365="","",E365*G365)</f>
        <v/>
      </c>
      <c r="J365" s="38" t="n"/>
      <c r="L365">
        <f>IF(D365="","",IF(OR(D365="Entrée Achat",D365="Entrée Retour"),K365+E365,K365-E365))</f>
        <v/>
      </c>
      <c r="P365">
        <f>IF(E365="","",IF(OR(D365="Entrée Achat",D365="Entrée Retour"),"✓ Validé",IF(D365="Sortie Perte","⚠️ Perte",IF(D365="Sortie Périmée","🔴 Périmé","✓ Validé"))))</f>
        <v/>
      </c>
    </row>
    <row r="366">
      <c r="A366" s="38" t="n"/>
      <c r="G366" s="8" t="n"/>
      <c r="H366" s="8">
        <f>IF(E366="","",E366*G366)</f>
        <v/>
      </c>
      <c r="J366" s="38" t="n"/>
      <c r="L366">
        <f>IF(D366="","",IF(OR(D366="Entrée Achat",D366="Entrée Retour"),K366+E366,K366-E366))</f>
        <v/>
      </c>
      <c r="P366">
        <f>IF(E366="","",IF(OR(D366="Entrée Achat",D366="Entrée Retour"),"✓ Validé",IF(D366="Sortie Perte","⚠️ Perte",IF(D366="Sortie Périmée","🔴 Périmé","✓ Validé"))))</f>
        <v/>
      </c>
    </row>
    <row r="367">
      <c r="A367" s="38" t="n"/>
      <c r="G367" s="8" t="n"/>
      <c r="H367" s="8">
        <f>IF(E367="","",E367*G367)</f>
        <v/>
      </c>
      <c r="J367" s="38" t="n"/>
      <c r="L367">
        <f>IF(D367="","",IF(OR(D367="Entrée Achat",D367="Entrée Retour"),K367+E367,K367-E367))</f>
        <v/>
      </c>
      <c r="P367">
        <f>IF(E367="","",IF(OR(D367="Entrée Achat",D367="Entrée Retour"),"✓ Validé",IF(D367="Sortie Perte","⚠️ Perte",IF(D367="Sortie Périmée","🔴 Périmé","✓ Validé"))))</f>
        <v/>
      </c>
    </row>
    <row r="368">
      <c r="A368" s="38" t="n"/>
      <c r="G368" s="8" t="n"/>
      <c r="H368" s="8">
        <f>IF(E368="","",E368*G368)</f>
        <v/>
      </c>
      <c r="J368" s="38" t="n"/>
      <c r="L368">
        <f>IF(D368="","",IF(OR(D368="Entrée Achat",D368="Entrée Retour"),K368+E368,K368-E368))</f>
        <v/>
      </c>
      <c r="P368">
        <f>IF(E368="","",IF(OR(D368="Entrée Achat",D368="Entrée Retour"),"✓ Validé",IF(D368="Sortie Perte","⚠️ Perte",IF(D368="Sortie Périmée","🔴 Périmé","✓ Validé"))))</f>
        <v/>
      </c>
    </row>
    <row r="369">
      <c r="A369" s="38" t="n"/>
      <c r="G369" s="8" t="n"/>
      <c r="H369" s="8">
        <f>IF(E369="","",E369*G369)</f>
        <v/>
      </c>
      <c r="J369" s="38" t="n"/>
      <c r="L369">
        <f>IF(D369="","",IF(OR(D369="Entrée Achat",D369="Entrée Retour"),K369+E369,K369-E369))</f>
        <v/>
      </c>
      <c r="P369">
        <f>IF(E369="","",IF(OR(D369="Entrée Achat",D369="Entrée Retour"),"✓ Validé",IF(D369="Sortie Perte","⚠️ Perte",IF(D369="Sortie Périmée","🔴 Périmé","✓ Validé"))))</f>
        <v/>
      </c>
    </row>
    <row r="370">
      <c r="A370" s="38" t="n"/>
      <c r="G370" s="8" t="n"/>
      <c r="H370" s="8">
        <f>IF(E370="","",E370*G370)</f>
        <v/>
      </c>
      <c r="J370" s="38" t="n"/>
      <c r="L370">
        <f>IF(D370="","",IF(OR(D370="Entrée Achat",D370="Entrée Retour"),K370+E370,K370-E370))</f>
        <v/>
      </c>
      <c r="P370">
        <f>IF(E370="","",IF(OR(D370="Entrée Achat",D370="Entrée Retour"),"✓ Validé",IF(D370="Sortie Perte","⚠️ Perte",IF(D370="Sortie Périmée","🔴 Périmé","✓ Validé"))))</f>
        <v/>
      </c>
    </row>
    <row r="371">
      <c r="A371" s="38" t="n"/>
      <c r="G371" s="8" t="n"/>
      <c r="H371" s="8">
        <f>IF(E371="","",E371*G371)</f>
        <v/>
      </c>
      <c r="J371" s="38" t="n"/>
      <c r="L371">
        <f>IF(D371="","",IF(OR(D371="Entrée Achat",D371="Entrée Retour"),K371+E371,K371-E371))</f>
        <v/>
      </c>
      <c r="P371">
        <f>IF(E371="","",IF(OR(D371="Entrée Achat",D371="Entrée Retour"),"✓ Validé",IF(D371="Sortie Perte","⚠️ Perte",IF(D371="Sortie Périmée","🔴 Périmé","✓ Validé"))))</f>
        <v/>
      </c>
    </row>
    <row r="372">
      <c r="A372" s="38" t="n"/>
      <c r="G372" s="8" t="n"/>
      <c r="H372" s="8">
        <f>IF(E372="","",E372*G372)</f>
        <v/>
      </c>
      <c r="J372" s="38" t="n"/>
      <c r="L372">
        <f>IF(D372="","",IF(OR(D372="Entrée Achat",D372="Entrée Retour"),K372+E372,K372-E372))</f>
        <v/>
      </c>
      <c r="P372">
        <f>IF(E372="","",IF(OR(D372="Entrée Achat",D372="Entrée Retour"),"✓ Validé",IF(D372="Sortie Perte","⚠️ Perte",IF(D372="Sortie Périmée","🔴 Périmé","✓ Validé"))))</f>
        <v/>
      </c>
    </row>
    <row r="373">
      <c r="A373" s="38" t="n"/>
      <c r="G373" s="8" t="n"/>
      <c r="H373" s="8">
        <f>IF(E373="","",E373*G373)</f>
        <v/>
      </c>
      <c r="J373" s="38" t="n"/>
      <c r="L373">
        <f>IF(D373="","",IF(OR(D373="Entrée Achat",D373="Entrée Retour"),K373+E373,K373-E373))</f>
        <v/>
      </c>
      <c r="P373">
        <f>IF(E373="","",IF(OR(D373="Entrée Achat",D373="Entrée Retour"),"✓ Validé",IF(D373="Sortie Perte","⚠️ Perte",IF(D373="Sortie Périmée","🔴 Périmé","✓ Validé"))))</f>
        <v/>
      </c>
    </row>
    <row r="374">
      <c r="A374" s="38" t="n"/>
      <c r="G374" s="8" t="n"/>
      <c r="H374" s="8">
        <f>IF(E374="","",E374*G374)</f>
        <v/>
      </c>
      <c r="J374" s="38" t="n"/>
      <c r="L374">
        <f>IF(D374="","",IF(OR(D374="Entrée Achat",D374="Entrée Retour"),K374+E374,K374-E374))</f>
        <v/>
      </c>
      <c r="P374">
        <f>IF(E374="","",IF(OR(D374="Entrée Achat",D374="Entrée Retour"),"✓ Validé",IF(D374="Sortie Perte","⚠️ Perte",IF(D374="Sortie Périmée","🔴 Périmé","✓ Validé"))))</f>
        <v/>
      </c>
    </row>
    <row r="375">
      <c r="A375" s="38" t="n"/>
      <c r="G375" s="8" t="n"/>
      <c r="H375" s="8">
        <f>IF(E375="","",E375*G375)</f>
        <v/>
      </c>
      <c r="J375" s="38" t="n"/>
      <c r="L375">
        <f>IF(D375="","",IF(OR(D375="Entrée Achat",D375="Entrée Retour"),K375+E375,K375-E375))</f>
        <v/>
      </c>
      <c r="P375">
        <f>IF(E375="","",IF(OR(D375="Entrée Achat",D375="Entrée Retour"),"✓ Validé",IF(D375="Sortie Perte","⚠️ Perte",IF(D375="Sortie Périmée","🔴 Périmé","✓ Validé"))))</f>
        <v/>
      </c>
    </row>
    <row r="376">
      <c r="A376" s="38" t="n"/>
      <c r="G376" s="8" t="n"/>
      <c r="H376" s="8">
        <f>IF(E376="","",E376*G376)</f>
        <v/>
      </c>
      <c r="J376" s="38" t="n"/>
      <c r="L376">
        <f>IF(D376="","",IF(OR(D376="Entrée Achat",D376="Entrée Retour"),K376+E376,K376-E376))</f>
        <v/>
      </c>
      <c r="P376">
        <f>IF(E376="","",IF(OR(D376="Entrée Achat",D376="Entrée Retour"),"✓ Validé",IF(D376="Sortie Perte","⚠️ Perte",IF(D376="Sortie Périmée","🔴 Périmé","✓ Validé"))))</f>
        <v/>
      </c>
    </row>
    <row r="377">
      <c r="A377" s="38" t="n"/>
      <c r="G377" s="8" t="n"/>
      <c r="H377" s="8">
        <f>IF(E377="","",E377*G377)</f>
        <v/>
      </c>
      <c r="J377" s="38" t="n"/>
      <c r="L377">
        <f>IF(D377="","",IF(OR(D377="Entrée Achat",D377="Entrée Retour"),K377+E377,K377-E377))</f>
        <v/>
      </c>
      <c r="P377">
        <f>IF(E377="","",IF(OR(D377="Entrée Achat",D377="Entrée Retour"),"✓ Validé",IF(D377="Sortie Perte","⚠️ Perte",IF(D377="Sortie Périmée","🔴 Périmé","✓ Validé"))))</f>
        <v/>
      </c>
    </row>
    <row r="378">
      <c r="A378" s="38" t="n"/>
      <c r="G378" s="8" t="n"/>
      <c r="H378" s="8">
        <f>IF(E378="","",E378*G378)</f>
        <v/>
      </c>
      <c r="J378" s="38" t="n"/>
      <c r="L378">
        <f>IF(D378="","",IF(OR(D378="Entrée Achat",D378="Entrée Retour"),K378+E378,K378-E378))</f>
        <v/>
      </c>
      <c r="P378">
        <f>IF(E378="","",IF(OR(D378="Entrée Achat",D378="Entrée Retour"),"✓ Validé",IF(D378="Sortie Perte","⚠️ Perte",IF(D378="Sortie Périmée","🔴 Périmé","✓ Validé"))))</f>
        <v/>
      </c>
    </row>
    <row r="379">
      <c r="A379" s="38" t="n"/>
      <c r="G379" s="8" t="n"/>
      <c r="H379" s="8">
        <f>IF(E379="","",E379*G379)</f>
        <v/>
      </c>
      <c r="J379" s="38" t="n"/>
      <c r="L379">
        <f>IF(D379="","",IF(OR(D379="Entrée Achat",D379="Entrée Retour"),K379+E379,K379-E379))</f>
        <v/>
      </c>
      <c r="P379">
        <f>IF(E379="","",IF(OR(D379="Entrée Achat",D379="Entrée Retour"),"✓ Validé",IF(D379="Sortie Perte","⚠️ Perte",IF(D379="Sortie Périmée","🔴 Périmé","✓ Validé"))))</f>
        <v/>
      </c>
    </row>
    <row r="380">
      <c r="A380" s="38" t="n"/>
      <c r="G380" s="8" t="n"/>
      <c r="H380" s="8">
        <f>IF(E380="","",E380*G380)</f>
        <v/>
      </c>
      <c r="J380" s="38" t="n"/>
      <c r="L380">
        <f>IF(D380="","",IF(OR(D380="Entrée Achat",D380="Entrée Retour"),K380+E380,K380-E380))</f>
        <v/>
      </c>
      <c r="P380">
        <f>IF(E380="","",IF(OR(D380="Entrée Achat",D380="Entrée Retour"),"✓ Validé",IF(D380="Sortie Perte","⚠️ Perte",IF(D380="Sortie Périmée","🔴 Périmé","✓ Validé"))))</f>
        <v/>
      </c>
    </row>
    <row r="381">
      <c r="A381" s="38" t="n"/>
      <c r="G381" s="8" t="n"/>
      <c r="H381" s="8">
        <f>IF(E381="","",E381*G381)</f>
        <v/>
      </c>
      <c r="J381" s="38" t="n"/>
      <c r="L381">
        <f>IF(D381="","",IF(OR(D381="Entrée Achat",D381="Entrée Retour"),K381+E381,K381-E381))</f>
        <v/>
      </c>
      <c r="P381">
        <f>IF(E381="","",IF(OR(D381="Entrée Achat",D381="Entrée Retour"),"✓ Validé",IF(D381="Sortie Perte","⚠️ Perte",IF(D381="Sortie Périmée","🔴 Périmé","✓ Validé"))))</f>
        <v/>
      </c>
    </row>
    <row r="382">
      <c r="A382" s="38" t="n"/>
      <c r="G382" s="8" t="n"/>
      <c r="H382" s="8">
        <f>IF(E382="","",E382*G382)</f>
        <v/>
      </c>
      <c r="J382" s="38" t="n"/>
      <c r="L382">
        <f>IF(D382="","",IF(OR(D382="Entrée Achat",D382="Entrée Retour"),K382+E382,K382-E382))</f>
        <v/>
      </c>
      <c r="P382">
        <f>IF(E382="","",IF(OR(D382="Entrée Achat",D382="Entrée Retour"),"✓ Validé",IF(D382="Sortie Perte","⚠️ Perte",IF(D382="Sortie Périmée","🔴 Périmé","✓ Validé"))))</f>
        <v/>
      </c>
    </row>
    <row r="383">
      <c r="A383" s="38" t="n"/>
      <c r="G383" s="8" t="n"/>
      <c r="H383" s="8">
        <f>IF(E383="","",E383*G383)</f>
        <v/>
      </c>
      <c r="J383" s="38" t="n"/>
      <c r="L383">
        <f>IF(D383="","",IF(OR(D383="Entrée Achat",D383="Entrée Retour"),K383+E383,K383-E383))</f>
        <v/>
      </c>
      <c r="P383">
        <f>IF(E383="","",IF(OR(D383="Entrée Achat",D383="Entrée Retour"),"✓ Validé",IF(D383="Sortie Perte","⚠️ Perte",IF(D383="Sortie Périmée","🔴 Périmé","✓ Validé"))))</f>
        <v/>
      </c>
    </row>
    <row r="384">
      <c r="A384" s="38" t="n"/>
      <c r="G384" s="8" t="n"/>
      <c r="H384" s="8">
        <f>IF(E384="","",E384*G384)</f>
        <v/>
      </c>
      <c r="J384" s="38" t="n"/>
      <c r="L384">
        <f>IF(D384="","",IF(OR(D384="Entrée Achat",D384="Entrée Retour"),K384+E384,K384-E384))</f>
        <v/>
      </c>
      <c r="P384">
        <f>IF(E384="","",IF(OR(D384="Entrée Achat",D384="Entrée Retour"),"✓ Validé",IF(D384="Sortie Perte","⚠️ Perte",IF(D384="Sortie Périmée","🔴 Périmé","✓ Validé"))))</f>
        <v/>
      </c>
    </row>
    <row r="385">
      <c r="A385" s="38" t="n"/>
      <c r="G385" s="8" t="n"/>
      <c r="H385" s="8">
        <f>IF(E385="","",E385*G385)</f>
        <v/>
      </c>
      <c r="J385" s="38" t="n"/>
      <c r="L385">
        <f>IF(D385="","",IF(OR(D385="Entrée Achat",D385="Entrée Retour"),K385+E385,K385-E385))</f>
        <v/>
      </c>
      <c r="P385">
        <f>IF(E385="","",IF(OR(D385="Entrée Achat",D385="Entrée Retour"),"✓ Validé",IF(D385="Sortie Perte","⚠️ Perte",IF(D385="Sortie Périmée","🔴 Périmé","✓ Validé"))))</f>
        <v/>
      </c>
    </row>
    <row r="386">
      <c r="A386" s="38" t="n"/>
      <c r="G386" s="8" t="n"/>
      <c r="H386" s="8">
        <f>IF(E386="","",E386*G386)</f>
        <v/>
      </c>
      <c r="J386" s="38" t="n"/>
      <c r="L386">
        <f>IF(D386="","",IF(OR(D386="Entrée Achat",D386="Entrée Retour"),K386+E386,K386-E386))</f>
        <v/>
      </c>
      <c r="P386">
        <f>IF(E386="","",IF(OR(D386="Entrée Achat",D386="Entrée Retour"),"✓ Validé",IF(D386="Sortie Perte","⚠️ Perte",IF(D386="Sortie Périmée","🔴 Périmé","✓ Validé"))))</f>
        <v/>
      </c>
    </row>
    <row r="387">
      <c r="A387" s="38" t="n"/>
      <c r="G387" s="8" t="n"/>
      <c r="H387" s="8">
        <f>IF(E387="","",E387*G387)</f>
        <v/>
      </c>
      <c r="J387" s="38" t="n"/>
      <c r="L387">
        <f>IF(D387="","",IF(OR(D387="Entrée Achat",D387="Entrée Retour"),K387+E387,K387-E387))</f>
        <v/>
      </c>
      <c r="P387">
        <f>IF(E387="","",IF(OR(D387="Entrée Achat",D387="Entrée Retour"),"✓ Validé",IF(D387="Sortie Perte","⚠️ Perte",IF(D387="Sortie Périmée","🔴 Périmé","✓ Validé"))))</f>
        <v/>
      </c>
    </row>
    <row r="388">
      <c r="A388" s="38" t="n"/>
      <c r="G388" s="8" t="n"/>
      <c r="H388" s="8">
        <f>IF(E388="","",E388*G388)</f>
        <v/>
      </c>
      <c r="J388" s="38" t="n"/>
      <c r="L388">
        <f>IF(D388="","",IF(OR(D388="Entrée Achat",D388="Entrée Retour"),K388+E388,K388-E388))</f>
        <v/>
      </c>
      <c r="P388">
        <f>IF(E388="","",IF(OR(D388="Entrée Achat",D388="Entrée Retour"),"✓ Validé",IF(D388="Sortie Perte","⚠️ Perte",IF(D388="Sortie Périmée","🔴 Périmé","✓ Validé"))))</f>
        <v/>
      </c>
    </row>
    <row r="389">
      <c r="A389" s="38" t="n"/>
      <c r="G389" s="8" t="n"/>
      <c r="H389" s="8">
        <f>IF(E389="","",E389*G389)</f>
        <v/>
      </c>
      <c r="J389" s="38" t="n"/>
      <c r="L389">
        <f>IF(D389="","",IF(OR(D389="Entrée Achat",D389="Entrée Retour"),K389+E389,K389-E389))</f>
        <v/>
      </c>
      <c r="P389">
        <f>IF(E389="","",IF(OR(D389="Entrée Achat",D389="Entrée Retour"),"✓ Validé",IF(D389="Sortie Perte","⚠️ Perte",IF(D389="Sortie Périmée","🔴 Périmé","✓ Validé"))))</f>
        <v/>
      </c>
    </row>
    <row r="390">
      <c r="A390" s="38" t="n"/>
      <c r="G390" s="8" t="n"/>
      <c r="H390" s="8">
        <f>IF(E390="","",E390*G390)</f>
        <v/>
      </c>
      <c r="J390" s="38" t="n"/>
      <c r="L390">
        <f>IF(D390="","",IF(OR(D390="Entrée Achat",D390="Entrée Retour"),K390+E390,K390-E390))</f>
        <v/>
      </c>
      <c r="P390">
        <f>IF(E390="","",IF(OR(D390="Entrée Achat",D390="Entrée Retour"),"✓ Validé",IF(D390="Sortie Perte","⚠️ Perte",IF(D390="Sortie Périmée","🔴 Périmé","✓ Validé"))))</f>
        <v/>
      </c>
    </row>
    <row r="391">
      <c r="A391" s="38" t="n"/>
      <c r="G391" s="8" t="n"/>
      <c r="H391" s="8">
        <f>IF(E391="","",E391*G391)</f>
        <v/>
      </c>
      <c r="J391" s="38" t="n"/>
      <c r="L391">
        <f>IF(D391="","",IF(OR(D391="Entrée Achat",D391="Entrée Retour"),K391+E391,K391-E391))</f>
        <v/>
      </c>
      <c r="P391">
        <f>IF(E391="","",IF(OR(D391="Entrée Achat",D391="Entrée Retour"),"✓ Validé",IF(D391="Sortie Perte","⚠️ Perte",IF(D391="Sortie Périmée","🔴 Périmé","✓ Validé"))))</f>
        <v/>
      </c>
    </row>
    <row r="392">
      <c r="A392" s="38" t="n"/>
      <c r="G392" s="8" t="n"/>
      <c r="H392" s="8">
        <f>IF(E392="","",E392*G392)</f>
        <v/>
      </c>
      <c r="J392" s="38" t="n"/>
      <c r="L392">
        <f>IF(D392="","",IF(OR(D392="Entrée Achat",D392="Entrée Retour"),K392+E392,K392-E392))</f>
        <v/>
      </c>
      <c r="P392">
        <f>IF(E392="","",IF(OR(D392="Entrée Achat",D392="Entrée Retour"),"✓ Validé",IF(D392="Sortie Perte","⚠️ Perte",IF(D392="Sortie Périmée","🔴 Périmé","✓ Validé"))))</f>
        <v/>
      </c>
    </row>
    <row r="393">
      <c r="A393" s="38" t="n"/>
      <c r="G393" s="8" t="n"/>
      <c r="H393" s="8">
        <f>IF(E393="","",E393*G393)</f>
        <v/>
      </c>
      <c r="J393" s="38" t="n"/>
      <c r="L393">
        <f>IF(D393="","",IF(OR(D393="Entrée Achat",D393="Entrée Retour"),K393+E393,K393-E393))</f>
        <v/>
      </c>
      <c r="P393">
        <f>IF(E393="","",IF(OR(D393="Entrée Achat",D393="Entrée Retour"),"✓ Validé",IF(D393="Sortie Perte","⚠️ Perte",IF(D393="Sortie Périmée","🔴 Périmé","✓ Validé"))))</f>
        <v/>
      </c>
    </row>
    <row r="394">
      <c r="A394" s="38" t="n"/>
      <c r="G394" s="8" t="n"/>
      <c r="H394" s="8">
        <f>IF(E394="","",E394*G394)</f>
        <v/>
      </c>
      <c r="J394" s="38" t="n"/>
      <c r="L394">
        <f>IF(D394="","",IF(OR(D394="Entrée Achat",D394="Entrée Retour"),K394+E394,K394-E394))</f>
        <v/>
      </c>
      <c r="P394">
        <f>IF(E394="","",IF(OR(D394="Entrée Achat",D394="Entrée Retour"),"✓ Validé",IF(D394="Sortie Perte","⚠️ Perte",IF(D394="Sortie Périmée","🔴 Périmé","✓ Validé"))))</f>
        <v/>
      </c>
    </row>
    <row r="395">
      <c r="A395" s="38" t="n"/>
      <c r="G395" s="8" t="n"/>
      <c r="H395" s="8">
        <f>IF(E395="","",E395*G395)</f>
        <v/>
      </c>
      <c r="J395" s="38" t="n"/>
      <c r="L395">
        <f>IF(D395="","",IF(OR(D395="Entrée Achat",D395="Entrée Retour"),K395+E395,K395-E395))</f>
        <v/>
      </c>
      <c r="P395">
        <f>IF(E395="","",IF(OR(D395="Entrée Achat",D395="Entrée Retour"),"✓ Validé",IF(D395="Sortie Perte","⚠️ Perte",IF(D395="Sortie Périmée","🔴 Périmé","✓ Validé"))))</f>
        <v/>
      </c>
    </row>
    <row r="396">
      <c r="A396" s="38" t="n"/>
      <c r="G396" s="8" t="n"/>
      <c r="H396" s="8">
        <f>IF(E396="","",E396*G396)</f>
        <v/>
      </c>
      <c r="J396" s="38" t="n"/>
      <c r="L396">
        <f>IF(D396="","",IF(OR(D396="Entrée Achat",D396="Entrée Retour"),K396+E396,K396-E396))</f>
        <v/>
      </c>
      <c r="P396">
        <f>IF(E396="","",IF(OR(D396="Entrée Achat",D396="Entrée Retour"),"✓ Validé",IF(D396="Sortie Perte","⚠️ Perte",IF(D396="Sortie Périmée","🔴 Périmé","✓ Validé"))))</f>
        <v/>
      </c>
    </row>
    <row r="397">
      <c r="A397" s="38" t="n"/>
      <c r="G397" s="8" t="n"/>
      <c r="H397" s="8">
        <f>IF(E397="","",E397*G397)</f>
        <v/>
      </c>
      <c r="J397" s="38" t="n"/>
      <c r="L397">
        <f>IF(D397="","",IF(OR(D397="Entrée Achat",D397="Entrée Retour"),K397+E397,K397-E397))</f>
        <v/>
      </c>
      <c r="P397">
        <f>IF(E397="","",IF(OR(D397="Entrée Achat",D397="Entrée Retour"),"✓ Validé",IF(D397="Sortie Perte","⚠️ Perte",IF(D397="Sortie Périmée","🔴 Périmé","✓ Validé"))))</f>
        <v/>
      </c>
    </row>
    <row r="398">
      <c r="A398" s="38" t="n"/>
      <c r="G398" s="8" t="n"/>
      <c r="H398" s="8">
        <f>IF(E398="","",E398*G398)</f>
        <v/>
      </c>
      <c r="J398" s="38" t="n"/>
      <c r="L398">
        <f>IF(D398="","",IF(OR(D398="Entrée Achat",D398="Entrée Retour"),K398+E398,K398-E398))</f>
        <v/>
      </c>
      <c r="P398">
        <f>IF(E398="","",IF(OR(D398="Entrée Achat",D398="Entrée Retour"),"✓ Validé",IF(D398="Sortie Perte","⚠️ Perte",IF(D398="Sortie Périmée","🔴 Périmé","✓ Validé"))))</f>
        <v/>
      </c>
    </row>
    <row r="399">
      <c r="A399" s="38" t="n"/>
      <c r="G399" s="8" t="n"/>
      <c r="H399" s="8">
        <f>IF(E399="","",E399*G399)</f>
        <v/>
      </c>
      <c r="J399" s="38" t="n"/>
      <c r="L399">
        <f>IF(D399="","",IF(OR(D399="Entrée Achat",D399="Entrée Retour"),K399+E399,K399-E399))</f>
        <v/>
      </c>
      <c r="P399">
        <f>IF(E399="","",IF(OR(D399="Entrée Achat",D399="Entrée Retour"),"✓ Validé",IF(D399="Sortie Perte","⚠️ Perte",IF(D399="Sortie Périmée","🔴 Périmé","✓ Validé"))))</f>
        <v/>
      </c>
    </row>
    <row r="400">
      <c r="A400" s="38" t="n"/>
      <c r="G400" s="8" t="n"/>
      <c r="H400" s="8">
        <f>IF(E400="","",E400*G400)</f>
        <v/>
      </c>
      <c r="J400" s="38" t="n"/>
      <c r="L400">
        <f>IF(D400="","",IF(OR(D400="Entrée Achat",D400="Entrée Retour"),K400+E400,K400-E400))</f>
        <v/>
      </c>
      <c r="P400">
        <f>IF(E400="","",IF(OR(D400="Entrée Achat",D400="Entrée Retour"),"✓ Validé",IF(D400="Sortie Perte","⚠️ Perte",IF(D400="Sortie Périmée","🔴 Périmé","✓ Validé"))))</f>
        <v/>
      </c>
    </row>
    <row r="401">
      <c r="A401" s="38" t="n"/>
      <c r="G401" s="8" t="n"/>
      <c r="H401" s="8">
        <f>IF(E401="","",E401*G401)</f>
        <v/>
      </c>
      <c r="J401" s="38" t="n"/>
      <c r="L401">
        <f>IF(D401="","",IF(OR(D401="Entrée Achat",D401="Entrée Retour"),K401+E401,K401-E401))</f>
        <v/>
      </c>
      <c r="P401">
        <f>IF(E401="","",IF(OR(D401="Entrée Achat",D401="Entrée Retour"),"✓ Validé",IF(D401="Sortie Perte","⚠️ Perte",IF(D401="Sortie Périmée","🔴 Périmé","✓ Validé"))))</f>
        <v/>
      </c>
    </row>
    <row r="402">
      <c r="A402" s="38" t="n"/>
      <c r="G402" s="8" t="n"/>
      <c r="H402" s="8">
        <f>IF(E402="","",E402*G402)</f>
        <v/>
      </c>
      <c r="J402" s="38" t="n"/>
      <c r="L402">
        <f>IF(D402="","",IF(OR(D402="Entrée Achat",D402="Entrée Retour"),K402+E402,K402-E402))</f>
        <v/>
      </c>
      <c r="P402">
        <f>IF(E402="","",IF(OR(D402="Entrée Achat",D402="Entrée Retour"),"✓ Validé",IF(D402="Sortie Perte","⚠️ Perte",IF(D402="Sortie Périmée","🔴 Périmé","✓ Validé"))))</f>
        <v/>
      </c>
    </row>
    <row r="403">
      <c r="A403" s="38" t="n"/>
      <c r="G403" s="8" t="n"/>
      <c r="H403" s="8">
        <f>IF(E403="","",E403*G403)</f>
        <v/>
      </c>
      <c r="J403" s="38" t="n"/>
      <c r="L403">
        <f>IF(D403="","",IF(OR(D403="Entrée Achat",D403="Entrée Retour"),K403+E403,K403-E403))</f>
        <v/>
      </c>
      <c r="P403">
        <f>IF(E403="","",IF(OR(D403="Entrée Achat",D403="Entrée Retour"),"✓ Validé",IF(D403="Sortie Perte","⚠️ Perte",IF(D403="Sortie Périmée","🔴 Périmé","✓ Validé"))))</f>
        <v/>
      </c>
    </row>
    <row r="404">
      <c r="A404" s="38" t="n"/>
      <c r="G404" s="8" t="n"/>
      <c r="H404" s="8">
        <f>IF(E404="","",E404*G404)</f>
        <v/>
      </c>
      <c r="J404" s="38" t="n"/>
      <c r="L404">
        <f>IF(D404="","",IF(OR(D404="Entrée Achat",D404="Entrée Retour"),K404+E404,K404-E404))</f>
        <v/>
      </c>
      <c r="P404">
        <f>IF(E404="","",IF(OR(D404="Entrée Achat",D404="Entrée Retour"),"✓ Validé",IF(D404="Sortie Perte","⚠️ Perte",IF(D404="Sortie Périmée","🔴 Périmé","✓ Validé"))))</f>
        <v/>
      </c>
    </row>
    <row r="405">
      <c r="A405" s="38" t="n"/>
      <c r="G405" s="8" t="n"/>
      <c r="H405" s="8">
        <f>IF(E405="","",E405*G405)</f>
        <v/>
      </c>
      <c r="J405" s="38" t="n"/>
      <c r="L405">
        <f>IF(D405="","",IF(OR(D405="Entrée Achat",D405="Entrée Retour"),K405+E405,K405-E405))</f>
        <v/>
      </c>
      <c r="P405">
        <f>IF(E405="","",IF(OR(D405="Entrée Achat",D405="Entrée Retour"),"✓ Validé",IF(D405="Sortie Perte","⚠️ Perte",IF(D405="Sortie Périmée","🔴 Périmé","✓ Validé"))))</f>
        <v/>
      </c>
    </row>
    <row r="406">
      <c r="A406" s="38" t="n"/>
      <c r="G406" s="8" t="n"/>
      <c r="H406" s="8">
        <f>IF(E406="","",E406*G406)</f>
        <v/>
      </c>
      <c r="J406" s="38" t="n"/>
      <c r="L406">
        <f>IF(D406="","",IF(OR(D406="Entrée Achat",D406="Entrée Retour"),K406+E406,K406-E406))</f>
        <v/>
      </c>
      <c r="P406">
        <f>IF(E406="","",IF(OR(D406="Entrée Achat",D406="Entrée Retour"),"✓ Validé",IF(D406="Sortie Perte","⚠️ Perte",IF(D406="Sortie Périmée","🔴 Périmé","✓ Validé"))))</f>
        <v/>
      </c>
    </row>
    <row r="407">
      <c r="A407" s="38" t="n"/>
      <c r="G407" s="8" t="n"/>
      <c r="H407" s="8">
        <f>IF(E407="","",E407*G407)</f>
        <v/>
      </c>
      <c r="J407" s="38" t="n"/>
      <c r="L407">
        <f>IF(D407="","",IF(OR(D407="Entrée Achat",D407="Entrée Retour"),K407+E407,K407-E407))</f>
        <v/>
      </c>
      <c r="P407">
        <f>IF(E407="","",IF(OR(D407="Entrée Achat",D407="Entrée Retour"),"✓ Validé",IF(D407="Sortie Perte","⚠️ Perte",IF(D407="Sortie Périmée","🔴 Périmé","✓ Validé"))))</f>
        <v/>
      </c>
    </row>
    <row r="408">
      <c r="A408" s="38" t="n"/>
      <c r="G408" s="8" t="n"/>
      <c r="H408" s="8">
        <f>IF(E408="","",E408*G408)</f>
        <v/>
      </c>
      <c r="J408" s="38" t="n"/>
      <c r="L408">
        <f>IF(D408="","",IF(OR(D408="Entrée Achat",D408="Entrée Retour"),K408+E408,K408-E408))</f>
        <v/>
      </c>
      <c r="P408">
        <f>IF(E408="","",IF(OR(D408="Entrée Achat",D408="Entrée Retour"),"✓ Validé",IF(D408="Sortie Perte","⚠️ Perte",IF(D408="Sortie Périmée","🔴 Périmé","✓ Validé"))))</f>
        <v/>
      </c>
    </row>
    <row r="409">
      <c r="A409" s="38" t="n"/>
      <c r="G409" s="8" t="n"/>
      <c r="H409" s="8">
        <f>IF(E409="","",E409*G409)</f>
        <v/>
      </c>
      <c r="J409" s="38" t="n"/>
      <c r="L409">
        <f>IF(D409="","",IF(OR(D409="Entrée Achat",D409="Entrée Retour"),K409+E409,K409-E409))</f>
        <v/>
      </c>
      <c r="P409">
        <f>IF(E409="","",IF(OR(D409="Entrée Achat",D409="Entrée Retour"),"✓ Validé",IF(D409="Sortie Perte","⚠️ Perte",IF(D409="Sortie Périmée","🔴 Périmé","✓ Validé"))))</f>
        <v/>
      </c>
    </row>
    <row r="410">
      <c r="A410" s="38" t="n"/>
      <c r="G410" s="8" t="n"/>
      <c r="H410" s="8">
        <f>IF(E410="","",E410*G410)</f>
        <v/>
      </c>
      <c r="J410" s="38" t="n"/>
      <c r="L410">
        <f>IF(D410="","",IF(OR(D410="Entrée Achat",D410="Entrée Retour"),K410+E410,K410-E410))</f>
        <v/>
      </c>
      <c r="P410">
        <f>IF(E410="","",IF(OR(D410="Entrée Achat",D410="Entrée Retour"),"✓ Validé",IF(D410="Sortie Perte","⚠️ Perte",IF(D410="Sortie Périmée","🔴 Périmé","✓ Validé"))))</f>
        <v/>
      </c>
    </row>
    <row r="411">
      <c r="A411" s="38" t="n"/>
      <c r="G411" s="8" t="n"/>
      <c r="H411" s="8">
        <f>IF(E411="","",E411*G411)</f>
        <v/>
      </c>
      <c r="J411" s="38" t="n"/>
      <c r="L411">
        <f>IF(D411="","",IF(OR(D411="Entrée Achat",D411="Entrée Retour"),K411+E411,K411-E411))</f>
        <v/>
      </c>
      <c r="P411">
        <f>IF(E411="","",IF(OR(D411="Entrée Achat",D411="Entrée Retour"),"✓ Validé",IF(D411="Sortie Perte","⚠️ Perte",IF(D411="Sortie Périmée","🔴 Périmé","✓ Validé"))))</f>
        <v/>
      </c>
    </row>
    <row r="412">
      <c r="A412" s="38" t="n"/>
      <c r="G412" s="8" t="n"/>
      <c r="H412" s="8">
        <f>IF(E412="","",E412*G412)</f>
        <v/>
      </c>
      <c r="J412" s="38" t="n"/>
      <c r="L412">
        <f>IF(D412="","",IF(OR(D412="Entrée Achat",D412="Entrée Retour"),K412+E412,K412-E412))</f>
        <v/>
      </c>
      <c r="P412">
        <f>IF(E412="","",IF(OR(D412="Entrée Achat",D412="Entrée Retour"),"✓ Validé",IF(D412="Sortie Perte","⚠️ Perte",IF(D412="Sortie Périmée","🔴 Périmé","✓ Validé"))))</f>
        <v/>
      </c>
    </row>
    <row r="413">
      <c r="A413" s="38" t="n"/>
      <c r="G413" s="8" t="n"/>
      <c r="H413" s="8">
        <f>IF(E413="","",E413*G413)</f>
        <v/>
      </c>
      <c r="J413" s="38" t="n"/>
      <c r="L413">
        <f>IF(D413="","",IF(OR(D413="Entrée Achat",D413="Entrée Retour"),K413+E413,K413-E413))</f>
        <v/>
      </c>
      <c r="P413">
        <f>IF(E413="","",IF(OR(D413="Entrée Achat",D413="Entrée Retour"),"✓ Validé",IF(D413="Sortie Perte","⚠️ Perte",IF(D413="Sortie Périmée","🔴 Périmé","✓ Validé"))))</f>
        <v/>
      </c>
    </row>
    <row r="414">
      <c r="A414" s="38" t="n"/>
      <c r="G414" s="8" t="n"/>
      <c r="H414" s="8">
        <f>IF(E414="","",E414*G414)</f>
        <v/>
      </c>
      <c r="J414" s="38" t="n"/>
      <c r="L414">
        <f>IF(D414="","",IF(OR(D414="Entrée Achat",D414="Entrée Retour"),K414+E414,K414-E414))</f>
        <v/>
      </c>
      <c r="P414">
        <f>IF(E414="","",IF(OR(D414="Entrée Achat",D414="Entrée Retour"),"✓ Validé",IF(D414="Sortie Perte","⚠️ Perte",IF(D414="Sortie Périmée","🔴 Périmé","✓ Validé"))))</f>
        <v/>
      </c>
    </row>
    <row r="415">
      <c r="A415" s="38" t="n"/>
      <c r="G415" s="8" t="n"/>
      <c r="H415" s="8">
        <f>IF(E415="","",E415*G415)</f>
        <v/>
      </c>
      <c r="J415" s="38" t="n"/>
      <c r="L415">
        <f>IF(D415="","",IF(OR(D415="Entrée Achat",D415="Entrée Retour"),K415+E415,K415-E415))</f>
        <v/>
      </c>
      <c r="P415">
        <f>IF(E415="","",IF(OR(D415="Entrée Achat",D415="Entrée Retour"),"✓ Validé",IF(D415="Sortie Perte","⚠️ Perte",IF(D415="Sortie Périmée","🔴 Périmé","✓ Validé"))))</f>
        <v/>
      </c>
    </row>
    <row r="416">
      <c r="A416" s="38" t="n"/>
      <c r="G416" s="8" t="n"/>
      <c r="H416" s="8">
        <f>IF(E416="","",E416*G416)</f>
        <v/>
      </c>
      <c r="J416" s="38" t="n"/>
      <c r="L416">
        <f>IF(D416="","",IF(OR(D416="Entrée Achat",D416="Entrée Retour"),K416+E416,K416-E416))</f>
        <v/>
      </c>
      <c r="P416">
        <f>IF(E416="","",IF(OR(D416="Entrée Achat",D416="Entrée Retour"),"✓ Validé",IF(D416="Sortie Perte","⚠️ Perte",IF(D416="Sortie Périmée","🔴 Périmé","✓ Validé"))))</f>
        <v/>
      </c>
    </row>
    <row r="417">
      <c r="A417" s="38" t="n"/>
      <c r="G417" s="8" t="n"/>
      <c r="H417" s="8">
        <f>IF(E417="","",E417*G417)</f>
        <v/>
      </c>
      <c r="J417" s="38" t="n"/>
      <c r="L417">
        <f>IF(D417="","",IF(OR(D417="Entrée Achat",D417="Entrée Retour"),K417+E417,K417-E417))</f>
        <v/>
      </c>
      <c r="P417">
        <f>IF(E417="","",IF(OR(D417="Entrée Achat",D417="Entrée Retour"),"✓ Validé",IF(D417="Sortie Perte","⚠️ Perte",IF(D417="Sortie Périmée","🔴 Périmé","✓ Validé"))))</f>
        <v/>
      </c>
    </row>
    <row r="418">
      <c r="A418" s="38" t="n"/>
      <c r="G418" s="8" t="n"/>
      <c r="H418" s="8">
        <f>IF(E418="","",E418*G418)</f>
        <v/>
      </c>
      <c r="J418" s="38" t="n"/>
      <c r="L418">
        <f>IF(D418="","",IF(OR(D418="Entrée Achat",D418="Entrée Retour"),K418+E418,K418-E418))</f>
        <v/>
      </c>
      <c r="P418">
        <f>IF(E418="","",IF(OR(D418="Entrée Achat",D418="Entrée Retour"),"✓ Validé",IF(D418="Sortie Perte","⚠️ Perte",IF(D418="Sortie Périmée","🔴 Périmé","✓ Validé"))))</f>
        <v/>
      </c>
    </row>
    <row r="419">
      <c r="A419" s="38" t="n"/>
      <c r="G419" s="8" t="n"/>
      <c r="H419" s="8">
        <f>IF(E419="","",E419*G419)</f>
        <v/>
      </c>
      <c r="J419" s="38" t="n"/>
      <c r="L419">
        <f>IF(D419="","",IF(OR(D419="Entrée Achat",D419="Entrée Retour"),K419+E419,K419-E419))</f>
        <v/>
      </c>
      <c r="P419">
        <f>IF(E419="","",IF(OR(D419="Entrée Achat",D419="Entrée Retour"),"✓ Validé",IF(D419="Sortie Perte","⚠️ Perte",IF(D419="Sortie Périmée","🔴 Périmé","✓ Validé"))))</f>
        <v/>
      </c>
    </row>
    <row r="420">
      <c r="A420" s="38" t="n"/>
      <c r="G420" s="8" t="n"/>
      <c r="H420" s="8">
        <f>IF(E420="","",E420*G420)</f>
        <v/>
      </c>
      <c r="J420" s="38" t="n"/>
      <c r="L420">
        <f>IF(D420="","",IF(OR(D420="Entrée Achat",D420="Entrée Retour"),K420+E420,K420-E420))</f>
        <v/>
      </c>
      <c r="P420">
        <f>IF(E420="","",IF(OR(D420="Entrée Achat",D420="Entrée Retour"),"✓ Validé",IF(D420="Sortie Perte","⚠️ Perte",IF(D420="Sortie Périmée","🔴 Périmé","✓ Validé"))))</f>
        <v/>
      </c>
    </row>
    <row r="421">
      <c r="A421" s="38" t="n"/>
      <c r="G421" s="8" t="n"/>
      <c r="H421" s="8">
        <f>IF(E421="","",E421*G421)</f>
        <v/>
      </c>
      <c r="J421" s="38" t="n"/>
      <c r="L421">
        <f>IF(D421="","",IF(OR(D421="Entrée Achat",D421="Entrée Retour"),K421+E421,K421-E421))</f>
        <v/>
      </c>
      <c r="P421">
        <f>IF(E421="","",IF(OR(D421="Entrée Achat",D421="Entrée Retour"),"✓ Validé",IF(D421="Sortie Perte","⚠️ Perte",IF(D421="Sortie Périmée","🔴 Périmé","✓ Validé"))))</f>
        <v/>
      </c>
    </row>
    <row r="422">
      <c r="A422" s="38" t="n"/>
      <c r="G422" s="8" t="n"/>
      <c r="H422" s="8">
        <f>IF(E422="","",E422*G422)</f>
        <v/>
      </c>
      <c r="J422" s="38" t="n"/>
      <c r="L422">
        <f>IF(D422="","",IF(OR(D422="Entrée Achat",D422="Entrée Retour"),K422+E422,K422-E422))</f>
        <v/>
      </c>
      <c r="P422">
        <f>IF(E422="","",IF(OR(D422="Entrée Achat",D422="Entrée Retour"),"✓ Validé",IF(D422="Sortie Perte","⚠️ Perte",IF(D422="Sortie Périmée","🔴 Périmé","✓ Validé"))))</f>
        <v/>
      </c>
    </row>
    <row r="423">
      <c r="A423" s="38" t="n"/>
      <c r="G423" s="8" t="n"/>
      <c r="H423" s="8">
        <f>IF(E423="","",E423*G423)</f>
        <v/>
      </c>
      <c r="J423" s="38" t="n"/>
      <c r="L423">
        <f>IF(D423="","",IF(OR(D423="Entrée Achat",D423="Entrée Retour"),K423+E423,K423-E423))</f>
        <v/>
      </c>
      <c r="P423">
        <f>IF(E423="","",IF(OR(D423="Entrée Achat",D423="Entrée Retour"),"✓ Validé",IF(D423="Sortie Perte","⚠️ Perte",IF(D423="Sortie Périmée","🔴 Périmé","✓ Validé"))))</f>
        <v/>
      </c>
    </row>
    <row r="424">
      <c r="A424" s="38" t="n"/>
      <c r="G424" s="8" t="n"/>
      <c r="H424" s="8">
        <f>IF(E424="","",E424*G424)</f>
        <v/>
      </c>
      <c r="J424" s="38" t="n"/>
      <c r="L424">
        <f>IF(D424="","",IF(OR(D424="Entrée Achat",D424="Entrée Retour"),K424+E424,K424-E424))</f>
        <v/>
      </c>
      <c r="P424">
        <f>IF(E424="","",IF(OR(D424="Entrée Achat",D424="Entrée Retour"),"✓ Validé",IF(D424="Sortie Perte","⚠️ Perte",IF(D424="Sortie Périmée","🔴 Périmé","✓ Validé"))))</f>
        <v/>
      </c>
    </row>
    <row r="425">
      <c r="A425" s="38" t="n"/>
      <c r="G425" s="8" t="n"/>
      <c r="H425" s="8">
        <f>IF(E425="","",E425*G425)</f>
        <v/>
      </c>
      <c r="J425" s="38" t="n"/>
      <c r="L425">
        <f>IF(D425="","",IF(OR(D425="Entrée Achat",D425="Entrée Retour"),K425+E425,K425-E425))</f>
        <v/>
      </c>
      <c r="P425">
        <f>IF(E425="","",IF(OR(D425="Entrée Achat",D425="Entrée Retour"),"✓ Validé",IF(D425="Sortie Perte","⚠️ Perte",IF(D425="Sortie Périmée","🔴 Périmé","✓ Validé"))))</f>
        <v/>
      </c>
    </row>
    <row r="426">
      <c r="A426" s="38" t="n"/>
      <c r="G426" s="8" t="n"/>
      <c r="H426" s="8">
        <f>IF(E426="","",E426*G426)</f>
        <v/>
      </c>
      <c r="J426" s="38" t="n"/>
      <c r="L426">
        <f>IF(D426="","",IF(OR(D426="Entrée Achat",D426="Entrée Retour"),K426+E426,K426-E426))</f>
        <v/>
      </c>
      <c r="P426">
        <f>IF(E426="","",IF(OR(D426="Entrée Achat",D426="Entrée Retour"),"✓ Validé",IF(D426="Sortie Perte","⚠️ Perte",IF(D426="Sortie Périmée","🔴 Périmé","✓ Validé"))))</f>
        <v/>
      </c>
    </row>
    <row r="427">
      <c r="A427" s="38" t="n"/>
      <c r="G427" s="8" t="n"/>
      <c r="H427" s="8">
        <f>IF(E427="","",E427*G427)</f>
        <v/>
      </c>
      <c r="J427" s="38" t="n"/>
      <c r="L427">
        <f>IF(D427="","",IF(OR(D427="Entrée Achat",D427="Entrée Retour"),K427+E427,K427-E427))</f>
        <v/>
      </c>
      <c r="P427">
        <f>IF(E427="","",IF(OR(D427="Entrée Achat",D427="Entrée Retour"),"✓ Validé",IF(D427="Sortie Perte","⚠️ Perte",IF(D427="Sortie Périmée","🔴 Périmé","✓ Validé"))))</f>
        <v/>
      </c>
    </row>
    <row r="428">
      <c r="A428" s="38" t="n"/>
      <c r="G428" s="8" t="n"/>
      <c r="H428" s="8">
        <f>IF(E428="","",E428*G428)</f>
        <v/>
      </c>
      <c r="J428" s="38" t="n"/>
      <c r="L428">
        <f>IF(D428="","",IF(OR(D428="Entrée Achat",D428="Entrée Retour"),K428+E428,K428-E428))</f>
        <v/>
      </c>
      <c r="P428">
        <f>IF(E428="","",IF(OR(D428="Entrée Achat",D428="Entrée Retour"),"✓ Validé",IF(D428="Sortie Perte","⚠️ Perte",IF(D428="Sortie Périmée","🔴 Périmé","✓ Validé"))))</f>
        <v/>
      </c>
    </row>
    <row r="429">
      <c r="A429" s="38" t="n"/>
      <c r="G429" s="8" t="n"/>
      <c r="H429" s="8">
        <f>IF(E429="","",E429*G429)</f>
        <v/>
      </c>
      <c r="J429" s="38" t="n"/>
      <c r="L429">
        <f>IF(D429="","",IF(OR(D429="Entrée Achat",D429="Entrée Retour"),K429+E429,K429-E429))</f>
        <v/>
      </c>
      <c r="P429">
        <f>IF(E429="","",IF(OR(D429="Entrée Achat",D429="Entrée Retour"),"✓ Validé",IF(D429="Sortie Perte","⚠️ Perte",IF(D429="Sortie Périmée","🔴 Périmé","✓ Validé"))))</f>
        <v/>
      </c>
    </row>
    <row r="430">
      <c r="A430" s="38" t="n"/>
      <c r="G430" s="8" t="n"/>
      <c r="H430" s="8">
        <f>IF(E430="","",E430*G430)</f>
        <v/>
      </c>
      <c r="J430" s="38" t="n"/>
      <c r="L430">
        <f>IF(D430="","",IF(OR(D430="Entrée Achat",D430="Entrée Retour"),K430+E430,K430-E430))</f>
        <v/>
      </c>
      <c r="P430">
        <f>IF(E430="","",IF(OR(D430="Entrée Achat",D430="Entrée Retour"),"✓ Validé",IF(D430="Sortie Perte","⚠️ Perte",IF(D430="Sortie Périmée","🔴 Périmé","✓ Validé"))))</f>
        <v/>
      </c>
    </row>
    <row r="431">
      <c r="A431" s="38" t="n"/>
      <c r="G431" s="8" t="n"/>
      <c r="H431" s="8">
        <f>IF(E431="","",E431*G431)</f>
        <v/>
      </c>
      <c r="J431" s="38" t="n"/>
      <c r="L431">
        <f>IF(D431="","",IF(OR(D431="Entrée Achat",D431="Entrée Retour"),K431+E431,K431-E431))</f>
        <v/>
      </c>
      <c r="P431">
        <f>IF(E431="","",IF(OR(D431="Entrée Achat",D431="Entrée Retour"),"✓ Validé",IF(D431="Sortie Perte","⚠️ Perte",IF(D431="Sortie Périmée","🔴 Périmé","✓ Validé"))))</f>
        <v/>
      </c>
    </row>
    <row r="432">
      <c r="A432" s="38" t="n"/>
      <c r="G432" s="8" t="n"/>
      <c r="H432" s="8">
        <f>IF(E432="","",E432*G432)</f>
        <v/>
      </c>
      <c r="J432" s="38" t="n"/>
      <c r="L432">
        <f>IF(D432="","",IF(OR(D432="Entrée Achat",D432="Entrée Retour"),K432+E432,K432-E432))</f>
        <v/>
      </c>
      <c r="P432">
        <f>IF(E432="","",IF(OR(D432="Entrée Achat",D432="Entrée Retour"),"✓ Validé",IF(D432="Sortie Perte","⚠️ Perte",IF(D432="Sortie Périmée","🔴 Périmé","✓ Validé"))))</f>
        <v/>
      </c>
    </row>
    <row r="433">
      <c r="A433" s="38" t="n"/>
      <c r="G433" s="8" t="n"/>
      <c r="H433" s="8">
        <f>IF(E433="","",E433*G433)</f>
        <v/>
      </c>
      <c r="J433" s="38" t="n"/>
      <c r="L433">
        <f>IF(D433="","",IF(OR(D433="Entrée Achat",D433="Entrée Retour"),K433+E433,K433-E433))</f>
        <v/>
      </c>
      <c r="P433">
        <f>IF(E433="","",IF(OR(D433="Entrée Achat",D433="Entrée Retour"),"✓ Validé",IF(D433="Sortie Perte","⚠️ Perte",IF(D433="Sortie Périmée","🔴 Périmé","✓ Validé"))))</f>
        <v/>
      </c>
    </row>
    <row r="434">
      <c r="A434" s="38" t="n"/>
      <c r="G434" s="8" t="n"/>
      <c r="H434" s="8">
        <f>IF(E434="","",E434*G434)</f>
        <v/>
      </c>
      <c r="J434" s="38" t="n"/>
      <c r="L434">
        <f>IF(D434="","",IF(OR(D434="Entrée Achat",D434="Entrée Retour"),K434+E434,K434-E434))</f>
        <v/>
      </c>
      <c r="P434">
        <f>IF(E434="","",IF(OR(D434="Entrée Achat",D434="Entrée Retour"),"✓ Validé",IF(D434="Sortie Perte","⚠️ Perte",IF(D434="Sortie Périmée","🔴 Périmé","✓ Validé"))))</f>
        <v/>
      </c>
    </row>
    <row r="435">
      <c r="A435" s="38" t="n"/>
      <c r="G435" s="8" t="n"/>
      <c r="H435" s="8">
        <f>IF(E435="","",E435*G435)</f>
        <v/>
      </c>
      <c r="J435" s="38" t="n"/>
      <c r="L435">
        <f>IF(D435="","",IF(OR(D435="Entrée Achat",D435="Entrée Retour"),K435+E435,K435-E435))</f>
        <v/>
      </c>
      <c r="P435">
        <f>IF(E435="","",IF(OR(D435="Entrée Achat",D435="Entrée Retour"),"✓ Validé",IF(D435="Sortie Perte","⚠️ Perte",IF(D435="Sortie Périmée","🔴 Périmé","✓ Validé"))))</f>
        <v/>
      </c>
    </row>
    <row r="436">
      <c r="A436" s="38" t="n"/>
      <c r="G436" s="8" t="n"/>
      <c r="H436" s="8">
        <f>IF(E436="","",E436*G436)</f>
        <v/>
      </c>
      <c r="J436" s="38" t="n"/>
      <c r="L436">
        <f>IF(D436="","",IF(OR(D436="Entrée Achat",D436="Entrée Retour"),K436+E436,K436-E436))</f>
        <v/>
      </c>
      <c r="P436">
        <f>IF(E436="","",IF(OR(D436="Entrée Achat",D436="Entrée Retour"),"✓ Validé",IF(D436="Sortie Perte","⚠️ Perte",IF(D436="Sortie Périmée","🔴 Périmé","✓ Validé"))))</f>
        <v/>
      </c>
    </row>
    <row r="437">
      <c r="A437" s="38" t="n"/>
      <c r="G437" s="8" t="n"/>
      <c r="H437" s="8">
        <f>IF(E437="","",E437*G437)</f>
        <v/>
      </c>
      <c r="J437" s="38" t="n"/>
      <c r="L437">
        <f>IF(D437="","",IF(OR(D437="Entrée Achat",D437="Entrée Retour"),K437+E437,K437-E437))</f>
        <v/>
      </c>
      <c r="P437">
        <f>IF(E437="","",IF(OR(D437="Entrée Achat",D437="Entrée Retour"),"✓ Validé",IF(D437="Sortie Perte","⚠️ Perte",IF(D437="Sortie Périmée","🔴 Périmé","✓ Validé"))))</f>
        <v/>
      </c>
    </row>
    <row r="438">
      <c r="A438" s="38" t="n"/>
      <c r="G438" s="8" t="n"/>
      <c r="H438" s="8">
        <f>IF(E438="","",E438*G438)</f>
        <v/>
      </c>
      <c r="J438" s="38" t="n"/>
      <c r="L438">
        <f>IF(D438="","",IF(OR(D438="Entrée Achat",D438="Entrée Retour"),K438+E438,K438-E438))</f>
        <v/>
      </c>
      <c r="P438">
        <f>IF(E438="","",IF(OR(D438="Entrée Achat",D438="Entrée Retour"),"✓ Validé",IF(D438="Sortie Perte","⚠️ Perte",IF(D438="Sortie Périmée","🔴 Périmé","✓ Validé"))))</f>
        <v/>
      </c>
    </row>
    <row r="439">
      <c r="A439" s="38" t="n"/>
      <c r="G439" s="8" t="n"/>
      <c r="H439" s="8">
        <f>IF(E439="","",E439*G439)</f>
        <v/>
      </c>
      <c r="J439" s="38" t="n"/>
      <c r="L439">
        <f>IF(D439="","",IF(OR(D439="Entrée Achat",D439="Entrée Retour"),K439+E439,K439-E439))</f>
        <v/>
      </c>
      <c r="P439">
        <f>IF(E439="","",IF(OR(D439="Entrée Achat",D439="Entrée Retour"),"✓ Validé",IF(D439="Sortie Perte","⚠️ Perte",IF(D439="Sortie Périmée","🔴 Périmé","✓ Validé"))))</f>
        <v/>
      </c>
    </row>
    <row r="440">
      <c r="A440" s="38" t="n"/>
      <c r="G440" s="8" t="n"/>
      <c r="H440" s="8">
        <f>IF(E440="","",E440*G440)</f>
        <v/>
      </c>
      <c r="J440" s="38" t="n"/>
      <c r="L440">
        <f>IF(D440="","",IF(OR(D440="Entrée Achat",D440="Entrée Retour"),K440+E440,K440-E440))</f>
        <v/>
      </c>
      <c r="P440">
        <f>IF(E440="","",IF(OR(D440="Entrée Achat",D440="Entrée Retour"),"✓ Validé",IF(D440="Sortie Perte","⚠️ Perte",IF(D440="Sortie Périmée","🔴 Périmé","✓ Validé"))))</f>
        <v/>
      </c>
    </row>
    <row r="441">
      <c r="A441" s="38" t="n"/>
      <c r="G441" s="8" t="n"/>
      <c r="H441" s="8">
        <f>IF(E441="","",E441*G441)</f>
        <v/>
      </c>
      <c r="J441" s="38" t="n"/>
      <c r="L441">
        <f>IF(D441="","",IF(OR(D441="Entrée Achat",D441="Entrée Retour"),K441+E441,K441-E441))</f>
        <v/>
      </c>
      <c r="P441">
        <f>IF(E441="","",IF(OR(D441="Entrée Achat",D441="Entrée Retour"),"✓ Validé",IF(D441="Sortie Perte","⚠️ Perte",IF(D441="Sortie Périmée","🔴 Périmé","✓ Validé"))))</f>
        <v/>
      </c>
    </row>
    <row r="442">
      <c r="A442" s="38" t="n"/>
      <c r="G442" s="8" t="n"/>
      <c r="H442" s="8">
        <f>IF(E442="","",E442*G442)</f>
        <v/>
      </c>
      <c r="J442" s="38" t="n"/>
      <c r="L442">
        <f>IF(D442="","",IF(OR(D442="Entrée Achat",D442="Entrée Retour"),K442+E442,K442-E442))</f>
        <v/>
      </c>
      <c r="P442">
        <f>IF(E442="","",IF(OR(D442="Entrée Achat",D442="Entrée Retour"),"✓ Validé",IF(D442="Sortie Perte","⚠️ Perte",IF(D442="Sortie Périmée","🔴 Périmé","✓ Validé"))))</f>
        <v/>
      </c>
    </row>
    <row r="443">
      <c r="A443" s="38" t="n"/>
      <c r="G443" s="8" t="n"/>
      <c r="H443" s="8">
        <f>IF(E443="","",E443*G443)</f>
        <v/>
      </c>
      <c r="J443" s="38" t="n"/>
      <c r="L443">
        <f>IF(D443="","",IF(OR(D443="Entrée Achat",D443="Entrée Retour"),K443+E443,K443-E443))</f>
        <v/>
      </c>
      <c r="P443">
        <f>IF(E443="","",IF(OR(D443="Entrée Achat",D443="Entrée Retour"),"✓ Validé",IF(D443="Sortie Perte","⚠️ Perte",IF(D443="Sortie Périmée","🔴 Périmé","✓ Validé"))))</f>
        <v/>
      </c>
    </row>
    <row r="444">
      <c r="A444" s="38" t="n"/>
      <c r="G444" s="8" t="n"/>
      <c r="H444" s="8">
        <f>IF(E444="","",E444*G444)</f>
        <v/>
      </c>
      <c r="J444" s="38" t="n"/>
      <c r="L444">
        <f>IF(D444="","",IF(OR(D444="Entrée Achat",D444="Entrée Retour"),K444+E444,K444-E444))</f>
        <v/>
      </c>
      <c r="P444">
        <f>IF(E444="","",IF(OR(D444="Entrée Achat",D444="Entrée Retour"),"✓ Validé",IF(D444="Sortie Perte","⚠️ Perte",IF(D444="Sortie Périmée","🔴 Périmé","✓ Validé"))))</f>
        <v/>
      </c>
    </row>
    <row r="445">
      <c r="A445" s="38" t="n"/>
      <c r="G445" s="8" t="n"/>
      <c r="H445" s="8">
        <f>IF(E445="","",E445*G445)</f>
        <v/>
      </c>
      <c r="J445" s="38" t="n"/>
      <c r="L445">
        <f>IF(D445="","",IF(OR(D445="Entrée Achat",D445="Entrée Retour"),K445+E445,K445-E445))</f>
        <v/>
      </c>
      <c r="P445">
        <f>IF(E445="","",IF(OR(D445="Entrée Achat",D445="Entrée Retour"),"✓ Validé",IF(D445="Sortie Perte","⚠️ Perte",IF(D445="Sortie Périmée","🔴 Périmé","✓ Validé"))))</f>
        <v/>
      </c>
    </row>
    <row r="446">
      <c r="A446" s="38" t="n"/>
      <c r="G446" s="8" t="n"/>
      <c r="H446" s="8">
        <f>IF(E446="","",E446*G446)</f>
        <v/>
      </c>
      <c r="J446" s="38" t="n"/>
      <c r="L446">
        <f>IF(D446="","",IF(OR(D446="Entrée Achat",D446="Entrée Retour"),K446+E446,K446-E446))</f>
        <v/>
      </c>
      <c r="P446">
        <f>IF(E446="","",IF(OR(D446="Entrée Achat",D446="Entrée Retour"),"✓ Validé",IF(D446="Sortie Perte","⚠️ Perte",IF(D446="Sortie Périmée","🔴 Périmé","✓ Validé"))))</f>
        <v/>
      </c>
    </row>
    <row r="447">
      <c r="A447" s="38" t="n"/>
      <c r="G447" s="8" t="n"/>
      <c r="H447" s="8">
        <f>IF(E447="","",E447*G447)</f>
        <v/>
      </c>
      <c r="J447" s="38" t="n"/>
      <c r="L447">
        <f>IF(D447="","",IF(OR(D447="Entrée Achat",D447="Entrée Retour"),K447+E447,K447-E447))</f>
        <v/>
      </c>
      <c r="P447">
        <f>IF(E447="","",IF(OR(D447="Entrée Achat",D447="Entrée Retour"),"✓ Validé",IF(D447="Sortie Perte","⚠️ Perte",IF(D447="Sortie Périmée","🔴 Périmé","✓ Validé"))))</f>
        <v/>
      </c>
    </row>
    <row r="448">
      <c r="A448" s="38" t="n"/>
      <c r="G448" s="8" t="n"/>
      <c r="H448" s="8">
        <f>IF(E448="","",E448*G448)</f>
        <v/>
      </c>
      <c r="J448" s="38" t="n"/>
      <c r="L448">
        <f>IF(D448="","",IF(OR(D448="Entrée Achat",D448="Entrée Retour"),K448+E448,K448-E448))</f>
        <v/>
      </c>
      <c r="P448">
        <f>IF(E448="","",IF(OR(D448="Entrée Achat",D448="Entrée Retour"),"✓ Validé",IF(D448="Sortie Perte","⚠️ Perte",IF(D448="Sortie Périmée","🔴 Périmé","✓ Validé"))))</f>
        <v/>
      </c>
    </row>
    <row r="449">
      <c r="A449" s="38" t="n"/>
      <c r="G449" s="8" t="n"/>
      <c r="H449" s="8">
        <f>IF(E449="","",E449*G449)</f>
        <v/>
      </c>
      <c r="J449" s="38" t="n"/>
      <c r="L449">
        <f>IF(D449="","",IF(OR(D449="Entrée Achat",D449="Entrée Retour"),K449+E449,K449-E449))</f>
        <v/>
      </c>
      <c r="P449">
        <f>IF(E449="","",IF(OR(D449="Entrée Achat",D449="Entrée Retour"),"✓ Validé",IF(D449="Sortie Perte","⚠️ Perte",IF(D449="Sortie Périmée","🔴 Périmé","✓ Validé"))))</f>
        <v/>
      </c>
    </row>
    <row r="450">
      <c r="A450" s="38" t="n"/>
      <c r="G450" s="8" t="n"/>
      <c r="H450" s="8">
        <f>IF(E450="","",E450*G450)</f>
        <v/>
      </c>
      <c r="J450" s="38" t="n"/>
      <c r="L450">
        <f>IF(D450="","",IF(OR(D450="Entrée Achat",D450="Entrée Retour"),K450+E450,K450-E450))</f>
        <v/>
      </c>
      <c r="P450">
        <f>IF(E450="","",IF(OR(D450="Entrée Achat",D450="Entrée Retour"),"✓ Validé",IF(D450="Sortie Perte","⚠️ Perte",IF(D450="Sortie Périmée","🔴 Périmé","✓ Validé"))))</f>
        <v/>
      </c>
    </row>
    <row r="451">
      <c r="A451" s="38" t="n"/>
      <c r="G451" s="8" t="n"/>
      <c r="H451" s="8">
        <f>IF(E451="","",E451*G451)</f>
        <v/>
      </c>
      <c r="J451" s="38" t="n"/>
      <c r="L451">
        <f>IF(D451="","",IF(OR(D451="Entrée Achat",D451="Entrée Retour"),K451+E451,K451-E451))</f>
        <v/>
      </c>
      <c r="P451">
        <f>IF(E451="","",IF(OR(D451="Entrée Achat",D451="Entrée Retour"),"✓ Validé",IF(D451="Sortie Perte","⚠️ Perte",IF(D451="Sortie Périmée","🔴 Périmé","✓ Validé"))))</f>
        <v/>
      </c>
    </row>
    <row r="452">
      <c r="A452" s="38" t="n"/>
      <c r="G452" s="8" t="n"/>
      <c r="H452" s="8">
        <f>IF(E452="","",E452*G452)</f>
        <v/>
      </c>
      <c r="J452" s="38" t="n"/>
      <c r="L452">
        <f>IF(D452="","",IF(OR(D452="Entrée Achat",D452="Entrée Retour"),K452+E452,K452-E452))</f>
        <v/>
      </c>
      <c r="P452">
        <f>IF(E452="","",IF(OR(D452="Entrée Achat",D452="Entrée Retour"),"✓ Validé",IF(D452="Sortie Perte","⚠️ Perte",IF(D452="Sortie Périmée","🔴 Périmé","✓ Validé"))))</f>
        <v/>
      </c>
    </row>
    <row r="453">
      <c r="A453" s="38" t="n"/>
      <c r="G453" s="8" t="n"/>
      <c r="H453" s="8">
        <f>IF(E453="","",E453*G453)</f>
        <v/>
      </c>
      <c r="J453" s="38" t="n"/>
      <c r="L453">
        <f>IF(D453="","",IF(OR(D453="Entrée Achat",D453="Entrée Retour"),K453+E453,K453-E453))</f>
        <v/>
      </c>
      <c r="P453">
        <f>IF(E453="","",IF(OR(D453="Entrée Achat",D453="Entrée Retour"),"✓ Validé",IF(D453="Sortie Perte","⚠️ Perte",IF(D453="Sortie Périmée","🔴 Périmé","✓ Validé"))))</f>
        <v/>
      </c>
    </row>
    <row r="454">
      <c r="A454" s="38" t="n"/>
      <c r="G454" s="8" t="n"/>
      <c r="H454" s="8">
        <f>IF(E454="","",E454*G454)</f>
        <v/>
      </c>
      <c r="J454" s="38" t="n"/>
      <c r="L454">
        <f>IF(D454="","",IF(OR(D454="Entrée Achat",D454="Entrée Retour"),K454+E454,K454-E454))</f>
        <v/>
      </c>
      <c r="P454">
        <f>IF(E454="","",IF(OR(D454="Entrée Achat",D454="Entrée Retour"),"✓ Validé",IF(D454="Sortie Perte","⚠️ Perte",IF(D454="Sortie Périmée","🔴 Périmé","✓ Validé"))))</f>
        <v/>
      </c>
    </row>
    <row r="455">
      <c r="A455" s="38" t="n"/>
      <c r="G455" s="8" t="n"/>
      <c r="H455" s="8">
        <f>IF(E455="","",E455*G455)</f>
        <v/>
      </c>
      <c r="J455" s="38" t="n"/>
      <c r="L455">
        <f>IF(D455="","",IF(OR(D455="Entrée Achat",D455="Entrée Retour"),K455+E455,K455-E455))</f>
        <v/>
      </c>
      <c r="P455">
        <f>IF(E455="","",IF(OR(D455="Entrée Achat",D455="Entrée Retour"),"✓ Validé",IF(D455="Sortie Perte","⚠️ Perte",IF(D455="Sortie Périmée","🔴 Périmé","✓ Validé"))))</f>
        <v/>
      </c>
    </row>
    <row r="456">
      <c r="A456" s="38" t="n"/>
      <c r="G456" s="8" t="n"/>
      <c r="H456" s="8">
        <f>IF(E456="","",E456*G456)</f>
        <v/>
      </c>
      <c r="J456" s="38" t="n"/>
      <c r="L456">
        <f>IF(D456="","",IF(OR(D456="Entrée Achat",D456="Entrée Retour"),K456+E456,K456-E456))</f>
        <v/>
      </c>
      <c r="P456">
        <f>IF(E456="","",IF(OR(D456="Entrée Achat",D456="Entrée Retour"),"✓ Validé",IF(D456="Sortie Perte","⚠️ Perte",IF(D456="Sortie Périmée","🔴 Périmé","✓ Validé"))))</f>
        <v/>
      </c>
    </row>
    <row r="457">
      <c r="A457" s="38" t="n"/>
      <c r="G457" s="8" t="n"/>
      <c r="H457" s="8">
        <f>IF(E457="","",E457*G457)</f>
        <v/>
      </c>
      <c r="J457" s="38" t="n"/>
      <c r="L457">
        <f>IF(D457="","",IF(OR(D457="Entrée Achat",D457="Entrée Retour"),K457+E457,K457-E457))</f>
        <v/>
      </c>
      <c r="P457">
        <f>IF(E457="","",IF(OR(D457="Entrée Achat",D457="Entrée Retour"),"✓ Validé",IF(D457="Sortie Perte","⚠️ Perte",IF(D457="Sortie Périmée","🔴 Périmé","✓ Validé"))))</f>
        <v/>
      </c>
    </row>
    <row r="458">
      <c r="A458" s="38" t="n"/>
      <c r="G458" s="8" t="n"/>
      <c r="H458" s="8">
        <f>IF(E458="","",E458*G458)</f>
        <v/>
      </c>
      <c r="J458" s="38" t="n"/>
      <c r="L458">
        <f>IF(D458="","",IF(OR(D458="Entrée Achat",D458="Entrée Retour"),K458+E458,K458-E458))</f>
        <v/>
      </c>
      <c r="P458">
        <f>IF(E458="","",IF(OR(D458="Entrée Achat",D458="Entrée Retour"),"✓ Validé",IF(D458="Sortie Perte","⚠️ Perte",IF(D458="Sortie Périmée","🔴 Périmé","✓ Validé"))))</f>
        <v/>
      </c>
    </row>
    <row r="459">
      <c r="A459" s="38" t="n"/>
      <c r="G459" s="8" t="n"/>
      <c r="H459" s="8">
        <f>IF(E459="","",E459*G459)</f>
        <v/>
      </c>
      <c r="J459" s="38" t="n"/>
      <c r="L459">
        <f>IF(D459="","",IF(OR(D459="Entrée Achat",D459="Entrée Retour"),K459+E459,K459-E459))</f>
        <v/>
      </c>
      <c r="P459">
        <f>IF(E459="","",IF(OR(D459="Entrée Achat",D459="Entrée Retour"),"✓ Validé",IF(D459="Sortie Perte","⚠️ Perte",IF(D459="Sortie Périmée","🔴 Périmé","✓ Validé"))))</f>
        <v/>
      </c>
    </row>
    <row r="460">
      <c r="A460" s="38" t="n"/>
      <c r="G460" s="8" t="n"/>
      <c r="H460" s="8">
        <f>IF(E460="","",E460*G460)</f>
        <v/>
      </c>
      <c r="J460" s="38" t="n"/>
      <c r="L460">
        <f>IF(D460="","",IF(OR(D460="Entrée Achat",D460="Entrée Retour"),K460+E460,K460-E460))</f>
        <v/>
      </c>
      <c r="P460">
        <f>IF(E460="","",IF(OR(D460="Entrée Achat",D460="Entrée Retour"),"✓ Validé",IF(D460="Sortie Perte","⚠️ Perte",IF(D460="Sortie Périmée","🔴 Périmé","✓ Validé"))))</f>
        <v/>
      </c>
    </row>
    <row r="461">
      <c r="A461" s="38" t="n"/>
      <c r="G461" s="8" t="n"/>
      <c r="H461" s="8">
        <f>IF(E461="","",E461*G461)</f>
        <v/>
      </c>
      <c r="J461" s="38" t="n"/>
      <c r="L461">
        <f>IF(D461="","",IF(OR(D461="Entrée Achat",D461="Entrée Retour"),K461+E461,K461-E461))</f>
        <v/>
      </c>
      <c r="P461">
        <f>IF(E461="","",IF(OR(D461="Entrée Achat",D461="Entrée Retour"),"✓ Validé",IF(D461="Sortie Perte","⚠️ Perte",IF(D461="Sortie Périmée","🔴 Périmé","✓ Validé"))))</f>
        <v/>
      </c>
    </row>
    <row r="462">
      <c r="A462" s="38" t="n"/>
      <c r="G462" s="8" t="n"/>
      <c r="H462" s="8">
        <f>IF(E462="","",E462*G462)</f>
        <v/>
      </c>
      <c r="J462" s="38" t="n"/>
      <c r="L462">
        <f>IF(D462="","",IF(OR(D462="Entrée Achat",D462="Entrée Retour"),K462+E462,K462-E462))</f>
        <v/>
      </c>
      <c r="P462">
        <f>IF(E462="","",IF(OR(D462="Entrée Achat",D462="Entrée Retour"),"✓ Validé",IF(D462="Sortie Perte","⚠️ Perte",IF(D462="Sortie Périmée","🔴 Périmé","✓ Validé"))))</f>
        <v/>
      </c>
    </row>
    <row r="463">
      <c r="A463" s="38" t="n"/>
      <c r="G463" s="8" t="n"/>
      <c r="H463" s="8">
        <f>IF(E463="","",E463*G463)</f>
        <v/>
      </c>
      <c r="J463" s="38" t="n"/>
      <c r="L463">
        <f>IF(D463="","",IF(OR(D463="Entrée Achat",D463="Entrée Retour"),K463+E463,K463-E463))</f>
        <v/>
      </c>
      <c r="P463">
        <f>IF(E463="","",IF(OR(D463="Entrée Achat",D463="Entrée Retour"),"✓ Validé",IF(D463="Sortie Perte","⚠️ Perte",IF(D463="Sortie Périmée","🔴 Périmé","✓ Validé"))))</f>
        <v/>
      </c>
    </row>
    <row r="464">
      <c r="A464" s="38" t="n"/>
      <c r="G464" s="8" t="n"/>
      <c r="H464" s="8">
        <f>IF(E464="","",E464*G464)</f>
        <v/>
      </c>
      <c r="J464" s="38" t="n"/>
      <c r="L464">
        <f>IF(D464="","",IF(OR(D464="Entrée Achat",D464="Entrée Retour"),K464+E464,K464-E464))</f>
        <v/>
      </c>
      <c r="P464">
        <f>IF(E464="","",IF(OR(D464="Entrée Achat",D464="Entrée Retour"),"✓ Validé",IF(D464="Sortie Perte","⚠️ Perte",IF(D464="Sortie Périmée","🔴 Périmé","✓ Validé"))))</f>
        <v/>
      </c>
    </row>
    <row r="465">
      <c r="A465" s="38" t="n"/>
      <c r="G465" s="8" t="n"/>
      <c r="H465" s="8">
        <f>IF(E465="","",E465*G465)</f>
        <v/>
      </c>
      <c r="J465" s="38" t="n"/>
      <c r="L465">
        <f>IF(D465="","",IF(OR(D465="Entrée Achat",D465="Entrée Retour"),K465+E465,K465-E465))</f>
        <v/>
      </c>
      <c r="P465">
        <f>IF(E465="","",IF(OR(D465="Entrée Achat",D465="Entrée Retour"),"✓ Validé",IF(D465="Sortie Perte","⚠️ Perte",IF(D465="Sortie Périmée","🔴 Périmé","✓ Validé"))))</f>
        <v/>
      </c>
    </row>
    <row r="466">
      <c r="A466" s="38" t="n"/>
      <c r="G466" s="8" t="n"/>
      <c r="H466" s="8">
        <f>IF(E466="","",E466*G466)</f>
        <v/>
      </c>
      <c r="J466" s="38" t="n"/>
      <c r="L466">
        <f>IF(D466="","",IF(OR(D466="Entrée Achat",D466="Entrée Retour"),K466+E466,K466-E466))</f>
        <v/>
      </c>
      <c r="P466">
        <f>IF(E466="","",IF(OR(D466="Entrée Achat",D466="Entrée Retour"),"✓ Validé",IF(D466="Sortie Perte","⚠️ Perte",IF(D466="Sortie Périmée","🔴 Périmé","✓ Validé"))))</f>
        <v/>
      </c>
    </row>
    <row r="467">
      <c r="A467" s="38" t="n"/>
      <c r="G467" s="8" t="n"/>
      <c r="H467" s="8">
        <f>IF(E467="","",E467*G467)</f>
        <v/>
      </c>
      <c r="J467" s="38" t="n"/>
      <c r="L467">
        <f>IF(D467="","",IF(OR(D467="Entrée Achat",D467="Entrée Retour"),K467+E467,K467-E467))</f>
        <v/>
      </c>
      <c r="P467">
        <f>IF(E467="","",IF(OR(D467="Entrée Achat",D467="Entrée Retour"),"✓ Validé",IF(D467="Sortie Perte","⚠️ Perte",IF(D467="Sortie Périmée","🔴 Périmé","✓ Validé"))))</f>
        <v/>
      </c>
    </row>
    <row r="468">
      <c r="A468" s="38" t="n"/>
      <c r="G468" s="8" t="n"/>
      <c r="H468" s="8">
        <f>IF(E468="","",E468*G468)</f>
        <v/>
      </c>
      <c r="J468" s="38" t="n"/>
      <c r="L468">
        <f>IF(D468="","",IF(OR(D468="Entrée Achat",D468="Entrée Retour"),K468+E468,K468-E468))</f>
        <v/>
      </c>
      <c r="P468">
        <f>IF(E468="","",IF(OR(D468="Entrée Achat",D468="Entrée Retour"),"✓ Validé",IF(D468="Sortie Perte","⚠️ Perte",IF(D468="Sortie Périmée","🔴 Périmé","✓ Validé"))))</f>
        <v/>
      </c>
    </row>
    <row r="469">
      <c r="A469" s="38" t="n"/>
      <c r="G469" s="8" t="n"/>
      <c r="H469" s="8">
        <f>IF(E469="","",E469*G469)</f>
        <v/>
      </c>
      <c r="J469" s="38" t="n"/>
      <c r="L469">
        <f>IF(D469="","",IF(OR(D469="Entrée Achat",D469="Entrée Retour"),K469+E469,K469-E469))</f>
        <v/>
      </c>
      <c r="P469">
        <f>IF(E469="","",IF(OR(D469="Entrée Achat",D469="Entrée Retour"),"✓ Validé",IF(D469="Sortie Perte","⚠️ Perte",IF(D469="Sortie Périmée","🔴 Périmé","✓ Validé"))))</f>
        <v/>
      </c>
    </row>
    <row r="470">
      <c r="A470" s="38" t="n"/>
      <c r="G470" s="8" t="n"/>
      <c r="H470" s="8">
        <f>IF(E470="","",E470*G470)</f>
        <v/>
      </c>
      <c r="J470" s="38" t="n"/>
      <c r="L470">
        <f>IF(D470="","",IF(OR(D470="Entrée Achat",D470="Entrée Retour"),K470+E470,K470-E470))</f>
        <v/>
      </c>
      <c r="P470">
        <f>IF(E470="","",IF(OR(D470="Entrée Achat",D470="Entrée Retour"),"✓ Validé",IF(D470="Sortie Perte","⚠️ Perte",IF(D470="Sortie Périmée","🔴 Périmé","✓ Validé"))))</f>
        <v/>
      </c>
    </row>
    <row r="471">
      <c r="A471" s="38" t="n"/>
      <c r="G471" s="8" t="n"/>
      <c r="H471" s="8">
        <f>IF(E471="","",E471*G471)</f>
        <v/>
      </c>
      <c r="J471" s="38" t="n"/>
      <c r="L471">
        <f>IF(D471="","",IF(OR(D471="Entrée Achat",D471="Entrée Retour"),K471+E471,K471-E471))</f>
        <v/>
      </c>
      <c r="P471">
        <f>IF(E471="","",IF(OR(D471="Entrée Achat",D471="Entrée Retour"),"✓ Validé",IF(D471="Sortie Perte","⚠️ Perte",IF(D471="Sortie Périmée","🔴 Périmé","✓ Validé"))))</f>
        <v/>
      </c>
    </row>
    <row r="472">
      <c r="A472" s="38" t="n"/>
      <c r="G472" s="8" t="n"/>
      <c r="H472" s="8">
        <f>IF(E472="","",E472*G472)</f>
        <v/>
      </c>
      <c r="J472" s="38" t="n"/>
      <c r="L472">
        <f>IF(D472="","",IF(OR(D472="Entrée Achat",D472="Entrée Retour"),K472+E472,K472-E472))</f>
        <v/>
      </c>
      <c r="P472">
        <f>IF(E472="","",IF(OR(D472="Entrée Achat",D472="Entrée Retour"),"✓ Validé",IF(D472="Sortie Perte","⚠️ Perte",IF(D472="Sortie Périmée","🔴 Périmé","✓ Validé"))))</f>
        <v/>
      </c>
    </row>
    <row r="473">
      <c r="A473" s="38" t="n"/>
      <c r="G473" s="8" t="n"/>
      <c r="H473" s="8">
        <f>IF(E473="","",E473*G473)</f>
        <v/>
      </c>
      <c r="J473" s="38" t="n"/>
      <c r="L473">
        <f>IF(D473="","",IF(OR(D473="Entrée Achat",D473="Entrée Retour"),K473+E473,K473-E473))</f>
        <v/>
      </c>
      <c r="P473">
        <f>IF(E473="","",IF(OR(D473="Entrée Achat",D473="Entrée Retour"),"✓ Validé",IF(D473="Sortie Perte","⚠️ Perte",IF(D473="Sortie Périmée","🔴 Périmé","✓ Validé"))))</f>
        <v/>
      </c>
    </row>
    <row r="474">
      <c r="A474" s="38" t="n"/>
      <c r="G474" s="8" t="n"/>
      <c r="H474" s="8">
        <f>IF(E474="","",E474*G474)</f>
        <v/>
      </c>
      <c r="J474" s="38" t="n"/>
      <c r="L474">
        <f>IF(D474="","",IF(OR(D474="Entrée Achat",D474="Entrée Retour"),K474+E474,K474-E474))</f>
        <v/>
      </c>
      <c r="P474">
        <f>IF(E474="","",IF(OR(D474="Entrée Achat",D474="Entrée Retour"),"✓ Validé",IF(D474="Sortie Perte","⚠️ Perte",IF(D474="Sortie Périmée","🔴 Périmé","✓ Validé"))))</f>
        <v/>
      </c>
    </row>
    <row r="475">
      <c r="A475" s="38" t="n"/>
      <c r="G475" s="8" t="n"/>
      <c r="H475" s="8">
        <f>IF(E475="","",E475*G475)</f>
        <v/>
      </c>
      <c r="J475" s="38" t="n"/>
      <c r="L475">
        <f>IF(D475="","",IF(OR(D475="Entrée Achat",D475="Entrée Retour"),K475+E475,K475-E475))</f>
        <v/>
      </c>
      <c r="P475">
        <f>IF(E475="","",IF(OR(D475="Entrée Achat",D475="Entrée Retour"),"✓ Validé",IF(D475="Sortie Perte","⚠️ Perte",IF(D475="Sortie Périmée","🔴 Périmé","✓ Validé"))))</f>
        <v/>
      </c>
    </row>
    <row r="476">
      <c r="A476" s="38" t="n"/>
      <c r="G476" s="8" t="n"/>
      <c r="H476" s="8">
        <f>IF(E476="","",E476*G476)</f>
        <v/>
      </c>
      <c r="J476" s="38" t="n"/>
      <c r="L476">
        <f>IF(D476="","",IF(OR(D476="Entrée Achat",D476="Entrée Retour"),K476+E476,K476-E476))</f>
        <v/>
      </c>
      <c r="P476">
        <f>IF(E476="","",IF(OR(D476="Entrée Achat",D476="Entrée Retour"),"✓ Validé",IF(D476="Sortie Perte","⚠️ Perte",IF(D476="Sortie Périmée","🔴 Périmé","✓ Validé"))))</f>
        <v/>
      </c>
    </row>
    <row r="477">
      <c r="A477" s="38" t="n"/>
      <c r="G477" s="8" t="n"/>
      <c r="H477" s="8">
        <f>IF(E477="","",E477*G477)</f>
        <v/>
      </c>
      <c r="J477" s="38" t="n"/>
      <c r="L477">
        <f>IF(D477="","",IF(OR(D477="Entrée Achat",D477="Entrée Retour"),K477+E477,K477-E477))</f>
        <v/>
      </c>
      <c r="P477">
        <f>IF(E477="","",IF(OR(D477="Entrée Achat",D477="Entrée Retour"),"✓ Validé",IF(D477="Sortie Perte","⚠️ Perte",IF(D477="Sortie Périmée","🔴 Périmé","✓ Validé"))))</f>
        <v/>
      </c>
    </row>
    <row r="478">
      <c r="A478" s="38" t="n"/>
      <c r="G478" s="8" t="n"/>
      <c r="H478" s="8">
        <f>IF(E478="","",E478*G478)</f>
        <v/>
      </c>
      <c r="J478" s="38" t="n"/>
      <c r="L478">
        <f>IF(D478="","",IF(OR(D478="Entrée Achat",D478="Entrée Retour"),K478+E478,K478-E478))</f>
        <v/>
      </c>
      <c r="P478">
        <f>IF(E478="","",IF(OR(D478="Entrée Achat",D478="Entrée Retour"),"✓ Validé",IF(D478="Sortie Perte","⚠️ Perte",IF(D478="Sortie Périmée","🔴 Périmé","✓ Validé"))))</f>
        <v/>
      </c>
    </row>
    <row r="479">
      <c r="A479" s="38" t="n"/>
      <c r="G479" s="8" t="n"/>
      <c r="H479" s="8">
        <f>IF(E479="","",E479*G479)</f>
        <v/>
      </c>
      <c r="J479" s="38" t="n"/>
      <c r="L479">
        <f>IF(D479="","",IF(OR(D479="Entrée Achat",D479="Entrée Retour"),K479+E479,K479-E479))</f>
        <v/>
      </c>
      <c r="P479">
        <f>IF(E479="","",IF(OR(D479="Entrée Achat",D479="Entrée Retour"),"✓ Validé",IF(D479="Sortie Perte","⚠️ Perte",IF(D479="Sortie Périmée","🔴 Périmé","✓ Validé"))))</f>
        <v/>
      </c>
    </row>
    <row r="480">
      <c r="A480" s="38" t="n"/>
      <c r="G480" s="8" t="n"/>
      <c r="H480" s="8">
        <f>IF(E480="","",E480*G480)</f>
        <v/>
      </c>
      <c r="J480" s="38" t="n"/>
      <c r="L480">
        <f>IF(D480="","",IF(OR(D480="Entrée Achat",D480="Entrée Retour"),K480+E480,K480-E480))</f>
        <v/>
      </c>
      <c r="P480">
        <f>IF(E480="","",IF(OR(D480="Entrée Achat",D480="Entrée Retour"),"✓ Validé",IF(D480="Sortie Perte","⚠️ Perte",IF(D480="Sortie Périmée","🔴 Périmé","✓ Validé"))))</f>
        <v/>
      </c>
    </row>
    <row r="481">
      <c r="A481" s="38" t="n"/>
      <c r="G481" s="8" t="n"/>
      <c r="H481" s="8">
        <f>IF(E481="","",E481*G481)</f>
        <v/>
      </c>
      <c r="J481" s="38" t="n"/>
      <c r="L481">
        <f>IF(D481="","",IF(OR(D481="Entrée Achat",D481="Entrée Retour"),K481+E481,K481-E481))</f>
        <v/>
      </c>
      <c r="P481">
        <f>IF(E481="","",IF(OR(D481="Entrée Achat",D481="Entrée Retour"),"✓ Validé",IF(D481="Sortie Perte","⚠️ Perte",IF(D481="Sortie Périmée","🔴 Périmé","✓ Validé"))))</f>
        <v/>
      </c>
    </row>
    <row r="482">
      <c r="A482" s="38" t="n"/>
      <c r="G482" s="8" t="n"/>
      <c r="H482" s="8">
        <f>IF(E482="","",E482*G482)</f>
        <v/>
      </c>
      <c r="J482" s="38" t="n"/>
      <c r="L482">
        <f>IF(D482="","",IF(OR(D482="Entrée Achat",D482="Entrée Retour"),K482+E482,K482-E482))</f>
        <v/>
      </c>
      <c r="P482">
        <f>IF(E482="","",IF(OR(D482="Entrée Achat",D482="Entrée Retour"),"✓ Validé",IF(D482="Sortie Perte","⚠️ Perte",IF(D482="Sortie Périmée","🔴 Périmé","✓ Validé"))))</f>
        <v/>
      </c>
    </row>
    <row r="483">
      <c r="A483" s="38" t="n"/>
      <c r="G483" s="8" t="n"/>
      <c r="H483" s="8">
        <f>IF(E483="","",E483*G483)</f>
        <v/>
      </c>
      <c r="J483" s="38" t="n"/>
      <c r="L483">
        <f>IF(D483="","",IF(OR(D483="Entrée Achat",D483="Entrée Retour"),K483+E483,K483-E483))</f>
        <v/>
      </c>
      <c r="P483">
        <f>IF(E483="","",IF(OR(D483="Entrée Achat",D483="Entrée Retour"),"✓ Validé",IF(D483="Sortie Perte","⚠️ Perte",IF(D483="Sortie Périmée","🔴 Périmé","✓ Validé"))))</f>
        <v/>
      </c>
    </row>
    <row r="484">
      <c r="A484" s="38" t="n"/>
      <c r="G484" s="8" t="n"/>
      <c r="H484" s="8">
        <f>IF(E484="","",E484*G484)</f>
        <v/>
      </c>
      <c r="J484" s="38" t="n"/>
      <c r="L484">
        <f>IF(D484="","",IF(OR(D484="Entrée Achat",D484="Entrée Retour"),K484+E484,K484-E484))</f>
        <v/>
      </c>
      <c r="P484">
        <f>IF(E484="","",IF(OR(D484="Entrée Achat",D484="Entrée Retour"),"✓ Validé",IF(D484="Sortie Perte","⚠️ Perte",IF(D484="Sortie Périmée","🔴 Périmé","✓ Validé"))))</f>
        <v/>
      </c>
    </row>
    <row r="485">
      <c r="A485" s="38" t="n"/>
      <c r="G485" s="8" t="n"/>
      <c r="H485" s="8">
        <f>IF(E485="","",E485*G485)</f>
        <v/>
      </c>
      <c r="J485" s="38" t="n"/>
      <c r="L485">
        <f>IF(D485="","",IF(OR(D485="Entrée Achat",D485="Entrée Retour"),K485+E485,K485-E485))</f>
        <v/>
      </c>
      <c r="P485">
        <f>IF(E485="","",IF(OR(D485="Entrée Achat",D485="Entrée Retour"),"✓ Validé",IF(D485="Sortie Perte","⚠️ Perte",IF(D485="Sortie Périmée","🔴 Périmé","✓ Validé"))))</f>
        <v/>
      </c>
    </row>
    <row r="486">
      <c r="A486" s="38" t="n"/>
      <c r="G486" s="8" t="n"/>
      <c r="H486" s="8">
        <f>IF(E486="","",E486*G486)</f>
        <v/>
      </c>
      <c r="J486" s="38" t="n"/>
      <c r="L486">
        <f>IF(D486="","",IF(OR(D486="Entrée Achat",D486="Entrée Retour"),K486+E486,K486-E486))</f>
        <v/>
      </c>
      <c r="P486">
        <f>IF(E486="","",IF(OR(D486="Entrée Achat",D486="Entrée Retour"),"✓ Validé",IF(D486="Sortie Perte","⚠️ Perte",IF(D486="Sortie Périmée","🔴 Périmé","✓ Validé"))))</f>
        <v/>
      </c>
    </row>
    <row r="487">
      <c r="A487" s="38" t="n"/>
      <c r="G487" s="8" t="n"/>
      <c r="H487" s="8">
        <f>IF(E487="","",E487*G487)</f>
        <v/>
      </c>
      <c r="J487" s="38" t="n"/>
      <c r="L487">
        <f>IF(D487="","",IF(OR(D487="Entrée Achat",D487="Entrée Retour"),K487+E487,K487-E487))</f>
        <v/>
      </c>
      <c r="P487">
        <f>IF(E487="","",IF(OR(D487="Entrée Achat",D487="Entrée Retour"),"✓ Validé",IF(D487="Sortie Perte","⚠️ Perte",IF(D487="Sortie Périmée","🔴 Périmé","✓ Validé"))))</f>
        <v/>
      </c>
    </row>
    <row r="488">
      <c r="A488" s="38" t="n"/>
      <c r="G488" s="8" t="n"/>
      <c r="H488" s="8">
        <f>IF(E488="","",E488*G488)</f>
        <v/>
      </c>
      <c r="J488" s="38" t="n"/>
      <c r="L488">
        <f>IF(D488="","",IF(OR(D488="Entrée Achat",D488="Entrée Retour"),K488+E488,K488-E488))</f>
        <v/>
      </c>
      <c r="P488">
        <f>IF(E488="","",IF(OR(D488="Entrée Achat",D488="Entrée Retour"),"✓ Validé",IF(D488="Sortie Perte","⚠️ Perte",IF(D488="Sortie Périmée","🔴 Périmé","✓ Validé"))))</f>
        <v/>
      </c>
    </row>
    <row r="489">
      <c r="A489" s="38" t="n"/>
      <c r="G489" s="8" t="n"/>
      <c r="H489" s="8">
        <f>IF(E489="","",E489*G489)</f>
        <v/>
      </c>
      <c r="J489" s="38" t="n"/>
      <c r="L489">
        <f>IF(D489="","",IF(OR(D489="Entrée Achat",D489="Entrée Retour"),K489+E489,K489-E489))</f>
        <v/>
      </c>
      <c r="P489">
        <f>IF(E489="","",IF(OR(D489="Entrée Achat",D489="Entrée Retour"),"✓ Validé",IF(D489="Sortie Perte","⚠️ Perte",IF(D489="Sortie Périmée","🔴 Périmé","✓ Validé"))))</f>
        <v/>
      </c>
    </row>
    <row r="490">
      <c r="A490" s="38" t="n"/>
      <c r="G490" s="8" t="n"/>
      <c r="H490" s="8">
        <f>IF(E490="","",E490*G490)</f>
        <v/>
      </c>
      <c r="J490" s="38" t="n"/>
      <c r="L490">
        <f>IF(D490="","",IF(OR(D490="Entrée Achat",D490="Entrée Retour"),K490+E490,K490-E490))</f>
        <v/>
      </c>
      <c r="P490">
        <f>IF(E490="","",IF(OR(D490="Entrée Achat",D490="Entrée Retour"),"✓ Validé",IF(D490="Sortie Perte","⚠️ Perte",IF(D490="Sortie Périmée","🔴 Périmé","✓ Validé"))))</f>
        <v/>
      </c>
    </row>
    <row r="491">
      <c r="A491" s="38" t="n"/>
      <c r="G491" s="8" t="n"/>
      <c r="H491" s="8">
        <f>IF(E491="","",E491*G491)</f>
        <v/>
      </c>
      <c r="J491" s="38" t="n"/>
      <c r="L491">
        <f>IF(D491="","",IF(OR(D491="Entrée Achat",D491="Entrée Retour"),K491+E491,K491-E491))</f>
        <v/>
      </c>
      <c r="P491">
        <f>IF(E491="","",IF(OR(D491="Entrée Achat",D491="Entrée Retour"),"✓ Validé",IF(D491="Sortie Perte","⚠️ Perte",IF(D491="Sortie Périmée","🔴 Périmé","✓ Validé"))))</f>
        <v/>
      </c>
    </row>
    <row r="492">
      <c r="A492" s="38" t="n"/>
      <c r="G492" s="8" t="n"/>
      <c r="H492" s="8">
        <f>IF(E492="","",E492*G492)</f>
        <v/>
      </c>
      <c r="J492" s="38" t="n"/>
      <c r="L492">
        <f>IF(D492="","",IF(OR(D492="Entrée Achat",D492="Entrée Retour"),K492+E492,K492-E492))</f>
        <v/>
      </c>
      <c r="P492">
        <f>IF(E492="","",IF(OR(D492="Entrée Achat",D492="Entrée Retour"),"✓ Validé",IF(D492="Sortie Perte","⚠️ Perte",IF(D492="Sortie Périmée","🔴 Périmé","✓ Validé"))))</f>
        <v/>
      </c>
    </row>
    <row r="493">
      <c r="A493" s="38" t="n"/>
      <c r="G493" s="8" t="n"/>
      <c r="H493" s="8">
        <f>IF(E493="","",E493*G493)</f>
        <v/>
      </c>
      <c r="J493" s="38" t="n"/>
      <c r="L493">
        <f>IF(D493="","",IF(OR(D493="Entrée Achat",D493="Entrée Retour"),K493+E493,K493-E493))</f>
        <v/>
      </c>
      <c r="P493">
        <f>IF(E493="","",IF(OR(D493="Entrée Achat",D493="Entrée Retour"),"✓ Validé",IF(D493="Sortie Perte","⚠️ Perte",IF(D493="Sortie Périmée","🔴 Périmé","✓ Validé"))))</f>
        <v/>
      </c>
    </row>
    <row r="494">
      <c r="A494" s="38" t="n"/>
      <c r="G494" s="8" t="n"/>
      <c r="H494" s="8">
        <f>IF(E494="","",E494*G494)</f>
        <v/>
      </c>
      <c r="J494" s="38" t="n"/>
      <c r="L494">
        <f>IF(D494="","",IF(OR(D494="Entrée Achat",D494="Entrée Retour"),K494+E494,K494-E494))</f>
        <v/>
      </c>
      <c r="P494">
        <f>IF(E494="","",IF(OR(D494="Entrée Achat",D494="Entrée Retour"),"✓ Validé",IF(D494="Sortie Perte","⚠️ Perte",IF(D494="Sortie Périmée","🔴 Périmé","✓ Validé"))))</f>
        <v/>
      </c>
    </row>
    <row r="495">
      <c r="A495" s="38" t="n"/>
      <c r="G495" s="8" t="n"/>
      <c r="H495" s="8">
        <f>IF(E495="","",E495*G495)</f>
        <v/>
      </c>
      <c r="J495" s="38" t="n"/>
      <c r="L495">
        <f>IF(D495="","",IF(OR(D495="Entrée Achat",D495="Entrée Retour"),K495+E495,K495-E495))</f>
        <v/>
      </c>
      <c r="P495">
        <f>IF(E495="","",IF(OR(D495="Entrée Achat",D495="Entrée Retour"),"✓ Validé",IF(D495="Sortie Perte","⚠️ Perte",IF(D495="Sortie Périmée","🔴 Périmé","✓ Validé"))))</f>
        <v/>
      </c>
    </row>
    <row r="496">
      <c r="A496" s="38" t="n"/>
      <c r="G496" s="8" t="n"/>
      <c r="H496" s="8">
        <f>IF(E496="","",E496*G496)</f>
        <v/>
      </c>
      <c r="J496" s="38" t="n"/>
      <c r="L496">
        <f>IF(D496="","",IF(OR(D496="Entrée Achat",D496="Entrée Retour"),K496+E496,K496-E496))</f>
        <v/>
      </c>
      <c r="P496">
        <f>IF(E496="","",IF(OR(D496="Entrée Achat",D496="Entrée Retour"),"✓ Validé",IF(D496="Sortie Perte","⚠️ Perte",IF(D496="Sortie Périmée","🔴 Périmé","✓ Validé"))))</f>
        <v/>
      </c>
    </row>
    <row r="497">
      <c r="A497" s="38" t="n"/>
      <c r="G497" s="8" t="n"/>
      <c r="H497" s="8">
        <f>IF(E497="","",E497*G497)</f>
        <v/>
      </c>
      <c r="J497" s="38" t="n"/>
      <c r="L497">
        <f>IF(D497="","",IF(OR(D497="Entrée Achat",D497="Entrée Retour"),K497+E497,K497-E497))</f>
        <v/>
      </c>
      <c r="P497">
        <f>IF(E497="","",IF(OR(D497="Entrée Achat",D497="Entrée Retour"),"✓ Validé",IF(D497="Sortie Perte","⚠️ Perte",IF(D497="Sortie Périmée","🔴 Périmé","✓ Validé"))))</f>
        <v/>
      </c>
    </row>
    <row r="498">
      <c r="A498" s="38" t="n"/>
      <c r="G498" s="8" t="n"/>
      <c r="H498" s="8">
        <f>IF(E498="","",E498*G498)</f>
        <v/>
      </c>
      <c r="J498" s="38" t="n"/>
      <c r="L498">
        <f>IF(D498="","",IF(OR(D498="Entrée Achat",D498="Entrée Retour"),K498+E498,K498-E498))</f>
        <v/>
      </c>
      <c r="P498">
        <f>IF(E498="","",IF(OR(D498="Entrée Achat",D498="Entrée Retour"),"✓ Validé",IF(D498="Sortie Perte","⚠️ Perte",IF(D498="Sortie Périmée","🔴 Périmé","✓ Validé"))))</f>
        <v/>
      </c>
    </row>
    <row r="499">
      <c r="A499" s="38" t="n"/>
      <c r="G499" s="8" t="n"/>
      <c r="H499" s="8">
        <f>IF(E499="","",E499*G499)</f>
        <v/>
      </c>
      <c r="J499" s="38" t="n"/>
      <c r="L499">
        <f>IF(D499="","",IF(OR(D499="Entrée Achat",D499="Entrée Retour"),K499+E499,K499-E499))</f>
        <v/>
      </c>
      <c r="P499">
        <f>IF(E499="","",IF(OR(D499="Entrée Achat",D499="Entrée Retour"),"✓ Validé",IF(D499="Sortie Perte","⚠️ Perte",IF(D499="Sortie Périmée","🔴 Périmé","✓ Validé"))))</f>
        <v/>
      </c>
    </row>
    <row r="500">
      <c r="A500" s="38" t="n"/>
      <c r="G500" s="8" t="n"/>
      <c r="H500" s="8">
        <f>IF(E500="","",E500*G500)</f>
        <v/>
      </c>
      <c r="J500" s="38" t="n"/>
      <c r="L500">
        <f>IF(D500="","",IF(OR(D500="Entrée Achat",D500="Entrée Retour"),K500+E500,K500-E500))</f>
        <v/>
      </c>
      <c r="P500">
        <f>IF(E500="","",IF(OR(D500="Entrée Achat",D500="Entrée Retour"),"✓ Validé",IF(D500="Sortie Perte","⚠️ Perte",IF(D500="Sortie Périmée","🔴 Périmé","✓ Validé"))))</f>
        <v/>
      </c>
    </row>
    <row r="501">
      <c r="A501" s="38" t="n"/>
      <c r="G501" s="8" t="n"/>
      <c r="H501" s="8">
        <f>IF(E501="","",E501*G501)</f>
        <v/>
      </c>
      <c r="J501" s="38" t="n"/>
      <c r="L501">
        <f>IF(D501="","",IF(OR(D501="Entrée Achat",D501="Entrée Retour"),K501+E501,K501-E501))</f>
        <v/>
      </c>
      <c r="P501">
        <f>IF(E501="","",IF(OR(D501="Entrée Achat",D501="Entrée Retour"),"✓ Validé",IF(D501="Sortie Perte","⚠️ Perte",IF(D501="Sortie Périmée","🔴 Périmé","✓ Validé"))))</f>
        <v/>
      </c>
    </row>
    <row r="502">
      <c r="A502" s="38" t="n"/>
      <c r="G502" s="8" t="n"/>
      <c r="H502" s="8">
        <f>IF(E502="","",E502*G502)</f>
        <v/>
      </c>
      <c r="J502" s="38" t="n"/>
      <c r="L502">
        <f>IF(D502="","",IF(OR(D502="Entrée Achat",D502="Entrée Retour"),K502+E502,K502-E502))</f>
        <v/>
      </c>
      <c r="P502">
        <f>IF(E502="","",IF(OR(D502="Entrée Achat",D502="Entrée Retour"),"✓ Validé",IF(D502="Sortie Perte","⚠️ Perte",IF(D502="Sortie Périmée","🔴 Périmé","✓ Validé"))))</f>
        <v/>
      </c>
    </row>
    <row r="503">
      <c r="A503" s="38" t="n"/>
      <c r="G503" s="8" t="n"/>
      <c r="H503" s="8">
        <f>IF(E503="","",E503*G503)</f>
        <v/>
      </c>
      <c r="J503" s="38" t="n"/>
      <c r="L503">
        <f>IF(D503="","",IF(OR(D503="Entrée Achat",D503="Entrée Retour"),K503+E503,K503-E503))</f>
        <v/>
      </c>
      <c r="P503">
        <f>IF(E503="","",IF(OR(D503="Entrée Achat",D503="Entrée Retour"),"✓ Validé",IF(D503="Sortie Perte","⚠️ Perte",IF(D503="Sortie Périmée","🔴 Périmé","✓ Validé"))))</f>
        <v/>
      </c>
    </row>
    <row r="504">
      <c r="A504" s="38" t="n"/>
      <c r="G504" s="8" t="n"/>
      <c r="H504" s="8">
        <f>IF(E504="","",E504*G504)</f>
        <v/>
      </c>
      <c r="J504" s="38" t="n"/>
      <c r="L504">
        <f>IF(D504="","",IF(OR(D504="Entrée Achat",D504="Entrée Retour"),K504+E504,K504-E504))</f>
        <v/>
      </c>
      <c r="P504">
        <f>IF(E504="","",IF(OR(D504="Entrée Achat",D504="Entrée Retour"),"✓ Validé",IF(D504="Sortie Perte","⚠️ Perte",IF(D504="Sortie Périmée","🔴 Périmé","✓ Validé"))))</f>
        <v/>
      </c>
    </row>
    <row r="505">
      <c r="A505" s="38" t="n"/>
      <c r="G505" s="8" t="n"/>
      <c r="H505" s="8">
        <f>IF(E505="","",E505*G505)</f>
        <v/>
      </c>
      <c r="J505" s="38" t="n"/>
      <c r="L505">
        <f>IF(D505="","",IF(OR(D505="Entrée Achat",D505="Entrée Retour"),K505+E505,K505-E505))</f>
        <v/>
      </c>
      <c r="P505">
        <f>IF(E505="","",IF(OR(D505="Entrée Achat",D505="Entrée Retour"),"✓ Validé",IF(D505="Sortie Perte","⚠️ Perte",IF(D505="Sortie Périmée","🔴 Périmé","✓ Validé"))))</f>
        <v/>
      </c>
    </row>
    <row r="506">
      <c r="A506" s="38" t="n"/>
      <c r="G506" s="8" t="n"/>
      <c r="H506" s="8">
        <f>IF(E506="","",E506*G506)</f>
        <v/>
      </c>
      <c r="J506" s="38" t="n"/>
      <c r="L506">
        <f>IF(D506="","",IF(OR(D506="Entrée Achat",D506="Entrée Retour"),K506+E506,K506-E506))</f>
        <v/>
      </c>
      <c r="P506">
        <f>IF(E506="","",IF(OR(D506="Entrée Achat",D506="Entrée Retour"),"✓ Validé",IF(D506="Sortie Perte","⚠️ Perte",IF(D506="Sortie Périmée","🔴 Périmé","✓ Validé"))))</f>
        <v/>
      </c>
    </row>
    <row r="507">
      <c r="A507" s="38" t="n"/>
      <c r="G507" s="8" t="n"/>
      <c r="H507" s="8">
        <f>IF(E507="","",E507*G507)</f>
        <v/>
      </c>
      <c r="J507" s="38" t="n"/>
      <c r="L507">
        <f>IF(D507="","",IF(OR(D507="Entrée Achat",D507="Entrée Retour"),K507+E507,K507-E507))</f>
        <v/>
      </c>
      <c r="P507">
        <f>IF(E507="","",IF(OR(D507="Entrée Achat",D507="Entrée Retour"),"✓ Validé",IF(D507="Sortie Perte","⚠️ Perte",IF(D507="Sortie Périmée","🔴 Périmé","✓ Validé"))))</f>
        <v/>
      </c>
    </row>
    <row r="508">
      <c r="A508" s="38" t="n"/>
      <c r="G508" s="8" t="n"/>
      <c r="H508" s="8">
        <f>IF(E508="","",E508*G508)</f>
        <v/>
      </c>
      <c r="J508" s="38" t="n"/>
      <c r="L508">
        <f>IF(D508="","",IF(OR(D508="Entrée Achat",D508="Entrée Retour"),K508+E508,K508-E508))</f>
        <v/>
      </c>
      <c r="P508">
        <f>IF(E508="","",IF(OR(D508="Entrée Achat",D508="Entrée Retour"),"✓ Validé",IF(D508="Sortie Perte","⚠️ Perte",IF(D508="Sortie Périmée","🔴 Périmé","✓ Validé"))))</f>
        <v/>
      </c>
    </row>
    <row r="509">
      <c r="A509" s="38" t="n"/>
      <c r="G509" s="8" t="n"/>
      <c r="H509" s="8">
        <f>IF(E509="","",E509*G509)</f>
        <v/>
      </c>
      <c r="J509" s="38" t="n"/>
      <c r="L509">
        <f>IF(D509="","",IF(OR(D509="Entrée Achat",D509="Entrée Retour"),K509+E509,K509-E509))</f>
        <v/>
      </c>
      <c r="P509">
        <f>IF(E509="","",IF(OR(D509="Entrée Achat",D509="Entrée Retour"),"✓ Validé",IF(D509="Sortie Perte","⚠️ Perte",IF(D509="Sortie Périmée","🔴 Périmé","✓ Validé"))))</f>
        <v/>
      </c>
    </row>
    <row r="510">
      <c r="A510" s="38" t="n"/>
      <c r="G510" s="8" t="n"/>
      <c r="H510" s="8">
        <f>IF(E510="","",E510*G510)</f>
        <v/>
      </c>
      <c r="J510" s="38" t="n"/>
      <c r="L510">
        <f>IF(D510="","",IF(OR(D510="Entrée Achat",D510="Entrée Retour"),K510+E510,K510-E510))</f>
        <v/>
      </c>
      <c r="P510">
        <f>IF(E510="","",IF(OR(D510="Entrée Achat",D510="Entrée Retour"),"✓ Validé",IF(D510="Sortie Perte","⚠️ Perte",IF(D510="Sortie Périmée","🔴 Périmé","✓ Validé"))))</f>
        <v/>
      </c>
    </row>
    <row r="511">
      <c r="A511" s="38" t="n"/>
      <c r="G511" s="8" t="n"/>
      <c r="H511" s="8">
        <f>IF(E511="","",E511*G511)</f>
        <v/>
      </c>
      <c r="J511" s="38" t="n"/>
      <c r="L511">
        <f>IF(D511="","",IF(OR(D511="Entrée Achat",D511="Entrée Retour"),K511+E511,K511-E511))</f>
        <v/>
      </c>
      <c r="P511">
        <f>IF(E511="","",IF(OR(D511="Entrée Achat",D511="Entrée Retour"),"✓ Validé",IF(D511="Sortie Perte","⚠️ Perte",IF(D511="Sortie Périmée","🔴 Périmé","✓ Validé"))))</f>
        <v/>
      </c>
    </row>
    <row r="512">
      <c r="A512" s="38" t="n"/>
      <c r="G512" s="8" t="n"/>
      <c r="H512" s="8">
        <f>IF(E512="","",E512*G512)</f>
        <v/>
      </c>
      <c r="J512" s="38" t="n"/>
      <c r="L512">
        <f>IF(D512="","",IF(OR(D512="Entrée Achat",D512="Entrée Retour"),K512+E512,K512-E512))</f>
        <v/>
      </c>
      <c r="P512">
        <f>IF(E512="","",IF(OR(D512="Entrée Achat",D512="Entrée Retour"),"✓ Validé",IF(D512="Sortie Perte","⚠️ Perte",IF(D512="Sortie Périmée","🔴 Périmé","✓ Validé"))))</f>
        <v/>
      </c>
    </row>
    <row r="513">
      <c r="A513" s="38" t="n"/>
      <c r="G513" s="8" t="n"/>
      <c r="H513" s="8">
        <f>IF(E513="","",E513*G513)</f>
        <v/>
      </c>
      <c r="J513" s="38" t="n"/>
      <c r="L513">
        <f>IF(D513="","",IF(OR(D513="Entrée Achat",D513="Entrée Retour"),K513+E513,K513-E513))</f>
        <v/>
      </c>
      <c r="P513">
        <f>IF(E513="","",IF(OR(D513="Entrée Achat",D513="Entrée Retour"),"✓ Validé",IF(D513="Sortie Perte","⚠️ Perte",IF(D513="Sortie Périmée","🔴 Périmé","✓ Validé"))))</f>
        <v/>
      </c>
    </row>
    <row r="514">
      <c r="A514" s="38" t="n"/>
      <c r="G514" s="8" t="n"/>
      <c r="H514" s="8">
        <f>IF(E514="","",E514*G514)</f>
        <v/>
      </c>
      <c r="J514" s="38" t="n"/>
      <c r="L514">
        <f>IF(D514="","",IF(OR(D514="Entrée Achat",D514="Entrée Retour"),K514+E514,K514-E514))</f>
        <v/>
      </c>
      <c r="P514">
        <f>IF(E514="","",IF(OR(D514="Entrée Achat",D514="Entrée Retour"),"✓ Validé",IF(D514="Sortie Perte","⚠️ Perte",IF(D514="Sortie Périmée","🔴 Périmé","✓ Validé"))))</f>
        <v/>
      </c>
    </row>
    <row r="515">
      <c r="A515" s="38" t="n"/>
      <c r="G515" s="8" t="n"/>
      <c r="H515" s="8">
        <f>IF(E515="","",E515*G515)</f>
        <v/>
      </c>
      <c r="J515" s="38" t="n"/>
      <c r="L515">
        <f>IF(D515="","",IF(OR(D515="Entrée Achat",D515="Entrée Retour"),K515+E515,K515-E515))</f>
        <v/>
      </c>
      <c r="P515">
        <f>IF(E515="","",IF(OR(D515="Entrée Achat",D515="Entrée Retour"),"✓ Validé",IF(D515="Sortie Perte","⚠️ Perte",IF(D515="Sortie Périmée","🔴 Périmé","✓ Validé"))))</f>
        <v/>
      </c>
    </row>
    <row r="516">
      <c r="A516" s="38" t="n"/>
      <c r="G516" s="8" t="n"/>
      <c r="H516" s="8">
        <f>IF(E516="","",E516*G516)</f>
        <v/>
      </c>
      <c r="J516" s="38" t="n"/>
      <c r="L516">
        <f>IF(D516="","",IF(OR(D516="Entrée Achat",D516="Entrée Retour"),K516+E516,K516-E516))</f>
        <v/>
      </c>
      <c r="P516">
        <f>IF(E516="","",IF(OR(D516="Entrée Achat",D516="Entrée Retour"),"✓ Validé",IF(D516="Sortie Perte","⚠️ Perte",IF(D516="Sortie Périmée","🔴 Périmé","✓ Validé"))))</f>
        <v/>
      </c>
    </row>
    <row r="517">
      <c r="A517" s="38" t="n"/>
      <c r="G517" s="8" t="n"/>
      <c r="H517" s="8">
        <f>IF(E517="","",E517*G517)</f>
        <v/>
      </c>
      <c r="J517" s="38" t="n"/>
      <c r="L517">
        <f>IF(D517="","",IF(OR(D517="Entrée Achat",D517="Entrée Retour"),K517+E517,K517-E517))</f>
        <v/>
      </c>
      <c r="P517">
        <f>IF(E517="","",IF(OR(D517="Entrée Achat",D517="Entrée Retour"),"✓ Validé",IF(D517="Sortie Perte","⚠️ Perte",IF(D517="Sortie Périmée","🔴 Périmé","✓ Validé"))))</f>
        <v/>
      </c>
    </row>
    <row r="518">
      <c r="A518" s="38" t="n"/>
      <c r="G518" s="8" t="n"/>
      <c r="H518" s="8">
        <f>IF(E518="","",E518*G518)</f>
        <v/>
      </c>
      <c r="J518" s="38" t="n"/>
      <c r="L518">
        <f>IF(D518="","",IF(OR(D518="Entrée Achat",D518="Entrée Retour"),K518+E518,K518-E518))</f>
        <v/>
      </c>
      <c r="P518">
        <f>IF(E518="","",IF(OR(D518="Entrée Achat",D518="Entrée Retour"),"✓ Validé",IF(D518="Sortie Perte","⚠️ Perte",IF(D518="Sortie Périmée","🔴 Périmé","✓ Validé"))))</f>
        <v/>
      </c>
    </row>
    <row r="519">
      <c r="A519" s="38" t="n"/>
      <c r="G519" s="8" t="n"/>
      <c r="H519" s="8">
        <f>IF(E519="","",E519*G519)</f>
        <v/>
      </c>
      <c r="J519" s="38" t="n"/>
      <c r="L519">
        <f>IF(D519="","",IF(OR(D519="Entrée Achat",D519="Entrée Retour"),K519+E519,K519-E519))</f>
        <v/>
      </c>
      <c r="P519">
        <f>IF(E519="","",IF(OR(D519="Entrée Achat",D519="Entrée Retour"),"✓ Validé",IF(D519="Sortie Perte","⚠️ Perte",IF(D519="Sortie Périmée","🔴 Périmé","✓ Validé"))))</f>
        <v/>
      </c>
    </row>
    <row r="520">
      <c r="A520" s="38" t="n"/>
      <c r="G520" s="8" t="n"/>
      <c r="H520" s="8">
        <f>IF(E520="","",E520*G520)</f>
        <v/>
      </c>
      <c r="J520" s="38" t="n"/>
      <c r="L520">
        <f>IF(D520="","",IF(OR(D520="Entrée Achat",D520="Entrée Retour"),K520+E520,K520-E520))</f>
        <v/>
      </c>
      <c r="P520">
        <f>IF(E520="","",IF(OR(D520="Entrée Achat",D520="Entrée Retour"),"✓ Validé",IF(D520="Sortie Perte","⚠️ Perte",IF(D520="Sortie Périmée","🔴 Périmé","✓ Validé"))))</f>
        <v/>
      </c>
    </row>
    <row r="521">
      <c r="A521" s="38" t="n"/>
      <c r="G521" s="8" t="n"/>
      <c r="H521" s="8">
        <f>IF(E521="","",E521*G521)</f>
        <v/>
      </c>
      <c r="J521" s="38" t="n"/>
      <c r="L521">
        <f>IF(D521="","",IF(OR(D521="Entrée Achat",D521="Entrée Retour"),K521+E521,K521-E521))</f>
        <v/>
      </c>
      <c r="P521">
        <f>IF(E521="","",IF(OR(D521="Entrée Achat",D521="Entrée Retour"),"✓ Validé",IF(D521="Sortie Perte","⚠️ Perte",IF(D521="Sortie Périmée","🔴 Périmé","✓ Validé"))))</f>
        <v/>
      </c>
    </row>
    <row r="522">
      <c r="A522" s="38" t="n"/>
      <c r="G522" s="8" t="n"/>
      <c r="H522" s="8">
        <f>IF(E522="","",E522*G522)</f>
        <v/>
      </c>
      <c r="J522" s="38" t="n"/>
      <c r="L522">
        <f>IF(D522="","",IF(OR(D522="Entrée Achat",D522="Entrée Retour"),K522+E522,K522-E522))</f>
        <v/>
      </c>
      <c r="P522">
        <f>IF(E522="","",IF(OR(D522="Entrée Achat",D522="Entrée Retour"),"✓ Validé",IF(D522="Sortie Perte","⚠️ Perte",IF(D522="Sortie Périmée","🔴 Périmé","✓ Validé"))))</f>
        <v/>
      </c>
    </row>
    <row r="523">
      <c r="A523" s="38" t="n"/>
      <c r="G523" s="8" t="n"/>
      <c r="H523" s="8">
        <f>IF(E523="","",E523*G523)</f>
        <v/>
      </c>
      <c r="J523" s="38" t="n"/>
      <c r="L523">
        <f>IF(D523="","",IF(OR(D523="Entrée Achat",D523="Entrée Retour"),K523+E523,K523-E523))</f>
        <v/>
      </c>
      <c r="P523">
        <f>IF(E523="","",IF(OR(D523="Entrée Achat",D523="Entrée Retour"),"✓ Validé",IF(D523="Sortie Perte","⚠️ Perte",IF(D523="Sortie Périmée","🔴 Périmé","✓ Validé"))))</f>
        <v/>
      </c>
    </row>
    <row r="524">
      <c r="A524" s="38" t="n"/>
      <c r="G524" s="8" t="n"/>
      <c r="H524" s="8">
        <f>IF(E524="","",E524*G524)</f>
        <v/>
      </c>
      <c r="J524" s="38" t="n"/>
      <c r="L524">
        <f>IF(D524="","",IF(OR(D524="Entrée Achat",D524="Entrée Retour"),K524+E524,K524-E524))</f>
        <v/>
      </c>
      <c r="P524">
        <f>IF(E524="","",IF(OR(D524="Entrée Achat",D524="Entrée Retour"),"✓ Validé",IF(D524="Sortie Perte","⚠️ Perte",IF(D524="Sortie Périmée","🔴 Périmé","✓ Validé"))))</f>
        <v/>
      </c>
    </row>
    <row r="525">
      <c r="A525" s="38" t="n"/>
      <c r="G525" s="8" t="n"/>
      <c r="H525" s="8">
        <f>IF(E525="","",E525*G525)</f>
        <v/>
      </c>
      <c r="J525" s="38" t="n"/>
      <c r="L525">
        <f>IF(D525="","",IF(OR(D525="Entrée Achat",D525="Entrée Retour"),K525+E525,K525-E525))</f>
        <v/>
      </c>
      <c r="P525">
        <f>IF(E525="","",IF(OR(D525="Entrée Achat",D525="Entrée Retour"),"✓ Validé",IF(D525="Sortie Perte","⚠️ Perte",IF(D525="Sortie Périmée","🔴 Périmé","✓ Validé"))))</f>
        <v/>
      </c>
    </row>
    <row r="526">
      <c r="A526" s="38" t="n"/>
      <c r="G526" s="8" t="n"/>
      <c r="H526" s="8">
        <f>IF(E526="","",E526*G526)</f>
        <v/>
      </c>
      <c r="J526" s="38" t="n"/>
      <c r="L526">
        <f>IF(D526="","",IF(OR(D526="Entrée Achat",D526="Entrée Retour"),K526+E526,K526-E526))</f>
        <v/>
      </c>
      <c r="P526">
        <f>IF(E526="","",IF(OR(D526="Entrée Achat",D526="Entrée Retour"),"✓ Validé",IF(D526="Sortie Perte","⚠️ Perte",IF(D526="Sortie Périmée","🔴 Périmé","✓ Validé"))))</f>
        <v/>
      </c>
    </row>
    <row r="527">
      <c r="A527" s="38" t="n"/>
      <c r="G527" s="8" t="n"/>
      <c r="H527" s="8">
        <f>IF(E527="","",E527*G527)</f>
        <v/>
      </c>
      <c r="J527" s="38" t="n"/>
      <c r="L527">
        <f>IF(D527="","",IF(OR(D527="Entrée Achat",D527="Entrée Retour"),K527+E527,K527-E527))</f>
        <v/>
      </c>
      <c r="P527">
        <f>IF(E527="","",IF(OR(D527="Entrée Achat",D527="Entrée Retour"),"✓ Validé",IF(D527="Sortie Perte","⚠️ Perte",IF(D527="Sortie Périmée","🔴 Périmé","✓ Validé"))))</f>
        <v/>
      </c>
    </row>
    <row r="528">
      <c r="A528" s="38" t="n"/>
      <c r="G528" s="8" t="n"/>
      <c r="H528" s="8">
        <f>IF(E528="","",E528*G528)</f>
        <v/>
      </c>
      <c r="J528" s="38" t="n"/>
      <c r="L528">
        <f>IF(D528="","",IF(OR(D528="Entrée Achat",D528="Entrée Retour"),K528+E528,K528-E528))</f>
        <v/>
      </c>
      <c r="P528">
        <f>IF(E528="","",IF(OR(D528="Entrée Achat",D528="Entrée Retour"),"✓ Validé",IF(D528="Sortie Perte","⚠️ Perte",IF(D528="Sortie Périmée","🔴 Périmé","✓ Validé"))))</f>
        <v/>
      </c>
    </row>
    <row r="529">
      <c r="A529" s="38" t="n"/>
      <c r="G529" s="8" t="n"/>
      <c r="H529" s="8">
        <f>IF(E529="","",E529*G529)</f>
        <v/>
      </c>
      <c r="J529" s="38" t="n"/>
      <c r="L529">
        <f>IF(D529="","",IF(OR(D529="Entrée Achat",D529="Entrée Retour"),K529+E529,K529-E529))</f>
        <v/>
      </c>
      <c r="P529">
        <f>IF(E529="","",IF(OR(D529="Entrée Achat",D529="Entrée Retour"),"✓ Validé",IF(D529="Sortie Perte","⚠️ Perte",IF(D529="Sortie Périmée","🔴 Périmé","✓ Validé"))))</f>
        <v/>
      </c>
    </row>
    <row r="530">
      <c r="A530" s="38" t="n"/>
      <c r="G530" s="8" t="n"/>
      <c r="H530" s="8">
        <f>IF(E530="","",E530*G530)</f>
        <v/>
      </c>
      <c r="J530" s="38" t="n"/>
      <c r="L530">
        <f>IF(D530="","",IF(OR(D530="Entrée Achat",D530="Entrée Retour"),K530+E530,K530-E530))</f>
        <v/>
      </c>
      <c r="P530">
        <f>IF(E530="","",IF(OR(D530="Entrée Achat",D530="Entrée Retour"),"✓ Validé",IF(D530="Sortie Perte","⚠️ Perte",IF(D530="Sortie Périmée","🔴 Périmé","✓ Validé"))))</f>
        <v/>
      </c>
    </row>
    <row r="531">
      <c r="A531" s="38" t="n"/>
      <c r="G531" s="8" t="n"/>
      <c r="H531" s="8">
        <f>IF(E531="","",E531*G531)</f>
        <v/>
      </c>
      <c r="J531" s="38" t="n"/>
      <c r="L531">
        <f>IF(D531="","",IF(OR(D531="Entrée Achat",D531="Entrée Retour"),K531+E531,K531-E531))</f>
        <v/>
      </c>
      <c r="P531">
        <f>IF(E531="","",IF(OR(D531="Entrée Achat",D531="Entrée Retour"),"✓ Validé",IF(D531="Sortie Perte","⚠️ Perte",IF(D531="Sortie Périmée","🔴 Périmé","✓ Validé"))))</f>
        <v/>
      </c>
    </row>
    <row r="532">
      <c r="A532" s="38" t="n"/>
      <c r="G532" s="8" t="n"/>
      <c r="H532" s="8">
        <f>IF(E532="","",E532*G532)</f>
        <v/>
      </c>
      <c r="J532" s="38" t="n"/>
      <c r="L532">
        <f>IF(D532="","",IF(OR(D532="Entrée Achat",D532="Entrée Retour"),K532+E532,K532-E532))</f>
        <v/>
      </c>
      <c r="P532">
        <f>IF(E532="","",IF(OR(D532="Entrée Achat",D532="Entrée Retour"),"✓ Validé",IF(D532="Sortie Perte","⚠️ Perte",IF(D532="Sortie Périmée","🔴 Périmé","✓ Validé"))))</f>
        <v/>
      </c>
    </row>
    <row r="533">
      <c r="A533" s="38" t="n"/>
      <c r="G533" s="8" t="n"/>
      <c r="H533" s="8">
        <f>IF(E533="","",E533*G533)</f>
        <v/>
      </c>
      <c r="J533" s="38" t="n"/>
      <c r="L533">
        <f>IF(D533="","",IF(OR(D533="Entrée Achat",D533="Entrée Retour"),K533+E533,K533-E533))</f>
        <v/>
      </c>
      <c r="P533">
        <f>IF(E533="","",IF(OR(D533="Entrée Achat",D533="Entrée Retour"),"✓ Validé",IF(D533="Sortie Perte","⚠️ Perte",IF(D533="Sortie Périmée","🔴 Périmé","✓ Validé"))))</f>
        <v/>
      </c>
    </row>
    <row r="534">
      <c r="A534" s="38" t="n"/>
      <c r="G534" s="8" t="n"/>
      <c r="H534" s="8">
        <f>IF(E534="","",E534*G534)</f>
        <v/>
      </c>
      <c r="J534" s="38" t="n"/>
      <c r="L534">
        <f>IF(D534="","",IF(OR(D534="Entrée Achat",D534="Entrée Retour"),K534+E534,K534-E534))</f>
        <v/>
      </c>
      <c r="P534">
        <f>IF(E534="","",IF(OR(D534="Entrée Achat",D534="Entrée Retour"),"✓ Validé",IF(D534="Sortie Perte","⚠️ Perte",IF(D534="Sortie Périmée","🔴 Périmé","✓ Validé"))))</f>
        <v/>
      </c>
    </row>
    <row r="535">
      <c r="A535" s="38" t="n"/>
      <c r="G535" s="8" t="n"/>
      <c r="H535" s="8">
        <f>IF(E535="","",E535*G535)</f>
        <v/>
      </c>
      <c r="J535" s="38" t="n"/>
      <c r="L535">
        <f>IF(D535="","",IF(OR(D535="Entrée Achat",D535="Entrée Retour"),K535+E535,K535-E535))</f>
        <v/>
      </c>
      <c r="P535">
        <f>IF(E535="","",IF(OR(D535="Entrée Achat",D535="Entrée Retour"),"✓ Validé",IF(D535="Sortie Perte","⚠️ Perte",IF(D535="Sortie Périmée","🔴 Périmé","✓ Validé"))))</f>
        <v/>
      </c>
    </row>
    <row r="536">
      <c r="A536" s="38" t="n"/>
      <c r="G536" s="8" t="n"/>
      <c r="H536" s="8">
        <f>IF(E536="","",E536*G536)</f>
        <v/>
      </c>
      <c r="J536" s="38" t="n"/>
      <c r="L536">
        <f>IF(D536="","",IF(OR(D536="Entrée Achat",D536="Entrée Retour"),K536+E536,K536-E536))</f>
        <v/>
      </c>
      <c r="P536">
        <f>IF(E536="","",IF(OR(D536="Entrée Achat",D536="Entrée Retour"),"✓ Validé",IF(D536="Sortie Perte","⚠️ Perte",IF(D536="Sortie Périmée","🔴 Périmé","✓ Validé"))))</f>
        <v/>
      </c>
    </row>
    <row r="537">
      <c r="A537" s="38" t="n"/>
      <c r="G537" s="8" t="n"/>
      <c r="H537" s="8">
        <f>IF(E537="","",E537*G537)</f>
        <v/>
      </c>
      <c r="J537" s="38" t="n"/>
      <c r="L537">
        <f>IF(D537="","",IF(OR(D537="Entrée Achat",D537="Entrée Retour"),K537+E537,K537-E537))</f>
        <v/>
      </c>
      <c r="P537">
        <f>IF(E537="","",IF(OR(D537="Entrée Achat",D537="Entrée Retour"),"✓ Validé",IF(D537="Sortie Perte","⚠️ Perte",IF(D537="Sortie Périmée","🔴 Périmé","✓ Validé"))))</f>
        <v/>
      </c>
    </row>
    <row r="538">
      <c r="A538" s="38" t="n"/>
      <c r="G538" s="8" t="n"/>
      <c r="H538" s="8">
        <f>IF(E538="","",E538*G538)</f>
        <v/>
      </c>
      <c r="J538" s="38" t="n"/>
      <c r="L538">
        <f>IF(D538="","",IF(OR(D538="Entrée Achat",D538="Entrée Retour"),K538+E538,K538-E538))</f>
        <v/>
      </c>
      <c r="P538">
        <f>IF(E538="","",IF(OR(D538="Entrée Achat",D538="Entrée Retour"),"✓ Validé",IF(D538="Sortie Perte","⚠️ Perte",IF(D538="Sortie Périmée","🔴 Périmé","✓ Validé"))))</f>
        <v/>
      </c>
    </row>
    <row r="539">
      <c r="A539" s="38" t="n"/>
      <c r="G539" s="8" t="n"/>
      <c r="H539" s="8">
        <f>IF(E539="","",E539*G539)</f>
        <v/>
      </c>
      <c r="J539" s="38" t="n"/>
      <c r="L539">
        <f>IF(D539="","",IF(OR(D539="Entrée Achat",D539="Entrée Retour"),K539+E539,K539-E539))</f>
        <v/>
      </c>
      <c r="P539">
        <f>IF(E539="","",IF(OR(D539="Entrée Achat",D539="Entrée Retour"),"✓ Validé",IF(D539="Sortie Perte","⚠️ Perte",IF(D539="Sortie Périmée","🔴 Périmé","✓ Validé"))))</f>
        <v/>
      </c>
    </row>
    <row r="540">
      <c r="A540" s="38" t="n"/>
      <c r="G540" s="8" t="n"/>
      <c r="H540" s="8">
        <f>IF(E540="","",E540*G540)</f>
        <v/>
      </c>
      <c r="J540" s="38" t="n"/>
      <c r="L540">
        <f>IF(D540="","",IF(OR(D540="Entrée Achat",D540="Entrée Retour"),K540+E540,K540-E540))</f>
        <v/>
      </c>
      <c r="P540">
        <f>IF(E540="","",IF(OR(D540="Entrée Achat",D540="Entrée Retour"),"✓ Validé",IF(D540="Sortie Perte","⚠️ Perte",IF(D540="Sortie Périmée","🔴 Périmé","✓ Validé"))))</f>
        <v/>
      </c>
    </row>
    <row r="541">
      <c r="A541" s="38" t="n"/>
      <c r="G541" s="8" t="n"/>
      <c r="H541" s="8">
        <f>IF(E541="","",E541*G541)</f>
        <v/>
      </c>
      <c r="J541" s="38" t="n"/>
      <c r="L541">
        <f>IF(D541="","",IF(OR(D541="Entrée Achat",D541="Entrée Retour"),K541+E541,K541-E541))</f>
        <v/>
      </c>
      <c r="P541">
        <f>IF(E541="","",IF(OR(D541="Entrée Achat",D541="Entrée Retour"),"✓ Validé",IF(D541="Sortie Perte","⚠️ Perte",IF(D541="Sortie Périmée","🔴 Périmé","✓ Validé"))))</f>
        <v/>
      </c>
    </row>
    <row r="542">
      <c r="A542" s="38" t="n"/>
      <c r="G542" s="8" t="n"/>
      <c r="H542" s="8">
        <f>IF(E542="","",E542*G542)</f>
        <v/>
      </c>
      <c r="J542" s="38" t="n"/>
      <c r="L542">
        <f>IF(D542="","",IF(OR(D542="Entrée Achat",D542="Entrée Retour"),K542+E542,K542-E542))</f>
        <v/>
      </c>
      <c r="P542">
        <f>IF(E542="","",IF(OR(D542="Entrée Achat",D542="Entrée Retour"),"✓ Validé",IF(D542="Sortie Perte","⚠️ Perte",IF(D542="Sortie Périmée","🔴 Périmé","✓ Validé"))))</f>
        <v/>
      </c>
    </row>
    <row r="543">
      <c r="A543" s="38" t="n"/>
      <c r="G543" s="8" t="n"/>
      <c r="H543" s="8">
        <f>IF(E543="","",E543*G543)</f>
        <v/>
      </c>
      <c r="J543" s="38" t="n"/>
      <c r="L543">
        <f>IF(D543="","",IF(OR(D543="Entrée Achat",D543="Entrée Retour"),K543+E543,K543-E543))</f>
        <v/>
      </c>
      <c r="P543">
        <f>IF(E543="","",IF(OR(D543="Entrée Achat",D543="Entrée Retour"),"✓ Validé",IF(D543="Sortie Perte","⚠️ Perte",IF(D543="Sortie Périmée","🔴 Périmé","✓ Validé"))))</f>
        <v/>
      </c>
    </row>
    <row r="544">
      <c r="A544" s="38" t="n"/>
      <c r="G544" s="8" t="n"/>
      <c r="H544" s="8">
        <f>IF(E544="","",E544*G544)</f>
        <v/>
      </c>
      <c r="J544" s="38" t="n"/>
      <c r="L544">
        <f>IF(D544="","",IF(OR(D544="Entrée Achat",D544="Entrée Retour"),K544+E544,K544-E544))</f>
        <v/>
      </c>
      <c r="P544">
        <f>IF(E544="","",IF(OR(D544="Entrée Achat",D544="Entrée Retour"),"✓ Validé",IF(D544="Sortie Perte","⚠️ Perte",IF(D544="Sortie Périmée","🔴 Périmé","✓ Validé"))))</f>
        <v/>
      </c>
    </row>
    <row r="545">
      <c r="A545" s="38" t="n"/>
      <c r="G545" s="8" t="n"/>
      <c r="H545" s="8">
        <f>IF(E545="","",E545*G545)</f>
        <v/>
      </c>
      <c r="J545" s="38" t="n"/>
      <c r="L545">
        <f>IF(D545="","",IF(OR(D545="Entrée Achat",D545="Entrée Retour"),K545+E545,K545-E545))</f>
        <v/>
      </c>
      <c r="P545">
        <f>IF(E545="","",IF(OR(D545="Entrée Achat",D545="Entrée Retour"),"✓ Validé",IF(D545="Sortie Perte","⚠️ Perte",IF(D545="Sortie Périmée","🔴 Périmé","✓ Validé"))))</f>
        <v/>
      </c>
    </row>
    <row r="546">
      <c r="A546" s="38" t="n"/>
      <c r="G546" s="8" t="n"/>
      <c r="H546" s="8">
        <f>IF(E546="","",E546*G546)</f>
        <v/>
      </c>
      <c r="J546" s="38" t="n"/>
      <c r="L546">
        <f>IF(D546="","",IF(OR(D546="Entrée Achat",D546="Entrée Retour"),K546+E546,K546-E546))</f>
        <v/>
      </c>
      <c r="P546">
        <f>IF(E546="","",IF(OR(D546="Entrée Achat",D546="Entrée Retour"),"✓ Validé",IF(D546="Sortie Perte","⚠️ Perte",IF(D546="Sortie Périmée","🔴 Périmé","✓ Validé"))))</f>
        <v/>
      </c>
    </row>
    <row r="547">
      <c r="A547" s="38" t="n"/>
      <c r="G547" s="8" t="n"/>
      <c r="H547" s="8">
        <f>IF(E547="","",E547*G547)</f>
        <v/>
      </c>
      <c r="J547" s="38" t="n"/>
      <c r="L547">
        <f>IF(D547="","",IF(OR(D547="Entrée Achat",D547="Entrée Retour"),K547+E547,K547-E547))</f>
        <v/>
      </c>
      <c r="P547">
        <f>IF(E547="","",IF(OR(D547="Entrée Achat",D547="Entrée Retour"),"✓ Validé",IF(D547="Sortie Perte","⚠️ Perte",IF(D547="Sortie Périmée","🔴 Périmé","✓ Validé"))))</f>
        <v/>
      </c>
    </row>
    <row r="548">
      <c r="A548" s="38" t="n"/>
      <c r="G548" s="8" t="n"/>
      <c r="H548" s="8">
        <f>IF(E548="","",E548*G548)</f>
        <v/>
      </c>
      <c r="J548" s="38" t="n"/>
      <c r="L548">
        <f>IF(D548="","",IF(OR(D548="Entrée Achat",D548="Entrée Retour"),K548+E548,K548-E548))</f>
        <v/>
      </c>
      <c r="P548">
        <f>IF(E548="","",IF(OR(D548="Entrée Achat",D548="Entrée Retour"),"✓ Validé",IF(D548="Sortie Perte","⚠️ Perte",IF(D548="Sortie Périmée","🔴 Périmé","✓ Validé"))))</f>
        <v/>
      </c>
    </row>
    <row r="549">
      <c r="A549" s="38" t="n"/>
      <c r="G549" s="8" t="n"/>
      <c r="H549" s="8">
        <f>IF(E549="","",E549*G549)</f>
        <v/>
      </c>
      <c r="J549" s="38" t="n"/>
      <c r="L549">
        <f>IF(D549="","",IF(OR(D549="Entrée Achat",D549="Entrée Retour"),K549+E549,K549-E549))</f>
        <v/>
      </c>
      <c r="P549">
        <f>IF(E549="","",IF(OR(D549="Entrée Achat",D549="Entrée Retour"),"✓ Validé",IF(D549="Sortie Perte","⚠️ Perte",IF(D549="Sortie Périmée","🔴 Périmé","✓ Validé"))))</f>
        <v/>
      </c>
    </row>
    <row r="550">
      <c r="A550" s="38" t="n"/>
      <c r="G550" s="8" t="n"/>
      <c r="H550" s="8">
        <f>IF(E550="","",E550*G550)</f>
        <v/>
      </c>
      <c r="J550" s="38" t="n"/>
      <c r="L550">
        <f>IF(D550="","",IF(OR(D550="Entrée Achat",D550="Entrée Retour"),K550+E550,K550-E550))</f>
        <v/>
      </c>
      <c r="P550">
        <f>IF(E550="","",IF(OR(D550="Entrée Achat",D550="Entrée Retour"),"✓ Validé",IF(D550="Sortie Perte","⚠️ Perte",IF(D550="Sortie Périmée","🔴 Périmé","✓ Validé"))))</f>
        <v/>
      </c>
    </row>
    <row r="551">
      <c r="A551" s="38" t="n"/>
      <c r="G551" s="8" t="n"/>
      <c r="H551" s="8">
        <f>IF(E551="","",E551*G551)</f>
        <v/>
      </c>
      <c r="J551" s="38" t="n"/>
      <c r="L551">
        <f>IF(D551="","",IF(OR(D551="Entrée Achat",D551="Entrée Retour"),K551+E551,K551-E551))</f>
        <v/>
      </c>
      <c r="P551">
        <f>IF(E551="","",IF(OR(D551="Entrée Achat",D551="Entrée Retour"),"✓ Validé",IF(D551="Sortie Perte","⚠️ Perte",IF(D551="Sortie Périmée","🔴 Périmé","✓ Validé"))))</f>
        <v/>
      </c>
    </row>
    <row r="552">
      <c r="A552" s="38" t="n"/>
      <c r="G552" s="8" t="n"/>
      <c r="H552" s="8">
        <f>IF(E552="","",E552*G552)</f>
        <v/>
      </c>
      <c r="J552" s="38" t="n"/>
      <c r="L552">
        <f>IF(D552="","",IF(OR(D552="Entrée Achat",D552="Entrée Retour"),K552+E552,K552-E552))</f>
        <v/>
      </c>
      <c r="P552">
        <f>IF(E552="","",IF(OR(D552="Entrée Achat",D552="Entrée Retour"),"✓ Validé",IF(D552="Sortie Perte","⚠️ Perte",IF(D552="Sortie Périmée","🔴 Périmé","✓ Validé"))))</f>
        <v/>
      </c>
    </row>
    <row r="553">
      <c r="A553" s="38" t="n"/>
      <c r="G553" s="8" t="n"/>
      <c r="H553" s="8">
        <f>IF(E553="","",E553*G553)</f>
        <v/>
      </c>
      <c r="J553" s="38" t="n"/>
      <c r="L553">
        <f>IF(D553="","",IF(OR(D553="Entrée Achat",D553="Entrée Retour"),K553+E553,K553-E553))</f>
        <v/>
      </c>
      <c r="P553">
        <f>IF(E553="","",IF(OR(D553="Entrée Achat",D553="Entrée Retour"),"✓ Validé",IF(D553="Sortie Perte","⚠️ Perte",IF(D553="Sortie Périmée","🔴 Périmé","✓ Validé"))))</f>
        <v/>
      </c>
    </row>
    <row r="554">
      <c r="A554" s="38" t="n"/>
      <c r="G554" s="8" t="n"/>
      <c r="H554" s="8">
        <f>IF(E554="","",E554*G554)</f>
        <v/>
      </c>
      <c r="J554" s="38" t="n"/>
      <c r="L554">
        <f>IF(D554="","",IF(OR(D554="Entrée Achat",D554="Entrée Retour"),K554+E554,K554-E554))</f>
        <v/>
      </c>
      <c r="P554">
        <f>IF(E554="","",IF(OR(D554="Entrée Achat",D554="Entrée Retour"),"✓ Validé",IF(D554="Sortie Perte","⚠️ Perte",IF(D554="Sortie Périmée","🔴 Périmé","✓ Validé"))))</f>
        <v/>
      </c>
    </row>
    <row r="555">
      <c r="A555" s="38" t="n"/>
      <c r="G555" s="8" t="n"/>
      <c r="H555" s="8">
        <f>IF(E555="","",E555*G555)</f>
        <v/>
      </c>
      <c r="J555" s="38" t="n"/>
      <c r="L555">
        <f>IF(D555="","",IF(OR(D555="Entrée Achat",D555="Entrée Retour"),K555+E555,K555-E555))</f>
        <v/>
      </c>
      <c r="P555">
        <f>IF(E555="","",IF(OR(D555="Entrée Achat",D555="Entrée Retour"),"✓ Validé",IF(D555="Sortie Perte","⚠️ Perte",IF(D555="Sortie Périmée","🔴 Périmé","✓ Validé"))))</f>
        <v/>
      </c>
    </row>
    <row r="556">
      <c r="A556" s="38" t="n"/>
      <c r="G556" s="8" t="n"/>
      <c r="H556" s="8">
        <f>IF(E556="","",E556*G556)</f>
        <v/>
      </c>
      <c r="J556" s="38" t="n"/>
      <c r="L556">
        <f>IF(D556="","",IF(OR(D556="Entrée Achat",D556="Entrée Retour"),K556+E556,K556-E556))</f>
        <v/>
      </c>
      <c r="P556">
        <f>IF(E556="","",IF(OR(D556="Entrée Achat",D556="Entrée Retour"),"✓ Validé",IF(D556="Sortie Perte","⚠️ Perte",IF(D556="Sortie Périmée","🔴 Périmé","✓ Validé"))))</f>
        <v/>
      </c>
    </row>
    <row r="557">
      <c r="A557" s="38" t="n"/>
      <c r="G557" s="8" t="n"/>
      <c r="H557" s="8">
        <f>IF(E557="","",E557*G557)</f>
        <v/>
      </c>
      <c r="J557" s="38" t="n"/>
      <c r="L557">
        <f>IF(D557="","",IF(OR(D557="Entrée Achat",D557="Entrée Retour"),K557+E557,K557-E557))</f>
        <v/>
      </c>
      <c r="P557">
        <f>IF(E557="","",IF(OR(D557="Entrée Achat",D557="Entrée Retour"),"✓ Validé",IF(D557="Sortie Perte","⚠️ Perte",IF(D557="Sortie Périmée","🔴 Périmé","✓ Validé"))))</f>
        <v/>
      </c>
    </row>
    <row r="558">
      <c r="A558" s="38" t="n"/>
      <c r="G558" s="8" t="n"/>
      <c r="H558" s="8">
        <f>IF(E558="","",E558*G558)</f>
        <v/>
      </c>
      <c r="J558" s="38" t="n"/>
      <c r="L558">
        <f>IF(D558="","",IF(OR(D558="Entrée Achat",D558="Entrée Retour"),K558+E558,K558-E558))</f>
        <v/>
      </c>
      <c r="P558">
        <f>IF(E558="","",IF(OR(D558="Entrée Achat",D558="Entrée Retour"),"✓ Validé",IF(D558="Sortie Perte","⚠️ Perte",IF(D558="Sortie Périmée","🔴 Périmé","✓ Validé"))))</f>
        <v/>
      </c>
    </row>
    <row r="559">
      <c r="A559" s="38" t="n"/>
      <c r="G559" s="8" t="n"/>
      <c r="H559" s="8">
        <f>IF(E559="","",E559*G559)</f>
        <v/>
      </c>
      <c r="J559" s="38" t="n"/>
      <c r="L559">
        <f>IF(D559="","",IF(OR(D559="Entrée Achat",D559="Entrée Retour"),K559+E559,K559-E559))</f>
        <v/>
      </c>
      <c r="P559">
        <f>IF(E559="","",IF(OR(D559="Entrée Achat",D559="Entrée Retour"),"✓ Validé",IF(D559="Sortie Perte","⚠️ Perte",IF(D559="Sortie Périmée","🔴 Périmé","✓ Validé"))))</f>
        <v/>
      </c>
    </row>
    <row r="560">
      <c r="A560" s="38" t="n"/>
      <c r="G560" s="8" t="n"/>
      <c r="H560" s="8">
        <f>IF(E560="","",E560*G560)</f>
        <v/>
      </c>
      <c r="J560" s="38" t="n"/>
      <c r="L560">
        <f>IF(D560="","",IF(OR(D560="Entrée Achat",D560="Entrée Retour"),K560+E560,K560-E560))</f>
        <v/>
      </c>
      <c r="P560">
        <f>IF(E560="","",IF(OR(D560="Entrée Achat",D560="Entrée Retour"),"✓ Validé",IF(D560="Sortie Perte","⚠️ Perte",IF(D560="Sortie Périmée","🔴 Périmé","✓ Validé"))))</f>
        <v/>
      </c>
    </row>
    <row r="561">
      <c r="A561" s="38" t="n"/>
      <c r="G561" s="8" t="n"/>
      <c r="H561" s="8">
        <f>IF(E561="","",E561*G561)</f>
        <v/>
      </c>
      <c r="J561" s="38" t="n"/>
      <c r="L561">
        <f>IF(D561="","",IF(OR(D561="Entrée Achat",D561="Entrée Retour"),K561+E561,K561-E561))</f>
        <v/>
      </c>
      <c r="P561">
        <f>IF(E561="","",IF(OR(D561="Entrée Achat",D561="Entrée Retour"),"✓ Validé",IF(D561="Sortie Perte","⚠️ Perte",IF(D561="Sortie Périmée","🔴 Périmé","✓ Validé"))))</f>
        <v/>
      </c>
    </row>
    <row r="562">
      <c r="A562" s="38" t="n"/>
      <c r="G562" s="8" t="n"/>
      <c r="H562" s="8">
        <f>IF(E562="","",E562*G562)</f>
        <v/>
      </c>
      <c r="J562" s="38" t="n"/>
      <c r="L562">
        <f>IF(D562="","",IF(OR(D562="Entrée Achat",D562="Entrée Retour"),K562+E562,K562-E562))</f>
        <v/>
      </c>
      <c r="P562">
        <f>IF(E562="","",IF(OR(D562="Entrée Achat",D562="Entrée Retour"),"✓ Validé",IF(D562="Sortie Perte","⚠️ Perte",IF(D562="Sortie Périmée","🔴 Périmé","✓ Validé"))))</f>
        <v/>
      </c>
    </row>
    <row r="563">
      <c r="A563" s="38" t="n"/>
      <c r="G563" s="8" t="n"/>
      <c r="H563" s="8">
        <f>IF(E563="","",E563*G563)</f>
        <v/>
      </c>
      <c r="J563" s="38" t="n"/>
      <c r="L563">
        <f>IF(D563="","",IF(OR(D563="Entrée Achat",D563="Entrée Retour"),K563+E563,K563-E563))</f>
        <v/>
      </c>
      <c r="P563">
        <f>IF(E563="","",IF(OR(D563="Entrée Achat",D563="Entrée Retour"),"✓ Validé",IF(D563="Sortie Perte","⚠️ Perte",IF(D563="Sortie Périmée","🔴 Périmé","✓ Validé"))))</f>
        <v/>
      </c>
    </row>
    <row r="564">
      <c r="A564" s="38" t="n"/>
      <c r="G564" s="8" t="n"/>
      <c r="H564" s="8">
        <f>IF(E564="","",E564*G564)</f>
        <v/>
      </c>
      <c r="J564" s="38" t="n"/>
      <c r="L564">
        <f>IF(D564="","",IF(OR(D564="Entrée Achat",D564="Entrée Retour"),K564+E564,K564-E564))</f>
        <v/>
      </c>
      <c r="P564">
        <f>IF(E564="","",IF(OR(D564="Entrée Achat",D564="Entrée Retour"),"✓ Validé",IF(D564="Sortie Perte","⚠️ Perte",IF(D564="Sortie Périmée","🔴 Périmé","✓ Validé"))))</f>
        <v/>
      </c>
    </row>
    <row r="565">
      <c r="A565" s="38" t="n"/>
      <c r="G565" s="8" t="n"/>
      <c r="H565" s="8">
        <f>IF(E565="","",E565*G565)</f>
        <v/>
      </c>
      <c r="J565" s="38" t="n"/>
      <c r="L565">
        <f>IF(D565="","",IF(OR(D565="Entrée Achat",D565="Entrée Retour"),K565+E565,K565-E565))</f>
        <v/>
      </c>
      <c r="P565">
        <f>IF(E565="","",IF(OR(D565="Entrée Achat",D565="Entrée Retour"),"✓ Validé",IF(D565="Sortie Perte","⚠️ Perte",IF(D565="Sortie Périmée","🔴 Périmé","✓ Validé"))))</f>
        <v/>
      </c>
    </row>
    <row r="566">
      <c r="A566" s="38" t="n"/>
      <c r="G566" s="8" t="n"/>
      <c r="H566" s="8">
        <f>IF(E566="","",E566*G566)</f>
        <v/>
      </c>
      <c r="J566" s="38" t="n"/>
      <c r="L566">
        <f>IF(D566="","",IF(OR(D566="Entrée Achat",D566="Entrée Retour"),K566+E566,K566-E566))</f>
        <v/>
      </c>
      <c r="P566">
        <f>IF(E566="","",IF(OR(D566="Entrée Achat",D566="Entrée Retour"),"✓ Validé",IF(D566="Sortie Perte","⚠️ Perte",IF(D566="Sortie Périmée","🔴 Périmé","✓ Validé"))))</f>
        <v/>
      </c>
    </row>
    <row r="567">
      <c r="A567" s="38" t="n"/>
      <c r="G567" s="8" t="n"/>
      <c r="H567" s="8">
        <f>IF(E567="","",E567*G567)</f>
        <v/>
      </c>
      <c r="J567" s="38" t="n"/>
      <c r="L567">
        <f>IF(D567="","",IF(OR(D567="Entrée Achat",D567="Entrée Retour"),K567+E567,K567-E567))</f>
        <v/>
      </c>
      <c r="P567">
        <f>IF(E567="","",IF(OR(D567="Entrée Achat",D567="Entrée Retour"),"✓ Validé",IF(D567="Sortie Perte","⚠️ Perte",IF(D567="Sortie Périmée","🔴 Périmé","✓ Validé"))))</f>
        <v/>
      </c>
    </row>
    <row r="568">
      <c r="A568" s="38" t="n"/>
      <c r="G568" s="8" t="n"/>
      <c r="H568" s="8">
        <f>IF(E568="","",E568*G568)</f>
        <v/>
      </c>
      <c r="J568" s="38" t="n"/>
      <c r="L568">
        <f>IF(D568="","",IF(OR(D568="Entrée Achat",D568="Entrée Retour"),K568+E568,K568-E568))</f>
        <v/>
      </c>
      <c r="P568">
        <f>IF(E568="","",IF(OR(D568="Entrée Achat",D568="Entrée Retour"),"✓ Validé",IF(D568="Sortie Perte","⚠️ Perte",IF(D568="Sortie Périmée","🔴 Périmé","✓ Validé"))))</f>
        <v/>
      </c>
    </row>
    <row r="569">
      <c r="A569" s="38" t="n"/>
      <c r="G569" s="8" t="n"/>
      <c r="H569" s="8">
        <f>IF(E569="","",E569*G569)</f>
        <v/>
      </c>
      <c r="J569" s="38" t="n"/>
      <c r="L569">
        <f>IF(D569="","",IF(OR(D569="Entrée Achat",D569="Entrée Retour"),K569+E569,K569-E569))</f>
        <v/>
      </c>
      <c r="P569">
        <f>IF(E569="","",IF(OR(D569="Entrée Achat",D569="Entrée Retour"),"✓ Validé",IF(D569="Sortie Perte","⚠️ Perte",IF(D569="Sortie Périmée","🔴 Périmé","✓ Validé"))))</f>
        <v/>
      </c>
    </row>
    <row r="570">
      <c r="A570" s="38" t="n"/>
      <c r="G570" s="8" t="n"/>
      <c r="H570" s="8">
        <f>IF(E570="","",E570*G570)</f>
        <v/>
      </c>
      <c r="J570" s="38" t="n"/>
      <c r="L570">
        <f>IF(D570="","",IF(OR(D570="Entrée Achat",D570="Entrée Retour"),K570+E570,K570-E570))</f>
        <v/>
      </c>
      <c r="P570">
        <f>IF(E570="","",IF(OR(D570="Entrée Achat",D570="Entrée Retour"),"✓ Validé",IF(D570="Sortie Perte","⚠️ Perte",IF(D570="Sortie Périmée","🔴 Périmé","✓ Validé"))))</f>
        <v/>
      </c>
    </row>
    <row r="571">
      <c r="A571" s="38" t="n"/>
      <c r="G571" s="8" t="n"/>
      <c r="H571" s="8">
        <f>IF(E571="","",E571*G571)</f>
        <v/>
      </c>
      <c r="J571" s="38" t="n"/>
      <c r="L571">
        <f>IF(D571="","",IF(OR(D571="Entrée Achat",D571="Entrée Retour"),K571+E571,K571-E571))</f>
        <v/>
      </c>
      <c r="P571">
        <f>IF(E571="","",IF(OR(D571="Entrée Achat",D571="Entrée Retour"),"✓ Validé",IF(D571="Sortie Perte","⚠️ Perte",IF(D571="Sortie Périmée","🔴 Périmé","✓ Validé"))))</f>
        <v/>
      </c>
    </row>
    <row r="572">
      <c r="A572" s="38" t="n"/>
      <c r="G572" s="8" t="n"/>
      <c r="H572" s="8">
        <f>IF(E572="","",E572*G572)</f>
        <v/>
      </c>
      <c r="J572" s="38" t="n"/>
      <c r="L572">
        <f>IF(D572="","",IF(OR(D572="Entrée Achat",D572="Entrée Retour"),K572+E572,K572-E572))</f>
        <v/>
      </c>
      <c r="P572">
        <f>IF(E572="","",IF(OR(D572="Entrée Achat",D572="Entrée Retour"),"✓ Validé",IF(D572="Sortie Perte","⚠️ Perte",IF(D572="Sortie Périmée","🔴 Périmé","✓ Validé"))))</f>
        <v/>
      </c>
    </row>
    <row r="573">
      <c r="A573" s="38" t="n"/>
      <c r="G573" s="8" t="n"/>
      <c r="H573" s="8">
        <f>IF(E573="","",E573*G573)</f>
        <v/>
      </c>
      <c r="J573" s="38" t="n"/>
      <c r="L573">
        <f>IF(D573="","",IF(OR(D573="Entrée Achat",D573="Entrée Retour"),K573+E573,K573-E573))</f>
        <v/>
      </c>
      <c r="P573">
        <f>IF(E573="","",IF(OR(D573="Entrée Achat",D573="Entrée Retour"),"✓ Validé",IF(D573="Sortie Perte","⚠️ Perte",IF(D573="Sortie Périmée","🔴 Périmé","✓ Validé"))))</f>
        <v/>
      </c>
    </row>
    <row r="574">
      <c r="A574" s="38" t="n"/>
      <c r="G574" s="8" t="n"/>
      <c r="H574" s="8">
        <f>IF(E574="","",E574*G574)</f>
        <v/>
      </c>
      <c r="J574" s="38" t="n"/>
      <c r="L574">
        <f>IF(D574="","",IF(OR(D574="Entrée Achat",D574="Entrée Retour"),K574+E574,K574-E574))</f>
        <v/>
      </c>
      <c r="P574">
        <f>IF(E574="","",IF(OR(D574="Entrée Achat",D574="Entrée Retour"),"✓ Validé",IF(D574="Sortie Perte","⚠️ Perte",IF(D574="Sortie Périmée","🔴 Périmé","✓ Validé"))))</f>
        <v/>
      </c>
    </row>
    <row r="575">
      <c r="A575" s="38" t="n"/>
      <c r="G575" s="8" t="n"/>
      <c r="H575" s="8">
        <f>IF(E575="","",E575*G575)</f>
        <v/>
      </c>
      <c r="J575" s="38" t="n"/>
      <c r="L575">
        <f>IF(D575="","",IF(OR(D575="Entrée Achat",D575="Entrée Retour"),K575+E575,K575-E575))</f>
        <v/>
      </c>
      <c r="P575">
        <f>IF(E575="","",IF(OR(D575="Entrée Achat",D575="Entrée Retour"),"✓ Validé",IF(D575="Sortie Perte","⚠️ Perte",IF(D575="Sortie Périmée","🔴 Périmé","✓ Validé"))))</f>
        <v/>
      </c>
    </row>
    <row r="576">
      <c r="A576" s="38" t="n"/>
      <c r="G576" s="8" t="n"/>
      <c r="H576" s="8">
        <f>IF(E576="","",E576*G576)</f>
        <v/>
      </c>
      <c r="J576" s="38" t="n"/>
      <c r="L576">
        <f>IF(D576="","",IF(OR(D576="Entrée Achat",D576="Entrée Retour"),K576+E576,K576-E576))</f>
        <v/>
      </c>
      <c r="P576">
        <f>IF(E576="","",IF(OR(D576="Entrée Achat",D576="Entrée Retour"),"✓ Validé",IF(D576="Sortie Perte","⚠️ Perte",IF(D576="Sortie Périmée","🔴 Périmé","✓ Validé"))))</f>
        <v/>
      </c>
    </row>
    <row r="577">
      <c r="A577" s="38" t="n"/>
      <c r="G577" s="8" t="n"/>
      <c r="H577" s="8">
        <f>IF(E577="","",E577*G577)</f>
        <v/>
      </c>
      <c r="J577" s="38" t="n"/>
      <c r="L577">
        <f>IF(D577="","",IF(OR(D577="Entrée Achat",D577="Entrée Retour"),K577+E577,K577-E577))</f>
        <v/>
      </c>
      <c r="P577">
        <f>IF(E577="","",IF(OR(D577="Entrée Achat",D577="Entrée Retour"),"✓ Validé",IF(D577="Sortie Perte","⚠️ Perte",IF(D577="Sortie Périmée","🔴 Périmé","✓ Validé"))))</f>
        <v/>
      </c>
    </row>
    <row r="578">
      <c r="A578" s="38" t="n"/>
      <c r="G578" s="8" t="n"/>
      <c r="H578" s="8">
        <f>IF(E578="","",E578*G578)</f>
        <v/>
      </c>
      <c r="J578" s="38" t="n"/>
      <c r="L578">
        <f>IF(D578="","",IF(OR(D578="Entrée Achat",D578="Entrée Retour"),K578+E578,K578-E578))</f>
        <v/>
      </c>
      <c r="P578">
        <f>IF(E578="","",IF(OR(D578="Entrée Achat",D578="Entrée Retour"),"✓ Validé",IF(D578="Sortie Perte","⚠️ Perte",IF(D578="Sortie Périmée","🔴 Périmé","✓ Validé"))))</f>
        <v/>
      </c>
    </row>
    <row r="579">
      <c r="A579" s="38" t="n"/>
      <c r="G579" s="8" t="n"/>
      <c r="H579" s="8">
        <f>IF(E579="","",E579*G579)</f>
        <v/>
      </c>
      <c r="J579" s="38" t="n"/>
      <c r="L579">
        <f>IF(D579="","",IF(OR(D579="Entrée Achat",D579="Entrée Retour"),K579+E579,K579-E579))</f>
        <v/>
      </c>
      <c r="P579">
        <f>IF(E579="","",IF(OR(D579="Entrée Achat",D579="Entrée Retour"),"✓ Validé",IF(D579="Sortie Perte","⚠️ Perte",IF(D579="Sortie Périmée","🔴 Périmé","✓ Validé"))))</f>
        <v/>
      </c>
    </row>
    <row r="580">
      <c r="A580" s="38" t="n"/>
      <c r="G580" s="8" t="n"/>
      <c r="H580" s="8">
        <f>IF(E580="","",E580*G580)</f>
        <v/>
      </c>
      <c r="J580" s="38" t="n"/>
      <c r="L580">
        <f>IF(D580="","",IF(OR(D580="Entrée Achat",D580="Entrée Retour"),K580+E580,K580-E580))</f>
        <v/>
      </c>
      <c r="P580">
        <f>IF(E580="","",IF(OR(D580="Entrée Achat",D580="Entrée Retour"),"✓ Validé",IF(D580="Sortie Perte","⚠️ Perte",IF(D580="Sortie Périmée","🔴 Périmé","✓ Validé"))))</f>
        <v/>
      </c>
    </row>
    <row r="581">
      <c r="A581" s="38" t="n"/>
      <c r="G581" s="8" t="n"/>
      <c r="H581" s="8">
        <f>IF(E581="","",E581*G581)</f>
        <v/>
      </c>
      <c r="J581" s="38" t="n"/>
      <c r="L581">
        <f>IF(D581="","",IF(OR(D581="Entrée Achat",D581="Entrée Retour"),K581+E581,K581-E581))</f>
        <v/>
      </c>
      <c r="P581">
        <f>IF(E581="","",IF(OR(D581="Entrée Achat",D581="Entrée Retour"),"✓ Validé",IF(D581="Sortie Perte","⚠️ Perte",IF(D581="Sortie Périmée","🔴 Périmé","✓ Validé"))))</f>
        <v/>
      </c>
    </row>
    <row r="582">
      <c r="A582" s="38" t="n"/>
      <c r="G582" s="8" t="n"/>
      <c r="H582" s="8">
        <f>IF(E582="","",E582*G582)</f>
        <v/>
      </c>
      <c r="J582" s="38" t="n"/>
      <c r="L582">
        <f>IF(D582="","",IF(OR(D582="Entrée Achat",D582="Entrée Retour"),K582+E582,K582-E582))</f>
        <v/>
      </c>
      <c r="P582">
        <f>IF(E582="","",IF(OR(D582="Entrée Achat",D582="Entrée Retour"),"✓ Validé",IF(D582="Sortie Perte","⚠️ Perte",IF(D582="Sortie Périmée","🔴 Périmé","✓ Validé"))))</f>
        <v/>
      </c>
    </row>
    <row r="583">
      <c r="A583" s="38" t="n"/>
      <c r="G583" s="8" t="n"/>
      <c r="H583" s="8">
        <f>IF(E583="","",E583*G583)</f>
        <v/>
      </c>
      <c r="J583" s="38" t="n"/>
      <c r="L583">
        <f>IF(D583="","",IF(OR(D583="Entrée Achat",D583="Entrée Retour"),K583+E583,K583-E583))</f>
        <v/>
      </c>
      <c r="P583">
        <f>IF(E583="","",IF(OR(D583="Entrée Achat",D583="Entrée Retour"),"✓ Validé",IF(D583="Sortie Perte","⚠️ Perte",IF(D583="Sortie Périmée","🔴 Périmé","✓ Validé"))))</f>
        <v/>
      </c>
    </row>
    <row r="584">
      <c r="A584" s="38" t="n"/>
      <c r="G584" s="8" t="n"/>
      <c r="H584" s="8">
        <f>IF(E584="","",E584*G584)</f>
        <v/>
      </c>
      <c r="J584" s="38" t="n"/>
      <c r="L584">
        <f>IF(D584="","",IF(OR(D584="Entrée Achat",D584="Entrée Retour"),K584+E584,K584-E584))</f>
        <v/>
      </c>
      <c r="P584">
        <f>IF(E584="","",IF(OR(D584="Entrée Achat",D584="Entrée Retour"),"✓ Validé",IF(D584="Sortie Perte","⚠️ Perte",IF(D584="Sortie Périmée","🔴 Périmé","✓ Validé"))))</f>
        <v/>
      </c>
    </row>
    <row r="585">
      <c r="A585" s="38" t="n"/>
      <c r="G585" s="8" t="n"/>
      <c r="H585" s="8">
        <f>IF(E585="","",E585*G585)</f>
        <v/>
      </c>
      <c r="J585" s="38" t="n"/>
      <c r="L585">
        <f>IF(D585="","",IF(OR(D585="Entrée Achat",D585="Entrée Retour"),K585+E585,K585-E585))</f>
        <v/>
      </c>
      <c r="P585">
        <f>IF(E585="","",IF(OR(D585="Entrée Achat",D585="Entrée Retour"),"✓ Validé",IF(D585="Sortie Perte","⚠️ Perte",IF(D585="Sortie Périmée","🔴 Périmé","✓ Validé"))))</f>
        <v/>
      </c>
    </row>
    <row r="586">
      <c r="A586" s="38" t="n"/>
      <c r="G586" s="8" t="n"/>
      <c r="H586" s="8">
        <f>IF(E586="","",E586*G586)</f>
        <v/>
      </c>
      <c r="J586" s="38" t="n"/>
      <c r="L586">
        <f>IF(D586="","",IF(OR(D586="Entrée Achat",D586="Entrée Retour"),K586+E586,K586-E586))</f>
        <v/>
      </c>
      <c r="P586">
        <f>IF(E586="","",IF(OR(D586="Entrée Achat",D586="Entrée Retour"),"✓ Validé",IF(D586="Sortie Perte","⚠️ Perte",IF(D586="Sortie Périmée","🔴 Périmé","✓ Validé"))))</f>
        <v/>
      </c>
    </row>
    <row r="587">
      <c r="A587" s="38" t="n"/>
      <c r="G587" s="8" t="n"/>
      <c r="H587" s="8">
        <f>IF(E587="","",E587*G587)</f>
        <v/>
      </c>
      <c r="J587" s="38" t="n"/>
      <c r="L587">
        <f>IF(D587="","",IF(OR(D587="Entrée Achat",D587="Entrée Retour"),K587+E587,K587-E587))</f>
        <v/>
      </c>
      <c r="P587">
        <f>IF(E587="","",IF(OR(D587="Entrée Achat",D587="Entrée Retour"),"✓ Validé",IF(D587="Sortie Perte","⚠️ Perte",IF(D587="Sortie Périmée","🔴 Périmé","✓ Validé"))))</f>
        <v/>
      </c>
    </row>
    <row r="588">
      <c r="A588" s="38" t="n"/>
      <c r="G588" s="8" t="n"/>
      <c r="H588" s="8">
        <f>IF(E588="","",E588*G588)</f>
        <v/>
      </c>
      <c r="J588" s="38" t="n"/>
      <c r="L588">
        <f>IF(D588="","",IF(OR(D588="Entrée Achat",D588="Entrée Retour"),K588+E588,K588-E588))</f>
        <v/>
      </c>
      <c r="P588">
        <f>IF(E588="","",IF(OR(D588="Entrée Achat",D588="Entrée Retour"),"✓ Validé",IF(D588="Sortie Perte","⚠️ Perte",IF(D588="Sortie Périmée","🔴 Périmé","✓ Validé"))))</f>
        <v/>
      </c>
    </row>
    <row r="589">
      <c r="A589" s="38" t="n"/>
      <c r="G589" s="8" t="n"/>
      <c r="H589" s="8">
        <f>IF(E589="","",E589*G589)</f>
        <v/>
      </c>
      <c r="J589" s="38" t="n"/>
      <c r="L589">
        <f>IF(D589="","",IF(OR(D589="Entrée Achat",D589="Entrée Retour"),K589+E589,K589-E589))</f>
        <v/>
      </c>
      <c r="P589">
        <f>IF(E589="","",IF(OR(D589="Entrée Achat",D589="Entrée Retour"),"✓ Validé",IF(D589="Sortie Perte","⚠️ Perte",IF(D589="Sortie Périmée","🔴 Périmé","✓ Validé"))))</f>
        <v/>
      </c>
    </row>
    <row r="590">
      <c r="A590" s="38" t="n"/>
      <c r="G590" s="8" t="n"/>
      <c r="H590" s="8">
        <f>IF(E590="","",E590*G590)</f>
        <v/>
      </c>
      <c r="J590" s="38" t="n"/>
      <c r="L590">
        <f>IF(D590="","",IF(OR(D590="Entrée Achat",D590="Entrée Retour"),K590+E590,K590-E590))</f>
        <v/>
      </c>
      <c r="P590">
        <f>IF(E590="","",IF(OR(D590="Entrée Achat",D590="Entrée Retour"),"✓ Validé",IF(D590="Sortie Perte","⚠️ Perte",IF(D590="Sortie Périmée","🔴 Périmé","✓ Validé"))))</f>
        <v/>
      </c>
    </row>
    <row r="591">
      <c r="A591" s="38" t="n"/>
      <c r="G591" s="8" t="n"/>
      <c r="H591" s="8">
        <f>IF(E591="","",E591*G591)</f>
        <v/>
      </c>
      <c r="J591" s="38" t="n"/>
      <c r="L591">
        <f>IF(D591="","",IF(OR(D591="Entrée Achat",D591="Entrée Retour"),K591+E591,K591-E591))</f>
        <v/>
      </c>
      <c r="P591">
        <f>IF(E591="","",IF(OR(D591="Entrée Achat",D591="Entrée Retour"),"✓ Validé",IF(D591="Sortie Perte","⚠️ Perte",IF(D591="Sortie Périmée","🔴 Périmé","✓ Validé"))))</f>
        <v/>
      </c>
    </row>
    <row r="592">
      <c r="A592" s="38" t="n"/>
      <c r="G592" s="8" t="n"/>
      <c r="H592" s="8">
        <f>IF(E592="","",E592*G592)</f>
        <v/>
      </c>
      <c r="J592" s="38" t="n"/>
      <c r="L592">
        <f>IF(D592="","",IF(OR(D592="Entrée Achat",D592="Entrée Retour"),K592+E592,K592-E592))</f>
        <v/>
      </c>
      <c r="P592">
        <f>IF(E592="","",IF(OR(D592="Entrée Achat",D592="Entrée Retour"),"✓ Validé",IF(D592="Sortie Perte","⚠️ Perte",IF(D592="Sortie Périmée","🔴 Périmé","✓ Validé"))))</f>
        <v/>
      </c>
    </row>
    <row r="593">
      <c r="A593" s="38" t="n"/>
      <c r="G593" s="8" t="n"/>
      <c r="H593" s="8">
        <f>IF(E593="","",E593*G593)</f>
        <v/>
      </c>
      <c r="J593" s="38" t="n"/>
      <c r="L593">
        <f>IF(D593="","",IF(OR(D593="Entrée Achat",D593="Entrée Retour"),K593+E593,K593-E593))</f>
        <v/>
      </c>
      <c r="P593">
        <f>IF(E593="","",IF(OR(D593="Entrée Achat",D593="Entrée Retour"),"✓ Validé",IF(D593="Sortie Perte","⚠️ Perte",IF(D593="Sortie Périmée","🔴 Périmé","✓ Validé"))))</f>
        <v/>
      </c>
    </row>
    <row r="594">
      <c r="A594" s="38" t="n"/>
      <c r="G594" s="8" t="n"/>
      <c r="H594" s="8">
        <f>IF(E594="","",E594*G594)</f>
        <v/>
      </c>
      <c r="J594" s="38" t="n"/>
      <c r="L594">
        <f>IF(D594="","",IF(OR(D594="Entrée Achat",D594="Entrée Retour"),K594+E594,K594-E594))</f>
        <v/>
      </c>
      <c r="P594">
        <f>IF(E594="","",IF(OR(D594="Entrée Achat",D594="Entrée Retour"),"✓ Validé",IF(D594="Sortie Perte","⚠️ Perte",IF(D594="Sortie Périmée","🔴 Périmé","✓ Validé"))))</f>
        <v/>
      </c>
    </row>
    <row r="595">
      <c r="A595" s="38" t="n"/>
      <c r="G595" s="8" t="n"/>
      <c r="H595" s="8">
        <f>IF(E595="","",E595*G595)</f>
        <v/>
      </c>
      <c r="J595" s="38" t="n"/>
      <c r="L595">
        <f>IF(D595="","",IF(OR(D595="Entrée Achat",D595="Entrée Retour"),K595+E595,K595-E595))</f>
        <v/>
      </c>
      <c r="P595">
        <f>IF(E595="","",IF(OR(D595="Entrée Achat",D595="Entrée Retour"),"✓ Validé",IF(D595="Sortie Perte","⚠️ Perte",IF(D595="Sortie Périmée","🔴 Périmé","✓ Validé"))))</f>
        <v/>
      </c>
    </row>
    <row r="596">
      <c r="A596" s="38" t="n"/>
      <c r="G596" s="8" t="n"/>
      <c r="H596" s="8">
        <f>IF(E596="","",E596*G596)</f>
        <v/>
      </c>
      <c r="J596" s="38" t="n"/>
      <c r="L596">
        <f>IF(D596="","",IF(OR(D596="Entrée Achat",D596="Entrée Retour"),K596+E596,K596-E596))</f>
        <v/>
      </c>
      <c r="P596">
        <f>IF(E596="","",IF(OR(D596="Entrée Achat",D596="Entrée Retour"),"✓ Validé",IF(D596="Sortie Perte","⚠️ Perte",IF(D596="Sortie Périmée","🔴 Périmé","✓ Validé"))))</f>
        <v/>
      </c>
    </row>
    <row r="597">
      <c r="A597" s="38" t="n"/>
      <c r="G597" s="8" t="n"/>
      <c r="H597" s="8">
        <f>IF(E597="","",E597*G597)</f>
        <v/>
      </c>
      <c r="J597" s="38" t="n"/>
      <c r="L597">
        <f>IF(D597="","",IF(OR(D597="Entrée Achat",D597="Entrée Retour"),K597+E597,K597-E597))</f>
        <v/>
      </c>
      <c r="P597">
        <f>IF(E597="","",IF(OR(D597="Entrée Achat",D597="Entrée Retour"),"✓ Validé",IF(D597="Sortie Perte","⚠️ Perte",IF(D597="Sortie Périmée","🔴 Périmé","✓ Validé"))))</f>
        <v/>
      </c>
    </row>
    <row r="598">
      <c r="A598" s="38" t="n"/>
      <c r="G598" s="8" t="n"/>
      <c r="H598" s="8">
        <f>IF(E598="","",E598*G598)</f>
        <v/>
      </c>
      <c r="J598" s="38" t="n"/>
      <c r="L598">
        <f>IF(D598="","",IF(OR(D598="Entrée Achat",D598="Entrée Retour"),K598+E598,K598-E598))</f>
        <v/>
      </c>
      <c r="P598">
        <f>IF(E598="","",IF(OR(D598="Entrée Achat",D598="Entrée Retour"),"✓ Validé",IF(D598="Sortie Perte","⚠️ Perte",IF(D598="Sortie Périmée","🔴 Périmé","✓ Validé"))))</f>
        <v/>
      </c>
    </row>
    <row r="599">
      <c r="A599" s="38" t="n"/>
      <c r="G599" s="8" t="n"/>
      <c r="H599" s="8">
        <f>IF(E599="","",E599*G599)</f>
        <v/>
      </c>
      <c r="J599" s="38" t="n"/>
      <c r="L599">
        <f>IF(D599="","",IF(OR(D599="Entrée Achat",D599="Entrée Retour"),K599+E599,K599-E599))</f>
        <v/>
      </c>
      <c r="P599">
        <f>IF(E599="","",IF(OR(D599="Entrée Achat",D599="Entrée Retour"),"✓ Validé",IF(D599="Sortie Perte","⚠️ Perte",IF(D599="Sortie Périmée","🔴 Périmé","✓ Validé"))))</f>
        <v/>
      </c>
    </row>
    <row r="600">
      <c r="A600" s="38" t="n"/>
      <c r="G600" s="8" t="n"/>
      <c r="H600" s="8">
        <f>IF(E600="","",E600*G600)</f>
        <v/>
      </c>
      <c r="J600" s="38" t="n"/>
      <c r="L600">
        <f>IF(D600="","",IF(OR(D600="Entrée Achat",D600="Entrée Retour"),K600+E600,K600-E600))</f>
        <v/>
      </c>
      <c r="P600">
        <f>IF(E600="","",IF(OR(D600="Entrée Achat",D600="Entrée Retour"),"✓ Validé",IF(D600="Sortie Perte","⚠️ Perte",IF(D600="Sortie Périmée","🔴 Périmé","✓ Validé"))))</f>
        <v/>
      </c>
    </row>
    <row r="601">
      <c r="A601" s="38" t="n"/>
      <c r="G601" s="8" t="n"/>
      <c r="H601" s="8">
        <f>IF(E601="","",E601*G601)</f>
        <v/>
      </c>
      <c r="J601" s="38" t="n"/>
      <c r="L601">
        <f>IF(D601="","",IF(OR(D601="Entrée Achat",D601="Entrée Retour"),K601+E601,K601-E601))</f>
        <v/>
      </c>
      <c r="P601">
        <f>IF(E601="","",IF(OR(D601="Entrée Achat",D601="Entrée Retour"),"✓ Validé",IF(D601="Sortie Perte","⚠️ Perte",IF(D601="Sortie Périmée","🔴 Périmé","✓ Validé"))))</f>
        <v/>
      </c>
    </row>
    <row r="602">
      <c r="A602" s="38" t="n"/>
      <c r="G602" s="8" t="n"/>
      <c r="H602" s="8">
        <f>IF(E602="","",E602*G602)</f>
        <v/>
      </c>
      <c r="J602" s="38" t="n"/>
      <c r="L602">
        <f>IF(D602="","",IF(OR(D602="Entrée Achat",D602="Entrée Retour"),K602+E602,K602-E602))</f>
        <v/>
      </c>
      <c r="P602">
        <f>IF(E602="","",IF(OR(D602="Entrée Achat",D602="Entrée Retour"),"✓ Validé",IF(D602="Sortie Perte","⚠️ Perte",IF(D602="Sortie Périmée","🔴 Périmé","✓ Validé"))))</f>
        <v/>
      </c>
    </row>
    <row r="603">
      <c r="A603" s="38" t="n"/>
      <c r="G603" s="8" t="n"/>
      <c r="H603" s="8">
        <f>IF(E603="","",E603*G603)</f>
        <v/>
      </c>
      <c r="J603" s="38" t="n"/>
      <c r="L603">
        <f>IF(D603="","",IF(OR(D603="Entrée Achat",D603="Entrée Retour"),K603+E603,K603-E603))</f>
        <v/>
      </c>
      <c r="P603">
        <f>IF(E603="","",IF(OR(D603="Entrée Achat",D603="Entrée Retour"),"✓ Validé",IF(D603="Sortie Perte","⚠️ Perte",IF(D603="Sortie Périmée","🔴 Périmé","✓ Validé"))))</f>
        <v/>
      </c>
    </row>
    <row r="604">
      <c r="A604" s="38" t="n"/>
      <c r="G604" s="8" t="n"/>
      <c r="H604" s="8">
        <f>IF(E604="","",E604*G604)</f>
        <v/>
      </c>
      <c r="J604" s="38" t="n"/>
      <c r="L604">
        <f>IF(D604="","",IF(OR(D604="Entrée Achat",D604="Entrée Retour"),K604+E604,K604-E604))</f>
        <v/>
      </c>
      <c r="P604">
        <f>IF(E604="","",IF(OR(D604="Entrée Achat",D604="Entrée Retour"),"✓ Validé",IF(D604="Sortie Perte","⚠️ Perte",IF(D604="Sortie Périmée","🔴 Périmé","✓ Validé"))))</f>
        <v/>
      </c>
    </row>
    <row r="605">
      <c r="A605" s="38" t="n"/>
      <c r="G605" s="8" t="n"/>
      <c r="H605" s="8">
        <f>IF(E605="","",E605*G605)</f>
        <v/>
      </c>
      <c r="J605" s="38" t="n"/>
      <c r="L605">
        <f>IF(D605="","",IF(OR(D605="Entrée Achat",D605="Entrée Retour"),K605+E605,K605-E605))</f>
        <v/>
      </c>
      <c r="P605">
        <f>IF(E605="","",IF(OR(D605="Entrée Achat",D605="Entrée Retour"),"✓ Validé",IF(D605="Sortie Perte","⚠️ Perte",IF(D605="Sortie Périmée","🔴 Périmé","✓ Validé"))))</f>
        <v/>
      </c>
    </row>
    <row r="606">
      <c r="A606" s="38" t="n"/>
      <c r="G606" s="8" t="n"/>
      <c r="H606" s="8">
        <f>IF(E606="","",E606*G606)</f>
        <v/>
      </c>
      <c r="J606" s="38" t="n"/>
      <c r="L606">
        <f>IF(D606="","",IF(OR(D606="Entrée Achat",D606="Entrée Retour"),K606+E606,K606-E606))</f>
        <v/>
      </c>
      <c r="P606">
        <f>IF(E606="","",IF(OR(D606="Entrée Achat",D606="Entrée Retour"),"✓ Validé",IF(D606="Sortie Perte","⚠️ Perte",IF(D606="Sortie Périmée","🔴 Périmé","✓ Validé"))))</f>
        <v/>
      </c>
    </row>
    <row r="607">
      <c r="A607" s="38" t="n"/>
      <c r="G607" s="8" t="n"/>
      <c r="H607" s="8">
        <f>IF(E607="","",E607*G607)</f>
        <v/>
      </c>
      <c r="J607" s="38" t="n"/>
      <c r="L607">
        <f>IF(D607="","",IF(OR(D607="Entrée Achat",D607="Entrée Retour"),K607+E607,K607-E607))</f>
        <v/>
      </c>
      <c r="P607">
        <f>IF(E607="","",IF(OR(D607="Entrée Achat",D607="Entrée Retour"),"✓ Validé",IF(D607="Sortie Perte","⚠️ Perte",IF(D607="Sortie Périmée","🔴 Périmé","✓ Validé"))))</f>
        <v/>
      </c>
    </row>
    <row r="608">
      <c r="A608" s="38" t="n"/>
      <c r="G608" s="8" t="n"/>
      <c r="H608" s="8">
        <f>IF(E608="","",E608*G608)</f>
        <v/>
      </c>
      <c r="J608" s="38" t="n"/>
      <c r="L608">
        <f>IF(D608="","",IF(OR(D608="Entrée Achat",D608="Entrée Retour"),K608+E608,K608-E608))</f>
        <v/>
      </c>
      <c r="P608">
        <f>IF(E608="","",IF(OR(D608="Entrée Achat",D608="Entrée Retour"),"✓ Validé",IF(D608="Sortie Perte","⚠️ Perte",IF(D608="Sortie Périmée","🔴 Périmé","✓ Validé"))))</f>
        <v/>
      </c>
    </row>
    <row r="609">
      <c r="A609" s="38" t="n"/>
      <c r="G609" s="8" t="n"/>
      <c r="H609" s="8">
        <f>IF(E609="","",E609*G609)</f>
        <v/>
      </c>
      <c r="J609" s="38" t="n"/>
      <c r="L609">
        <f>IF(D609="","",IF(OR(D609="Entrée Achat",D609="Entrée Retour"),K609+E609,K609-E609))</f>
        <v/>
      </c>
      <c r="P609">
        <f>IF(E609="","",IF(OR(D609="Entrée Achat",D609="Entrée Retour"),"✓ Validé",IF(D609="Sortie Perte","⚠️ Perte",IF(D609="Sortie Périmée","🔴 Périmé","✓ Validé"))))</f>
        <v/>
      </c>
    </row>
    <row r="610">
      <c r="A610" s="38" t="n"/>
      <c r="G610" s="8" t="n"/>
      <c r="H610" s="8">
        <f>IF(E610="","",E610*G610)</f>
        <v/>
      </c>
      <c r="J610" s="38" t="n"/>
      <c r="L610">
        <f>IF(D610="","",IF(OR(D610="Entrée Achat",D610="Entrée Retour"),K610+E610,K610-E610))</f>
        <v/>
      </c>
      <c r="P610">
        <f>IF(E610="","",IF(OR(D610="Entrée Achat",D610="Entrée Retour"),"✓ Validé",IF(D610="Sortie Perte","⚠️ Perte",IF(D610="Sortie Périmée","🔴 Périmé","✓ Validé"))))</f>
        <v/>
      </c>
    </row>
    <row r="611">
      <c r="A611" s="38" t="n"/>
      <c r="G611" s="8" t="n"/>
      <c r="H611" s="8">
        <f>IF(E611="","",E611*G611)</f>
        <v/>
      </c>
      <c r="J611" s="38" t="n"/>
      <c r="L611">
        <f>IF(D611="","",IF(OR(D611="Entrée Achat",D611="Entrée Retour"),K611+E611,K611-E611))</f>
        <v/>
      </c>
      <c r="P611">
        <f>IF(E611="","",IF(OR(D611="Entrée Achat",D611="Entrée Retour"),"✓ Validé",IF(D611="Sortie Perte","⚠️ Perte",IF(D611="Sortie Périmée","🔴 Périmé","✓ Validé"))))</f>
        <v/>
      </c>
    </row>
    <row r="612">
      <c r="A612" s="38" t="n"/>
      <c r="G612" s="8" t="n"/>
      <c r="H612" s="8">
        <f>IF(E612="","",E612*G612)</f>
        <v/>
      </c>
      <c r="J612" s="38" t="n"/>
      <c r="L612">
        <f>IF(D612="","",IF(OR(D612="Entrée Achat",D612="Entrée Retour"),K612+E612,K612-E612))</f>
        <v/>
      </c>
      <c r="P612">
        <f>IF(E612="","",IF(OR(D612="Entrée Achat",D612="Entrée Retour"),"✓ Validé",IF(D612="Sortie Perte","⚠️ Perte",IF(D612="Sortie Périmée","🔴 Périmé","✓ Validé"))))</f>
        <v/>
      </c>
    </row>
    <row r="613">
      <c r="A613" s="38" t="n"/>
      <c r="G613" s="8" t="n"/>
      <c r="H613" s="8">
        <f>IF(E613="","",E613*G613)</f>
        <v/>
      </c>
      <c r="J613" s="38" t="n"/>
      <c r="L613">
        <f>IF(D613="","",IF(OR(D613="Entrée Achat",D613="Entrée Retour"),K613+E613,K613-E613))</f>
        <v/>
      </c>
      <c r="P613">
        <f>IF(E613="","",IF(OR(D613="Entrée Achat",D613="Entrée Retour"),"✓ Validé",IF(D613="Sortie Perte","⚠️ Perte",IF(D613="Sortie Périmée","🔴 Périmé","✓ Validé"))))</f>
        <v/>
      </c>
    </row>
    <row r="614">
      <c r="A614" s="38" t="n"/>
      <c r="G614" s="8" t="n"/>
      <c r="H614" s="8">
        <f>IF(E614="","",E614*G614)</f>
        <v/>
      </c>
      <c r="J614" s="38" t="n"/>
      <c r="L614">
        <f>IF(D614="","",IF(OR(D614="Entrée Achat",D614="Entrée Retour"),K614+E614,K614-E614))</f>
        <v/>
      </c>
      <c r="P614">
        <f>IF(E614="","",IF(OR(D614="Entrée Achat",D614="Entrée Retour"),"✓ Validé",IF(D614="Sortie Perte","⚠️ Perte",IF(D614="Sortie Périmée","🔴 Périmé","✓ Validé"))))</f>
        <v/>
      </c>
    </row>
    <row r="615">
      <c r="A615" s="38" t="n"/>
      <c r="G615" s="8" t="n"/>
      <c r="H615" s="8">
        <f>IF(E615="","",E615*G615)</f>
        <v/>
      </c>
      <c r="J615" s="38" t="n"/>
      <c r="L615">
        <f>IF(D615="","",IF(OR(D615="Entrée Achat",D615="Entrée Retour"),K615+E615,K615-E615))</f>
        <v/>
      </c>
      <c r="P615">
        <f>IF(E615="","",IF(OR(D615="Entrée Achat",D615="Entrée Retour"),"✓ Validé",IF(D615="Sortie Perte","⚠️ Perte",IF(D615="Sortie Périmée","🔴 Périmé","✓ Validé"))))</f>
        <v/>
      </c>
    </row>
    <row r="616">
      <c r="A616" s="38" t="n"/>
      <c r="G616" s="8" t="n"/>
      <c r="H616" s="8">
        <f>IF(E616="","",E616*G616)</f>
        <v/>
      </c>
      <c r="J616" s="38" t="n"/>
      <c r="L616">
        <f>IF(D616="","",IF(OR(D616="Entrée Achat",D616="Entrée Retour"),K616+E616,K616-E616))</f>
        <v/>
      </c>
      <c r="P616">
        <f>IF(E616="","",IF(OR(D616="Entrée Achat",D616="Entrée Retour"),"✓ Validé",IF(D616="Sortie Perte","⚠️ Perte",IF(D616="Sortie Périmée","🔴 Périmé","✓ Validé"))))</f>
        <v/>
      </c>
    </row>
    <row r="617">
      <c r="A617" s="38" t="n"/>
      <c r="G617" s="8" t="n"/>
      <c r="H617" s="8">
        <f>IF(E617="","",E617*G617)</f>
        <v/>
      </c>
      <c r="J617" s="38" t="n"/>
      <c r="L617">
        <f>IF(D617="","",IF(OR(D617="Entrée Achat",D617="Entrée Retour"),K617+E617,K617-E617))</f>
        <v/>
      </c>
      <c r="P617">
        <f>IF(E617="","",IF(OR(D617="Entrée Achat",D617="Entrée Retour"),"✓ Validé",IF(D617="Sortie Perte","⚠️ Perte",IF(D617="Sortie Périmée","🔴 Périmé","✓ Validé"))))</f>
        <v/>
      </c>
    </row>
    <row r="618">
      <c r="A618" s="38" t="n"/>
      <c r="G618" s="8" t="n"/>
      <c r="H618" s="8">
        <f>IF(E618="","",E618*G618)</f>
        <v/>
      </c>
      <c r="J618" s="38" t="n"/>
      <c r="L618">
        <f>IF(D618="","",IF(OR(D618="Entrée Achat",D618="Entrée Retour"),K618+E618,K618-E618))</f>
        <v/>
      </c>
      <c r="P618">
        <f>IF(E618="","",IF(OR(D618="Entrée Achat",D618="Entrée Retour"),"✓ Validé",IF(D618="Sortie Perte","⚠️ Perte",IF(D618="Sortie Périmée","🔴 Périmé","✓ Validé"))))</f>
        <v/>
      </c>
    </row>
    <row r="619">
      <c r="A619" s="38" t="n"/>
      <c r="G619" s="8" t="n"/>
      <c r="H619" s="8">
        <f>IF(E619="","",E619*G619)</f>
        <v/>
      </c>
      <c r="J619" s="38" t="n"/>
      <c r="L619">
        <f>IF(D619="","",IF(OR(D619="Entrée Achat",D619="Entrée Retour"),K619+E619,K619-E619))</f>
        <v/>
      </c>
      <c r="P619">
        <f>IF(E619="","",IF(OR(D619="Entrée Achat",D619="Entrée Retour"),"✓ Validé",IF(D619="Sortie Perte","⚠️ Perte",IF(D619="Sortie Périmée","🔴 Périmé","✓ Validé"))))</f>
        <v/>
      </c>
    </row>
    <row r="620">
      <c r="A620" s="38" t="n"/>
      <c r="G620" s="8" t="n"/>
      <c r="H620" s="8">
        <f>IF(E620="","",E620*G620)</f>
        <v/>
      </c>
      <c r="J620" s="38" t="n"/>
      <c r="L620">
        <f>IF(D620="","",IF(OR(D620="Entrée Achat",D620="Entrée Retour"),K620+E620,K620-E620))</f>
        <v/>
      </c>
      <c r="P620">
        <f>IF(E620="","",IF(OR(D620="Entrée Achat",D620="Entrée Retour"),"✓ Validé",IF(D620="Sortie Perte","⚠️ Perte",IF(D620="Sortie Périmée","🔴 Périmé","✓ Validé"))))</f>
        <v/>
      </c>
    </row>
    <row r="621">
      <c r="A621" s="38" t="n"/>
      <c r="G621" s="8" t="n"/>
      <c r="H621" s="8">
        <f>IF(E621="","",E621*G621)</f>
        <v/>
      </c>
      <c r="J621" s="38" t="n"/>
      <c r="L621">
        <f>IF(D621="","",IF(OR(D621="Entrée Achat",D621="Entrée Retour"),K621+E621,K621-E621))</f>
        <v/>
      </c>
      <c r="P621">
        <f>IF(E621="","",IF(OR(D621="Entrée Achat",D621="Entrée Retour"),"✓ Validé",IF(D621="Sortie Perte","⚠️ Perte",IF(D621="Sortie Périmée","🔴 Périmé","✓ Validé"))))</f>
        <v/>
      </c>
    </row>
    <row r="622">
      <c r="A622" s="38" t="n"/>
      <c r="G622" s="8" t="n"/>
      <c r="H622" s="8">
        <f>IF(E622="","",E622*G622)</f>
        <v/>
      </c>
      <c r="J622" s="38" t="n"/>
      <c r="L622">
        <f>IF(D622="","",IF(OR(D622="Entrée Achat",D622="Entrée Retour"),K622+E622,K622-E622))</f>
        <v/>
      </c>
      <c r="P622">
        <f>IF(E622="","",IF(OR(D622="Entrée Achat",D622="Entrée Retour"),"✓ Validé",IF(D622="Sortie Perte","⚠️ Perte",IF(D622="Sortie Périmée","🔴 Périmé","✓ Validé"))))</f>
        <v/>
      </c>
    </row>
    <row r="623">
      <c r="A623" s="38" t="n"/>
      <c r="G623" s="8" t="n"/>
      <c r="H623" s="8">
        <f>IF(E623="","",E623*G623)</f>
        <v/>
      </c>
      <c r="J623" s="38" t="n"/>
      <c r="L623">
        <f>IF(D623="","",IF(OR(D623="Entrée Achat",D623="Entrée Retour"),K623+E623,K623-E623))</f>
        <v/>
      </c>
      <c r="P623">
        <f>IF(E623="","",IF(OR(D623="Entrée Achat",D623="Entrée Retour"),"✓ Validé",IF(D623="Sortie Perte","⚠️ Perte",IF(D623="Sortie Périmée","🔴 Périmé","✓ Validé"))))</f>
        <v/>
      </c>
    </row>
    <row r="624">
      <c r="A624" s="38" t="n"/>
      <c r="G624" s="8" t="n"/>
      <c r="H624" s="8">
        <f>IF(E624="","",E624*G624)</f>
        <v/>
      </c>
      <c r="J624" s="38" t="n"/>
      <c r="L624">
        <f>IF(D624="","",IF(OR(D624="Entrée Achat",D624="Entrée Retour"),K624+E624,K624-E624))</f>
        <v/>
      </c>
      <c r="P624">
        <f>IF(E624="","",IF(OR(D624="Entrée Achat",D624="Entrée Retour"),"✓ Validé",IF(D624="Sortie Perte","⚠️ Perte",IF(D624="Sortie Périmée","🔴 Périmé","✓ Validé"))))</f>
        <v/>
      </c>
    </row>
    <row r="625">
      <c r="A625" s="38" t="n"/>
      <c r="G625" s="8" t="n"/>
      <c r="H625" s="8">
        <f>IF(E625="","",E625*G625)</f>
        <v/>
      </c>
      <c r="J625" s="38" t="n"/>
      <c r="L625">
        <f>IF(D625="","",IF(OR(D625="Entrée Achat",D625="Entrée Retour"),K625+E625,K625-E625))</f>
        <v/>
      </c>
      <c r="P625">
        <f>IF(E625="","",IF(OR(D625="Entrée Achat",D625="Entrée Retour"),"✓ Validé",IF(D625="Sortie Perte","⚠️ Perte",IF(D625="Sortie Périmée","🔴 Périmé","✓ Validé"))))</f>
        <v/>
      </c>
    </row>
    <row r="626">
      <c r="A626" s="38" t="n"/>
      <c r="G626" s="8" t="n"/>
      <c r="H626" s="8">
        <f>IF(E626="","",E626*G626)</f>
        <v/>
      </c>
      <c r="J626" s="38" t="n"/>
      <c r="L626">
        <f>IF(D626="","",IF(OR(D626="Entrée Achat",D626="Entrée Retour"),K626+E626,K626-E626))</f>
        <v/>
      </c>
      <c r="P626">
        <f>IF(E626="","",IF(OR(D626="Entrée Achat",D626="Entrée Retour"),"✓ Validé",IF(D626="Sortie Perte","⚠️ Perte",IF(D626="Sortie Périmée","🔴 Périmé","✓ Validé"))))</f>
        <v/>
      </c>
    </row>
    <row r="627">
      <c r="A627" s="38" t="n"/>
      <c r="G627" s="8" t="n"/>
      <c r="H627" s="8">
        <f>IF(E627="","",E627*G627)</f>
        <v/>
      </c>
      <c r="J627" s="38" t="n"/>
      <c r="L627">
        <f>IF(D627="","",IF(OR(D627="Entrée Achat",D627="Entrée Retour"),K627+E627,K627-E627))</f>
        <v/>
      </c>
      <c r="P627">
        <f>IF(E627="","",IF(OR(D627="Entrée Achat",D627="Entrée Retour"),"✓ Validé",IF(D627="Sortie Perte","⚠️ Perte",IF(D627="Sortie Périmée","🔴 Périmé","✓ Validé"))))</f>
        <v/>
      </c>
    </row>
    <row r="628">
      <c r="A628" s="38" t="n"/>
      <c r="G628" s="8" t="n"/>
      <c r="H628" s="8">
        <f>IF(E628="","",E628*G628)</f>
        <v/>
      </c>
      <c r="J628" s="38" t="n"/>
      <c r="L628">
        <f>IF(D628="","",IF(OR(D628="Entrée Achat",D628="Entrée Retour"),K628+E628,K628-E628))</f>
        <v/>
      </c>
      <c r="P628">
        <f>IF(E628="","",IF(OR(D628="Entrée Achat",D628="Entrée Retour"),"✓ Validé",IF(D628="Sortie Perte","⚠️ Perte",IF(D628="Sortie Périmée","🔴 Périmé","✓ Validé"))))</f>
        <v/>
      </c>
    </row>
    <row r="629">
      <c r="A629" s="38" t="n"/>
      <c r="G629" s="8" t="n"/>
      <c r="H629" s="8">
        <f>IF(E629="","",E629*G629)</f>
        <v/>
      </c>
      <c r="J629" s="38" t="n"/>
      <c r="L629">
        <f>IF(D629="","",IF(OR(D629="Entrée Achat",D629="Entrée Retour"),K629+E629,K629-E629))</f>
        <v/>
      </c>
      <c r="P629">
        <f>IF(E629="","",IF(OR(D629="Entrée Achat",D629="Entrée Retour"),"✓ Validé",IF(D629="Sortie Perte","⚠️ Perte",IF(D629="Sortie Périmée","🔴 Périmé","✓ Validé"))))</f>
        <v/>
      </c>
    </row>
    <row r="630">
      <c r="A630" s="38" t="n"/>
      <c r="G630" s="8" t="n"/>
      <c r="H630" s="8">
        <f>IF(E630="","",E630*G630)</f>
        <v/>
      </c>
      <c r="J630" s="38" t="n"/>
      <c r="L630">
        <f>IF(D630="","",IF(OR(D630="Entrée Achat",D630="Entrée Retour"),K630+E630,K630-E630))</f>
        <v/>
      </c>
      <c r="P630">
        <f>IF(E630="","",IF(OR(D630="Entrée Achat",D630="Entrée Retour"),"✓ Validé",IF(D630="Sortie Perte","⚠️ Perte",IF(D630="Sortie Périmée","🔴 Périmé","✓ Validé"))))</f>
        <v/>
      </c>
    </row>
    <row r="631">
      <c r="A631" s="38" t="n"/>
      <c r="G631" s="8" t="n"/>
      <c r="H631" s="8">
        <f>IF(E631="","",E631*G631)</f>
        <v/>
      </c>
      <c r="J631" s="38" t="n"/>
      <c r="L631">
        <f>IF(D631="","",IF(OR(D631="Entrée Achat",D631="Entrée Retour"),K631+E631,K631-E631))</f>
        <v/>
      </c>
      <c r="P631">
        <f>IF(E631="","",IF(OR(D631="Entrée Achat",D631="Entrée Retour"),"✓ Validé",IF(D631="Sortie Perte","⚠️ Perte",IF(D631="Sortie Périmée","🔴 Périmé","✓ Validé"))))</f>
        <v/>
      </c>
    </row>
    <row r="632">
      <c r="A632" s="38" t="n"/>
      <c r="G632" s="8" t="n"/>
      <c r="H632" s="8">
        <f>IF(E632="","",E632*G632)</f>
        <v/>
      </c>
      <c r="J632" s="38" t="n"/>
      <c r="L632">
        <f>IF(D632="","",IF(OR(D632="Entrée Achat",D632="Entrée Retour"),K632+E632,K632-E632))</f>
        <v/>
      </c>
      <c r="P632">
        <f>IF(E632="","",IF(OR(D632="Entrée Achat",D632="Entrée Retour"),"✓ Validé",IF(D632="Sortie Perte","⚠️ Perte",IF(D632="Sortie Périmée","🔴 Périmé","✓ Validé"))))</f>
        <v/>
      </c>
    </row>
    <row r="633">
      <c r="A633" s="38" t="n"/>
      <c r="G633" s="8" t="n"/>
      <c r="H633" s="8">
        <f>IF(E633="","",E633*G633)</f>
        <v/>
      </c>
      <c r="J633" s="38" t="n"/>
      <c r="L633">
        <f>IF(D633="","",IF(OR(D633="Entrée Achat",D633="Entrée Retour"),K633+E633,K633-E633))</f>
        <v/>
      </c>
      <c r="P633">
        <f>IF(E633="","",IF(OR(D633="Entrée Achat",D633="Entrée Retour"),"✓ Validé",IF(D633="Sortie Perte","⚠️ Perte",IF(D633="Sortie Périmée","🔴 Périmé","✓ Validé"))))</f>
        <v/>
      </c>
    </row>
    <row r="634">
      <c r="A634" s="38" t="n"/>
      <c r="G634" s="8" t="n"/>
      <c r="H634" s="8">
        <f>IF(E634="","",E634*G634)</f>
        <v/>
      </c>
      <c r="J634" s="38" t="n"/>
      <c r="L634">
        <f>IF(D634="","",IF(OR(D634="Entrée Achat",D634="Entrée Retour"),K634+E634,K634-E634))</f>
        <v/>
      </c>
      <c r="P634">
        <f>IF(E634="","",IF(OR(D634="Entrée Achat",D634="Entrée Retour"),"✓ Validé",IF(D634="Sortie Perte","⚠️ Perte",IF(D634="Sortie Périmée","🔴 Périmé","✓ Validé"))))</f>
        <v/>
      </c>
    </row>
    <row r="635">
      <c r="A635" s="38" t="n"/>
      <c r="G635" s="8" t="n"/>
      <c r="H635" s="8">
        <f>IF(E635="","",E635*G635)</f>
        <v/>
      </c>
      <c r="J635" s="38" t="n"/>
      <c r="L635">
        <f>IF(D635="","",IF(OR(D635="Entrée Achat",D635="Entrée Retour"),K635+E635,K635-E635))</f>
        <v/>
      </c>
      <c r="P635">
        <f>IF(E635="","",IF(OR(D635="Entrée Achat",D635="Entrée Retour"),"✓ Validé",IF(D635="Sortie Perte","⚠️ Perte",IF(D635="Sortie Périmée","🔴 Périmé","✓ Validé"))))</f>
        <v/>
      </c>
    </row>
    <row r="636">
      <c r="A636" s="38" t="n"/>
      <c r="G636" s="8" t="n"/>
      <c r="H636" s="8">
        <f>IF(E636="","",E636*G636)</f>
        <v/>
      </c>
      <c r="J636" s="38" t="n"/>
      <c r="L636">
        <f>IF(D636="","",IF(OR(D636="Entrée Achat",D636="Entrée Retour"),K636+E636,K636-E636))</f>
        <v/>
      </c>
      <c r="P636">
        <f>IF(E636="","",IF(OR(D636="Entrée Achat",D636="Entrée Retour"),"✓ Validé",IF(D636="Sortie Perte","⚠️ Perte",IF(D636="Sortie Périmée","🔴 Périmé","✓ Validé"))))</f>
        <v/>
      </c>
    </row>
    <row r="637">
      <c r="A637" s="38" t="n"/>
      <c r="G637" s="8" t="n"/>
      <c r="H637" s="8">
        <f>IF(E637="","",E637*G637)</f>
        <v/>
      </c>
      <c r="J637" s="38" t="n"/>
      <c r="L637">
        <f>IF(D637="","",IF(OR(D637="Entrée Achat",D637="Entrée Retour"),K637+E637,K637-E637))</f>
        <v/>
      </c>
      <c r="P637">
        <f>IF(E637="","",IF(OR(D637="Entrée Achat",D637="Entrée Retour"),"✓ Validé",IF(D637="Sortie Perte","⚠️ Perte",IF(D637="Sortie Périmée","🔴 Périmé","✓ Validé"))))</f>
        <v/>
      </c>
    </row>
    <row r="638">
      <c r="A638" s="38" t="n"/>
      <c r="G638" s="8" t="n"/>
      <c r="H638" s="8">
        <f>IF(E638="","",E638*G638)</f>
        <v/>
      </c>
      <c r="J638" s="38" t="n"/>
      <c r="L638">
        <f>IF(D638="","",IF(OR(D638="Entrée Achat",D638="Entrée Retour"),K638+E638,K638-E638))</f>
        <v/>
      </c>
      <c r="P638">
        <f>IF(E638="","",IF(OR(D638="Entrée Achat",D638="Entrée Retour"),"✓ Validé",IF(D638="Sortie Perte","⚠️ Perte",IF(D638="Sortie Périmée","🔴 Périmé","✓ Validé"))))</f>
        <v/>
      </c>
    </row>
    <row r="639">
      <c r="A639" s="38" t="n"/>
      <c r="G639" s="8" t="n"/>
      <c r="H639" s="8">
        <f>IF(E639="","",E639*G639)</f>
        <v/>
      </c>
      <c r="J639" s="38" t="n"/>
      <c r="L639">
        <f>IF(D639="","",IF(OR(D639="Entrée Achat",D639="Entrée Retour"),K639+E639,K639-E639))</f>
        <v/>
      </c>
      <c r="P639">
        <f>IF(E639="","",IF(OR(D639="Entrée Achat",D639="Entrée Retour"),"✓ Validé",IF(D639="Sortie Perte","⚠️ Perte",IF(D639="Sortie Périmée","🔴 Périmé","✓ Validé"))))</f>
        <v/>
      </c>
    </row>
    <row r="640">
      <c r="A640" s="38" t="n"/>
      <c r="G640" s="8" t="n"/>
      <c r="H640" s="8">
        <f>IF(E640="","",E640*G640)</f>
        <v/>
      </c>
      <c r="J640" s="38" t="n"/>
      <c r="L640">
        <f>IF(D640="","",IF(OR(D640="Entrée Achat",D640="Entrée Retour"),K640+E640,K640-E640))</f>
        <v/>
      </c>
      <c r="P640">
        <f>IF(E640="","",IF(OR(D640="Entrée Achat",D640="Entrée Retour"),"✓ Validé",IF(D640="Sortie Perte","⚠️ Perte",IF(D640="Sortie Périmée","🔴 Périmé","✓ Validé"))))</f>
        <v/>
      </c>
    </row>
    <row r="641">
      <c r="A641" s="38" t="n"/>
      <c r="G641" s="8" t="n"/>
      <c r="H641" s="8">
        <f>IF(E641="","",E641*G641)</f>
        <v/>
      </c>
      <c r="J641" s="38" t="n"/>
      <c r="L641">
        <f>IF(D641="","",IF(OR(D641="Entrée Achat",D641="Entrée Retour"),K641+E641,K641-E641))</f>
        <v/>
      </c>
      <c r="P641">
        <f>IF(E641="","",IF(OR(D641="Entrée Achat",D641="Entrée Retour"),"✓ Validé",IF(D641="Sortie Perte","⚠️ Perte",IF(D641="Sortie Périmée","🔴 Périmé","✓ Validé"))))</f>
        <v/>
      </c>
    </row>
    <row r="642">
      <c r="A642" s="38" t="n"/>
      <c r="G642" s="8" t="n"/>
      <c r="H642" s="8">
        <f>IF(E642="","",E642*G642)</f>
        <v/>
      </c>
      <c r="J642" s="38" t="n"/>
      <c r="L642">
        <f>IF(D642="","",IF(OR(D642="Entrée Achat",D642="Entrée Retour"),K642+E642,K642-E642))</f>
        <v/>
      </c>
      <c r="P642">
        <f>IF(E642="","",IF(OR(D642="Entrée Achat",D642="Entrée Retour"),"✓ Validé",IF(D642="Sortie Perte","⚠️ Perte",IF(D642="Sortie Périmée","🔴 Périmé","✓ Validé"))))</f>
        <v/>
      </c>
    </row>
    <row r="643">
      <c r="A643" s="38" t="n"/>
      <c r="G643" s="8" t="n"/>
      <c r="H643" s="8">
        <f>IF(E643="","",E643*G643)</f>
        <v/>
      </c>
      <c r="J643" s="38" t="n"/>
      <c r="L643">
        <f>IF(D643="","",IF(OR(D643="Entrée Achat",D643="Entrée Retour"),K643+E643,K643-E643))</f>
        <v/>
      </c>
      <c r="P643">
        <f>IF(E643="","",IF(OR(D643="Entrée Achat",D643="Entrée Retour"),"✓ Validé",IF(D643="Sortie Perte","⚠️ Perte",IF(D643="Sortie Périmée","🔴 Périmé","✓ Validé"))))</f>
        <v/>
      </c>
    </row>
    <row r="644">
      <c r="A644" s="38" t="n"/>
      <c r="G644" s="8" t="n"/>
      <c r="H644" s="8">
        <f>IF(E644="","",E644*G644)</f>
        <v/>
      </c>
      <c r="J644" s="38" t="n"/>
      <c r="L644">
        <f>IF(D644="","",IF(OR(D644="Entrée Achat",D644="Entrée Retour"),K644+E644,K644-E644))</f>
        <v/>
      </c>
      <c r="P644">
        <f>IF(E644="","",IF(OR(D644="Entrée Achat",D644="Entrée Retour"),"✓ Validé",IF(D644="Sortie Perte","⚠️ Perte",IF(D644="Sortie Périmée","🔴 Périmé","✓ Validé"))))</f>
        <v/>
      </c>
    </row>
    <row r="645">
      <c r="A645" s="38" t="n"/>
      <c r="G645" s="8" t="n"/>
      <c r="H645" s="8">
        <f>IF(E645="","",E645*G645)</f>
        <v/>
      </c>
      <c r="J645" s="38" t="n"/>
      <c r="L645">
        <f>IF(D645="","",IF(OR(D645="Entrée Achat",D645="Entrée Retour"),K645+E645,K645-E645))</f>
        <v/>
      </c>
      <c r="P645">
        <f>IF(E645="","",IF(OR(D645="Entrée Achat",D645="Entrée Retour"),"✓ Validé",IF(D645="Sortie Perte","⚠️ Perte",IF(D645="Sortie Périmée","🔴 Périmé","✓ Validé"))))</f>
        <v/>
      </c>
    </row>
    <row r="646">
      <c r="A646" s="38" t="n"/>
      <c r="G646" s="8" t="n"/>
      <c r="H646" s="8">
        <f>IF(E646="","",E646*G646)</f>
        <v/>
      </c>
      <c r="J646" s="38" t="n"/>
      <c r="L646">
        <f>IF(D646="","",IF(OR(D646="Entrée Achat",D646="Entrée Retour"),K646+E646,K646-E646))</f>
        <v/>
      </c>
      <c r="P646">
        <f>IF(E646="","",IF(OR(D646="Entrée Achat",D646="Entrée Retour"),"✓ Validé",IF(D646="Sortie Perte","⚠️ Perte",IF(D646="Sortie Périmée","🔴 Périmé","✓ Validé"))))</f>
        <v/>
      </c>
    </row>
    <row r="647">
      <c r="A647" s="38" t="n"/>
      <c r="G647" s="8" t="n"/>
      <c r="H647" s="8">
        <f>IF(E647="","",E647*G647)</f>
        <v/>
      </c>
      <c r="J647" s="38" t="n"/>
      <c r="L647">
        <f>IF(D647="","",IF(OR(D647="Entrée Achat",D647="Entrée Retour"),K647+E647,K647-E647))</f>
        <v/>
      </c>
      <c r="P647">
        <f>IF(E647="","",IF(OR(D647="Entrée Achat",D647="Entrée Retour"),"✓ Validé",IF(D647="Sortie Perte","⚠️ Perte",IF(D647="Sortie Périmée","🔴 Périmé","✓ Validé"))))</f>
        <v/>
      </c>
    </row>
    <row r="648">
      <c r="A648" s="38" t="n"/>
      <c r="G648" s="8" t="n"/>
      <c r="H648" s="8">
        <f>IF(E648="","",E648*G648)</f>
        <v/>
      </c>
      <c r="J648" s="38" t="n"/>
      <c r="L648">
        <f>IF(D648="","",IF(OR(D648="Entrée Achat",D648="Entrée Retour"),K648+E648,K648-E648))</f>
        <v/>
      </c>
      <c r="P648">
        <f>IF(E648="","",IF(OR(D648="Entrée Achat",D648="Entrée Retour"),"✓ Validé",IF(D648="Sortie Perte","⚠️ Perte",IF(D648="Sortie Périmée","🔴 Périmé","✓ Validé"))))</f>
        <v/>
      </c>
    </row>
    <row r="649">
      <c r="A649" s="38" t="n"/>
      <c r="G649" s="8" t="n"/>
      <c r="H649" s="8">
        <f>IF(E649="","",E649*G649)</f>
        <v/>
      </c>
      <c r="J649" s="38" t="n"/>
      <c r="L649">
        <f>IF(D649="","",IF(OR(D649="Entrée Achat",D649="Entrée Retour"),K649+E649,K649-E649))</f>
        <v/>
      </c>
      <c r="P649">
        <f>IF(E649="","",IF(OR(D649="Entrée Achat",D649="Entrée Retour"),"✓ Validé",IF(D649="Sortie Perte","⚠️ Perte",IF(D649="Sortie Périmée","🔴 Périmé","✓ Validé"))))</f>
        <v/>
      </c>
    </row>
    <row r="650">
      <c r="A650" s="38" t="n"/>
      <c r="G650" s="8" t="n"/>
      <c r="H650" s="8">
        <f>IF(E650="","",E650*G650)</f>
        <v/>
      </c>
      <c r="J650" s="38" t="n"/>
      <c r="L650">
        <f>IF(D650="","",IF(OR(D650="Entrée Achat",D650="Entrée Retour"),K650+E650,K650-E650))</f>
        <v/>
      </c>
      <c r="P650">
        <f>IF(E650="","",IF(OR(D650="Entrée Achat",D650="Entrée Retour"),"✓ Validé",IF(D650="Sortie Perte","⚠️ Perte",IF(D650="Sortie Périmée","🔴 Périmé","✓ Validé"))))</f>
        <v/>
      </c>
    </row>
    <row r="651">
      <c r="A651" s="38" t="n"/>
      <c r="G651" s="8" t="n"/>
      <c r="H651" s="8">
        <f>IF(E651="","",E651*G651)</f>
        <v/>
      </c>
      <c r="J651" s="38" t="n"/>
      <c r="L651">
        <f>IF(D651="","",IF(OR(D651="Entrée Achat",D651="Entrée Retour"),K651+E651,K651-E651))</f>
        <v/>
      </c>
      <c r="P651">
        <f>IF(E651="","",IF(OR(D651="Entrée Achat",D651="Entrée Retour"),"✓ Validé",IF(D651="Sortie Perte","⚠️ Perte",IF(D651="Sortie Périmée","🔴 Périmé","✓ Validé"))))</f>
        <v/>
      </c>
    </row>
    <row r="652">
      <c r="A652" s="38" t="n"/>
      <c r="G652" s="8" t="n"/>
      <c r="H652" s="8">
        <f>IF(E652="","",E652*G652)</f>
        <v/>
      </c>
      <c r="J652" s="38" t="n"/>
      <c r="L652">
        <f>IF(D652="","",IF(OR(D652="Entrée Achat",D652="Entrée Retour"),K652+E652,K652-E652))</f>
        <v/>
      </c>
      <c r="P652">
        <f>IF(E652="","",IF(OR(D652="Entrée Achat",D652="Entrée Retour"),"✓ Validé",IF(D652="Sortie Perte","⚠️ Perte",IF(D652="Sortie Périmée","🔴 Périmé","✓ Validé"))))</f>
        <v/>
      </c>
    </row>
    <row r="653">
      <c r="A653" s="38" t="n"/>
      <c r="G653" s="8" t="n"/>
      <c r="H653" s="8">
        <f>IF(E653="","",E653*G653)</f>
        <v/>
      </c>
      <c r="J653" s="38" t="n"/>
      <c r="L653">
        <f>IF(D653="","",IF(OR(D653="Entrée Achat",D653="Entrée Retour"),K653+E653,K653-E653))</f>
        <v/>
      </c>
      <c r="P653">
        <f>IF(E653="","",IF(OR(D653="Entrée Achat",D653="Entrée Retour"),"✓ Validé",IF(D653="Sortie Perte","⚠️ Perte",IF(D653="Sortie Périmée","🔴 Périmé","✓ Validé"))))</f>
        <v/>
      </c>
    </row>
    <row r="654">
      <c r="A654" s="38" t="n"/>
      <c r="G654" s="8" t="n"/>
      <c r="H654" s="8">
        <f>IF(E654="","",E654*G654)</f>
        <v/>
      </c>
      <c r="J654" s="38" t="n"/>
      <c r="L654">
        <f>IF(D654="","",IF(OR(D654="Entrée Achat",D654="Entrée Retour"),K654+E654,K654-E654))</f>
        <v/>
      </c>
      <c r="P654">
        <f>IF(E654="","",IF(OR(D654="Entrée Achat",D654="Entrée Retour"),"✓ Validé",IF(D654="Sortie Perte","⚠️ Perte",IF(D654="Sortie Périmée","🔴 Périmé","✓ Validé"))))</f>
        <v/>
      </c>
    </row>
    <row r="655">
      <c r="A655" s="38" t="n"/>
      <c r="G655" s="8" t="n"/>
      <c r="H655" s="8">
        <f>IF(E655="","",E655*G655)</f>
        <v/>
      </c>
      <c r="J655" s="38" t="n"/>
      <c r="L655">
        <f>IF(D655="","",IF(OR(D655="Entrée Achat",D655="Entrée Retour"),K655+E655,K655-E655))</f>
        <v/>
      </c>
      <c r="P655">
        <f>IF(E655="","",IF(OR(D655="Entrée Achat",D655="Entrée Retour"),"✓ Validé",IF(D655="Sortie Perte","⚠️ Perte",IF(D655="Sortie Périmée","🔴 Périmé","✓ Validé"))))</f>
        <v/>
      </c>
    </row>
    <row r="656">
      <c r="A656" s="38" t="n"/>
      <c r="G656" s="8" t="n"/>
      <c r="H656" s="8">
        <f>IF(E656="","",E656*G656)</f>
        <v/>
      </c>
      <c r="J656" s="38" t="n"/>
      <c r="L656">
        <f>IF(D656="","",IF(OR(D656="Entrée Achat",D656="Entrée Retour"),K656+E656,K656-E656))</f>
        <v/>
      </c>
      <c r="P656">
        <f>IF(E656="","",IF(OR(D656="Entrée Achat",D656="Entrée Retour"),"✓ Validé",IF(D656="Sortie Perte","⚠️ Perte",IF(D656="Sortie Périmée","🔴 Périmé","✓ Validé"))))</f>
        <v/>
      </c>
    </row>
    <row r="657">
      <c r="A657" s="38" t="n"/>
      <c r="G657" s="8" t="n"/>
      <c r="H657" s="8">
        <f>IF(E657="","",E657*G657)</f>
        <v/>
      </c>
      <c r="J657" s="38" t="n"/>
      <c r="L657">
        <f>IF(D657="","",IF(OR(D657="Entrée Achat",D657="Entrée Retour"),K657+E657,K657-E657))</f>
        <v/>
      </c>
      <c r="P657">
        <f>IF(E657="","",IF(OR(D657="Entrée Achat",D657="Entrée Retour"),"✓ Validé",IF(D657="Sortie Perte","⚠️ Perte",IF(D657="Sortie Périmée","🔴 Périmé","✓ Validé"))))</f>
        <v/>
      </c>
    </row>
    <row r="658">
      <c r="A658" s="38" t="n"/>
      <c r="G658" s="8" t="n"/>
      <c r="H658" s="8">
        <f>IF(E658="","",E658*G658)</f>
        <v/>
      </c>
      <c r="J658" s="38" t="n"/>
      <c r="L658">
        <f>IF(D658="","",IF(OR(D658="Entrée Achat",D658="Entrée Retour"),K658+E658,K658-E658))</f>
        <v/>
      </c>
      <c r="P658">
        <f>IF(E658="","",IF(OR(D658="Entrée Achat",D658="Entrée Retour"),"✓ Validé",IF(D658="Sortie Perte","⚠️ Perte",IF(D658="Sortie Périmée","🔴 Périmé","✓ Validé"))))</f>
        <v/>
      </c>
    </row>
    <row r="659">
      <c r="A659" s="38" t="n"/>
      <c r="G659" s="8" t="n"/>
      <c r="H659" s="8">
        <f>IF(E659="","",E659*G659)</f>
        <v/>
      </c>
      <c r="J659" s="38" t="n"/>
      <c r="L659">
        <f>IF(D659="","",IF(OR(D659="Entrée Achat",D659="Entrée Retour"),K659+E659,K659-E659))</f>
        <v/>
      </c>
      <c r="P659">
        <f>IF(E659="","",IF(OR(D659="Entrée Achat",D659="Entrée Retour"),"✓ Validé",IF(D659="Sortie Perte","⚠️ Perte",IF(D659="Sortie Périmée","🔴 Périmé","✓ Validé"))))</f>
        <v/>
      </c>
    </row>
    <row r="660">
      <c r="A660" s="38" t="n"/>
      <c r="G660" s="8" t="n"/>
      <c r="H660" s="8">
        <f>IF(E660="","",E660*G660)</f>
        <v/>
      </c>
      <c r="J660" s="38" t="n"/>
      <c r="L660">
        <f>IF(D660="","",IF(OR(D660="Entrée Achat",D660="Entrée Retour"),K660+E660,K660-E660))</f>
        <v/>
      </c>
      <c r="P660">
        <f>IF(E660="","",IF(OR(D660="Entrée Achat",D660="Entrée Retour"),"✓ Validé",IF(D660="Sortie Perte","⚠️ Perte",IF(D660="Sortie Périmée","🔴 Périmé","✓ Validé"))))</f>
        <v/>
      </c>
    </row>
    <row r="661">
      <c r="A661" s="38" t="n"/>
      <c r="G661" s="8" t="n"/>
      <c r="H661" s="8">
        <f>IF(E661="","",E661*G661)</f>
        <v/>
      </c>
      <c r="J661" s="38" t="n"/>
      <c r="L661">
        <f>IF(D661="","",IF(OR(D661="Entrée Achat",D661="Entrée Retour"),K661+E661,K661-E661))</f>
        <v/>
      </c>
      <c r="P661">
        <f>IF(E661="","",IF(OR(D661="Entrée Achat",D661="Entrée Retour"),"✓ Validé",IF(D661="Sortie Perte","⚠️ Perte",IF(D661="Sortie Périmée","🔴 Périmé","✓ Validé"))))</f>
        <v/>
      </c>
    </row>
    <row r="662">
      <c r="A662" s="38" t="n"/>
      <c r="G662" s="8" t="n"/>
      <c r="H662" s="8">
        <f>IF(E662="","",E662*G662)</f>
        <v/>
      </c>
      <c r="J662" s="38" t="n"/>
      <c r="L662">
        <f>IF(D662="","",IF(OR(D662="Entrée Achat",D662="Entrée Retour"),K662+E662,K662-E662))</f>
        <v/>
      </c>
      <c r="P662">
        <f>IF(E662="","",IF(OR(D662="Entrée Achat",D662="Entrée Retour"),"✓ Validé",IF(D662="Sortie Perte","⚠️ Perte",IF(D662="Sortie Périmée","🔴 Périmé","✓ Validé"))))</f>
        <v/>
      </c>
    </row>
    <row r="663">
      <c r="A663" s="38" t="n"/>
      <c r="G663" s="8" t="n"/>
      <c r="H663" s="8">
        <f>IF(E663="","",E663*G663)</f>
        <v/>
      </c>
      <c r="J663" s="38" t="n"/>
      <c r="L663">
        <f>IF(D663="","",IF(OR(D663="Entrée Achat",D663="Entrée Retour"),K663+E663,K663-E663))</f>
        <v/>
      </c>
      <c r="P663">
        <f>IF(E663="","",IF(OR(D663="Entrée Achat",D663="Entrée Retour"),"✓ Validé",IF(D663="Sortie Perte","⚠️ Perte",IF(D663="Sortie Périmée","🔴 Périmé","✓ Validé"))))</f>
        <v/>
      </c>
    </row>
    <row r="664">
      <c r="A664" s="38" t="n"/>
      <c r="G664" s="8" t="n"/>
      <c r="H664" s="8">
        <f>IF(E664="","",E664*G664)</f>
        <v/>
      </c>
      <c r="J664" s="38" t="n"/>
      <c r="L664">
        <f>IF(D664="","",IF(OR(D664="Entrée Achat",D664="Entrée Retour"),K664+E664,K664-E664))</f>
        <v/>
      </c>
      <c r="P664">
        <f>IF(E664="","",IF(OR(D664="Entrée Achat",D664="Entrée Retour"),"✓ Validé",IF(D664="Sortie Perte","⚠️ Perte",IF(D664="Sortie Périmée","🔴 Périmé","✓ Validé"))))</f>
        <v/>
      </c>
    </row>
    <row r="665">
      <c r="A665" s="38" t="n"/>
      <c r="G665" s="8" t="n"/>
      <c r="H665" s="8">
        <f>IF(E665="","",E665*G665)</f>
        <v/>
      </c>
      <c r="J665" s="38" t="n"/>
      <c r="L665">
        <f>IF(D665="","",IF(OR(D665="Entrée Achat",D665="Entrée Retour"),K665+E665,K665-E665))</f>
        <v/>
      </c>
      <c r="P665">
        <f>IF(E665="","",IF(OR(D665="Entrée Achat",D665="Entrée Retour"),"✓ Validé",IF(D665="Sortie Perte","⚠️ Perte",IF(D665="Sortie Périmée","🔴 Périmé","✓ Validé"))))</f>
        <v/>
      </c>
    </row>
    <row r="666">
      <c r="A666" s="38" t="n"/>
      <c r="G666" s="8" t="n"/>
      <c r="H666" s="8">
        <f>IF(E666="","",E666*G666)</f>
        <v/>
      </c>
      <c r="J666" s="38" t="n"/>
      <c r="L666">
        <f>IF(D666="","",IF(OR(D666="Entrée Achat",D666="Entrée Retour"),K666+E666,K666-E666))</f>
        <v/>
      </c>
      <c r="P666">
        <f>IF(E666="","",IF(OR(D666="Entrée Achat",D666="Entrée Retour"),"✓ Validé",IF(D666="Sortie Perte","⚠️ Perte",IF(D666="Sortie Périmée","🔴 Périmé","✓ Validé"))))</f>
        <v/>
      </c>
    </row>
    <row r="667">
      <c r="A667" s="38" t="n"/>
      <c r="G667" s="8" t="n"/>
      <c r="H667" s="8">
        <f>IF(E667="","",E667*G667)</f>
        <v/>
      </c>
      <c r="J667" s="38" t="n"/>
      <c r="L667">
        <f>IF(D667="","",IF(OR(D667="Entrée Achat",D667="Entrée Retour"),K667+E667,K667-E667))</f>
        <v/>
      </c>
      <c r="P667">
        <f>IF(E667="","",IF(OR(D667="Entrée Achat",D667="Entrée Retour"),"✓ Validé",IF(D667="Sortie Perte","⚠️ Perte",IF(D667="Sortie Périmée","🔴 Périmé","✓ Validé"))))</f>
        <v/>
      </c>
    </row>
    <row r="668">
      <c r="A668" s="38" t="n"/>
      <c r="G668" s="8" t="n"/>
      <c r="H668" s="8">
        <f>IF(E668="","",E668*G668)</f>
        <v/>
      </c>
      <c r="J668" s="38" t="n"/>
      <c r="L668">
        <f>IF(D668="","",IF(OR(D668="Entrée Achat",D668="Entrée Retour"),K668+E668,K668-E668))</f>
        <v/>
      </c>
      <c r="P668">
        <f>IF(E668="","",IF(OR(D668="Entrée Achat",D668="Entrée Retour"),"✓ Validé",IF(D668="Sortie Perte","⚠️ Perte",IF(D668="Sortie Périmée","🔴 Périmé","✓ Validé"))))</f>
        <v/>
      </c>
    </row>
    <row r="669">
      <c r="A669" s="38" t="n"/>
      <c r="G669" s="8" t="n"/>
      <c r="H669" s="8">
        <f>IF(E669="","",E669*G669)</f>
        <v/>
      </c>
      <c r="J669" s="38" t="n"/>
      <c r="L669">
        <f>IF(D669="","",IF(OR(D669="Entrée Achat",D669="Entrée Retour"),K669+E669,K669-E669))</f>
        <v/>
      </c>
      <c r="P669">
        <f>IF(E669="","",IF(OR(D669="Entrée Achat",D669="Entrée Retour"),"✓ Validé",IF(D669="Sortie Perte","⚠️ Perte",IF(D669="Sortie Périmée","🔴 Périmé","✓ Validé"))))</f>
        <v/>
      </c>
    </row>
    <row r="670">
      <c r="A670" s="38" t="n"/>
      <c r="G670" s="8" t="n"/>
      <c r="H670" s="8">
        <f>IF(E670="","",E670*G670)</f>
        <v/>
      </c>
      <c r="J670" s="38" t="n"/>
      <c r="L670">
        <f>IF(D670="","",IF(OR(D670="Entrée Achat",D670="Entrée Retour"),K670+E670,K670-E670))</f>
        <v/>
      </c>
      <c r="P670">
        <f>IF(E670="","",IF(OR(D670="Entrée Achat",D670="Entrée Retour"),"✓ Validé",IF(D670="Sortie Perte","⚠️ Perte",IF(D670="Sortie Périmée","🔴 Périmé","✓ Validé"))))</f>
        <v/>
      </c>
    </row>
    <row r="671">
      <c r="A671" s="38" t="n"/>
      <c r="G671" s="8" t="n"/>
      <c r="H671" s="8">
        <f>IF(E671="","",E671*G671)</f>
        <v/>
      </c>
      <c r="J671" s="38" t="n"/>
      <c r="L671">
        <f>IF(D671="","",IF(OR(D671="Entrée Achat",D671="Entrée Retour"),K671+E671,K671-E671))</f>
        <v/>
      </c>
      <c r="P671">
        <f>IF(E671="","",IF(OR(D671="Entrée Achat",D671="Entrée Retour"),"✓ Validé",IF(D671="Sortie Perte","⚠️ Perte",IF(D671="Sortie Périmée","🔴 Périmé","✓ Validé"))))</f>
        <v/>
      </c>
    </row>
    <row r="672">
      <c r="A672" s="38" t="n"/>
      <c r="G672" s="8" t="n"/>
      <c r="H672" s="8">
        <f>IF(E672="","",E672*G672)</f>
        <v/>
      </c>
      <c r="J672" s="38" t="n"/>
      <c r="L672">
        <f>IF(D672="","",IF(OR(D672="Entrée Achat",D672="Entrée Retour"),K672+E672,K672-E672))</f>
        <v/>
      </c>
      <c r="P672">
        <f>IF(E672="","",IF(OR(D672="Entrée Achat",D672="Entrée Retour"),"✓ Validé",IF(D672="Sortie Perte","⚠️ Perte",IF(D672="Sortie Périmée","🔴 Périmé","✓ Validé"))))</f>
        <v/>
      </c>
    </row>
    <row r="673">
      <c r="A673" s="38" t="n"/>
      <c r="G673" s="8" t="n"/>
      <c r="H673" s="8">
        <f>IF(E673="","",E673*G673)</f>
        <v/>
      </c>
      <c r="J673" s="38" t="n"/>
      <c r="L673">
        <f>IF(D673="","",IF(OR(D673="Entrée Achat",D673="Entrée Retour"),K673+E673,K673-E673))</f>
        <v/>
      </c>
      <c r="P673">
        <f>IF(E673="","",IF(OR(D673="Entrée Achat",D673="Entrée Retour"),"✓ Validé",IF(D673="Sortie Perte","⚠️ Perte",IF(D673="Sortie Périmée","🔴 Périmé","✓ Validé"))))</f>
        <v/>
      </c>
    </row>
    <row r="674">
      <c r="A674" s="38" t="n"/>
      <c r="G674" s="8" t="n"/>
      <c r="H674" s="8">
        <f>IF(E674="","",E674*G674)</f>
        <v/>
      </c>
      <c r="J674" s="38" t="n"/>
      <c r="L674">
        <f>IF(D674="","",IF(OR(D674="Entrée Achat",D674="Entrée Retour"),K674+E674,K674-E674))</f>
        <v/>
      </c>
      <c r="P674">
        <f>IF(E674="","",IF(OR(D674="Entrée Achat",D674="Entrée Retour"),"✓ Validé",IF(D674="Sortie Perte","⚠️ Perte",IF(D674="Sortie Périmée","🔴 Périmé","✓ Validé"))))</f>
        <v/>
      </c>
    </row>
    <row r="675">
      <c r="A675" s="38" t="n"/>
      <c r="G675" s="8" t="n"/>
      <c r="H675" s="8">
        <f>IF(E675="","",E675*G675)</f>
        <v/>
      </c>
      <c r="J675" s="38" t="n"/>
      <c r="L675">
        <f>IF(D675="","",IF(OR(D675="Entrée Achat",D675="Entrée Retour"),K675+E675,K675-E675))</f>
        <v/>
      </c>
      <c r="P675">
        <f>IF(E675="","",IF(OR(D675="Entrée Achat",D675="Entrée Retour"),"✓ Validé",IF(D675="Sortie Perte","⚠️ Perte",IF(D675="Sortie Périmée","🔴 Périmé","✓ Validé"))))</f>
        <v/>
      </c>
    </row>
    <row r="676">
      <c r="A676" s="38" t="n"/>
      <c r="G676" s="8" t="n"/>
      <c r="H676" s="8">
        <f>IF(E676="","",E676*G676)</f>
        <v/>
      </c>
      <c r="J676" s="38" t="n"/>
      <c r="L676">
        <f>IF(D676="","",IF(OR(D676="Entrée Achat",D676="Entrée Retour"),K676+E676,K676-E676))</f>
        <v/>
      </c>
      <c r="P676">
        <f>IF(E676="","",IF(OR(D676="Entrée Achat",D676="Entrée Retour"),"✓ Validé",IF(D676="Sortie Perte","⚠️ Perte",IF(D676="Sortie Périmée","🔴 Périmé","✓ Validé"))))</f>
        <v/>
      </c>
    </row>
    <row r="677">
      <c r="A677" s="38" t="n"/>
      <c r="G677" s="8" t="n"/>
      <c r="H677" s="8">
        <f>IF(E677="","",E677*G677)</f>
        <v/>
      </c>
      <c r="J677" s="38" t="n"/>
      <c r="L677">
        <f>IF(D677="","",IF(OR(D677="Entrée Achat",D677="Entrée Retour"),K677+E677,K677-E677))</f>
        <v/>
      </c>
      <c r="P677">
        <f>IF(E677="","",IF(OR(D677="Entrée Achat",D677="Entrée Retour"),"✓ Validé",IF(D677="Sortie Perte","⚠️ Perte",IF(D677="Sortie Périmée","🔴 Périmé","✓ Validé"))))</f>
        <v/>
      </c>
    </row>
    <row r="678">
      <c r="A678" s="38" t="n"/>
      <c r="G678" s="8" t="n"/>
      <c r="H678" s="8">
        <f>IF(E678="","",E678*G678)</f>
        <v/>
      </c>
      <c r="J678" s="38" t="n"/>
      <c r="L678">
        <f>IF(D678="","",IF(OR(D678="Entrée Achat",D678="Entrée Retour"),K678+E678,K678-E678))</f>
        <v/>
      </c>
      <c r="P678">
        <f>IF(E678="","",IF(OR(D678="Entrée Achat",D678="Entrée Retour"),"✓ Validé",IF(D678="Sortie Perte","⚠️ Perte",IF(D678="Sortie Périmée","🔴 Périmé","✓ Validé"))))</f>
        <v/>
      </c>
    </row>
    <row r="679">
      <c r="A679" s="38" t="n"/>
      <c r="G679" s="8" t="n"/>
      <c r="H679" s="8">
        <f>IF(E679="","",E679*G679)</f>
        <v/>
      </c>
      <c r="J679" s="38" t="n"/>
      <c r="L679">
        <f>IF(D679="","",IF(OR(D679="Entrée Achat",D679="Entrée Retour"),K679+E679,K679-E679))</f>
        <v/>
      </c>
      <c r="P679">
        <f>IF(E679="","",IF(OR(D679="Entrée Achat",D679="Entrée Retour"),"✓ Validé",IF(D679="Sortie Perte","⚠️ Perte",IF(D679="Sortie Périmée","🔴 Périmé","✓ Validé"))))</f>
        <v/>
      </c>
    </row>
    <row r="680">
      <c r="A680" s="38" t="n"/>
      <c r="G680" s="8" t="n"/>
      <c r="H680" s="8">
        <f>IF(E680="","",E680*G680)</f>
        <v/>
      </c>
      <c r="J680" s="38" t="n"/>
      <c r="L680">
        <f>IF(D680="","",IF(OR(D680="Entrée Achat",D680="Entrée Retour"),K680+E680,K680-E680))</f>
        <v/>
      </c>
      <c r="P680">
        <f>IF(E680="","",IF(OR(D680="Entrée Achat",D680="Entrée Retour"),"✓ Validé",IF(D680="Sortie Perte","⚠️ Perte",IF(D680="Sortie Périmée","🔴 Périmé","✓ Validé"))))</f>
        <v/>
      </c>
    </row>
    <row r="681">
      <c r="A681" s="38" t="n"/>
      <c r="G681" s="8" t="n"/>
      <c r="H681" s="8">
        <f>IF(E681="","",E681*G681)</f>
        <v/>
      </c>
      <c r="J681" s="38" t="n"/>
      <c r="L681">
        <f>IF(D681="","",IF(OR(D681="Entrée Achat",D681="Entrée Retour"),K681+E681,K681-E681))</f>
        <v/>
      </c>
      <c r="P681">
        <f>IF(E681="","",IF(OR(D681="Entrée Achat",D681="Entrée Retour"),"✓ Validé",IF(D681="Sortie Perte","⚠️ Perte",IF(D681="Sortie Périmée","🔴 Périmé","✓ Validé"))))</f>
        <v/>
      </c>
    </row>
    <row r="682">
      <c r="A682" s="38" t="n"/>
      <c r="G682" s="8" t="n"/>
      <c r="H682" s="8">
        <f>IF(E682="","",E682*G682)</f>
        <v/>
      </c>
      <c r="J682" s="38" t="n"/>
      <c r="L682">
        <f>IF(D682="","",IF(OR(D682="Entrée Achat",D682="Entrée Retour"),K682+E682,K682-E682))</f>
        <v/>
      </c>
      <c r="P682">
        <f>IF(E682="","",IF(OR(D682="Entrée Achat",D682="Entrée Retour"),"✓ Validé",IF(D682="Sortie Perte","⚠️ Perte",IF(D682="Sortie Périmée","🔴 Périmé","✓ Validé"))))</f>
        <v/>
      </c>
    </row>
    <row r="683">
      <c r="A683" s="38" t="n"/>
      <c r="G683" s="8" t="n"/>
      <c r="H683" s="8">
        <f>IF(E683="","",E683*G683)</f>
        <v/>
      </c>
      <c r="J683" s="38" t="n"/>
      <c r="L683">
        <f>IF(D683="","",IF(OR(D683="Entrée Achat",D683="Entrée Retour"),K683+E683,K683-E683))</f>
        <v/>
      </c>
      <c r="P683">
        <f>IF(E683="","",IF(OR(D683="Entrée Achat",D683="Entrée Retour"),"✓ Validé",IF(D683="Sortie Perte","⚠️ Perte",IF(D683="Sortie Périmée","🔴 Périmé","✓ Validé"))))</f>
        <v/>
      </c>
    </row>
    <row r="684">
      <c r="A684" s="38" t="n"/>
      <c r="G684" s="8" t="n"/>
      <c r="H684" s="8">
        <f>IF(E684="","",E684*G684)</f>
        <v/>
      </c>
      <c r="J684" s="38" t="n"/>
      <c r="L684">
        <f>IF(D684="","",IF(OR(D684="Entrée Achat",D684="Entrée Retour"),K684+E684,K684-E684))</f>
        <v/>
      </c>
      <c r="P684">
        <f>IF(E684="","",IF(OR(D684="Entrée Achat",D684="Entrée Retour"),"✓ Validé",IF(D684="Sortie Perte","⚠️ Perte",IF(D684="Sortie Périmée","🔴 Périmé","✓ Validé"))))</f>
        <v/>
      </c>
    </row>
    <row r="685">
      <c r="A685" s="38" t="n"/>
      <c r="G685" s="8" t="n"/>
      <c r="H685" s="8">
        <f>IF(E685="","",E685*G685)</f>
        <v/>
      </c>
      <c r="J685" s="38" t="n"/>
      <c r="L685">
        <f>IF(D685="","",IF(OR(D685="Entrée Achat",D685="Entrée Retour"),K685+E685,K685-E685))</f>
        <v/>
      </c>
      <c r="P685">
        <f>IF(E685="","",IF(OR(D685="Entrée Achat",D685="Entrée Retour"),"✓ Validé",IF(D685="Sortie Perte","⚠️ Perte",IF(D685="Sortie Périmée","🔴 Périmé","✓ Validé"))))</f>
        <v/>
      </c>
    </row>
    <row r="686">
      <c r="A686" s="38" t="n"/>
      <c r="G686" s="8" t="n"/>
      <c r="H686" s="8">
        <f>IF(E686="","",E686*G686)</f>
        <v/>
      </c>
      <c r="J686" s="38" t="n"/>
      <c r="L686">
        <f>IF(D686="","",IF(OR(D686="Entrée Achat",D686="Entrée Retour"),K686+E686,K686-E686))</f>
        <v/>
      </c>
      <c r="P686">
        <f>IF(E686="","",IF(OR(D686="Entrée Achat",D686="Entrée Retour"),"✓ Validé",IF(D686="Sortie Perte","⚠️ Perte",IF(D686="Sortie Périmée","🔴 Périmé","✓ Validé"))))</f>
        <v/>
      </c>
    </row>
    <row r="687">
      <c r="A687" s="38" t="n"/>
      <c r="G687" s="8" t="n"/>
      <c r="H687" s="8">
        <f>IF(E687="","",E687*G687)</f>
        <v/>
      </c>
      <c r="J687" s="38" t="n"/>
      <c r="L687">
        <f>IF(D687="","",IF(OR(D687="Entrée Achat",D687="Entrée Retour"),K687+E687,K687-E687))</f>
        <v/>
      </c>
      <c r="P687">
        <f>IF(E687="","",IF(OR(D687="Entrée Achat",D687="Entrée Retour"),"✓ Validé",IF(D687="Sortie Perte","⚠️ Perte",IF(D687="Sortie Périmée","🔴 Périmé","✓ Validé"))))</f>
        <v/>
      </c>
    </row>
    <row r="688">
      <c r="A688" s="38" t="n"/>
      <c r="G688" s="8" t="n"/>
      <c r="H688" s="8">
        <f>IF(E688="","",E688*G688)</f>
        <v/>
      </c>
      <c r="J688" s="38" t="n"/>
      <c r="L688">
        <f>IF(D688="","",IF(OR(D688="Entrée Achat",D688="Entrée Retour"),K688+E688,K688-E688))</f>
        <v/>
      </c>
      <c r="P688">
        <f>IF(E688="","",IF(OR(D688="Entrée Achat",D688="Entrée Retour"),"✓ Validé",IF(D688="Sortie Perte","⚠️ Perte",IF(D688="Sortie Périmée","🔴 Périmé","✓ Validé"))))</f>
        <v/>
      </c>
    </row>
    <row r="689">
      <c r="A689" s="38" t="n"/>
      <c r="G689" s="8" t="n"/>
      <c r="H689" s="8">
        <f>IF(E689="","",E689*G689)</f>
        <v/>
      </c>
      <c r="J689" s="38" t="n"/>
      <c r="L689">
        <f>IF(D689="","",IF(OR(D689="Entrée Achat",D689="Entrée Retour"),K689+E689,K689-E689))</f>
        <v/>
      </c>
      <c r="P689">
        <f>IF(E689="","",IF(OR(D689="Entrée Achat",D689="Entrée Retour"),"✓ Validé",IF(D689="Sortie Perte","⚠️ Perte",IF(D689="Sortie Périmée","🔴 Périmé","✓ Validé"))))</f>
        <v/>
      </c>
    </row>
    <row r="690">
      <c r="A690" s="38" t="n"/>
      <c r="G690" s="8" t="n"/>
      <c r="H690" s="8">
        <f>IF(E690="","",E690*G690)</f>
        <v/>
      </c>
      <c r="J690" s="38" t="n"/>
      <c r="L690">
        <f>IF(D690="","",IF(OR(D690="Entrée Achat",D690="Entrée Retour"),K690+E690,K690-E690))</f>
        <v/>
      </c>
      <c r="P690">
        <f>IF(E690="","",IF(OR(D690="Entrée Achat",D690="Entrée Retour"),"✓ Validé",IF(D690="Sortie Perte","⚠️ Perte",IF(D690="Sortie Périmée","🔴 Périmé","✓ Validé"))))</f>
        <v/>
      </c>
    </row>
    <row r="691">
      <c r="A691" s="38" t="n"/>
      <c r="G691" s="8" t="n"/>
      <c r="H691" s="8">
        <f>IF(E691="","",E691*G691)</f>
        <v/>
      </c>
      <c r="J691" s="38" t="n"/>
      <c r="L691">
        <f>IF(D691="","",IF(OR(D691="Entrée Achat",D691="Entrée Retour"),K691+E691,K691-E691))</f>
        <v/>
      </c>
      <c r="P691">
        <f>IF(E691="","",IF(OR(D691="Entrée Achat",D691="Entrée Retour"),"✓ Validé",IF(D691="Sortie Perte","⚠️ Perte",IF(D691="Sortie Périmée","🔴 Périmé","✓ Validé"))))</f>
        <v/>
      </c>
    </row>
    <row r="692">
      <c r="A692" s="38" t="n"/>
      <c r="G692" s="8" t="n"/>
      <c r="H692" s="8">
        <f>IF(E692="","",E692*G692)</f>
        <v/>
      </c>
      <c r="J692" s="38" t="n"/>
      <c r="L692">
        <f>IF(D692="","",IF(OR(D692="Entrée Achat",D692="Entrée Retour"),K692+E692,K692-E692))</f>
        <v/>
      </c>
      <c r="P692">
        <f>IF(E692="","",IF(OR(D692="Entrée Achat",D692="Entrée Retour"),"✓ Validé",IF(D692="Sortie Perte","⚠️ Perte",IF(D692="Sortie Périmée","🔴 Périmé","✓ Validé"))))</f>
        <v/>
      </c>
    </row>
    <row r="693">
      <c r="A693" s="38" t="n"/>
      <c r="G693" s="8" t="n"/>
      <c r="H693" s="8">
        <f>IF(E693="","",E693*G693)</f>
        <v/>
      </c>
      <c r="J693" s="38" t="n"/>
      <c r="L693">
        <f>IF(D693="","",IF(OR(D693="Entrée Achat",D693="Entrée Retour"),K693+E693,K693-E693))</f>
        <v/>
      </c>
      <c r="P693">
        <f>IF(E693="","",IF(OR(D693="Entrée Achat",D693="Entrée Retour"),"✓ Validé",IF(D693="Sortie Perte","⚠️ Perte",IF(D693="Sortie Périmée","🔴 Périmé","✓ Validé"))))</f>
        <v/>
      </c>
    </row>
    <row r="694">
      <c r="A694" s="38" t="n"/>
      <c r="G694" s="8" t="n"/>
      <c r="H694" s="8">
        <f>IF(E694="","",E694*G694)</f>
        <v/>
      </c>
      <c r="J694" s="38" t="n"/>
      <c r="L694">
        <f>IF(D694="","",IF(OR(D694="Entrée Achat",D694="Entrée Retour"),K694+E694,K694-E694))</f>
        <v/>
      </c>
      <c r="P694">
        <f>IF(E694="","",IF(OR(D694="Entrée Achat",D694="Entrée Retour"),"✓ Validé",IF(D694="Sortie Perte","⚠️ Perte",IF(D694="Sortie Périmée","🔴 Périmé","✓ Validé"))))</f>
        <v/>
      </c>
    </row>
    <row r="695">
      <c r="A695" s="38" t="n"/>
      <c r="G695" s="8" t="n"/>
      <c r="H695" s="8">
        <f>IF(E695="","",E695*G695)</f>
        <v/>
      </c>
      <c r="J695" s="38" t="n"/>
      <c r="L695">
        <f>IF(D695="","",IF(OR(D695="Entrée Achat",D695="Entrée Retour"),K695+E695,K695-E695))</f>
        <v/>
      </c>
      <c r="P695">
        <f>IF(E695="","",IF(OR(D695="Entrée Achat",D695="Entrée Retour"),"✓ Validé",IF(D695="Sortie Perte","⚠️ Perte",IF(D695="Sortie Périmée","🔴 Périmé","✓ Validé"))))</f>
        <v/>
      </c>
    </row>
    <row r="696">
      <c r="A696" s="38" t="n"/>
      <c r="G696" s="8" t="n"/>
      <c r="H696" s="8">
        <f>IF(E696="","",E696*G696)</f>
        <v/>
      </c>
      <c r="J696" s="38" t="n"/>
      <c r="L696">
        <f>IF(D696="","",IF(OR(D696="Entrée Achat",D696="Entrée Retour"),K696+E696,K696-E696))</f>
        <v/>
      </c>
      <c r="P696">
        <f>IF(E696="","",IF(OR(D696="Entrée Achat",D696="Entrée Retour"),"✓ Validé",IF(D696="Sortie Perte","⚠️ Perte",IF(D696="Sortie Périmée","🔴 Périmé","✓ Validé"))))</f>
        <v/>
      </c>
    </row>
    <row r="697">
      <c r="A697" s="38" t="n"/>
      <c r="G697" s="8" t="n"/>
      <c r="H697" s="8">
        <f>IF(E697="","",E697*G697)</f>
        <v/>
      </c>
      <c r="J697" s="38" t="n"/>
      <c r="L697">
        <f>IF(D697="","",IF(OR(D697="Entrée Achat",D697="Entrée Retour"),K697+E697,K697-E697))</f>
        <v/>
      </c>
      <c r="P697">
        <f>IF(E697="","",IF(OR(D697="Entrée Achat",D697="Entrée Retour"),"✓ Validé",IF(D697="Sortie Perte","⚠️ Perte",IF(D697="Sortie Périmée","🔴 Périmé","✓ Validé"))))</f>
        <v/>
      </c>
    </row>
    <row r="698">
      <c r="A698" s="38" t="n"/>
      <c r="G698" s="8" t="n"/>
      <c r="H698" s="8">
        <f>IF(E698="","",E698*G698)</f>
        <v/>
      </c>
      <c r="J698" s="38" t="n"/>
      <c r="L698">
        <f>IF(D698="","",IF(OR(D698="Entrée Achat",D698="Entrée Retour"),K698+E698,K698-E698))</f>
        <v/>
      </c>
      <c r="P698">
        <f>IF(E698="","",IF(OR(D698="Entrée Achat",D698="Entrée Retour"),"✓ Validé",IF(D698="Sortie Perte","⚠️ Perte",IF(D698="Sortie Périmée","🔴 Périmé","✓ Validé"))))</f>
        <v/>
      </c>
    </row>
    <row r="699">
      <c r="A699" s="38" t="n"/>
      <c r="G699" s="8" t="n"/>
      <c r="H699" s="8">
        <f>IF(E699="","",E699*G699)</f>
        <v/>
      </c>
      <c r="J699" s="38" t="n"/>
      <c r="L699">
        <f>IF(D699="","",IF(OR(D699="Entrée Achat",D699="Entrée Retour"),K699+E699,K699-E699))</f>
        <v/>
      </c>
      <c r="P699">
        <f>IF(E699="","",IF(OR(D699="Entrée Achat",D699="Entrée Retour"),"✓ Validé",IF(D699="Sortie Perte","⚠️ Perte",IF(D699="Sortie Périmée","🔴 Périmé","✓ Validé"))))</f>
        <v/>
      </c>
    </row>
    <row r="700">
      <c r="A700" s="38" t="n"/>
      <c r="G700" s="8" t="n"/>
      <c r="H700" s="8">
        <f>IF(E700="","",E700*G700)</f>
        <v/>
      </c>
      <c r="J700" s="38" t="n"/>
      <c r="L700">
        <f>IF(D700="","",IF(OR(D700="Entrée Achat",D700="Entrée Retour"),K700+E700,K700-E700))</f>
        <v/>
      </c>
      <c r="P700">
        <f>IF(E700="","",IF(OR(D700="Entrée Achat",D700="Entrée Retour"),"✓ Validé",IF(D700="Sortie Perte","⚠️ Perte",IF(D700="Sortie Périmée","🔴 Périmé","✓ Validé"))))</f>
        <v/>
      </c>
    </row>
    <row r="701">
      <c r="A701" s="38" t="n"/>
      <c r="G701" s="8" t="n"/>
      <c r="H701" s="8">
        <f>IF(E701="","",E701*G701)</f>
        <v/>
      </c>
      <c r="J701" s="38" t="n"/>
      <c r="L701">
        <f>IF(D701="","",IF(OR(D701="Entrée Achat",D701="Entrée Retour"),K701+E701,K701-E701))</f>
        <v/>
      </c>
      <c r="P701">
        <f>IF(E701="","",IF(OR(D701="Entrée Achat",D701="Entrée Retour"),"✓ Validé",IF(D701="Sortie Perte","⚠️ Perte",IF(D701="Sortie Périmée","🔴 Périmé","✓ Validé"))))</f>
        <v/>
      </c>
    </row>
    <row r="702">
      <c r="A702" s="38" t="n"/>
      <c r="G702" s="8" t="n"/>
      <c r="H702" s="8">
        <f>IF(E702="","",E702*G702)</f>
        <v/>
      </c>
      <c r="J702" s="38" t="n"/>
      <c r="L702">
        <f>IF(D702="","",IF(OR(D702="Entrée Achat",D702="Entrée Retour"),K702+E702,K702-E702))</f>
        <v/>
      </c>
      <c r="P702">
        <f>IF(E702="","",IF(OR(D702="Entrée Achat",D702="Entrée Retour"),"✓ Validé",IF(D702="Sortie Perte","⚠️ Perte",IF(D702="Sortie Périmée","🔴 Périmé","✓ Validé"))))</f>
        <v/>
      </c>
    </row>
    <row r="703">
      <c r="A703" s="38" t="n"/>
      <c r="G703" s="8" t="n"/>
      <c r="H703" s="8">
        <f>IF(E703="","",E703*G703)</f>
        <v/>
      </c>
      <c r="J703" s="38" t="n"/>
      <c r="L703">
        <f>IF(D703="","",IF(OR(D703="Entrée Achat",D703="Entrée Retour"),K703+E703,K703-E703))</f>
        <v/>
      </c>
      <c r="P703">
        <f>IF(E703="","",IF(OR(D703="Entrée Achat",D703="Entrée Retour"),"✓ Validé",IF(D703="Sortie Perte","⚠️ Perte",IF(D703="Sortie Périmée","🔴 Périmé","✓ Validé"))))</f>
        <v/>
      </c>
    </row>
    <row r="704">
      <c r="A704" s="38" t="n"/>
      <c r="G704" s="8" t="n"/>
      <c r="H704" s="8">
        <f>IF(E704="","",E704*G704)</f>
        <v/>
      </c>
      <c r="J704" s="38" t="n"/>
      <c r="L704">
        <f>IF(D704="","",IF(OR(D704="Entrée Achat",D704="Entrée Retour"),K704+E704,K704-E704))</f>
        <v/>
      </c>
      <c r="P704">
        <f>IF(E704="","",IF(OR(D704="Entrée Achat",D704="Entrée Retour"),"✓ Validé",IF(D704="Sortie Perte","⚠️ Perte",IF(D704="Sortie Périmée","🔴 Périmé","✓ Validé"))))</f>
        <v/>
      </c>
    </row>
    <row r="705">
      <c r="A705" s="38" t="n"/>
      <c r="G705" s="8" t="n"/>
      <c r="H705" s="8">
        <f>IF(E705="","",E705*G705)</f>
        <v/>
      </c>
      <c r="J705" s="38" t="n"/>
      <c r="L705">
        <f>IF(D705="","",IF(OR(D705="Entrée Achat",D705="Entrée Retour"),K705+E705,K705-E705))</f>
        <v/>
      </c>
      <c r="P705">
        <f>IF(E705="","",IF(OR(D705="Entrée Achat",D705="Entrée Retour"),"✓ Validé",IF(D705="Sortie Perte","⚠️ Perte",IF(D705="Sortie Périmée","🔴 Périmé","✓ Validé"))))</f>
        <v/>
      </c>
    </row>
    <row r="706">
      <c r="A706" s="38" t="n"/>
      <c r="G706" s="8" t="n"/>
      <c r="H706" s="8">
        <f>IF(E706="","",E706*G706)</f>
        <v/>
      </c>
      <c r="J706" s="38" t="n"/>
      <c r="L706">
        <f>IF(D706="","",IF(OR(D706="Entrée Achat",D706="Entrée Retour"),K706+E706,K706-E706))</f>
        <v/>
      </c>
      <c r="P706">
        <f>IF(E706="","",IF(OR(D706="Entrée Achat",D706="Entrée Retour"),"✓ Validé",IF(D706="Sortie Perte","⚠️ Perte",IF(D706="Sortie Périmée","🔴 Périmé","✓ Validé"))))</f>
        <v/>
      </c>
    </row>
    <row r="707">
      <c r="A707" s="38" t="n"/>
      <c r="G707" s="8" t="n"/>
      <c r="H707" s="8">
        <f>IF(E707="","",E707*G707)</f>
        <v/>
      </c>
      <c r="J707" s="38" t="n"/>
      <c r="L707">
        <f>IF(D707="","",IF(OR(D707="Entrée Achat",D707="Entrée Retour"),K707+E707,K707-E707))</f>
        <v/>
      </c>
      <c r="P707">
        <f>IF(E707="","",IF(OR(D707="Entrée Achat",D707="Entrée Retour"),"✓ Validé",IF(D707="Sortie Perte","⚠️ Perte",IF(D707="Sortie Périmée","🔴 Périmé","✓ Validé"))))</f>
        <v/>
      </c>
    </row>
    <row r="708">
      <c r="A708" s="38" t="n"/>
      <c r="G708" s="8" t="n"/>
      <c r="H708" s="8">
        <f>IF(E708="","",E708*G708)</f>
        <v/>
      </c>
      <c r="J708" s="38" t="n"/>
      <c r="L708">
        <f>IF(D708="","",IF(OR(D708="Entrée Achat",D708="Entrée Retour"),K708+E708,K708-E708))</f>
        <v/>
      </c>
      <c r="P708">
        <f>IF(E708="","",IF(OR(D708="Entrée Achat",D708="Entrée Retour"),"✓ Validé",IF(D708="Sortie Perte","⚠️ Perte",IF(D708="Sortie Périmée","🔴 Périmé","✓ Validé"))))</f>
        <v/>
      </c>
    </row>
    <row r="709">
      <c r="A709" s="38" t="n"/>
      <c r="G709" s="8" t="n"/>
      <c r="H709" s="8">
        <f>IF(E709="","",E709*G709)</f>
        <v/>
      </c>
      <c r="J709" s="38" t="n"/>
      <c r="L709">
        <f>IF(D709="","",IF(OR(D709="Entrée Achat",D709="Entrée Retour"),K709+E709,K709-E709))</f>
        <v/>
      </c>
      <c r="P709">
        <f>IF(E709="","",IF(OR(D709="Entrée Achat",D709="Entrée Retour"),"✓ Validé",IF(D709="Sortie Perte","⚠️ Perte",IF(D709="Sortie Périmée","🔴 Périmé","✓ Validé"))))</f>
        <v/>
      </c>
    </row>
    <row r="710">
      <c r="A710" s="38" t="n"/>
      <c r="G710" s="8" t="n"/>
      <c r="H710" s="8">
        <f>IF(E710="","",E710*G710)</f>
        <v/>
      </c>
      <c r="J710" s="38" t="n"/>
      <c r="L710">
        <f>IF(D710="","",IF(OR(D710="Entrée Achat",D710="Entrée Retour"),K710+E710,K710-E710))</f>
        <v/>
      </c>
      <c r="P710">
        <f>IF(E710="","",IF(OR(D710="Entrée Achat",D710="Entrée Retour"),"✓ Validé",IF(D710="Sortie Perte","⚠️ Perte",IF(D710="Sortie Périmée","🔴 Périmé","✓ Validé"))))</f>
        <v/>
      </c>
    </row>
    <row r="711">
      <c r="A711" s="38" t="n"/>
      <c r="G711" s="8" t="n"/>
      <c r="H711" s="8">
        <f>IF(E711="","",E711*G711)</f>
        <v/>
      </c>
      <c r="J711" s="38" t="n"/>
      <c r="L711">
        <f>IF(D711="","",IF(OR(D711="Entrée Achat",D711="Entrée Retour"),K711+E711,K711-E711))</f>
        <v/>
      </c>
      <c r="P711">
        <f>IF(E711="","",IF(OR(D711="Entrée Achat",D711="Entrée Retour"),"✓ Validé",IF(D711="Sortie Perte","⚠️ Perte",IF(D711="Sortie Périmée","🔴 Périmé","✓ Validé"))))</f>
        <v/>
      </c>
    </row>
    <row r="712">
      <c r="A712" s="38" t="n"/>
      <c r="G712" s="8" t="n"/>
      <c r="H712" s="8">
        <f>IF(E712="","",E712*G712)</f>
        <v/>
      </c>
      <c r="J712" s="38" t="n"/>
      <c r="L712">
        <f>IF(D712="","",IF(OR(D712="Entrée Achat",D712="Entrée Retour"),K712+E712,K712-E712))</f>
        <v/>
      </c>
      <c r="P712">
        <f>IF(E712="","",IF(OR(D712="Entrée Achat",D712="Entrée Retour"),"✓ Validé",IF(D712="Sortie Perte","⚠️ Perte",IF(D712="Sortie Périmée","🔴 Périmé","✓ Validé"))))</f>
        <v/>
      </c>
    </row>
    <row r="713">
      <c r="A713" s="38" t="n"/>
      <c r="G713" s="8" t="n"/>
      <c r="H713" s="8">
        <f>IF(E713="","",E713*G713)</f>
        <v/>
      </c>
      <c r="J713" s="38" t="n"/>
      <c r="L713">
        <f>IF(D713="","",IF(OR(D713="Entrée Achat",D713="Entrée Retour"),K713+E713,K713-E713))</f>
        <v/>
      </c>
      <c r="P713">
        <f>IF(E713="","",IF(OR(D713="Entrée Achat",D713="Entrée Retour"),"✓ Validé",IF(D713="Sortie Perte","⚠️ Perte",IF(D713="Sortie Périmée","🔴 Périmé","✓ Validé"))))</f>
        <v/>
      </c>
    </row>
    <row r="714">
      <c r="A714" s="38" t="n"/>
      <c r="G714" s="8" t="n"/>
      <c r="H714" s="8">
        <f>IF(E714="","",E714*G714)</f>
        <v/>
      </c>
      <c r="J714" s="38" t="n"/>
      <c r="L714">
        <f>IF(D714="","",IF(OR(D714="Entrée Achat",D714="Entrée Retour"),K714+E714,K714-E714))</f>
        <v/>
      </c>
      <c r="P714">
        <f>IF(E714="","",IF(OR(D714="Entrée Achat",D714="Entrée Retour"),"✓ Validé",IF(D714="Sortie Perte","⚠️ Perte",IF(D714="Sortie Périmée","🔴 Périmé","✓ Validé"))))</f>
        <v/>
      </c>
    </row>
    <row r="715">
      <c r="A715" s="38" t="n"/>
      <c r="G715" s="8" t="n"/>
      <c r="H715" s="8">
        <f>IF(E715="","",E715*G715)</f>
        <v/>
      </c>
      <c r="J715" s="38" t="n"/>
      <c r="L715">
        <f>IF(D715="","",IF(OR(D715="Entrée Achat",D715="Entrée Retour"),K715+E715,K715-E715))</f>
        <v/>
      </c>
      <c r="P715">
        <f>IF(E715="","",IF(OR(D715="Entrée Achat",D715="Entrée Retour"),"✓ Validé",IF(D715="Sortie Perte","⚠️ Perte",IF(D715="Sortie Périmée","🔴 Périmé","✓ Validé"))))</f>
        <v/>
      </c>
    </row>
    <row r="716">
      <c r="A716" s="38" t="n"/>
      <c r="G716" s="8" t="n"/>
      <c r="H716" s="8">
        <f>IF(E716="","",E716*G716)</f>
        <v/>
      </c>
      <c r="J716" s="38" t="n"/>
      <c r="L716">
        <f>IF(D716="","",IF(OR(D716="Entrée Achat",D716="Entrée Retour"),K716+E716,K716-E716))</f>
        <v/>
      </c>
      <c r="P716">
        <f>IF(E716="","",IF(OR(D716="Entrée Achat",D716="Entrée Retour"),"✓ Validé",IF(D716="Sortie Perte","⚠️ Perte",IF(D716="Sortie Périmée","🔴 Périmé","✓ Validé"))))</f>
        <v/>
      </c>
    </row>
    <row r="717">
      <c r="A717" s="38" t="n"/>
      <c r="G717" s="8" t="n"/>
      <c r="H717" s="8">
        <f>IF(E717="","",E717*G717)</f>
        <v/>
      </c>
      <c r="J717" s="38" t="n"/>
      <c r="L717">
        <f>IF(D717="","",IF(OR(D717="Entrée Achat",D717="Entrée Retour"),K717+E717,K717-E717))</f>
        <v/>
      </c>
      <c r="P717">
        <f>IF(E717="","",IF(OR(D717="Entrée Achat",D717="Entrée Retour"),"✓ Validé",IF(D717="Sortie Perte","⚠️ Perte",IF(D717="Sortie Périmée","🔴 Périmé","✓ Validé"))))</f>
        <v/>
      </c>
    </row>
    <row r="718">
      <c r="A718" s="38" t="n"/>
      <c r="G718" s="8" t="n"/>
      <c r="H718" s="8">
        <f>IF(E718="","",E718*G718)</f>
        <v/>
      </c>
      <c r="J718" s="38" t="n"/>
      <c r="L718">
        <f>IF(D718="","",IF(OR(D718="Entrée Achat",D718="Entrée Retour"),K718+E718,K718-E718))</f>
        <v/>
      </c>
      <c r="P718">
        <f>IF(E718="","",IF(OR(D718="Entrée Achat",D718="Entrée Retour"),"✓ Validé",IF(D718="Sortie Perte","⚠️ Perte",IF(D718="Sortie Périmée","🔴 Périmé","✓ Validé"))))</f>
        <v/>
      </c>
    </row>
    <row r="719">
      <c r="A719" s="38" t="n"/>
      <c r="G719" s="8" t="n"/>
      <c r="H719" s="8">
        <f>IF(E719="","",E719*G719)</f>
        <v/>
      </c>
      <c r="J719" s="38" t="n"/>
      <c r="L719">
        <f>IF(D719="","",IF(OR(D719="Entrée Achat",D719="Entrée Retour"),K719+E719,K719-E719))</f>
        <v/>
      </c>
      <c r="P719">
        <f>IF(E719="","",IF(OR(D719="Entrée Achat",D719="Entrée Retour"),"✓ Validé",IF(D719="Sortie Perte","⚠️ Perte",IF(D719="Sortie Périmée","🔴 Périmé","✓ Validé"))))</f>
        <v/>
      </c>
    </row>
    <row r="720">
      <c r="A720" s="38" t="n"/>
      <c r="G720" s="8" t="n"/>
      <c r="H720" s="8">
        <f>IF(E720="","",E720*G720)</f>
        <v/>
      </c>
      <c r="J720" s="38" t="n"/>
      <c r="L720">
        <f>IF(D720="","",IF(OR(D720="Entrée Achat",D720="Entrée Retour"),K720+E720,K720-E720))</f>
        <v/>
      </c>
      <c r="P720">
        <f>IF(E720="","",IF(OR(D720="Entrée Achat",D720="Entrée Retour"),"✓ Validé",IF(D720="Sortie Perte","⚠️ Perte",IF(D720="Sortie Périmée","🔴 Périmé","✓ Validé"))))</f>
        <v/>
      </c>
    </row>
    <row r="721">
      <c r="A721" s="38" t="n"/>
      <c r="G721" s="8" t="n"/>
      <c r="H721" s="8">
        <f>IF(E721="","",E721*G721)</f>
        <v/>
      </c>
      <c r="J721" s="38" t="n"/>
      <c r="L721">
        <f>IF(D721="","",IF(OR(D721="Entrée Achat",D721="Entrée Retour"),K721+E721,K721-E721))</f>
        <v/>
      </c>
      <c r="P721">
        <f>IF(E721="","",IF(OR(D721="Entrée Achat",D721="Entrée Retour"),"✓ Validé",IF(D721="Sortie Perte","⚠️ Perte",IF(D721="Sortie Périmée","🔴 Périmé","✓ Validé"))))</f>
        <v/>
      </c>
    </row>
    <row r="722">
      <c r="A722" s="38" t="n"/>
      <c r="G722" s="8" t="n"/>
      <c r="H722" s="8">
        <f>IF(E722="","",E722*G722)</f>
        <v/>
      </c>
      <c r="J722" s="38" t="n"/>
      <c r="L722">
        <f>IF(D722="","",IF(OR(D722="Entrée Achat",D722="Entrée Retour"),K722+E722,K722-E722))</f>
        <v/>
      </c>
      <c r="P722">
        <f>IF(E722="","",IF(OR(D722="Entrée Achat",D722="Entrée Retour"),"✓ Validé",IF(D722="Sortie Perte","⚠️ Perte",IF(D722="Sortie Périmée","🔴 Périmé","✓ Validé"))))</f>
        <v/>
      </c>
    </row>
    <row r="723">
      <c r="A723" s="38" t="n"/>
      <c r="G723" s="8" t="n"/>
      <c r="H723" s="8">
        <f>IF(E723="","",E723*G723)</f>
        <v/>
      </c>
      <c r="J723" s="38" t="n"/>
      <c r="L723">
        <f>IF(D723="","",IF(OR(D723="Entrée Achat",D723="Entrée Retour"),K723+E723,K723-E723))</f>
        <v/>
      </c>
      <c r="P723">
        <f>IF(E723="","",IF(OR(D723="Entrée Achat",D723="Entrée Retour"),"✓ Validé",IF(D723="Sortie Perte","⚠️ Perte",IF(D723="Sortie Périmée","🔴 Périmé","✓ Validé"))))</f>
        <v/>
      </c>
    </row>
    <row r="724">
      <c r="A724" s="38" t="n"/>
      <c r="G724" s="8" t="n"/>
      <c r="H724" s="8">
        <f>IF(E724="","",E724*G724)</f>
        <v/>
      </c>
      <c r="J724" s="38" t="n"/>
      <c r="L724">
        <f>IF(D724="","",IF(OR(D724="Entrée Achat",D724="Entrée Retour"),K724+E724,K724-E724))</f>
        <v/>
      </c>
      <c r="P724">
        <f>IF(E724="","",IF(OR(D724="Entrée Achat",D724="Entrée Retour"),"✓ Validé",IF(D724="Sortie Perte","⚠️ Perte",IF(D724="Sortie Périmée","🔴 Périmé","✓ Validé"))))</f>
        <v/>
      </c>
    </row>
    <row r="725">
      <c r="A725" s="38" t="n"/>
      <c r="G725" s="8" t="n"/>
      <c r="H725" s="8">
        <f>IF(E725="","",E725*G725)</f>
        <v/>
      </c>
      <c r="J725" s="38" t="n"/>
      <c r="L725">
        <f>IF(D725="","",IF(OR(D725="Entrée Achat",D725="Entrée Retour"),K725+E725,K725-E725))</f>
        <v/>
      </c>
      <c r="P725">
        <f>IF(E725="","",IF(OR(D725="Entrée Achat",D725="Entrée Retour"),"✓ Validé",IF(D725="Sortie Perte","⚠️ Perte",IF(D725="Sortie Périmée","🔴 Périmé","✓ Validé"))))</f>
        <v/>
      </c>
    </row>
    <row r="726">
      <c r="A726" s="38" t="n"/>
      <c r="G726" s="8" t="n"/>
      <c r="H726" s="8">
        <f>IF(E726="","",E726*G726)</f>
        <v/>
      </c>
      <c r="J726" s="38" t="n"/>
      <c r="L726">
        <f>IF(D726="","",IF(OR(D726="Entrée Achat",D726="Entrée Retour"),K726+E726,K726-E726))</f>
        <v/>
      </c>
      <c r="P726">
        <f>IF(E726="","",IF(OR(D726="Entrée Achat",D726="Entrée Retour"),"✓ Validé",IF(D726="Sortie Perte","⚠️ Perte",IF(D726="Sortie Périmée","🔴 Périmé","✓ Validé"))))</f>
        <v/>
      </c>
    </row>
    <row r="727">
      <c r="A727" s="38" t="n"/>
      <c r="G727" s="8" t="n"/>
      <c r="H727" s="8">
        <f>IF(E727="","",E727*G727)</f>
        <v/>
      </c>
      <c r="J727" s="38" t="n"/>
      <c r="L727">
        <f>IF(D727="","",IF(OR(D727="Entrée Achat",D727="Entrée Retour"),K727+E727,K727-E727))</f>
        <v/>
      </c>
      <c r="P727">
        <f>IF(E727="","",IF(OR(D727="Entrée Achat",D727="Entrée Retour"),"✓ Validé",IF(D727="Sortie Perte","⚠️ Perte",IF(D727="Sortie Périmée","🔴 Périmé","✓ Validé"))))</f>
        <v/>
      </c>
    </row>
    <row r="728">
      <c r="A728" s="38" t="n"/>
      <c r="G728" s="8" t="n"/>
      <c r="H728" s="8">
        <f>IF(E728="","",E728*G728)</f>
        <v/>
      </c>
      <c r="J728" s="38" t="n"/>
      <c r="L728">
        <f>IF(D728="","",IF(OR(D728="Entrée Achat",D728="Entrée Retour"),K728+E728,K728-E728))</f>
        <v/>
      </c>
      <c r="P728">
        <f>IF(E728="","",IF(OR(D728="Entrée Achat",D728="Entrée Retour"),"✓ Validé",IF(D728="Sortie Perte","⚠️ Perte",IF(D728="Sortie Périmée","🔴 Périmé","✓ Validé"))))</f>
        <v/>
      </c>
    </row>
    <row r="729">
      <c r="A729" s="38" t="n"/>
      <c r="G729" s="8" t="n"/>
      <c r="H729" s="8">
        <f>IF(E729="","",E729*G729)</f>
        <v/>
      </c>
      <c r="J729" s="38" t="n"/>
      <c r="L729">
        <f>IF(D729="","",IF(OR(D729="Entrée Achat",D729="Entrée Retour"),K729+E729,K729-E729))</f>
        <v/>
      </c>
      <c r="P729">
        <f>IF(E729="","",IF(OR(D729="Entrée Achat",D729="Entrée Retour"),"✓ Validé",IF(D729="Sortie Perte","⚠️ Perte",IF(D729="Sortie Périmée","🔴 Périmé","✓ Validé"))))</f>
        <v/>
      </c>
    </row>
    <row r="730">
      <c r="A730" s="38" t="n"/>
      <c r="G730" s="8" t="n"/>
      <c r="H730" s="8">
        <f>IF(E730="","",E730*G730)</f>
        <v/>
      </c>
      <c r="J730" s="38" t="n"/>
      <c r="L730">
        <f>IF(D730="","",IF(OR(D730="Entrée Achat",D730="Entrée Retour"),K730+E730,K730-E730))</f>
        <v/>
      </c>
      <c r="P730">
        <f>IF(E730="","",IF(OR(D730="Entrée Achat",D730="Entrée Retour"),"✓ Validé",IF(D730="Sortie Perte","⚠️ Perte",IF(D730="Sortie Périmée","🔴 Périmé","✓ Validé"))))</f>
        <v/>
      </c>
    </row>
    <row r="731">
      <c r="A731" s="38" t="n"/>
      <c r="G731" s="8" t="n"/>
      <c r="H731" s="8">
        <f>IF(E731="","",E731*G731)</f>
        <v/>
      </c>
      <c r="J731" s="38" t="n"/>
      <c r="L731">
        <f>IF(D731="","",IF(OR(D731="Entrée Achat",D731="Entrée Retour"),K731+E731,K731-E731))</f>
        <v/>
      </c>
      <c r="P731">
        <f>IF(E731="","",IF(OR(D731="Entrée Achat",D731="Entrée Retour"),"✓ Validé",IF(D731="Sortie Perte","⚠️ Perte",IF(D731="Sortie Périmée","🔴 Périmé","✓ Validé"))))</f>
        <v/>
      </c>
    </row>
    <row r="732">
      <c r="A732" s="38" t="n"/>
      <c r="G732" s="8" t="n"/>
      <c r="H732" s="8">
        <f>IF(E732="","",E732*G732)</f>
        <v/>
      </c>
      <c r="J732" s="38" t="n"/>
      <c r="L732">
        <f>IF(D732="","",IF(OR(D732="Entrée Achat",D732="Entrée Retour"),K732+E732,K732-E732))</f>
        <v/>
      </c>
      <c r="P732">
        <f>IF(E732="","",IF(OR(D732="Entrée Achat",D732="Entrée Retour"),"✓ Validé",IF(D732="Sortie Perte","⚠️ Perte",IF(D732="Sortie Périmée","🔴 Périmé","✓ Validé"))))</f>
        <v/>
      </c>
    </row>
    <row r="733">
      <c r="A733" s="38" t="n"/>
      <c r="G733" s="8" t="n"/>
      <c r="H733" s="8">
        <f>IF(E733="","",E733*G733)</f>
        <v/>
      </c>
      <c r="J733" s="38" t="n"/>
      <c r="L733">
        <f>IF(D733="","",IF(OR(D733="Entrée Achat",D733="Entrée Retour"),K733+E733,K733-E733))</f>
        <v/>
      </c>
      <c r="P733">
        <f>IF(E733="","",IF(OR(D733="Entrée Achat",D733="Entrée Retour"),"✓ Validé",IF(D733="Sortie Perte","⚠️ Perte",IF(D733="Sortie Périmée","🔴 Périmé","✓ Validé"))))</f>
        <v/>
      </c>
    </row>
    <row r="734">
      <c r="A734" s="38" t="n"/>
      <c r="G734" s="8" t="n"/>
      <c r="H734" s="8">
        <f>IF(E734="","",E734*G734)</f>
        <v/>
      </c>
      <c r="J734" s="38" t="n"/>
      <c r="L734">
        <f>IF(D734="","",IF(OR(D734="Entrée Achat",D734="Entrée Retour"),K734+E734,K734-E734))</f>
        <v/>
      </c>
      <c r="P734">
        <f>IF(E734="","",IF(OR(D734="Entrée Achat",D734="Entrée Retour"),"✓ Validé",IF(D734="Sortie Perte","⚠️ Perte",IF(D734="Sortie Périmée","🔴 Périmé","✓ Validé"))))</f>
        <v/>
      </c>
    </row>
    <row r="735">
      <c r="A735" s="38" t="n"/>
      <c r="G735" s="8" t="n"/>
      <c r="H735" s="8">
        <f>IF(E735="","",E735*G735)</f>
        <v/>
      </c>
      <c r="J735" s="38" t="n"/>
      <c r="L735">
        <f>IF(D735="","",IF(OR(D735="Entrée Achat",D735="Entrée Retour"),K735+E735,K735-E735))</f>
        <v/>
      </c>
      <c r="P735">
        <f>IF(E735="","",IF(OR(D735="Entrée Achat",D735="Entrée Retour"),"✓ Validé",IF(D735="Sortie Perte","⚠️ Perte",IF(D735="Sortie Périmée","🔴 Périmé","✓ Validé"))))</f>
        <v/>
      </c>
    </row>
    <row r="736">
      <c r="A736" s="38" t="n"/>
      <c r="G736" s="8" t="n"/>
      <c r="H736" s="8">
        <f>IF(E736="","",E736*G736)</f>
        <v/>
      </c>
      <c r="J736" s="38" t="n"/>
      <c r="L736">
        <f>IF(D736="","",IF(OR(D736="Entrée Achat",D736="Entrée Retour"),K736+E736,K736-E736))</f>
        <v/>
      </c>
      <c r="P736">
        <f>IF(E736="","",IF(OR(D736="Entrée Achat",D736="Entrée Retour"),"✓ Validé",IF(D736="Sortie Perte","⚠️ Perte",IF(D736="Sortie Périmée","🔴 Périmé","✓ Validé"))))</f>
        <v/>
      </c>
    </row>
    <row r="737">
      <c r="A737" s="38" t="n"/>
      <c r="G737" s="8" t="n"/>
      <c r="H737" s="8">
        <f>IF(E737="","",E737*G737)</f>
        <v/>
      </c>
      <c r="J737" s="38" t="n"/>
      <c r="L737">
        <f>IF(D737="","",IF(OR(D737="Entrée Achat",D737="Entrée Retour"),K737+E737,K737-E737))</f>
        <v/>
      </c>
      <c r="P737">
        <f>IF(E737="","",IF(OR(D737="Entrée Achat",D737="Entrée Retour"),"✓ Validé",IF(D737="Sortie Perte","⚠️ Perte",IF(D737="Sortie Périmée","🔴 Périmé","✓ Validé"))))</f>
        <v/>
      </c>
    </row>
    <row r="738">
      <c r="A738" s="38" t="n"/>
      <c r="G738" s="8" t="n"/>
      <c r="H738" s="8">
        <f>IF(E738="","",E738*G738)</f>
        <v/>
      </c>
      <c r="J738" s="38" t="n"/>
      <c r="L738">
        <f>IF(D738="","",IF(OR(D738="Entrée Achat",D738="Entrée Retour"),K738+E738,K738-E738))</f>
        <v/>
      </c>
      <c r="P738">
        <f>IF(E738="","",IF(OR(D738="Entrée Achat",D738="Entrée Retour"),"✓ Validé",IF(D738="Sortie Perte","⚠️ Perte",IF(D738="Sortie Périmée","🔴 Périmé","✓ Validé"))))</f>
        <v/>
      </c>
    </row>
    <row r="739">
      <c r="A739" s="38" t="n"/>
      <c r="G739" s="8" t="n"/>
      <c r="H739" s="8">
        <f>IF(E739="","",E739*G739)</f>
        <v/>
      </c>
      <c r="J739" s="38" t="n"/>
      <c r="L739">
        <f>IF(D739="","",IF(OR(D739="Entrée Achat",D739="Entrée Retour"),K739+E739,K739-E739))</f>
        <v/>
      </c>
      <c r="P739">
        <f>IF(E739="","",IF(OR(D739="Entrée Achat",D739="Entrée Retour"),"✓ Validé",IF(D739="Sortie Perte","⚠️ Perte",IF(D739="Sortie Périmée","🔴 Périmé","✓ Validé"))))</f>
        <v/>
      </c>
    </row>
    <row r="740">
      <c r="A740" s="38" t="n"/>
      <c r="G740" s="8" t="n"/>
      <c r="H740" s="8">
        <f>IF(E740="","",E740*G740)</f>
        <v/>
      </c>
      <c r="J740" s="38" t="n"/>
      <c r="L740">
        <f>IF(D740="","",IF(OR(D740="Entrée Achat",D740="Entrée Retour"),K740+E740,K740-E740))</f>
        <v/>
      </c>
      <c r="P740">
        <f>IF(E740="","",IF(OR(D740="Entrée Achat",D740="Entrée Retour"),"✓ Validé",IF(D740="Sortie Perte","⚠️ Perte",IF(D740="Sortie Périmée","🔴 Périmé","✓ Validé"))))</f>
        <v/>
      </c>
    </row>
    <row r="741">
      <c r="A741" s="38" t="n"/>
      <c r="G741" s="8" t="n"/>
      <c r="H741" s="8">
        <f>IF(E741="","",E741*G741)</f>
        <v/>
      </c>
      <c r="J741" s="38" t="n"/>
      <c r="L741">
        <f>IF(D741="","",IF(OR(D741="Entrée Achat",D741="Entrée Retour"),K741+E741,K741-E741))</f>
        <v/>
      </c>
      <c r="P741">
        <f>IF(E741="","",IF(OR(D741="Entrée Achat",D741="Entrée Retour"),"✓ Validé",IF(D741="Sortie Perte","⚠️ Perte",IF(D741="Sortie Périmée","🔴 Périmé","✓ Validé"))))</f>
        <v/>
      </c>
    </row>
    <row r="742">
      <c r="A742" s="38" t="n"/>
      <c r="G742" s="8" t="n"/>
      <c r="H742" s="8">
        <f>IF(E742="","",E742*G742)</f>
        <v/>
      </c>
      <c r="J742" s="38" t="n"/>
      <c r="L742">
        <f>IF(D742="","",IF(OR(D742="Entrée Achat",D742="Entrée Retour"),K742+E742,K742-E742))</f>
        <v/>
      </c>
      <c r="P742">
        <f>IF(E742="","",IF(OR(D742="Entrée Achat",D742="Entrée Retour"),"✓ Validé",IF(D742="Sortie Perte","⚠️ Perte",IF(D742="Sortie Périmée","🔴 Périmé","✓ Validé"))))</f>
        <v/>
      </c>
    </row>
    <row r="743">
      <c r="A743" s="38" t="n"/>
      <c r="G743" s="8" t="n"/>
      <c r="H743" s="8">
        <f>IF(E743="","",E743*G743)</f>
        <v/>
      </c>
      <c r="J743" s="38" t="n"/>
      <c r="L743">
        <f>IF(D743="","",IF(OR(D743="Entrée Achat",D743="Entrée Retour"),K743+E743,K743-E743))</f>
        <v/>
      </c>
      <c r="P743">
        <f>IF(E743="","",IF(OR(D743="Entrée Achat",D743="Entrée Retour"),"✓ Validé",IF(D743="Sortie Perte","⚠️ Perte",IF(D743="Sortie Périmée","🔴 Périmé","✓ Validé"))))</f>
        <v/>
      </c>
    </row>
    <row r="744">
      <c r="A744" s="38" t="n"/>
      <c r="G744" s="8" t="n"/>
      <c r="H744" s="8">
        <f>IF(E744="","",E744*G744)</f>
        <v/>
      </c>
      <c r="J744" s="38" t="n"/>
      <c r="L744">
        <f>IF(D744="","",IF(OR(D744="Entrée Achat",D744="Entrée Retour"),K744+E744,K744-E744))</f>
        <v/>
      </c>
      <c r="P744">
        <f>IF(E744="","",IF(OR(D744="Entrée Achat",D744="Entrée Retour"),"✓ Validé",IF(D744="Sortie Perte","⚠️ Perte",IF(D744="Sortie Périmée","🔴 Périmé","✓ Validé"))))</f>
        <v/>
      </c>
    </row>
    <row r="745">
      <c r="A745" s="38" t="n"/>
      <c r="G745" s="8" t="n"/>
      <c r="H745" s="8">
        <f>IF(E745="","",E745*G745)</f>
        <v/>
      </c>
      <c r="J745" s="38" t="n"/>
      <c r="L745">
        <f>IF(D745="","",IF(OR(D745="Entrée Achat",D745="Entrée Retour"),K745+E745,K745-E745))</f>
        <v/>
      </c>
      <c r="P745">
        <f>IF(E745="","",IF(OR(D745="Entrée Achat",D745="Entrée Retour"),"✓ Validé",IF(D745="Sortie Perte","⚠️ Perte",IF(D745="Sortie Périmée","🔴 Périmé","✓ Validé"))))</f>
        <v/>
      </c>
    </row>
    <row r="746">
      <c r="A746" s="38" t="n"/>
      <c r="G746" s="8" t="n"/>
      <c r="H746" s="8">
        <f>IF(E746="","",E746*G746)</f>
        <v/>
      </c>
      <c r="J746" s="38" t="n"/>
      <c r="L746">
        <f>IF(D746="","",IF(OR(D746="Entrée Achat",D746="Entrée Retour"),K746+E746,K746-E746))</f>
        <v/>
      </c>
      <c r="P746">
        <f>IF(E746="","",IF(OR(D746="Entrée Achat",D746="Entrée Retour"),"✓ Validé",IF(D746="Sortie Perte","⚠️ Perte",IF(D746="Sortie Périmée","🔴 Périmé","✓ Validé"))))</f>
        <v/>
      </c>
    </row>
    <row r="747">
      <c r="A747" s="38" t="n"/>
      <c r="G747" s="8" t="n"/>
      <c r="H747" s="8">
        <f>IF(E747="","",E747*G747)</f>
        <v/>
      </c>
      <c r="J747" s="38" t="n"/>
      <c r="L747">
        <f>IF(D747="","",IF(OR(D747="Entrée Achat",D747="Entrée Retour"),K747+E747,K747-E747))</f>
        <v/>
      </c>
      <c r="P747">
        <f>IF(E747="","",IF(OR(D747="Entrée Achat",D747="Entrée Retour"),"✓ Validé",IF(D747="Sortie Perte","⚠️ Perte",IF(D747="Sortie Périmée","🔴 Périmé","✓ Validé"))))</f>
        <v/>
      </c>
    </row>
    <row r="748">
      <c r="A748" s="38" t="n"/>
      <c r="G748" s="8" t="n"/>
      <c r="H748" s="8">
        <f>IF(E748="","",E748*G748)</f>
        <v/>
      </c>
      <c r="J748" s="38" t="n"/>
      <c r="L748">
        <f>IF(D748="","",IF(OR(D748="Entrée Achat",D748="Entrée Retour"),K748+E748,K748-E748))</f>
        <v/>
      </c>
      <c r="P748">
        <f>IF(E748="","",IF(OR(D748="Entrée Achat",D748="Entrée Retour"),"✓ Validé",IF(D748="Sortie Perte","⚠️ Perte",IF(D748="Sortie Périmée","🔴 Périmé","✓ Validé"))))</f>
        <v/>
      </c>
    </row>
    <row r="749">
      <c r="A749" s="38" t="n"/>
      <c r="G749" s="8" t="n"/>
      <c r="H749" s="8">
        <f>IF(E749="","",E749*G749)</f>
        <v/>
      </c>
      <c r="J749" s="38" t="n"/>
      <c r="L749">
        <f>IF(D749="","",IF(OR(D749="Entrée Achat",D749="Entrée Retour"),K749+E749,K749-E749))</f>
        <v/>
      </c>
      <c r="P749">
        <f>IF(E749="","",IF(OR(D749="Entrée Achat",D749="Entrée Retour"),"✓ Validé",IF(D749="Sortie Perte","⚠️ Perte",IF(D749="Sortie Périmée","🔴 Périmé","✓ Validé"))))</f>
        <v/>
      </c>
    </row>
    <row r="750">
      <c r="A750" s="38" t="n"/>
      <c r="G750" s="8" t="n"/>
      <c r="H750" s="8">
        <f>IF(E750="","",E750*G750)</f>
        <v/>
      </c>
      <c r="J750" s="38" t="n"/>
      <c r="L750">
        <f>IF(D750="","",IF(OR(D750="Entrée Achat",D750="Entrée Retour"),K750+E750,K750-E750))</f>
        <v/>
      </c>
      <c r="P750">
        <f>IF(E750="","",IF(OR(D750="Entrée Achat",D750="Entrée Retour"),"✓ Validé",IF(D750="Sortie Perte","⚠️ Perte",IF(D750="Sortie Périmée","🔴 Périmé","✓ Validé"))))</f>
        <v/>
      </c>
    </row>
    <row r="751">
      <c r="A751" s="38" t="n"/>
      <c r="G751" s="8" t="n"/>
      <c r="H751" s="8">
        <f>IF(E751="","",E751*G751)</f>
        <v/>
      </c>
      <c r="J751" s="38" t="n"/>
      <c r="L751">
        <f>IF(D751="","",IF(OR(D751="Entrée Achat",D751="Entrée Retour"),K751+E751,K751-E751))</f>
        <v/>
      </c>
      <c r="P751">
        <f>IF(E751="","",IF(OR(D751="Entrée Achat",D751="Entrée Retour"),"✓ Validé",IF(D751="Sortie Perte","⚠️ Perte",IF(D751="Sortie Périmée","🔴 Périmé","✓ Validé"))))</f>
        <v/>
      </c>
    </row>
    <row r="752">
      <c r="A752" s="38" t="n"/>
      <c r="G752" s="8" t="n"/>
      <c r="H752" s="8">
        <f>IF(E752="","",E752*G752)</f>
        <v/>
      </c>
      <c r="J752" s="38" t="n"/>
      <c r="L752">
        <f>IF(D752="","",IF(OR(D752="Entrée Achat",D752="Entrée Retour"),K752+E752,K752-E752))</f>
        <v/>
      </c>
      <c r="P752">
        <f>IF(E752="","",IF(OR(D752="Entrée Achat",D752="Entrée Retour"),"✓ Validé",IF(D752="Sortie Perte","⚠️ Perte",IF(D752="Sortie Périmée","🔴 Périmé","✓ Validé"))))</f>
        <v/>
      </c>
    </row>
    <row r="753">
      <c r="A753" s="38" t="n"/>
      <c r="G753" s="8" t="n"/>
      <c r="H753" s="8">
        <f>IF(E753="","",E753*G753)</f>
        <v/>
      </c>
      <c r="J753" s="38" t="n"/>
      <c r="L753">
        <f>IF(D753="","",IF(OR(D753="Entrée Achat",D753="Entrée Retour"),K753+E753,K753-E753))</f>
        <v/>
      </c>
      <c r="P753">
        <f>IF(E753="","",IF(OR(D753="Entrée Achat",D753="Entrée Retour"),"✓ Validé",IF(D753="Sortie Perte","⚠️ Perte",IF(D753="Sortie Périmée","🔴 Périmé","✓ Validé"))))</f>
        <v/>
      </c>
    </row>
    <row r="754">
      <c r="A754" s="38" t="n"/>
      <c r="G754" s="8" t="n"/>
      <c r="H754" s="8">
        <f>IF(E754="","",E754*G754)</f>
        <v/>
      </c>
      <c r="J754" s="38" t="n"/>
      <c r="L754">
        <f>IF(D754="","",IF(OR(D754="Entrée Achat",D754="Entrée Retour"),K754+E754,K754-E754))</f>
        <v/>
      </c>
      <c r="P754">
        <f>IF(E754="","",IF(OR(D754="Entrée Achat",D754="Entrée Retour"),"✓ Validé",IF(D754="Sortie Perte","⚠️ Perte",IF(D754="Sortie Périmée","🔴 Périmé","✓ Validé"))))</f>
        <v/>
      </c>
    </row>
    <row r="755">
      <c r="A755" s="38" t="n"/>
      <c r="G755" s="8" t="n"/>
      <c r="H755" s="8">
        <f>IF(E755="","",E755*G755)</f>
        <v/>
      </c>
      <c r="J755" s="38" t="n"/>
      <c r="L755">
        <f>IF(D755="","",IF(OR(D755="Entrée Achat",D755="Entrée Retour"),K755+E755,K755-E755))</f>
        <v/>
      </c>
      <c r="P755">
        <f>IF(E755="","",IF(OR(D755="Entrée Achat",D755="Entrée Retour"),"✓ Validé",IF(D755="Sortie Perte","⚠️ Perte",IF(D755="Sortie Périmée","🔴 Périmé","✓ Validé"))))</f>
        <v/>
      </c>
    </row>
    <row r="756">
      <c r="A756" s="38" t="n"/>
      <c r="G756" s="8" t="n"/>
      <c r="H756" s="8">
        <f>IF(E756="","",E756*G756)</f>
        <v/>
      </c>
      <c r="J756" s="38" t="n"/>
      <c r="L756">
        <f>IF(D756="","",IF(OR(D756="Entrée Achat",D756="Entrée Retour"),K756+E756,K756-E756))</f>
        <v/>
      </c>
      <c r="P756">
        <f>IF(E756="","",IF(OR(D756="Entrée Achat",D756="Entrée Retour"),"✓ Validé",IF(D756="Sortie Perte","⚠️ Perte",IF(D756="Sortie Périmée","🔴 Périmé","✓ Validé"))))</f>
        <v/>
      </c>
    </row>
    <row r="757">
      <c r="A757" s="38" t="n"/>
      <c r="G757" s="8" t="n"/>
      <c r="H757" s="8">
        <f>IF(E757="","",E757*G757)</f>
        <v/>
      </c>
      <c r="J757" s="38" t="n"/>
      <c r="L757">
        <f>IF(D757="","",IF(OR(D757="Entrée Achat",D757="Entrée Retour"),K757+E757,K757-E757))</f>
        <v/>
      </c>
      <c r="P757">
        <f>IF(E757="","",IF(OR(D757="Entrée Achat",D757="Entrée Retour"),"✓ Validé",IF(D757="Sortie Perte","⚠️ Perte",IF(D757="Sortie Périmée","🔴 Périmé","✓ Validé"))))</f>
        <v/>
      </c>
    </row>
    <row r="758">
      <c r="A758" s="38" t="n"/>
      <c r="G758" s="8" t="n"/>
      <c r="H758" s="8">
        <f>IF(E758="","",E758*G758)</f>
        <v/>
      </c>
      <c r="J758" s="38" t="n"/>
      <c r="L758">
        <f>IF(D758="","",IF(OR(D758="Entrée Achat",D758="Entrée Retour"),K758+E758,K758-E758))</f>
        <v/>
      </c>
      <c r="P758">
        <f>IF(E758="","",IF(OR(D758="Entrée Achat",D758="Entrée Retour"),"✓ Validé",IF(D758="Sortie Perte","⚠️ Perte",IF(D758="Sortie Périmée","🔴 Périmé","✓ Validé"))))</f>
        <v/>
      </c>
    </row>
    <row r="759">
      <c r="A759" s="38" t="n"/>
      <c r="G759" s="8" t="n"/>
      <c r="H759" s="8">
        <f>IF(E759="","",E759*G759)</f>
        <v/>
      </c>
      <c r="J759" s="38" t="n"/>
      <c r="L759">
        <f>IF(D759="","",IF(OR(D759="Entrée Achat",D759="Entrée Retour"),K759+E759,K759-E759))</f>
        <v/>
      </c>
      <c r="P759">
        <f>IF(E759="","",IF(OR(D759="Entrée Achat",D759="Entrée Retour"),"✓ Validé",IF(D759="Sortie Perte","⚠️ Perte",IF(D759="Sortie Périmée","🔴 Périmé","✓ Validé"))))</f>
        <v/>
      </c>
    </row>
    <row r="760">
      <c r="A760" s="38" t="n"/>
      <c r="G760" s="8" t="n"/>
      <c r="H760" s="8">
        <f>IF(E760="","",E760*G760)</f>
        <v/>
      </c>
      <c r="J760" s="38" t="n"/>
      <c r="L760">
        <f>IF(D760="","",IF(OR(D760="Entrée Achat",D760="Entrée Retour"),K760+E760,K760-E760))</f>
        <v/>
      </c>
      <c r="P760">
        <f>IF(E760="","",IF(OR(D760="Entrée Achat",D760="Entrée Retour"),"✓ Validé",IF(D760="Sortie Perte","⚠️ Perte",IF(D760="Sortie Périmée","🔴 Périmé","✓ Validé"))))</f>
        <v/>
      </c>
    </row>
    <row r="761">
      <c r="A761" s="38" t="n"/>
      <c r="G761" s="8" t="n"/>
      <c r="H761" s="8">
        <f>IF(E761="","",E761*G761)</f>
        <v/>
      </c>
      <c r="J761" s="38" t="n"/>
      <c r="L761">
        <f>IF(D761="","",IF(OR(D761="Entrée Achat",D761="Entrée Retour"),K761+E761,K761-E761))</f>
        <v/>
      </c>
      <c r="P761">
        <f>IF(E761="","",IF(OR(D761="Entrée Achat",D761="Entrée Retour"),"✓ Validé",IF(D761="Sortie Perte","⚠️ Perte",IF(D761="Sortie Périmée","🔴 Périmé","✓ Validé"))))</f>
        <v/>
      </c>
    </row>
    <row r="762">
      <c r="A762" s="38" t="n"/>
      <c r="G762" s="8" t="n"/>
      <c r="H762" s="8">
        <f>IF(E762="","",E762*G762)</f>
        <v/>
      </c>
      <c r="J762" s="38" t="n"/>
      <c r="L762">
        <f>IF(D762="","",IF(OR(D762="Entrée Achat",D762="Entrée Retour"),K762+E762,K762-E762))</f>
        <v/>
      </c>
      <c r="P762">
        <f>IF(E762="","",IF(OR(D762="Entrée Achat",D762="Entrée Retour"),"✓ Validé",IF(D762="Sortie Perte","⚠️ Perte",IF(D762="Sortie Périmée","🔴 Périmé","✓ Validé"))))</f>
        <v/>
      </c>
    </row>
    <row r="763">
      <c r="A763" s="38" t="n"/>
      <c r="G763" s="8" t="n"/>
      <c r="H763" s="8">
        <f>IF(E763="","",E763*G763)</f>
        <v/>
      </c>
      <c r="J763" s="38" t="n"/>
      <c r="L763">
        <f>IF(D763="","",IF(OR(D763="Entrée Achat",D763="Entrée Retour"),K763+E763,K763-E763))</f>
        <v/>
      </c>
      <c r="P763">
        <f>IF(E763="","",IF(OR(D763="Entrée Achat",D763="Entrée Retour"),"✓ Validé",IF(D763="Sortie Perte","⚠️ Perte",IF(D763="Sortie Périmée","🔴 Périmé","✓ Validé"))))</f>
        <v/>
      </c>
    </row>
    <row r="764">
      <c r="A764" s="38" t="n"/>
      <c r="G764" s="8" t="n"/>
      <c r="H764" s="8">
        <f>IF(E764="","",E764*G764)</f>
        <v/>
      </c>
      <c r="J764" s="38" t="n"/>
      <c r="L764">
        <f>IF(D764="","",IF(OR(D764="Entrée Achat",D764="Entrée Retour"),K764+E764,K764-E764))</f>
        <v/>
      </c>
      <c r="P764">
        <f>IF(E764="","",IF(OR(D764="Entrée Achat",D764="Entrée Retour"),"✓ Validé",IF(D764="Sortie Perte","⚠️ Perte",IF(D764="Sortie Périmée","🔴 Périmé","✓ Validé"))))</f>
        <v/>
      </c>
    </row>
    <row r="765">
      <c r="A765" s="38" t="n"/>
      <c r="G765" s="8" t="n"/>
      <c r="H765" s="8">
        <f>IF(E765="","",E765*G765)</f>
        <v/>
      </c>
      <c r="J765" s="38" t="n"/>
      <c r="L765">
        <f>IF(D765="","",IF(OR(D765="Entrée Achat",D765="Entrée Retour"),K765+E765,K765-E765))</f>
        <v/>
      </c>
      <c r="P765">
        <f>IF(E765="","",IF(OR(D765="Entrée Achat",D765="Entrée Retour"),"✓ Validé",IF(D765="Sortie Perte","⚠️ Perte",IF(D765="Sortie Périmée","🔴 Périmé","✓ Validé"))))</f>
        <v/>
      </c>
    </row>
    <row r="766">
      <c r="A766" s="38" t="n"/>
      <c r="G766" s="8" t="n"/>
      <c r="H766" s="8">
        <f>IF(E766="","",E766*G766)</f>
        <v/>
      </c>
      <c r="J766" s="38" t="n"/>
      <c r="L766">
        <f>IF(D766="","",IF(OR(D766="Entrée Achat",D766="Entrée Retour"),K766+E766,K766-E766))</f>
        <v/>
      </c>
      <c r="P766">
        <f>IF(E766="","",IF(OR(D766="Entrée Achat",D766="Entrée Retour"),"✓ Validé",IF(D766="Sortie Perte","⚠️ Perte",IF(D766="Sortie Périmée","🔴 Périmé","✓ Validé"))))</f>
        <v/>
      </c>
    </row>
    <row r="767">
      <c r="A767" s="38" t="n"/>
      <c r="G767" s="8" t="n"/>
      <c r="H767" s="8">
        <f>IF(E767="","",E767*G767)</f>
        <v/>
      </c>
      <c r="J767" s="38" t="n"/>
      <c r="L767">
        <f>IF(D767="","",IF(OR(D767="Entrée Achat",D767="Entrée Retour"),K767+E767,K767-E767))</f>
        <v/>
      </c>
      <c r="P767">
        <f>IF(E767="","",IF(OR(D767="Entrée Achat",D767="Entrée Retour"),"✓ Validé",IF(D767="Sortie Perte","⚠️ Perte",IF(D767="Sortie Périmée","🔴 Périmé","✓ Validé"))))</f>
        <v/>
      </c>
    </row>
    <row r="768">
      <c r="A768" s="38" t="n"/>
      <c r="G768" s="8" t="n"/>
      <c r="H768" s="8">
        <f>IF(E768="","",E768*G768)</f>
        <v/>
      </c>
      <c r="J768" s="38" t="n"/>
      <c r="L768">
        <f>IF(D768="","",IF(OR(D768="Entrée Achat",D768="Entrée Retour"),K768+E768,K768-E768))</f>
        <v/>
      </c>
      <c r="P768">
        <f>IF(E768="","",IF(OR(D768="Entrée Achat",D768="Entrée Retour"),"✓ Validé",IF(D768="Sortie Perte","⚠️ Perte",IF(D768="Sortie Périmée","🔴 Périmé","✓ Validé"))))</f>
        <v/>
      </c>
    </row>
    <row r="769">
      <c r="A769" s="38" t="n"/>
      <c r="G769" s="8" t="n"/>
      <c r="H769" s="8">
        <f>IF(E769="","",E769*G769)</f>
        <v/>
      </c>
      <c r="J769" s="38" t="n"/>
      <c r="L769">
        <f>IF(D769="","",IF(OR(D769="Entrée Achat",D769="Entrée Retour"),K769+E769,K769-E769))</f>
        <v/>
      </c>
      <c r="P769">
        <f>IF(E769="","",IF(OR(D769="Entrée Achat",D769="Entrée Retour"),"✓ Validé",IF(D769="Sortie Perte","⚠️ Perte",IF(D769="Sortie Périmée","🔴 Périmé","✓ Validé"))))</f>
        <v/>
      </c>
    </row>
    <row r="770">
      <c r="A770" s="38" t="n"/>
      <c r="G770" s="8" t="n"/>
      <c r="H770" s="8">
        <f>IF(E770="","",E770*G770)</f>
        <v/>
      </c>
      <c r="J770" s="38" t="n"/>
      <c r="L770">
        <f>IF(D770="","",IF(OR(D770="Entrée Achat",D770="Entrée Retour"),K770+E770,K770-E770))</f>
        <v/>
      </c>
      <c r="P770">
        <f>IF(E770="","",IF(OR(D770="Entrée Achat",D770="Entrée Retour"),"✓ Validé",IF(D770="Sortie Perte","⚠️ Perte",IF(D770="Sortie Périmée","🔴 Périmé","✓ Validé"))))</f>
        <v/>
      </c>
    </row>
    <row r="771">
      <c r="A771" s="38" t="n"/>
      <c r="G771" s="8" t="n"/>
      <c r="H771" s="8">
        <f>IF(E771="","",E771*G771)</f>
        <v/>
      </c>
      <c r="J771" s="38" t="n"/>
      <c r="L771">
        <f>IF(D771="","",IF(OR(D771="Entrée Achat",D771="Entrée Retour"),K771+E771,K771-E771))</f>
        <v/>
      </c>
      <c r="P771">
        <f>IF(E771="","",IF(OR(D771="Entrée Achat",D771="Entrée Retour"),"✓ Validé",IF(D771="Sortie Perte","⚠️ Perte",IF(D771="Sortie Périmée","🔴 Périmé","✓ Validé"))))</f>
        <v/>
      </c>
    </row>
    <row r="772">
      <c r="A772" s="38" t="n"/>
      <c r="G772" s="8" t="n"/>
      <c r="H772" s="8">
        <f>IF(E772="","",E772*G772)</f>
        <v/>
      </c>
      <c r="J772" s="38" t="n"/>
      <c r="L772">
        <f>IF(D772="","",IF(OR(D772="Entrée Achat",D772="Entrée Retour"),K772+E772,K772-E772))</f>
        <v/>
      </c>
      <c r="P772">
        <f>IF(E772="","",IF(OR(D772="Entrée Achat",D772="Entrée Retour"),"✓ Validé",IF(D772="Sortie Perte","⚠️ Perte",IF(D772="Sortie Périmée","🔴 Périmé","✓ Validé"))))</f>
        <v/>
      </c>
    </row>
    <row r="773">
      <c r="A773" s="38" t="n"/>
      <c r="G773" s="8" t="n"/>
      <c r="H773" s="8">
        <f>IF(E773="","",E773*G773)</f>
        <v/>
      </c>
      <c r="J773" s="38" t="n"/>
      <c r="L773">
        <f>IF(D773="","",IF(OR(D773="Entrée Achat",D773="Entrée Retour"),K773+E773,K773-E773))</f>
        <v/>
      </c>
      <c r="P773">
        <f>IF(E773="","",IF(OR(D773="Entrée Achat",D773="Entrée Retour"),"✓ Validé",IF(D773="Sortie Perte","⚠️ Perte",IF(D773="Sortie Périmée","🔴 Périmé","✓ Validé"))))</f>
        <v/>
      </c>
    </row>
    <row r="774">
      <c r="A774" s="38" t="n"/>
      <c r="G774" s="8" t="n"/>
      <c r="H774" s="8">
        <f>IF(E774="","",E774*G774)</f>
        <v/>
      </c>
      <c r="J774" s="38" t="n"/>
      <c r="L774">
        <f>IF(D774="","",IF(OR(D774="Entrée Achat",D774="Entrée Retour"),K774+E774,K774-E774))</f>
        <v/>
      </c>
      <c r="P774">
        <f>IF(E774="","",IF(OR(D774="Entrée Achat",D774="Entrée Retour"),"✓ Validé",IF(D774="Sortie Perte","⚠️ Perte",IF(D774="Sortie Périmée","🔴 Périmé","✓ Validé"))))</f>
        <v/>
      </c>
    </row>
    <row r="775">
      <c r="A775" s="38" t="n"/>
      <c r="G775" s="8" t="n"/>
      <c r="H775" s="8">
        <f>IF(E775="","",E775*G775)</f>
        <v/>
      </c>
      <c r="J775" s="38" t="n"/>
      <c r="L775">
        <f>IF(D775="","",IF(OR(D775="Entrée Achat",D775="Entrée Retour"),K775+E775,K775-E775))</f>
        <v/>
      </c>
      <c r="P775">
        <f>IF(E775="","",IF(OR(D775="Entrée Achat",D775="Entrée Retour"),"✓ Validé",IF(D775="Sortie Perte","⚠️ Perte",IF(D775="Sortie Périmée","🔴 Périmé","✓ Validé"))))</f>
        <v/>
      </c>
    </row>
    <row r="776">
      <c r="A776" s="38" t="n"/>
      <c r="G776" s="8" t="n"/>
      <c r="H776" s="8">
        <f>IF(E776="","",E776*G776)</f>
        <v/>
      </c>
      <c r="J776" s="38" t="n"/>
      <c r="L776">
        <f>IF(D776="","",IF(OR(D776="Entrée Achat",D776="Entrée Retour"),K776+E776,K776-E776))</f>
        <v/>
      </c>
      <c r="P776">
        <f>IF(E776="","",IF(OR(D776="Entrée Achat",D776="Entrée Retour"),"✓ Validé",IF(D776="Sortie Perte","⚠️ Perte",IF(D776="Sortie Périmée","🔴 Périmé","✓ Validé"))))</f>
        <v/>
      </c>
    </row>
    <row r="777">
      <c r="A777" s="38" t="n"/>
      <c r="G777" s="8" t="n"/>
      <c r="H777" s="8">
        <f>IF(E777="","",E777*G777)</f>
        <v/>
      </c>
      <c r="J777" s="38" t="n"/>
      <c r="L777">
        <f>IF(D777="","",IF(OR(D777="Entrée Achat",D777="Entrée Retour"),K777+E777,K777-E777))</f>
        <v/>
      </c>
      <c r="P777">
        <f>IF(E777="","",IF(OR(D777="Entrée Achat",D777="Entrée Retour"),"✓ Validé",IF(D777="Sortie Perte","⚠️ Perte",IF(D777="Sortie Périmée","🔴 Périmé","✓ Validé"))))</f>
        <v/>
      </c>
    </row>
    <row r="778">
      <c r="A778" s="38" t="n"/>
      <c r="G778" s="8" t="n"/>
      <c r="H778" s="8">
        <f>IF(E778="","",E778*G778)</f>
        <v/>
      </c>
      <c r="J778" s="38" t="n"/>
      <c r="L778">
        <f>IF(D778="","",IF(OR(D778="Entrée Achat",D778="Entrée Retour"),K778+E778,K778-E778))</f>
        <v/>
      </c>
      <c r="P778">
        <f>IF(E778="","",IF(OR(D778="Entrée Achat",D778="Entrée Retour"),"✓ Validé",IF(D778="Sortie Perte","⚠️ Perte",IF(D778="Sortie Périmée","🔴 Périmé","✓ Validé"))))</f>
        <v/>
      </c>
    </row>
    <row r="779">
      <c r="A779" s="38" t="n"/>
      <c r="G779" s="8" t="n"/>
      <c r="H779" s="8">
        <f>IF(E779="","",E779*G779)</f>
        <v/>
      </c>
      <c r="J779" s="38" t="n"/>
      <c r="L779">
        <f>IF(D779="","",IF(OR(D779="Entrée Achat",D779="Entrée Retour"),K779+E779,K779-E779))</f>
        <v/>
      </c>
      <c r="P779">
        <f>IF(E779="","",IF(OR(D779="Entrée Achat",D779="Entrée Retour"),"✓ Validé",IF(D779="Sortie Perte","⚠️ Perte",IF(D779="Sortie Périmée","🔴 Périmé","✓ Validé"))))</f>
        <v/>
      </c>
    </row>
    <row r="780">
      <c r="A780" s="38" t="n"/>
      <c r="G780" s="8" t="n"/>
      <c r="H780" s="8">
        <f>IF(E780="","",E780*G780)</f>
        <v/>
      </c>
      <c r="J780" s="38" t="n"/>
      <c r="L780">
        <f>IF(D780="","",IF(OR(D780="Entrée Achat",D780="Entrée Retour"),K780+E780,K780-E780))</f>
        <v/>
      </c>
      <c r="P780">
        <f>IF(E780="","",IF(OR(D780="Entrée Achat",D780="Entrée Retour"),"✓ Validé",IF(D780="Sortie Perte","⚠️ Perte",IF(D780="Sortie Périmée","🔴 Périmé","✓ Validé"))))</f>
        <v/>
      </c>
    </row>
    <row r="781">
      <c r="A781" s="38" t="n"/>
      <c r="G781" s="8" t="n"/>
      <c r="H781" s="8">
        <f>IF(E781="","",E781*G781)</f>
        <v/>
      </c>
      <c r="J781" s="38" t="n"/>
      <c r="L781">
        <f>IF(D781="","",IF(OR(D781="Entrée Achat",D781="Entrée Retour"),K781+E781,K781-E781))</f>
        <v/>
      </c>
      <c r="P781">
        <f>IF(E781="","",IF(OR(D781="Entrée Achat",D781="Entrée Retour"),"✓ Validé",IF(D781="Sortie Perte","⚠️ Perte",IF(D781="Sortie Périmée","🔴 Périmé","✓ Validé"))))</f>
        <v/>
      </c>
    </row>
    <row r="782">
      <c r="A782" s="38" t="n"/>
      <c r="G782" s="8" t="n"/>
      <c r="H782" s="8">
        <f>IF(E782="","",E782*G782)</f>
        <v/>
      </c>
      <c r="J782" s="38" t="n"/>
      <c r="L782">
        <f>IF(D782="","",IF(OR(D782="Entrée Achat",D782="Entrée Retour"),K782+E782,K782-E782))</f>
        <v/>
      </c>
      <c r="P782">
        <f>IF(E782="","",IF(OR(D782="Entrée Achat",D782="Entrée Retour"),"✓ Validé",IF(D782="Sortie Perte","⚠️ Perte",IF(D782="Sortie Périmée","🔴 Périmé","✓ Validé"))))</f>
        <v/>
      </c>
    </row>
    <row r="783">
      <c r="A783" s="38" t="n"/>
      <c r="G783" s="8" t="n"/>
      <c r="H783" s="8">
        <f>IF(E783="","",E783*G783)</f>
        <v/>
      </c>
      <c r="J783" s="38" t="n"/>
      <c r="L783">
        <f>IF(D783="","",IF(OR(D783="Entrée Achat",D783="Entrée Retour"),K783+E783,K783-E783))</f>
        <v/>
      </c>
      <c r="P783">
        <f>IF(E783="","",IF(OR(D783="Entrée Achat",D783="Entrée Retour"),"✓ Validé",IF(D783="Sortie Perte","⚠️ Perte",IF(D783="Sortie Périmée","🔴 Périmé","✓ Validé"))))</f>
        <v/>
      </c>
    </row>
    <row r="784">
      <c r="A784" s="38" t="n"/>
      <c r="G784" s="8" t="n"/>
      <c r="H784" s="8">
        <f>IF(E784="","",E784*G784)</f>
        <v/>
      </c>
      <c r="J784" s="38" t="n"/>
      <c r="L784">
        <f>IF(D784="","",IF(OR(D784="Entrée Achat",D784="Entrée Retour"),K784+E784,K784-E784))</f>
        <v/>
      </c>
      <c r="P784">
        <f>IF(E784="","",IF(OR(D784="Entrée Achat",D784="Entrée Retour"),"✓ Validé",IF(D784="Sortie Perte","⚠️ Perte",IF(D784="Sortie Périmée","🔴 Périmé","✓ Validé"))))</f>
        <v/>
      </c>
    </row>
    <row r="785">
      <c r="A785" s="38" t="n"/>
      <c r="G785" s="8" t="n"/>
      <c r="H785" s="8">
        <f>IF(E785="","",E785*G785)</f>
        <v/>
      </c>
      <c r="J785" s="38" t="n"/>
      <c r="L785">
        <f>IF(D785="","",IF(OR(D785="Entrée Achat",D785="Entrée Retour"),K785+E785,K785-E785))</f>
        <v/>
      </c>
      <c r="P785">
        <f>IF(E785="","",IF(OR(D785="Entrée Achat",D785="Entrée Retour"),"✓ Validé",IF(D785="Sortie Perte","⚠️ Perte",IF(D785="Sortie Périmée","🔴 Périmé","✓ Validé"))))</f>
        <v/>
      </c>
    </row>
    <row r="786">
      <c r="A786" s="38" t="n"/>
      <c r="G786" s="8" t="n"/>
      <c r="H786" s="8">
        <f>IF(E786="","",E786*G786)</f>
        <v/>
      </c>
      <c r="J786" s="38" t="n"/>
      <c r="L786">
        <f>IF(D786="","",IF(OR(D786="Entrée Achat",D786="Entrée Retour"),K786+E786,K786-E786))</f>
        <v/>
      </c>
      <c r="P786">
        <f>IF(E786="","",IF(OR(D786="Entrée Achat",D786="Entrée Retour"),"✓ Validé",IF(D786="Sortie Perte","⚠️ Perte",IF(D786="Sortie Périmée","🔴 Périmé","✓ Validé"))))</f>
        <v/>
      </c>
    </row>
    <row r="787">
      <c r="A787" s="38" t="n"/>
      <c r="G787" s="8" t="n"/>
      <c r="H787" s="8">
        <f>IF(E787="","",E787*G787)</f>
        <v/>
      </c>
      <c r="J787" s="38" t="n"/>
      <c r="L787">
        <f>IF(D787="","",IF(OR(D787="Entrée Achat",D787="Entrée Retour"),K787+E787,K787-E787))</f>
        <v/>
      </c>
      <c r="P787">
        <f>IF(E787="","",IF(OR(D787="Entrée Achat",D787="Entrée Retour"),"✓ Validé",IF(D787="Sortie Perte","⚠️ Perte",IF(D787="Sortie Périmée","🔴 Périmé","✓ Validé"))))</f>
        <v/>
      </c>
    </row>
    <row r="788">
      <c r="A788" s="38" t="n"/>
      <c r="G788" s="8" t="n"/>
      <c r="H788" s="8">
        <f>IF(E788="","",E788*G788)</f>
        <v/>
      </c>
      <c r="J788" s="38" t="n"/>
      <c r="L788">
        <f>IF(D788="","",IF(OR(D788="Entrée Achat",D788="Entrée Retour"),K788+E788,K788-E788))</f>
        <v/>
      </c>
      <c r="P788">
        <f>IF(E788="","",IF(OR(D788="Entrée Achat",D788="Entrée Retour"),"✓ Validé",IF(D788="Sortie Perte","⚠️ Perte",IF(D788="Sortie Périmée","🔴 Périmé","✓ Validé"))))</f>
        <v/>
      </c>
    </row>
    <row r="789">
      <c r="A789" s="38" t="n"/>
      <c r="G789" s="8" t="n"/>
      <c r="H789" s="8">
        <f>IF(E789="","",E789*G789)</f>
        <v/>
      </c>
      <c r="J789" s="38" t="n"/>
      <c r="L789">
        <f>IF(D789="","",IF(OR(D789="Entrée Achat",D789="Entrée Retour"),K789+E789,K789-E789))</f>
        <v/>
      </c>
      <c r="P789">
        <f>IF(E789="","",IF(OR(D789="Entrée Achat",D789="Entrée Retour"),"✓ Validé",IF(D789="Sortie Perte","⚠️ Perte",IF(D789="Sortie Périmée","🔴 Périmé","✓ Validé"))))</f>
        <v/>
      </c>
    </row>
    <row r="790">
      <c r="A790" s="38" t="n"/>
      <c r="G790" s="8" t="n"/>
      <c r="H790" s="8">
        <f>IF(E790="","",E790*G790)</f>
        <v/>
      </c>
      <c r="J790" s="38" t="n"/>
      <c r="L790">
        <f>IF(D790="","",IF(OR(D790="Entrée Achat",D790="Entrée Retour"),K790+E790,K790-E790))</f>
        <v/>
      </c>
      <c r="P790">
        <f>IF(E790="","",IF(OR(D790="Entrée Achat",D790="Entrée Retour"),"✓ Validé",IF(D790="Sortie Perte","⚠️ Perte",IF(D790="Sortie Périmée","🔴 Périmé","✓ Validé"))))</f>
        <v/>
      </c>
    </row>
    <row r="791">
      <c r="A791" s="38" t="n"/>
      <c r="G791" s="8" t="n"/>
      <c r="H791" s="8">
        <f>IF(E791="","",E791*G791)</f>
        <v/>
      </c>
      <c r="J791" s="38" t="n"/>
      <c r="L791">
        <f>IF(D791="","",IF(OR(D791="Entrée Achat",D791="Entrée Retour"),K791+E791,K791-E791))</f>
        <v/>
      </c>
      <c r="P791">
        <f>IF(E791="","",IF(OR(D791="Entrée Achat",D791="Entrée Retour"),"✓ Validé",IF(D791="Sortie Perte","⚠️ Perte",IF(D791="Sortie Périmée","🔴 Périmé","✓ Validé"))))</f>
        <v/>
      </c>
    </row>
    <row r="792">
      <c r="A792" s="38" t="n"/>
      <c r="G792" s="8" t="n"/>
      <c r="H792" s="8">
        <f>IF(E792="","",E792*G792)</f>
        <v/>
      </c>
      <c r="J792" s="38" t="n"/>
      <c r="L792">
        <f>IF(D792="","",IF(OR(D792="Entrée Achat",D792="Entrée Retour"),K792+E792,K792-E792))</f>
        <v/>
      </c>
      <c r="P792">
        <f>IF(E792="","",IF(OR(D792="Entrée Achat",D792="Entrée Retour"),"✓ Validé",IF(D792="Sortie Perte","⚠️ Perte",IF(D792="Sortie Périmée","🔴 Périmé","✓ Validé"))))</f>
        <v/>
      </c>
    </row>
    <row r="793">
      <c r="A793" s="38" t="n"/>
      <c r="G793" s="8" t="n"/>
      <c r="H793" s="8">
        <f>IF(E793="","",E793*G793)</f>
        <v/>
      </c>
      <c r="J793" s="38" t="n"/>
      <c r="L793">
        <f>IF(D793="","",IF(OR(D793="Entrée Achat",D793="Entrée Retour"),K793+E793,K793-E793))</f>
        <v/>
      </c>
      <c r="P793">
        <f>IF(E793="","",IF(OR(D793="Entrée Achat",D793="Entrée Retour"),"✓ Validé",IF(D793="Sortie Perte","⚠️ Perte",IF(D793="Sortie Périmée","🔴 Périmé","✓ Validé"))))</f>
        <v/>
      </c>
    </row>
    <row r="794">
      <c r="A794" s="38" t="n"/>
      <c r="G794" s="8" t="n"/>
      <c r="H794" s="8">
        <f>IF(E794="","",E794*G794)</f>
        <v/>
      </c>
      <c r="J794" s="38" t="n"/>
      <c r="L794">
        <f>IF(D794="","",IF(OR(D794="Entrée Achat",D794="Entrée Retour"),K794+E794,K794-E794))</f>
        <v/>
      </c>
      <c r="P794">
        <f>IF(E794="","",IF(OR(D794="Entrée Achat",D794="Entrée Retour"),"✓ Validé",IF(D794="Sortie Perte","⚠️ Perte",IF(D794="Sortie Périmée","🔴 Périmé","✓ Validé"))))</f>
        <v/>
      </c>
    </row>
    <row r="795">
      <c r="A795" s="38" t="n"/>
      <c r="G795" s="8" t="n"/>
      <c r="H795" s="8">
        <f>IF(E795="","",E795*G795)</f>
        <v/>
      </c>
      <c r="J795" s="38" t="n"/>
      <c r="L795">
        <f>IF(D795="","",IF(OR(D795="Entrée Achat",D795="Entrée Retour"),K795+E795,K795-E795))</f>
        <v/>
      </c>
      <c r="P795">
        <f>IF(E795="","",IF(OR(D795="Entrée Achat",D795="Entrée Retour"),"✓ Validé",IF(D795="Sortie Perte","⚠️ Perte",IF(D795="Sortie Périmée","🔴 Périmé","✓ Validé"))))</f>
        <v/>
      </c>
    </row>
    <row r="796">
      <c r="A796" s="38" t="n"/>
      <c r="G796" s="8" t="n"/>
      <c r="H796" s="8">
        <f>IF(E796="","",E796*G796)</f>
        <v/>
      </c>
      <c r="J796" s="38" t="n"/>
      <c r="L796">
        <f>IF(D796="","",IF(OR(D796="Entrée Achat",D796="Entrée Retour"),K796+E796,K796-E796))</f>
        <v/>
      </c>
      <c r="P796">
        <f>IF(E796="","",IF(OR(D796="Entrée Achat",D796="Entrée Retour"),"✓ Validé",IF(D796="Sortie Perte","⚠️ Perte",IF(D796="Sortie Périmée","🔴 Périmé","✓ Validé"))))</f>
        <v/>
      </c>
    </row>
    <row r="797">
      <c r="A797" s="38" t="n"/>
      <c r="G797" s="8" t="n"/>
      <c r="H797" s="8">
        <f>IF(E797="","",E797*G797)</f>
        <v/>
      </c>
      <c r="J797" s="38" t="n"/>
      <c r="L797">
        <f>IF(D797="","",IF(OR(D797="Entrée Achat",D797="Entrée Retour"),K797+E797,K797-E797))</f>
        <v/>
      </c>
      <c r="P797">
        <f>IF(E797="","",IF(OR(D797="Entrée Achat",D797="Entrée Retour"),"✓ Validé",IF(D797="Sortie Perte","⚠️ Perte",IF(D797="Sortie Périmée","🔴 Périmé","✓ Validé"))))</f>
        <v/>
      </c>
    </row>
    <row r="798">
      <c r="A798" s="38" t="n"/>
      <c r="G798" s="8" t="n"/>
      <c r="H798" s="8">
        <f>IF(E798="","",E798*G798)</f>
        <v/>
      </c>
      <c r="J798" s="38" t="n"/>
      <c r="L798">
        <f>IF(D798="","",IF(OR(D798="Entrée Achat",D798="Entrée Retour"),K798+E798,K798-E798))</f>
        <v/>
      </c>
      <c r="P798">
        <f>IF(E798="","",IF(OR(D798="Entrée Achat",D798="Entrée Retour"),"✓ Validé",IF(D798="Sortie Perte","⚠️ Perte",IF(D798="Sortie Périmée","🔴 Périmé","✓ Validé"))))</f>
        <v/>
      </c>
    </row>
    <row r="799">
      <c r="A799" s="38" t="n"/>
      <c r="G799" s="8" t="n"/>
      <c r="H799" s="8">
        <f>IF(E799="","",E799*G799)</f>
        <v/>
      </c>
      <c r="J799" s="38" t="n"/>
      <c r="L799">
        <f>IF(D799="","",IF(OR(D799="Entrée Achat",D799="Entrée Retour"),K799+E799,K799-E799))</f>
        <v/>
      </c>
      <c r="P799">
        <f>IF(E799="","",IF(OR(D799="Entrée Achat",D799="Entrée Retour"),"✓ Validé",IF(D799="Sortie Perte","⚠️ Perte",IF(D799="Sortie Périmée","🔴 Périmé","✓ Validé"))))</f>
        <v/>
      </c>
    </row>
    <row r="800">
      <c r="A800" s="38" t="n"/>
      <c r="G800" s="8" t="n"/>
      <c r="H800" s="8">
        <f>IF(E800="","",E800*G800)</f>
        <v/>
      </c>
      <c r="J800" s="38" t="n"/>
      <c r="L800">
        <f>IF(D800="","",IF(OR(D800="Entrée Achat",D800="Entrée Retour"),K800+E800,K800-E800))</f>
        <v/>
      </c>
      <c r="P800">
        <f>IF(E800="","",IF(OR(D800="Entrée Achat",D800="Entrée Retour"),"✓ Validé",IF(D800="Sortie Perte","⚠️ Perte",IF(D800="Sortie Périmée","🔴 Périmé","✓ Validé"))))</f>
        <v/>
      </c>
    </row>
    <row r="801">
      <c r="A801" s="38" t="n"/>
      <c r="G801" s="8" t="n"/>
      <c r="H801" s="8">
        <f>IF(E801="","",E801*G801)</f>
        <v/>
      </c>
      <c r="J801" s="38" t="n"/>
      <c r="L801">
        <f>IF(D801="","",IF(OR(D801="Entrée Achat",D801="Entrée Retour"),K801+E801,K801-E801))</f>
        <v/>
      </c>
      <c r="P801">
        <f>IF(E801="","",IF(OR(D801="Entrée Achat",D801="Entrée Retour"),"✓ Validé",IF(D801="Sortie Perte","⚠️ Perte",IF(D801="Sortie Périmée","🔴 Périmé","✓ Validé"))))</f>
        <v/>
      </c>
    </row>
    <row r="802">
      <c r="A802" s="38" t="n"/>
      <c r="G802" s="8" t="n"/>
      <c r="H802" s="8">
        <f>IF(E802="","",E802*G802)</f>
        <v/>
      </c>
      <c r="J802" s="38" t="n"/>
      <c r="L802">
        <f>IF(D802="","",IF(OR(D802="Entrée Achat",D802="Entrée Retour"),K802+E802,K802-E802))</f>
        <v/>
      </c>
      <c r="P802">
        <f>IF(E802="","",IF(OR(D802="Entrée Achat",D802="Entrée Retour"),"✓ Validé",IF(D802="Sortie Perte","⚠️ Perte",IF(D802="Sortie Périmée","🔴 Périmé","✓ Validé"))))</f>
        <v/>
      </c>
    </row>
    <row r="803">
      <c r="A803" s="38" t="n"/>
      <c r="G803" s="8" t="n"/>
      <c r="H803" s="8">
        <f>IF(E803="","",E803*G803)</f>
        <v/>
      </c>
      <c r="J803" s="38" t="n"/>
      <c r="L803">
        <f>IF(D803="","",IF(OR(D803="Entrée Achat",D803="Entrée Retour"),K803+E803,K803-E803))</f>
        <v/>
      </c>
      <c r="P803">
        <f>IF(E803="","",IF(OR(D803="Entrée Achat",D803="Entrée Retour"),"✓ Validé",IF(D803="Sortie Perte","⚠️ Perte",IF(D803="Sortie Périmée","🔴 Périmé","✓ Validé"))))</f>
        <v/>
      </c>
    </row>
    <row r="804">
      <c r="A804" s="38" t="n"/>
      <c r="G804" s="8" t="n"/>
      <c r="H804" s="8">
        <f>IF(E804="","",E804*G804)</f>
        <v/>
      </c>
      <c r="J804" s="38" t="n"/>
      <c r="L804">
        <f>IF(D804="","",IF(OR(D804="Entrée Achat",D804="Entrée Retour"),K804+E804,K804-E804))</f>
        <v/>
      </c>
      <c r="P804">
        <f>IF(E804="","",IF(OR(D804="Entrée Achat",D804="Entrée Retour"),"✓ Validé",IF(D804="Sortie Perte","⚠️ Perte",IF(D804="Sortie Périmée","🔴 Périmé","✓ Validé"))))</f>
        <v/>
      </c>
    </row>
    <row r="805">
      <c r="A805" s="38" t="n"/>
      <c r="G805" s="8" t="n"/>
      <c r="H805" s="8">
        <f>IF(E805="","",E805*G805)</f>
        <v/>
      </c>
      <c r="J805" s="38" t="n"/>
      <c r="L805">
        <f>IF(D805="","",IF(OR(D805="Entrée Achat",D805="Entrée Retour"),K805+E805,K805-E805))</f>
        <v/>
      </c>
      <c r="P805">
        <f>IF(E805="","",IF(OR(D805="Entrée Achat",D805="Entrée Retour"),"✓ Validé",IF(D805="Sortie Perte","⚠️ Perte",IF(D805="Sortie Périmée","🔴 Périmé","✓ Validé"))))</f>
        <v/>
      </c>
    </row>
    <row r="806">
      <c r="A806" s="38" t="n"/>
      <c r="G806" s="8" t="n"/>
      <c r="H806" s="8">
        <f>IF(E806="","",E806*G806)</f>
        <v/>
      </c>
      <c r="J806" s="38" t="n"/>
      <c r="L806">
        <f>IF(D806="","",IF(OR(D806="Entrée Achat",D806="Entrée Retour"),K806+E806,K806-E806))</f>
        <v/>
      </c>
      <c r="P806">
        <f>IF(E806="","",IF(OR(D806="Entrée Achat",D806="Entrée Retour"),"✓ Validé",IF(D806="Sortie Perte","⚠️ Perte",IF(D806="Sortie Périmée","🔴 Périmé","✓ Validé"))))</f>
        <v/>
      </c>
    </row>
    <row r="807">
      <c r="A807" s="38" t="n"/>
      <c r="G807" s="8" t="n"/>
      <c r="H807" s="8">
        <f>IF(E807="","",E807*G807)</f>
        <v/>
      </c>
      <c r="J807" s="38" t="n"/>
      <c r="L807">
        <f>IF(D807="","",IF(OR(D807="Entrée Achat",D807="Entrée Retour"),K807+E807,K807-E807))</f>
        <v/>
      </c>
      <c r="P807">
        <f>IF(E807="","",IF(OR(D807="Entrée Achat",D807="Entrée Retour"),"✓ Validé",IF(D807="Sortie Perte","⚠️ Perte",IF(D807="Sortie Périmée","🔴 Périmé","✓ Validé"))))</f>
        <v/>
      </c>
    </row>
    <row r="808">
      <c r="A808" s="38" t="n"/>
      <c r="G808" s="8" t="n"/>
      <c r="H808" s="8">
        <f>IF(E808="","",E808*G808)</f>
        <v/>
      </c>
      <c r="J808" s="38" t="n"/>
      <c r="L808">
        <f>IF(D808="","",IF(OR(D808="Entrée Achat",D808="Entrée Retour"),K808+E808,K808-E808))</f>
        <v/>
      </c>
      <c r="P808">
        <f>IF(E808="","",IF(OR(D808="Entrée Achat",D808="Entrée Retour"),"✓ Validé",IF(D808="Sortie Perte","⚠️ Perte",IF(D808="Sortie Périmée","🔴 Périmé","✓ Validé"))))</f>
        <v/>
      </c>
    </row>
    <row r="809">
      <c r="A809" s="38" t="n"/>
      <c r="G809" s="8" t="n"/>
      <c r="H809" s="8">
        <f>IF(E809="","",E809*G809)</f>
        <v/>
      </c>
      <c r="J809" s="38" t="n"/>
      <c r="L809">
        <f>IF(D809="","",IF(OR(D809="Entrée Achat",D809="Entrée Retour"),K809+E809,K809-E809))</f>
        <v/>
      </c>
      <c r="P809">
        <f>IF(E809="","",IF(OR(D809="Entrée Achat",D809="Entrée Retour"),"✓ Validé",IF(D809="Sortie Perte","⚠️ Perte",IF(D809="Sortie Périmée","🔴 Périmé","✓ Validé"))))</f>
        <v/>
      </c>
    </row>
    <row r="810">
      <c r="A810" s="38" t="n"/>
      <c r="G810" s="8" t="n"/>
      <c r="H810" s="8">
        <f>IF(E810="","",E810*G810)</f>
        <v/>
      </c>
      <c r="J810" s="38" t="n"/>
      <c r="L810">
        <f>IF(D810="","",IF(OR(D810="Entrée Achat",D810="Entrée Retour"),K810+E810,K810-E810))</f>
        <v/>
      </c>
      <c r="P810">
        <f>IF(E810="","",IF(OR(D810="Entrée Achat",D810="Entrée Retour"),"✓ Validé",IF(D810="Sortie Perte","⚠️ Perte",IF(D810="Sortie Périmée","🔴 Périmé","✓ Validé"))))</f>
        <v/>
      </c>
    </row>
    <row r="811">
      <c r="A811" s="38" t="n"/>
      <c r="G811" s="8" t="n"/>
      <c r="H811" s="8">
        <f>IF(E811="","",E811*G811)</f>
        <v/>
      </c>
      <c r="J811" s="38" t="n"/>
      <c r="L811">
        <f>IF(D811="","",IF(OR(D811="Entrée Achat",D811="Entrée Retour"),K811+E811,K811-E811))</f>
        <v/>
      </c>
      <c r="P811">
        <f>IF(E811="","",IF(OR(D811="Entrée Achat",D811="Entrée Retour"),"✓ Validé",IF(D811="Sortie Perte","⚠️ Perte",IF(D811="Sortie Périmée","🔴 Périmé","✓ Validé"))))</f>
        <v/>
      </c>
    </row>
    <row r="812">
      <c r="A812" s="38" t="n"/>
      <c r="G812" s="8" t="n"/>
      <c r="H812" s="8">
        <f>IF(E812="","",E812*G812)</f>
        <v/>
      </c>
      <c r="J812" s="38" t="n"/>
      <c r="L812">
        <f>IF(D812="","",IF(OR(D812="Entrée Achat",D812="Entrée Retour"),K812+E812,K812-E812))</f>
        <v/>
      </c>
      <c r="P812">
        <f>IF(E812="","",IF(OR(D812="Entrée Achat",D812="Entrée Retour"),"✓ Validé",IF(D812="Sortie Perte","⚠️ Perte",IF(D812="Sortie Périmée","🔴 Périmé","✓ Validé"))))</f>
        <v/>
      </c>
    </row>
    <row r="813">
      <c r="A813" s="38" t="n"/>
      <c r="G813" s="8" t="n"/>
      <c r="H813" s="8">
        <f>IF(E813="","",E813*G813)</f>
        <v/>
      </c>
      <c r="J813" s="38" t="n"/>
      <c r="L813">
        <f>IF(D813="","",IF(OR(D813="Entrée Achat",D813="Entrée Retour"),K813+E813,K813-E813))</f>
        <v/>
      </c>
      <c r="P813">
        <f>IF(E813="","",IF(OR(D813="Entrée Achat",D813="Entrée Retour"),"✓ Validé",IF(D813="Sortie Perte","⚠️ Perte",IF(D813="Sortie Périmée","🔴 Périmé","✓ Validé"))))</f>
        <v/>
      </c>
    </row>
    <row r="814">
      <c r="A814" s="38" t="n"/>
      <c r="G814" s="8" t="n"/>
      <c r="H814" s="8">
        <f>IF(E814="","",E814*G814)</f>
        <v/>
      </c>
      <c r="J814" s="38" t="n"/>
      <c r="L814">
        <f>IF(D814="","",IF(OR(D814="Entrée Achat",D814="Entrée Retour"),K814+E814,K814-E814))</f>
        <v/>
      </c>
      <c r="P814">
        <f>IF(E814="","",IF(OR(D814="Entrée Achat",D814="Entrée Retour"),"✓ Validé",IF(D814="Sortie Perte","⚠️ Perte",IF(D814="Sortie Périmée","🔴 Périmé","✓ Validé"))))</f>
        <v/>
      </c>
    </row>
    <row r="815">
      <c r="A815" s="38" t="n"/>
      <c r="G815" s="8" t="n"/>
      <c r="H815" s="8">
        <f>IF(E815="","",E815*G815)</f>
        <v/>
      </c>
      <c r="J815" s="38" t="n"/>
      <c r="L815">
        <f>IF(D815="","",IF(OR(D815="Entrée Achat",D815="Entrée Retour"),K815+E815,K815-E815))</f>
        <v/>
      </c>
      <c r="P815">
        <f>IF(E815="","",IF(OR(D815="Entrée Achat",D815="Entrée Retour"),"✓ Validé",IF(D815="Sortie Perte","⚠️ Perte",IF(D815="Sortie Périmée","🔴 Périmé","✓ Validé"))))</f>
        <v/>
      </c>
    </row>
    <row r="816">
      <c r="A816" s="38" t="n"/>
      <c r="G816" s="8" t="n"/>
      <c r="H816" s="8">
        <f>IF(E816="","",E816*G816)</f>
        <v/>
      </c>
      <c r="J816" s="38" t="n"/>
      <c r="L816">
        <f>IF(D816="","",IF(OR(D816="Entrée Achat",D816="Entrée Retour"),K816+E816,K816-E816))</f>
        <v/>
      </c>
      <c r="P816">
        <f>IF(E816="","",IF(OR(D816="Entrée Achat",D816="Entrée Retour"),"✓ Validé",IF(D816="Sortie Perte","⚠️ Perte",IF(D816="Sortie Périmée","🔴 Périmé","✓ Validé"))))</f>
        <v/>
      </c>
    </row>
    <row r="817">
      <c r="A817" s="38" t="n"/>
      <c r="G817" s="8" t="n"/>
      <c r="H817" s="8">
        <f>IF(E817="","",E817*G817)</f>
        <v/>
      </c>
      <c r="J817" s="38" t="n"/>
      <c r="L817">
        <f>IF(D817="","",IF(OR(D817="Entrée Achat",D817="Entrée Retour"),K817+E817,K817-E817))</f>
        <v/>
      </c>
      <c r="P817">
        <f>IF(E817="","",IF(OR(D817="Entrée Achat",D817="Entrée Retour"),"✓ Validé",IF(D817="Sortie Perte","⚠️ Perte",IF(D817="Sortie Périmée","🔴 Périmé","✓ Validé"))))</f>
        <v/>
      </c>
    </row>
    <row r="818">
      <c r="A818" s="38" t="n"/>
      <c r="G818" s="8" t="n"/>
      <c r="H818" s="8">
        <f>IF(E818="","",E818*G818)</f>
        <v/>
      </c>
      <c r="J818" s="38" t="n"/>
      <c r="L818">
        <f>IF(D818="","",IF(OR(D818="Entrée Achat",D818="Entrée Retour"),K818+E818,K818-E818))</f>
        <v/>
      </c>
      <c r="P818">
        <f>IF(E818="","",IF(OR(D818="Entrée Achat",D818="Entrée Retour"),"✓ Validé",IF(D818="Sortie Perte","⚠️ Perte",IF(D818="Sortie Périmée","🔴 Périmé","✓ Validé"))))</f>
        <v/>
      </c>
    </row>
    <row r="819">
      <c r="A819" s="38" t="n"/>
      <c r="G819" s="8" t="n"/>
      <c r="H819" s="8">
        <f>IF(E819="","",E819*G819)</f>
        <v/>
      </c>
      <c r="J819" s="38" t="n"/>
      <c r="L819">
        <f>IF(D819="","",IF(OR(D819="Entrée Achat",D819="Entrée Retour"),K819+E819,K819-E819))</f>
        <v/>
      </c>
      <c r="P819">
        <f>IF(E819="","",IF(OR(D819="Entrée Achat",D819="Entrée Retour"),"✓ Validé",IF(D819="Sortie Perte","⚠️ Perte",IF(D819="Sortie Périmée","🔴 Périmé","✓ Validé"))))</f>
        <v/>
      </c>
    </row>
    <row r="820">
      <c r="A820" s="38" t="n"/>
      <c r="G820" s="8" t="n"/>
      <c r="H820" s="8">
        <f>IF(E820="","",E820*G820)</f>
        <v/>
      </c>
      <c r="J820" s="38" t="n"/>
      <c r="L820">
        <f>IF(D820="","",IF(OR(D820="Entrée Achat",D820="Entrée Retour"),K820+E820,K820-E820))</f>
        <v/>
      </c>
      <c r="P820">
        <f>IF(E820="","",IF(OR(D820="Entrée Achat",D820="Entrée Retour"),"✓ Validé",IF(D820="Sortie Perte","⚠️ Perte",IF(D820="Sortie Périmée","🔴 Périmé","✓ Validé"))))</f>
        <v/>
      </c>
    </row>
    <row r="821">
      <c r="A821" s="38" t="n"/>
      <c r="G821" s="8" t="n"/>
      <c r="H821" s="8">
        <f>IF(E821="","",E821*G821)</f>
        <v/>
      </c>
      <c r="J821" s="38" t="n"/>
      <c r="L821">
        <f>IF(D821="","",IF(OR(D821="Entrée Achat",D821="Entrée Retour"),K821+E821,K821-E821))</f>
        <v/>
      </c>
      <c r="P821">
        <f>IF(E821="","",IF(OR(D821="Entrée Achat",D821="Entrée Retour"),"✓ Validé",IF(D821="Sortie Perte","⚠️ Perte",IF(D821="Sortie Périmée","🔴 Périmé","✓ Validé"))))</f>
        <v/>
      </c>
    </row>
    <row r="822">
      <c r="A822" s="38" t="n"/>
      <c r="G822" s="8" t="n"/>
      <c r="H822" s="8">
        <f>IF(E822="","",E822*G822)</f>
        <v/>
      </c>
      <c r="J822" s="38" t="n"/>
      <c r="L822">
        <f>IF(D822="","",IF(OR(D822="Entrée Achat",D822="Entrée Retour"),K822+E822,K822-E822))</f>
        <v/>
      </c>
      <c r="P822">
        <f>IF(E822="","",IF(OR(D822="Entrée Achat",D822="Entrée Retour"),"✓ Validé",IF(D822="Sortie Perte","⚠️ Perte",IF(D822="Sortie Périmée","🔴 Périmé","✓ Validé"))))</f>
        <v/>
      </c>
    </row>
    <row r="823">
      <c r="A823" s="38" t="n"/>
      <c r="G823" s="8" t="n"/>
      <c r="H823" s="8">
        <f>IF(E823="","",E823*G823)</f>
        <v/>
      </c>
      <c r="J823" s="38" t="n"/>
      <c r="L823">
        <f>IF(D823="","",IF(OR(D823="Entrée Achat",D823="Entrée Retour"),K823+E823,K823-E823))</f>
        <v/>
      </c>
      <c r="P823">
        <f>IF(E823="","",IF(OR(D823="Entrée Achat",D823="Entrée Retour"),"✓ Validé",IF(D823="Sortie Perte","⚠️ Perte",IF(D823="Sortie Périmée","🔴 Périmé","✓ Validé"))))</f>
        <v/>
      </c>
    </row>
    <row r="824">
      <c r="A824" s="38" t="n"/>
      <c r="G824" s="8" t="n"/>
      <c r="H824" s="8">
        <f>IF(E824="","",E824*G824)</f>
        <v/>
      </c>
      <c r="J824" s="38" t="n"/>
      <c r="L824">
        <f>IF(D824="","",IF(OR(D824="Entrée Achat",D824="Entrée Retour"),K824+E824,K824-E824))</f>
        <v/>
      </c>
      <c r="P824">
        <f>IF(E824="","",IF(OR(D824="Entrée Achat",D824="Entrée Retour"),"✓ Validé",IF(D824="Sortie Perte","⚠️ Perte",IF(D824="Sortie Périmée","🔴 Périmé","✓ Validé"))))</f>
        <v/>
      </c>
    </row>
    <row r="825">
      <c r="A825" s="38" t="n"/>
      <c r="G825" s="8" t="n"/>
      <c r="H825" s="8">
        <f>IF(E825="","",E825*G825)</f>
        <v/>
      </c>
      <c r="J825" s="38" t="n"/>
      <c r="L825">
        <f>IF(D825="","",IF(OR(D825="Entrée Achat",D825="Entrée Retour"),K825+E825,K825-E825))</f>
        <v/>
      </c>
      <c r="P825">
        <f>IF(E825="","",IF(OR(D825="Entrée Achat",D825="Entrée Retour"),"✓ Validé",IF(D825="Sortie Perte","⚠️ Perte",IF(D825="Sortie Périmée","🔴 Périmé","✓ Validé"))))</f>
        <v/>
      </c>
    </row>
    <row r="826">
      <c r="A826" s="38" t="n"/>
      <c r="G826" s="8" t="n"/>
      <c r="H826" s="8">
        <f>IF(E826="","",E826*G826)</f>
        <v/>
      </c>
      <c r="J826" s="38" t="n"/>
      <c r="L826">
        <f>IF(D826="","",IF(OR(D826="Entrée Achat",D826="Entrée Retour"),K826+E826,K826-E826))</f>
        <v/>
      </c>
      <c r="P826">
        <f>IF(E826="","",IF(OR(D826="Entrée Achat",D826="Entrée Retour"),"✓ Validé",IF(D826="Sortie Perte","⚠️ Perte",IF(D826="Sortie Périmée","🔴 Périmé","✓ Validé"))))</f>
        <v/>
      </c>
    </row>
    <row r="827">
      <c r="A827" s="38" t="n"/>
      <c r="G827" s="8" t="n"/>
      <c r="H827" s="8">
        <f>IF(E827="","",E827*G827)</f>
        <v/>
      </c>
      <c r="J827" s="38" t="n"/>
      <c r="L827">
        <f>IF(D827="","",IF(OR(D827="Entrée Achat",D827="Entrée Retour"),K827+E827,K827-E827))</f>
        <v/>
      </c>
      <c r="P827">
        <f>IF(E827="","",IF(OR(D827="Entrée Achat",D827="Entrée Retour"),"✓ Validé",IF(D827="Sortie Perte","⚠️ Perte",IF(D827="Sortie Périmée","🔴 Périmé","✓ Validé"))))</f>
        <v/>
      </c>
    </row>
    <row r="828">
      <c r="A828" s="38" t="n"/>
      <c r="G828" s="8" t="n"/>
      <c r="H828" s="8">
        <f>IF(E828="","",E828*G828)</f>
        <v/>
      </c>
      <c r="J828" s="38" t="n"/>
      <c r="L828">
        <f>IF(D828="","",IF(OR(D828="Entrée Achat",D828="Entrée Retour"),K828+E828,K828-E828))</f>
        <v/>
      </c>
      <c r="P828">
        <f>IF(E828="","",IF(OR(D828="Entrée Achat",D828="Entrée Retour"),"✓ Validé",IF(D828="Sortie Perte","⚠️ Perte",IF(D828="Sortie Périmée","🔴 Périmé","✓ Validé"))))</f>
        <v/>
      </c>
    </row>
    <row r="829">
      <c r="A829" s="38" t="n"/>
      <c r="G829" s="8" t="n"/>
      <c r="H829" s="8">
        <f>IF(E829="","",E829*G829)</f>
        <v/>
      </c>
      <c r="J829" s="38" t="n"/>
      <c r="L829">
        <f>IF(D829="","",IF(OR(D829="Entrée Achat",D829="Entrée Retour"),K829+E829,K829-E829))</f>
        <v/>
      </c>
      <c r="P829">
        <f>IF(E829="","",IF(OR(D829="Entrée Achat",D829="Entrée Retour"),"✓ Validé",IF(D829="Sortie Perte","⚠️ Perte",IF(D829="Sortie Périmée","🔴 Périmé","✓ Validé"))))</f>
        <v/>
      </c>
    </row>
    <row r="830">
      <c r="A830" s="38" t="n"/>
      <c r="G830" s="8" t="n"/>
      <c r="H830" s="8">
        <f>IF(E830="","",E830*G830)</f>
        <v/>
      </c>
      <c r="J830" s="38" t="n"/>
      <c r="L830">
        <f>IF(D830="","",IF(OR(D830="Entrée Achat",D830="Entrée Retour"),K830+E830,K830-E830))</f>
        <v/>
      </c>
      <c r="P830">
        <f>IF(E830="","",IF(OR(D830="Entrée Achat",D830="Entrée Retour"),"✓ Validé",IF(D830="Sortie Perte","⚠️ Perte",IF(D830="Sortie Périmée","🔴 Périmé","✓ Validé"))))</f>
        <v/>
      </c>
    </row>
    <row r="831">
      <c r="A831" s="38" t="n"/>
      <c r="G831" s="8" t="n"/>
      <c r="H831" s="8">
        <f>IF(E831="","",E831*G831)</f>
        <v/>
      </c>
      <c r="J831" s="38" t="n"/>
      <c r="L831">
        <f>IF(D831="","",IF(OR(D831="Entrée Achat",D831="Entrée Retour"),K831+E831,K831-E831))</f>
        <v/>
      </c>
      <c r="P831">
        <f>IF(E831="","",IF(OR(D831="Entrée Achat",D831="Entrée Retour"),"✓ Validé",IF(D831="Sortie Perte","⚠️ Perte",IF(D831="Sortie Périmée","🔴 Périmé","✓ Validé"))))</f>
        <v/>
      </c>
    </row>
    <row r="832">
      <c r="A832" s="38" t="n"/>
      <c r="G832" s="8" t="n"/>
      <c r="H832" s="8">
        <f>IF(E832="","",E832*G832)</f>
        <v/>
      </c>
      <c r="J832" s="38" t="n"/>
      <c r="L832">
        <f>IF(D832="","",IF(OR(D832="Entrée Achat",D832="Entrée Retour"),K832+E832,K832-E832))</f>
        <v/>
      </c>
      <c r="P832">
        <f>IF(E832="","",IF(OR(D832="Entrée Achat",D832="Entrée Retour"),"✓ Validé",IF(D832="Sortie Perte","⚠️ Perte",IF(D832="Sortie Périmée","🔴 Périmé","✓ Validé"))))</f>
        <v/>
      </c>
    </row>
    <row r="833">
      <c r="A833" s="38" t="n"/>
      <c r="G833" s="8" t="n"/>
      <c r="H833" s="8">
        <f>IF(E833="","",E833*G833)</f>
        <v/>
      </c>
      <c r="J833" s="38" t="n"/>
      <c r="L833">
        <f>IF(D833="","",IF(OR(D833="Entrée Achat",D833="Entrée Retour"),K833+E833,K833-E833))</f>
        <v/>
      </c>
      <c r="P833">
        <f>IF(E833="","",IF(OR(D833="Entrée Achat",D833="Entrée Retour"),"✓ Validé",IF(D833="Sortie Perte","⚠️ Perte",IF(D833="Sortie Périmée","🔴 Périmé","✓ Validé"))))</f>
        <v/>
      </c>
    </row>
    <row r="834">
      <c r="A834" s="38" t="n"/>
      <c r="G834" s="8" t="n"/>
      <c r="H834" s="8">
        <f>IF(E834="","",E834*G834)</f>
        <v/>
      </c>
      <c r="J834" s="38" t="n"/>
      <c r="L834">
        <f>IF(D834="","",IF(OR(D834="Entrée Achat",D834="Entrée Retour"),K834+E834,K834-E834))</f>
        <v/>
      </c>
      <c r="P834">
        <f>IF(E834="","",IF(OR(D834="Entrée Achat",D834="Entrée Retour"),"✓ Validé",IF(D834="Sortie Perte","⚠️ Perte",IF(D834="Sortie Périmée","🔴 Périmé","✓ Validé"))))</f>
        <v/>
      </c>
    </row>
    <row r="835">
      <c r="A835" s="38" t="n"/>
      <c r="G835" s="8" t="n"/>
      <c r="H835" s="8">
        <f>IF(E835="","",E835*G835)</f>
        <v/>
      </c>
      <c r="J835" s="38" t="n"/>
      <c r="L835">
        <f>IF(D835="","",IF(OR(D835="Entrée Achat",D835="Entrée Retour"),K835+E835,K835-E835))</f>
        <v/>
      </c>
      <c r="P835">
        <f>IF(E835="","",IF(OR(D835="Entrée Achat",D835="Entrée Retour"),"✓ Validé",IF(D835="Sortie Perte","⚠️ Perte",IF(D835="Sortie Périmée","🔴 Périmé","✓ Validé"))))</f>
        <v/>
      </c>
    </row>
    <row r="836">
      <c r="A836" s="38" t="n"/>
      <c r="G836" s="8" t="n"/>
      <c r="H836" s="8">
        <f>IF(E836="","",E836*G836)</f>
        <v/>
      </c>
      <c r="J836" s="38" t="n"/>
      <c r="L836">
        <f>IF(D836="","",IF(OR(D836="Entrée Achat",D836="Entrée Retour"),K836+E836,K836-E836))</f>
        <v/>
      </c>
      <c r="P836">
        <f>IF(E836="","",IF(OR(D836="Entrée Achat",D836="Entrée Retour"),"✓ Validé",IF(D836="Sortie Perte","⚠️ Perte",IF(D836="Sortie Périmée","🔴 Périmé","✓ Validé"))))</f>
        <v/>
      </c>
    </row>
    <row r="837">
      <c r="A837" s="38" t="n"/>
      <c r="G837" s="8" t="n"/>
      <c r="H837" s="8">
        <f>IF(E837="","",E837*G837)</f>
        <v/>
      </c>
      <c r="J837" s="38" t="n"/>
      <c r="L837">
        <f>IF(D837="","",IF(OR(D837="Entrée Achat",D837="Entrée Retour"),K837+E837,K837-E837))</f>
        <v/>
      </c>
      <c r="P837">
        <f>IF(E837="","",IF(OR(D837="Entrée Achat",D837="Entrée Retour"),"✓ Validé",IF(D837="Sortie Perte","⚠️ Perte",IF(D837="Sortie Périmée","🔴 Périmé","✓ Validé"))))</f>
        <v/>
      </c>
    </row>
    <row r="838">
      <c r="A838" s="38" t="n"/>
      <c r="G838" s="8" t="n"/>
      <c r="H838" s="8">
        <f>IF(E838="","",E838*G838)</f>
        <v/>
      </c>
      <c r="J838" s="38" t="n"/>
      <c r="L838">
        <f>IF(D838="","",IF(OR(D838="Entrée Achat",D838="Entrée Retour"),K838+E838,K838-E838))</f>
        <v/>
      </c>
      <c r="P838">
        <f>IF(E838="","",IF(OR(D838="Entrée Achat",D838="Entrée Retour"),"✓ Validé",IF(D838="Sortie Perte","⚠️ Perte",IF(D838="Sortie Périmée","🔴 Périmé","✓ Validé"))))</f>
        <v/>
      </c>
    </row>
    <row r="839">
      <c r="A839" s="38" t="n"/>
      <c r="G839" s="8" t="n"/>
      <c r="H839" s="8">
        <f>IF(E839="","",E839*G839)</f>
        <v/>
      </c>
      <c r="J839" s="38" t="n"/>
      <c r="L839">
        <f>IF(D839="","",IF(OR(D839="Entrée Achat",D839="Entrée Retour"),K839+E839,K839-E839))</f>
        <v/>
      </c>
      <c r="P839">
        <f>IF(E839="","",IF(OR(D839="Entrée Achat",D839="Entrée Retour"),"✓ Validé",IF(D839="Sortie Perte","⚠️ Perte",IF(D839="Sortie Périmée","🔴 Périmé","✓ Validé"))))</f>
        <v/>
      </c>
    </row>
    <row r="840">
      <c r="A840" s="38" t="n"/>
      <c r="G840" s="8" t="n"/>
      <c r="H840" s="8">
        <f>IF(E840="","",E840*G840)</f>
        <v/>
      </c>
      <c r="J840" s="38" t="n"/>
      <c r="L840">
        <f>IF(D840="","",IF(OR(D840="Entrée Achat",D840="Entrée Retour"),K840+E840,K840-E840))</f>
        <v/>
      </c>
      <c r="P840">
        <f>IF(E840="","",IF(OR(D840="Entrée Achat",D840="Entrée Retour"),"✓ Validé",IF(D840="Sortie Perte","⚠️ Perte",IF(D840="Sortie Périmée","🔴 Périmé","✓ Validé"))))</f>
        <v/>
      </c>
    </row>
    <row r="841">
      <c r="A841" s="38" t="n"/>
      <c r="G841" s="8" t="n"/>
      <c r="H841" s="8">
        <f>IF(E841="","",E841*G841)</f>
        <v/>
      </c>
      <c r="J841" s="38" t="n"/>
      <c r="L841">
        <f>IF(D841="","",IF(OR(D841="Entrée Achat",D841="Entrée Retour"),K841+E841,K841-E841))</f>
        <v/>
      </c>
      <c r="P841">
        <f>IF(E841="","",IF(OR(D841="Entrée Achat",D841="Entrée Retour"),"✓ Validé",IF(D841="Sortie Perte","⚠️ Perte",IF(D841="Sortie Périmée","🔴 Périmé","✓ Validé"))))</f>
        <v/>
      </c>
    </row>
    <row r="842">
      <c r="A842" s="38" t="n"/>
      <c r="G842" s="8" t="n"/>
      <c r="H842" s="8">
        <f>IF(E842="","",E842*G842)</f>
        <v/>
      </c>
      <c r="J842" s="38" t="n"/>
      <c r="L842">
        <f>IF(D842="","",IF(OR(D842="Entrée Achat",D842="Entrée Retour"),K842+E842,K842-E842))</f>
        <v/>
      </c>
      <c r="P842">
        <f>IF(E842="","",IF(OR(D842="Entrée Achat",D842="Entrée Retour"),"✓ Validé",IF(D842="Sortie Perte","⚠️ Perte",IF(D842="Sortie Périmée","🔴 Périmé","✓ Validé"))))</f>
        <v/>
      </c>
    </row>
    <row r="843">
      <c r="A843" s="38" t="n"/>
      <c r="G843" s="8" t="n"/>
      <c r="H843" s="8">
        <f>IF(E843="","",E843*G843)</f>
        <v/>
      </c>
      <c r="J843" s="38" t="n"/>
      <c r="L843">
        <f>IF(D843="","",IF(OR(D843="Entrée Achat",D843="Entrée Retour"),K843+E843,K843-E843))</f>
        <v/>
      </c>
      <c r="P843">
        <f>IF(E843="","",IF(OR(D843="Entrée Achat",D843="Entrée Retour"),"✓ Validé",IF(D843="Sortie Perte","⚠️ Perte",IF(D843="Sortie Périmée","🔴 Périmé","✓ Validé"))))</f>
        <v/>
      </c>
    </row>
    <row r="844">
      <c r="A844" s="38" t="n"/>
      <c r="G844" s="8" t="n"/>
      <c r="H844" s="8">
        <f>IF(E844="","",E844*G844)</f>
        <v/>
      </c>
      <c r="J844" s="38" t="n"/>
      <c r="L844">
        <f>IF(D844="","",IF(OR(D844="Entrée Achat",D844="Entrée Retour"),K844+E844,K844-E844))</f>
        <v/>
      </c>
      <c r="P844">
        <f>IF(E844="","",IF(OR(D844="Entrée Achat",D844="Entrée Retour"),"✓ Validé",IF(D844="Sortie Perte","⚠️ Perte",IF(D844="Sortie Périmée","🔴 Périmé","✓ Validé"))))</f>
        <v/>
      </c>
    </row>
    <row r="845">
      <c r="A845" s="38" t="n"/>
      <c r="G845" s="8" t="n"/>
      <c r="H845" s="8">
        <f>IF(E845="","",E845*G845)</f>
        <v/>
      </c>
      <c r="J845" s="38" t="n"/>
      <c r="L845">
        <f>IF(D845="","",IF(OR(D845="Entrée Achat",D845="Entrée Retour"),K845+E845,K845-E845))</f>
        <v/>
      </c>
      <c r="P845">
        <f>IF(E845="","",IF(OR(D845="Entrée Achat",D845="Entrée Retour"),"✓ Validé",IF(D845="Sortie Perte","⚠️ Perte",IF(D845="Sortie Périmée","🔴 Périmé","✓ Validé"))))</f>
        <v/>
      </c>
    </row>
    <row r="846">
      <c r="A846" s="38" t="n"/>
      <c r="G846" s="8" t="n"/>
      <c r="H846" s="8">
        <f>IF(E846="","",E846*G846)</f>
        <v/>
      </c>
      <c r="J846" s="38" t="n"/>
      <c r="L846">
        <f>IF(D846="","",IF(OR(D846="Entrée Achat",D846="Entrée Retour"),K846+E846,K846-E846))</f>
        <v/>
      </c>
      <c r="P846">
        <f>IF(E846="","",IF(OR(D846="Entrée Achat",D846="Entrée Retour"),"✓ Validé",IF(D846="Sortie Perte","⚠️ Perte",IF(D846="Sortie Périmée","🔴 Périmé","✓ Validé"))))</f>
        <v/>
      </c>
    </row>
    <row r="847">
      <c r="A847" s="38" t="n"/>
      <c r="G847" s="8" t="n"/>
      <c r="H847" s="8">
        <f>IF(E847="","",E847*G847)</f>
        <v/>
      </c>
      <c r="J847" s="38" t="n"/>
      <c r="L847">
        <f>IF(D847="","",IF(OR(D847="Entrée Achat",D847="Entrée Retour"),K847+E847,K847-E847))</f>
        <v/>
      </c>
      <c r="P847">
        <f>IF(E847="","",IF(OR(D847="Entrée Achat",D847="Entrée Retour"),"✓ Validé",IF(D847="Sortie Perte","⚠️ Perte",IF(D847="Sortie Périmée","🔴 Périmé","✓ Validé"))))</f>
        <v/>
      </c>
    </row>
    <row r="848">
      <c r="A848" s="38" t="n"/>
      <c r="G848" s="8" t="n"/>
      <c r="H848" s="8">
        <f>IF(E848="","",E848*G848)</f>
        <v/>
      </c>
      <c r="J848" s="38" t="n"/>
      <c r="L848">
        <f>IF(D848="","",IF(OR(D848="Entrée Achat",D848="Entrée Retour"),K848+E848,K848-E848))</f>
        <v/>
      </c>
      <c r="P848">
        <f>IF(E848="","",IF(OR(D848="Entrée Achat",D848="Entrée Retour"),"✓ Validé",IF(D848="Sortie Perte","⚠️ Perte",IF(D848="Sortie Périmée","🔴 Périmé","✓ Validé"))))</f>
        <v/>
      </c>
    </row>
    <row r="849">
      <c r="A849" s="38" t="n"/>
      <c r="G849" s="8" t="n"/>
      <c r="H849" s="8">
        <f>IF(E849="","",E849*G849)</f>
        <v/>
      </c>
      <c r="J849" s="38" t="n"/>
      <c r="L849">
        <f>IF(D849="","",IF(OR(D849="Entrée Achat",D849="Entrée Retour"),K849+E849,K849-E849))</f>
        <v/>
      </c>
      <c r="P849">
        <f>IF(E849="","",IF(OR(D849="Entrée Achat",D849="Entrée Retour"),"✓ Validé",IF(D849="Sortie Perte","⚠️ Perte",IF(D849="Sortie Périmée","🔴 Périmé","✓ Validé"))))</f>
        <v/>
      </c>
    </row>
    <row r="850">
      <c r="A850" s="38" t="n"/>
      <c r="G850" s="8" t="n"/>
      <c r="H850" s="8">
        <f>IF(E850="","",E850*G850)</f>
        <v/>
      </c>
      <c r="J850" s="38" t="n"/>
      <c r="L850">
        <f>IF(D850="","",IF(OR(D850="Entrée Achat",D850="Entrée Retour"),K850+E850,K850-E850))</f>
        <v/>
      </c>
      <c r="P850">
        <f>IF(E850="","",IF(OR(D850="Entrée Achat",D850="Entrée Retour"),"✓ Validé",IF(D850="Sortie Perte","⚠️ Perte",IF(D850="Sortie Périmée","🔴 Périmé","✓ Validé"))))</f>
        <v/>
      </c>
    </row>
    <row r="851">
      <c r="A851" s="38" t="n"/>
      <c r="G851" s="8" t="n"/>
      <c r="H851" s="8">
        <f>IF(E851="","",E851*G851)</f>
        <v/>
      </c>
      <c r="J851" s="38" t="n"/>
      <c r="L851">
        <f>IF(D851="","",IF(OR(D851="Entrée Achat",D851="Entrée Retour"),K851+E851,K851-E851))</f>
        <v/>
      </c>
      <c r="P851">
        <f>IF(E851="","",IF(OR(D851="Entrée Achat",D851="Entrée Retour"),"✓ Validé",IF(D851="Sortie Perte","⚠️ Perte",IF(D851="Sortie Périmée","🔴 Périmé","✓ Validé"))))</f>
        <v/>
      </c>
    </row>
    <row r="852">
      <c r="A852" s="38" t="n"/>
      <c r="G852" s="8" t="n"/>
      <c r="H852" s="8">
        <f>IF(E852="","",E852*G852)</f>
        <v/>
      </c>
      <c r="J852" s="38" t="n"/>
      <c r="L852">
        <f>IF(D852="","",IF(OR(D852="Entrée Achat",D852="Entrée Retour"),K852+E852,K852-E852))</f>
        <v/>
      </c>
      <c r="P852">
        <f>IF(E852="","",IF(OR(D852="Entrée Achat",D852="Entrée Retour"),"✓ Validé",IF(D852="Sortie Perte","⚠️ Perte",IF(D852="Sortie Périmée","🔴 Périmé","✓ Validé"))))</f>
        <v/>
      </c>
    </row>
    <row r="853">
      <c r="A853" s="38" t="n"/>
      <c r="G853" s="8" t="n"/>
      <c r="H853" s="8">
        <f>IF(E853="","",E853*G853)</f>
        <v/>
      </c>
      <c r="J853" s="38" t="n"/>
      <c r="L853">
        <f>IF(D853="","",IF(OR(D853="Entrée Achat",D853="Entrée Retour"),K853+E853,K853-E853))</f>
        <v/>
      </c>
      <c r="P853">
        <f>IF(E853="","",IF(OR(D853="Entrée Achat",D853="Entrée Retour"),"✓ Validé",IF(D853="Sortie Perte","⚠️ Perte",IF(D853="Sortie Périmée","🔴 Périmé","✓ Validé"))))</f>
        <v/>
      </c>
    </row>
    <row r="854">
      <c r="A854" s="38" t="n"/>
      <c r="G854" s="8" t="n"/>
      <c r="H854" s="8">
        <f>IF(E854="","",E854*G854)</f>
        <v/>
      </c>
      <c r="J854" s="38" t="n"/>
      <c r="L854">
        <f>IF(D854="","",IF(OR(D854="Entrée Achat",D854="Entrée Retour"),K854+E854,K854-E854))</f>
        <v/>
      </c>
      <c r="P854">
        <f>IF(E854="","",IF(OR(D854="Entrée Achat",D854="Entrée Retour"),"✓ Validé",IF(D854="Sortie Perte","⚠️ Perte",IF(D854="Sortie Périmée","🔴 Périmé","✓ Validé"))))</f>
        <v/>
      </c>
    </row>
    <row r="855">
      <c r="A855" s="38" t="n"/>
      <c r="G855" s="8" t="n"/>
      <c r="H855" s="8">
        <f>IF(E855="","",E855*G855)</f>
        <v/>
      </c>
      <c r="J855" s="38" t="n"/>
      <c r="L855">
        <f>IF(D855="","",IF(OR(D855="Entrée Achat",D855="Entrée Retour"),K855+E855,K855-E855))</f>
        <v/>
      </c>
      <c r="P855">
        <f>IF(E855="","",IF(OR(D855="Entrée Achat",D855="Entrée Retour"),"✓ Validé",IF(D855="Sortie Perte","⚠️ Perte",IF(D855="Sortie Périmée","🔴 Périmé","✓ Validé"))))</f>
        <v/>
      </c>
    </row>
    <row r="856">
      <c r="A856" s="38" t="n"/>
      <c r="G856" s="8" t="n"/>
      <c r="H856" s="8">
        <f>IF(E856="","",E856*G856)</f>
        <v/>
      </c>
      <c r="J856" s="38" t="n"/>
      <c r="L856">
        <f>IF(D856="","",IF(OR(D856="Entrée Achat",D856="Entrée Retour"),K856+E856,K856-E856))</f>
        <v/>
      </c>
      <c r="P856">
        <f>IF(E856="","",IF(OR(D856="Entrée Achat",D856="Entrée Retour"),"✓ Validé",IF(D856="Sortie Perte","⚠️ Perte",IF(D856="Sortie Périmée","🔴 Périmé","✓ Validé"))))</f>
        <v/>
      </c>
    </row>
    <row r="857">
      <c r="A857" s="38" t="n"/>
      <c r="G857" s="8" t="n"/>
      <c r="H857" s="8">
        <f>IF(E857="","",E857*G857)</f>
        <v/>
      </c>
      <c r="J857" s="38" t="n"/>
      <c r="L857">
        <f>IF(D857="","",IF(OR(D857="Entrée Achat",D857="Entrée Retour"),K857+E857,K857-E857))</f>
        <v/>
      </c>
      <c r="P857">
        <f>IF(E857="","",IF(OR(D857="Entrée Achat",D857="Entrée Retour"),"✓ Validé",IF(D857="Sortie Perte","⚠️ Perte",IF(D857="Sortie Périmée","🔴 Périmé","✓ Validé"))))</f>
        <v/>
      </c>
    </row>
    <row r="858">
      <c r="A858" s="38" t="n"/>
      <c r="G858" s="8" t="n"/>
      <c r="H858" s="8">
        <f>IF(E858="","",E858*G858)</f>
        <v/>
      </c>
      <c r="J858" s="38" t="n"/>
      <c r="L858">
        <f>IF(D858="","",IF(OR(D858="Entrée Achat",D858="Entrée Retour"),K858+E858,K858-E858))</f>
        <v/>
      </c>
      <c r="P858">
        <f>IF(E858="","",IF(OR(D858="Entrée Achat",D858="Entrée Retour"),"✓ Validé",IF(D858="Sortie Perte","⚠️ Perte",IF(D858="Sortie Périmée","🔴 Périmé","✓ Validé"))))</f>
        <v/>
      </c>
    </row>
    <row r="859">
      <c r="A859" s="38" t="n"/>
      <c r="G859" s="8" t="n"/>
      <c r="H859" s="8">
        <f>IF(E859="","",E859*G859)</f>
        <v/>
      </c>
      <c r="J859" s="38" t="n"/>
      <c r="L859">
        <f>IF(D859="","",IF(OR(D859="Entrée Achat",D859="Entrée Retour"),K859+E859,K859-E859))</f>
        <v/>
      </c>
      <c r="P859">
        <f>IF(E859="","",IF(OR(D859="Entrée Achat",D859="Entrée Retour"),"✓ Validé",IF(D859="Sortie Perte","⚠️ Perte",IF(D859="Sortie Périmée","🔴 Périmé","✓ Validé"))))</f>
        <v/>
      </c>
    </row>
    <row r="860">
      <c r="A860" s="38" t="n"/>
      <c r="G860" s="8" t="n"/>
      <c r="H860" s="8">
        <f>IF(E860="","",E860*G860)</f>
        <v/>
      </c>
      <c r="J860" s="38" t="n"/>
      <c r="L860">
        <f>IF(D860="","",IF(OR(D860="Entrée Achat",D860="Entrée Retour"),K860+E860,K860-E860))</f>
        <v/>
      </c>
      <c r="P860">
        <f>IF(E860="","",IF(OR(D860="Entrée Achat",D860="Entrée Retour"),"✓ Validé",IF(D860="Sortie Perte","⚠️ Perte",IF(D860="Sortie Périmée","🔴 Périmé","✓ Validé"))))</f>
        <v/>
      </c>
    </row>
    <row r="861">
      <c r="A861" s="38" t="n"/>
      <c r="G861" s="8" t="n"/>
      <c r="H861" s="8">
        <f>IF(E861="","",E861*G861)</f>
        <v/>
      </c>
      <c r="J861" s="38" t="n"/>
      <c r="L861">
        <f>IF(D861="","",IF(OR(D861="Entrée Achat",D861="Entrée Retour"),K861+E861,K861-E861))</f>
        <v/>
      </c>
      <c r="P861">
        <f>IF(E861="","",IF(OR(D861="Entrée Achat",D861="Entrée Retour"),"✓ Validé",IF(D861="Sortie Perte","⚠️ Perte",IF(D861="Sortie Périmée","🔴 Périmé","✓ Validé"))))</f>
        <v/>
      </c>
    </row>
    <row r="862">
      <c r="A862" s="38" t="n"/>
      <c r="G862" s="8" t="n"/>
      <c r="H862" s="8">
        <f>IF(E862="","",E862*G862)</f>
        <v/>
      </c>
      <c r="J862" s="38" t="n"/>
      <c r="L862">
        <f>IF(D862="","",IF(OR(D862="Entrée Achat",D862="Entrée Retour"),K862+E862,K862-E862))</f>
        <v/>
      </c>
      <c r="P862">
        <f>IF(E862="","",IF(OR(D862="Entrée Achat",D862="Entrée Retour"),"✓ Validé",IF(D862="Sortie Perte","⚠️ Perte",IF(D862="Sortie Périmée","🔴 Périmé","✓ Validé"))))</f>
        <v/>
      </c>
    </row>
    <row r="863">
      <c r="A863" s="38" t="n"/>
      <c r="G863" s="8" t="n"/>
      <c r="H863" s="8">
        <f>IF(E863="","",E863*G863)</f>
        <v/>
      </c>
      <c r="J863" s="38" t="n"/>
      <c r="L863">
        <f>IF(D863="","",IF(OR(D863="Entrée Achat",D863="Entrée Retour"),K863+E863,K863-E863))</f>
        <v/>
      </c>
      <c r="P863">
        <f>IF(E863="","",IF(OR(D863="Entrée Achat",D863="Entrée Retour"),"✓ Validé",IF(D863="Sortie Perte","⚠️ Perte",IF(D863="Sortie Périmée","🔴 Périmé","✓ Validé"))))</f>
        <v/>
      </c>
    </row>
    <row r="864">
      <c r="A864" s="38" t="n"/>
      <c r="G864" s="8" t="n"/>
      <c r="H864" s="8">
        <f>IF(E864="","",E864*G864)</f>
        <v/>
      </c>
      <c r="J864" s="38" t="n"/>
      <c r="L864">
        <f>IF(D864="","",IF(OR(D864="Entrée Achat",D864="Entrée Retour"),K864+E864,K864-E864))</f>
        <v/>
      </c>
      <c r="P864">
        <f>IF(E864="","",IF(OR(D864="Entrée Achat",D864="Entrée Retour"),"✓ Validé",IF(D864="Sortie Perte","⚠️ Perte",IF(D864="Sortie Périmée","🔴 Périmé","✓ Validé"))))</f>
        <v/>
      </c>
    </row>
    <row r="865">
      <c r="A865" s="38" t="n"/>
      <c r="G865" s="8" t="n"/>
      <c r="H865" s="8">
        <f>IF(E865="","",E865*G865)</f>
        <v/>
      </c>
      <c r="J865" s="38" t="n"/>
      <c r="L865">
        <f>IF(D865="","",IF(OR(D865="Entrée Achat",D865="Entrée Retour"),K865+E865,K865-E865))</f>
        <v/>
      </c>
      <c r="P865">
        <f>IF(E865="","",IF(OR(D865="Entrée Achat",D865="Entrée Retour"),"✓ Validé",IF(D865="Sortie Perte","⚠️ Perte",IF(D865="Sortie Périmée","🔴 Périmé","✓ Validé"))))</f>
        <v/>
      </c>
    </row>
    <row r="866">
      <c r="A866" s="38" t="n"/>
      <c r="G866" s="8" t="n"/>
      <c r="H866" s="8">
        <f>IF(E866="","",E866*G866)</f>
        <v/>
      </c>
      <c r="J866" s="38" t="n"/>
      <c r="L866">
        <f>IF(D866="","",IF(OR(D866="Entrée Achat",D866="Entrée Retour"),K866+E866,K866-E866))</f>
        <v/>
      </c>
      <c r="P866">
        <f>IF(E866="","",IF(OR(D866="Entrée Achat",D866="Entrée Retour"),"✓ Validé",IF(D866="Sortie Perte","⚠️ Perte",IF(D866="Sortie Périmée","🔴 Périmé","✓ Validé"))))</f>
        <v/>
      </c>
    </row>
    <row r="867">
      <c r="A867" s="38" t="n"/>
      <c r="G867" s="8" t="n"/>
      <c r="H867" s="8">
        <f>IF(E867="","",E867*G867)</f>
        <v/>
      </c>
      <c r="J867" s="38" t="n"/>
      <c r="L867">
        <f>IF(D867="","",IF(OR(D867="Entrée Achat",D867="Entrée Retour"),K867+E867,K867-E867))</f>
        <v/>
      </c>
      <c r="P867">
        <f>IF(E867="","",IF(OR(D867="Entrée Achat",D867="Entrée Retour"),"✓ Validé",IF(D867="Sortie Perte","⚠️ Perte",IF(D867="Sortie Périmée","🔴 Périmé","✓ Validé"))))</f>
        <v/>
      </c>
    </row>
    <row r="868">
      <c r="A868" s="38" t="n"/>
      <c r="G868" s="8" t="n"/>
      <c r="H868" s="8">
        <f>IF(E868="","",E868*G868)</f>
        <v/>
      </c>
      <c r="J868" s="38" t="n"/>
      <c r="L868">
        <f>IF(D868="","",IF(OR(D868="Entrée Achat",D868="Entrée Retour"),K868+E868,K868-E868))</f>
        <v/>
      </c>
      <c r="P868">
        <f>IF(E868="","",IF(OR(D868="Entrée Achat",D868="Entrée Retour"),"✓ Validé",IF(D868="Sortie Perte","⚠️ Perte",IF(D868="Sortie Périmée","🔴 Périmé","✓ Validé"))))</f>
        <v/>
      </c>
    </row>
    <row r="869">
      <c r="A869" s="38" t="n"/>
      <c r="G869" s="8" t="n"/>
      <c r="H869" s="8">
        <f>IF(E869="","",E869*G869)</f>
        <v/>
      </c>
      <c r="J869" s="38" t="n"/>
      <c r="L869">
        <f>IF(D869="","",IF(OR(D869="Entrée Achat",D869="Entrée Retour"),K869+E869,K869-E869))</f>
        <v/>
      </c>
      <c r="P869">
        <f>IF(E869="","",IF(OR(D869="Entrée Achat",D869="Entrée Retour"),"✓ Validé",IF(D869="Sortie Perte","⚠️ Perte",IF(D869="Sortie Périmée","🔴 Périmé","✓ Validé"))))</f>
        <v/>
      </c>
    </row>
    <row r="870">
      <c r="A870" s="38" t="n"/>
      <c r="G870" s="8" t="n"/>
      <c r="H870" s="8">
        <f>IF(E870="","",E870*G870)</f>
        <v/>
      </c>
      <c r="J870" s="38" t="n"/>
      <c r="L870">
        <f>IF(D870="","",IF(OR(D870="Entrée Achat",D870="Entrée Retour"),K870+E870,K870-E870))</f>
        <v/>
      </c>
      <c r="P870">
        <f>IF(E870="","",IF(OR(D870="Entrée Achat",D870="Entrée Retour"),"✓ Validé",IF(D870="Sortie Perte","⚠️ Perte",IF(D870="Sortie Périmée","🔴 Périmé","✓ Validé"))))</f>
        <v/>
      </c>
    </row>
    <row r="871">
      <c r="A871" s="38" t="n"/>
      <c r="G871" s="8" t="n"/>
      <c r="H871" s="8">
        <f>IF(E871="","",E871*G871)</f>
        <v/>
      </c>
      <c r="J871" s="38" t="n"/>
      <c r="L871">
        <f>IF(D871="","",IF(OR(D871="Entrée Achat",D871="Entrée Retour"),K871+E871,K871-E871))</f>
        <v/>
      </c>
      <c r="P871">
        <f>IF(E871="","",IF(OR(D871="Entrée Achat",D871="Entrée Retour"),"✓ Validé",IF(D871="Sortie Perte","⚠️ Perte",IF(D871="Sortie Périmée","🔴 Périmé","✓ Validé"))))</f>
        <v/>
      </c>
    </row>
    <row r="872">
      <c r="A872" s="38" t="n"/>
      <c r="G872" s="8" t="n"/>
      <c r="H872" s="8">
        <f>IF(E872="","",E872*G872)</f>
        <v/>
      </c>
      <c r="J872" s="38" t="n"/>
      <c r="L872">
        <f>IF(D872="","",IF(OR(D872="Entrée Achat",D872="Entrée Retour"),K872+E872,K872-E872))</f>
        <v/>
      </c>
      <c r="P872">
        <f>IF(E872="","",IF(OR(D872="Entrée Achat",D872="Entrée Retour"),"✓ Validé",IF(D872="Sortie Perte","⚠️ Perte",IF(D872="Sortie Périmée","🔴 Périmé","✓ Validé"))))</f>
        <v/>
      </c>
    </row>
    <row r="873">
      <c r="A873" s="38" t="n"/>
      <c r="G873" s="8" t="n"/>
      <c r="H873" s="8">
        <f>IF(E873="","",E873*G873)</f>
        <v/>
      </c>
      <c r="J873" s="38" t="n"/>
      <c r="L873">
        <f>IF(D873="","",IF(OR(D873="Entrée Achat",D873="Entrée Retour"),K873+E873,K873-E873))</f>
        <v/>
      </c>
      <c r="P873">
        <f>IF(E873="","",IF(OR(D873="Entrée Achat",D873="Entrée Retour"),"✓ Validé",IF(D873="Sortie Perte","⚠️ Perte",IF(D873="Sortie Périmée","🔴 Périmé","✓ Validé"))))</f>
        <v/>
      </c>
    </row>
    <row r="874">
      <c r="A874" s="38" t="n"/>
      <c r="G874" s="8" t="n"/>
      <c r="H874" s="8">
        <f>IF(E874="","",E874*G874)</f>
        <v/>
      </c>
      <c r="J874" s="38" t="n"/>
      <c r="L874">
        <f>IF(D874="","",IF(OR(D874="Entrée Achat",D874="Entrée Retour"),K874+E874,K874-E874))</f>
        <v/>
      </c>
      <c r="P874">
        <f>IF(E874="","",IF(OR(D874="Entrée Achat",D874="Entrée Retour"),"✓ Validé",IF(D874="Sortie Perte","⚠️ Perte",IF(D874="Sortie Périmée","🔴 Périmé","✓ Validé"))))</f>
        <v/>
      </c>
    </row>
    <row r="875">
      <c r="A875" s="38" t="n"/>
      <c r="G875" s="8" t="n"/>
      <c r="H875" s="8">
        <f>IF(E875="","",E875*G875)</f>
        <v/>
      </c>
      <c r="J875" s="38" t="n"/>
      <c r="L875">
        <f>IF(D875="","",IF(OR(D875="Entrée Achat",D875="Entrée Retour"),K875+E875,K875-E875))</f>
        <v/>
      </c>
      <c r="P875">
        <f>IF(E875="","",IF(OR(D875="Entrée Achat",D875="Entrée Retour"),"✓ Validé",IF(D875="Sortie Perte","⚠️ Perte",IF(D875="Sortie Périmée","🔴 Périmé","✓ Validé"))))</f>
        <v/>
      </c>
    </row>
    <row r="876">
      <c r="A876" s="38" t="n"/>
      <c r="G876" s="8" t="n"/>
      <c r="H876" s="8">
        <f>IF(E876="","",E876*G876)</f>
        <v/>
      </c>
      <c r="J876" s="38" t="n"/>
      <c r="L876">
        <f>IF(D876="","",IF(OR(D876="Entrée Achat",D876="Entrée Retour"),K876+E876,K876-E876))</f>
        <v/>
      </c>
      <c r="P876">
        <f>IF(E876="","",IF(OR(D876="Entrée Achat",D876="Entrée Retour"),"✓ Validé",IF(D876="Sortie Perte","⚠️ Perte",IF(D876="Sortie Périmée","🔴 Périmé","✓ Validé"))))</f>
        <v/>
      </c>
    </row>
    <row r="877">
      <c r="A877" s="38" t="n"/>
      <c r="G877" s="8" t="n"/>
      <c r="H877" s="8">
        <f>IF(E877="","",E877*G877)</f>
        <v/>
      </c>
      <c r="J877" s="38" t="n"/>
      <c r="L877">
        <f>IF(D877="","",IF(OR(D877="Entrée Achat",D877="Entrée Retour"),K877+E877,K877-E877))</f>
        <v/>
      </c>
      <c r="P877">
        <f>IF(E877="","",IF(OR(D877="Entrée Achat",D877="Entrée Retour"),"✓ Validé",IF(D877="Sortie Perte","⚠️ Perte",IF(D877="Sortie Périmée","🔴 Périmé","✓ Validé"))))</f>
        <v/>
      </c>
    </row>
    <row r="878">
      <c r="A878" s="38" t="n"/>
      <c r="G878" s="8" t="n"/>
      <c r="H878" s="8">
        <f>IF(E878="","",E878*G878)</f>
        <v/>
      </c>
      <c r="J878" s="38" t="n"/>
      <c r="L878">
        <f>IF(D878="","",IF(OR(D878="Entrée Achat",D878="Entrée Retour"),K878+E878,K878-E878))</f>
        <v/>
      </c>
      <c r="P878">
        <f>IF(E878="","",IF(OR(D878="Entrée Achat",D878="Entrée Retour"),"✓ Validé",IF(D878="Sortie Perte","⚠️ Perte",IF(D878="Sortie Périmée","🔴 Périmé","✓ Validé"))))</f>
        <v/>
      </c>
    </row>
    <row r="879">
      <c r="A879" s="38" t="n"/>
      <c r="G879" s="8" t="n"/>
      <c r="H879" s="8">
        <f>IF(E879="","",E879*G879)</f>
        <v/>
      </c>
      <c r="J879" s="38" t="n"/>
      <c r="L879">
        <f>IF(D879="","",IF(OR(D879="Entrée Achat",D879="Entrée Retour"),K879+E879,K879-E879))</f>
        <v/>
      </c>
      <c r="P879">
        <f>IF(E879="","",IF(OR(D879="Entrée Achat",D879="Entrée Retour"),"✓ Validé",IF(D879="Sortie Perte","⚠️ Perte",IF(D879="Sortie Périmée","🔴 Périmé","✓ Validé"))))</f>
        <v/>
      </c>
    </row>
    <row r="880">
      <c r="A880" s="38" t="n"/>
      <c r="G880" s="8" t="n"/>
      <c r="H880" s="8">
        <f>IF(E880="","",E880*G880)</f>
        <v/>
      </c>
      <c r="J880" s="38" t="n"/>
      <c r="L880">
        <f>IF(D880="","",IF(OR(D880="Entrée Achat",D880="Entrée Retour"),K880+E880,K880-E880))</f>
        <v/>
      </c>
      <c r="P880">
        <f>IF(E880="","",IF(OR(D880="Entrée Achat",D880="Entrée Retour"),"✓ Validé",IF(D880="Sortie Perte","⚠️ Perte",IF(D880="Sortie Périmée","🔴 Périmé","✓ Validé"))))</f>
        <v/>
      </c>
    </row>
    <row r="881">
      <c r="A881" s="38" t="n"/>
      <c r="G881" s="8" t="n"/>
      <c r="H881" s="8">
        <f>IF(E881="","",E881*G881)</f>
        <v/>
      </c>
      <c r="J881" s="38" t="n"/>
      <c r="L881">
        <f>IF(D881="","",IF(OR(D881="Entrée Achat",D881="Entrée Retour"),K881+E881,K881-E881))</f>
        <v/>
      </c>
      <c r="P881">
        <f>IF(E881="","",IF(OR(D881="Entrée Achat",D881="Entrée Retour"),"✓ Validé",IF(D881="Sortie Perte","⚠️ Perte",IF(D881="Sortie Périmée","🔴 Périmé","✓ Validé"))))</f>
        <v/>
      </c>
    </row>
    <row r="882">
      <c r="A882" s="38" t="n"/>
      <c r="G882" s="8" t="n"/>
      <c r="H882" s="8">
        <f>IF(E882="","",E882*G882)</f>
        <v/>
      </c>
      <c r="J882" s="38" t="n"/>
      <c r="L882">
        <f>IF(D882="","",IF(OR(D882="Entrée Achat",D882="Entrée Retour"),K882+E882,K882-E882))</f>
        <v/>
      </c>
      <c r="P882">
        <f>IF(E882="","",IF(OR(D882="Entrée Achat",D882="Entrée Retour"),"✓ Validé",IF(D882="Sortie Perte","⚠️ Perte",IF(D882="Sortie Périmée","🔴 Périmé","✓ Validé"))))</f>
        <v/>
      </c>
    </row>
    <row r="883">
      <c r="A883" s="38" t="n"/>
      <c r="G883" s="8" t="n"/>
      <c r="H883" s="8">
        <f>IF(E883="","",E883*G883)</f>
        <v/>
      </c>
      <c r="J883" s="38" t="n"/>
      <c r="L883">
        <f>IF(D883="","",IF(OR(D883="Entrée Achat",D883="Entrée Retour"),K883+E883,K883-E883))</f>
        <v/>
      </c>
      <c r="P883">
        <f>IF(E883="","",IF(OR(D883="Entrée Achat",D883="Entrée Retour"),"✓ Validé",IF(D883="Sortie Perte","⚠️ Perte",IF(D883="Sortie Périmée","🔴 Périmé","✓ Validé"))))</f>
        <v/>
      </c>
    </row>
    <row r="884">
      <c r="A884" s="38" t="n"/>
      <c r="G884" s="8" t="n"/>
      <c r="H884" s="8">
        <f>IF(E884="","",E884*G884)</f>
        <v/>
      </c>
      <c r="J884" s="38" t="n"/>
      <c r="L884">
        <f>IF(D884="","",IF(OR(D884="Entrée Achat",D884="Entrée Retour"),K884+E884,K884-E884))</f>
        <v/>
      </c>
      <c r="P884">
        <f>IF(E884="","",IF(OR(D884="Entrée Achat",D884="Entrée Retour"),"✓ Validé",IF(D884="Sortie Perte","⚠️ Perte",IF(D884="Sortie Périmée","🔴 Périmé","✓ Validé"))))</f>
        <v/>
      </c>
    </row>
    <row r="885">
      <c r="A885" s="38" t="n"/>
      <c r="G885" s="8" t="n"/>
      <c r="H885" s="8">
        <f>IF(E885="","",E885*G885)</f>
        <v/>
      </c>
      <c r="J885" s="38" t="n"/>
      <c r="L885">
        <f>IF(D885="","",IF(OR(D885="Entrée Achat",D885="Entrée Retour"),K885+E885,K885-E885))</f>
        <v/>
      </c>
      <c r="P885">
        <f>IF(E885="","",IF(OR(D885="Entrée Achat",D885="Entrée Retour"),"✓ Validé",IF(D885="Sortie Perte","⚠️ Perte",IF(D885="Sortie Périmée","🔴 Périmé","✓ Validé"))))</f>
        <v/>
      </c>
    </row>
    <row r="886">
      <c r="A886" s="38" t="n"/>
      <c r="G886" s="8" t="n"/>
      <c r="H886" s="8">
        <f>IF(E886="","",E886*G886)</f>
        <v/>
      </c>
      <c r="J886" s="38" t="n"/>
      <c r="L886">
        <f>IF(D886="","",IF(OR(D886="Entrée Achat",D886="Entrée Retour"),K886+E886,K886-E886))</f>
        <v/>
      </c>
      <c r="P886">
        <f>IF(E886="","",IF(OR(D886="Entrée Achat",D886="Entrée Retour"),"✓ Validé",IF(D886="Sortie Perte","⚠️ Perte",IF(D886="Sortie Périmée","🔴 Périmé","✓ Validé"))))</f>
        <v/>
      </c>
    </row>
    <row r="887">
      <c r="A887" s="38" t="n"/>
      <c r="G887" s="8" t="n"/>
      <c r="H887" s="8">
        <f>IF(E887="","",E887*G887)</f>
        <v/>
      </c>
      <c r="J887" s="38" t="n"/>
      <c r="L887">
        <f>IF(D887="","",IF(OR(D887="Entrée Achat",D887="Entrée Retour"),K887+E887,K887-E887))</f>
        <v/>
      </c>
      <c r="P887">
        <f>IF(E887="","",IF(OR(D887="Entrée Achat",D887="Entrée Retour"),"✓ Validé",IF(D887="Sortie Perte","⚠️ Perte",IF(D887="Sortie Périmée","🔴 Périmé","✓ Validé"))))</f>
        <v/>
      </c>
    </row>
    <row r="888">
      <c r="A888" s="38" t="n"/>
      <c r="G888" s="8" t="n"/>
      <c r="H888" s="8">
        <f>IF(E888="","",E888*G888)</f>
        <v/>
      </c>
      <c r="J888" s="38" t="n"/>
      <c r="L888">
        <f>IF(D888="","",IF(OR(D888="Entrée Achat",D888="Entrée Retour"),K888+E888,K888-E888))</f>
        <v/>
      </c>
      <c r="P888">
        <f>IF(E888="","",IF(OR(D888="Entrée Achat",D888="Entrée Retour"),"✓ Validé",IF(D888="Sortie Perte","⚠️ Perte",IF(D888="Sortie Périmée","🔴 Périmé","✓ Validé"))))</f>
        <v/>
      </c>
    </row>
    <row r="889">
      <c r="A889" s="38" t="n"/>
      <c r="G889" s="8" t="n"/>
      <c r="H889" s="8">
        <f>IF(E889="","",E889*G889)</f>
        <v/>
      </c>
      <c r="J889" s="38" t="n"/>
      <c r="L889">
        <f>IF(D889="","",IF(OR(D889="Entrée Achat",D889="Entrée Retour"),K889+E889,K889-E889))</f>
        <v/>
      </c>
      <c r="P889">
        <f>IF(E889="","",IF(OR(D889="Entrée Achat",D889="Entrée Retour"),"✓ Validé",IF(D889="Sortie Perte","⚠️ Perte",IF(D889="Sortie Périmée","🔴 Périmé","✓ Validé"))))</f>
        <v/>
      </c>
    </row>
    <row r="890">
      <c r="A890" s="38" t="n"/>
      <c r="G890" s="8" t="n"/>
      <c r="H890" s="8">
        <f>IF(E890="","",E890*G890)</f>
        <v/>
      </c>
      <c r="J890" s="38" t="n"/>
      <c r="L890">
        <f>IF(D890="","",IF(OR(D890="Entrée Achat",D890="Entrée Retour"),K890+E890,K890-E890))</f>
        <v/>
      </c>
      <c r="P890">
        <f>IF(E890="","",IF(OR(D890="Entrée Achat",D890="Entrée Retour"),"✓ Validé",IF(D890="Sortie Perte","⚠️ Perte",IF(D890="Sortie Périmée","🔴 Périmé","✓ Validé"))))</f>
        <v/>
      </c>
    </row>
    <row r="891">
      <c r="A891" s="38" t="n"/>
      <c r="G891" s="8" t="n"/>
      <c r="H891" s="8">
        <f>IF(E891="","",E891*G891)</f>
        <v/>
      </c>
      <c r="J891" s="38" t="n"/>
      <c r="L891">
        <f>IF(D891="","",IF(OR(D891="Entrée Achat",D891="Entrée Retour"),K891+E891,K891-E891))</f>
        <v/>
      </c>
      <c r="P891">
        <f>IF(E891="","",IF(OR(D891="Entrée Achat",D891="Entrée Retour"),"✓ Validé",IF(D891="Sortie Perte","⚠️ Perte",IF(D891="Sortie Périmée","🔴 Périmé","✓ Validé"))))</f>
        <v/>
      </c>
    </row>
    <row r="892">
      <c r="A892" s="38" t="n"/>
      <c r="G892" s="8" t="n"/>
      <c r="H892" s="8">
        <f>IF(E892="","",E892*G892)</f>
        <v/>
      </c>
      <c r="J892" s="38" t="n"/>
      <c r="L892">
        <f>IF(D892="","",IF(OR(D892="Entrée Achat",D892="Entrée Retour"),K892+E892,K892-E892))</f>
        <v/>
      </c>
      <c r="P892">
        <f>IF(E892="","",IF(OR(D892="Entrée Achat",D892="Entrée Retour"),"✓ Validé",IF(D892="Sortie Perte","⚠️ Perte",IF(D892="Sortie Périmée","🔴 Périmé","✓ Validé"))))</f>
        <v/>
      </c>
    </row>
    <row r="893">
      <c r="A893" s="38" t="n"/>
      <c r="G893" s="8" t="n"/>
      <c r="H893" s="8">
        <f>IF(E893="","",E893*G893)</f>
        <v/>
      </c>
      <c r="J893" s="38" t="n"/>
      <c r="L893">
        <f>IF(D893="","",IF(OR(D893="Entrée Achat",D893="Entrée Retour"),K893+E893,K893-E893))</f>
        <v/>
      </c>
      <c r="P893">
        <f>IF(E893="","",IF(OR(D893="Entrée Achat",D893="Entrée Retour"),"✓ Validé",IF(D893="Sortie Perte","⚠️ Perte",IF(D893="Sortie Périmée","🔴 Périmé","✓ Validé"))))</f>
        <v/>
      </c>
    </row>
    <row r="894">
      <c r="A894" s="38" t="n"/>
      <c r="G894" s="8" t="n"/>
      <c r="H894" s="8">
        <f>IF(E894="","",E894*G894)</f>
        <v/>
      </c>
      <c r="J894" s="38" t="n"/>
      <c r="L894">
        <f>IF(D894="","",IF(OR(D894="Entrée Achat",D894="Entrée Retour"),K894+E894,K894-E894))</f>
        <v/>
      </c>
      <c r="P894">
        <f>IF(E894="","",IF(OR(D894="Entrée Achat",D894="Entrée Retour"),"✓ Validé",IF(D894="Sortie Perte","⚠️ Perte",IF(D894="Sortie Périmée","🔴 Périmé","✓ Validé"))))</f>
        <v/>
      </c>
    </row>
    <row r="895">
      <c r="A895" s="38" t="n"/>
      <c r="G895" s="8" t="n"/>
      <c r="H895" s="8">
        <f>IF(E895="","",E895*G895)</f>
        <v/>
      </c>
      <c r="J895" s="38" t="n"/>
      <c r="L895">
        <f>IF(D895="","",IF(OR(D895="Entrée Achat",D895="Entrée Retour"),K895+E895,K895-E895))</f>
        <v/>
      </c>
      <c r="P895">
        <f>IF(E895="","",IF(OR(D895="Entrée Achat",D895="Entrée Retour"),"✓ Validé",IF(D895="Sortie Perte","⚠️ Perte",IF(D895="Sortie Périmée","🔴 Périmé","✓ Validé"))))</f>
        <v/>
      </c>
    </row>
    <row r="896">
      <c r="A896" s="38" t="n"/>
      <c r="G896" s="8" t="n"/>
      <c r="H896" s="8">
        <f>IF(E896="","",E896*G896)</f>
        <v/>
      </c>
      <c r="J896" s="38" t="n"/>
      <c r="L896">
        <f>IF(D896="","",IF(OR(D896="Entrée Achat",D896="Entrée Retour"),K896+E896,K896-E896))</f>
        <v/>
      </c>
      <c r="P896">
        <f>IF(E896="","",IF(OR(D896="Entrée Achat",D896="Entrée Retour"),"✓ Validé",IF(D896="Sortie Perte","⚠️ Perte",IF(D896="Sortie Périmée","🔴 Périmé","✓ Validé"))))</f>
        <v/>
      </c>
    </row>
    <row r="897">
      <c r="A897" s="38" t="n"/>
      <c r="G897" s="8" t="n"/>
      <c r="H897" s="8">
        <f>IF(E897="","",E897*G897)</f>
        <v/>
      </c>
      <c r="J897" s="38" t="n"/>
      <c r="L897">
        <f>IF(D897="","",IF(OR(D897="Entrée Achat",D897="Entrée Retour"),K897+E897,K897-E897))</f>
        <v/>
      </c>
      <c r="P897">
        <f>IF(E897="","",IF(OR(D897="Entrée Achat",D897="Entrée Retour"),"✓ Validé",IF(D897="Sortie Perte","⚠️ Perte",IF(D897="Sortie Périmée","🔴 Périmé","✓ Validé"))))</f>
        <v/>
      </c>
    </row>
    <row r="898">
      <c r="A898" s="38" t="n"/>
      <c r="G898" s="8" t="n"/>
      <c r="H898" s="8">
        <f>IF(E898="","",E898*G898)</f>
        <v/>
      </c>
      <c r="J898" s="38" t="n"/>
      <c r="L898">
        <f>IF(D898="","",IF(OR(D898="Entrée Achat",D898="Entrée Retour"),K898+E898,K898-E898))</f>
        <v/>
      </c>
      <c r="P898">
        <f>IF(E898="","",IF(OR(D898="Entrée Achat",D898="Entrée Retour"),"✓ Validé",IF(D898="Sortie Perte","⚠️ Perte",IF(D898="Sortie Périmée","🔴 Périmé","✓ Validé"))))</f>
        <v/>
      </c>
    </row>
    <row r="899">
      <c r="A899" s="38" t="n"/>
      <c r="G899" s="8" t="n"/>
      <c r="H899" s="8">
        <f>IF(E899="","",E899*G899)</f>
        <v/>
      </c>
      <c r="J899" s="38" t="n"/>
      <c r="L899">
        <f>IF(D899="","",IF(OR(D899="Entrée Achat",D899="Entrée Retour"),K899+E899,K899-E899))</f>
        <v/>
      </c>
      <c r="P899">
        <f>IF(E899="","",IF(OR(D899="Entrée Achat",D899="Entrée Retour"),"✓ Validé",IF(D899="Sortie Perte","⚠️ Perte",IF(D899="Sortie Périmée","🔴 Périmé","✓ Validé"))))</f>
        <v/>
      </c>
    </row>
    <row r="900">
      <c r="A900" s="38" t="n"/>
      <c r="G900" s="8" t="n"/>
      <c r="H900" s="8">
        <f>IF(E900="","",E900*G900)</f>
        <v/>
      </c>
      <c r="J900" s="38" t="n"/>
      <c r="L900">
        <f>IF(D900="","",IF(OR(D900="Entrée Achat",D900="Entrée Retour"),K900+E900,K900-E900))</f>
        <v/>
      </c>
      <c r="P900">
        <f>IF(E900="","",IF(OR(D900="Entrée Achat",D900="Entrée Retour"),"✓ Validé",IF(D900="Sortie Perte","⚠️ Perte",IF(D900="Sortie Périmée","🔴 Périmé","✓ Validé"))))</f>
        <v/>
      </c>
    </row>
    <row r="901">
      <c r="A901" s="38" t="n"/>
      <c r="G901" s="8" t="n"/>
      <c r="H901" s="8">
        <f>IF(E901="","",E901*G901)</f>
        <v/>
      </c>
      <c r="J901" s="38" t="n"/>
      <c r="L901">
        <f>IF(D901="","",IF(OR(D901="Entrée Achat",D901="Entrée Retour"),K901+E901,K901-E901))</f>
        <v/>
      </c>
      <c r="P901">
        <f>IF(E901="","",IF(OR(D901="Entrée Achat",D901="Entrée Retour"),"✓ Validé",IF(D901="Sortie Perte","⚠️ Perte",IF(D901="Sortie Périmée","🔴 Périmé","✓ Validé"))))</f>
        <v/>
      </c>
    </row>
    <row r="902">
      <c r="A902" s="38" t="n"/>
      <c r="G902" s="8" t="n"/>
      <c r="H902" s="8">
        <f>IF(E902="","",E902*G902)</f>
        <v/>
      </c>
      <c r="J902" s="38" t="n"/>
      <c r="L902">
        <f>IF(D902="","",IF(OR(D902="Entrée Achat",D902="Entrée Retour"),K902+E902,K902-E902))</f>
        <v/>
      </c>
      <c r="P902">
        <f>IF(E902="","",IF(OR(D902="Entrée Achat",D902="Entrée Retour"),"✓ Validé",IF(D902="Sortie Perte","⚠️ Perte",IF(D902="Sortie Périmée","🔴 Périmé","✓ Validé"))))</f>
        <v/>
      </c>
    </row>
    <row r="903">
      <c r="A903" s="38" t="n"/>
      <c r="G903" s="8" t="n"/>
      <c r="H903" s="8">
        <f>IF(E903="","",E903*G903)</f>
        <v/>
      </c>
      <c r="J903" s="38" t="n"/>
      <c r="L903">
        <f>IF(D903="","",IF(OR(D903="Entrée Achat",D903="Entrée Retour"),K903+E903,K903-E903))</f>
        <v/>
      </c>
      <c r="P903">
        <f>IF(E903="","",IF(OR(D903="Entrée Achat",D903="Entrée Retour"),"✓ Validé",IF(D903="Sortie Perte","⚠️ Perte",IF(D903="Sortie Périmée","🔴 Périmé","✓ Validé"))))</f>
        <v/>
      </c>
    </row>
    <row r="904">
      <c r="A904" s="38" t="n"/>
      <c r="G904" s="8" t="n"/>
      <c r="H904" s="8">
        <f>IF(E904="","",E904*G904)</f>
        <v/>
      </c>
      <c r="J904" s="38" t="n"/>
      <c r="L904">
        <f>IF(D904="","",IF(OR(D904="Entrée Achat",D904="Entrée Retour"),K904+E904,K904-E904))</f>
        <v/>
      </c>
      <c r="P904">
        <f>IF(E904="","",IF(OR(D904="Entrée Achat",D904="Entrée Retour"),"✓ Validé",IF(D904="Sortie Perte","⚠️ Perte",IF(D904="Sortie Périmée","🔴 Périmé","✓ Validé"))))</f>
        <v/>
      </c>
    </row>
    <row r="905">
      <c r="A905" s="38" t="n"/>
      <c r="G905" s="8" t="n"/>
      <c r="H905" s="8">
        <f>IF(E905="","",E905*G905)</f>
        <v/>
      </c>
      <c r="J905" s="38" t="n"/>
      <c r="L905">
        <f>IF(D905="","",IF(OR(D905="Entrée Achat",D905="Entrée Retour"),K905+E905,K905-E905))</f>
        <v/>
      </c>
      <c r="P905">
        <f>IF(E905="","",IF(OR(D905="Entrée Achat",D905="Entrée Retour"),"✓ Validé",IF(D905="Sortie Perte","⚠️ Perte",IF(D905="Sortie Périmée","🔴 Périmé","✓ Validé"))))</f>
        <v/>
      </c>
    </row>
    <row r="906">
      <c r="A906" s="38" t="n"/>
      <c r="G906" s="8" t="n"/>
      <c r="H906" s="8">
        <f>IF(E906="","",E906*G906)</f>
        <v/>
      </c>
      <c r="J906" s="38" t="n"/>
      <c r="L906">
        <f>IF(D906="","",IF(OR(D906="Entrée Achat",D906="Entrée Retour"),K906+E906,K906-E906))</f>
        <v/>
      </c>
      <c r="P906">
        <f>IF(E906="","",IF(OR(D906="Entrée Achat",D906="Entrée Retour"),"✓ Validé",IF(D906="Sortie Perte","⚠️ Perte",IF(D906="Sortie Périmée","🔴 Périmé","✓ Validé"))))</f>
        <v/>
      </c>
    </row>
    <row r="907">
      <c r="A907" s="38" t="n"/>
      <c r="G907" s="8" t="n"/>
      <c r="H907" s="8">
        <f>IF(E907="","",E907*G907)</f>
        <v/>
      </c>
      <c r="J907" s="38" t="n"/>
      <c r="L907">
        <f>IF(D907="","",IF(OR(D907="Entrée Achat",D907="Entrée Retour"),K907+E907,K907-E907))</f>
        <v/>
      </c>
      <c r="P907">
        <f>IF(E907="","",IF(OR(D907="Entrée Achat",D907="Entrée Retour"),"✓ Validé",IF(D907="Sortie Perte","⚠️ Perte",IF(D907="Sortie Périmée","🔴 Périmé","✓ Validé"))))</f>
        <v/>
      </c>
    </row>
    <row r="908">
      <c r="A908" s="38" t="n"/>
      <c r="G908" s="8" t="n"/>
      <c r="H908" s="8">
        <f>IF(E908="","",E908*G908)</f>
        <v/>
      </c>
      <c r="J908" s="38" t="n"/>
      <c r="L908">
        <f>IF(D908="","",IF(OR(D908="Entrée Achat",D908="Entrée Retour"),K908+E908,K908-E908))</f>
        <v/>
      </c>
      <c r="P908">
        <f>IF(E908="","",IF(OR(D908="Entrée Achat",D908="Entrée Retour"),"✓ Validé",IF(D908="Sortie Perte","⚠️ Perte",IF(D908="Sortie Périmée","🔴 Périmé","✓ Validé"))))</f>
        <v/>
      </c>
    </row>
    <row r="909">
      <c r="A909" s="38" t="n"/>
      <c r="G909" s="8" t="n"/>
      <c r="H909" s="8">
        <f>IF(E909="","",E909*G909)</f>
        <v/>
      </c>
      <c r="J909" s="38" t="n"/>
      <c r="L909">
        <f>IF(D909="","",IF(OR(D909="Entrée Achat",D909="Entrée Retour"),K909+E909,K909-E909))</f>
        <v/>
      </c>
      <c r="P909">
        <f>IF(E909="","",IF(OR(D909="Entrée Achat",D909="Entrée Retour"),"✓ Validé",IF(D909="Sortie Perte","⚠️ Perte",IF(D909="Sortie Périmée","🔴 Périmé","✓ Validé"))))</f>
        <v/>
      </c>
    </row>
    <row r="910">
      <c r="A910" s="38" t="n"/>
      <c r="G910" s="8" t="n"/>
      <c r="H910" s="8">
        <f>IF(E910="","",E910*G910)</f>
        <v/>
      </c>
      <c r="J910" s="38" t="n"/>
      <c r="L910">
        <f>IF(D910="","",IF(OR(D910="Entrée Achat",D910="Entrée Retour"),K910+E910,K910-E910))</f>
        <v/>
      </c>
      <c r="P910">
        <f>IF(E910="","",IF(OR(D910="Entrée Achat",D910="Entrée Retour"),"✓ Validé",IF(D910="Sortie Perte","⚠️ Perte",IF(D910="Sortie Périmée","🔴 Périmé","✓ Validé"))))</f>
        <v/>
      </c>
    </row>
    <row r="911">
      <c r="A911" s="38" t="n"/>
      <c r="G911" s="8" t="n"/>
      <c r="H911" s="8">
        <f>IF(E911="","",E911*G911)</f>
        <v/>
      </c>
      <c r="J911" s="38" t="n"/>
      <c r="L911">
        <f>IF(D911="","",IF(OR(D911="Entrée Achat",D911="Entrée Retour"),K911+E911,K911-E911))</f>
        <v/>
      </c>
      <c r="P911">
        <f>IF(E911="","",IF(OR(D911="Entrée Achat",D911="Entrée Retour"),"✓ Validé",IF(D911="Sortie Perte","⚠️ Perte",IF(D911="Sortie Périmée","🔴 Périmé","✓ Validé"))))</f>
        <v/>
      </c>
    </row>
    <row r="912">
      <c r="A912" s="38" t="n"/>
      <c r="G912" s="8" t="n"/>
      <c r="H912" s="8">
        <f>IF(E912="","",E912*G912)</f>
        <v/>
      </c>
      <c r="J912" s="38" t="n"/>
      <c r="L912">
        <f>IF(D912="","",IF(OR(D912="Entrée Achat",D912="Entrée Retour"),K912+E912,K912-E912))</f>
        <v/>
      </c>
      <c r="P912">
        <f>IF(E912="","",IF(OR(D912="Entrée Achat",D912="Entrée Retour"),"✓ Validé",IF(D912="Sortie Perte","⚠️ Perte",IF(D912="Sortie Périmée","🔴 Périmé","✓ Validé"))))</f>
        <v/>
      </c>
    </row>
    <row r="913">
      <c r="A913" s="38" t="n"/>
      <c r="G913" s="8" t="n"/>
      <c r="H913" s="8">
        <f>IF(E913="","",E913*G913)</f>
        <v/>
      </c>
      <c r="J913" s="38" t="n"/>
      <c r="L913">
        <f>IF(D913="","",IF(OR(D913="Entrée Achat",D913="Entrée Retour"),K913+E913,K913-E913))</f>
        <v/>
      </c>
      <c r="P913">
        <f>IF(E913="","",IF(OR(D913="Entrée Achat",D913="Entrée Retour"),"✓ Validé",IF(D913="Sortie Perte","⚠️ Perte",IF(D913="Sortie Périmée","🔴 Périmé","✓ Validé"))))</f>
        <v/>
      </c>
    </row>
    <row r="914">
      <c r="A914" s="38" t="n"/>
      <c r="G914" s="8" t="n"/>
      <c r="H914" s="8">
        <f>IF(E914="","",E914*G914)</f>
        <v/>
      </c>
      <c r="J914" s="38" t="n"/>
      <c r="L914">
        <f>IF(D914="","",IF(OR(D914="Entrée Achat",D914="Entrée Retour"),K914+E914,K914-E914))</f>
        <v/>
      </c>
      <c r="P914">
        <f>IF(E914="","",IF(OR(D914="Entrée Achat",D914="Entrée Retour"),"✓ Validé",IF(D914="Sortie Perte","⚠️ Perte",IF(D914="Sortie Périmée","🔴 Périmé","✓ Validé"))))</f>
        <v/>
      </c>
    </row>
    <row r="915">
      <c r="A915" s="38" t="n"/>
      <c r="G915" s="8" t="n"/>
      <c r="H915" s="8">
        <f>IF(E915="","",E915*G915)</f>
        <v/>
      </c>
      <c r="J915" s="38" t="n"/>
      <c r="L915">
        <f>IF(D915="","",IF(OR(D915="Entrée Achat",D915="Entrée Retour"),K915+E915,K915-E915))</f>
        <v/>
      </c>
      <c r="P915">
        <f>IF(E915="","",IF(OR(D915="Entrée Achat",D915="Entrée Retour"),"✓ Validé",IF(D915="Sortie Perte","⚠️ Perte",IF(D915="Sortie Périmée","🔴 Périmé","✓ Validé"))))</f>
        <v/>
      </c>
    </row>
    <row r="916">
      <c r="A916" s="38" t="n"/>
      <c r="G916" s="8" t="n"/>
      <c r="H916" s="8">
        <f>IF(E916="","",E916*G916)</f>
        <v/>
      </c>
      <c r="J916" s="38" t="n"/>
      <c r="L916">
        <f>IF(D916="","",IF(OR(D916="Entrée Achat",D916="Entrée Retour"),K916+E916,K916-E916))</f>
        <v/>
      </c>
      <c r="P916">
        <f>IF(E916="","",IF(OR(D916="Entrée Achat",D916="Entrée Retour"),"✓ Validé",IF(D916="Sortie Perte","⚠️ Perte",IF(D916="Sortie Périmée","🔴 Périmé","✓ Validé"))))</f>
        <v/>
      </c>
    </row>
    <row r="917">
      <c r="A917" s="38" t="n"/>
      <c r="G917" s="8" t="n"/>
      <c r="H917" s="8">
        <f>IF(E917="","",E917*G917)</f>
        <v/>
      </c>
      <c r="J917" s="38" t="n"/>
      <c r="L917">
        <f>IF(D917="","",IF(OR(D917="Entrée Achat",D917="Entrée Retour"),K917+E917,K917-E917))</f>
        <v/>
      </c>
      <c r="P917">
        <f>IF(E917="","",IF(OR(D917="Entrée Achat",D917="Entrée Retour"),"✓ Validé",IF(D917="Sortie Perte","⚠️ Perte",IF(D917="Sortie Périmée","🔴 Périmé","✓ Validé"))))</f>
        <v/>
      </c>
    </row>
    <row r="918">
      <c r="A918" s="38" t="n"/>
      <c r="G918" s="8" t="n"/>
      <c r="H918" s="8">
        <f>IF(E918="","",E918*G918)</f>
        <v/>
      </c>
      <c r="J918" s="38" t="n"/>
      <c r="L918">
        <f>IF(D918="","",IF(OR(D918="Entrée Achat",D918="Entrée Retour"),K918+E918,K918-E918))</f>
        <v/>
      </c>
      <c r="P918">
        <f>IF(E918="","",IF(OR(D918="Entrée Achat",D918="Entrée Retour"),"✓ Validé",IF(D918="Sortie Perte","⚠️ Perte",IF(D918="Sortie Périmée","🔴 Périmé","✓ Validé"))))</f>
        <v/>
      </c>
    </row>
    <row r="919">
      <c r="A919" s="38" t="n"/>
      <c r="G919" s="8" t="n"/>
      <c r="H919" s="8">
        <f>IF(E919="","",E919*G919)</f>
        <v/>
      </c>
      <c r="J919" s="38" t="n"/>
      <c r="L919">
        <f>IF(D919="","",IF(OR(D919="Entrée Achat",D919="Entrée Retour"),K919+E919,K919-E919))</f>
        <v/>
      </c>
      <c r="P919">
        <f>IF(E919="","",IF(OR(D919="Entrée Achat",D919="Entrée Retour"),"✓ Validé",IF(D919="Sortie Perte","⚠️ Perte",IF(D919="Sortie Périmée","🔴 Périmé","✓ Validé"))))</f>
        <v/>
      </c>
    </row>
    <row r="920">
      <c r="A920" s="38" t="n"/>
      <c r="G920" s="8" t="n"/>
      <c r="H920" s="8">
        <f>IF(E920="","",E920*G920)</f>
        <v/>
      </c>
      <c r="J920" s="38" t="n"/>
      <c r="L920">
        <f>IF(D920="","",IF(OR(D920="Entrée Achat",D920="Entrée Retour"),K920+E920,K920-E920))</f>
        <v/>
      </c>
      <c r="P920">
        <f>IF(E920="","",IF(OR(D920="Entrée Achat",D920="Entrée Retour"),"✓ Validé",IF(D920="Sortie Perte","⚠️ Perte",IF(D920="Sortie Périmée","🔴 Périmé","✓ Validé"))))</f>
        <v/>
      </c>
    </row>
    <row r="921">
      <c r="A921" s="38" t="n"/>
      <c r="G921" s="8" t="n"/>
      <c r="H921" s="8">
        <f>IF(E921="","",E921*G921)</f>
        <v/>
      </c>
      <c r="J921" s="38" t="n"/>
      <c r="L921">
        <f>IF(D921="","",IF(OR(D921="Entrée Achat",D921="Entrée Retour"),K921+E921,K921-E921))</f>
        <v/>
      </c>
      <c r="P921">
        <f>IF(E921="","",IF(OR(D921="Entrée Achat",D921="Entrée Retour"),"✓ Validé",IF(D921="Sortie Perte","⚠️ Perte",IF(D921="Sortie Périmée","🔴 Périmé","✓ Validé"))))</f>
        <v/>
      </c>
    </row>
    <row r="922">
      <c r="A922" s="38" t="n"/>
      <c r="G922" s="8" t="n"/>
      <c r="H922" s="8">
        <f>IF(E922="","",E922*G922)</f>
        <v/>
      </c>
      <c r="J922" s="38" t="n"/>
      <c r="L922">
        <f>IF(D922="","",IF(OR(D922="Entrée Achat",D922="Entrée Retour"),K922+E922,K922-E922))</f>
        <v/>
      </c>
      <c r="P922">
        <f>IF(E922="","",IF(OR(D922="Entrée Achat",D922="Entrée Retour"),"✓ Validé",IF(D922="Sortie Perte","⚠️ Perte",IF(D922="Sortie Périmée","🔴 Périmé","✓ Validé"))))</f>
        <v/>
      </c>
    </row>
    <row r="923">
      <c r="A923" s="38" t="n"/>
      <c r="G923" s="8" t="n"/>
      <c r="H923" s="8">
        <f>IF(E923="","",E923*G923)</f>
        <v/>
      </c>
      <c r="J923" s="38" t="n"/>
      <c r="L923">
        <f>IF(D923="","",IF(OR(D923="Entrée Achat",D923="Entrée Retour"),K923+E923,K923-E923))</f>
        <v/>
      </c>
      <c r="P923">
        <f>IF(E923="","",IF(OR(D923="Entrée Achat",D923="Entrée Retour"),"✓ Validé",IF(D923="Sortie Perte","⚠️ Perte",IF(D923="Sortie Périmée","🔴 Périmé","✓ Validé"))))</f>
        <v/>
      </c>
    </row>
    <row r="924">
      <c r="A924" s="38" t="n"/>
      <c r="G924" s="8" t="n"/>
      <c r="H924" s="8">
        <f>IF(E924="","",E924*G924)</f>
        <v/>
      </c>
      <c r="J924" s="38" t="n"/>
      <c r="L924">
        <f>IF(D924="","",IF(OR(D924="Entrée Achat",D924="Entrée Retour"),K924+E924,K924-E924))</f>
        <v/>
      </c>
      <c r="P924">
        <f>IF(E924="","",IF(OR(D924="Entrée Achat",D924="Entrée Retour"),"✓ Validé",IF(D924="Sortie Perte","⚠️ Perte",IF(D924="Sortie Périmée","🔴 Périmé","✓ Validé"))))</f>
        <v/>
      </c>
    </row>
    <row r="925">
      <c r="A925" s="38" t="n"/>
      <c r="G925" s="8" t="n"/>
      <c r="H925" s="8">
        <f>IF(E925="","",E925*G925)</f>
        <v/>
      </c>
      <c r="J925" s="38" t="n"/>
      <c r="L925">
        <f>IF(D925="","",IF(OR(D925="Entrée Achat",D925="Entrée Retour"),K925+E925,K925-E925))</f>
        <v/>
      </c>
      <c r="P925">
        <f>IF(E925="","",IF(OR(D925="Entrée Achat",D925="Entrée Retour"),"✓ Validé",IF(D925="Sortie Perte","⚠️ Perte",IF(D925="Sortie Périmée","🔴 Périmé","✓ Validé"))))</f>
        <v/>
      </c>
    </row>
    <row r="926">
      <c r="A926" s="38" t="n"/>
      <c r="G926" s="8" t="n"/>
      <c r="H926" s="8">
        <f>IF(E926="","",E926*G926)</f>
        <v/>
      </c>
      <c r="J926" s="38" t="n"/>
      <c r="L926">
        <f>IF(D926="","",IF(OR(D926="Entrée Achat",D926="Entrée Retour"),K926+E926,K926-E926))</f>
        <v/>
      </c>
      <c r="P926">
        <f>IF(E926="","",IF(OR(D926="Entrée Achat",D926="Entrée Retour"),"✓ Validé",IF(D926="Sortie Perte","⚠️ Perte",IF(D926="Sortie Périmée","🔴 Périmé","✓ Validé"))))</f>
        <v/>
      </c>
    </row>
    <row r="927">
      <c r="A927" s="38" t="n"/>
      <c r="G927" s="8" t="n"/>
      <c r="H927" s="8">
        <f>IF(E927="","",E927*G927)</f>
        <v/>
      </c>
      <c r="J927" s="38" t="n"/>
      <c r="L927">
        <f>IF(D927="","",IF(OR(D927="Entrée Achat",D927="Entrée Retour"),K927+E927,K927-E927))</f>
        <v/>
      </c>
      <c r="P927">
        <f>IF(E927="","",IF(OR(D927="Entrée Achat",D927="Entrée Retour"),"✓ Validé",IF(D927="Sortie Perte","⚠️ Perte",IF(D927="Sortie Périmée","🔴 Périmé","✓ Validé"))))</f>
        <v/>
      </c>
    </row>
    <row r="928">
      <c r="A928" s="38" t="n"/>
      <c r="G928" s="8" t="n"/>
      <c r="H928" s="8">
        <f>IF(E928="","",E928*G928)</f>
        <v/>
      </c>
      <c r="J928" s="38" t="n"/>
      <c r="L928">
        <f>IF(D928="","",IF(OR(D928="Entrée Achat",D928="Entrée Retour"),K928+E928,K928-E928))</f>
        <v/>
      </c>
      <c r="P928">
        <f>IF(E928="","",IF(OR(D928="Entrée Achat",D928="Entrée Retour"),"✓ Validé",IF(D928="Sortie Perte","⚠️ Perte",IF(D928="Sortie Périmée","🔴 Périmé","✓ Validé"))))</f>
        <v/>
      </c>
    </row>
    <row r="929">
      <c r="A929" s="38" t="n"/>
      <c r="G929" s="8" t="n"/>
      <c r="H929" s="8">
        <f>IF(E929="","",E929*G929)</f>
        <v/>
      </c>
      <c r="J929" s="38" t="n"/>
      <c r="L929">
        <f>IF(D929="","",IF(OR(D929="Entrée Achat",D929="Entrée Retour"),K929+E929,K929-E929))</f>
        <v/>
      </c>
      <c r="P929">
        <f>IF(E929="","",IF(OR(D929="Entrée Achat",D929="Entrée Retour"),"✓ Validé",IF(D929="Sortie Perte","⚠️ Perte",IF(D929="Sortie Périmée","🔴 Périmé","✓ Validé"))))</f>
        <v/>
      </c>
    </row>
    <row r="930">
      <c r="A930" s="38" t="n"/>
      <c r="G930" s="8" t="n"/>
      <c r="H930" s="8">
        <f>IF(E930="","",E930*G930)</f>
        <v/>
      </c>
      <c r="J930" s="38" t="n"/>
      <c r="L930">
        <f>IF(D930="","",IF(OR(D930="Entrée Achat",D930="Entrée Retour"),K930+E930,K930-E930))</f>
        <v/>
      </c>
      <c r="P930">
        <f>IF(E930="","",IF(OR(D930="Entrée Achat",D930="Entrée Retour"),"✓ Validé",IF(D930="Sortie Perte","⚠️ Perte",IF(D930="Sortie Périmée","🔴 Périmé","✓ Validé"))))</f>
        <v/>
      </c>
    </row>
    <row r="931">
      <c r="A931" s="38" t="n"/>
      <c r="G931" s="8" t="n"/>
      <c r="H931" s="8">
        <f>IF(E931="","",E931*G931)</f>
        <v/>
      </c>
      <c r="J931" s="38" t="n"/>
      <c r="L931">
        <f>IF(D931="","",IF(OR(D931="Entrée Achat",D931="Entrée Retour"),K931+E931,K931-E931))</f>
        <v/>
      </c>
      <c r="P931">
        <f>IF(E931="","",IF(OR(D931="Entrée Achat",D931="Entrée Retour"),"✓ Validé",IF(D931="Sortie Perte","⚠️ Perte",IF(D931="Sortie Périmée","🔴 Périmé","✓ Validé"))))</f>
        <v/>
      </c>
    </row>
    <row r="932">
      <c r="A932" s="38" t="n"/>
      <c r="G932" s="8" t="n"/>
      <c r="H932" s="8">
        <f>IF(E932="","",E932*G932)</f>
        <v/>
      </c>
      <c r="J932" s="38" t="n"/>
      <c r="L932">
        <f>IF(D932="","",IF(OR(D932="Entrée Achat",D932="Entrée Retour"),K932+E932,K932-E932))</f>
        <v/>
      </c>
      <c r="P932">
        <f>IF(E932="","",IF(OR(D932="Entrée Achat",D932="Entrée Retour"),"✓ Validé",IF(D932="Sortie Perte","⚠️ Perte",IF(D932="Sortie Périmée","🔴 Périmé","✓ Validé"))))</f>
        <v/>
      </c>
    </row>
    <row r="933">
      <c r="A933" s="38" t="n"/>
      <c r="G933" s="8" t="n"/>
      <c r="H933" s="8">
        <f>IF(E933="","",E933*G933)</f>
        <v/>
      </c>
      <c r="J933" s="38" t="n"/>
      <c r="L933">
        <f>IF(D933="","",IF(OR(D933="Entrée Achat",D933="Entrée Retour"),K933+E933,K933-E933))</f>
        <v/>
      </c>
      <c r="P933">
        <f>IF(E933="","",IF(OR(D933="Entrée Achat",D933="Entrée Retour"),"✓ Validé",IF(D933="Sortie Perte","⚠️ Perte",IF(D933="Sortie Périmée","🔴 Périmé","✓ Validé"))))</f>
        <v/>
      </c>
    </row>
    <row r="934">
      <c r="A934" s="38" t="n"/>
      <c r="G934" s="8" t="n"/>
      <c r="H934" s="8">
        <f>IF(E934="","",E934*G934)</f>
        <v/>
      </c>
      <c r="J934" s="38" t="n"/>
      <c r="L934">
        <f>IF(D934="","",IF(OR(D934="Entrée Achat",D934="Entrée Retour"),K934+E934,K934-E934))</f>
        <v/>
      </c>
      <c r="P934">
        <f>IF(E934="","",IF(OR(D934="Entrée Achat",D934="Entrée Retour"),"✓ Validé",IF(D934="Sortie Perte","⚠️ Perte",IF(D934="Sortie Périmée","🔴 Périmé","✓ Validé"))))</f>
        <v/>
      </c>
    </row>
    <row r="935">
      <c r="A935" s="38" t="n"/>
      <c r="G935" s="8" t="n"/>
      <c r="H935" s="8">
        <f>IF(E935="","",E935*G935)</f>
        <v/>
      </c>
      <c r="J935" s="38" t="n"/>
      <c r="L935">
        <f>IF(D935="","",IF(OR(D935="Entrée Achat",D935="Entrée Retour"),K935+E935,K935-E935))</f>
        <v/>
      </c>
      <c r="P935">
        <f>IF(E935="","",IF(OR(D935="Entrée Achat",D935="Entrée Retour"),"✓ Validé",IF(D935="Sortie Perte","⚠️ Perte",IF(D935="Sortie Périmée","🔴 Périmé","✓ Validé"))))</f>
        <v/>
      </c>
    </row>
    <row r="936">
      <c r="A936" s="38" t="n"/>
      <c r="G936" s="8" t="n"/>
      <c r="H936" s="8">
        <f>IF(E936="","",E936*G936)</f>
        <v/>
      </c>
      <c r="J936" s="38" t="n"/>
      <c r="L936">
        <f>IF(D936="","",IF(OR(D936="Entrée Achat",D936="Entrée Retour"),K936+E936,K936-E936))</f>
        <v/>
      </c>
      <c r="P936">
        <f>IF(E936="","",IF(OR(D936="Entrée Achat",D936="Entrée Retour"),"✓ Validé",IF(D936="Sortie Perte","⚠️ Perte",IF(D936="Sortie Périmée","🔴 Périmé","✓ Validé"))))</f>
        <v/>
      </c>
    </row>
    <row r="937">
      <c r="A937" s="38" t="n"/>
      <c r="G937" s="8" t="n"/>
      <c r="H937" s="8">
        <f>IF(E937="","",E937*G937)</f>
        <v/>
      </c>
      <c r="J937" s="38" t="n"/>
      <c r="L937">
        <f>IF(D937="","",IF(OR(D937="Entrée Achat",D937="Entrée Retour"),K937+E937,K937-E937))</f>
        <v/>
      </c>
      <c r="P937">
        <f>IF(E937="","",IF(OR(D937="Entrée Achat",D937="Entrée Retour"),"✓ Validé",IF(D937="Sortie Perte","⚠️ Perte",IF(D937="Sortie Périmée","🔴 Périmé","✓ Validé"))))</f>
        <v/>
      </c>
    </row>
    <row r="938">
      <c r="A938" s="38" t="n"/>
      <c r="G938" s="8" t="n"/>
      <c r="H938" s="8">
        <f>IF(E938="","",E938*G938)</f>
        <v/>
      </c>
      <c r="J938" s="38" t="n"/>
      <c r="L938">
        <f>IF(D938="","",IF(OR(D938="Entrée Achat",D938="Entrée Retour"),K938+E938,K938-E938))</f>
        <v/>
      </c>
      <c r="P938">
        <f>IF(E938="","",IF(OR(D938="Entrée Achat",D938="Entrée Retour"),"✓ Validé",IF(D938="Sortie Perte","⚠️ Perte",IF(D938="Sortie Périmée","🔴 Périmé","✓ Validé"))))</f>
        <v/>
      </c>
    </row>
    <row r="939">
      <c r="A939" s="38" t="n"/>
      <c r="G939" s="8" t="n"/>
      <c r="H939" s="8">
        <f>IF(E939="","",E939*G939)</f>
        <v/>
      </c>
      <c r="J939" s="38" t="n"/>
      <c r="L939">
        <f>IF(D939="","",IF(OR(D939="Entrée Achat",D939="Entrée Retour"),K939+E939,K939-E939))</f>
        <v/>
      </c>
      <c r="P939">
        <f>IF(E939="","",IF(OR(D939="Entrée Achat",D939="Entrée Retour"),"✓ Validé",IF(D939="Sortie Perte","⚠️ Perte",IF(D939="Sortie Périmée","🔴 Périmé","✓ Validé"))))</f>
        <v/>
      </c>
    </row>
    <row r="940">
      <c r="A940" s="38" t="n"/>
      <c r="G940" s="8" t="n"/>
      <c r="H940" s="8">
        <f>IF(E940="","",E940*G940)</f>
        <v/>
      </c>
      <c r="J940" s="38" t="n"/>
      <c r="L940">
        <f>IF(D940="","",IF(OR(D940="Entrée Achat",D940="Entrée Retour"),K940+E940,K940-E940))</f>
        <v/>
      </c>
      <c r="P940">
        <f>IF(E940="","",IF(OR(D940="Entrée Achat",D940="Entrée Retour"),"✓ Validé",IF(D940="Sortie Perte","⚠️ Perte",IF(D940="Sortie Périmée","🔴 Périmé","✓ Validé"))))</f>
        <v/>
      </c>
    </row>
    <row r="941">
      <c r="A941" s="38" t="n"/>
      <c r="G941" s="8" t="n"/>
      <c r="H941" s="8">
        <f>IF(E941="","",E941*G941)</f>
        <v/>
      </c>
      <c r="J941" s="38" t="n"/>
      <c r="L941">
        <f>IF(D941="","",IF(OR(D941="Entrée Achat",D941="Entrée Retour"),K941+E941,K941-E941))</f>
        <v/>
      </c>
      <c r="P941">
        <f>IF(E941="","",IF(OR(D941="Entrée Achat",D941="Entrée Retour"),"✓ Validé",IF(D941="Sortie Perte","⚠️ Perte",IF(D941="Sortie Périmée","🔴 Périmé","✓ Validé"))))</f>
        <v/>
      </c>
    </row>
    <row r="942">
      <c r="A942" s="38" t="n"/>
      <c r="G942" s="8" t="n"/>
      <c r="H942" s="8">
        <f>IF(E942="","",E942*G942)</f>
        <v/>
      </c>
      <c r="J942" s="38" t="n"/>
      <c r="L942">
        <f>IF(D942="","",IF(OR(D942="Entrée Achat",D942="Entrée Retour"),K942+E942,K942-E942))</f>
        <v/>
      </c>
      <c r="P942">
        <f>IF(E942="","",IF(OR(D942="Entrée Achat",D942="Entrée Retour"),"✓ Validé",IF(D942="Sortie Perte","⚠️ Perte",IF(D942="Sortie Périmée","🔴 Périmé","✓ Validé"))))</f>
        <v/>
      </c>
    </row>
    <row r="943">
      <c r="A943" s="38" t="n"/>
      <c r="G943" s="8" t="n"/>
      <c r="H943" s="8">
        <f>IF(E943="","",E943*G943)</f>
        <v/>
      </c>
      <c r="J943" s="38" t="n"/>
      <c r="L943">
        <f>IF(D943="","",IF(OR(D943="Entrée Achat",D943="Entrée Retour"),K943+E943,K943-E943))</f>
        <v/>
      </c>
      <c r="P943">
        <f>IF(E943="","",IF(OR(D943="Entrée Achat",D943="Entrée Retour"),"✓ Validé",IF(D943="Sortie Perte","⚠️ Perte",IF(D943="Sortie Périmée","🔴 Périmé","✓ Validé"))))</f>
        <v/>
      </c>
    </row>
    <row r="944">
      <c r="A944" s="38" t="n"/>
      <c r="G944" s="8" t="n"/>
      <c r="H944" s="8">
        <f>IF(E944="","",E944*G944)</f>
        <v/>
      </c>
      <c r="J944" s="38" t="n"/>
      <c r="L944">
        <f>IF(D944="","",IF(OR(D944="Entrée Achat",D944="Entrée Retour"),K944+E944,K944-E944))</f>
        <v/>
      </c>
      <c r="P944">
        <f>IF(E944="","",IF(OR(D944="Entrée Achat",D944="Entrée Retour"),"✓ Validé",IF(D944="Sortie Perte","⚠️ Perte",IF(D944="Sortie Périmée","🔴 Périmé","✓ Validé"))))</f>
        <v/>
      </c>
    </row>
    <row r="945">
      <c r="A945" s="38" t="n"/>
      <c r="G945" s="8" t="n"/>
      <c r="H945" s="8">
        <f>IF(E945="","",E945*G945)</f>
        <v/>
      </c>
      <c r="J945" s="38" t="n"/>
      <c r="L945">
        <f>IF(D945="","",IF(OR(D945="Entrée Achat",D945="Entrée Retour"),K945+E945,K945-E945))</f>
        <v/>
      </c>
      <c r="P945">
        <f>IF(E945="","",IF(OR(D945="Entrée Achat",D945="Entrée Retour"),"✓ Validé",IF(D945="Sortie Perte","⚠️ Perte",IF(D945="Sortie Périmée","🔴 Périmé","✓ Validé"))))</f>
        <v/>
      </c>
    </row>
    <row r="946">
      <c r="A946" s="38" t="n"/>
      <c r="G946" s="8" t="n"/>
      <c r="H946" s="8">
        <f>IF(E946="","",E946*G946)</f>
        <v/>
      </c>
      <c r="J946" s="38" t="n"/>
      <c r="L946">
        <f>IF(D946="","",IF(OR(D946="Entrée Achat",D946="Entrée Retour"),K946+E946,K946-E946))</f>
        <v/>
      </c>
      <c r="P946">
        <f>IF(E946="","",IF(OR(D946="Entrée Achat",D946="Entrée Retour"),"✓ Validé",IF(D946="Sortie Perte","⚠️ Perte",IF(D946="Sortie Périmée","🔴 Périmé","✓ Validé"))))</f>
        <v/>
      </c>
    </row>
    <row r="947">
      <c r="A947" s="38" t="n"/>
      <c r="G947" s="8" t="n"/>
      <c r="H947" s="8">
        <f>IF(E947="","",E947*G947)</f>
        <v/>
      </c>
      <c r="J947" s="38" t="n"/>
      <c r="L947">
        <f>IF(D947="","",IF(OR(D947="Entrée Achat",D947="Entrée Retour"),K947+E947,K947-E947))</f>
        <v/>
      </c>
      <c r="P947">
        <f>IF(E947="","",IF(OR(D947="Entrée Achat",D947="Entrée Retour"),"✓ Validé",IF(D947="Sortie Perte","⚠️ Perte",IF(D947="Sortie Périmée","🔴 Périmé","✓ Validé"))))</f>
        <v/>
      </c>
    </row>
    <row r="948">
      <c r="A948" s="38" t="n"/>
      <c r="G948" s="8" t="n"/>
      <c r="H948" s="8">
        <f>IF(E948="","",E948*G948)</f>
        <v/>
      </c>
      <c r="J948" s="38" t="n"/>
      <c r="L948">
        <f>IF(D948="","",IF(OR(D948="Entrée Achat",D948="Entrée Retour"),K948+E948,K948-E948))</f>
        <v/>
      </c>
      <c r="P948">
        <f>IF(E948="","",IF(OR(D948="Entrée Achat",D948="Entrée Retour"),"✓ Validé",IF(D948="Sortie Perte","⚠️ Perte",IF(D948="Sortie Périmée","🔴 Périmé","✓ Validé"))))</f>
        <v/>
      </c>
    </row>
    <row r="949">
      <c r="A949" s="38" t="n"/>
      <c r="G949" s="8" t="n"/>
      <c r="H949" s="8">
        <f>IF(E949="","",E949*G949)</f>
        <v/>
      </c>
      <c r="J949" s="38" t="n"/>
      <c r="L949">
        <f>IF(D949="","",IF(OR(D949="Entrée Achat",D949="Entrée Retour"),K949+E949,K949-E949))</f>
        <v/>
      </c>
      <c r="P949">
        <f>IF(E949="","",IF(OR(D949="Entrée Achat",D949="Entrée Retour"),"✓ Validé",IF(D949="Sortie Perte","⚠️ Perte",IF(D949="Sortie Périmée","🔴 Périmé","✓ Validé"))))</f>
        <v/>
      </c>
    </row>
    <row r="950">
      <c r="A950" s="38" t="n"/>
      <c r="G950" s="8" t="n"/>
      <c r="H950" s="8">
        <f>IF(E950="","",E950*G950)</f>
        <v/>
      </c>
      <c r="J950" s="38" t="n"/>
      <c r="L950">
        <f>IF(D950="","",IF(OR(D950="Entrée Achat",D950="Entrée Retour"),K950+E950,K950-E950))</f>
        <v/>
      </c>
      <c r="P950">
        <f>IF(E950="","",IF(OR(D950="Entrée Achat",D950="Entrée Retour"),"✓ Validé",IF(D950="Sortie Perte","⚠️ Perte",IF(D950="Sortie Périmée","🔴 Périmé","✓ Validé"))))</f>
        <v/>
      </c>
    </row>
    <row r="951">
      <c r="A951" s="38" t="n"/>
      <c r="G951" s="8" t="n"/>
      <c r="H951" s="8">
        <f>IF(E951="","",E951*G951)</f>
        <v/>
      </c>
      <c r="J951" s="38" t="n"/>
      <c r="L951">
        <f>IF(D951="","",IF(OR(D951="Entrée Achat",D951="Entrée Retour"),K951+E951,K951-E951))</f>
        <v/>
      </c>
      <c r="P951">
        <f>IF(E951="","",IF(OR(D951="Entrée Achat",D951="Entrée Retour"),"✓ Validé",IF(D951="Sortie Perte","⚠️ Perte",IF(D951="Sortie Périmée","🔴 Périmé","✓ Validé"))))</f>
        <v/>
      </c>
    </row>
    <row r="952">
      <c r="A952" s="38" t="n"/>
      <c r="G952" s="8" t="n"/>
      <c r="H952" s="8">
        <f>IF(E952="","",E952*G952)</f>
        <v/>
      </c>
      <c r="J952" s="38" t="n"/>
      <c r="L952">
        <f>IF(D952="","",IF(OR(D952="Entrée Achat",D952="Entrée Retour"),K952+E952,K952-E952))</f>
        <v/>
      </c>
      <c r="P952">
        <f>IF(E952="","",IF(OR(D952="Entrée Achat",D952="Entrée Retour"),"✓ Validé",IF(D952="Sortie Perte","⚠️ Perte",IF(D952="Sortie Périmée","🔴 Périmé","✓ Validé"))))</f>
        <v/>
      </c>
    </row>
    <row r="953">
      <c r="A953" s="38" t="n"/>
      <c r="G953" s="8" t="n"/>
      <c r="H953" s="8">
        <f>IF(E953="","",E953*G953)</f>
        <v/>
      </c>
      <c r="J953" s="38" t="n"/>
      <c r="L953">
        <f>IF(D953="","",IF(OR(D953="Entrée Achat",D953="Entrée Retour"),K953+E953,K953-E953))</f>
        <v/>
      </c>
      <c r="P953">
        <f>IF(E953="","",IF(OR(D953="Entrée Achat",D953="Entrée Retour"),"✓ Validé",IF(D953="Sortie Perte","⚠️ Perte",IF(D953="Sortie Périmée","🔴 Périmé","✓ Validé"))))</f>
        <v/>
      </c>
    </row>
    <row r="954">
      <c r="A954" s="38" t="n"/>
      <c r="G954" s="8" t="n"/>
      <c r="H954" s="8">
        <f>IF(E954="","",E954*G954)</f>
        <v/>
      </c>
      <c r="J954" s="38" t="n"/>
      <c r="L954">
        <f>IF(D954="","",IF(OR(D954="Entrée Achat",D954="Entrée Retour"),K954+E954,K954-E954))</f>
        <v/>
      </c>
      <c r="P954">
        <f>IF(E954="","",IF(OR(D954="Entrée Achat",D954="Entrée Retour"),"✓ Validé",IF(D954="Sortie Perte","⚠️ Perte",IF(D954="Sortie Périmée","🔴 Périmé","✓ Validé"))))</f>
        <v/>
      </c>
    </row>
    <row r="955">
      <c r="A955" s="38" t="n"/>
      <c r="G955" s="8" t="n"/>
      <c r="H955" s="8">
        <f>IF(E955="","",E955*G955)</f>
        <v/>
      </c>
      <c r="J955" s="38" t="n"/>
      <c r="L955">
        <f>IF(D955="","",IF(OR(D955="Entrée Achat",D955="Entrée Retour"),K955+E955,K955-E955))</f>
        <v/>
      </c>
      <c r="P955">
        <f>IF(E955="","",IF(OR(D955="Entrée Achat",D955="Entrée Retour"),"✓ Validé",IF(D955="Sortie Perte","⚠️ Perte",IF(D955="Sortie Périmée","🔴 Périmé","✓ Validé"))))</f>
        <v/>
      </c>
    </row>
    <row r="956">
      <c r="A956" s="38" t="n"/>
      <c r="G956" s="8" t="n"/>
      <c r="H956" s="8">
        <f>IF(E956="","",E956*G956)</f>
        <v/>
      </c>
      <c r="J956" s="38" t="n"/>
      <c r="L956">
        <f>IF(D956="","",IF(OR(D956="Entrée Achat",D956="Entrée Retour"),K956+E956,K956-E956))</f>
        <v/>
      </c>
      <c r="P956">
        <f>IF(E956="","",IF(OR(D956="Entrée Achat",D956="Entrée Retour"),"✓ Validé",IF(D956="Sortie Perte","⚠️ Perte",IF(D956="Sortie Périmée","🔴 Périmé","✓ Validé"))))</f>
        <v/>
      </c>
    </row>
    <row r="957">
      <c r="A957" s="38" t="n"/>
      <c r="G957" s="8" t="n"/>
      <c r="H957" s="8">
        <f>IF(E957="","",E957*G957)</f>
        <v/>
      </c>
      <c r="J957" s="38" t="n"/>
      <c r="L957">
        <f>IF(D957="","",IF(OR(D957="Entrée Achat",D957="Entrée Retour"),K957+E957,K957-E957))</f>
        <v/>
      </c>
      <c r="P957">
        <f>IF(E957="","",IF(OR(D957="Entrée Achat",D957="Entrée Retour"),"✓ Validé",IF(D957="Sortie Perte","⚠️ Perte",IF(D957="Sortie Périmée","🔴 Périmé","✓ Validé"))))</f>
        <v/>
      </c>
    </row>
    <row r="958">
      <c r="A958" s="38" t="n"/>
      <c r="G958" s="8" t="n"/>
      <c r="H958" s="8">
        <f>IF(E958="","",E958*G958)</f>
        <v/>
      </c>
      <c r="J958" s="38" t="n"/>
      <c r="L958">
        <f>IF(D958="","",IF(OR(D958="Entrée Achat",D958="Entrée Retour"),K958+E958,K958-E958))</f>
        <v/>
      </c>
      <c r="P958">
        <f>IF(E958="","",IF(OR(D958="Entrée Achat",D958="Entrée Retour"),"✓ Validé",IF(D958="Sortie Perte","⚠️ Perte",IF(D958="Sortie Périmée","🔴 Périmé","✓ Validé"))))</f>
        <v/>
      </c>
    </row>
    <row r="959">
      <c r="A959" s="38" t="n"/>
      <c r="G959" s="8" t="n"/>
      <c r="H959" s="8">
        <f>IF(E959="","",E959*G959)</f>
        <v/>
      </c>
      <c r="J959" s="38" t="n"/>
      <c r="L959">
        <f>IF(D959="","",IF(OR(D959="Entrée Achat",D959="Entrée Retour"),K959+E959,K959-E959))</f>
        <v/>
      </c>
      <c r="P959">
        <f>IF(E959="","",IF(OR(D959="Entrée Achat",D959="Entrée Retour"),"✓ Validé",IF(D959="Sortie Perte","⚠️ Perte",IF(D959="Sortie Périmée","🔴 Périmé","✓ Validé"))))</f>
        <v/>
      </c>
    </row>
    <row r="960">
      <c r="A960" s="38" t="n"/>
      <c r="G960" s="8" t="n"/>
      <c r="H960" s="8">
        <f>IF(E960="","",E960*G960)</f>
        <v/>
      </c>
      <c r="J960" s="38" t="n"/>
      <c r="L960">
        <f>IF(D960="","",IF(OR(D960="Entrée Achat",D960="Entrée Retour"),K960+E960,K960-E960))</f>
        <v/>
      </c>
      <c r="P960">
        <f>IF(E960="","",IF(OR(D960="Entrée Achat",D960="Entrée Retour"),"✓ Validé",IF(D960="Sortie Perte","⚠️ Perte",IF(D960="Sortie Périmée","🔴 Périmé","✓ Validé"))))</f>
        <v/>
      </c>
    </row>
    <row r="961">
      <c r="A961" s="38" t="n"/>
      <c r="G961" s="8" t="n"/>
      <c r="H961" s="8">
        <f>IF(E961="","",E961*G961)</f>
        <v/>
      </c>
      <c r="J961" s="38" t="n"/>
      <c r="L961">
        <f>IF(D961="","",IF(OR(D961="Entrée Achat",D961="Entrée Retour"),K961+E961,K961-E961))</f>
        <v/>
      </c>
      <c r="P961">
        <f>IF(E961="","",IF(OR(D961="Entrée Achat",D961="Entrée Retour"),"✓ Validé",IF(D961="Sortie Perte","⚠️ Perte",IF(D961="Sortie Périmée","🔴 Périmé","✓ Validé"))))</f>
        <v/>
      </c>
    </row>
    <row r="962">
      <c r="A962" s="38" t="n"/>
      <c r="G962" s="8" t="n"/>
      <c r="H962" s="8">
        <f>IF(E962="","",E962*G962)</f>
        <v/>
      </c>
      <c r="J962" s="38" t="n"/>
      <c r="L962">
        <f>IF(D962="","",IF(OR(D962="Entrée Achat",D962="Entrée Retour"),K962+E962,K962-E962))</f>
        <v/>
      </c>
      <c r="P962">
        <f>IF(E962="","",IF(OR(D962="Entrée Achat",D962="Entrée Retour"),"✓ Validé",IF(D962="Sortie Perte","⚠️ Perte",IF(D962="Sortie Périmée","🔴 Périmé","✓ Validé"))))</f>
        <v/>
      </c>
    </row>
    <row r="963">
      <c r="A963" s="38" t="n"/>
      <c r="G963" s="8" t="n"/>
      <c r="H963" s="8">
        <f>IF(E963="","",E963*G963)</f>
        <v/>
      </c>
      <c r="J963" s="38" t="n"/>
      <c r="L963">
        <f>IF(D963="","",IF(OR(D963="Entrée Achat",D963="Entrée Retour"),K963+E963,K963-E963))</f>
        <v/>
      </c>
      <c r="P963">
        <f>IF(E963="","",IF(OR(D963="Entrée Achat",D963="Entrée Retour"),"✓ Validé",IF(D963="Sortie Perte","⚠️ Perte",IF(D963="Sortie Périmée","🔴 Périmé","✓ Validé"))))</f>
        <v/>
      </c>
    </row>
    <row r="964">
      <c r="A964" s="38" t="n"/>
      <c r="G964" s="8" t="n"/>
      <c r="H964" s="8">
        <f>IF(E964="","",E964*G964)</f>
        <v/>
      </c>
      <c r="J964" s="38" t="n"/>
      <c r="L964">
        <f>IF(D964="","",IF(OR(D964="Entrée Achat",D964="Entrée Retour"),K964+E964,K964-E964))</f>
        <v/>
      </c>
      <c r="P964">
        <f>IF(E964="","",IF(OR(D964="Entrée Achat",D964="Entrée Retour"),"✓ Validé",IF(D964="Sortie Perte","⚠️ Perte",IF(D964="Sortie Périmée","🔴 Périmé","✓ Validé"))))</f>
        <v/>
      </c>
    </row>
    <row r="965">
      <c r="A965" s="38" t="n"/>
      <c r="G965" s="8" t="n"/>
      <c r="H965" s="8">
        <f>IF(E965="","",E965*G965)</f>
        <v/>
      </c>
      <c r="J965" s="38" t="n"/>
      <c r="L965">
        <f>IF(D965="","",IF(OR(D965="Entrée Achat",D965="Entrée Retour"),K965+E965,K965-E965))</f>
        <v/>
      </c>
      <c r="P965">
        <f>IF(E965="","",IF(OR(D965="Entrée Achat",D965="Entrée Retour"),"✓ Validé",IF(D965="Sortie Perte","⚠️ Perte",IF(D965="Sortie Périmée","🔴 Périmé","✓ Validé"))))</f>
        <v/>
      </c>
    </row>
    <row r="966">
      <c r="A966" s="38" t="n"/>
      <c r="G966" s="8" t="n"/>
      <c r="H966" s="8">
        <f>IF(E966="","",E966*G966)</f>
        <v/>
      </c>
      <c r="J966" s="38" t="n"/>
      <c r="L966">
        <f>IF(D966="","",IF(OR(D966="Entrée Achat",D966="Entrée Retour"),K966+E966,K966-E966))</f>
        <v/>
      </c>
      <c r="P966">
        <f>IF(E966="","",IF(OR(D966="Entrée Achat",D966="Entrée Retour"),"✓ Validé",IF(D966="Sortie Perte","⚠️ Perte",IF(D966="Sortie Périmée","🔴 Périmé","✓ Validé"))))</f>
        <v/>
      </c>
    </row>
    <row r="967">
      <c r="A967" s="38" t="n"/>
      <c r="G967" s="8" t="n"/>
      <c r="H967" s="8">
        <f>IF(E967="","",E967*G967)</f>
        <v/>
      </c>
      <c r="J967" s="38" t="n"/>
      <c r="L967">
        <f>IF(D967="","",IF(OR(D967="Entrée Achat",D967="Entrée Retour"),K967+E967,K967-E967))</f>
        <v/>
      </c>
      <c r="P967">
        <f>IF(E967="","",IF(OR(D967="Entrée Achat",D967="Entrée Retour"),"✓ Validé",IF(D967="Sortie Perte","⚠️ Perte",IF(D967="Sortie Périmée","🔴 Périmé","✓ Validé"))))</f>
        <v/>
      </c>
    </row>
    <row r="968">
      <c r="A968" s="38" t="n"/>
      <c r="G968" s="8" t="n"/>
      <c r="H968" s="8">
        <f>IF(E968="","",E968*G968)</f>
        <v/>
      </c>
      <c r="J968" s="38" t="n"/>
      <c r="L968">
        <f>IF(D968="","",IF(OR(D968="Entrée Achat",D968="Entrée Retour"),K968+E968,K968-E968))</f>
        <v/>
      </c>
      <c r="P968">
        <f>IF(E968="","",IF(OR(D968="Entrée Achat",D968="Entrée Retour"),"✓ Validé",IF(D968="Sortie Perte","⚠️ Perte",IF(D968="Sortie Périmée","🔴 Périmé","✓ Validé"))))</f>
        <v/>
      </c>
    </row>
    <row r="969">
      <c r="A969" s="38" t="n"/>
      <c r="G969" s="8" t="n"/>
      <c r="H969" s="8">
        <f>IF(E969="","",E969*G969)</f>
        <v/>
      </c>
      <c r="J969" s="38" t="n"/>
      <c r="L969">
        <f>IF(D969="","",IF(OR(D969="Entrée Achat",D969="Entrée Retour"),K969+E969,K969-E969))</f>
        <v/>
      </c>
      <c r="P969">
        <f>IF(E969="","",IF(OR(D969="Entrée Achat",D969="Entrée Retour"),"✓ Validé",IF(D969="Sortie Perte","⚠️ Perte",IF(D969="Sortie Périmée","🔴 Périmé","✓ Validé"))))</f>
        <v/>
      </c>
    </row>
    <row r="970">
      <c r="A970" s="38" t="n"/>
      <c r="G970" s="8" t="n"/>
      <c r="H970" s="8">
        <f>IF(E970="","",E970*G970)</f>
        <v/>
      </c>
      <c r="J970" s="38" t="n"/>
      <c r="L970">
        <f>IF(D970="","",IF(OR(D970="Entrée Achat",D970="Entrée Retour"),K970+E970,K970-E970))</f>
        <v/>
      </c>
      <c r="P970">
        <f>IF(E970="","",IF(OR(D970="Entrée Achat",D970="Entrée Retour"),"✓ Validé",IF(D970="Sortie Perte","⚠️ Perte",IF(D970="Sortie Périmée","🔴 Périmé","✓ Validé"))))</f>
        <v/>
      </c>
    </row>
    <row r="971">
      <c r="A971" s="38" t="n"/>
      <c r="G971" s="8" t="n"/>
      <c r="H971" s="8">
        <f>IF(E971="","",E971*G971)</f>
        <v/>
      </c>
      <c r="J971" s="38" t="n"/>
      <c r="L971">
        <f>IF(D971="","",IF(OR(D971="Entrée Achat",D971="Entrée Retour"),K971+E971,K971-E971))</f>
        <v/>
      </c>
      <c r="P971">
        <f>IF(E971="","",IF(OR(D971="Entrée Achat",D971="Entrée Retour"),"✓ Validé",IF(D971="Sortie Perte","⚠️ Perte",IF(D971="Sortie Périmée","🔴 Périmé","✓ Validé"))))</f>
        <v/>
      </c>
    </row>
    <row r="972">
      <c r="A972" s="38" t="n"/>
      <c r="G972" s="8" t="n"/>
      <c r="H972" s="8">
        <f>IF(E972="","",E972*G972)</f>
        <v/>
      </c>
      <c r="J972" s="38" t="n"/>
      <c r="L972">
        <f>IF(D972="","",IF(OR(D972="Entrée Achat",D972="Entrée Retour"),K972+E972,K972-E972))</f>
        <v/>
      </c>
      <c r="P972">
        <f>IF(E972="","",IF(OR(D972="Entrée Achat",D972="Entrée Retour"),"✓ Validé",IF(D972="Sortie Perte","⚠️ Perte",IF(D972="Sortie Périmée","🔴 Périmé","✓ Validé"))))</f>
        <v/>
      </c>
    </row>
    <row r="973">
      <c r="A973" s="38" t="n"/>
      <c r="G973" s="8" t="n"/>
      <c r="H973" s="8">
        <f>IF(E973="","",E973*G973)</f>
        <v/>
      </c>
      <c r="J973" s="38" t="n"/>
      <c r="L973">
        <f>IF(D973="","",IF(OR(D973="Entrée Achat",D973="Entrée Retour"),K973+E973,K973-E973))</f>
        <v/>
      </c>
      <c r="P973">
        <f>IF(E973="","",IF(OR(D973="Entrée Achat",D973="Entrée Retour"),"✓ Validé",IF(D973="Sortie Perte","⚠️ Perte",IF(D973="Sortie Périmée","🔴 Périmé","✓ Validé"))))</f>
        <v/>
      </c>
    </row>
    <row r="974">
      <c r="A974" s="38" t="n"/>
      <c r="G974" s="8" t="n"/>
      <c r="H974" s="8">
        <f>IF(E974="","",E974*G974)</f>
        <v/>
      </c>
      <c r="J974" s="38" t="n"/>
      <c r="L974">
        <f>IF(D974="","",IF(OR(D974="Entrée Achat",D974="Entrée Retour"),K974+E974,K974-E974))</f>
        <v/>
      </c>
      <c r="P974">
        <f>IF(E974="","",IF(OR(D974="Entrée Achat",D974="Entrée Retour"),"✓ Validé",IF(D974="Sortie Perte","⚠️ Perte",IF(D974="Sortie Périmée","🔴 Périmé","✓ Validé"))))</f>
        <v/>
      </c>
    </row>
    <row r="975">
      <c r="A975" s="38" t="n"/>
      <c r="G975" s="8" t="n"/>
      <c r="H975" s="8">
        <f>IF(E975="","",E975*G975)</f>
        <v/>
      </c>
      <c r="J975" s="38" t="n"/>
      <c r="L975">
        <f>IF(D975="","",IF(OR(D975="Entrée Achat",D975="Entrée Retour"),K975+E975,K975-E975))</f>
        <v/>
      </c>
      <c r="P975">
        <f>IF(E975="","",IF(OR(D975="Entrée Achat",D975="Entrée Retour"),"✓ Validé",IF(D975="Sortie Perte","⚠️ Perte",IF(D975="Sortie Périmée","🔴 Périmé","✓ Validé"))))</f>
        <v/>
      </c>
    </row>
    <row r="976">
      <c r="A976" s="38" t="n"/>
      <c r="G976" s="8" t="n"/>
      <c r="H976" s="8">
        <f>IF(E976="","",E976*G976)</f>
        <v/>
      </c>
      <c r="J976" s="38" t="n"/>
      <c r="L976">
        <f>IF(D976="","",IF(OR(D976="Entrée Achat",D976="Entrée Retour"),K976+E976,K976-E976))</f>
        <v/>
      </c>
      <c r="P976">
        <f>IF(E976="","",IF(OR(D976="Entrée Achat",D976="Entrée Retour"),"✓ Validé",IF(D976="Sortie Perte","⚠️ Perte",IF(D976="Sortie Périmée","🔴 Périmé","✓ Validé"))))</f>
        <v/>
      </c>
    </row>
    <row r="977">
      <c r="A977" s="38" t="n"/>
      <c r="G977" s="8" t="n"/>
      <c r="H977" s="8">
        <f>IF(E977="","",E977*G977)</f>
        <v/>
      </c>
      <c r="J977" s="38" t="n"/>
      <c r="L977">
        <f>IF(D977="","",IF(OR(D977="Entrée Achat",D977="Entrée Retour"),K977+E977,K977-E977))</f>
        <v/>
      </c>
      <c r="P977">
        <f>IF(E977="","",IF(OR(D977="Entrée Achat",D977="Entrée Retour"),"✓ Validé",IF(D977="Sortie Perte","⚠️ Perte",IF(D977="Sortie Périmée","🔴 Périmé","✓ Validé"))))</f>
        <v/>
      </c>
    </row>
    <row r="978">
      <c r="A978" s="38" t="n"/>
      <c r="G978" s="8" t="n"/>
      <c r="H978" s="8">
        <f>IF(E978="","",E978*G978)</f>
        <v/>
      </c>
      <c r="J978" s="38" t="n"/>
      <c r="L978">
        <f>IF(D978="","",IF(OR(D978="Entrée Achat",D978="Entrée Retour"),K978+E978,K978-E978))</f>
        <v/>
      </c>
      <c r="P978">
        <f>IF(E978="","",IF(OR(D978="Entrée Achat",D978="Entrée Retour"),"✓ Validé",IF(D978="Sortie Perte","⚠️ Perte",IF(D978="Sortie Périmée","🔴 Périmé","✓ Validé"))))</f>
        <v/>
      </c>
    </row>
    <row r="979">
      <c r="A979" s="38" t="n"/>
      <c r="G979" s="8" t="n"/>
      <c r="H979" s="8">
        <f>IF(E979="","",E979*G979)</f>
        <v/>
      </c>
      <c r="J979" s="38" t="n"/>
      <c r="L979">
        <f>IF(D979="","",IF(OR(D979="Entrée Achat",D979="Entrée Retour"),K979+E979,K979-E979))</f>
        <v/>
      </c>
      <c r="P979">
        <f>IF(E979="","",IF(OR(D979="Entrée Achat",D979="Entrée Retour"),"✓ Validé",IF(D979="Sortie Perte","⚠️ Perte",IF(D979="Sortie Périmée","🔴 Périmé","✓ Validé"))))</f>
        <v/>
      </c>
    </row>
    <row r="980">
      <c r="A980" s="38" t="n"/>
      <c r="G980" s="8" t="n"/>
      <c r="H980" s="8">
        <f>IF(E980="","",E980*G980)</f>
        <v/>
      </c>
      <c r="J980" s="38" t="n"/>
      <c r="L980">
        <f>IF(D980="","",IF(OR(D980="Entrée Achat",D980="Entrée Retour"),K980+E980,K980-E980))</f>
        <v/>
      </c>
      <c r="P980">
        <f>IF(E980="","",IF(OR(D980="Entrée Achat",D980="Entrée Retour"),"✓ Validé",IF(D980="Sortie Perte","⚠️ Perte",IF(D980="Sortie Périmée","🔴 Périmé","✓ Validé"))))</f>
        <v/>
      </c>
    </row>
    <row r="981">
      <c r="A981" s="38" t="n"/>
      <c r="G981" s="8" t="n"/>
      <c r="H981" s="8">
        <f>IF(E981="","",E981*G981)</f>
        <v/>
      </c>
      <c r="J981" s="38" t="n"/>
      <c r="L981">
        <f>IF(D981="","",IF(OR(D981="Entrée Achat",D981="Entrée Retour"),K981+E981,K981-E981))</f>
        <v/>
      </c>
      <c r="P981">
        <f>IF(E981="","",IF(OR(D981="Entrée Achat",D981="Entrée Retour"),"✓ Validé",IF(D981="Sortie Perte","⚠️ Perte",IF(D981="Sortie Périmée","🔴 Périmé","✓ Validé"))))</f>
        <v/>
      </c>
    </row>
    <row r="982">
      <c r="A982" s="38" t="n"/>
      <c r="G982" s="8" t="n"/>
      <c r="H982" s="8">
        <f>IF(E982="","",E982*G982)</f>
        <v/>
      </c>
      <c r="J982" s="38" t="n"/>
      <c r="L982">
        <f>IF(D982="","",IF(OR(D982="Entrée Achat",D982="Entrée Retour"),K982+E982,K982-E982))</f>
        <v/>
      </c>
      <c r="P982">
        <f>IF(E982="","",IF(OR(D982="Entrée Achat",D982="Entrée Retour"),"✓ Validé",IF(D982="Sortie Perte","⚠️ Perte",IF(D982="Sortie Périmée","🔴 Périmé","✓ Validé"))))</f>
        <v/>
      </c>
    </row>
    <row r="983">
      <c r="A983" s="38" t="n"/>
      <c r="G983" s="8" t="n"/>
      <c r="H983" s="8">
        <f>IF(E983="","",E983*G983)</f>
        <v/>
      </c>
      <c r="J983" s="38" t="n"/>
      <c r="L983">
        <f>IF(D983="","",IF(OR(D983="Entrée Achat",D983="Entrée Retour"),K983+E983,K983-E983))</f>
        <v/>
      </c>
      <c r="P983">
        <f>IF(E983="","",IF(OR(D983="Entrée Achat",D983="Entrée Retour"),"✓ Validé",IF(D983="Sortie Perte","⚠️ Perte",IF(D983="Sortie Périmée","🔴 Périmé","✓ Validé"))))</f>
        <v/>
      </c>
    </row>
    <row r="984">
      <c r="A984" s="38" t="n"/>
      <c r="G984" s="8" t="n"/>
      <c r="H984" s="8">
        <f>IF(E984="","",E984*G984)</f>
        <v/>
      </c>
      <c r="J984" s="38" t="n"/>
      <c r="L984">
        <f>IF(D984="","",IF(OR(D984="Entrée Achat",D984="Entrée Retour"),K984+E984,K984-E984))</f>
        <v/>
      </c>
      <c r="P984">
        <f>IF(E984="","",IF(OR(D984="Entrée Achat",D984="Entrée Retour"),"✓ Validé",IF(D984="Sortie Perte","⚠️ Perte",IF(D984="Sortie Périmée","🔴 Périmé","✓ Validé"))))</f>
        <v/>
      </c>
    </row>
    <row r="985">
      <c r="A985" s="38" t="n"/>
      <c r="G985" s="8" t="n"/>
      <c r="H985" s="8">
        <f>IF(E985="","",E985*G985)</f>
        <v/>
      </c>
      <c r="J985" s="38" t="n"/>
      <c r="L985">
        <f>IF(D985="","",IF(OR(D985="Entrée Achat",D985="Entrée Retour"),K985+E985,K985-E985))</f>
        <v/>
      </c>
      <c r="P985">
        <f>IF(E985="","",IF(OR(D985="Entrée Achat",D985="Entrée Retour"),"✓ Validé",IF(D985="Sortie Perte","⚠️ Perte",IF(D985="Sortie Périmée","🔴 Périmé","✓ Validé"))))</f>
        <v/>
      </c>
    </row>
    <row r="986">
      <c r="A986" s="38" t="n"/>
      <c r="G986" s="8" t="n"/>
      <c r="H986" s="8">
        <f>IF(E986="","",E986*G986)</f>
        <v/>
      </c>
      <c r="J986" s="38" t="n"/>
      <c r="L986">
        <f>IF(D986="","",IF(OR(D986="Entrée Achat",D986="Entrée Retour"),K986+E986,K986-E986))</f>
        <v/>
      </c>
      <c r="P986">
        <f>IF(E986="","",IF(OR(D986="Entrée Achat",D986="Entrée Retour"),"✓ Validé",IF(D986="Sortie Perte","⚠️ Perte",IF(D986="Sortie Périmée","🔴 Périmé","✓ Validé"))))</f>
        <v/>
      </c>
    </row>
    <row r="987">
      <c r="A987" s="38" t="n"/>
      <c r="G987" s="8" t="n"/>
      <c r="H987" s="8">
        <f>IF(E987="","",E987*G987)</f>
        <v/>
      </c>
      <c r="J987" s="38" t="n"/>
      <c r="L987">
        <f>IF(D987="","",IF(OR(D987="Entrée Achat",D987="Entrée Retour"),K987+E987,K987-E987))</f>
        <v/>
      </c>
      <c r="P987">
        <f>IF(E987="","",IF(OR(D987="Entrée Achat",D987="Entrée Retour"),"✓ Validé",IF(D987="Sortie Perte","⚠️ Perte",IF(D987="Sortie Périmée","🔴 Périmé","✓ Validé"))))</f>
        <v/>
      </c>
    </row>
    <row r="988">
      <c r="A988" s="38" t="n"/>
      <c r="G988" s="8" t="n"/>
      <c r="H988" s="8">
        <f>IF(E988="","",E988*G988)</f>
        <v/>
      </c>
      <c r="J988" s="38" t="n"/>
      <c r="L988">
        <f>IF(D988="","",IF(OR(D988="Entrée Achat",D988="Entrée Retour"),K988+E988,K988-E988))</f>
        <v/>
      </c>
      <c r="P988">
        <f>IF(E988="","",IF(OR(D988="Entrée Achat",D988="Entrée Retour"),"✓ Validé",IF(D988="Sortie Perte","⚠️ Perte",IF(D988="Sortie Périmée","🔴 Périmé","✓ Validé"))))</f>
        <v/>
      </c>
    </row>
    <row r="989">
      <c r="A989" s="38" t="n"/>
      <c r="G989" s="8" t="n"/>
      <c r="H989" s="8">
        <f>IF(E989="","",E989*G989)</f>
        <v/>
      </c>
      <c r="J989" s="38" t="n"/>
      <c r="L989">
        <f>IF(D989="","",IF(OR(D989="Entrée Achat",D989="Entrée Retour"),K989+E989,K989-E989))</f>
        <v/>
      </c>
      <c r="P989">
        <f>IF(E989="","",IF(OR(D989="Entrée Achat",D989="Entrée Retour"),"✓ Validé",IF(D989="Sortie Perte","⚠️ Perte",IF(D989="Sortie Périmée","🔴 Périmé","✓ Validé"))))</f>
        <v/>
      </c>
    </row>
    <row r="990">
      <c r="A990" s="38" t="n"/>
      <c r="G990" s="8" t="n"/>
      <c r="H990" s="8">
        <f>IF(E990="","",E990*G990)</f>
        <v/>
      </c>
      <c r="J990" s="38" t="n"/>
      <c r="L990">
        <f>IF(D990="","",IF(OR(D990="Entrée Achat",D990="Entrée Retour"),K990+E990,K990-E990))</f>
        <v/>
      </c>
      <c r="P990">
        <f>IF(E990="","",IF(OR(D990="Entrée Achat",D990="Entrée Retour"),"✓ Validé",IF(D990="Sortie Perte","⚠️ Perte",IF(D990="Sortie Périmée","🔴 Périmé","✓ Validé"))))</f>
        <v/>
      </c>
    </row>
    <row r="991">
      <c r="A991" s="38" t="n"/>
      <c r="G991" s="8" t="n"/>
      <c r="H991" s="8">
        <f>IF(E991="","",E991*G991)</f>
        <v/>
      </c>
      <c r="J991" s="38" t="n"/>
      <c r="L991">
        <f>IF(D991="","",IF(OR(D991="Entrée Achat",D991="Entrée Retour"),K991+E991,K991-E991))</f>
        <v/>
      </c>
      <c r="P991">
        <f>IF(E991="","",IF(OR(D991="Entrée Achat",D991="Entrée Retour"),"✓ Validé",IF(D991="Sortie Perte","⚠️ Perte",IF(D991="Sortie Périmée","🔴 Périmé","✓ Validé"))))</f>
        <v/>
      </c>
    </row>
    <row r="992">
      <c r="A992" s="38" t="n"/>
      <c r="G992" s="8" t="n"/>
      <c r="H992" s="8">
        <f>IF(E992="","",E992*G992)</f>
        <v/>
      </c>
      <c r="J992" s="38" t="n"/>
      <c r="L992">
        <f>IF(D992="","",IF(OR(D992="Entrée Achat",D992="Entrée Retour"),K992+E992,K992-E992))</f>
        <v/>
      </c>
      <c r="P992">
        <f>IF(E992="","",IF(OR(D992="Entrée Achat",D992="Entrée Retour"),"✓ Validé",IF(D992="Sortie Perte","⚠️ Perte",IF(D992="Sortie Périmée","🔴 Périmé","✓ Validé"))))</f>
        <v/>
      </c>
    </row>
    <row r="993">
      <c r="A993" s="38" t="n"/>
      <c r="G993" s="8" t="n"/>
      <c r="H993" s="8">
        <f>IF(E993="","",E993*G993)</f>
        <v/>
      </c>
      <c r="J993" s="38" t="n"/>
      <c r="L993">
        <f>IF(D993="","",IF(OR(D993="Entrée Achat",D993="Entrée Retour"),K993+E993,K993-E993))</f>
        <v/>
      </c>
      <c r="P993">
        <f>IF(E993="","",IF(OR(D993="Entrée Achat",D993="Entrée Retour"),"✓ Validé",IF(D993="Sortie Perte","⚠️ Perte",IF(D993="Sortie Périmée","🔴 Périmé","✓ Validé"))))</f>
        <v/>
      </c>
    </row>
    <row r="994">
      <c r="A994" s="38" t="n"/>
      <c r="G994" s="8" t="n"/>
      <c r="H994" s="8">
        <f>IF(E994="","",E994*G994)</f>
        <v/>
      </c>
      <c r="J994" s="38" t="n"/>
      <c r="L994">
        <f>IF(D994="","",IF(OR(D994="Entrée Achat",D994="Entrée Retour"),K994+E994,K994-E994))</f>
        <v/>
      </c>
      <c r="P994">
        <f>IF(E994="","",IF(OR(D994="Entrée Achat",D994="Entrée Retour"),"✓ Validé",IF(D994="Sortie Perte","⚠️ Perte",IF(D994="Sortie Périmée","🔴 Périmé","✓ Validé"))))</f>
        <v/>
      </c>
    </row>
    <row r="995">
      <c r="A995" s="38" t="n"/>
      <c r="G995" s="8" t="n"/>
      <c r="H995" s="8">
        <f>IF(E995="","",E995*G995)</f>
        <v/>
      </c>
      <c r="J995" s="38" t="n"/>
      <c r="L995">
        <f>IF(D995="","",IF(OR(D995="Entrée Achat",D995="Entrée Retour"),K995+E995,K995-E995))</f>
        <v/>
      </c>
      <c r="P995">
        <f>IF(E995="","",IF(OR(D995="Entrée Achat",D995="Entrée Retour"),"✓ Validé",IF(D995="Sortie Perte","⚠️ Perte",IF(D995="Sortie Périmée","🔴 Périmé","✓ Validé"))))</f>
        <v/>
      </c>
    </row>
    <row r="996">
      <c r="A996" s="38" t="n"/>
      <c r="G996" s="8" t="n"/>
      <c r="H996" s="8">
        <f>IF(E996="","",E996*G996)</f>
        <v/>
      </c>
      <c r="J996" s="38" t="n"/>
      <c r="L996">
        <f>IF(D996="","",IF(OR(D996="Entrée Achat",D996="Entrée Retour"),K996+E996,K996-E996))</f>
        <v/>
      </c>
      <c r="P996">
        <f>IF(E996="","",IF(OR(D996="Entrée Achat",D996="Entrée Retour"),"✓ Validé",IF(D996="Sortie Perte","⚠️ Perte",IF(D996="Sortie Périmée","🔴 Périmé","✓ Validé"))))</f>
        <v/>
      </c>
    </row>
    <row r="997">
      <c r="A997" s="38" t="n"/>
      <c r="G997" s="8" t="n"/>
      <c r="H997" s="8">
        <f>IF(E997="","",E997*G997)</f>
        <v/>
      </c>
      <c r="J997" s="38" t="n"/>
      <c r="L997">
        <f>IF(D997="","",IF(OR(D997="Entrée Achat",D997="Entrée Retour"),K997+E997,K997-E997))</f>
        <v/>
      </c>
      <c r="P997">
        <f>IF(E997="","",IF(OR(D997="Entrée Achat",D997="Entrée Retour"),"✓ Validé",IF(D997="Sortie Perte","⚠️ Perte",IF(D997="Sortie Périmée","🔴 Périmé","✓ Validé"))))</f>
        <v/>
      </c>
    </row>
    <row r="998">
      <c r="A998" s="38" t="n"/>
      <c r="G998" s="8" t="n"/>
      <c r="H998" s="8">
        <f>IF(E998="","",E998*G998)</f>
        <v/>
      </c>
      <c r="J998" s="38" t="n"/>
      <c r="L998">
        <f>IF(D998="","",IF(OR(D998="Entrée Achat",D998="Entrée Retour"),K998+E998,K998-E998))</f>
        <v/>
      </c>
      <c r="P998">
        <f>IF(E998="","",IF(OR(D998="Entrée Achat",D998="Entrée Retour"),"✓ Validé",IF(D998="Sortie Perte","⚠️ Perte",IF(D998="Sortie Périmée","🔴 Périmé","✓ Validé"))))</f>
        <v/>
      </c>
    </row>
    <row r="999">
      <c r="A999" s="38" t="n"/>
      <c r="G999" s="8" t="n"/>
      <c r="H999" s="8">
        <f>IF(E999="","",E999*G999)</f>
        <v/>
      </c>
      <c r="J999" s="38" t="n"/>
      <c r="L999">
        <f>IF(D999="","",IF(OR(D999="Entrée Achat",D999="Entrée Retour"),K999+E999,K999-E999))</f>
        <v/>
      </c>
      <c r="P999">
        <f>IF(E999="","",IF(OR(D999="Entrée Achat",D999="Entrée Retour"),"✓ Validé",IF(D999="Sortie Perte","⚠️ Perte",IF(D999="Sortie Périmée","🔴 Périmé","✓ Validé"))))</f>
        <v/>
      </c>
    </row>
    <row r="1000">
      <c r="A1000" s="38" t="n"/>
      <c r="G1000" s="8" t="n"/>
      <c r="H1000" s="8">
        <f>IF(E1000="","",E1000*G1000)</f>
        <v/>
      </c>
      <c r="J1000" s="38" t="n"/>
      <c r="L1000">
        <f>IF(D1000="","",IF(OR(D1000="Entrée Achat",D1000="Entrée Retour"),K1000+E1000,K1000-E1000))</f>
        <v/>
      </c>
      <c r="P1000">
        <f>IF(E1000="","",IF(OR(D1000="Entrée Achat",D1000="Entrée Retour"),"✓ Validé",IF(D1000="Sortie Perte","⚠️ Perte",IF(D1000="Sortie Périmée","🔴 Périmé","✓ Validé"))))</f>
        <v/>
      </c>
    </row>
  </sheetData>
  <mergeCells count="2">
    <mergeCell ref="A1:P1"/>
    <mergeCell ref="A3:P3"/>
  </mergeCells>
  <conditionalFormatting sqref="V5:V50">
    <cfRule type="expression" priority="1" dxfId="0">
      <formula>ISNUMBER(SEARCH("RUPTURE", $V5))</formula>
    </cfRule>
    <cfRule type="expression" priority="2" dxfId="1">
      <formula>ISNUMBER(SEARCH("CRITIQUE", $V5))</formula>
    </cfRule>
  </conditionalFormatting>
  <dataValidations count="1">
    <dataValidation sqref="D5:D1000" showDropDown="0" showInputMessage="0" showErrorMessage="0" allowBlank="0" type="list">
      <formula1>"Entrée Achat,Entrée Retour,Sortie Vente,Sortie Perte,Sortie Périmée,Transfert,Inventaire"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0" customWidth="1" min="12" max="12"/>
    <col width="15" customWidth="1" min="13" max="13"/>
  </cols>
  <sheetData>
    <row r="1">
      <c r="A1" s="31" t="inlineStr">
        <is>
          <t>🍳 GESTION DES RECETTES - COÛTS ET MARGES</t>
        </is>
      </c>
    </row>
    <row r="3">
      <c r="A3" s="25" t="inlineStr">
        <is>
          <t>LISTE DES RECETTES</t>
        </is>
      </c>
    </row>
    <row r="4">
      <c r="A4" s="33" t="inlineStr">
        <is>
          <t>ID Recette</t>
        </is>
      </c>
      <c r="B4" s="33" t="inlineStr">
        <is>
          <t>Nom du Plat</t>
        </is>
      </c>
      <c r="C4" s="33" t="inlineStr">
        <is>
          <t>Catégorie</t>
        </is>
      </c>
      <c r="D4" s="33" t="inlineStr">
        <is>
          <t>Prix Vente HT</t>
        </is>
      </c>
      <c r="E4" s="33" t="inlineStr">
        <is>
          <t>Nb Portions</t>
        </is>
      </c>
      <c r="F4" s="33" t="inlineStr">
        <is>
          <t>Coût Matière Total</t>
        </is>
      </c>
      <c r="G4" s="33" t="inlineStr">
        <is>
          <t>Coût par Portion</t>
        </is>
      </c>
      <c r="H4" s="33" t="inlineStr">
        <is>
          <t>Marge Brute</t>
        </is>
      </c>
      <c r="I4" s="33" t="inlineStr">
        <is>
          <t>% Marge</t>
        </is>
      </c>
      <c r="J4" s="33" t="inlineStr">
        <is>
          <t>Temps Préparation</t>
        </is>
      </c>
      <c r="K4" s="33" t="inlineStr">
        <is>
          <t>Difficulté</t>
        </is>
      </c>
      <c r="L4" s="33" t="inlineStr">
        <is>
          <t>Allergènes</t>
        </is>
      </c>
      <c r="M4" s="33" t="inlineStr">
        <is>
          <t>Statut</t>
        </is>
      </c>
    </row>
    <row r="5">
      <c r="A5" t="inlineStr">
        <is>
          <t>R001</t>
        </is>
      </c>
      <c r="B5" t="inlineStr">
        <is>
          <t>Salade César</t>
        </is>
      </c>
      <c r="C5" t="inlineStr">
        <is>
          <t>Entrées</t>
        </is>
      </c>
      <c r="D5" s="8" t="n">
        <v>12</v>
      </c>
      <c r="E5" t="n">
        <v>1</v>
      </c>
      <c r="F5" s="8">
        <f>SUMIF(INGREDIENTS!$A:$A, $A5, INGREDIENTS!$G:$G)</f>
        <v/>
      </c>
      <c r="G5" s="8">
        <f>IF(E5&gt;0, F5/E5, 0)</f>
        <v/>
      </c>
      <c r="H5" s="8">
        <f>IF(D5&gt;0, D5-G5, 0)</f>
        <v/>
      </c>
      <c r="I5" s="30">
        <f>IF(D5&gt;0, H5/D5*100, 0)</f>
        <v/>
      </c>
      <c r="J5" t="n">
        <v>15</v>
      </c>
      <c r="K5" t="inlineStr">
        <is>
          <t>Facile</t>
        </is>
      </c>
      <c r="L5" t="inlineStr">
        <is>
          <t>Gluten, Œufs</t>
        </is>
      </c>
      <c r="M5" t="inlineStr">
        <is>
          <t>✓ Active</t>
        </is>
      </c>
    </row>
    <row r="6">
      <c r="A6" t="inlineStr">
        <is>
          <t>R002</t>
        </is>
      </c>
      <c r="B6" t="inlineStr">
        <is>
          <t>Entrecôte Grillée</t>
        </is>
      </c>
      <c r="C6" t="inlineStr">
        <is>
          <t>Plats Principaux</t>
        </is>
      </c>
      <c r="D6" s="8" t="n">
        <v>25</v>
      </c>
      <c r="E6" t="n">
        <v>1</v>
      </c>
      <c r="F6" s="8">
        <f>SUMIF(INGREDIENTS!$A:$A, $A6, INGREDIENTS!$G:$G)</f>
        <v/>
      </c>
      <c r="G6" s="8">
        <f>IF(E6&gt;0, F6/E6, 0)</f>
        <v/>
      </c>
      <c r="H6" s="8">
        <f>IF(D6&gt;0, D6-G6, 0)</f>
        <v/>
      </c>
      <c r="I6" s="30">
        <f>IF(D6&gt;0, H6/D6*100, 0)</f>
        <v/>
      </c>
      <c r="J6" t="n">
        <v>20</v>
      </c>
      <c r="K6" t="inlineStr">
        <is>
          <t>Moyen</t>
        </is>
      </c>
      <c r="L6" t="inlineStr">
        <is>
          <t>Aucun</t>
        </is>
      </c>
      <c r="M6" t="inlineStr">
        <is>
          <t>✓ Active</t>
        </is>
      </c>
    </row>
    <row r="7">
      <c r="A7" t="inlineStr">
        <is>
          <t>R003</t>
        </is>
      </c>
      <c r="B7" t="inlineStr">
        <is>
          <t>Saumon Rôti</t>
        </is>
      </c>
      <c r="C7" t="inlineStr">
        <is>
          <t>Plats Principaux</t>
        </is>
      </c>
      <c r="D7" s="8" t="n">
        <v>28</v>
      </c>
      <c r="E7" t="n">
        <v>1</v>
      </c>
      <c r="F7" s="8">
        <f>SUMIF(INGREDIENTS!$A:$A, $A7, INGREDIENTS!$G:$G)</f>
        <v/>
      </c>
      <c r="G7" s="8">
        <f>IF(E7&gt;0, F7/E7, 0)</f>
        <v/>
      </c>
      <c r="H7" s="8">
        <f>IF(D7&gt;0, D7-G7, 0)</f>
        <v/>
      </c>
      <c r="I7" s="30">
        <f>IF(D7&gt;0, H7/D7*100, 0)</f>
        <v/>
      </c>
      <c r="J7" t="n">
        <v>25</v>
      </c>
      <c r="K7" t="inlineStr">
        <is>
          <t>Moyen</t>
        </is>
      </c>
      <c r="L7" t="inlineStr">
        <is>
          <t>Poisson</t>
        </is>
      </c>
      <c r="M7" t="inlineStr">
        <is>
          <t>✓ Active</t>
        </is>
      </c>
    </row>
    <row r="8">
      <c r="A8" t="inlineStr">
        <is>
          <t>R004</t>
        </is>
      </c>
      <c r="B8" t="inlineStr">
        <is>
          <t>Tarte au Citron</t>
        </is>
      </c>
      <c r="C8" t="inlineStr">
        <is>
          <t>Desserts</t>
        </is>
      </c>
      <c r="D8" s="8" t="n">
        <v>9</v>
      </c>
      <c r="E8" t="n">
        <v>1</v>
      </c>
      <c r="F8" s="8">
        <f>SUMIF(INGREDIENTS!$A:$A, $A8, INGREDIENTS!$G:$G)</f>
        <v/>
      </c>
      <c r="G8" s="8">
        <f>IF(E8&gt;0, F8/E8, 0)</f>
        <v/>
      </c>
      <c r="H8" s="8">
        <f>IF(D8&gt;0, D8-G8, 0)</f>
        <v/>
      </c>
      <c r="I8" s="30">
        <f>IF(D8&gt;0, H8/D8*100, 0)</f>
        <v/>
      </c>
      <c r="J8" t="n">
        <v>30</v>
      </c>
      <c r="K8" t="inlineStr">
        <is>
          <t>Difficile</t>
        </is>
      </c>
      <c r="L8" t="inlineStr">
        <is>
          <t>Gluten, Œufs, Lait</t>
        </is>
      </c>
      <c r="M8" t="inlineStr">
        <is>
          <t>✓ Active</t>
        </is>
      </c>
    </row>
    <row r="9">
      <c r="A9" t="inlineStr">
        <is>
          <t>R005</t>
        </is>
      </c>
      <c r="B9" t="inlineStr">
        <is>
          <t>Risotto Champignons</t>
        </is>
      </c>
      <c r="C9" t="inlineStr">
        <is>
          <t>Plats Principaux</t>
        </is>
      </c>
      <c r="D9" s="8" t="n">
        <v>22</v>
      </c>
      <c r="E9" t="n">
        <v>1</v>
      </c>
      <c r="F9" s="8">
        <f>SUMIF(INGREDIENTS!$A:$A, $A9, INGREDIENTS!$G:$G)</f>
        <v/>
      </c>
      <c r="G9" s="8">
        <f>IF(E9&gt;0, F9/E9, 0)</f>
        <v/>
      </c>
      <c r="H9" s="8">
        <f>IF(D9&gt;0, D9-G9, 0)</f>
        <v/>
      </c>
      <c r="I9" s="30">
        <f>IF(D9&gt;0, H9/D9*100, 0)</f>
        <v/>
      </c>
      <c r="J9" t="n">
        <v>35</v>
      </c>
      <c r="K9" t="inlineStr">
        <is>
          <t>Difficile</t>
        </is>
      </c>
      <c r="L9" t="inlineStr">
        <is>
          <t>Lait</t>
        </is>
      </c>
      <c r="M9" t="inlineStr">
        <is>
          <t>✓ Active</t>
        </is>
      </c>
    </row>
    <row r="10">
      <c r="D10" s="8" t="n"/>
      <c r="F10" s="8">
        <f>SUMIF(INGREDIENTS!$A:$A, $A10, INGREDIENTS!$G:$G)</f>
        <v/>
      </c>
      <c r="G10" s="8">
        <f>IF(E10&gt;0, F10/E10, 0)</f>
        <v/>
      </c>
      <c r="H10" s="8">
        <f>IF(D10&gt;0, D10-G10, 0)</f>
        <v/>
      </c>
      <c r="I10" s="30">
        <f>IF(D10&gt;0, H10/D10*100, 0)</f>
        <v/>
      </c>
    </row>
    <row r="11">
      <c r="D11" s="8" t="n"/>
      <c r="F11" s="8">
        <f>SUMIF(INGREDIENTS!$A:$A, $A11, INGREDIENTS!$G:$G)</f>
        <v/>
      </c>
      <c r="G11" s="8">
        <f>IF(E11&gt;0, F11/E11, 0)</f>
        <v/>
      </c>
      <c r="H11" s="8">
        <f>IF(D11&gt;0, D11-G11, 0)</f>
        <v/>
      </c>
      <c r="I11" s="30">
        <f>IF(D11&gt;0, H11/D11*100, 0)</f>
        <v/>
      </c>
    </row>
    <row r="12">
      <c r="D12" s="8" t="n"/>
      <c r="F12" s="8">
        <f>SUMIF(INGREDIENTS!$A:$A, $A12, INGREDIENTS!$G:$G)</f>
        <v/>
      </c>
      <c r="G12" s="8">
        <f>IF(E12&gt;0, F12/E12, 0)</f>
        <v/>
      </c>
      <c r="H12" s="8">
        <f>IF(D12&gt;0, D12-G12, 0)</f>
        <v/>
      </c>
      <c r="I12" s="30">
        <f>IF(D12&gt;0, H12/D12*100, 0)</f>
        <v/>
      </c>
    </row>
    <row r="13">
      <c r="D13" s="8" t="n"/>
      <c r="F13" s="8">
        <f>SUMIF(INGREDIENTS!$A:$A, $A13, INGREDIENTS!$G:$G)</f>
        <v/>
      </c>
      <c r="G13" s="8">
        <f>IF(E13&gt;0, F13/E13, 0)</f>
        <v/>
      </c>
      <c r="H13" s="8">
        <f>IF(D13&gt;0, D13-G13, 0)</f>
        <v/>
      </c>
      <c r="I13" s="30">
        <f>IF(D13&gt;0, H13/D13*100, 0)</f>
        <v/>
      </c>
    </row>
    <row r="14">
      <c r="D14" s="8" t="n"/>
      <c r="F14" s="8">
        <f>SUMIF(INGREDIENTS!$A:$A, $A14, INGREDIENTS!$G:$G)</f>
        <v/>
      </c>
      <c r="G14" s="8">
        <f>IF(E14&gt;0, F14/E14, 0)</f>
        <v/>
      </c>
      <c r="H14" s="8">
        <f>IF(D14&gt;0, D14-G14, 0)</f>
        <v/>
      </c>
      <c r="I14" s="30">
        <f>IF(D14&gt;0, H14/D14*100, 0)</f>
        <v/>
      </c>
    </row>
    <row r="15">
      <c r="D15" s="8" t="n"/>
      <c r="F15" s="8">
        <f>SUMIF(INGREDIENTS!$A:$A, $A15, INGREDIENTS!$G:$G)</f>
        <v/>
      </c>
      <c r="G15" s="8">
        <f>IF(E15&gt;0, F15/E15, 0)</f>
        <v/>
      </c>
      <c r="H15" s="8">
        <f>IF(D15&gt;0, D15-G15, 0)</f>
        <v/>
      </c>
      <c r="I15" s="30">
        <f>IF(D15&gt;0, H15/D15*100, 0)</f>
        <v/>
      </c>
    </row>
    <row r="16">
      <c r="D16" s="8" t="n"/>
      <c r="F16" s="8">
        <f>SUMIF(INGREDIENTS!$A:$A, $A16, INGREDIENTS!$G:$G)</f>
        <v/>
      </c>
      <c r="G16" s="8">
        <f>IF(E16&gt;0, F16/E16, 0)</f>
        <v/>
      </c>
      <c r="H16" s="8">
        <f>IF(D16&gt;0, D16-G16, 0)</f>
        <v/>
      </c>
      <c r="I16" s="30">
        <f>IF(D16&gt;0, H16/D16*100, 0)</f>
        <v/>
      </c>
    </row>
    <row r="17">
      <c r="D17" s="8" t="n"/>
      <c r="F17" s="8">
        <f>SUMIF(INGREDIENTS!$A:$A, $A17, INGREDIENTS!$G:$G)</f>
        <v/>
      </c>
      <c r="G17" s="8">
        <f>IF(E17&gt;0, F17/E17, 0)</f>
        <v/>
      </c>
      <c r="H17" s="8">
        <f>IF(D17&gt;0, D17-G17, 0)</f>
        <v/>
      </c>
      <c r="I17" s="30">
        <f>IF(D17&gt;0, H17/D17*100, 0)</f>
        <v/>
      </c>
    </row>
    <row r="18">
      <c r="D18" s="8" t="n"/>
      <c r="F18" s="8">
        <f>SUMIF(INGREDIENTS!$A:$A, $A18, INGREDIENTS!$G:$G)</f>
        <v/>
      </c>
      <c r="G18" s="8">
        <f>IF(E18&gt;0, F18/E18, 0)</f>
        <v/>
      </c>
      <c r="H18" s="8">
        <f>IF(D18&gt;0, D18-G18, 0)</f>
        <v/>
      </c>
      <c r="I18" s="30">
        <f>IF(D18&gt;0, H18/D18*100, 0)</f>
        <v/>
      </c>
    </row>
    <row r="19">
      <c r="D19" s="8" t="n"/>
      <c r="F19" s="8">
        <f>SUMIF(INGREDIENTS!$A:$A, $A19, INGREDIENTS!$G:$G)</f>
        <v/>
      </c>
      <c r="G19" s="8">
        <f>IF(E19&gt;0, F19/E19, 0)</f>
        <v/>
      </c>
      <c r="H19" s="8">
        <f>IF(D19&gt;0, D19-G19, 0)</f>
        <v/>
      </c>
      <c r="I19" s="30">
        <f>IF(D19&gt;0, H19/D19*100, 0)</f>
        <v/>
      </c>
    </row>
    <row r="20">
      <c r="D20" s="8" t="n"/>
      <c r="F20" s="8">
        <f>SUMIF(INGREDIENTS!$A:$A, $A20, INGREDIENTS!$G:$G)</f>
        <v/>
      </c>
      <c r="G20" s="8">
        <f>IF(E20&gt;0, F20/E20, 0)</f>
        <v/>
      </c>
      <c r="H20" s="8">
        <f>IF(D20&gt;0, D20-G20, 0)</f>
        <v/>
      </c>
      <c r="I20" s="30">
        <f>IF(D20&gt;0, H20/D20*100, 0)</f>
        <v/>
      </c>
    </row>
    <row r="21">
      <c r="D21" s="8" t="n"/>
      <c r="F21" s="8">
        <f>SUMIF(INGREDIENTS!$A:$A, $A21, INGREDIENTS!$G:$G)</f>
        <v/>
      </c>
      <c r="G21" s="8">
        <f>IF(E21&gt;0, F21/E21, 0)</f>
        <v/>
      </c>
      <c r="H21" s="8">
        <f>IF(D21&gt;0, D21-G21, 0)</f>
        <v/>
      </c>
      <c r="I21" s="30">
        <f>IF(D21&gt;0, H21/D21*100, 0)</f>
        <v/>
      </c>
    </row>
    <row r="22">
      <c r="D22" s="8" t="n"/>
      <c r="F22" s="8">
        <f>SUMIF(INGREDIENTS!$A:$A, $A22, INGREDIENTS!$G:$G)</f>
        <v/>
      </c>
      <c r="G22" s="8">
        <f>IF(E22&gt;0, F22/E22, 0)</f>
        <v/>
      </c>
      <c r="H22" s="8">
        <f>IF(D22&gt;0, D22-G22, 0)</f>
        <v/>
      </c>
      <c r="I22" s="30">
        <f>IF(D22&gt;0, H22/D22*100, 0)</f>
        <v/>
      </c>
    </row>
    <row r="23">
      <c r="D23" s="8" t="n"/>
      <c r="F23" s="8">
        <f>SUMIF(INGREDIENTS!$A:$A, $A23, INGREDIENTS!$G:$G)</f>
        <v/>
      </c>
      <c r="G23" s="8">
        <f>IF(E23&gt;0, F23/E23, 0)</f>
        <v/>
      </c>
      <c r="H23" s="8">
        <f>IF(D23&gt;0, D23-G23, 0)</f>
        <v/>
      </c>
      <c r="I23" s="30">
        <f>IF(D23&gt;0, H23/D23*100, 0)</f>
        <v/>
      </c>
    </row>
    <row r="24">
      <c r="D24" s="8" t="n"/>
      <c r="F24" s="8">
        <f>SUMIF(INGREDIENTS!$A:$A, $A24, INGREDIENTS!$G:$G)</f>
        <v/>
      </c>
      <c r="G24" s="8">
        <f>IF(E24&gt;0, F24/E24, 0)</f>
        <v/>
      </c>
      <c r="H24" s="8">
        <f>IF(D24&gt;0, D24-G24, 0)</f>
        <v/>
      </c>
      <c r="I24" s="30">
        <f>IF(D24&gt;0, H24/D24*100, 0)</f>
        <v/>
      </c>
    </row>
    <row r="25">
      <c r="D25" s="8" t="n"/>
      <c r="F25" s="8">
        <f>SUMIF(INGREDIENTS!$A:$A, $A25, INGREDIENTS!$G:$G)</f>
        <v/>
      </c>
      <c r="G25" s="8">
        <f>IF(E25&gt;0, F25/E25, 0)</f>
        <v/>
      </c>
      <c r="H25" s="8">
        <f>IF(D25&gt;0, D25-G25, 0)</f>
        <v/>
      </c>
      <c r="I25" s="30">
        <f>IF(D25&gt;0, H25/D25*100, 0)</f>
        <v/>
      </c>
    </row>
    <row r="26">
      <c r="D26" s="8" t="n"/>
      <c r="F26" s="8">
        <f>SUMIF(INGREDIENTS!$A:$A, $A26, INGREDIENTS!$G:$G)</f>
        <v/>
      </c>
      <c r="G26" s="8">
        <f>IF(E26&gt;0, F26/E26, 0)</f>
        <v/>
      </c>
      <c r="H26" s="8">
        <f>IF(D26&gt;0, D26-G26, 0)</f>
        <v/>
      </c>
      <c r="I26" s="30">
        <f>IF(D26&gt;0, H26/D26*100, 0)</f>
        <v/>
      </c>
    </row>
    <row r="27">
      <c r="D27" s="8" t="n"/>
      <c r="F27" s="8">
        <f>SUMIF(INGREDIENTS!$A:$A, $A27, INGREDIENTS!$G:$G)</f>
        <v/>
      </c>
      <c r="G27" s="8">
        <f>IF(E27&gt;0, F27/E27, 0)</f>
        <v/>
      </c>
      <c r="H27" s="8">
        <f>IF(D27&gt;0, D27-G27, 0)</f>
        <v/>
      </c>
      <c r="I27" s="30">
        <f>IF(D27&gt;0, H27/D27*100, 0)</f>
        <v/>
      </c>
    </row>
    <row r="28">
      <c r="D28" s="8" t="n"/>
      <c r="F28" s="8">
        <f>SUMIF(INGREDIENTS!$A:$A, $A28, INGREDIENTS!$G:$G)</f>
        <v/>
      </c>
      <c r="G28" s="8">
        <f>IF(E28&gt;0, F28/E28, 0)</f>
        <v/>
      </c>
      <c r="H28" s="8">
        <f>IF(D28&gt;0, D28-G28, 0)</f>
        <v/>
      </c>
      <c r="I28" s="30">
        <f>IF(D28&gt;0, H28/D28*100, 0)</f>
        <v/>
      </c>
    </row>
    <row r="29">
      <c r="D29" s="8" t="n"/>
      <c r="F29" s="8">
        <f>SUMIF(INGREDIENTS!$A:$A, $A29, INGREDIENTS!$G:$G)</f>
        <v/>
      </c>
      <c r="G29" s="8">
        <f>IF(E29&gt;0, F29/E29, 0)</f>
        <v/>
      </c>
      <c r="H29" s="8">
        <f>IF(D29&gt;0, D29-G29, 0)</f>
        <v/>
      </c>
      <c r="I29" s="30">
        <f>IF(D29&gt;0, H29/D29*100, 0)</f>
        <v/>
      </c>
    </row>
    <row r="30">
      <c r="D30" s="8" t="n"/>
      <c r="F30" s="8">
        <f>SUMIF(INGREDIENTS!$A:$A, $A30, INGREDIENTS!$G:$G)</f>
        <v/>
      </c>
      <c r="G30" s="8">
        <f>IF(E30&gt;0, F30/E30, 0)</f>
        <v/>
      </c>
      <c r="H30" s="8">
        <f>IF(D30&gt;0, D30-G30, 0)</f>
        <v/>
      </c>
      <c r="I30" s="30">
        <f>IF(D30&gt;0, H30/D30*100, 0)</f>
        <v/>
      </c>
    </row>
    <row r="31">
      <c r="D31" s="8" t="n"/>
      <c r="F31" s="8">
        <f>SUMIF(INGREDIENTS!$A:$A, $A31, INGREDIENTS!$G:$G)</f>
        <v/>
      </c>
      <c r="G31" s="8">
        <f>IF(E31&gt;0, F31/E31, 0)</f>
        <v/>
      </c>
      <c r="H31" s="8">
        <f>IF(D31&gt;0, D31-G31, 0)</f>
        <v/>
      </c>
      <c r="I31" s="30">
        <f>IF(D31&gt;0, H31/D31*100, 0)</f>
        <v/>
      </c>
    </row>
    <row r="32">
      <c r="D32" s="8" t="n"/>
      <c r="F32" s="8">
        <f>SUMIF(INGREDIENTS!$A:$A, $A32, INGREDIENTS!$G:$G)</f>
        <v/>
      </c>
      <c r="G32" s="8">
        <f>IF(E32&gt;0, F32/E32, 0)</f>
        <v/>
      </c>
      <c r="H32" s="8">
        <f>IF(D32&gt;0, D32-G32, 0)</f>
        <v/>
      </c>
      <c r="I32" s="30">
        <f>IF(D32&gt;0, H32/D32*100, 0)</f>
        <v/>
      </c>
    </row>
    <row r="33">
      <c r="D33" s="8" t="n"/>
      <c r="F33" s="8">
        <f>SUMIF(INGREDIENTS!$A:$A, $A33, INGREDIENTS!$G:$G)</f>
        <v/>
      </c>
      <c r="G33" s="8">
        <f>IF(E33&gt;0, F33/E33, 0)</f>
        <v/>
      </c>
      <c r="H33" s="8">
        <f>IF(D33&gt;0, D33-G33, 0)</f>
        <v/>
      </c>
      <c r="I33" s="30">
        <f>IF(D33&gt;0, H33/D33*100, 0)</f>
        <v/>
      </c>
    </row>
    <row r="34">
      <c r="D34" s="8" t="n"/>
      <c r="F34" s="8">
        <f>SUMIF(INGREDIENTS!$A:$A, $A34, INGREDIENTS!$G:$G)</f>
        <v/>
      </c>
      <c r="G34" s="8">
        <f>IF(E34&gt;0, F34/E34, 0)</f>
        <v/>
      </c>
      <c r="H34" s="8">
        <f>IF(D34&gt;0, D34-G34, 0)</f>
        <v/>
      </c>
      <c r="I34" s="30">
        <f>IF(D34&gt;0, H34/D34*100, 0)</f>
        <v/>
      </c>
    </row>
    <row r="35">
      <c r="D35" s="8" t="n"/>
      <c r="F35" s="8">
        <f>SUMIF(INGREDIENTS!$A:$A, $A35, INGREDIENTS!$G:$G)</f>
        <v/>
      </c>
      <c r="G35" s="8">
        <f>IF(E35&gt;0, F35/E35, 0)</f>
        <v/>
      </c>
      <c r="H35" s="8">
        <f>IF(D35&gt;0, D35-G35, 0)</f>
        <v/>
      </c>
      <c r="I35" s="30">
        <f>IF(D35&gt;0, H35/D35*100, 0)</f>
        <v/>
      </c>
    </row>
    <row r="36">
      <c r="D36" s="8" t="n"/>
      <c r="F36" s="8">
        <f>SUMIF(INGREDIENTS!$A:$A, $A36, INGREDIENTS!$G:$G)</f>
        <v/>
      </c>
      <c r="G36" s="8">
        <f>IF(E36&gt;0, F36/E36, 0)</f>
        <v/>
      </c>
      <c r="H36" s="8">
        <f>IF(D36&gt;0, D36-G36, 0)</f>
        <v/>
      </c>
      <c r="I36" s="30">
        <f>IF(D36&gt;0, H36/D36*100, 0)</f>
        <v/>
      </c>
    </row>
    <row r="37">
      <c r="D37" s="8" t="n"/>
      <c r="F37" s="8">
        <f>SUMIF(INGREDIENTS!$A:$A, $A37, INGREDIENTS!$G:$G)</f>
        <v/>
      </c>
      <c r="G37" s="8">
        <f>IF(E37&gt;0, F37/E37, 0)</f>
        <v/>
      </c>
      <c r="H37" s="8">
        <f>IF(D37&gt;0, D37-G37, 0)</f>
        <v/>
      </c>
      <c r="I37" s="30">
        <f>IF(D37&gt;0, H37/D37*100, 0)</f>
        <v/>
      </c>
    </row>
    <row r="38">
      <c r="D38" s="8" t="n"/>
      <c r="F38" s="8">
        <f>SUMIF(INGREDIENTS!$A:$A, $A38, INGREDIENTS!$G:$G)</f>
        <v/>
      </c>
      <c r="G38" s="8">
        <f>IF(E38&gt;0, F38/E38, 0)</f>
        <v/>
      </c>
      <c r="H38" s="8">
        <f>IF(D38&gt;0, D38-G38, 0)</f>
        <v/>
      </c>
      <c r="I38" s="30">
        <f>IF(D38&gt;0, H38/D38*100, 0)</f>
        <v/>
      </c>
    </row>
    <row r="39">
      <c r="D39" s="8" t="n"/>
      <c r="F39" s="8">
        <f>SUMIF(INGREDIENTS!$A:$A, $A39, INGREDIENTS!$G:$G)</f>
        <v/>
      </c>
      <c r="G39" s="8">
        <f>IF(E39&gt;0, F39/E39, 0)</f>
        <v/>
      </c>
      <c r="H39" s="8">
        <f>IF(D39&gt;0, D39-G39, 0)</f>
        <v/>
      </c>
      <c r="I39" s="30">
        <f>IF(D39&gt;0, H39/D39*100, 0)</f>
        <v/>
      </c>
    </row>
    <row r="40">
      <c r="D40" s="8" t="n"/>
      <c r="F40" s="8">
        <f>SUMIF(INGREDIENTS!$A:$A, $A40, INGREDIENTS!$G:$G)</f>
        <v/>
      </c>
      <c r="G40" s="8">
        <f>IF(E40&gt;0, F40/E40, 0)</f>
        <v/>
      </c>
      <c r="H40" s="8">
        <f>IF(D40&gt;0, D40-G40, 0)</f>
        <v/>
      </c>
      <c r="I40" s="30">
        <f>IF(D40&gt;0, H40/D40*100, 0)</f>
        <v/>
      </c>
    </row>
    <row r="41">
      <c r="D41" s="8" t="n"/>
      <c r="F41" s="8">
        <f>SUMIF(INGREDIENTS!$A:$A, $A41, INGREDIENTS!$G:$G)</f>
        <v/>
      </c>
      <c r="G41" s="8">
        <f>IF(E41&gt;0, F41/E41, 0)</f>
        <v/>
      </c>
      <c r="H41" s="8">
        <f>IF(D41&gt;0, D41-G41, 0)</f>
        <v/>
      </c>
      <c r="I41" s="30">
        <f>IF(D41&gt;0, H41/D41*100, 0)</f>
        <v/>
      </c>
    </row>
    <row r="42">
      <c r="D42" s="8" t="n"/>
      <c r="F42" s="8">
        <f>SUMIF(INGREDIENTS!$A:$A, $A42, INGREDIENTS!$G:$G)</f>
        <v/>
      </c>
      <c r="G42" s="8">
        <f>IF(E42&gt;0, F42/E42, 0)</f>
        <v/>
      </c>
      <c r="H42" s="8">
        <f>IF(D42&gt;0, D42-G42, 0)</f>
        <v/>
      </c>
      <c r="I42" s="30">
        <f>IF(D42&gt;0, H42/D42*100, 0)</f>
        <v/>
      </c>
    </row>
    <row r="43">
      <c r="D43" s="8" t="n"/>
      <c r="F43" s="8">
        <f>SUMIF(INGREDIENTS!$A:$A, $A43, INGREDIENTS!$G:$G)</f>
        <v/>
      </c>
      <c r="G43" s="8">
        <f>IF(E43&gt;0, F43/E43, 0)</f>
        <v/>
      </c>
      <c r="H43" s="8">
        <f>IF(D43&gt;0, D43-G43, 0)</f>
        <v/>
      </c>
      <c r="I43" s="30">
        <f>IF(D43&gt;0, H43/D43*100, 0)</f>
        <v/>
      </c>
    </row>
    <row r="44">
      <c r="D44" s="8" t="n"/>
      <c r="F44" s="8">
        <f>SUMIF(INGREDIENTS!$A:$A, $A44, INGREDIENTS!$G:$G)</f>
        <v/>
      </c>
      <c r="G44" s="8">
        <f>IF(E44&gt;0, F44/E44, 0)</f>
        <v/>
      </c>
      <c r="H44" s="8">
        <f>IF(D44&gt;0, D44-G44, 0)</f>
        <v/>
      </c>
      <c r="I44" s="30">
        <f>IF(D44&gt;0, H44/D44*100, 0)</f>
        <v/>
      </c>
    </row>
    <row r="45">
      <c r="D45" s="8" t="n"/>
      <c r="F45" s="8">
        <f>SUMIF(INGREDIENTS!$A:$A, $A45, INGREDIENTS!$G:$G)</f>
        <v/>
      </c>
      <c r="G45" s="8">
        <f>IF(E45&gt;0, F45/E45, 0)</f>
        <v/>
      </c>
      <c r="H45" s="8">
        <f>IF(D45&gt;0, D45-G45, 0)</f>
        <v/>
      </c>
      <c r="I45" s="30">
        <f>IF(D45&gt;0, H45/D45*100, 0)</f>
        <v/>
      </c>
    </row>
    <row r="46">
      <c r="D46" s="8" t="n"/>
      <c r="F46" s="8">
        <f>SUMIF(INGREDIENTS!$A:$A, $A46, INGREDIENTS!$G:$G)</f>
        <v/>
      </c>
      <c r="G46" s="8">
        <f>IF(E46&gt;0, F46/E46, 0)</f>
        <v/>
      </c>
      <c r="H46" s="8">
        <f>IF(D46&gt;0, D46-G46, 0)</f>
        <v/>
      </c>
      <c r="I46" s="30">
        <f>IF(D46&gt;0, H46/D46*100, 0)</f>
        <v/>
      </c>
    </row>
    <row r="47">
      <c r="D47" s="8" t="n"/>
      <c r="F47" s="8">
        <f>SUMIF(INGREDIENTS!$A:$A, $A47, INGREDIENTS!$G:$G)</f>
        <v/>
      </c>
      <c r="G47" s="8">
        <f>IF(E47&gt;0, F47/E47, 0)</f>
        <v/>
      </c>
      <c r="H47" s="8">
        <f>IF(D47&gt;0, D47-G47, 0)</f>
        <v/>
      </c>
      <c r="I47" s="30">
        <f>IF(D47&gt;0, H47/D47*100, 0)</f>
        <v/>
      </c>
    </row>
    <row r="48">
      <c r="D48" s="8" t="n"/>
      <c r="F48" s="8">
        <f>SUMIF(INGREDIENTS!$A:$A, $A48, INGREDIENTS!$G:$G)</f>
        <v/>
      </c>
      <c r="G48" s="8">
        <f>IF(E48&gt;0, F48/E48, 0)</f>
        <v/>
      </c>
      <c r="H48" s="8">
        <f>IF(D48&gt;0, D48-G48, 0)</f>
        <v/>
      </c>
      <c r="I48" s="30">
        <f>IF(D48&gt;0, H48/D48*100, 0)</f>
        <v/>
      </c>
    </row>
    <row r="49">
      <c r="D49" s="8" t="n"/>
      <c r="F49" s="8">
        <f>SUMIF(INGREDIENTS!$A:$A, $A49, INGREDIENTS!$G:$G)</f>
        <v/>
      </c>
      <c r="G49" s="8">
        <f>IF(E49&gt;0, F49/E49, 0)</f>
        <v/>
      </c>
      <c r="H49" s="8">
        <f>IF(D49&gt;0, D49-G49, 0)</f>
        <v/>
      </c>
      <c r="I49" s="30">
        <f>IF(D49&gt;0, H49/D49*100, 0)</f>
        <v/>
      </c>
    </row>
    <row r="50">
      <c r="D50" s="8" t="n"/>
      <c r="F50" s="8">
        <f>SUMIF(INGREDIENTS!$A:$A, $A50, INGREDIENTS!$G:$G)</f>
        <v/>
      </c>
      <c r="G50" s="8">
        <f>IF(E50&gt;0, F50/E50, 0)</f>
        <v/>
      </c>
      <c r="H50" s="8">
        <f>IF(D50&gt;0, D50-G50, 0)</f>
        <v/>
      </c>
      <c r="I50" s="30">
        <f>IF(D50&gt;0, H50/D50*100, 0)</f>
        <v/>
      </c>
    </row>
    <row r="51">
      <c r="D51" s="8" t="n"/>
      <c r="F51" s="8">
        <f>SUMIF(INGREDIENTS!$A:$A, $A51, INGREDIENTS!$G:$G)</f>
        <v/>
      </c>
      <c r="G51" s="8">
        <f>IF(E51&gt;0, F51/E51, 0)</f>
        <v/>
      </c>
      <c r="H51" s="8">
        <f>IF(D51&gt;0, D51-G51, 0)</f>
        <v/>
      </c>
      <c r="I51" s="30">
        <f>IF(D51&gt;0, H51/D51*100, 0)</f>
        <v/>
      </c>
    </row>
    <row r="52">
      <c r="D52" s="8" t="n"/>
      <c r="F52" s="8">
        <f>SUMIF(INGREDIENTS!$A:$A, $A52, INGREDIENTS!$G:$G)</f>
        <v/>
      </c>
      <c r="G52" s="8">
        <f>IF(E52&gt;0, F52/E52, 0)</f>
        <v/>
      </c>
      <c r="H52" s="8">
        <f>IF(D52&gt;0, D52-G52, 0)</f>
        <v/>
      </c>
      <c r="I52" s="30">
        <f>IF(D52&gt;0, H52/D52*100, 0)</f>
        <v/>
      </c>
    </row>
    <row r="53">
      <c r="D53" s="8" t="n"/>
      <c r="F53" s="8">
        <f>SUMIF(INGREDIENTS!$A:$A, $A53, INGREDIENTS!$G:$G)</f>
        <v/>
      </c>
      <c r="G53" s="8">
        <f>IF(E53&gt;0, F53/E53, 0)</f>
        <v/>
      </c>
      <c r="H53" s="8">
        <f>IF(D53&gt;0, D53-G53, 0)</f>
        <v/>
      </c>
      <c r="I53" s="30">
        <f>IF(D53&gt;0, H53/D53*100, 0)</f>
        <v/>
      </c>
    </row>
    <row r="54">
      <c r="D54" s="8" t="n"/>
      <c r="F54" s="8">
        <f>SUMIF(INGREDIENTS!$A:$A, $A54, INGREDIENTS!$G:$G)</f>
        <v/>
      </c>
      <c r="G54" s="8">
        <f>IF(E54&gt;0, F54/E54, 0)</f>
        <v/>
      </c>
      <c r="H54" s="8">
        <f>IF(D54&gt;0, D54-G54, 0)</f>
        <v/>
      </c>
      <c r="I54" s="30">
        <f>IF(D54&gt;0, H54/D54*100, 0)</f>
        <v/>
      </c>
    </row>
    <row r="55">
      <c r="D55" s="8" t="n"/>
      <c r="F55" s="8">
        <f>SUMIF(INGREDIENTS!$A:$A, $A55, INGREDIENTS!$G:$G)</f>
        <v/>
      </c>
      <c r="G55" s="8">
        <f>IF(E55&gt;0, F55/E55, 0)</f>
        <v/>
      </c>
      <c r="H55" s="8">
        <f>IF(D55&gt;0, D55-G55, 0)</f>
        <v/>
      </c>
      <c r="I55" s="30">
        <f>IF(D55&gt;0, H55/D55*100, 0)</f>
        <v/>
      </c>
    </row>
    <row r="56">
      <c r="D56" s="8" t="n"/>
      <c r="F56" s="8">
        <f>SUMIF(INGREDIENTS!$A:$A, $A56, INGREDIENTS!$G:$G)</f>
        <v/>
      </c>
      <c r="G56" s="8">
        <f>IF(E56&gt;0, F56/E56, 0)</f>
        <v/>
      </c>
      <c r="H56" s="8">
        <f>IF(D56&gt;0, D56-G56, 0)</f>
        <v/>
      </c>
      <c r="I56" s="30">
        <f>IF(D56&gt;0, H56/D56*100, 0)</f>
        <v/>
      </c>
    </row>
    <row r="57">
      <c r="D57" s="8" t="n"/>
      <c r="F57" s="8">
        <f>SUMIF(INGREDIENTS!$A:$A, $A57, INGREDIENTS!$G:$G)</f>
        <v/>
      </c>
      <c r="G57" s="8">
        <f>IF(E57&gt;0, F57/E57, 0)</f>
        <v/>
      </c>
      <c r="H57" s="8">
        <f>IF(D57&gt;0, D57-G57, 0)</f>
        <v/>
      </c>
      <c r="I57" s="30">
        <f>IF(D57&gt;0, H57/D57*100, 0)</f>
        <v/>
      </c>
    </row>
    <row r="58">
      <c r="D58" s="8" t="n"/>
      <c r="F58" s="8">
        <f>SUMIF(INGREDIENTS!$A:$A, $A58, INGREDIENTS!$G:$G)</f>
        <v/>
      </c>
      <c r="G58" s="8">
        <f>IF(E58&gt;0, F58/E58, 0)</f>
        <v/>
      </c>
      <c r="H58" s="8">
        <f>IF(D58&gt;0, D58-G58, 0)</f>
        <v/>
      </c>
      <c r="I58" s="30">
        <f>IF(D58&gt;0, H58/D58*100, 0)</f>
        <v/>
      </c>
    </row>
    <row r="59">
      <c r="D59" s="8" t="n"/>
      <c r="F59" s="8">
        <f>SUMIF(INGREDIENTS!$A:$A, $A59, INGREDIENTS!$G:$G)</f>
        <v/>
      </c>
      <c r="G59" s="8">
        <f>IF(E59&gt;0, F59/E59, 0)</f>
        <v/>
      </c>
      <c r="H59" s="8">
        <f>IF(D59&gt;0, D59-G59, 0)</f>
        <v/>
      </c>
      <c r="I59" s="30">
        <f>IF(D59&gt;0, H59/D59*100, 0)</f>
        <v/>
      </c>
    </row>
    <row r="60">
      <c r="D60" s="8" t="n"/>
      <c r="F60" s="8">
        <f>SUMIF(INGREDIENTS!$A:$A, $A60, INGREDIENTS!$G:$G)</f>
        <v/>
      </c>
      <c r="G60" s="8">
        <f>IF(E60&gt;0, F60/E60, 0)</f>
        <v/>
      </c>
      <c r="H60" s="8">
        <f>IF(D60&gt;0, D60-G60, 0)</f>
        <v/>
      </c>
      <c r="I60" s="30">
        <f>IF(D60&gt;0, H60/D60*100, 0)</f>
        <v/>
      </c>
    </row>
    <row r="61">
      <c r="D61" s="8" t="n"/>
      <c r="F61" s="8">
        <f>SUMIF(INGREDIENTS!$A:$A, $A61, INGREDIENTS!$G:$G)</f>
        <v/>
      </c>
      <c r="G61" s="8">
        <f>IF(E61&gt;0, F61/E61, 0)</f>
        <v/>
      </c>
      <c r="H61" s="8">
        <f>IF(D61&gt;0, D61-G61, 0)</f>
        <v/>
      </c>
      <c r="I61" s="30">
        <f>IF(D61&gt;0, H61/D61*100, 0)</f>
        <v/>
      </c>
    </row>
    <row r="62">
      <c r="D62" s="8" t="n"/>
      <c r="F62" s="8">
        <f>SUMIF(INGREDIENTS!$A:$A, $A62, INGREDIENTS!$G:$G)</f>
        <v/>
      </c>
      <c r="G62" s="8">
        <f>IF(E62&gt;0, F62/E62, 0)</f>
        <v/>
      </c>
      <c r="H62" s="8">
        <f>IF(D62&gt;0, D62-G62, 0)</f>
        <v/>
      </c>
      <c r="I62" s="30">
        <f>IF(D62&gt;0, H62/D62*100, 0)</f>
        <v/>
      </c>
    </row>
    <row r="63">
      <c r="D63" s="8" t="n"/>
      <c r="F63" s="8">
        <f>SUMIF(INGREDIENTS!$A:$A, $A63, INGREDIENTS!$G:$G)</f>
        <v/>
      </c>
      <c r="G63" s="8">
        <f>IF(E63&gt;0, F63/E63, 0)</f>
        <v/>
      </c>
      <c r="H63" s="8">
        <f>IF(D63&gt;0, D63-G63, 0)</f>
        <v/>
      </c>
      <c r="I63" s="30">
        <f>IF(D63&gt;0, H63/D63*100, 0)</f>
        <v/>
      </c>
    </row>
    <row r="64">
      <c r="D64" s="8" t="n"/>
      <c r="F64" s="8">
        <f>SUMIF(INGREDIENTS!$A:$A, $A64, INGREDIENTS!$G:$G)</f>
        <v/>
      </c>
      <c r="G64" s="8">
        <f>IF(E64&gt;0, F64/E64, 0)</f>
        <v/>
      </c>
      <c r="H64" s="8">
        <f>IF(D64&gt;0, D64-G64, 0)</f>
        <v/>
      </c>
      <c r="I64" s="30">
        <f>IF(D64&gt;0, H64/D64*100, 0)</f>
        <v/>
      </c>
    </row>
    <row r="65">
      <c r="D65" s="8" t="n"/>
      <c r="F65" s="8">
        <f>SUMIF(INGREDIENTS!$A:$A, $A65, INGREDIENTS!$G:$G)</f>
        <v/>
      </c>
      <c r="G65" s="8">
        <f>IF(E65&gt;0, F65/E65, 0)</f>
        <v/>
      </c>
      <c r="H65" s="8">
        <f>IF(D65&gt;0, D65-G65, 0)</f>
        <v/>
      </c>
      <c r="I65" s="30">
        <f>IF(D65&gt;0, H65/D65*100, 0)</f>
        <v/>
      </c>
    </row>
    <row r="66">
      <c r="D66" s="8" t="n"/>
      <c r="F66" s="8">
        <f>SUMIF(INGREDIENTS!$A:$A, $A66, INGREDIENTS!$G:$G)</f>
        <v/>
      </c>
      <c r="G66" s="8">
        <f>IF(E66&gt;0, F66/E66, 0)</f>
        <v/>
      </c>
      <c r="H66" s="8">
        <f>IF(D66&gt;0, D66-G66, 0)</f>
        <v/>
      </c>
      <c r="I66" s="30">
        <f>IF(D66&gt;0, H66/D66*100, 0)</f>
        <v/>
      </c>
    </row>
    <row r="67">
      <c r="D67" s="8" t="n"/>
      <c r="F67" s="8">
        <f>SUMIF(INGREDIENTS!$A:$A, $A67, INGREDIENTS!$G:$G)</f>
        <v/>
      </c>
      <c r="G67" s="8">
        <f>IF(E67&gt;0, F67/E67, 0)</f>
        <v/>
      </c>
      <c r="H67" s="8">
        <f>IF(D67&gt;0, D67-G67, 0)</f>
        <v/>
      </c>
      <c r="I67" s="30">
        <f>IF(D67&gt;0, H67/D67*100, 0)</f>
        <v/>
      </c>
    </row>
    <row r="68">
      <c r="D68" s="8" t="n"/>
      <c r="F68" s="8">
        <f>SUMIF(INGREDIENTS!$A:$A, $A68, INGREDIENTS!$G:$G)</f>
        <v/>
      </c>
      <c r="G68" s="8">
        <f>IF(E68&gt;0, F68/E68, 0)</f>
        <v/>
      </c>
      <c r="H68" s="8">
        <f>IF(D68&gt;0, D68-G68, 0)</f>
        <v/>
      </c>
      <c r="I68" s="30">
        <f>IF(D68&gt;0, H68/D68*100, 0)</f>
        <v/>
      </c>
    </row>
    <row r="69">
      <c r="D69" s="8" t="n"/>
      <c r="F69" s="8">
        <f>SUMIF(INGREDIENTS!$A:$A, $A69, INGREDIENTS!$G:$G)</f>
        <v/>
      </c>
      <c r="G69" s="8">
        <f>IF(E69&gt;0, F69/E69, 0)</f>
        <v/>
      </c>
      <c r="H69" s="8">
        <f>IF(D69&gt;0, D69-G69, 0)</f>
        <v/>
      </c>
      <c r="I69" s="30">
        <f>IF(D69&gt;0, H69/D69*100, 0)</f>
        <v/>
      </c>
    </row>
    <row r="70">
      <c r="D70" s="8" t="n"/>
      <c r="F70" s="8">
        <f>SUMIF(INGREDIENTS!$A:$A, $A70, INGREDIENTS!$G:$G)</f>
        <v/>
      </c>
      <c r="G70" s="8">
        <f>IF(E70&gt;0, F70/E70, 0)</f>
        <v/>
      </c>
      <c r="H70" s="8">
        <f>IF(D70&gt;0, D70-G70, 0)</f>
        <v/>
      </c>
      <c r="I70" s="30">
        <f>IF(D70&gt;0, H70/D70*100, 0)</f>
        <v/>
      </c>
    </row>
    <row r="71">
      <c r="D71" s="8" t="n"/>
      <c r="F71" s="8">
        <f>SUMIF(INGREDIENTS!$A:$A, $A71, INGREDIENTS!$G:$G)</f>
        <v/>
      </c>
      <c r="G71" s="8">
        <f>IF(E71&gt;0, F71/E71, 0)</f>
        <v/>
      </c>
      <c r="H71" s="8">
        <f>IF(D71&gt;0, D71-G71, 0)</f>
        <v/>
      </c>
      <c r="I71" s="30">
        <f>IF(D71&gt;0, H71/D71*100, 0)</f>
        <v/>
      </c>
    </row>
    <row r="72">
      <c r="D72" s="8" t="n"/>
      <c r="F72" s="8">
        <f>SUMIF(INGREDIENTS!$A:$A, $A72, INGREDIENTS!$G:$G)</f>
        <v/>
      </c>
      <c r="G72" s="8">
        <f>IF(E72&gt;0, F72/E72, 0)</f>
        <v/>
      </c>
      <c r="H72" s="8">
        <f>IF(D72&gt;0, D72-G72, 0)</f>
        <v/>
      </c>
      <c r="I72" s="30">
        <f>IF(D72&gt;0, H72/D72*100, 0)</f>
        <v/>
      </c>
    </row>
    <row r="73">
      <c r="D73" s="8" t="n"/>
      <c r="F73" s="8">
        <f>SUMIF(INGREDIENTS!$A:$A, $A73, INGREDIENTS!$G:$G)</f>
        <v/>
      </c>
      <c r="G73" s="8">
        <f>IF(E73&gt;0, F73/E73, 0)</f>
        <v/>
      </c>
      <c r="H73" s="8">
        <f>IF(D73&gt;0, D73-G73, 0)</f>
        <v/>
      </c>
      <c r="I73" s="30">
        <f>IF(D73&gt;0, H73/D73*100, 0)</f>
        <v/>
      </c>
    </row>
    <row r="74">
      <c r="D74" s="8" t="n"/>
      <c r="F74" s="8">
        <f>SUMIF(INGREDIENTS!$A:$A, $A74, INGREDIENTS!$G:$G)</f>
        <v/>
      </c>
      <c r="G74" s="8">
        <f>IF(E74&gt;0, F74/E74, 0)</f>
        <v/>
      </c>
      <c r="H74" s="8">
        <f>IF(D74&gt;0, D74-G74, 0)</f>
        <v/>
      </c>
      <c r="I74" s="30">
        <f>IF(D74&gt;0, H74/D74*100, 0)</f>
        <v/>
      </c>
    </row>
    <row r="75">
      <c r="D75" s="8" t="n"/>
      <c r="F75" s="8">
        <f>SUMIF(INGREDIENTS!$A:$A, $A75, INGREDIENTS!$G:$G)</f>
        <v/>
      </c>
      <c r="G75" s="8">
        <f>IF(E75&gt;0, F75/E75, 0)</f>
        <v/>
      </c>
      <c r="H75" s="8">
        <f>IF(D75&gt;0, D75-G75, 0)</f>
        <v/>
      </c>
      <c r="I75" s="30">
        <f>IF(D75&gt;0, H75/D75*100, 0)</f>
        <v/>
      </c>
    </row>
    <row r="76">
      <c r="D76" s="8" t="n"/>
      <c r="F76" s="8">
        <f>SUMIF(INGREDIENTS!$A:$A, $A76, INGREDIENTS!$G:$G)</f>
        <v/>
      </c>
      <c r="G76" s="8">
        <f>IF(E76&gt;0, F76/E76, 0)</f>
        <v/>
      </c>
      <c r="H76" s="8">
        <f>IF(D76&gt;0, D76-G76, 0)</f>
        <v/>
      </c>
      <c r="I76" s="30">
        <f>IF(D76&gt;0, H76/D76*100, 0)</f>
        <v/>
      </c>
    </row>
    <row r="77">
      <c r="D77" s="8" t="n"/>
      <c r="F77" s="8">
        <f>SUMIF(INGREDIENTS!$A:$A, $A77, INGREDIENTS!$G:$G)</f>
        <v/>
      </c>
      <c r="G77" s="8">
        <f>IF(E77&gt;0, F77/E77, 0)</f>
        <v/>
      </c>
      <c r="H77" s="8">
        <f>IF(D77&gt;0, D77-G77, 0)</f>
        <v/>
      </c>
      <c r="I77" s="30">
        <f>IF(D77&gt;0, H77/D77*100, 0)</f>
        <v/>
      </c>
    </row>
    <row r="78">
      <c r="D78" s="8" t="n"/>
      <c r="F78" s="8">
        <f>SUMIF(INGREDIENTS!$A:$A, $A78, INGREDIENTS!$G:$G)</f>
        <v/>
      </c>
      <c r="G78" s="8">
        <f>IF(E78&gt;0, F78/E78, 0)</f>
        <v/>
      </c>
      <c r="H78" s="8">
        <f>IF(D78&gt;0, D78-G78, 0)</f>
        <v/>
      </c>
      <c r="I78" s="30">
        <f>IF(D78&gt;0, H78/D78*100, 0)</f>
        <v/>
      </c>
    </row>
    <row r="79">
      <c r="D79" s="8" t="n"/>
      <c r="F79" s="8">
        <f>SUMIF(INGREDIENTS!$A:$A, $A79, INGREDIENTS!$G:$G)</f>
        <v/>
      </c>
      <c r="G79" s="8">
        <f>IF(E79&gt;0, F79/E79, 0)</f>
        <v/>
      </c>
      <c r="H79" s="8">
        <f>IF(D79&gt;0, D79-G79, 0)</f>
        <v/>
      </c>
      <c r="I79" s="30">
        <f>IF(D79&gt;0, H79/D79*100, 0)</f>
        <v/>
      </c>
    </row>
    <row r="80">
      <c r="D80" s="8" t="n"/>
      <c r="F80" s="8">
        <f>SUMIF(INGREDIENTS!$A:$A, $A80, INGREDIENTS!$G:$G)</f>
        <v/>
      </c>
      <c r="G80" s="8">
        <f>IF(E80&gt;0, F80/E80, 0)</f>
        <v/>
      </c>
      <c r="H80" s="8">
        <f>IF(D80&gt;0, D80-G80, 0)</f>
        <v/>
      </c>
      <c r="I80" s="30">
        <f>IF(D80&gt;0, H80/D80*100, 0)</f>
        <v/>
      </c>
    </row>
    <row r="81">
      <c r="D81" s="8" t="n"/>
      <c r="F81" s="8">
        <f>SUMIF(INGREDIENTS!$A:$A, $A81, INGREDIENTS!$G:$G)</f>
        <v/>
      </c>
      <c r="G81" s="8">
        <f>IF(E81&gt;0, F81/E81, 0)</f>
        <v/>
      </c>
      <c r="H81" s="8">
        <f>IF(D81&gt;0, D81-G81, 0)</f>
        <v/>
      </c>
      <c r="I81" s="30">
        <f>IF(D81&gt;0, H81/D81*100, 0)</f>
        <v/>
      </c>
    </row>
    <row r="82">
      <c r="D82" s="8" t="n"/>
      <c r="F82" s="8">
        <f>SUMIF(INGREDIENTS!$A:$A, $A82, INGREDIENTS!$G:$G)</f>
        <v/>
      </c>
      <c r="G82" s="8">
        <f>IF(E82&gt;0, F82/E82, 0)</f>
        <v/>
      </c>
      <c r="H82" s="8">
        <f>IF(D82&gt;0, D82-G82, 0)</f>
        <v/>
      </c>
      <c r="I82" s="30">
        <f>IF(D82&gt;0, H82/D82*100, 0)</f>
        <v/>
      </c>
    </row>
    <row r="83">
      <c r="D83" s="8" t="n"/>
      <c r="F83" s="8">
        <f>SUMIF(INGREDIENTS!$A:$A, $A83, INGREDIENTS!$G:$G)</f>
        <v/>
      </c>
      <c r="G83" s="8">
        <f>IF(E83&gt;0, F83/E83, 0)</f>
        <v/>
      </c>
      <c r="H83" s="8">
        <f>IF(D83&gt;0, D83-G83, 0)</f>
        <v/>
      </c>
      <c r="I83" s="30">
        <f>IF(D83&gt;0, H83/D83*100, 0)</f>
        <v/>
      </c>
    </row>
    <row r="84">
      <c r="D84" s="8" t="n"/>
      <c r="F84" s="8">
        <f>SUMIF(INGREDIENTS!$A:$A, $A84, INGREDIENTS!$G:$G)</f>
        <v/>
      </c>
      <c r="G84" s="8">
        <f>IF(E84&gt;0, F84/E84, 0)</f>
        <v/>
      </c>
      <c r="H84" s="8">
        <f>IF(D84&gt;0, D84-G84, 0)</f>
        <v/>
      </c>
      <c r="I84" s="30">
        <f>IF(D84&gt;0, H84/D84*100, 0)</f>
        <v/>
      </c>
    </row>
    <row r="85">
      <c r="D85" s="8" t="n"/>
      <c r="F85" s="8">
        <f>SUMIF(INGREDIENTS!$A:$A, $A85, INGREDIENTS!$G:$G)</f>
        <v/>
      </c>
      <c r="G85" s="8">
        <f>IF(E85&gt;0, F85/E85, 0)</f>
        <v/>
      </c>
      <c r="H85" s="8">
        <f>IF(D85&gt;0, D85-G85, 0)</f>
        <v/>
      </c>
      <c r="I85" s="30">
        <f>IF(D85&gt;0, H85/D85*100, 0)</f>
        <v/>
      </c>
    </row>
    <row r="86">
      <c r="D86" s="8" t="n"/>
      <c r="F86" s="8">
        <f>SUMIF(INGREDIENTS!$A:$A, $A86, INGREDIENTS!$G:$G)</f>
        <v/>
      </c>
      <c r="G86" s="8">
        <f>IF(E86&gt;0, F86/E86, 0)</f>
        <v/>
      </c>
      <c r="H86" s="8">
        <f>IF(D86&gt;0, D86-G86, 0)</f>
        <v/>
      </c>
      <c r="I86" s="30">
        <f>IF(D86&gt;0, H86/D86*100, 0)</f>
        <v/>
      </c>
    </row>
    <row r="87">
      <c r="D87" s="8" t="n"/>
      <c r="F87" s="8">
        <f>SUMIF(INGREDIENTS!$A:$A, $A87, INGREDIENTS!$G:$G)</f>
        <v/>
      </c>
      <c r="G87" s="8">
        <f>IF(E87&gt;0, F87/E87, 0)</f>
        <v/>
      </c>
      <c r="H87" s="8">
        <f>IF(D87&gt;0, D87-G87, 0)</f>
        <v/>
      </c>
      <c r="I87" s="30">
        <f>IF(D87&gt;0, H87/D87*100, 0)</f>
        <v/>
      </c>
    </row>
    <row r="88">
      <c r="D88" s="8" t="n"/>
      <c r="F88" s="8">
        <f>SUMIF(INGREDIENTS!$A:$A, $A88, INGREDIENTS!$G:$G)</f>
        <v/>
      </c>
      <c r="G88" s="8">
        <f>IF(E88&gt;0, F88/E88, 0)</f>
        <v/>
      </c>
      <c r="H88" s="8">
        <f>IF(D88&gt;0, D88-G88, 0)</f>
        <v/>
      </c>
      <c r="I88" s="30">
        <f>IF(D88&gt;0, H88/D88*100, 0)</f>
        <v/>
      </c>
    </row>
    <row r="89">
      <c r="D89" s="8" t="n"/>
      <c r="F89" s="8">
        <f>SUMIF(INGREDIENTS!$A:$A, $A89, INGREDIENTS!$G:$G)</f>
        <v/>
      </c>
      <c r="G89" s="8">
        <f>IF(E89&gt;0, F89/E89, 0)</f>
        <v/>
      </c>
      <c r="H89" s="8">
        <f>IF(D89&gt;0, D89-G89, 0)</f>
        <v/>
      </c>
      <c r="I89" s="30">
        <f>IF(D89&gt;0, H89/D89*100, 0)</f>
        <v/>
      </c>
    </row>
    <row r="90">
      <c r="D90" s="8" t="n"/>
      <c r="F90" s="8">
        <f>SUMIF(INGREDIENTS!$A:$A, $A90, INGREDIENTS!$G:$G)</f>
        <v/>
      </c>
      <c r="G90" s="8">
        <f>IF(E90&gt;0, F90/E90, 0)</f>
        <v/>
      </c>
      <c r="H90" s="8">
        <f>IF(D90&gt;0, D90-G90, 0)</f>
        <v/>
      </c>
      <c r="I90" s="30">
        <f>IF(D90&gt;0, H90/D90*100, 0)</f>
        <v/>
      </c>
    </row>
    <row r="91">
      <c r="D91" s="8" t="n"/>
      <c r="F91" s="8">
        <f>SUMIF(INGREDIENTS!$A:$A, $A91, INGREDIENTS!$G:$G)</f>
        <v/>
      </c>
      <c r="G91" s="8">
        <f>IF(E91&gt;0, F91/E91, 0)</f>
        <v/>
      </c>
      <c r="H91" s="8">
        <f>IF(D91&gt;0, D91-G91, 0)</f>
        <v/>
      </c>
      <c r="I91" s="30">
        <f>IF(D91&gt;0, H91/D91*100, 0)</f>
        <v/>
      </c>
    </row>
    <row r="92">
      <c r="D92" s="8" t="n"/>
      <c r="F92" s="8">
        <f>SUMIF(INGREDIENTS!$A:$A, $A92, INGREDIENTS!$G:$G)</f>
        <v/>
      </c>
      <c r="G92" s="8">
        <f>IF(E92&gt;0, F92/E92, 0)</f>
        <v/>
      </c>
      <c r="H92" s="8">
        <f>IF(D92&gt;0, D92-G92, 0)</f>
        <v/>
      </c>
      <c r="I92" s="30">
        <f>IF(D92&gt;0, H92/D92*100, 0)</f>
        <v/>
      </c>
    </row>
    <row r="93">
      <c r="D93" s="8" t="n"/>
      <c r="F93" s="8">
        <f>SUMIF(INGREDIENTS!$A:$A, $A93, INGREDIENTS!$G:$G)</f>
        <v/>
      </c>
      <c r="G93" s="8">
        <f>IF(E93&gt;0, F93/E93, 0)</f>
        <v/>
      </c>
      <c r="H93" s="8">
        <f>IF(D93&gt;0, D93-G93, 0)</f>
        <v/>
      </c>
      <c r="I93" s="30">
        <f>IF(D93&gt;0, H93/D93*100, 0)</f>
        <v/>
      </c>
    </row>
    <row r="94">
      <c r="D94" s="8" t="n"/>
      <c r="F94" s="8">
        <f>SUMIF(INGREDIENTS!$A:$A, $A94, INGREDIENTS!$G:$G)</f>
        <v/>
      </c>
      <c r="G94" s="8">
        <f>IF(E94&gt;0, F94/E94, 0)</f>
        <v/>
      </c>
      <c r="H94" s="8">
        <f>IF(D94&gt;0, D94-G94, 0)</f>
        <v/>
      </c>
      <c r="I94" s="30">
        <f>IF(D94&gt;0, H94/D94*100, 0)</f>
        <v/>
      </c>
    </row>
    <row r="95">
      <c r="D95" s="8" t="n"/>
      <c r="F95" s="8">
        <f>SUMIF(INGREDIENTS!$A:$A, $A95, INGREDIENTS!$G:$G)</f>
        <v/>
      </c>
      <c r="G95" s="8">
        <f>IF(E95&gt;0, F95/E95, 0)</f>
        <v/>
      </c>
      <c r="H95" s="8">
        <f>IF(D95&gt;0, D95-G95, 0)</f>
        <v/>
      </c>
      <c r="I95" s="30">
        <f>IF(D95&gt;0, H95/D95*100, 0)</f>
        <v/>
      </c>
    </row>
    <row r="96">
      <c r="D96" s="8" t="n"/>
      <c r="F96" s="8">
        <f>SUMIF(INGREDIENTS!$A:$A, $A96, INGREDIENTS!$G:$G)</f>
        <v/>
      </c>
      <c r="G96" s="8">
        <f>IF(E96&gt;0, F96/E96, 0)</f>
        <v/>
      </c>
      <c r="H96" s="8">
        <f>IF(D96&gt;0, D96-G96, 0)</f>
        <v/>
      </c>
      <c r="I96" s="30">
        <f>IF(D96&gt;0, H96/D96*100, 0)</f>
        <v/>
      </c>
    </row>
    <row r="97">
      <c r="D97" s="8" t="n"/>
      <c r="F97" s="8">
        <f>SUMIF(INGREDIENTS!$A:$A, $A97, INGREDIENTS!$G:$G)</f>
        <v/>
      </c>
      <c r="G97" s="8">
        <f>IF(E97&gt;0, F97/E97, 0)</f>
        <v/>
      </c>
      <c r="H97" s="8">
        <f>IF(D97&gt;0, D97-G97, 0)</f>
        <v/>
      </c>
      <c r="I97" s="30">
        <f>IF(D97&gt;0, H97/D97*100, 0)</f>
        <v/>
      </c>
    </row>
    <row r="98">
      <c r="D98" s="8" t="n"/>
      <c r="F98" s="8">
        <f>SUMIF(INGREDIENTS!$A:$A, $A98, INGREDIENTS!$G:$G)</f>
        <v/>
      </c>
      <c r="G98" s="8">
        <f>IF(E98&gt;0, F98/E98, 0)</f>
        <v/>
      </c>
      <c r="H98" s="8">
        <f>IF(D98&gt;0, D98-G98, 0)</f>
        <v/>
      </c>
      <c r="I98" s="30">
        <f>IF(D98&gt;0, H98/D98*100, 0)</f>
        <v/>
      </c>
    </row>
    <row r="99">
      <c r="D99" s="8" t="n"/>
      <c r="F99" s="8">
        <f>SUMIF(INGREDIENTS!$A:$A, $A99, INGREDIENTS!$G:$G)</f>
        <v/>
      </c>
      <c r="G99" s="8">
        <f>IF(E99&gt;0, F99/E99, 0)</f>
        <v/>
      </c>
      <c r="H99" s="8">
        <f>IF(D99&gt;0, D99-G99, 0)</f>
        <v/>
      </c>
      <c r="I99" s="30">
        <f>IF(D99&gt;0, H99/D99*100, 0)</f>
        <v/>
      </c>
    </row>
  </sheetData>
  <mergeCells count="2">
    <mergeCell ref="A3:M3"/>
    <mergeCell ref="A1:M1"/>
  </mergeCells>
  <dataValidations count="2">
    <dataValidation sqref="K5:K100" showDropDown="0" showInputMessage="0" showErrorMessage="0" allowBlank="0" type="list">
      <formula1>"Facile,Moyen,Difficile,Expert"</formula1>
    </dataValidation>
    <dataValidation sqref="M5:M100" showDropDown="0" showInputMessage="0" showErrorMessage="0" allowBlank="0" type="list">
      <formula1>"✓ Active,✗ Inactive,⏸ Temporaire"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9"/>
  <sheetViews>
    <sheetView workbookViewId="0">
      <selection activeCell="A1" sqref="A1"/>
    </sheetView>
  </sheetViews>
  <sheetFormatPr baseColWidth="8" defaultRowHeight="15"/>
  <sheetData>
    <row r="1">
      <c r="A1" s="33" t="inlineStr">
        <is>
          <t>ID Recette</t>
        </is>
      </c>
      <c r="B1" s="33" t="inlineStr">
        <is>
          <t>Plat</t>
        </is>
      </c>
      <c r="C1" s="33" t="inlineStr">
        <is>
          <t>ID Ingrédient</t>
        </is>
      </c>
      <c r="D1" s="33" t="inlineStr">
        <is>
          <t>Ingrédient</t>
        </is>
      </c>
      <c r="E1" s="33" t="inlineStr">
        <is>
          <t>Quantité</t>
        </is>
      </c>
      <c r="F1" s="33" t="inlineStr">
        <is>
          <t>Unité</t>
        </is>
      </c>
      <c r="G1" s="33" t="inlineStr">
        <is>
          <t>Coût Total</t>
        </is>
      </c>
      <c r="H1" s="33" t="inlineStr">
        <is>
          <t>Prix Achat</t>
        </is>
      </c>
      <c r="I1" s="33" t="inlineStr">
        <is>
          <t>Conditionnement</t>
        </is>
      </c>
    </row>
    <row r="2">
      <c r="A2" t="inlineStr">
        <is>
          <t>R001</t>
        </is>
      </c>
      <c r="B2" t="inlineStr">
        <is>
          <t>Salade César</t>
        </is>
      </c>
      <c r="C2" t="inlineStr">
        <is>
          <t>P010</t>
        </is>
      </c>
      <c r="D2" t="inlineStr">
        <is>
          <t>Laitue Romaine</t>
        </is>
      </c>
      <c r="E2" t="n">
        <v>200</v>
      </c>
      <c r="F2" t="inlineStr">
        <is>
          <t>g</t>
        </is>
      </c>
      <c r="G2" s="8">
        <f>IF(E2="","",E2*H2/1000)</f>
        <v/>
      </c>
      <c r="H2" t="n">
        <v>4</v>
      </c>
      <c r="I2" t="inlineStr">
        <is>
          <t>1 kg</t>
        </is>
      </c>
    </row>
    <row r="3">
      <c r="A3" t="inlineStr">
        <is>
          <t>R001</t>
        </is>
      </c>
      <c r="B3" t="inlineStr">
        <is>
          <t>Salade César</t>
        </is>
      </c>
      <c r="C3" t="inlineStr">
        <is>
          <t>P011</t>
        </is>
      </c>
      <c r="D3" t="inlineStr">
        <is>
          <t>Parmesan</t>
        </is>
      </c>
      <c r="E3" t="n">
        <v>50</v>
      </c>
      <c r="F3" t="inlineStr">
        <is>
          <t>g</t>
        </is>
      </c>
      <c r="G3" s="8">
        <f>IF(E3="","",E3*H3/1000)</f>
        <v/>
      </c>
      <c r="H3" t="n">
        <v>24</v>
      </c>
      <c r="I3" t="inlineStr">
        <is>
          <t>1 kg</t>
        </is>
      </c>
    </row>
    <row r="4">
      <c r="A4" t="inlineStr">
        <is>
          <t>R001</t>
        </is>
      </c>
      <c r="B4" t="inlineStr">
        <is>
          <t>Salade César</t>
        </is>
      </c>
      <c r="C4" t="inlineStr">
        <is>
          <t>P012</t>
        </is>
      </c>
      <c r="D4" t="inlineStr">
        <is>
          <t>Croûtons</t>
        </is>
      </c>
      <c r="E4" t="n">
        <v>30</v>
      </c>
      <c r="F4" t="inlineStr">
        <is>
          <t>g</t>
        </is>
      </c>
      <c r="G4" s="8">
        <f>IF(E4="","",E4*H4/1000)</f>
        <v/>
      </c>
      <c r="H4" t="n">
        <v>10</v>
      </c>
      <c r="I4" t="inlineStr">
        <is>
          <t>500 g</t>
        </is>
      </c>
    </row>
    <row r="5">
      <c r="A5" t="inlineStr">
        <is>
          <t>R001</t>
        </is>
      </c>
      <c r="B5" t="inlineStr">
        <is>
          <t>Salade César</t>
        </is>
      </c>
      <c r="C5" t="inlineStr">
        <is>
          <t>P013</t>
        </is>
      </c>
      <c r="D5" t="inlineStr">
        <is>
          <t>Sauce César</t>
        </is>
      </c>
      <c r="E5" t="n">
        <v>40</v>
      </c>
      <c r="F5" t="inlineStr">
        <is>
          <t>mL</t>
        </is>
      </c>
      <c r="G5" s="8">
        <f>IF(E5="","",E5*H5/1000)</f>
        <v/>
      </c>
      <c r="H5" t="n">
        <v>12.5</v>
      </c>
      <c r="I5" t="inlineStr">
        <is>
          <t>1 L</t>
        </is>
      </c>
    </row>
    <row r="6">
      <c r="A6" t="inlineStr">
        <is>
          <t>R001</t>
        </is>
      </c>
      <c r="B6" t="inlineStr">
        <is>
          <t>Salade César</t>
        </is>
      </c>
      <c r="C6" t="inlineStr">
        <is>
          <t>P014</t>
        </is>
      </c>
      <c r="D6" t="inlineStr">
        <is>
          <t>Blanc de Poulet</t>
        </is>
      </c>
      <c r="E6" t="n">
        <v>100</v>
      </c>
      <c r="F6" t="inlineStr">
        <is>
          <t>g</t>
        </is>
      </c>
      <c r="G6" s="8">
        <f>IF(E6="","",E6*H6/1000)</f>
        <v/>
      </c>
      <c r="H6" t="n">
        <v>15</v>
      </c>
      <c r="I6" t="inlineStr">
        <is>
          <t>1 kg</t>
        </is>
      </c>
    </row>
    <row r="7">
      <c r="G7" s="8">
        <f>IF(E7="","",E7*H7/1000)</f>
        <v/>
      </c>
    </row>
    <row r="8">
      <c r="G8" s="8">
        <f>IF(E8="","",E8*H8/1000)</f>
        <v/>
      </c>
    </row>
    <row r="9">
      <c r="G9" s="8">
        <f>IF(E9="","",E9*H9/1000)</f>
        <v/>
      </c>
    </row>
    <row r="10">
      <c r="G10" s="8">
        <f>IF(E10="","",E10*H10/1000)</f>
        <v/>
      </c>
    </row>
    <row r="11">
      <c r="G11" s="8">
        <f>IF(E11="","",E11*H11/1000)</f>
        <v/>
      </c>
    </row>
    <row r="12">
      <c r="G12" s="8">
        <f>IF(E12="","",E12*H12/1000)</f>
        <v/>
      </c>
    </row>
    <row r="13">
      <c r="G13" s="8">
        <f>IF(E13="","",E13*H13/1000)</f>
        <v/>
      </c>
    </row>
    <row r="14">
      <c r="G14" s="8">
        <f>IF(E14="","",E14*H14/1000)</f>
        <v/>
      </c>
    </row>
    <row r="15">
      <c r="G15" s="8">
        <f>IF(E15="","",E15*H15/1000)</f>
        <v/>
      </c>
    </row>
    <row r="16">
      <c r="G16" s="8">
        <f>IF(E16="","",E16*H16/1000)</f>
        <v/>
      </c>
    </row>
    <row r="17">
      <c r="G17" s="8">
        <f>IF(E17="","",E17*H17/1000)</f>
        <v/>
      </c>
    </row>
    <row r="18">
      <c r="G18" s="8">
        <f>IF(E18="","",E18*H18/1000)</f>
        <v/>
      </c>
    </row>
    <row r="19">
      <c r="G19" s="8">
        <f>IF(E19="","",E19*H19/1000)</f>
        <v/>
      </c>
    </row>
    <row r="20">
      <c r="G20" s="8">
        <f>IF(E20="","",E20*H20/1000)</f>
        <v/>
      </c>
    </row>
    <row r="21">
      <c r="G21" s="8">
        <f>IF(E21="","",E21*H21/1000)</f>
        <v/>
      </c>
    </row>
    <row r="22">
      <c r="G22" s="8">
        <f>IF(E22="","",E22*H22/1000)</f>
        <v/>
      </c>
    </row>
    <row r="23">
      <c r="G23" s="8">
        <f>IF(E23="","",E23*H23/1000)</f>
        <v/>
      </c>
    </row>
    <row r="24">
      <c r="G24" s="8">
        <f>IF(E24="","",E24*H24/1000)</f>
        <v/>
      </c>
    </row>
    <row r="25">
      <c r="G25" s="8">
        <f>IF(E25="","",E25*H25/1000)</f>
        <v/>
      </c>
    </row>
    <row r="26">
      <c r="G26" s="8">
        <f>IF(E26="","",E26*H26/1000)</f>
        <v/>
      </c>
    </row>
    <row r="27">
      <c r="G27" s="8">
        <f>IF(E27="","",E27*H27/1000)</f>
        <v/>
      </c>
    </row>
    <row r="28">
      <c r="G28" s="8">
        <f>IF(E28="","",E28*H28/1000)</f>
        <v/>
      </c>
    </row>
    <row r="29">
      <c r="G29" s="8">
        <f>IF(E29="","",E29*H29/1000)</f>
        <v/>
      </c>
    </row>
    <row r="30">
      <c r="G30" s="8">
        <f>IF(E30="","",E30*H30/1000)</f>
        <v/>
      </c>
    </row>
    <row r="31">
      <c r="G31" s="8">
        <f>IF(E31="","",E31*H31/1000)</f>
        <v/>
      </c>
    </row>
    <row r="32">
      <c r="G32" s="8">
        <f>IF(E32="","",E32*H32/1000)</f>
        <v/>
      </c>
    </row>
    <row r="33">
      <c r="G33" s="8">
        <f>IF(E33="","",E33*H33/1000)</f>
        <v/>
      </c>
    </row>
    <row r="34">
      <c r="G34" s="8">
        <f>IF(E34="","",E34*H34/1000)</f>
        <v/>
      </c>
    </row>
    <row r="35">
      <c r="G35" s="8">
        <f>IF(E35="","",E35*H35/1000)</f>
        <v/>
      </c>
    </row>
    <row r="36">
      <c r="G36" s="8">
        <f>IF(E36="","",E36*H36/1000)</f>
        <v/>
      </c>
    </row>
    <row r="37">
      <c r="G37" s="8">
        <f>IF(E37="","",E37*H37/1000)</f>
        <v/>
      </c>
    </row>
    <row r="38">
      <c r="G38" s="8">
        <f>IF(E38="","",E38*H38/1000)</f>
        <v/>
      </c>
    </row>
    <row r="39">
      <c r="G39" s="8">
        <f>IF(E39="","",E39*H39/1000)</f>
        <v/>
      </c>
    </row>
    <row r="40">
      <c r="G40" s="8">
        <f>IF(E40="","",E40*H40/1000)</f>
        <v/>
      </c>
    </row>
    <row r="41">
      <c r="G41" s="8">
        <f>IF(E41="","",E41*H41/1000)</f>
        <v/>
      </c>
    </row>
    <row r="42">
      <c r="G42" s="8">
        <f>IF(E42="","",E42*H42/1000)</f>
        <v/>
      </c>
    </row>
    <row r="43">
      <c r="G43" s="8">
        <f>IF(E43="","",E43*H43/1000)</f>
        <v/>
      </c>
    </row>
    <row r="44">
      <c r="G44" s="8">
        <f>IF(E44="","",E44*H44/1000)</f>
        <v/>
      </c>
    </row>
    <row r="45">
      <c r="G45" s="8">
        <f>IF(E45="","",E45*H45/1000)</f>
        <v/>
      </c>
    </row>
    <row r="46">
      <c r="G46" s="8">
        <f>IF(E46="","",E46*H46/1000)</f>
        <v/>
      </c>
    </row>
    <row r="47">
      <c r="G47" s="8">
        <f>IF(E47="","",E47*H47/1000)</f>
        <v/>
      </c>
    </row>
    <row r="48">
      <c r="G48" s="8">
        <f>IF(E48="","",E48*H48/1000)</f>
        <v/>
      </c>
    </row>
    <row r="49">
      <c r="G49" s="8">
        <f>IF(E49="","",E49*H49/1000)</f>
        <v/>
      </c>
    </row>
    <row r="50">
      <c r="G50" s="8">
        <f>IF(E50="","",E50*H50/1000)</f>
        <v/>
      </c>
    </row>
    <row r="51">
      <c r="G51" s="8">
        <f>IF(E51="","",E51*H51/1000)</f>
        <v/>
      </c>
    </row>
    <row r="52">
      <c r="G52" s="8">
        <f>IF(E52="","",E52*H52/1000)</f>
        <v/>
      </c>
    </row>
    <row r="53">
      <c r="G53" s="8">
        <f>IF(E53="","",E53*H53/1000)</f>
        <v/>
      </c>
    </row>
    <row r="54">
      <c r="G54" s="8">
        <f>IF(E54="","",E54*H54/1000)</f>
        <v/>
      </c>
    </row>
    <row r="55">
      <c r="G55" s="8">
        <f>IF(E55="","",E55*H55/1000)</f>
        <v/>
      </c>
    </row>
    <row r="56">
      <c r="G56" s="8">
        <f>IF(E56="","",E56*H56/1000)</f>
        <v/>
      </c>
    </row>
    <row r="57">
      <c r="G57" s="8">
        <f>IF(E57="","",E57*H57/1000)</f>
        <v/>
      </c>
    </row>
    <row r="58">
      <c r="G58" s="8">
        <f>IF(E58="","",E58*H58/1000)</f>
        <v/>
      </c>
    </row>
    <row r="59">
      <c r="G59" s="8">
        <f>IF(E59="","",E59*H59/1000)</f>
        <v/>
      </c>
    </row>
    <row r="60">
      <c r="G60" s="8">
        <f>IF(E60="","",E60*H60/1000)</f>
        <v/>
      </c>
    </row>
    <row r="61">
      <c r="G61" s="8">
        <f>IF(E61="","",E61*H61/1000)</f>
        <v/>
      </c>
    </row>
    <row r="62">
      <c r="G62" s="8">
        <f>IF(E62="","",E62*H62/1000)</f>
        <v/>
      </c>
    </row>
    <row r="63">
      <c r="G63" s="8">
        <f>IF(E63="","",E63*H63/1000)</f>
        <v/>
      </c>
    </row>
    <row r="64">
      <c r="G64" s="8">
        <f>IF(E64="","",E64*H64/1000)</f>
        <v/>
      </c>
    </row>
    <row r="65">
      <c r="G65" s="8">
        <f>IF(E65="","",E65*H65/1000)</f>
        <v/>
      </c>
    </row>
    <row r="66">
      <c r="G66" s="8">
        <f>IF(E66="","",E66*H66/1000)</f>
        <v/>
      </c>
    </row>
    <row r="67">
      <c r="G67" s="8">
        <f>IF(E67="","",E67*H67/1000)</f>
        <v/>
      </c>
    </row>
    <row r="68">
      <c r="G68" s="8">
        <f>IF(E68="","",E68*H68/1000)</f>
        <v/>
      </c>
    </row>
    <row r="69">
      <c r="G69" s="8">
        <f>IF(E69="","",E69*H69/1000)</f>
        <v/>
      </c>
    </row>
    <row r="70">
      <c r="G70" s="8">
        <f>IF(E70="","",E70*H70/1000)</f>
        <v/>
      </c>
    </row>
    <row r="71">
      <c r="G71" s="8">
        <f>IF(E71="","",E71*H71/1000)</f>
        <v/>
      </c>
    </row>
    <row r="72">
      <c r="G72" s="8">
        <f>IF(E72="","",E72*H72/1000)</f>
        <v/>
      </c>
    </row>
    <row r="73">
      <c r="G73" s="8">
        <f>IF(E73="","",E73*H73/1000)</f>
        <v/>
      </c>
    </row>
    <row r="74">
      <c r="G74" s="8">
        <f>IF(E74="","",E74*H74/1000)</f>
        <v/>
      </c>
    </row>
    <row r="75">
      <c r="G75" s="8">
        <f>IF(E75="","",E75*H75/1000)</f>
        <v/>
      </c>
    </row>
    <row r="76">
      <c r="G76" s="8">
        <f>IF(E76="","",E76*H76/1000)</f>
        <v/>
      </c>
    </row>
    <row r="77">
      <c r="G77" s="8">
        <f>IF(E77="","",E77*H77/1000)</f>
        <v/>
      </c>
    </row>
    <row r="78">
      <c r="G78" s="8">
        <f>IF(E78="","",E78*H78/1000)</f>
        <v/>
      </c>
    </row>
    <row r="79">
      <c r="G79" s="8">
        <f>IF(E79="","",E79*H79/1000)</f>
        <v/>
      </c>
    </row>
    <row r="80">
      <c r="G80" s="8">
        <f>IF(E80="","",E80*H80/1000)</f>
        <v/>
      </c>
    </row>
    <row r="81">
      <c r="G81" s="8">
        <f>IF(E81="","",E81*H81/1000)</f>
        <v/>
      </c>
    </row>
    <row r="82">
      <c r="G82" s="8">
        <f>IF(E82="","",E82*H82/1000)</f>
        <v/>
      </c>
    </row>
    <row r="83">
      <c r="G83" s="8">
        <f>IF(E83="","",E83*H83/1000)</f>
        <v/>
      </c>
    </row>
    <row r="84">
      <c r="G84" s="8">
        <f>IF(E84="","",E84*H84/1000)</f>
        <v/>
      </c>
    </row>
    <row r="85">
      <c r="G85" s="8">
        <f>IF(E85="","",E85*H85/1000)</f>
        <v/>
      </c>
    </row>
    <row r="86">
      <c r="G86" s="8">
        <f>IF(E86="","",E86*H86/1000)</f>
        <v/>
      </c>
    </row>
    <row r="87">
      <c r="G87" s="8">
        <f>IF(E87="","",E87*H87/1000)</f>
        <v/>
      </c>
    </row>
    <row r="88">
      <c r="G88" s="8">
        <f>IF(E88="","",E88*H88/1000)</f>
        <v/>
      </c>
    </row>
    <row r="89">
      <c r="G89" s="8">
        <f>IF(E89="","",E89*H89/1000)</f>
        <v/>
      </c>
    </row>
    <row r="90">
      <c r="G90" s="8">
        <f>IF(E90="","",E90*H90/1000)</f>
        <v/>
      </c>
    </row>
    <row r="91">
      <c r="G91" s="8">
        <f>IF(E91="","",E91*H91/1000)</f>
        <v/>
      </c>
    </row>
    <row r="92">
      <c r="G92" s="8">
        <f>IF(E92="","",E92*H92/1000)</f>
        <v/>
      </c>
    </row>
    <row r="93">
      <c r="G93" s="8">
        <f>IF(E93="","",E93*H93/1000)</f>
        <v/>
      </c>
    </row>
    <row r="94">
      <c r="G94" s="8">
        <f>IF(E94="","",E94*H94/1000)</f>
        <v/>
      </c>
    </row>
    <row r="95">
      <c r="G95" s="8">
        <f>IF(E95="","",E95*H95/1000)</f>
        <v/>
      </c>
    </row>
    <row r="96">
      <c r="G96" s="8">
        <f>IF(E96="","",E96*H96/1000)</f>
        <v/>
      </c>
    </row>
    <row r="97">
      <c r="G97" s="8">
        <f>IF(E97="","",E97*H97/1000)</f>
        <v/>
      </c>
    </row>
    <row r="98">
      <c r="G98" s="8">
        <f>IF(E98="","",E98*H98/1000)</f>
        <v/>
      </c>
    </row>
    <row r="99">
      <c r="G99" s="8">
        <f>IF(E99="","",E99*H99/1000)</f>
        <v/>
      </c>
    </row>
    <row r="100">
      <c r="G100" s="8">
        <f>IF(E100="","",E100*H100/1000)</f>
        <v/>
      </c>
    </row>
    <row r="101">
      <c r="G101" s="8">
        <f>IF(E101="","",E101*H101/1000)</f>
        <v/>
      </c>
    </row>
    <row r="102">
      <c r="G102" s="8">
        <f>IF(E102="","",E102*H102/1000)</f>
        <v/>
      </c>
    </row>
    <row r="103">
      <c r="G103" s="8">
        <f>IF(E103="","",E103*H103/1000)</f>
        <v/>
      </c>
    </row>
    <row r="104">
      <c r="G104" s="8">
        <f>IF(E104="","",E104*H104/1000)</f>
        <v/>
      </c>
    </row>
    <row r="105">
      <c r="G105" s="8">
        <f>IF(E105="","",E105*H105/1000)</f>
        <v/>
      </c>
    </row>
    <row r="106">
      <c r="G106" s="8">
        <f>IF(E106="","",E106*H106/1000)</f>
        <v/>
      </c>
    </row>
    <row r="107">
      <c r="G107" s="8">
        <f>IF(E107="","",E107*H107/1000)</f>
        <v/>
      </c>
    </row>
    <row r="108">
      <c r="G108" s="8">
        <f>IF(E108="","",E108*H108/1000)</f>
        <v/>
      </c>
    </row>
    <row r="109">
      <c r="G109" s="8">
        <f>IF(E109="","",E109*H109/1000)</f>
        <v/>
      </c>
    </row>
    <row r="110">
      <c r="G110" s="8">
        <f>IF(E110="","",E110*H110/1000)</f>
        <v/>
      </c>
    </row>
    <row r="111">
      <c r="G111" s="8">
        <f>IF(E111="","",E111*H111/1000)</f>
        <v/>
      </c>
    </row>
    <row r="112">
      <c r="G112" s="8">
        <f>IF(E112="","",E112*H112/1000)</f>
        <v/>
      </c>
    </row>
    <row r="113">
      <c r="G113" s="8">
        <f>IF(E113="","",E113*H113/1000)</f>
        <v/>
      </c>
    </row>
    <row r="114">
      <c r="G114" s="8">
        <f>IF(E114="","",E114*H114/1000)</f>
        <v/>
      </c>
    </row>
    <row r="115">
      <c r="G115" s="8">
        <f>IF(E115="","",E115*H115/1000)</f>
        <v/>
      </c>
    </row>
    <row r="116">
      <c r="G116" s="8">
        <f>IF(E116="","",E116*H116/1000)</f>
        <v/>
      </c>
    </row>
    <row r="117">
      <c r="G117" s="8">
        <f>IF(E117="","",E117*H117/1000)</f>
        <v/>
      </c>
    </row>
    <row r="118">
      <c r="G118" s="8">
        <f>IF(E118="","",E118*H118/1000)</f>
        <v/>
      </c>
    </row>
    <row r="119">
      <c r="G119" s="8">
        <f>IF(E119="","",E119*H119/1000)</f>
        <v/>
      </c>
    </row>
    <row r="120">
      <c r="G120" s="8">
        <f>IF(E120="","",E120*H120/1000)</f>
        <v/>
      </c>
    </row>
    <row r="121">
      <c r="G121" s="8">
        <f>IF(E121="","",E121*H121/1000)</f>
        <v/>
      </c>
    </row>
    <row r="122">
      <c r="G122" s="8">
        <f>IF(E122="","",E122*H122/1000)</f>
        <v/>
      </c>
    </row>
    <row r="123">
      <c r="G123" s="8">
        <f>IF(E123="","",E123*H123/1000)</f>
        <v/>
      </c>
    </row>
    <row r="124">
      <c r="G124" s="8">
        <f>IF(E124="","",E124*H124/1000)</f>
        <v/>
      </c>
    </row>
    <row r="125">
      <c r="G125" s="8">
        <f>IF(E125="","",E125*H125/1000)</f>
        <v/>
      </c>
    </row>
    <row r="126">
      <c r="G126" s="8">
        <f>IF(E126="","",E126*H126/1000)</f>
        <v/>
      </c>
    </row>
    <row r="127">
      <c r="G127" s="8">
        <f>IF(E127="","",E127*H127/1000)</f>
        <v/>
      </c>
    </row>
    <row r="128">
      <c r="G128" s="8">
        <f>IF(E128="","",E128*H128/1000)</f>
        <v/>
      </c>
    </row>
    <row r="129">
      <c r="G129" s="8">
        <f>IF(E129="","",E129*H129/1000)</f>
        <v/>
      </c>
    </row>
    <row r="130">
      <c r="G130" s="8">
        <f>IF(E130="","",E130*H130/1000)</f>
        <v/>
      </c>
    </row>
    <row r="131">
      <c r="G131" s="8">
        <f>IF(E131="","",E131*H131/1000)</f>
        <v/>
      </c>
    </row>
    <row r="132">
      <c r="G132" s="8">
        <f>IF(E132="","",E132*H132/1000)</f>
        <v/>
      </c>
    </row>
    <row r="133">
      <c r="G133" s="8">
        <f>IF(E133="","",E133*H133/1000)</f>
        <v/>
      </c>
    </row>
    <row r="134">
      <c r="G134" s="8">
        <f>IF(E134="","",E134*H134/1000)</f>
        <v/>
      </c>
    </row>
    <row r="135">
      <c r="G135" s="8">
        <f>IF(E135="","",E135*H135/1000)</f>
        <v/>
      </c>
    </row>
    <row r="136">
      <c r="G136" s="8">
        <f>IF(E136="","",E136*H136/1000)</f>
        <v/>
      </c>
    </row>
    <row r="137">
      <c r="G137" s="8">
        <f>IF(E137="","",E137*H137/1000)</f>
        <v/>
      </c>
    </row>
    <row r="138">
      <c r="G138" s="8">
        <f>IF(E138="","",E138*H138/1000)</f>
        <v/>
      </c>
    </row>
    <row r="139">
      <c r="G139" s="8">
        <f>IF(E139="","",E139*H139/1000)</f>
        <v/>
      </c>
    </row>
    <row r="140">
      <c r="G140" s="8">
        <f>IF(E140="","",E140*H140/1000)</f>
        <v/>
      </c>
    </row>
    <row r="141">
      <c r="G141" s="8">
        <f>IF(E141="","",E141*H141/1000)</f>
        <v/>
      </c>
    </row>
    <row r="142">
      <c r="G142" s="8">
        <f>IF(E142="","",E142*H142/1000)</f>
        <v/>
      </c>
    </row>
    <row r="143">
      <c r="G143" s="8">
        <f>IF(E143="","",E143*H143/1000)</f>
        <v/>
      </c>
    </row>
    <row r="144">
      <c r="G144" s="8">
        <f>IF(E144="","",E144*H144/1000)</f>
        <v/>
      </c>
    </row>
    <row r="145">
      <c r="G145" s="8">
        <f>IF(E145="","",E145*H145/1000)</f>
        <v/>
      </c>
    </row>
    <row r="146">
      <c r="G146" s="8">
        <f>IF(E146="","",E146*H146/1000)</f>
        <v/>
      </c>
    </row>
    <row r="147">
      <c r="G147" s="8">
        <f>IF(E147="","",E147*H147/1000)</f>
        <v/>
      </c>
    </row>
    <row r="148">
      <c r="G148" s="8">
        <f>IF(E148="","",E148*H148/1000)</f>
        <v/>
      </c>
    </row>
    <row r="149">
      <c r="G149" s="8">
        <f>IF(E149="","",E149*H149/1000)</f>
        <v/>
      </c>
    </row>
    <row r="150">
      <c r="G150" s="8">
        <f>IF(E150="","",E150*H150/1000)</f>
        <v/>
      </c>
    </row>
    <row r="151">
      <c r="G151" s="8">
        <f>IF(E151="","",E151*H151/1000)</f>
        <v/>
      </c>
    </row>
    <row r="152">
      <c r="G152" s="8">
        <f>IF(E152="","",E152*H152/1000)</f>
        <v/>
      </c>
    </row>
    <row r="153">
      <c r="G153" s="8">
        <f>IF(E153="","",E153*H153/1000)</f>
        <v/>
      </c>
    </row>
    <row r="154">
      <c r="G154" s="8">
        <f>IF(E154="","",E154*H154/1000)</f>
        <v/>
      </c>
    </row>
    <row r="155">
      <c r="G155" s="8">
        <f>IF(E155="","",E155*H155/1000)</f>
        <v/>
      </c>
    </row>
    <row r="156">
      <c r="G156" s="8">
        <f>IF(E156="","",E156*H156/1000)</f>
        <v/>
      </c>
    </row>
    <row r="157">
      <c r="G157" s="8">
        <f>IF(E157="","",E157*H157/1000)</f>
        <v/>
      </c>
    </row>
    <row r="158">
      <c r="G158" s="8">
        <f>IF(E158="","",E158*H158/1000)</f>
        <v/>
      </c>
    </row>
    <row r="159">
      <c r="G159" s="8">
        <f>IF(E159="","",E159*H159/1000)</f>
        <v/>
      </c>
    </row>
    <row r="160">
      <c r="G160" s="8">
        <f>IF(E160="","",E160*H160/1000)</f>
        <v/>
      </c>
    </row>
    <row r="161">
      <c r="G161" s="8">
        <f>IF(E161="","",E161*H161/1000)</f>
        <v/>
      </c>
    </row>
    <row r="162">
      <c r="G162" s="8">
        <f>IF(E162="","",E162*H162/1000)</f>
        <v/>
      </c>
    </row>
    <row r="163">
      <c r="G163" s="8">
        <f>IF(E163="","",E163*H163/1000)</f>
        <v/>
      </c>
    </row>
    <row r="164">
      <c r="G164" s="8">
        <f>IF(E164="","",E164*H164/1000)</f>
        <v/>
      </c>
    </row>
    <row r="165">
      <c r="G165" s="8">
        <f>IF(E165="","",E165*H165/1000)</f>
        <v/>
      </c>
    </row>
    <row r="166">
      <c r="G166" s="8">
        <f>IF(E166="","",E166*H166/1000)</f>
        <v/>
      </c>
    </row>
    <row r="167">
      <c r="G167" s="8">
        <f>IF(E167="","",E167*H167/1000)</f>
        <v/>
      </c>
    </row>
    <row r="168">
      <c r="G168" s="8">
        <f>IF(E168="","",E168*H168/1000)</f>
        <v/>
      </c>
    </row>
    <row r="169">
      <c r="G169" s="8">
        <f>IF(E169="","",E169*H169/1000)</f>
        <v/>
      </c>
    </row>
    <row r="170">
      <c r="G170" s="8">
        <f>IF(E170="","",E170*H170/1000)</f>
        <v/>
      </c>
    </row>
    <row r="171">
      <c r="G171" s="8">
        <f>IF(E171="","",E171*H171/1000)</f>
        <v/>
      </c>
    </row>
    <row r="172">
      <c r="G172" s="8">
        <f>IF(E172="","",E172*H172/1000)</f>
        <v/>
      </c>
    </row>
    <row r="173">
      <c r="G173" s="8">
        <f>IF(E173="","",E173*H173/1000)</f>
        <v/>
      </c>
    </row>
    <row r="174">
      <c r="G174" s="8">
        <f>IF(E174="","",E174*H174/1000)</f>
        <v/>
      </c>
    </row>
    <row r="175">
      <c r="G175" s="8">
        <f>IF(E175="","",E175*H175/1000)</f>
        <v/>
      </c>
    </row>
    <row r="176">
      <c r="G176" s="8">
        <f>IF(E176="","",E176*H176/1000)</f>
        <v/>
      </c>
    </row>
    <row r="177">
      <c r="G177" s="8">
        <f>IF(E177="","",E177*H177/1000)</f>
        <v/>
      </c>
    </row>
    <row r="178">
      <c r="G178" s="8">
        <f>IF(E178="","",E178*H178/1000)</f>
        <v/>
      </c>
    </row>
    <row r="179">
      <c r="G179" s="8">
        <f>IF(E179="","",E179*H179/1000)</f>
        <v/>
      </c>
    </row>
    <row r="180">
      <c r="G180" s="8">
        <f>IF(E180="","",E180*H180/1000)</f>
        <v/>
      </c>
    </row>
    <row r="181">
      <c r="G181" s="8">
        <f>IF(E181="","",E181*H181/1000)</f>
        <v/>
      </c>
    </row>
    <row r="182">
      <c r="G182" s="8">
        <f>IF(E182="","",E182*H182/1000)</f>
        <v/>
      </c>
    </row>
    <row r="183">
      <c r="G183" s="8">
        <f>IF(E183="","",E183*H183/1000)</f>
        <v/>
      </c>
    </row>
    <row r="184">
      <c r="G184" s="8">
        <f>IF(E184="","",E184*H184/1000)</f>
        <v/>
      </c>
    </row>
    <row r="185">
      <c r="G185" s="8">
        <f>IF(E185="","",E185*H185/1000)</f>
        <v/>
      </c>
    </row>
    <row r="186">
      <c r="G186" s="8">
        <f>IF(E186="","",E186*H186/1000)</f>
        <v/>
      </c>
    </row>
    <row r="187">
      <c r="G187" s="8">
        <f>IF(E187="","",E187*H187/1000)</f>
        <v/>
      </c>
    </row>
    <row r="188">
      <c r="G188" s="8">
        <f>IF(E188="","",E188*H188/1000)</f>
        <v/>
      </c>
    </row>
    <row r="189">
      <c r="G189" s="8">
        <f>IF(E189="","",E189*H189/1000)</f>
        <v/>
      </c>
    </row>
    <row r="190">
      <c r="G190" s="8">
        <f>IF(E190="","",E190*H190/1000)</f>
        <v/>
      </c>
    </row>
    <row r="191">
      <c r="G191" s="8">
        <f>IF(E191="","",E191*H191/1000)</f>
        <v/>
      </c>
    </row>
    <row r="192">
      <c r="G192" s="8">
        <f>IF(E192="","",E192*H192/1000)</f>
        <v/>
      </c>
    </row>
    <row r="193">
      <c r="G193" s="8">
        <f>IF(E193="","",E193*H193/1000)</f>
        <v/>
      </c>
    </row>
    <row r="194">
      <c r="G194" s="8">
        <f>IF(E194="","",E194*H194/1000)</f>
        <v/>
      </c>
    </row>
    <row r="195">
      <c r="G195" s="8">
        <f>IF(E195="","",E195*H195/1000)</f>
        <v/>
      </c>
    </row>
    <row r="196">
      <c r="G196" s="8">
        <f>IF(E196="","",E196*H196/1000)</f>
        <v/>
      </c>
    </row>
    <row r="197">
      <c r="G197" s="8">
        <f>IF(E197="","",E197*H197/1000)</f>
        <v/>
      </c>
    </row>
    <row r="198">
      <c r="G198" s="8">
        <f>IF(E198="","",E198*H198/1000)</f>
        <v/>
      </c>
    </row>
    <row r="199">
      <c r="G199" s="8">
        <f>IF(E199="","",E199*H199/1000)</f>
        <v/>
      </c>
    </row>
    <row r="200">
      <c r="G200" s="8">
        <f>IF(E200="","",E200*H200/1000)</f>
        <v/>
      </c>
    </row>
    <row r="201">
      <c r="G201" s="8">
        <f>IF(E201="","",E201*H201/1000)</f>
        <v/>
      </c>
    </row>
    <row r="202">
      <c r="G202" s="8">
        <f>IF(E202="","",E202*H202/1000)</f>
        <v/>
      </c>
    </row>
    <row r="203">
      <c r="G203" s="8">
        <f>IF(E203="","",E203*H203/1000)</f>
        <v/>
      </c>
    </row>
    <row r="204">
      <c r="G204" s="8">
        <f>IF(E204="","",E204*H204/1000)</f>
        <v/>
      </c>
    </row>
    <row r="205">
      <c r="G205" s="8">
        <f>IF(E205="","",E205*H205/1000)</f>
        <v/>
      </c>
    </row>
    <row r="206">
      <c r="G206" s="8">
        <f>IF(E206="","",E206*H206/1000)</f>
        <v/>
      </c>
    </row>
    <row r="207">
      <c r="G207" s="8">
        <f>IF(E207="","",E207*H207/1000)</f>
        <v/>
      </c>
    </row>
    <row r="208">
      <c r="G208" s="8">
        <f>IF(E208="","",E208*H208/1000)</f>
        <v/>
      </c>
    </row>
    <row r="209">
      <c r="G209" s="8">
        <f>IF(E209="","",E209*H209/1000)</f>
        <v/>
      </c>
    </row>
    <row r="210">
      <c r="G210" s="8">
        <f>IF(E210="","",E210*H210/1000)</f>
        <v/>
      </c>
    </row>
    <row r="211">
      <c r="G211" s="8">
        <f>IF(E211="","",E211*H211/1000)</f>
        <v/>
      </c>
    </row>
    <row r="212">
      <c r="G212" s="8">
        <f>IF(E212="","",E212*H212/1000)</f>
        <v/>
      </c>
    </row>
    <row r="213">
      <c r="G213" s="8">
        <f>IF(E213="","",E213*H213/1000)</f>
        <v/>
      </c>
    </row>
    <row r="214">
      <c r="G214" s="8">
        <f>IF(E214="","",E214*H214/1000)</f>
        <v/>
      </c>
    </row>
    <row r="215">
      <c r="G215" s="8">
        <f>IF(E215="","",E215*H215/1000)</f>
        <v/>
      </c>
    </row>
    <row r="216">
      <c r="G216" s="8">
        <f>IF(E216="","",E216*H216/1000)</f>
        <v/>
      </c>
    </row>
    <row r="217">
      <c r="G217" s="8">
        <f>IF(E217="","",E217*H217/1000)</f>
        <v/>
      </c>
    </row>
    <row r="218">
      <c r="G218" s="8">
        <f>IF(E218="","",E218*H218/1000)</f>
        <v/>
      </c>
    </row>
    <row r="219">
      <c r="G219" s="8">
        <f>IF(E219="","",E219*H219/1000)</f>
        <v/>
      </c>
    </row>
    <row r="220">
      <c r="G220" s="8">
        <f>IF(E220="","",E220*H220/1000)</f>
        <v/>
      </c>
    </row>
    <row r="221">
      <c r="G221" s="8">
        <f>IF(E221="","",E221*H221/1000)</f>
        <v/>
      </c>
    </row>
    <row r="222">
      <c r="G222" s="8">
        <f>IF(E222="","",E222*H222/1000)</f>
        <v/>
      </c>
    </row>
    <row r="223">
      <c r="G223" s="8">
        <f>IF(E223="","",E223*H223/1000)</f>
        <v/>
      </c>
    </row>
    <row r="224">
      <c r="G224" s="8">
        <f>IF(E224="","",E224*H224/1000)</f>
        <v/>
      </c>
    </row>
    <row r="225">
      <c r="G225" s="8">
        <f>IF(E225="","",E225*H225/1000)</f>
        <v/>
      </c>
    </row>
    <row r="226">
      <c r="G226" s="8">
        <f>IF(E226="","",E226*H226/1000)</f>
        <v/>
      </c>
    </row>
    <row r="227">
      <c r="G227" s="8">
        <f>IF(E227="","",E227*H227/1000)</f>
        <v/>
      </c>
    </row>
    <row r="228">
      <c r="G228" s="8">
        <f>IF(E228="","",E228*H228/1000)</f>
        <v/>
      </c>
    </row>
    <row r="229">
      <c r="G229" s="8">
        <f>IF(E229="","",E229*H229/1000)</f>
        <v/>
      </c>
    </row>
    <row r="230">
      <c r="G230" s="8">
        <f>IF(E230="","",E230*H230/1000)</f>
        <v/>
      </c>
    </row>
    <row r="231">
      <c r="G231" s="8">
        <f>IF(E231="","",E231*H231/1000)</f>
        <v/>
      </c>
    </row>
    <row r="232">
      <c r="G232" s="8">
        <f>IF(E232="","",E232*H232/1000)</f>
        <v/>
      </c>
    </row>
    <row r="233">
      <c r="G233" s="8">
        <f>IF(E233="","",E233*H233/1000)</f>
        <v/>
      </c>
    </row>
    <row r="234">
      <c r="G234" s="8">
        <f>IF(E234="","",E234*H234/1000)</f>
        <v/>
      </c>
    </row>
    <row r="235">
      <c r="G235" s="8">
        <f>IF(E235="","",E235*H235/1000)</f>
        <v/>
      </c>
    </row>
    <row r="236">
      <c r="G236" s="8">
        <f>IF(E236="","",E236*H236/1000)</f>
        <v/>
      </c>
    </row>
    <row r="237">
      <c r="G237" s="8">
        <f>IF(E237="","",E237*H237/1000)</f>
        <v/>
      </c>
    </row>
    <row r="238">
      <c r="G238" s="8">
        <f>IF(E238="","",E238*H238/1000)</f>
        <v/>
      </c>
    </row>
    <row r="239">
      <c r="G239" s="8">
        <f>IF(E239="","",E239*H239/1000)</f>
        <v/>
      </c>
    </row>
    <row r="240">
      <c r="G240" s="8">
        <f>IF(E240="","",E240*H240/1000)</f>
        <v/>
      </c>
    </row>
    <row r="241">
      <c r="G241" s="8">
        <f>IF(E241="","",E241*H241/1000)</f>
        <v/>
      </c>
    </row>
    <row r="242">
      <c r="G242" s="8">
        <f>IF(E242="","",E242*H242/1000)</f>
        <v/>
      </c>
    </row>
    <row r="243">
      <c r="G243" s="8">
        <f>IF(E243="","",E243*H243/1000)</f>
        <v/>
      </c>
    </row>
    <row r="244">
      <c r="G244" s="8">
        <f>IF(E244="","",E244*H244/1000)</f>
        <v/>
      </c>
    </row>
    <row r="245">
      <c r="G245" s="8">
        <f>IF(E245="","",E245*H245/1000)</f>
        <v/>
      </c>
    </row>
    <row r="246">
      <c r="G246" s="8">
        <f>IF(E246="","",E246*H246/1000)</f>
        <v/>
      </c>
    </row>
    <row r="247">
      <c r="G247" s="8">
        <f>IF(E247="","",E247*H247/1000)</f>
        <v/>
      </c>
    </row>
    <row r="248">
      <c r="G248" s="8">
        <f>IF(E248="","",E248*H248/1000)</f>
        <v/>
      </c>
    </row>
    <row r="249">
      <c r="G249" s="8">
        <f>IF(E249="","",E249*H249/1000)</f>
        <v/>
      </c>
    </row>
    <row r="250">
      <c r="G250" s="8">
        <f>IF(E250="","",E250*H250/1000)</f>
        <v/>
      </c>
    </row>
    <row r="251">
      <c r="G251" s="8">
        <f>IF(E251="","",E251*H251/1000)</f>
        <v/>
      </c>
    </row>
    <row r="252">
      <c r="G252" s="8">
        <f>IF(E252="","",E252*H252/1000)</f>
        <v/>
      </c>
    </row>
    <row r="253">
      <c r="G253" s="8">
        <f>IF(E253="","",E253*H253/1000)</f>
        <v/>
      </c>
    </row>
    <row r="254">
      <c r="G254" s="8">
        <f>IF(E254="","",E254*H254/1000)</f>
        <v/>
      </c>
    </row>
    <row r="255">
      <c r="G255" s="8">
        <f>IF(E255="","",E255*H255/1000)</f>
        <v/>
      </c>
    </row>
    <row r="256">
      <c r="G256" s="8">
        <f>IF(E256="","",E256*H256/1000)</f>
        <v/>
      </c>
    </row>
    <row r="257">
      <c r="G257" s="8">
        <f>IF(E257="","",E257*H257/1000)</f>
        <v/>
      </c>
    </row>
    <row r="258">
      <c r="G258" s="8">
        <f>IF(E258="","",E258*H258/1000)</f>
        <v/>
      </c>
    </row>
    <row r="259">
      <c r="G259" s="8">
        <f>IF(E259="","",E259*H259/1000)</f>
        <v/>
      </c>
    </row>
    <row r="260">
      <c r="G260" s="8">
        <f>IF(E260="","",E260*H260/1000)</f>
        <v/>
      </c>
    </row>
    <row r="261">
      <c r="G261" s="8">
        <f>IF(E261="","",E261*H261/1000)</f>
        <v/>
      </c>
    </row>
    <row r="262">
      <c r="G262" s="8">
        <f>IF(E262="","",E262*H262/1000)</f>
        <v/>
      </c>
    </row>
    <row r="263">
      <c r="G263" s="8">
        <f>IF(E263="","",E263*H263/1000)</f>
        <v/>
      </c>
    </row>
    <row r="264">
      <c r="G264" s="8">
        <f>IF(E264="","",E264*H264/1000)</f>
        <v/>
      </c>
    </row>
    <row r="265">
      <c r="G265" s="8">
        <f>IF(E265="","",E265*H265/1000)</f>
        <v/>
      </c>
    </row>
    <row r="266">
      <c r="G266" s="8">
        <f>IF(E266="","",E266*H266/1000)</f>
        <v/>
      </c>
    </row>
    <row r="267">
      <c r="G267" s="8">
        <f>IF(E267="","",E267*H267/1000)</f>
        <v/>
      </c>
    </row>
    <row r="268">
      <c r="G268" s="8">
        <f>IF(E268="","",E268*H268/1000)</f>
        <v/>
      </c>
    </row>
    <row r="269">
      <c r="G269" s="8">
        <f>IF(E269="","",E269*H269/1000)</f>
        <v/>
      </c>
    </row>
    <row r="270">
      <c r="G270" s="8">
        <f>IF(E270="","",E270*H270/1000)</f>
        <v/>
      </c>
    </row>
    <row r="271">
      <c r="G271" s="8">
        <f>IF(E271="","",E271*H271/1000)</f>
        <v/>
      </c>
    </row>
    <row r="272">
      <c r="G272" s="8">
        <f>IF(E272="","",E272*H272/1000)</f>
        <v/>
      </c>
    </row>
    <row r="273">
      <c r="G273" s="8">
        <f>IF(E273="","",E273*H273/1000)</f>
        <v/>
      </c>
    </row>
    <row r="274">
      <c r="G274" s="8">
        <f>IF(E274="","",E274*H274/1000)</f>
        <v/>
      </c>
    </row>
    <row r="275">
      <c r="G275" s="8">
        <f>IF(E275="","",E275*H275/1000)</f>
        <v/>
      </c>
    </row>
    <row r="276">
      <c r="G276" s="8">
        <f>IF(E276="","",E276*H276/1000)</f>
        <v/>
      </c>
    </row>
    <row r="277">
      <c r="G277" s="8">
        <f>IF(E277="","",E277*H277/1000)</f>
        <v/>
      </c>
    </row>
    <row r="278">
      <c r="G278" s="8">
        <f>IF(E278="","",E278*H278/1000)</f>
        <v/>
      </c>
    </row>
    <row r="279">
      <c r="G279" s="8">
        <f>IF(E279="","",E279*H279/1000)</f>
        <v/>
      </c>
    </row>
    <row r="280">
      <c r="G280" s="8">
        <f>IF(E280="","",E280*H280/1000)</f>
        <v/>
      </c>
    </row>
    <row r="281">
      <c r="G281" s="8">
        <f>IF(E281="","",E281*H281/1000)</f>
        <v/>
      </c>
    </row>
    <row r="282">
      <c r="G282" s="8">
        <f>IF(E282="","",E282*H282/1000)</f>
        <v/>
      </c>
    </row>
    <row r="283">
      <c r="G283" s="8">
        <f>IF(E283="","",E283*H283/1000)</f>
        <v/>
      </c>
    </row>
    <row r="284">
      <c r="G284" s="8">
        <f>IF(E284="","",E284*H284/1000)</f>
        <v/>
      </c>
    </row>
    <row r="285">
      <c r="G285" s="8">
        <f>IF(E285="","",E285*H285/1000)</f>
        <v/>
      </c>
    </row>
    <row r="286">
      <c r="G286" s="8">
        <f>IF(E286="","",E286*H286/1000)</f>
        <v/>
      </c>
    </row>
    <row r="287">
      <c r="G287" s="8">
        <f>IF(E287="","",E287*H287/1000)</f>
        <v/>
      </c>
    </row>
    <row r="288">
      <c r="G288" s="8">
        <f>IF(E288="","",E288*H288/1000)</f>
        <v/>
      </c>
    </row>
    <row r="289">
      <c r="G289" s="8">
        <f>IF(E289="","",E289*H289/1000)</f>
        <v/>
      </c>
    </row>
    <row r="290">
      <c r="G290" s="8">
        <f>IF(E290="","",E290*H290/1000)</f>
        <v/>
      </c>
    </row>
    <row r="291">
      <c r="G291" s="8">
        <f>IF(E291="","",E291*H291/1000)</f>
        <v/>
      </c>
    </row>
    <row r="292">
      <c r="G292" s="8">
        <f>IF(E292="","",E292*H292/1000)</f>
        <v/>
      </c>
    </row>
    <row r="293">
      <c r="G293" s="8">
        <f>IF(E293="","",E293*H293/1000)</f>
        <v/>
      </c>
    </row>
    <row r="294">
      <c r="G294" s="8">
        <f>IF(E294="","",E294*H294/1000)</f>
        <v/>
      </c>
    </row>
    <row r="295">
      <c r="G295" s="8">
        <f>IF(E295="","",E295*H295/1000)</f>
        <v/>
      </c>
    </row>
    <row r="296">
      <c r="G296" s="8">
        <f>IF(E296="","",E296*H296/1000)</f>
        <v/>
      </c>
    </row>
    <row r="297">
      <c r="G297" s="8">
        <f>IF(E297="","",E297*H297/1000)</f>
        <v/>
      </c>
    </row>
    <row r="298">
      <c r="G298" s="8">
        <f>IF(E298="","",E298*H298/1000)</f>
        <v/>
      </c>
    </row>
    <row r="299">
      <c r="G299" s="8">
        <f>IF(E299="","",E299*H299/1000)</f>
        <v/>
      </c>
    </row>
    <row r="300">
      <c r="G300" s="8">
        <f>IF(E300="","",E300*H300/1000)</f>
        <v/>
      </c>
    </row>
    <row r="301">
      <c r="G301" s="8">
        <f>IF(E301="","",E301*H301/1000)</f>
        <v/>
      </c>
    </row>
    <row r="302">
      <c r="G302" s="8">
        <f>IF(E302="","",E302*H302/1000)</f>
        <v/>
      </c>
    </row>
    <row r="303">
      <c r="G303" s="8">
        <f>IF(E303="","",E303*H303/1000)</f>
        <v/>
      </c>
    </row>
    <row r="304">
      <c r="G304" s="8">
        <f>IF(E304="","",E304*H304/1000)</f>
        <v/>
      </c>
    </row>
    <row r="305">
      <c r="G305" s="8">
        <f>IF(E305="","",E305*H305/1000)</f>
        <v/>
      </c>
    </row>
    <row r="306">
      <c r="G306" s="8">
        <f>IF(E306="","",E306*H306/1000)</f>
        <v/>
      </c>
    </row>
    <row r="307">
      <c r="G307" s="8">
        <f>IF(E307="","",E307*H307/1000)</f>
        <v/>
      </c>
    </row>
    <row r="308">
      <c r="G308" s="8">
        <f>IF(E308="","",E308*H308/1000)</f>
        <v/>
      </c>
    </row>
    <row r="309">
      <c r="G309" s="8">
        <f>IF(E309="","",E309*H309/1000)</f>
        <v/>
      </c>
    </row>
    <row r="310">
      <c r="G310" s="8">
        <f>IF(E310="","",E310*H310/1000)</f>
        <v/>
      </c>
    </row>
    <row r="311">
      <c r="G311" s="8">
        <f>IF(E311="","",E311*H311/1000)</f>
        <v/>
      </c>
    </row>
    <row r="312">
      <c r="G312" s="8">
        <f>IF(E312="","",E312*H312/1000)</f>
        <v/>
      </c>
    </row>
    <row r="313">
      <c r="G313" s="8">
        <f>IF(E313="","",E313*H313/1000)</f>
        <v/>
      </c>
    </row>
    <row r="314">
      <c r="G314" s="8">
        <f>IF(E314="","",E314*H314/1000)</f>
        <v/>
      </c>
    </row>
    <row r="315">
      <c r="G315" s="8">
        <f>IF(E315="","",E315*H315/1000)</f>
        <v/>
      </c>
    </row>
    <row r="316">
      <c r="G316" s="8">
        <f>IF(E316="","",E316*H316/1000)</f>
        <v/>
      </c>
    </row>
    <row r="317">
      <c r="G317" s="8">
        <f>IF(E317="","",E317*H317/1000)</f>
        <v/>
      </c>
    </row>
    <row r="318">
      <c r="G318" s="8">
        <f>IF(E318="","",E318*H318/1000)</f>
        <v/>
      </c>
    </row>
    <row r="319">
      <c r="G319" s="8">
        <f>IF(E319="","",E319*H319/1000)</f>
        <v/>
      </c>
    </row>
    <row r="320">
      <c r="G320" s="8">
        <f>IF(E320="","",E320*H320/1000)</f>
        <v/>
      </c>
    </row>
    <row r="321">
      <c r="G321" s="8">
        <f>IF(E321="","",E321*H321/1000)</f>
        <v/>
      </c>
    </row>
    <row r="322">
      <c r="G322" s="8">
        <f>IF(E322="","",E322*H322/1000)</f>
        <v/>
      </c>
    </row>
    <row r="323">
      <c r="G323" s="8">
        <f>IF(E323="","",E323*H323/1000)</f>
        <v/>
      </c>
    </row>
    <row r="324">
      <c r="G324" s="8">
        <f>IF(E324="","",E324*H324/1000)</f>
        <v/>
      </c>
    </row>
    <row r="325">
      <c r="G325" s="8">
        <f>IF(E325="","",E325*H325/1000)</f>
        <v/>
      </c>
    </row>
    <row r="326">
      <c r="G326" s="8">
        <f>IF(E326="","",E326*H326/1000)</f>
        <v/>
      </c>
    </row>
    <row r="327">
      <c r="G327" s="8">
        <f>IF(E327="","",E327*H327/1000)</f>
        <v/>
      </c>
    </row>
    <row r="328">
      <c r="G328" s="8">
        <f>IF(E328="","",E328*H328/1000)</f>
        <v/>
      </c>
    </row>
    <row r="329">
      <c r="G329" s="8">
        <f>IF(E329="","",E329*H329/1000)</f>
        <v/>
      </c>
    </row>
    <row r="330">
      <c r="G330" s="8">
        <f>IF(E330="","",E330*H330/1000)</f>
        <v/>
      </c>
    </row>
    <row r="331">
      <c r="G331" s="8">
        <f>IF(E331="","",E331*H331/1000)</f>
        <v/>
      </c>
    </row>
    <row r="332">
      <c r="G332" s="8">
        <f>IF(E332="","",E332*H332/1000)</f>
        <v/>
      </c>
    </row>
    <row r="333">
      <c r="G333" s="8">
        <f>IF(E333="","",E333*H333/1000)</f>
        <v/>
      </c>
    </row>
    <row r="334">
      <c r="G334" s="8">
        <f>IF(E334="","",E334*H334/1000)</f>
        <v/>
      </c>
    </row>
    <row r="335">
      <c r="G335" s="8">
        <f>IF(E335="","",E335*H335/1000)</f>
        <v/>
      </c>
    </row>
    <row r="336">
      <c r="G336" s="8">
        <f>IF(E336="","",E336*H336/1000)</f>
        <v/>
      </c>
    </row>
    <row r="337">
      <c r="G337" s="8">
        <f>IF(E337="","",E337*H337/1000)</f>
        <v/>
      </c>
    </row>
    <row r="338">
      <c r="G338" s="8">
        <f>IF(E338="","",E338*H338/1000)</f>
        <v/>
      </c>
    </row>
    <row r="339">
      <c r="G339" s="8">
        <f>IF(E339="","",E339*H339/1000)</f>
        <v/>
      </c>
    </row>
    <row r="340">
      <c r="G340" s="8">
        <f>IF(E340="","",E340*H340/1000)</f>
        <v/>
      </c>
    </row>
    <row r="341">
      <c r="G341" s="8">
        <f>IF(E341="","",E341*H341/1000)</f>
        <v/>
      </c>
    </row>
    <row r="342">
      <c r="G342" s="8">
        <f>IF(E342="","",E342*H342/1000)</f>
        <v/>
      </c>
    </row>
    <row r="343">
      <c r="G343" s="8">
        <f>IF(E343="","",E343*H343/1000)</f>
        <v/>
      </c>
    </row>
    <row r="344">
      <c r="G344" s="8">
        <f>IF(E344="","",E344*H344/1000)</f>
        <v/>
      </c>
    </row>
    <row r="345">
      <c r="G345" s="8">
        <f>IF(E345="","",E345*H345/1000)</f>
        <v/>
      </c>
    </row>
    <row r="346">
      <c r="G346" s="8">
        <f>IF(E346="","",E346*H346/1000)</f>
        <v/>
      </c>
    </row>
    <row r="347">
      <c r="G347" s="8">
        <f>IF(E347="","",E347*H347/1000)</f>
        <v/>
      </c>
    </row>
    <row r="348">
      <c r="G348" s="8">
        <f>IF(E348="","",E348*H348/1000)</f>
        <v/>
      </c>
    </row>
    <row r="349">
      <c r="G349" s="8">
        <f>IF(E349="","",E349*H349/1000)</f>
        <v/>
      </c>
    </row>
    <row r="350">
      <c r="G350" s="8">
        <f>IF(E350="","",E350*H350/1000)</f>
        <v/>
      </c>
    </row>
    <row r="351">
      <c r="G351" s="8">
        <f>IF(E351="","",E351*H351/1000)</f>
        <v/>
      </c>
    </row>
    <row r="352">
      <c r="G352" s="8">
        <f>IF(E352="","",E352*H352/1000)</f>
        <v/>
      </c>
    </row>
    <row r="353">
      <c r="G353" s="8">
        <f>IF(E353="","",E353*H353/1000)</f>
        <v/>
      </c>
    </row>
    <row r="354">
      <c r="G354" s="8">
        <f>IF(E354="","",E354*H354/1000)</f>
        <v/>
      </c>
    </row>
    <row r="355">
      <c r="G355" s="8">
        <f>IF(E355="","",E355*H355/1000)</f>
        <v/>
      </c>
    </row>
    <row r="356">
      <c r="G356" s="8">
        <f>IF(E356="","",E356*H356/1000)</f>
        <v/>
      </c>
    </row>
    <row r="357">
      <c r="G357" s="8">
        <f>IF(E357="","",E357*H357/1000)</f>
        <v/>
      </c>
    </row>
    <row r="358">
      <c r="G358" s="8">
        <f>IF(E358="","",E358*H358/1000)</f>
        <v/>
      </c>
    </row>
    <row r="359">
      <c r="G359" s="8">
        <f>IF(E359="","",E359*H359/1000)</f>
        <v/>
      </c>
    </row>
    <row r="360">
      <c r="G360" s="8">
        <f>IF(E360="","",E360*H360/1000)</f>
        <v/>
      </c>
    </row>
    <row r="361">
      <c r="G361" s="8">
        <f>IF(E361="","",E361*H361/1000)</f>
        <v/>
      </c>
    </row>
    <row r="362">
      <c r="G362" s="8">
        <f>IF(E362="","",E362*H362/1000)</f>
        <v/>
      </c>
    </row>
    <row r="363">
      <c r="G363" s="8">
        <f>IF(E363="","",E363*H363/1000)</f>
        <v/>
      </c>
    </row>
    <row r="364">
      <c r="G364" s="8">
        <f>IF(E364="","",E364*H364/1000)</f>
        <v/>
      </c>
    </row>
    <row r="365">
      <c r="G365" s="8">
        <f>IF(E365="","",E365*H365/1000)</f>
        <v/>
      </c>
    </row>
    <row r="366">
      <c r="G366" s="8">
        <f>IF(E366="","",E366*H366/1000)</f>
        <v/>
      </c>
    </row>
    <row r="367">
      <c r="G367" s="8">
        <f>IF(E367="","",E367*H367/1000)</f>
        <v/>
      </c>
    </row>
    <row r="368">
      <c r="G368" s="8">
        <f>IF(E368="","",E368*H368/1000)</f>
        <v/>
      </c>
    </row>
    <row r="369">
      <c r="G369" s="8">
        <f>IF(E369="","",E369*H369/1000)</f>
        <v/>
      </c>
    </row>
    <row r="370">
      <c r="G370" s="8">
        <f>IF(E370="","",E370*H370/1000)</f>
        <v/>
      </c>
    </row>
    <row r="371">
      <c r="G371" s="8">
        <f>IF(E371="","",E371*H371/1000)</f>
        <v/>
      </c>
    </row>
    <row r="372">
      <c r="G372" s="8">
        <f>IF(E372="","",E372*H372/1000)</f>
        <v/>
      </c>
    </row>
    <row r="373">
      <c r="G373" s="8">
        <f>IF(E373="","",E373*H373/1000)</f>
        <v/>
      </c>
    </row>
    <row r="374">
      <c r="G374" s="8">
        <f>IF(E374="","",E374*H374/1000)</f>
        <v/>
      </c>
    </row>
    <row r="375">
      <c r="G375" s="8">
        <f>IF(E375="","",E375*H375/1000)</f>
        <v/>
      </c>
    </row>
    <row r="376">
      <c r="G376" s="8">
        <f>IF(E376="","",E376*H376/1000)</f>
        <v/>
      </c>
    </row>
    <row r="377">
      <c r="G377" s="8">
        <f>IF(E377="","",E377*H377/1000)</f>
        <v/>
      </c>
    </row>
    <row r="378">
      <c r="G378" s="8">
        <f>IF(E378="","",E378*H378/1000)</f>
        <v/>
      </c>
    </row>
    <row r="379">
      <c r="G379" s="8">
        <f>IF(E379="","",E379*H379/1000)</f>
        <v/>
      </c>
    </row>
    <row r="380">
      <c r="G380" s="8">
        <f>IF(E380="","",E380*H380/1000)</f>
        <v/>
      </c>
    </row>
    <row r="381">
      <c r="G381" s="8">
        <f>IF(E381="","",E381*H381/1000)</f>
        <v/>
      </c>
    </row>
    <row r="382">
      <c r="G382" s="8">
        <f>IF(E382="","",E382*H382/1000)</f>
        <v/>
      </c>
    </row>
    <row r="383">
      <c r="G383" s="8">
        <f>IF(E383="","",E383*H383/1000)</f>
        <v/>
      </c>
    </row>
    <row r="384">
      <c r="G384" s="8">
        <f>IF(E384="","",E384*H384/1000)</f>
        <v/>
      </c>
    </row>
    <row r="385">
      <c r="G385" s="8">
        <f>IF(E385="","",E385*H385/1000)</f>
        <v/>
      </c>
    </row>
    <row r="386">
      <c r="G386" s="8">
        <f>IF(E386="","",E386*H386/1000)</f>
        <v/>
      </c>
    </row>
    <row r="387">
      <c r="G387" s="8">
        <f>IF(E387="","",E387*H387/1000)</f>
        <v/>
      </c>
    </row>
    <row r="388">
      <c r="G388" s="8">
        <f>IF(E388="","",E388*H388/1000)</f>
        <v/>
      </c>
    </row>
    <row r="389">
      <c r="G389" s="8">
        <f>IF(E389="","",E389*H389/1000)</f>
        <v/>
      </c>
    </row>
    <row r="390">
      <c r="G390" s="8">
        <f>IF(E390="","",E390*H390/1000)</f>
        <v/>
      </c>
    </row>
    <row r="391">
      <c r="G391" s="8">
        <f>IF(E391="","",E391*H391/1000)</f>
        <v/>
      </c>
    </row>
    <row r="392">
      <c r="G392" s="8">
        <f>IF(E392="","",E392*H392/1000)</f>
        <v/>
      </c>
    </row>
    <row r="393">
      <c r="G393" s="8">
        <f>IF(E393="","",E393*H393/1000)</f>
        <v/>
      </c>
    </row>
    <row r="394">
      <c r="G394" s="8">
        <f>IF(E394="","",E394*H394/1000)</f>
        <v/>
      </c>
    </row>
    <row r="395">
      <c r="G395" s="8">
        <f>IF(E395="","",E395*H395/1000)</f>
        <v/>
      </c>
    </row>
    <row r="396">
      <c r="G396" s="8">
        <f>IF(E396="","",E396*H396/1000)</f>
        <v/>
      </c>
    </row>
    <row r="397">
      <c r="G397" s="8">
        <f>IF(E397="","",E397*H397/1000)</f>
        <v/>
      </c>
    </row>
    <row r="398">
      <c r="G398" s="8">
        <f>IF(E398="","",E398*H398/1000)</f>
        <v/>
      </c>
    </row>
    <row r="399">
      <c r="G399" s="8">
        <f>IF(E399="","",E399*H399/1000)</f>
        <v/>
      </c>
    </row>
    <row r="400">
      <c r="G400" s="8">
        <f>IF(E400="","",E400*H400/1000)</f>
        <v/>
      </c>
    </row>
    <row r="401">
      <c r="G401" s="8">
        <f>IF(E401="","",E401*H401/1000)</f>
        <v/>
      </c>
    </row>
    <row r="402">
      <c r="G402" s="8">
        <f>IF(E402="","",E402*H402/1000)</f>
        <v/>
      </c>
    </row>
    <row r="403">
      <c r="G403" s="8">
        <f>IF(E403="","",E403*H403/1000)</f>
        <v/>
      </c>
    </row>
    <row r="404">
      <c r="G404" s="8">
        <f>IF(E404="","",E404*H404/1000)</f>
        <v/>
      </c>
    </row>
    <row r="405">
      <c r="G405" s="8">
        <f>IF(E405="","",E405*H405/1000)</f>
        <v/>
      </c>
    </row>
    <row r="406">
      <c r="G406" s="8">
        <f>IF(E406="","",E406*H406/1000)</f>
        <v/>
      </c>
    </row>
    <row r="407">
      <c r="G407" s="8">
        <f>IF(E407="","",E407*H407/1000)</f>
        <v/>
      </c>
    </row>
    <row r="408">
      <c r="G408" s="8">
        <f>IF(E408="","",E408*H408/1000)</f>
        <v/>
      </c>
    </row>
    <row r="409">
      <c r="G409" s="8">
        <f>IF(E409="","",E409*H409/1000)</f>
        <v/>
      </c>
    </row>
    <row r="410">
      <c r="G410" s="8">
        <f>IF(E410="","",E410*H410/1000)</f>
        <v/>
      </c>
    </row>
    <row r="411">
      <c r="G411" s="8">
        <f>IF(E411="","",E411*H411/1000)</f>
        <v/>
      </c>
    </row>
    <row r="412">
      <c r="G412" s="8">
        <f>IF(E412="","",E412*H412/1000)</f>
        <v/>
      </c>
    </row>
    <row r="413">
      <c r="G413" s="8">
        <f>IF(E413="","",E413*H413/1000)</f>
        <v/>
      </c>
    </row>
    <row r="414">
      <c r="G414" s="8">
        <f>IF(E414="","",E414*H414/1000)</f>
        <v/>
      </c>
    </row>
    <row r="415">
      <c r="G415" s="8">
        <f>IF(E415="","",E415*H415/1000)</f>
        <v/>
      </c>
    </row>
    <row r="416">
      <c r="G416" s="8">
        <f>IF(E416="","",E416*H416/1000)</f>
        <v/>
      </c>
    </row>
    <row r="417">
      <c r="G417" s="8">
        <f>IF(E417="","",E417*H417/1000)</f>
        <v/>
      </c>
    </row>
    <row r="418">
      <c r="G418" s="8">
        <f>IF(E418="","",E418*H418/1000)</f>
        <v/>
      </c>
    </row>
    <row r="419">
      <c r="G419" s="8">
        <f>IF(E419="","",E419*H419/1000)</f>
        <v/>
      </c>
    </row>
    <row r="420">
      <c r="G420" s="8">
        <f>IF(E420="","",E420*H420/1000)</f>
        <v/>
      </c>
    </row>
    <row r="421">
      <c r="G421" s="8">
        <f>IF(E421="","",E421*H421/1000)</f>
        <v/>
      </c>
    </row>
    <row r="422">
      <c r="G422" s="8">
        <f>IF(E422="","",E422*H422/1000)</f>
        <v/>
      </c>
    </row>
    <row r="423">
      <c r="G423" s="8">
        <f>IF(E423="","",E423*H423/1000)</f>
        <v/>
      </c>
    </row>
    <row r="424">
      <c r="G424" s="8">
        <f>IF(E424="","",E424*H424/1000)</f>
        <v/>
      </c>
    </row>
    <row r="425">
      <c r="G425" s="8">
        <f>IF(E425="","",E425*H425/1000)</f>
        <v/>
      </c>
    </row>
    <row r="426">
      <c r="G426" s="8">
        <f>IF(E426="","",E426*H426/1000)</f>
        <v/>
      </c>
    </row>
    <row r="427">
      <c r="G427" s="8">
        <f>IF(E427="","",E427*H427/1000)</f>
        <v/>
      </c>
    </row>
    <row r="428">
      <c r="G428" s="8">
        <f>IF(E428="","",E428*H428/1000)</f>
        <v/>
      </c>
    </row>
    <row r="429">
      <c r="G429" s="8">
        <f>IF(E429="","",E429*H429/1000)</f>
        <v/>
      </c>
    </row>
    <row r="430">
      <c r="G430" s="8">
        <f>IF(E430="","",E430*H430/1000)</f>
        <v/>
      </c>
    </row>
    <row r="431">
      <c r="G431" s="8">
        <f>IF(E431="","",E431*H431/1000)</f>
        <v/>
      </c>
    </row>
    <row r="432">
      <c r="G432" s="8">
        <f>IF(E432="","",E432*H432/1000)</f>
        <v/>
      </c>
    </row>
    <row r="433">
      <c r="G433" s="8">
        <f>IF(E433="","",E433*H433/1000)</f>
        <v/>
      </c>
    </row>
    <row r="434">
      <c r="G434" s="8">
        <f>IF(E434="","",E434*H434/1000)</f>
        <v/>
      </c>
    </row>
    <row r="435">
      <c r="G435" s="8">
        <f>IF(E435="","",E435*H435/1000)</f>
        <v/>
      </c>
    </row>
    <row r="436">
      <c r="G436" s="8">
        <f>IF(E436="","",E436*H436/1000)</f>
        <v/>
      </c>
    </row>
    <row r="437">
      <c r="G437" s="8">
        <f>IF(E437="","",E437*H437/1000)</f>
        <v/>
      </c>
    </row>
    <row r="438">
      <c r="G438" s="8">
        <f>IF(E438="","",E438*H438/1000)</f>
        <v/>
      </c>
    </row>
    <row r="439">
      <c r="G439" s="8">
        <f>IF(E439="","",E439*H439/1000)</f>
        <v/>
      </c>
    </row>
    <row r="440">
      <c r="G440" s="8">
        <f>IF(E440="","",E440*H440/1000)</f>
        <v/>
      </c>
    </row>
    <row r="441">
      <c r="G441" s="8">
        <f>IF(E441="","",E441*H441/1000)</f>
        <v/>
      </c>
    </row>
    <row r="442">
      <c r="G442" s="8">
        <f>IF(E442="","",E442*H442/1000)</f>
        <v/>
      </c>
    </row>
    <row r="443">
      <c r="G443" s="8">
        <f>IF(E443="","",E443*H443/1000)</f>
        <v/>
      </c>
    </row>
    <row r="444">
      <c r="G444" s="8">
        <f>IF(E444="","",E444*H444/1000)</f>
        <v/>
      </c>
    </row>
    <row r="445">
      <c r="G445" s="8">
        <f>IF(E445="","",E445*H445/1000)</f>
        <v/>
      </c>
    </row>
    <row r="446">
      <c r="G446" s="8">
        <f>IF(E446="","",E446*H446/1000)</f>
        <v/>
      </c>
    </row>
    <row r="447">
      <c r="G447" s="8">
        <f>IF(E447="","",E447*H447/1000)</f>
        <v/>
      </c>
    </row>
    <row r="448">
      <c r="G448" s="8">
        <f>IF(E448="","",E448*H448/1000)</f>
        <v/>
      </c>
    </row>
    <row r="449">
      <c r="G449" s="8">
        <f>IF(E449="","",E449*H449/1000)</f>
        <v/>
      </c>
    </row>
    <row r="450">
      <c r="G450" s="8">
        <f>IF(E450="","",E450*H450/1000)</f>
        <v/>
      </c>
    </row>
    <row r="451">
      <c r="G451" s="8">
        <f>IF(E451="","",E451*H451/1000)</f>
        <v/>
      </c>
    </row>
    <row r="452">
      <c r="G452" s="8">
        <f>IF(E452="","",E452*H452/1000)</f>
        <v/>
      </c>
    </row>
    <row r="453">
      <c r="G453" s="8">
        <f>IF(E453="","",E453*H453/1000)</f>
        <v/>
      </c>
    </row>
    <row r="454">
      <c r="G454" s="8">
        <f>IF(E454="","",E454*H454/1000)</f>
        <v/>
      </c>
    </row>
    <row r="455">
      <c r="G455" s="8">
        <f>IF(E455="","",E455*H455/1000)</f>
        <v/>
      </c>
    </row>
    <row r="456">
      <c r="G456" s="8">
        <f>IF(E456="","",E456*H456/1000)</f>
        <v/>
      </c>
    </row>
    <row r="457">
      <c r="G457" s="8">
        <f>IF(E457="","",E457*H457/1000)</f>
        <v/>
      </c>
    </row>
    <row r="458">
      <c r="G458" s="8">
        <f>IF(E458="","",E458*H458/1000)</f>
        <v/>
      </c>
    </row>
    <row r="459">
      <c r="G459" s="8">
        <f>IF(E459="","",E459*H459/1000)</f>
        <v/>
      </c>
    </row>
    <row r="460">
      <c r="G460" s="8">
        <f>IF(E460="","",E460*H460/1000)</f>
        <v/>
      </c>
    </row>
    <row r="461">
      <c r="G461" s="8">
        <f>IF(E461="","",E461*H461/1000)</f>
        <v/>
      </c>
    </row>
    <row r="462">
      <c r="G462" s="8">
        <f>IF(E462="","",E462*H462/1000)</f>
        <v/>
      </c>
    </row>
    <row r="463">
      <c r="G463" s="8">
        <f>IF(E463="","",E463*H463/1000)</f>
        <v/>
      </c>
    </row>
    <row r="464">
      <c r="G464" s="8">
        <f>IF(E464="","",E464*H464/1000)</f>
        <v/>
      </c>
    </row>
    <row r="465">
      <c r="G465" s="8">
        <f>IF(E465="","",E465*H465/1000)</f>
        <v/>
      </c>
    </row>
    <row r="466">
      <c r="G466" s="8">
        <f>IF(E466="","",E466*H466/1000)</f>
        <v/>
      </c>
    </row>
    <row r="467">
      <c r="G467" s="8">
        <f>IF(E467="","",E467*H467/1000)</f>
        <v/>
      </c>
    </row>
    <row r="468">
      <c r="G468" s="8">
        <f>IF(E468="","",E468*H468/1000)</f>
        <v/>
      </c>
    </row>
    <row r="469">
      <c r="G469" s="8">
        <f>IF(E469="","",E469*H469/1000)</f>
        <v/>
      </c>
    </row>
    <row r="470">
      <c r="G470" s="8">
        <f>IF(E470="","",E470*H470/1000)</f>
        <v/>
      </c>
    </row>
    <row r="471">
      <c r="G471" s="8">
        <f>IF(E471="","",E471*H471/1000)</f>
        <v/>
      </c>
    </row>
    <row r="472">
      <c r="G472" s="8">
        <f>IF(E472="","",E472*H472/1000)</f>
        <v/>
      </c>
    </row>
    <row r="473">
      <c r="G473" s="8">
        <f>IF(E473="","",E473*H473/1000)</f>
        <v/>
      </c>
    </row>
    <row r="474">
      <c r="G474" s="8">
        <f>IF(E474="","",E474*H474/1000)</f>
        <v/>
      </c>
    </row>
    <row r="475">
      <c r="G475" s="8">
        <f>IF(E475="","",E475*H475/1000)</f>
        <v/>
      </c>
    </row>
    <row r="476">
      <c r="G476" s="8">
        <f>IF(E476="","",E476*H476/1000)</f>
        <v/>
      </c>
    </row>
    <row r="477">
      <c r="G477" s="8">
        <f>IF(E477="","",E477*H477/1000)</f>
        <v/>
      </c>
    </row>
    <row r="478">
      <c r="G478" s="8">
        <f>IF(E478="","",E478*H478/1000)</f>
        <v/>
      </c>
    </row>
    <row r="479">
      <c r="G479" s="8">
        <f>IF(E479="","",E479*H479/1000)</f>
        <v/>
      </c>
    </row>
    <row r="480">
      <c r="G480" s="8">
        <f>IF(E480="","",E480*H480/1000)</f>
        <v/>
      </c>
    </row>
    <row r="481">
      <c r="G481" s="8">
        <f>IF(E481="","",E481*H481/1000)</f>
        <v/>
      </c>
    </row>
    <row r="482">
      <c r="G482" s="8">
        <f>IF(E482="","",E482*H482/1000)</f>
        <v/>
      </c>
    </row>
    <row r="483">
      <c r="G483" s="8">
        <f>IF(E483="","",E483*H483/1000)</f>
        <v/>
      </c>
    </row>
    <row r="484">
      <c r="G484" s="8">
        <f>IF(E484="","",E484*H484/1000)</f>
        <v/>
      </c>
    </row>
    <row r="485">
      <c r="G485" s="8">
        <f>IF(E485="","",E485*H485/1000)</f>
        <v/>
      </c>
    </row>
    <row r="486">
      <c r="G486" s="8">
        <f>IF(E486="","",E486*H486/1000)</f>
        <v/>
      </c>
    </row>
    <row r="487">
      <c r="G487" s="8">
        <f>IF(E487="","",E487*H487/1000)</f>
        <v/>
      </c>
    </row>
    <row r="488">
      <c r="G488" s="8">
        <f>IF(E488="","",E488*H488/1000)</f>
        <v/>
      </c>
    </row>
    <row r="489">
      <c r="G489" s="8">
        <f>IF(E489="","",E489*H489/1000)</f>
        <v/>
      </c>
    </row>
    <row r="490">
      <c r="G490" s="8">
        <f>IF(E490="","",E490*H490/1000)</f>
        <v/>
      </c>
    </row>
    <row r="491">
      <c r="G491" s="8">
        <f>IF(E491="","",E491*H491/1000)</f>
        <v/>
      </c>
    </row>
    <row r="492">
      <c r="G492" s="8">
        <f>IF(E492="","",E492*H492/1000)</f>
        <v/>
      </c>
    </row>
    <row r="493">
      <c r="G493" s="8">
        <f>IF(E493="","",E493*H493/1000)</f>
        <v/>
      </c>
    </row>
    <row r="494">
      <c r="G494" s="8">
        <f>IF(E494="","",E494*H494/1000)</f>
        <v/>
      </c>
    </row>
    <row r="495">
      <c r="G495" s="8">
        <f>IF(E495="","",E495*H495/1000)</f>
        <v/>
      </c>
    </row>
    <row r="496">
      <c r="G496" s="8">
        <f>IF(E496="","",E496*H496/1000)</f>
        <v/>
      </c>
    </row>
    <row r="497">
      <c r="G497" s="8">
        <f>IF(E497="","",E497*H497/1000)</f>
        <v/>
      </c>
    </row>
    <row r="498">
      <c r="G498" s="8">
        <f>IF(E498="","",E498*H498/1000)</f>
        <v/>
      </c>
    </row>
    <row r="499">
      <c r="G499" s="8">
        <f>IF(E499="","",E499*H499/1000)</f>
        <v/>
      </c>
    </row>
    <row r="500">
      <c r="G500" s="8">
        <f>IF(E500="","",E500*H500/1000)</f>
        <v/>
      </c>
    </row>
    <row r="501">
      <c r="G501" s="8">
        <f>IF(E501="","",E501*H501/1000)</f>
        <v/>
      </c>
    </row>
    <row r="502">
      <c r="G502" s="8">
        <f>IF(E502="","",E502*H502/1000)</f>
        <v/>
      </c>
    </row>
    <row r="503">
      <c r="G503" s="8">
        <f>IF(E503="","",E503*H503/1000)</f>
        <v/>
      </c>
    </row>
    <row r="504">
      <c r="G504" s="8">
        <f>IF(E504="","",E504*H504/1000)</f>
        <v/>
      </c>
    </row>
    <row r="505">
      <c r="G505" s="8">
        <f>IF(E505="","",E505*H505/1000)</f>
        <v/>
      </c>
    </row>
    <row r="506">
      <c r="G506" s="8">
        <f>IF(E506="","",E506*H506/1000)</f>
        <v/>
      </c>
    </row>
    <row r="507">
      <c r="G507" s="8">
        <f>IF(E507="","",E507*H507/1000)</f>
        <v/>
      </c>
    </row>
    <row r="508">
      <c r="G508" s="8">
        <f>IF(E508="","",E508*H508/1000)</f>
        <v/>
      </c>
    </row>
    <row r="509">
      <c r="G509" s="8">
        <f>IF(E509="","",E509*H509/1000)</f>
        <v/>
      </c>
    </row>
    <row r="510">
      <c r="G510" s="8">
        <f>IF(E510="","",E510*H510/1000)</f>
        <v/>
      </c>
    </row>
    <row r="511">
      <c r="G511" s="8">
        <f>IF(E511="","",E511*H511/1000)</f>
        <v/>
      </c>
    </row>
    <row r="512">
      <c r="G512" s="8">
        <f>IF(E512="","",E512*H512/1000)</f>
        <v/>
      </c>
    </row>
    <row r="513">
      <c r="G513" s="8">
        <f>IF(E513="","",E513*H513/1000)</f>
        <v/>
      </c>
    </row>
    <row r="514">
      <c r="G514" s="8">
        <f>IF(E514="","",E514*H514/1000)</f>
        <v/>
      </c>
    </row>
    <row r="515">
      <c r="G515" s="8">
        <f>IF(E515="","",E515*H515/1000)</f>
        <v/>
      </c>
    </row>
    <row r="516">
      <c r="G516" s="8">
        <f>IF(E516="","",E516*H516/1000)</f>
        <v/>
      </c>
    </row>
    <row r="517">
      <c r="G517" s="8">
        <f>IF(E517="","",E517*H517/1000)</f>
        <v/>
      </c>
    </row>
    <row r="518">
      <c r="G518" s="8">
        <f>IF(E518="","",E518*H518/1000)</f>
        <v/>
      </c>
    </row>
    <row r="519">
      <c r="G519" s="8">
        <f>IF(E519="","",E519*H519/1000)</f>
        <v/>
      </c>
    </row>
    <row r="520">
      <c r="G520" s="8">
        <f>IF(E520="","",E520*H520/1000)</f>
        <v/>
      </c>
    </row>
    <row r="521">
      <c r="G521" s="8">
        <f>IF(E521="","",E521*H521/1000)</f>
        <v/>
      </c>
    </row>
    <row r="522">
      <c r="G522" s="8">
        <f>IF(E522="","",E522*H522/1000)</f>
        <v/>
      </c>
    </row>
    <row r="523">
      <c r="G523" s="8">
        <f>IF(E523="","",E523*H523/1000)</f>
        <v/>
      </c>
    </row>
    <row r="524">
      <c r="G524" s="8">
        <f>IF(E524="","",E524*H524/1000)</f>
        <v/>
      </c>
    </row>
    <row r="525">
      <c r="G525" s="8">
        <f>IF(E525="","",E525*H525/1000)</f>
        <v/>
      </c>
    </row>
    <row r="526">
      <c r="G526" s="8">
        <f>IF(E526="","",E526*H526/1000)</f>
        <v/>
      </c>
    </row>
    <row r="527">
      <c r="G527" s="8">
        <f>IF(E527="","",E527*H527/1000)</f>
        <v/>
      </c>
    </row>
    <row r="528">
      <c r="G528" s="8">
        <f>IF(E528="","",E528*H528/1000)</f>
        <v/>
      </c>
    </row>
    <row r="529">
      <c r="G529" s="8">
        <f>IF(E529="","",E529*H529/1000)</f>
        <v/>
      </c>
    </row>
    <row r="530">
      <c r="G530" s="8">
        <f>IF(E530="","",E530*H530/1000)</f>
        <v/>
      </c>
    </row>
    <row r="531">
      <c r="G531" s="8">
        <f>IF(E531="","",E531*H531/1000)</f>
        <v/>
      </c>
    </row>
    <row r="532">
      <c r="G532" s="8">
        <f>IF(E532="","",E532*H532/1000)</f>
        <v/>
      </c>
    </row>
    <row r="533">
      <c r="G533" s="8">
        <f>IF(E533="","",E533*H533/1000)</f>
        <v/>
      </c>
    </row>
    <row r="534">
      <c r="G534" s="8">
        <f>IF(E534="","",E534*H534/1000)</f>
        <v/>
      </c>
    </row>
    <row r="535">
      <c r="G535" s="8">
        <f>IF(E535="","",E535*H535/1000)</f>
        <v/>
      </c>
    </row>
    <row r="536">
      <c r="G536" s="8">
        <f>IF(E536="","",E536*H536/1000)</f>
        <v/>
      </c>
    </row>
    <row r="537">
      <c r="G537" s="8">
        <f>IF(E537="","",E537*H537/1000)</f>
        <v/>
      </c>
    </row>
    <row r="538">
      <c r="G538" s="8">
        <f>IF(E538="","",E538*H538/1000)</f>
        <v/>
      </c>
    </row>
    <row r="539">
      <c r="G539" s="8">
        <f>IF(E539="","",E539*H539/1000)</f>
        <v/>
      </c>
    </row>
    <row r="540">
      <c r="G540" s="8">
        <f>IF(E540="","",E540*H540/1000)</f>
        <v/>
      </c>
    </row>
    <row r="541">
      <c r="G541" s="8">
        <f>IF(E541="","",E541*H541/1000)</f>
        <v/>
      </c>
    </row>
    <row r="542">
      <c r="G542" s="8">
        <f>IF(E542="","",E542*H542/1000)</f>
        <v/>
      </c>
    </row>
    <row r="543">
      <c r="G543" s="8">
        <f>IF(E543="","",E543*H543/1000)</f>
        <v/>
      </c>
    </row>
    <row r="544">
      <c r="G544" s="8">
        <f>IF(E544="","",E544*H544/1000)</f>
        <v/>
      </c>
    </row>
    <row r="545">
      <c r="G545" s="8">
        <f>IF(E545="","",E545*H545/1000)</f>
        <v/>
      </c>
    </row>
    <row r="546">
      <c r="G546" s="8">
        <f>IF(E546="","",E546*H546/1000)</f>
        <v/>
      </c>
    </row>
    <row r="547">
      <c r="G547" s="8">
        <f>IF(E547="","",E547*H547/1000)</f>
        <v/>
      </c>
    </row>
    <row r="548">
      <c r="G548" s="8">
        <f>IF(E548="","",E548*H548/1000)</f>
        <v/>
      </c>
    </row>
    <row r="549">
      <c r="G549" s="8">
        <f>IF(E549="","",E549*H549/1000)</f>
        <v/>
      </c>
    </row>
    <row r="550">
      <c r="G550" s="8">
        <f>IF(E550="","",E550*H550/1000)</f>
        <v/>
      </c>
    </row>
    <row r="551">
      <c r="G551" s="8">
        <f>IF(E551="","",E551*H551/1000)</f>
        <v/>
      </c>
    </row>
    <row r="552">
      <c r="G552" s="8">
        <f>IF(E552="","",E552*H552/1000)</f>
        <v/>
      </c>
    </row>
    <row r="553">
      <c r="G553" s="8">
        <f>IF(E553="","",E553*H553/1000)</f>
        <v/>
      </c>
    </row>
    <row r="554">
      <c r="G554" s="8">
        <f>IF(E554="","",E554*H554/1000)</f>
        <v/>
      </c>
    </row>
    <row r="555">
      <c r="G555" s="8">
        <f>IF(E555="","",E555*H555/1000)</f>
        <v/>
      </c>
    </row>
    <row r="556">
      <c r="G556" s="8">
        <f>IF(E556="","",E556*H556/1000)</f>
        <v/>
      </c>
    </row>
    <row r="557">
      <c r="G557" s="8">
        <f>IF(E557="","",E557*H557/1000)</f>
        <v/>
      </c>
    </row>
    <row r="558">
      <c r="G558" s="8">
        <f>IF(E558="","",E558*H558/1000)</f>
        <v/>
      </c>
    </row>
    <row r="559">
      <c r="G559" s="8">
        <f>IF(E559="","",E559*H559/1000)</f>
        <v/>
      </c>
    </row>
    <row r="560">
      <c r="G560" s="8">
        <f>IF(E560="","",E560*H560/1000)</f>
        <v/>
      </c>
    </row>
    <row r="561">
      <c r="G561" s="8">
        <f>IF(E561="","",E561*H561/1000)</f>
        <v/>
      </c>
    </row>
    <row r="562">
      <c r="G562" s="8">
        <f>IF(E562="","",E562*H562/1000)</f>
        <v/>
      </c>
    </row>
    <row r="563">
      <c r="G563" s="8">
        <f>IF(E563="","",E563*H563/1000)</f>
        <v/>
      </c>
    </row>
    <row r="564">
      <c r="G564" s="8">
        <f>IF(E564="","",E564*H564/1000)</f>
        <v/>
      </c>
    </row>
    <row r="565">
      <c r="G565" s="8">
        <f>IF(E565="","",E565*H565/1000)</f>
        <v/>
      </c>
    </row>
    <row r="566">
      <c r="G566" s="8">
        <f>IF(E566="","",E566*H566/1000)</f>
        <v/>
      </c>
    </row>
    <row r="567">
      <c r="G567" s="8">
        <f>IF(E567="","",E567*H567/1000)</f>
        <v/>
      </c>
    </row>
    <row r="568">
      <c r="G568" s="8">
        <f>IF(E568="","",E568*H568/1000)</f>
        <v/>
      </c>
    </row>
    <row r="569">
      <c r="G569" s="8">
        <f>IF(E569="","",E569*H569/1000)</f>
        <v/>
      </c>
    </row>
    <row r="570">
      <c r="G570" s="8">
        <f>IF(E570="","",E570*H570/1000)</f>
        <v/>
      </c>
    </row>
    <row r="571">
      <c r="G571" s="8">
        <f>IF(E571="","",E571*H571/1000)</f>
        <v/>
      </c>
    </row>
    <row r="572">
      <c r="G572" s="8">
        <f>IF(E572="","",E572*H572/1000)</f>
        <v/>
      </c>
    </row>
    <row r="573">
      <c r="G573" s="8">
        <f>IF(E573="","",E573*H573/1000)</f>
        <v/>
      </c>
    </row>
    <row r="574">
      <c r="G574" s="8">
        <f>IF(E574="","",E574*H574/1000)</f>
        <v/>
      </c>
    </row>
    <row r="575">
      <c r="G575" s="8">
        <f>IF(E575="","",E575*H575/1000)</f>
        <v/>
      </c>
    </row>
    <row r="576">
      <c r="G576" s="8">
        <f>IF(E576="","",E576*H576/1000)</f>
        <v/>
      </c>
    </row>
    <row r="577">
      <c r="G577" s="8">
        <f>IF(E577="","",E577*H577/1000)</f>
        <v/>
      </c>
    </row>
    <row r="578">
      <c r="G578" s="8">
        <f>IF(E578="","",E578*H578/1000)</f>
        <v/>
      </c>
    </row>
    <row r="579">
      <c r="G579" s="8">
        <f>IF(E579="","",E579*H579/1000)</f>
        <v/>
      </c>
    </row>
    <row r="580">
      <c r="G580" s="8">
        <f>IF(E580="","",E580*H580/1000)</f>
        <v/>
      </c>
    </row>
    <row r="581">
      <c r="G581" s="8">
        <f>IF(E581="","",E581*H581/1000)</f>
        <v/>
      </c>
    </row>
    <row r="582">
      <c r="G582" s="8">
        <f>IF(E582="","",E582*H582/1000)</f>
        <v/>
      </c>
    </row>
    <row r="583">
      <c r="G583" s="8">
        <f>IF(E583="","",E583*H583/1000)</f>
        <v/>
      </c>
    </row>
    <row r="584">
      <c r="G584" s="8">
        <f>IF(E584="","",E584*H584/1000)</f>
        <v/>
      </c>
    </row>
    <row r="585">
      <c r="G585" s="8">
        <f>IF(E585="","",E585*H585/1000)</f>
        <v/>
      </c>
    </row>
    <row r="586">
      <c r="G586" s="8">
        <f>IF(E586="","",E586*H586/1000)</f>
        <v/>
      </c>
    </row>
    <row r="587">
      <c r="G587" s="8">
        <f>IF(E587="","",E587*H587/1000)</f>
        <v/>
      </c>
    </row>
    <row r="588">
      <c r="G588" s="8">
        <f>IF(E588="","",E588*H588/1000)</f>
        <v/>
      </c>
    </row>
    <row r="589">
      <c r="G589" s="8">
        <f>IF(E589="","",E589*H589/1000)</f>
        <v/>
      </c>
    </row>
    <row r="590">
      <c r="G590" s="8">
        <f>IF(E590="","",E590*H590/1000)</f>
        <v/>
      </c>
    </row>
    <row r="591">
      <c r="G591" s="8">
        <f>IF(E591="","",E591*H591/1000)</f>
        <v/>
      </c>
    </row>
    <row r="592">
      <c r="G592" s="8">
        <f>IF(E592="","",E592*H592/1000)</f>
        <v/>
      </c>
    </row>
    <row r="593">
      <c r="G593" s="8">
        <f>IF(E593="","",E593*H593/1000)</f>
        <v/>
      </c>
    </row>
    <row r="594">
      <c r="G594" s="8">
        <f>IF(E594="","",E594*H594/1000)</f>
        <v/>
      </c>
    </row>
    <row r="595">
      <c r="G595" s="8">
        <f>IF(E595="","",E595*H595/1000)</f>
        <v/>
      </c>
    </row>
    <row r="596">
      <c r="G596" s="8">
        <f>IF(E596="","",E596*H596/1000)</f>
        <v/>
      </c>
    </row>
    <row r="597">
      <c r="G597" s="8">
        <f>IF(E597="","",E597*H597/1000)</f>
        <v/>
      </c>
    </row>
    <row r="598">
      <c r="G598" s="8">
        <f>IF(E598="","",E598*H598/1000)</f>
        <v/>
      </c>
    </row>
    <row r="599">
      <c r="G599" s="8">
        <f>IF(E599="","",E599*H599/1000)</f>
        <v/>
      </c>
    </row>
    <row r="600">
      <c r="G600" s="8">
        <f>IF(E600="","",E600*H600/1000)</f>
        <v/>
      </c>
    </row>
    <row r="601">
      <c r="G601" s="8">
        <f>IF(E601="","",E601*H601/1000)</f>
        <v/>
      </c>
    </row>
    <row r="602">
      <c r="G602" s="8">
        <f>IF(E602="","",E602*H602/1000)</f>
        <v/>
      </c>
    </row>
    <row r="603">
      <c r="G603" s="8">
        <f>IF(E603="","",E603*H603/1000)</f>
        <v/>
      </c>
    </row>
    <row r="604">
      <c r="G604" s="8">
        <f>IF(E604="","",E604*H604/1000)</f>
        <v/>
      </c>
    </row>
    <row r="605">
      <c r="G605" s="8">
        <f>IF(E605="","",E605*H605/1000)</f>
        <v/>
      </c>
    </row>
    <row r="606">
      <c r="G606" s="8">
        <f>IF(E606="","",E606*H606/1000)</f>
        <v/>
      </c>
    </row>
    <row r="607">
      <c r="G607" s="8">
        <f>IF(E607="","",E607*H607/1000)</f>
        <v/>
      </c>
    </row>
    <row r="608">
      <c r="G608" s="8">
        <f>IF(E608="","",E608*H608/1000)</f>
        <v/>
      </c>
    </row>
    <row r="609">
      <c r="G609" s="8">
        <f>IF(E609="","",E609*H609/1000)</f>
        <v/>
      </c>
    </row>
    <row r="610">
      <c r="G610" s="8">
        <f>IF(E610="","",E610*H610/1000)</f>
        <v/>
      </c>
    </row>
    <row r="611">
      <c r="G611" s="8">
        <f>IF(E611="","",E611*H611/1000)</f>
        <v/>
      </c>
    </row>
    <row r="612">
      <c r="G612" s="8">
        <f>IF(E612="","",E612*H612/1000)</f>
        <v/>
      </c>
    </row>
    <row r="613">
      <c r="G613" s="8">
        <f>IF(E613="","",E613*H613/1000)</f>
        <v/>
      </c>
    </row>
    <row r="614">
      <c r="G614" s="8">
        <f>IF(E614="","",E614*H614/1000)</f>
        <v/>
      </c>
    </row>
    <row r="615">
      <c r="G615" s="8">
        <f>IF(E615="","",E615*H615/1000)</f>
        <v/>
      </c>
    </row>
    <row r="616">
      <c r="G616" s="8">
        <f>IF(E616="","",E616*H616/1000)</f>
        <v/>
      </c>
    </row>
    <row r="617">
      <c r="G617" s="8">
        <f>IF(E617="","",E617*H617/1000)</f>
        <v/>
      </c>
    </row>
    <row r="618">
      <c r="G618" s="8">
        <f>IF(E618="","",E618*H618/1000)</f>
        <v/>
      </c>
    </row>
    <row r="619">
      <c r="G619" s="8">
        <f>IF(E619="","",E619*H619/1000)</f>
        <v/>
      </c>
    </row>
    <row r="620">
      <c r="G620" s="8">
        <f>IF(E620="","",E620*H620/1000)</f>
        <v/>
      </c>
    </row>
    <row r="621">
      <c r="G621" s="8">
        <f>IF(E621="","",E621*H621/1000)</f>
        <v/>
      </c>
    </row>
    <row r="622">
      <c r="G622" s="8">
        <f>IF(E622="","",E622*H622/1000)</f>
        <v/>
      </c>
    </row>
    <row r="623">
      <c r="G623" s="8">
        <f>IF(E623="","",E623*H623/1000)</f>
        <v/>
      </c>
    </row>
    <row r="624">
      <c r="G624" s="8">
        <f>IF(E624="","",E624*H624/1000)</f>
        <v/>
      </c>
    </row>
    <row r="625">
      <c r="G625" s="8">
        <f>IF(E625="","",E625*H625/1000)</f>
        <v/>
      </c>
    </row>
    <row r="626">
      <c r="G626" s="8">
        <f>IF(E626="","",E626*H626/1000)</f>
        <v/>
      </c>
    </row>
    <row r="627">
      <c r="G627" s="8">
        <f>IF(E627="","",E627*H627/1000)</f>
        <v/>
      </c>
    </row>
    <row r="628">
      <c r="G628" s="8">
        <f>IF(E628="","",E628*H628/1000)</f>
        <v/>
      </c>
    </row>
    <row r="629">
      <c r="G629" s="8">
        <f>IF(E629="","",E629*H629/1000)</f>
        <v/>
      </c>
    </row>
    <row r="630">
      <c r="G630" s="8">
        <f>IF(E630="","",E630*H630/1000)</f>
        <v/>
      </c>
    </row>
    <row r="631">
      <c r="G631" s="8">
        <f>IF(E631="","",E631*H631/1000)</f>
        <v/>
      </c>
    </row>
    <row r="632">
      <c r="G632" s="8">
        <f>IF(E632="","",E632*H632/1000)</f>
        <v/>
      </c>
    </row>
    <row r="633">
      <c r="G633" s="8">
        <f>IF(E633="","",E633*H633/1000)</f>
        <v/>
      </c>
    </row>
    <row r="634">
      <c r="G634" s="8">
        <f>IF(E634="","",E634*H634/1000)</f>
        <v/>
      </c>
    </row>
    <row r="635">
      <c r="G635" s="8">
        <f>IF(E635="","",E635*H635/1000)</f>
        <v/>
      </c>
    </row>
    <row r="636">
      <c r="G636" s="8">
        <f>IF(E636="","",E636*H636/1000)</f>
        <v/>
      </c>
    </row>
    <row r="637">
      <c r="G637" s="8">
        <f>IF(E637="","",E637*H637/1000)</f>
        <v/>
      </c>
    </row>
    <row r="638">
      <c r="G638" s="8">
        <f>IF(E638="","",E638*H638/1000)</f>
        <v/>
      </c>
    </row>
    <row r="639">
      <c r="G639" s="8">
        <f>IF(E639="","",E639*H639/1000)</f>
        <v/>
      </c>
    </row>
    <row r="640">
      <c r="G640" s="8">
        <f>IF(E640="","",E640*H640/1000)</f>
        <v/>
      </c>
    </row>
    <row r="641">
      <c r="G641" s="8">
        <f>IF(E641="","",E641*H641/1000)</f>
        <v/>
      </c>
    </row>
    <row r="642">
      <c r="G642" s="8">
        <f>IF(E642="","",E642*H642/1000)</f>
        <v/>
      </c>
    </row>
    <row r="643">
      <c r="G643" s="8">
        <f>IF(E643="","",E643*H643/1000)</f>
        <v/>
      </c>
    </row>
    <row r="644">
      <c r="G644" s="8">
        <f>IF(E644="","",E644*H644/1000)</f>
        <v/>
      </c>
    </row>
    <row r="645">
      <c r="G645" s="8">
        <f>IF(E645="","",E645*H645/1000)</f>
        <v/>
      </c>
    </row>
    <row r="646">
      <c r="G646" s="8">
        <f>IF(E646="","",E646*H646/1000)</f>
        <v/>
      </c>
    </row>
    <row r="647">
      <c r="G647" s="8">
        <f>IF(E647="","",E647*H647/1000)</f>
        <v/>
      </c>
    </row>
    <row r="648">
      <c r="G648" s="8">
        <f>IF(E648="","",E648*H648/1000)</f>
        <v/>
      </c>
    </row>
    <row r="649">
      <c r="G649" s="8">
        <f>IF(E649="","",E649*H649/1000)</f>
        <v/>
      </c>
    </row>
    <row r="650">
      <c r="G650" s="8">
        <f>IF(E650="","",E650*H650/1000)</f>
        <v/>
      </c>
    </row>
    <row r="651">
      <c r="G651" s="8">
        <f>IF(E651="","",E651*H651/1000)</f>
        <v/>
      </c>
    </row>
    <row r="652">
      <c r="G652" s="8">
        <f>IF(E652="","",E652*H652/1000)</f>
        <v/>
      </c>
    </row>
    <row r="653">
      <c r="G653" s="8">
        <f>IF(E653="","",E653*H653/1000)</f>
        <v/>
      </c>
    </row>
    <row r="654">
      <c r="G654" s="8">
        <f>IF(E654="","",E654*H654/1000)</f>
        <v/>
      </c>
    </row>
    <row r="655">
      <c r="G655" s="8">
        <f>IF(E655="","",E655*H655/1000)</f>
        <v/>
      </c>
    </row>
    <row r="656">
      <c r="G656" s="8">
        <f>IF(E656="","",E656*H656/1000)</f>
        <v/>
      </c>
    </row>
    <row r="657">
      <c r="G657" s="8">
        <f>IF(E657="","",E657*H657/1000)</f>
        <v/>
      </c>
    </row>
    <row r="658">
      <c r="G658" s="8">
        <f>IF(E658="","",E658*H658/1000)</f>
        <v/>
      </c>
    </row>
    <row r="659">
      <c r="G659" s="8">
        <f>IF(E659="","",E659*H659/1000)</f>
        <v/>
      </c>
    </row>
    <row r="660">
      <c r="G660" s="8">
        <f>IF(E660="","",E660*H660/1000)</f>
        <v/>
      </c>
    </row>
    <row r="661">
      <c r="G661" s="8">
        <f>IF(E661="","",E661*H661/1000)</f>
        <v/>
      </c>
    </row>
    <row r="662">
      <c r="G662" s="8">
        <f>IF(E662="","",E662*H662/1000)</f>
        <v/>
      </c>
    </row>
    <row r="663">
      <c r="G663" s="8">
        <f>IF(E663="","",E663*H663/1000)</f>
        <v/>
      </c>
    </row>
    <row r="664">
      <c r="G664" s="8">
        <f>IF(E664="","",E664*H664/1000)</f>
        <v/>
      </c>
    </row>
    <row r="665">
      <c r="G665" s="8">
        <f>IF(E665="","",E665*H665/1000)</f>
        <v/>
      </c>
    </row>
    <row r="666">
      <c r="G666" s="8">
        <f>IF(E666="","",E666*H666/1000)</f>
        <v/>
      </c>
    </row>
    <row r="667">
      <c r="G667" s="8">
        <f>IF(E667="","",E667*H667/1000)</f>
        <v/>
      </c>
    </row>
    <row r="668">
      <c r="G668" s="8">
        <f>IF(E668="","",E668*H668/1000)</f>
        <v/>
      </c>
    </row>
    <row r="669">
      <c r="G669" s="8">
        <f>IF(E669="","",E669*H669/1000)</f>
        <v/>
      </c>
    </row>
    <row r="670">
      <c r="G670" s="8">
        <f>IF(E670="","",E670*H670/1000)</f>
        <v/>
      </c>
    </row>
    <row r="671">
      <c r="G671" s="8">
        <f>IF(E671="","",E671*H671/1000)</f>
        <v/>
      </c>
    </row>
    <row r="672">
      <c r="G672" s="8">
        <f>IF(E672="","",E672*H672/1000)</f>
        <v/>
      </c>
    </row>
    <row r="673">
      <c r="G673" s="8">
        <f>IF(E673="","",E673*H673/1000)</f>
        <v/>
      </c>
    </row>
    <row r="674">
      <c r="G674" s="8">
        <f>IF(E674="","",E674*H674/1000)</f>
        <v/>
      </c>
    </row>
    <row r="675">
      <c r="G675" s="8">
        <f>IF(E675="","",E675*H675/1000)</f>
        <v/>
      </c>
    </row>
    <row r="676">
      <c r="G676" s="8">
        <f>IF(E676="","",E676*H676/1000)</f>
        <v/>
      </c>
    </row>
    <row r="677">
      <c r="G677" s="8">
        <f>IF(E677="","",E677*H677/1000)</f>
        <v/>
      </c>
    </row>
    <row r="678">
      <c r="G678" s="8">
        <f>IF(E678="","",E678*H678/1000)</f>
        <v/>
      </c>
    </row>
    <row r="679">
      <c r="G679" s="8">
        <f>IF(E679="","",E679*H679/1000)</f>
        <v/>
      </c>
    </row>
    <row r="680">
      <c r="G680" s="8">
        <f>IF(E680="","",E680*H680/1000)</f>
        <v/>
      </c>
    </row>
    <row r="681">
      <c r="G681" s="8">
        <f>IF(E681="","",E681*H681/1000)</f>
        <v/>
      </c>
    </row>
    <row r="682">
      <c r="G682" s="8">
        <f>IF(E682="","",E682*H682/1000)</f>
        <v/>
      </c>
    </row>
    <row r="683">
      <c r="G683" s="8">
        <f>IF(E683="","",E683*H683/1000)</f>
        <v/>
      </c>
    </row>
    <row r="684">
      <c r="G684" s="8">
        <f>IF(E684="","",E684*H684/1000)</f>
        <v/>
      </c>
    </row>
    <row r="685">
      <c r="G685" s="8">
        <f>IF(E685="","",E685*H685/1000)</f>
        <v/>
      </c>
    </row>
    <row r="686">
      <c r="G686" s="8">
        <f>IF(E686="","",E686*H686/1000)</f>
        <v/>
      </c>
    </row>
    <row r="687">
      <c r="G687" s="8">
        <f>IF(E687="","",E687*H687/1000)</f>
        <v/>
      </c>
    </row>
    <row r="688">
      <c r="G688" s="8">
        <f>IF(E688="","",E688*H688/1000)</f>
        <v/>
      </c>
    </row>
    <row r="689">
      <c r="G689" s="8">
        <f>IF(E689="","",E689*H689/1000)</f>
        <v/>
      </c>
    </row>
    <row r="690">
      <c r="G690" s="8">
        <f>IF(E690="","",E690*H690/1000)</f>
        <v/>
      </c>
    </row>
    <row r="691">
      <c r="G691" s="8">
        <f>IF(E691="","",E691*H691/1000)</f>
        <v/>
      </c>
    </row>
    <row r="692">
      <c r="G692" s="8">
        <f>IF(E692="","",E692*H692/1000)</f>
        <v/>
      </c>
    </row>
    <row r="693">
      <c r="G693" s="8">
        <f>IF(E693="","",E693*H693/1000)</f>
        <v/>
      </c>
    </row>
    <row r="694">
      <c r="G694" s="8">
        <f>IF(E694="","",E694*H694/1000)</f>
        <v/>
      </c>
    </row>
    <row r="695">
      <c r="G695" s="8">
        <f>IF(E695="","",E695*H695/1000)</f>
        <v/>
      </c>
    </row>
    <row r="696">
      <c r="G696" s="8">
        <f>IF(E696="","",E696*H696/1000)</f>
        <v/>
      </c>
    </row>
    <row r="697">
      <c r="G697" s="8">
        <f>IF(E697="","",E697*H697/1000)</f>
        <v/>
      </c>
    </row>
    <row r="698">
      <c r="G698" s="8">
        <f>IF(E698="","",E698*H698/1000)</f>
        <v/>
      </c>
    </row>
    <row r="699">
      <c r="G699" s="8">
        <f>IF(E699="","",E699*H699/1000)</f>
        <v/>
      </c>
    </row>
    <row r="700">
      <c r="G700" s="8">
        <f>IF(E700="","",E700*H700/1000)</f>
        <v/>
      </c>
    </row>
    <row r="701">
      <c r="G701" s="8">
        <f>IF(E701="","",E701*H701/1000)</f>
        <v/>
      </c>
    </row>
    <row r="702">
      <c r="G702" s="8">
        <f>IF(E702="","",E702*H702/1000)</f>
        <v/>
      </c>
    </row>
    <row r="703">
      <c r="G703" s="8">
        <f>IF(E703="","",E703*H703/1000)</f>
        <v/>
      </c>
    </row>
    <row r="704">
      <c r="G704" s="8">
        <f>IF(E704="","",E704*H704/1000)</f>
        <v/>
      </c>
    </row>
    <row r="705">
      <c r="G705" s="8">
        <f>IF(E705="","",E705*H705/1000)</f>
        <v/>
      </c>
    </row>
    <row r="706">
      <c r="G706" s="8">
        <f>IF(E706="","",E706*H706/1000)</f>
        <v/>
      </c>
    </row>
    <row r="707">
      <c r="G707" s="8">
        <f>IF(E707="","",E707*H707/1000)</f>
        <v/>
      </c>
    </row>
    <row r="708">
      <c r="G708" s="8">
        <f>IF(E708="","",E708*H708/1000)</f>
        <v/>
      </c>
    </row>
    <row r="709">
      <c r="G709" s="8">
        <f>IF(E709="","",E709*H709/1000)</f>
        <v/>
      </c>
    </row>
    <row r="710">
      <c r="G710" s="8">
        <f>IF(E710="","",E710*H710/1000)</f>
        <v/>
      </c>
    </row>
    <row r="711">
      <c r="G711" s="8">
        <f>IF(E711="","",E711*H711/1000)</f>
        <v/>
      </c>
    </row>
    <row r="712">
      <c r="G712" s="8">
        <f>IF(E712="","",E712*H712/1000)</f>
        <v/>
      </c>
    </row>
    <row r="713">
      <c r="G713" s="8">
        <f>IF(E713="","",E713*H713/1000)</f>
        <v/>
      </c>
    </row>
    <row r="714">
      <c r="G714" s="8">
        <f>IF(E714="","",E714*H714/1000)</f>
        <v/>
      </c>
    </row>
    <row r="715">
      <c r="G715" s="8">
        <f>IF(E715="","",E715*H715/1000)</f>
        <v/>
      </c>
    </row>
    <row r="716">
      <c r="G716" s="8">
        <f>IF(E716="","",E716*H716/1000)</f>
        <v/>
      </c>
    </row>
    <row r="717">
      <c r="G717" s="8">
        <f>IF(E717="","",E717*H717/1000)</f>
        <v/>
      </c>
    </row>
    <row r="718">
      <c r="G718" s="8">
        <f>IF(E718="","",E718*H718/1000)</f>
        <v/>
      </c>
    </row>
    <row r="719">
      <c r="G719" s="8">
        <f>IF(E719="","",E719*H719/1000)</f>
        <v/>
      </c>
    </row>
    <row r="720">
      <c r="G720" s="8">
        <f>IF(E720="","",E720*H720/1000)</f>
        <v/>
      </c>
    </row>
    <row r="721">
      <c r="G721" s="8">
        <f>IF(E721="","",E721*H721/1000)</f>
        <v/>
      </c>
    </row>
    <row r="722">
      <c r="G722" s="8">
        <f>IF(E722="","",E722*H722/1000)</f>
        <v/>
      </c>
    </row>
    <row r="723">
      <c r="G723" s="8">
        <f>IF(E723="","",E723*H723/1000)</f>
        <v/>
      </c>
    </row>
    <row r="724">
      <c r="G724" s="8">
        <f>IF(E724="","",E724*H724/1000)</f>
        <v/>
      </c>
    </row>
    <row r="725">
      <c r="G725" s="8">
        <f>IF(E725="","",E725*H725/1000)</f>
        <v/>
      </c>
    </row>
    <row r="726">
      <c r="G726" s="8">
        <f>IF(E726="","",E726*H726/1000)</f>
        <v/>
      </c>
    </row>
    <row r="727">
      <c r="G727" s="8">
        <f>IF(E727="","",E727*H727/1000)</f>
        <v/>
      </c>
    </row>
    <row r="728">
      <c r="G728" s="8">
        <f>IF(E728="","",E728*H728/1000)</f>
        <v/>
      </c>
    </row>
    <row r="729">
      <c r="G729" s="8">
        <f>IF(E729="","",E729*H729/1000)</f>
        <v/>
      </c>
    </row>
    <row r="730">
      <c r="G730" s="8">
        <f>IF(E730="","",E730*H730/1000)</f>
        <v/>
      </c>
    </row>
    <row r="731">
      <c r="G731" s="8">
        <f>IF(E731="","",E731*H731/1000)</f>
        <v/>
      </c>
    </row>
    <row r="732">
      <c r="G732" s="8">
        <f>IF(E732="","",E732*H732/1000)</f>
        <v/>
      </c>
    </row>
    <row r="733">
      <c r="G733" s="8">
        <f>IF(E733="","",E733*H733/1000)</f>
        <v/>
      </c>
    </row>
    <row r="734">
      <c r="G734" s="8">
        <f>IF(E734="","",E734*H734/1000)</f>
        <v/>
      </c>
    </row>
    <row r="735">
      <c r="G735" s="8">
        <f>IF(E735="","",E735*H735/1000)</f>
        <v/>
      </c>
    </row>
    <row r="736">
      <c r="G736" s="8">
        <f>IF(E736="","",E736*H736/1000)</f>
        <v/>
      </c>
    </row>
    <row r="737">
      <c r="G737" s="8">
        <f>IF(E737="","",E737*H737/1000)</f>
        <v/>
      </c>
    </row>
    <row r="738">
      <c r="G738" s="8">
        <f>IF(E738="","",E738*H738/1000)</f>
        <v/>
      </c>
    </row>
    <row r="739">
      <c r="G739" s="8">
        <f>IF(E739="","",E739*H739/1000)</f>
        <v/>
      </c>
    </row>
    <row r="740">
      <c r="G740" s="8">
        <f>IF(E740="","",E740*H740/1000)</f>
        <v/>
      </c>
    </row>
    <row r="741">
      <c r="G741" s="8">
        <f>IF(E741="","",E741*H741/1000)</f>
        <v/>
      </c>
    </row>
    <row r="742">
      <c r="G742" s="8">
        <f>IF(E742="","",E742*H742/1000)</f>
        <v/>
      </c>
    </row>
    <row r="743">
      <c r="G743" s="8">
        <f>IF(E743="","",E743*H743/1000)</f>
        <v/>
      </c>
    </row>
    <row r="744">
      <c r="G744" s="8">
        <f>IF(E744="","",E744*H744/1000)</f>
        <v/>
      </c>
    </row>
    <row r="745">
      <c r="G745" s="8">
        <f>IF(E745="","",E745*H745/1000)</f>
        <v/>
      </c>
    </row>
    <row r="746">
      <c r="G746" s="8">
        <f>IF(E746="","",E746*H746/1000)</f>
        <v/>
      </c>
    </row>
    <row r="747">
      <c r="G747" s="8">
        <f>IF(E747="","",E747*H747/1000)</f>
        <v/>
      </c>
    </row>
    <row r="748">
      <c r="G748" s="8">
        <f>IF(E748="","",E748*H748/1000)</f>
        <v/>
      </c>
    </row>
    <row r="749">
      <c r="G749" s="8">
        <f>IF(E749="","",E749*H749/1000)</f>
        <v/>
      </c>
    </row>
    <row r="750">
      <c r="G750" s="8">
        <f>IF(E750="","",E750*H750/1000)</f>
        <v/>
      </c>
    </row>
    <row r="751">
      <c r="G751" s="8">
        <f>IF(E751="","",E751*H751/1000)</f>
        <v/>
      </c>
    </row>
    <row r="752">
      <c r="G752" s="8">
        <f>IF(E752="","",E752*H752/1000)</f>
        <v/>
      </c>
    </row>
    <row r="753">
      <c r="G753" s="8">
        <f>IF(E753="","",E753*H753/1000)</f>
        <v/>
      </c>
    </row>
    <row r="754">
      <c r="G754" s="8">
        <f>IF(E754="","",E754*H754/1000)</f>
        <v/>
      </c>
    </row>
    <row r="755">
      <c r="G755" s="8">
        <f>IF(E755="","",E755*H755/1000)</f>
        <v/>
      </c>
    </row>
    <row r="756">
      <c r="G756" s="8">
        <f>IF(E756="","",E756*H756/1000)</f>
        <v/>
      </c>
    </row>
    <row r="757">
      <c r="G757" s="8">
        <f>IF(E757="","",E757*H757/1000)</f>
        <v/>
      </c>
    </row>
    <row r="758">
      <c r="G758" s="8">
        <f>IF(E758="","",E758*H758/1000)</f>
        <v/>
      </c>
    </row>
    <row r="759">
      <c r="G759" s="8">
        <f>IF(E759="","",E759*H759/1000)</f>
        <v/>
      </c>
    </row>
    <row r="760">
      <c r="G760" s="8">
        <f>IF(E760="","",E760*H760/1000)</f>
        <v/>
      </c>
    </row>
    <row r="761">
      <c r="G761" s="8">
        <f>IF(E761="","",E761*H761/1000)</f>
        <v/>
      </c>
    </row>
    <row r="762">
      <c r="G762" s="8">
        <f>IF(E762="","",E762*H762/1000)</f>
        <v/>
      </c>
    </row>
    <row r="763">
      <c r="G763" s="8">
        <f>IF(E763="","",E763*H763/1000)</f>
        <v/>
      </c>
    </row>
    <row r="764">
      <c r="G764" s="8">
        <f>IF(E764="","",E764*H764/1000)</f>
        <v/>
      </c>
    </row>
    <row r="765">
      <c r="G765" s="8">
        <f>IF(E765="","",E765*H765/1000)</f>
        <v/>
      </c>
    </row>
    <row r="766">
      <c r="G766" s="8">
        <f>IF(E766="","",E766*H766/1000)</f>
        <v/>
      </c>
    </row>
    <row r="767">
      <c r="G767" s="8">
        <f>IF(E767="","",E767*H767/1000)</f>
        <v/>
      </c>
    </row>
    <row r="768">
      <c r="G768" s="8">
        <f>IF(E768="","",E768*H768/1000)</f>
        <v/>
      </c>
    </row>
    <row r="769">
      <c r="G769" s="8">
        <f>IF(E769="","",E769*H769/1000)</f>
        <v/>
      </c>
    </row>
    <row r="770">
      <c r="G770" s="8">
        <f>IF(E770="","",E770*H770/1000)</f>
        <v/>
      </c>
    </row>
    <row r="771">
      <c r="G771" s="8">
        <f>IF(E771="","",E771*H771/1000)</f>
        <v/>
      </c>
    </row>
    <row r="772">
      <c r="G772" s="8">
        <f>IF(E772="","",E772*H772/1000)</f>
        <v/>
      </c>
    </row>
    <row r="773">
      <c r="G773" s="8">
        <f>IF(E773="","",E773*H773/1000)</f>
        <v/>
      </c>
    </row>
    <row r="774">
      <c r="G774" s="8">
        <f>IF(E774="","",E774*H774/1000)</f>
        <v/>
      </c>
    </row>
    <row r="775">
      <c r="G775" s="8">
        <f>IF(E775="","",E775*H775/1000)</f>
        <v/>
      </c>
    </row>
    <row r="776">
      <c r="G776" s="8">
        <f>IF(E776="","",E776*H776/1000)</f>
        <v/>
      </c>
    </row>
    <row r="777">
      <c r="G777" s="8">
        <f>IF(E777="","",E777*H777/1000)</f>
        <v/>
      </c>
    </row>
    <row r="778">
      <c r="G778" s="8">
        <f>IF(E778="","",E778*H778/1000)</f>
        <v/>
      </c>
    </row>
    <row r="779">
      <c r="G779" s="8">
        <f>IF(E779="","",E779*H779/1000)</f>
        <v/>
      </c>
    </row>
    <row r="780">
      <c r="G780" s="8">
        <f>IF(E780="","",E780*H780/1000)</f>
        <v/>
      </c>
    </row>
    <row r="781">
      <c r="G781" s="8">
        <f>IF(E781="","",E781*H781/1000)</f>
        <v/>
      </c>
    </row>
    <row r="782">
      <c r="G782" s="8">
        <f>IF(E782="","",E782*H782/1000)</f>
        <v/>
      </c>
    </row>
    <row r="783">
      <c r="G783" s="8">
        <f>IF(E783="","",E783*H783/1000)</f>
        <v/>
      </c>
    </row>
    <row r="784">
      <c r="G784" s="8">
        <f>IF(E784="","",E784*H784/1000)</f>
        <v/>
      </c>
    </row>
    <row r="785">
      <c r="G785" s="8">
        <f>IF(E785="","",E785*H785/1000)</f>
        <v/>
      </c>
    </row>
    <row r="786">
      <c r="G786" s="8">
        <f>IF(E786="","",E786*H786/1000)</f>
        <v/>
      </c>
    </row>
    <row r="787">
      <c r="G787" s="8">
        <f>IF(E787="","",E787*H787/1000)</f>
        <v/>
      </c>
    </row>
    <row r="788">
      <c r="G788" s="8">
        <f>IF(E788="","",E788*H788/1000)</f>
        <v/>
      </c>
    </row>
    <row r="789">
      <c r="G789" s="8">
        <f>IF(E789="","",E789*H789/1000)</f>
        <v/>
      </c>
    </row>
    <row r="790">
      <c r="G790" s="8">
        <f>IF(E790="","",E790*H790/1000)</f>
        <v/>
      </c>
    </row>
    <row r="791">
      <c r="G791" s="8">
        <f>IF(E791="","",E791*H791/1000)</f>
        <v/>
      </c>
    </row>
    <row r="792">
      <c r="G792" s="8">
        <f>IF(E792="","",E792*H792/1000)</f>
        <v/>
      </c>
    </row>
    <row r="793">
      <c r="G793" s="8">
        <f>IF(E793="","",E793*H793/1000)</f>
        <v/>
      </c>
    </row>
    <row r="794">
      <c r="G794" s="8">
        <f>IF(E794="","",E794*H794/1000)</f>
        <v/>
      </c>
    </row>
    <row r="795">
      <c r="G795" s="8">
        <f>IF(E795="","",E795*H795/1000)</f>
        <v/>
      </c>
    </row>
    <row r="796">
      <c r="G796" s="8">
        <f>IF(E796="","",E796*H796/1000)</f>
        <v/>
      </c>
    </row>
    <row r="797">
      <c r="G797" s="8">
        <f>IF(E797="","",E797*H797/1000)</f>
        <v/>
      </c>
    </row>
    <row r="798">
      <c r="G798" s="8">
        <f>IF(E798="","",E798*H798/1000)</f>
        <v/>
      </c>
    </row>
    <row r="799">
      <c r="G799" s="8">
        <f>IF(E799="","",E799*H799/1000)</f>
        <v/>
      </c>
    </row>
    <row r="800">
      <c r="G800" s="8">
        <f>IF(E800="","",E800*H800/1000)</f>
        <v/>
      </c>
    </row>
    <row r="801">
      <c r="G801" s="8">
        <f>IF(E801="","",E801*H801/1000)</f>
        <v/>
      </c>
    </row>
    <row r="802">
      <c r="G802" s="8">
        <f>IF(E802="","",E802*H802/1000)</f>
        <v/>
      </c>
    </row>
    <row r="803">
      <c r="G803" s="8">
        <f>IF(E803="","",E803*H803/1000)</f>
        <v/>
      </c>
    </row>
    <row r="804">
      <c r="G804" s="8">
        <f>IF(E804="","",E804*H804/1000)</f>
        <v/>
      </c>
    </row>
    <row r="805">
      <c r="G805" s="8">
        <f>IF(E805="","",E805*H805/1000)</f>
        <v/>
      </c>
    </row>
    <row r="806">
      <c r="G806" s="8">
        <f>IF(E806="","",E806*H806/1000)</f>
        <v/>
      </c>
    </row>
    <row r="807">
      <c r="G807" s="8">
        <f>IF(E807="","",E807*H807/1000)</f>
        <v/>
      </c>
    </row>
    <row r="808">
      <c r="G808" s="8">
        <f>IF(E808="","",E808*H808/1000)</f>
        <v/>
      </c>
    </row>
    <row r="809">
      <c r="G809" s="8">
        <f>IF(E809="","",E809*H809/1000)</f>
        <v/>
      </c>
    </row>
    <row r="810">
      <c r="G810" s="8">
        <f>IF(E810="","",E810*H810/1000)</f>
        <v/>
      </c>
    </row>
    <row r="811">
      <c r="G811" s="8">
        <f>IF(E811="","",E811*H811/1000)</f>
        <v/>
      </c>
    </row>
    <row r="812">
      <c r="G812" s="8">
        <f>IF(E812="","",E812*H812/1000)</f>
        <v/>
      </c>
    </row>
    <row r="813">
      <c r="G813" s="8">
        <f>IF(E813="","",E813*H813/1000)</f>
        <v/>
      </c>
    </row>
    <row r="814">
      <c r="G814" s="8">
        <f>IF(E814="","",E814*H814/1000)</f>
        <v/>
      </c>
    </row>
    <row r="815">
      <c r="G815" s="8">
        <f>IF(E815="","",E815*H815/1000)</f>
        <v/>
      </c>
    </row>
    <row r="816">
      <c r="G816" s="8">
        <f>IF(E816="","",E816*H816/1000)</f>
        <v/>
      </c>
    </row>
    <row r="817">
      <c r="G817" s="8">
        <f>IF(E817="","",E817*H817/1000)</f>
        <v/>
      </c>
    </row>
    <row r="818">
      <c r="G818" s="8">
        <f>IF(E818="","",E818*H818/1000)</f>
        <v/>
      </c>
    </row>
    <row r="819">
      <c r="G819" s="8">
        <f>IF(E819="","",E819*H819/1000)</f>
        <v/>
      </c>
    </row>
    <row r="820">
      <c r="G820" s="8">
        <f>IF(E820="","",E820*H820/1000)</f>
        <v/>
      </c>
    </row>
    <row r="821">
      <c r="G821" s="8">
        <f>IF(E821="","",E821*H821/1000)</f>
        <v/>
      </c>
    </row>
    <row r="822">
      <c r="G822" s="8">
        <f>IF(E822="","",E822*H822/1000)</f>
        <v/>
      </c>
    </row>
    <row r="823">
      <c r="G823" s="8">
        <f>IF(E823="","",E823*H823/1000)</f>
        <v/>
      </c>
    </row>
    <row r="824">
      <c r="G824" s="8">
        <f>IF(E824="","",E824*H824/1000)</f>
        <v/>
      </c>
    </row>
    <row r="825">
      <c r="G825" s="8">
        <f>IF(E825="","",E825*H825/1000)</f>
        <v/>
      </c>
    </row>
    <row r="826">
      <c r="G826" s="8">
        <f>IF(E826="","",E826*H826/1000)</f>
        <v/>
      </c>
    </row>
    <row r="827">
      <c r="G827" s="8">
        <f>IF(E827="","",E827*H827/1000)</f>
        <v/>
      </c>
    </row>
    <row r="828">
      <c r="G828" s="8">
        <f>IF(E828="","",E828*H828/1000)</f>
        <v/>
      </c>
    </row>
    <row r="829">
      <c r="G829" s="8">
        <f>IF(E829="","",E829*H829/1000)</f>
        <v/>
      </c>
    </row>
    <row r="830">
      <c r="G830" s="8">
        <f>IF(E830="","",E830*H830/1000)</f>
        <v/>
      </c>
    </row>
    <row r="831">
      <c r="G831" s="8">
        <f>IF(E831="","",E831*H831/1000)</f>
        <v/>
      </c>
    </row>
    <row r="832">
      <c r="G832" s="8">
        <f>IF(E832="","",E832*H832/1000)</f>
        <v/>
      </c>
    </row>
    <row r="833">
      <c r="G833" s="8">
        <f>IF(E833="","",E833*H833/1000)</f>
        <v/>
      </c>
    </row>
    <row r="834">
      <c r="G834" s="8">
        <f>IF(E834="","",E834*H834/1000)</f>
        <v/>
      </c>
    </row>
    <row r="835">
      <c r="G835" s="8">
        <f>IF(E835="","",E835*H835/1000)</f>
        <v/>
      </c>
    </row>
    <row r="836">
      <c r="G836" s="8">
        <f>IF(E836="","",E836*H836/1000)</f>
        <v/>
      </c>
    </row>
    <row r="837">
      <c r="G837" s="8">
        <f>IF(E837="","",E837*H837/1000)</f>
        <v/>
      </c>
    </row>
    <row r="838">
      <c r="G838" s="8">
        <f>IF(E838="","",E838*H838/1000)</f>
        <v/>
      </c>
    </row>
    <row r="839">
      <c r="G839" s="8">
        <f>IF(E839="","",E839*H839/1000)</f>
        <v/>
      </c>
    </row>
    <row r="840">
      <c r="G840" s="8">
        <f>IF(E840="","",E840*H840/1000)</f>
        <v/>
      </c>
    </row>
    <row r="841">
      <c r="G841" s="8">
        <f>IF(E841="","",E841*H841/1000)</f>
        <v/>
      </c>
    </row>
    <row r="842">
      <c r="G842" s="8">
        <f>IF(E842="","",E842*H842/1000)</f>
        <v/>
      </c>
    </row>
    <row r="843">
      <c r="G843" s="8">
        <f>IF(E843="","",E843*H843/1000)</f>
        <v/>
      </c>
    </row>
    <row r="844">
      <c r="G844" s="8">
        <f>IF(E844="","",E844*H844/1000)</f>
        <v/>
      </c>
    </row>
    <row r="845">
      <c r="G845" s="8">
        <f>IF(E845="","",E845*H845/1000)</f>
        <v/>
      </c>
    </row>
    <row r="846">
      <c r="G846" s="8">
        <f>IF(E846="","",E846*H846/1000)</f>
        <v/>
      </c>
    </row>
    <row r="847">
      <c r="G847" s="8">
        <f>IF(E847="","",E847*H847/1000)</f>
        <v/>
      </c>
    </row>
    <row r="848">
      <c r="G848" s="8">
        <f>IF(E848="","",E848*H848/1000)</f>
        <v/>
      </c>
    </row>
    <row r="849">
      <c r="G849" s="8">
        <f>IF(E849="","",E849*H849/1000)</f>
        <v/>
      </c>
    </row>
    <row r="850">
      <c r="G850" s="8">
        <f>IF(E850="","",E850*H850/1000)</f>
        <v/>
      </c>
    </row>
    <row r="851">
      <c r="G851" s="8">
        <f>IF(E851="","",E851*H851/1000)</f>
        <v/>
      </c>
    </row>
    <row r="852">
      <c r="G852" s="8">
        <f>IF(E852="","",E852*H852/1000)</f>
        <v/>
      </c>
    </row>
    <row r="853">
      <c r="G853" s="8">
        <f>IF(E853="","",E853*H853/1000)</f>
        <v/>
      </c>
    </row>
    <row r="854">
      <c r="G854" s="8">
        <f>IF(E854="","",E854*H854/1000)</f>
        <v/>
      </c>
    </row>
    <row r="855">
      <c r="G855" s="8">
        <f>IF(E855="","",E855*H855/1000)</f>
        <v/>
      </c>
    </row>
    <row r="856">
      <c r="G856" s="8">
        <f>IF(E856="","",E856*H856/1000)</f>
        <v/>
      </c>
    </row>
    <row r="857">
      <c r="G857" s="8">
        <f>IF(E857="","",E857*H857/1000)</f>
        <v/>
      </c>
    </row>
    <row r="858">
      <c r="G858" s="8">
        <f>IF(E858="","",E858*H858/1000)</f>
        <v/>
      </c>
    </row>
    <row r="859">
      <c r="G859" s="8">
        <f>IF(E859="","",E859*H859/1000)</f>
        <v/>
      </c>
    </row>
    <row r="860">
      <c r="G860" s="8">
        <f>IF(E860="","",E860*H860/1000)</f>
        <v/>
      </c>
    </row>
    <row r="861">
      <c r="G861" s="8">
        <f>IF(E861="","",E861*H861/1000)</f>
        <v/>
      </c>
    </row>
    <row r="862">
      <c r="G862" s="8">
        <f>IF(E862="","",E862*H862/1000)</f>
        <v/>
      </c>
    </row>
    <row r="863">
      <c r="G863" s="8">
        <f>IF(E863="","",E863*H863/1000)</f>
        <v/>
      </c>
    </row>
    <row r="864">
      <c r="G864" s="8">
        <f>IF(E864="","",E864*H864/1000)</f>
        <v/>
      </c>
    </row>
    <row r="865">
      <c r="G865" s="8">
        <f>IF(E865="","",E865*H865/1000)</f>
        <v/>
      </c>
    </row>
    <row r="866">
      <c r="G866" s="8">
        <f>IF(E866="","",E866*H866/1000)</f>
        <v/>
      </c>
    </row>
    <row r="867">
      <c r="G867" s="8">
        <f>IF(E867="","",E867*H867/1000)</f>
        <v/>
      </c>
    </row>
    <row r="868">
      <c r="G868" s="8">
        <f>IF(E868="","",E868*H868/1000)</f>
        <v/>
      </c>
    </row>
    <row r="869">
      <c r="G869" s="8">
        <f>IF(E869="","",E869*H869/1000)</f>
        <v/>
      </c>
    </row>
    <row r="870">
      <c r="G870" s="8">
        <f>IF(E870="","",E870*H870/1000)</f>
        <v/>
      </c>
    </row>
    <row r="871">
      <c r="G871" s="8">
        <f>IF(E871="","",E871*H871/1000)</f>
        <v/>
      </c>
    </row>
    <row r="872">
      <c r="G872" s="8">
        <f>IF(E872="","",E872*H872/1000)</f>
        <v/>
      </c>
    </row>
    <row r="873">
      <c r="G873" s="8">
        <f>IF(E873="","",E873*H873/1000)</f>
        <v/>
      </c>
    </row>
    <row r="874">
      <c r="G874" s="8">
        <f>IF(E874="","",E874*H874/1000)</f>
        <v/>
      </c>
    </row>
    <row r="875">
      <c r="G875" s="8">
        <f>IF(E875="","",E875*H875/1000)</f>
        <v/>
      </c>
    </row>
    <row r="876">
      <c r="G876" s="8">
        <f>IF(E876="","",E876*H876/1000)</f>
        <v/>
      </c>
    </row>
    <row r="877">
      <c r="G877" s="8">
        <f>IF(E877="","",E877*H877/1000)</f>
        <v/>
      </c>
    </row>
    <row r="878">
      <c r="G878" s="8">
        <f>IF(E878="","",E878*H878/1000)</f>
        <v/>
      </c>
    </row>
    <row r="879">
      <c r="G879" s="8">
        <f>IF(E879="","",E879*H879/1000)</f>
        <v/>
      </c>
    </row>
    <row r="880">
      <c r="G880" s="8">
        <f>IF(E880="","",E880*H880/1000)</f>
        <v/>
      </c>
    </row>
    <row r="881">
      <c r="G881" s="8">
        <f>IF(E881="","",E881*H881/1000)</f>
        <v/>
      </c>
    </row>
    <row r="882">
      <c r="G882" s="8">
        <f>IF(E882="","",E882*H882/1000)</f>
        <v/>
      </c>
    </row>
    <row r="883">
      <c r="G883" s="8">
        <f>IF(E883="","",E883*H883/1000)</f>
        <v/>
      </c>
    </row>
    <row r="884">
      <c r="G884" s="8">
        <f>IF(E884="","",E884*H884/1000)</f>
        <v/>
      </c>
    </row>
    <row r="885">
      <c r="G885" s="8">
        <f>IF(E885="","",E885*H885/1000)</f>
        <v/>
      </c>
    </row>
    <row r="886">
      <c r="G886" s="8">
        <f>IF(E886="","",E886*H886/1000)</f>
        <v/>
      </c>
    </row>
    <row r="887">
      <c r="G887" s="8">
        <f>IF(E887="","",E887*H887/1000)</f>
        <v/>
      </c>
    </row>
    <row r="888">
      <c r="G888" s="8">
        <f>IF(E888="","",E888*H888/1000)</f>
        <v/>
      </c>
    </row>
    <row r="889">
      <c r="G889" s="8">
        <f>IF(E889="","",E889*H889/1000)</f>
        <v/>
      </c>
    </row>
    <row r="890">
      <c r="G890" s="8">
        <f>IF(E890="","",E890*H890/1000)</f>
        <v/>
      </c>
    </row>
    <row r="891">
      <c r="G891" s="8">
        <f>IF(E891="","",E891*H891/1000)</f>
        <v/>
      </c>
    </row>
    <row r="892">
      <c r="G892" s="8">
        <f>IF(E892="","",E892*H892/1000)</f>
        <v/>
      </c>
    </row>
    <row r="893">
      <c r="G893" s="8">
        <f>IF(E893="","",E893*H893/1000)</f>
        <v/>
      </c>
    </row>
    <row r="894">
      <c r="G894" s="8">
        <f>IF(E894="","",E894*H894/1000)</f>
        <v/>
      </c>
    </row>
    <row r="895">
      <c r="G895" s="8">
        <f>IF(E895="","",E895*H895/1000)</f>
        <v/>
      </c>
    </row>
    <row r="896">
      <c r="G896" s="8">
        <f>IF(E896="","",E896*H896/1000)</f>
        <v/>
      </c>
    </row>
    <row r="897">
      <c r="G897" s="8">
        <f>IF(E897="","",E897*H897/1000)</f>
        <v/>
      </c>
    </row>
    <row r="898">
      <c r="G898" s="8">
        <f>IF(E898="","",E898*H898/1000)</f>
        <v/>
      </c>
    </row>
    <row r="899">
      <c r="G899" s="8">
        <f>IF(E899="","",E899*H899/1000)</f>
        <v/>
      </c>
    </row>
    <row r="900">
      <c r="G900" s="8">
        <f>IF(E900="","",E900*H900/1000)</f>
        <v/>
      </c>
    </row>
    <row r="901">
      <c r="G901" s="8">
        <f>IF(E901="","",E901*H901/1000)</f>
        <v/>
      </c>
    </row>
    <row r="902">
      <c r="G902" s="8">
        <f>IF(E902="","",E902*H902/1000)</f>
        <v/>
      </c>
    </row>
    <row r="903">
      <c r="G903" s="8">
        <f>IF(E903="","",E903*H903/1000)</f>
        <v/>
      </c>
    </row>
    <row r="904">
      <c r="G904" s="8">
        <f>IF(E904="","",E904*H904/1000)</f>
        <v/>
      </c>
    </row>
    <row r="905">
      <c r="G905" s="8">
        <f>IF(E905="","",E905*H905/1000)</f>
        <v/>
      </c>
    </row>
    <row r="906">
      <c r="G906" s="8">
        <f>IF(E906="","",E906*H906/1000)</f>
        <v/>
      </c>
    </row>
    <row r="907">
      <c r="G907" s="8">
        <f>IF(E907="","",E907*H907/1000)</f>
        <v/>
      </c>
    </row>
    <row r="908">
      <c r="G908" s="8">
        <f>IF(E908="","",E908*H908/1000)</f>
        <v/>
      </c>
    </row>
    <row r="909">
      <c r="G909" s="8">
        <f>IF(E909="","",E909*H909/1000)</f>
        <v/>
      </c>
    </row>
    <row r="910">
      <c r="G910" s="8">
        <f>IF(E910="","",E910*H910/1000)</f>
        <v/>
      </c>
    </row>
    <row r="911">
      <c r="G911" s="8">
        <f>IF(E911="","",E911*H911/1000)</f>
        <v/>
      </c>
    </row>
    <row r="912">
      <c r="G912" s="8">
        <f>IF(E912="","",E912*H912/1000)</f>
        <v/>
      </c>
    </row>
    <row r="913">
      <c r="G913" s="8">
        <f>IF(E913="","",E913*H913/1000)</f>
        <v/>
      </c>
    </row>
    <row r="914">
      <c r="G914" s="8">
        <f>IF(E914="","",E914*H914/1000)</f>
        <v/>
      </c>
    </row>
    <row r="915">
      <c r="G915" s="8">
        <f>IF(E915="","",E915*H915/1000)</f>
        <v/>
      </c>
    </row>
    <row r="916">
      <c r="G916" s="8">
        <f>IF(E916="","",E916*H916/1000)</f>
        <v/>
      </c>
    </row>
    <row r="917">
      <c r="G917" s="8">
        <f>IF(E917="","",E917*H917/1000)</f>
        <v/>
      </c>
    </row>
    <row r="918">
      <c r="G918" s="8">
        <f>IF(E918="","",E918*H918/1000)</f>
        <v/>
      </c>
    </row>
    <row r="919">
      <c r="G919" s="8">
        <f>IF(E919="","",E919*H919/1000)</f>
        <v/>
      </c>
    </row>
    <row r="920">
      <c r="G920" s="8">
        <f>IF(E920="","",E920*H920/1000)</f>
        <v/>
      </c>
    </row>
    <row r="921">
      <c r="G921" s="8">
        <f>IF(E921="","",E921*H921/1000)</f>
        <v/>
      </c>
    </row>
    <row r="922">
      <c r="G922" s="8">
        <f>IF(E922="","",E922*H922/1000)</f>
        <v/>
      </c>
    </row>
    <row r="923">
      <c r="G923" s="8">
        <f>IF(E923="","",E923*H923/1000)</f>
        <v/>
      </c>
    </row>
    <row r="924">
      <c r="G924" s="8">
        <f>IF(E924="","",E924*H924/1000)</f>
        <v/>
      </c>
    </row>
    <row r="925">
      <c r="G925" s="8">
        <f>IF(E925="","",E925*H925/1000)</f>
        <v/>
      </c>
    </row>
    <row r="926">
      <c r="G926" s="8">
        <f>IF(E926="","",E926*H926/1000)</f>
        <v/>
      </c>
    </row>
    <row r="927">
      <c r="G927" s="8">
        <f>IF(E927="","",E927*H927/1000)</f>
        <v/>
      </c>
    </row>
    <row r="928">
      <c r="G928" s="8">
        <f>IF(E928="","",E928*H928/1000)</f>
        <v/>
      </c>
    </row>
    <row r="929">
      <c r="G929" s="8">
        <f>IF(E929="","",E929*H929/1000)</f>
        <v/>
      </c>
    </row>
    <row r="930">
      <c r="G930" s="8">
        <f>IF(E930="","",E930*H930/1000)</f>
        <v/>
      </c>
    </row>
    <row r="931">
      <c r="G931" s="8">
        <f>IF(E931="","",E931*H931/1000)</f>
        <v/>
      </c>
    </row>
    <row r="932">
      <c r="G932" s="8">
        <f>IF(E932="","",E932*H932/1000)</f>
        <v/>
      </c>
    </row>
    <row r="933">
      <c r="G933" s="8">
        <f>IF(E933="","",E933*H933/1000)</f>
        <v/>
      </c>
    </row>
    <row r="934">
      <c r="G934" s="8">
        <f>IF(E934="","",E934*H934/1000)</f>
        <v/>
      </c>
    </row>
    <row r="935">
      <c r="G935" s="8">
        <f>IF(E935="","",E935*H935/1000)</f>
        <v/>
      </c>
    </row>
    <row r="936">
      <c r="G936" s="8">
        <f>IF(E936="","",E936*H936/1000)</f>
        <v/>
      </c>
    </row>
    <row r="937">
      <c r="G937" s="8">
        <f>IF(E937="","",E937*H937/1000)</f>
        <v/>
      </c>
    </row>
    <row r="938">
      <c r="G938" s="8">
        <f>IF(E938="","",E938*H938/1000)</f>
        <v/>
      </c>
    </row>
    <row r="939">
      <c r="G939" s="8">
        <f>IF(E939="","",E939*H939/1000)</f>
        <v/>
      </c>
    </row>
    <row r="940">
      <c r="G940" s="8">
        <f>IF(E940="","",E940*H940/1000)</f>
        <v/>
      </c>
    </row>
    <row r="941">
      <c r="G941" s="8">
        <f>IF(E941="","",E941*H941/1000)</f>
        <v/>
      </c>
    </row>
    <row r="942">
      <c r="G942" s="8">
        <f>IF(E942="","",E942*H942/1000)</f>
        <v/>
      </c>
    </row>
    <row r="943">
      <c r="G943" s="8">
        <f>IF(E943="","",E943*H943/1000)</f>
        <v/>
      </c>
    </row>
    <row r="944">
      <c r="G944" s="8">
        <f>IF(E944="","",E944*H944/1000)</f>
        <v/>
      </c>
    </row>
    <row r="945">
      <c r="G945" s="8">
        <f>IF(E945="","",E945*H945/1000)</f>
        <v/>
      </c>
    </row>
    <row r="946">
      <c r="G946" s="8">
        <f>IF(E946="","",E946*H946/1000)</f>
        <v/>
      </c>
    </row>
    <row r="947">
      <c r="G947" s="8">
        <f>IF(E947="","",E947*H947/1000)</f>
        <v/>
      </c>
    </row>
    <row r="948">
      <c r="G948" s="8">
        <f>IF(E948="","",E948*H948/1000)</f>
        <v/>
      </c>
    </row>
    <row r="949">
      <c r="G949" s="8">
        <f>IF(E949="","",E949*H949/1000)</f>
        <v/>
      </c>
    </row>
    <row r="950">
      <c r="G950" s="8">
        <f>IF(E950="","",E950*H950/1000)</f>
        <v/>
      </c>
    </row>
    <row r="951">
      <c r="G951" s="8">
        <f>IF(E951="","",E951*H951/1000)</f>
        <v/>
      </c>
    </row>
    <row r="952">
      <c r="G952" s="8">
        <f>IF(E952="","",E952*H952/1000)</f>
        <v/>
      </c>
    </row>
    <row r="953">
      <c r="G953" s="8">
        <f>IF(E953="","",E953*H953/1000)</f>
        <v/>
      </c>
    </row>
    <row r="954">
      <c r="G954" s="8">
        <f>IF(E954="","",E954*H954/1000)</f>
        <v/>
      </c>
    </row>
    <row r="955">
      <c r="G955" s="8">
        <f>IF(E955="","",E955*H955/1000)</f>
        <v/>
      </c>
    </row>
    <row r="956">
      <c r="G956" s="8">
        <f>IF(E956="","",E956*H956/1000)</f>
        <v/>
      </c>
    </row>
    <row r="957">
      <c r="G957" s="8">
        <f>IF(E957="","",E957*H957/1000)</f>
        <v/>
      </c>
    </row>
    <row r="958">
      <c r="G958" s="8">
        <f>IF(E958="","",E958*H958/1000)</f>
        <v/>
      </c>
    </row>
    <row r="959">
      <c r="G959" s="8">
        <f>IF(E959="","",E959*H959/1000)</f>
        <v/>
      </c>
    </row>
    <row r="960">
      <c r="G960" s="8">
        <f>IF(E960="","",E960*H960/1000)</f>
        <v/>
      </c>
    </row>
    <row r="961">
      <c r="G961" s="8">
        <f>IF(E961="","",E961*H961/1000)</f>
        <v/>
      </c>
    </row>
    <row r="962">
      <c r="G962" s="8">
        <f>IF(E962="","",E962*H962/1000)</f>
        <v/>
      </c>
    </row>
    <row r="963">
      <c r="G963" s="8">
        <f>IF(E963="","",E963*H963/1000)</f>
        <v/>
      </c>
    </row>
    <row r="964">
      <c r="G964" s="8">
        <f>IF(E964="","",E964*H964/1000)</f>
        <v/>
      </c>
    </row>
    <row r="965">
      <c r="G965" s="8">
        <f>IF(E965="","",E965*H965/1000)</f>
        <v/>
      </c>
    </row>
    <row r="966">
      <c r="G966" s="8">
        <f>IF(E966="","",E966*H966/1000)</f>
        <v/>
      </c>
    </row>
    <row r="967">
      <c r="G967" s="8">
        <f>IF(E967="","",E967*H967/1000)</f>
        <v/>
      </c>
    </row>
    <row r="968">
      <c r="G968" s="8">
        <f>IF(E968="","",E968*H968/1000)</f>
        <v/>
      </c>
    </row>
    <row r="969">
      <c r="G969" s="8">
        <f>IF(E969="","",E969*H969/1000)</f>
        <v/>
      </c>
    </row>
    <row r="970">
      <c r="G970" s="8">
        <f>IF(E970="","",E970*H970/1000)</f>
        <v/>
      </c>
    </row>
    <row r="971">
      <c r="G971" s="8">
        <f>IF(E971="","",E971*H971/1000)</f>
        <v/>
      </c>
    </row>
    <row r="972">
      <c r="G972" s="8">
        <f>IF(E972="","",E972*H972/1000)</f>
        <v/>
      </c>
    </row>
    <row r="973">
      <c r="G973" s="8">
        <f>IF(E973="","",E973*H973/1000)</f>
        <v/>
      </c>
    </row>
    <row r="974">
      <c r="G974" s="8">
        <f>IF(E974="","",E974*H974/1000)</f>
        <v/>
      </c>
    </row>
    <row r="975">
      <c r="G975" s="8">
        <f>IF(E975="","",E975*H975/1000)</f>
        <v/>
      </c>
    </row>
    <row r="976">
      <c r="G976" s="8">
        <f>IF(E976="","",E976*H976/1000)</f>
        <v/>
      </c>
    </row>
    <row r="977">
      <c r="G977" s="8">
        <f>IF(E977="","",E977*H977/1000)</f>
        <v/>
      </c>
    </row>
    <row r="978">
      <c r="G978" s="8">
        <f>IF(E978="","",E978*H978/1000)</f>
        <v/>
      </c>
    </row>
    <row r="979">
      <c r="G979" s="8">
        <f>IF(E979="","",E979*H979/1000)</f>
        <v/>
      </c>
    </row>
    <row r="980">
      <c r="G980" s="8">
        <f>IF(E980="","",E980*H980/1000)</f>
        <v/>
      </c>
    </row>
    <row r="981">
      <c r="G981" s="8">
        <f>IF(E981="","",E981*H981/1000)</f>
        <v/>
      </c>
    </row>
    <row r="982">
      <c r="G982" s="8">
        <f>IF(E982="","",E982*H982/1000)</f>
        <v/>
      </c>
    </row>
    <row r="983">
      <c r="G983" s="8">
        <f>IF(E983="","",E983*H983/1000)</f>
        <v/>
      </c>
    </row>
    <row r="984">
      <c r="G984" s="8">
        <f>IF(E984="","",E984*H984/1000)</f>
        <v/>
      </c>
    </row>
    <row r="985">
      <c r="G985" s="8">
        <f>IF(E985="","",E985*H985/1000)</f>
        <v/>
      </c>
    </row>
    <row r="986">
      <c r="G986" s="8">
        <f>IF(E986="","",E986*H986/1000)</f>
        <v/>
      </c>
    </row>
    <row r="987">
      <c r="G987" s="8">
        <f>IF(E987="","",E987*H987/1000)</f>
        <v/>
      </c>
    </row>
    <row r="988">
      <c r="G988" s="8">
        <f>IF(E988="","",E988*H988/1000)</f>
        <v/>
      </c>
    </row>
    <row r="989">
      <c r="G989" s="8">
        <f>IF(E989="","",E989*H989/1000)</f>
        <v/>
      </c>
    </row>
    <row r="990">
      <c r="G990" s="8">
        <f>IF(E990="","",E990*H990/1000)</f>
        <v/>
      </c>
    </row>
    <row r="991">
      <c r="G991" s="8">
        <f>IF(E991="","",E991*H991/1000)</f>
        <v/>
      </c>
    </row>
    <row r="992">
      <c r="G992" s="8">
        <f>IF(E992="","",E992*H992/1000)</f>
        <v/>
      </c>
    </row>
    <row r="993">
      <c r="G993" s="8">
        <f>IF(E993="","",E993*H993/1000)</f>
        <v/>
      </c>
    </row>
    <row r="994">
      <c r="G994" s="8">
        <f>IF(E994="","",E994*H994/1000)</f>
        <v/>
      </c>
    </row>
    <row r="995">
      <c r="G995" s="8">
        <f>IF(E995="","",E995*H995/1000)</f>
        <v/>
      </c>
    </row>
    <row r="996">
      <c r="G996" s="8">
        <f>IF(E996="","",E996*H996/1000)</f>
        <v/>
      </c>
    </row>
    <row r="997">
      <c r="G997" s="8">
        <f>IF(E997="","",E997*H997/1000)</f>
        <v/>
      </c>
    </row>
    <row r="998">
      <c r="G998" s="8">
        <f>IF(E998="","",E998*H998/1000)</f>
        <v/>
      </c>
    </row>
    <row r="999">
      <c r="G999" s="8">
        <f>IF(E999="","",E999*H999/1000)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0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0" customWidth="1" min="4" max="4"/>
    <col width="10" customWidth="1" min="5" max="5"/>
    <col width="15" customWidth="1" min="6" max="6"/>
    <col width="15" customWidth="1" min="7" max="7"/>
    <col width="15" customWidth="1" min="8" max="8"/>
    <col width="15" customWidth="1" min="9" max="9"/>
    <col width="12" customWidth="1" min="10" max="10"/>
    <col width="15" customWidth="1" min="11" max="11"/>
    <col width="12" customWidth="1" min="12" max="12"/>
    <col width="15" customWidth="1" min="13" max="13"/>
    <col width="8" customWidth="1" min="14" max="14"/>
    <col width="15" customWidth="1" min="15" max="15"/>
    <col width="12" customWidth="1" min="16" max="16"/>
  </cols>
  <sheetData>
    <row r="1">
      <c r="A1" s="31" t="inlineStr">
        <is>
          <t>💰 GESTION DES VENTES - SUIVI JOURNALIER</t>
        </is>
      </c>
    </row>
    <row r="3">
      <c r="A3" t="inlineStr">
        <is>
          <t>Filtres:</t>
        </is>
      </c>
      <c r="B3" t="inlineStr">
        <is>
          <t>Date:</t>
        </is>
      </c>
      <c r="C3" t="inlineStr">
        <is>
          <t>26/05/2026</t>
        </is>
      </c>
      <c r="D3" t="inlineStr">
        <is>
          <t>Service:</t>
        </is>
      </c>
      <c r="E3" t="inlineStr">
        <is>
          <t>Tous</t>
        </is>
      </c>
      <c r="F3" t="inlineStr">
        <is>
          <t>Serveur:</t>
        </is>
      </c>
      <c r="G3" t="inlineStr">
        <is>
          <t>Tous</t>
        </is>
      </c>
    </row>
    <row r="5">
      <c r="A5" s="33" t="inlineStr">
        <is>
          <t>Date</t>
        </is>
      </c>
      <c r="B5" s="33" t="inlineStr">
        <is>
          <t>Heure</t>
        </is>
      </c>
      <c r="C5" s="33" t="inlineStr">
        <is>
          <t>ID Vente</t>
        </is>
      </c>
      <c r="D5" s="33" t="inlineStr">
        <is>
          <t>Produit/Plat</t>
        </is>
      </c>
      <c r="E5" s="33" t="inlineStr">
        <is>
          <t>Quantité</t>
        </is>
      </c>
      <c r="F5" s="33" t="inlineStr">
        <is>
          <t>Prix Unitaire HT</t>
        </is>
      </c>
      <c r="G5" s="33" t="inlineStr">
        <is>
          <t>Total HT</t>
        </is>
      </c>
      <c r="H5" s="33" t="inlineStr">
        <is>
          <t>Marge</t>
        </is>
      </c>
      <c r="I5" s="33" t="inlineStr">
        <is>
          <t>Coût Matière</t>
        </is>
      </c>
      <c r="J5" s="33" t="inlineStr">
        <is>
          <t>TVA</t>
        </is>
      </c>
      <c r="K5" s="33" t="inlineStr">
        <is>
          <t>Total TTC</t>
        </is>
      </c>
      <c r="L5" s="33" t="inlineStr">
        <is>
          <t>Service</t>
        </is>
      </c>
      <c r="M5" s="33" t="inlineStr">
        <is>
          <t>Serveur</t>
        </is>
      </c>
      <c r="N5" s="33" t="inlineStr">
        <is>
          <t>Table</t>
        </is>
      </c>
      <c r="O5" s="33" t="inlineStr">
        <is>
          <t>Mode Paiement</t>
        </is>
      </c>
      <c r="P5" s="33" t="inlineStr">
        <is>
          <t>Statut</t>
        </is>
      </c>
    </row>
    <row r="6">
      <c r="A6" t="inlineStr">
        <is>
          <t>26/05/2026</t>
        </is>
      </c>
      <c r="B6" t="inlineStr">
        <is>
          <t>12:30</t>
        </is>
      </c>
      <c r="C6" t="inlineStr">
        <is>
          <t>V0001</t>
        </is>
      </c>
      <c r="D6" t="inlineStr">
        <is>
          <t>Salade César</t>
        </is>
      </c>
      <c r="E6" t="n">
        <v>2</v>
      </c>
      <c r="F6" s="8" t="n">
        <v>12</v>
      </c>
      <c r="G6" s="8">
        <f>IF(E6="","",E6*F6)</f>
        <v/>
      </c>
      <c r="H6" s="8">
        <f>IF(G6="","",G6-I6)</f>
        <v/>
      </c>
      <c r="I6" s="8">
        <f>IF(D6="","",VLOOKUP(D6, RECETTES!B:G, 6, FALSE)*E6)</f>
        <v/>
      </c>
      <c r="J6" s="8">
        <f>IF(G6="","",G6*0.20)</f>
        <v/>
      </c>
      <c r="K6" s="8">
        <f>IF(G6="","",G6+J6)</f>
        <v/>
      </c>
      <c r="L6" t="inlineStr">
        <is>
          <t>Déjeuner</t>
        </is>
      </c>
      <c r="M6" t="inlineStr">
        <is>
          <t>Marie</t>
        </is>
      </c>
      <c r="N6" t="inlineStr">
        <is>
          <t>5</t>
        </is>
      </c>
      <c r="O6" t="inlineStr">
        <is>
          <t>CB</t>
        </is>
      </c>
      <c r="P6" t="inlineStr">
        <is>
          <t>✓ Payé</t>
        </is>
      </c>
    </row>
    <row r="7">
      <c r="A7" t="inlineStr">
        <is>
          <t>26/05/2026</t>
        </is>
      </c>
      <c r="B7" t="inlineStr">
        <is>
          <t>12:45</t>
        </is>
      </c>
      <c r="C7" t="inlineStr">
        <is>
          <t>V0002</t>
        </is>
      </c>
      <c r="D7" t="inlineStr">
        <is>
          <t>Entrecôte Grillée</t>
        </is>
      </c>
      <c r="E7" t="n">
        <v>1</v>
      </c>
      <c r="F7" s="8" t="n">
        <v>25</v>
      </c>
      <c r="G7" s="8">
        <f>IF(E7="","",E7*F7)</f>
        <v/>
      </c>
      <c r="H7" s="8">
        <f>IF(G7="","",G7-I7)</f>
        <v/>
      </c>
      <c r="I7" s="8">
        <f>IF(D7="","",VLOOKUP(D7, RECETTES!B:G, 6, FALSE)*E7)</f>
        <v/>
      </c>
      <c r="J7" s="8">
        <f>IF(G7="","",G7*0.20)</f>
        <v/>
      </c>
      <c r="K7" s="8">
        <f>IF(G7="","",G7+J7)</f>
        <v/>
      </c>
      <c r="L7" t="inlineStr">
        <is>
          <t>Déjeuner</t>
        </is>
      </c>
      <c r="M7" t="inlineStr">
        <is>
          <t>Pierre</t>
        </is>
      </c>
      <c r="N7" t="inlineStr">
        <is>
          <t>8</t>
        </is>
      </c>
      <c r="O7" t="inlineStr">
        <is>
          <t>Espèces</t>
        </is>
      </c>
      <c r="P7" t="inlineStr">
        <is>
          <t>✓ Payé</t>
        </is>
      </c>
    </row>
    <row r="8">
      <c r="A8" t="inlineStr">
        <is>
          <t>26/05/2026</t>
        </is>
      </c>
      <c r="B8" t="inlineStr">
        <is>
          <t>13:00</t>
        </is>
      </c>
      <c r="C8" t="inlineStr">
        <is>
          <t>V0003</t>
        </is>
      </c>
      <c r="D8" t="inlineStr">
        <is>
          <t>Saumon Rôti</t>
        </is>
      </c>
      <c r="E8" t="n">
        <v>1</v>
      </c>
      <c r="F8" s="8" t="n">
        <v>28</v>
      </c>
      <c r="G8" s="8">
        <f>IF(E8="","",E8*F8)</f>
        <v/>
      </c>
      <c r="H8" s="8">
        <f>IF(G8="","",G8-I8)</f>
        <v/>
      </c>
      <c r="I8" s="8">
        <f>IF(D8="","",VLOOKUP(D8, RECETTES!B:G, 6, FALSE)*E8)</f>
        <v/>
      </c>
      <c r="J8" s="8">
        <f>IF(G8="","",G8*0.20)</f>
        <v/>
      </c>
      <c r="K8" s="8">
        <f>IF(G8="","",G8+J8)</f>
        <v/>
      </c>
      <c r="L8" t="inlineStr">
        <is>
          <t>Déjeuner</t>
        </is>
      </c>
      <c r="M8" t="inlineStr">
        <is>
          <t>Marie</t>
        </is>
      </c>
      <c r="N8" t="inlineStr">
        <is>
          <t>12</t>
        </is>
      </c>
      <c r="O8" t="inlineStr">
        <is>
          <t>CB</t>
        </is>
      </c>
      <c r="P8" t="inlineStr">
        <is>
          <t>✓ Payé</t>
        </is>
      </c>
    </row>
    <row r="9">
      <c r="A9" t="inlineStr">
        <is>
          <t>26/05/2026</t>
        </is>
      </c>
      <c r="B9" t="inlineStr">
        <is>
          <t>13:15</t>
        </is>
      </c>
      <c r="C9" t="inlineStr">
        <is>
          <t>V0004</t>
        </is>
      </c>
      <c r="D9" t="inlineStr">
        <is>
          <t>Tarte au Citron</t>
        </is>
      </c>
      <c r="E9" t="n">
        <v>2</v>
      </c>
      <c r="F9" s="8" t="n">
        <v>9</v>
      </c>
      <c r="G9" s="8">
        <f>IF(E9="","",E9*F9)</f>
        <v/>
      </c>
      <c r="H9" s="8">
        <f>IF(G9="","",G9-I9)</f>
        <v/>
      </c>
      <c r="I9" s="8">
        <f>IF(D9="","",VLOOKUP(D9, RECETTES!B:G, 6, FALSE)*E9)</f>
        <v/>
      </c>
      <c r="J9" s="8">
        <f>IF(G9="","",G9*0.20)</f>
        <v/>
      </c>
      <c r="K9" s="8">
        <f>IF(G9="","",G9+J9)</f>
        <v/>
      </c>
      <c r="L9" t="inlineStr">
        <is>
          <t>Déjeuner</t>
        </is>
      </c>
      <c r="M9" t="inlineStr">
        <is>
          <t>Pierre</t>
        </is>
      </c>
      <c r="N9" t="inlineStr">
        <is>
          <t>5</t>
        </is>
      </c>
      <c r="O9" t="inlineStr">
        <is>
          <t>CB</t>
        </is>
      </c>
      <c r="P9" t="inlineStr">
        <is>
          <t>✓ Payé</t>
        </is>
      </c>
    </row>
    <row r="10">
      <c r="A10" t="inlineStr">
        <is>
          <t>26/05/2026</t>
        </is>
      </c>
      <c r="B10" t="inlineStr">
        <is>
          <t>19:30</t>
        </is>
      </c>
      <c r="C10" t="inlineStr">
        <is>
          <t>V0005</t>
        </is>
      </c>
      <c r="D10" t="inlineStr">
        <is>
          <t>Risotto Champignons</t>
        </is>
      </c>
      <c r="E10" t="n">
        <v>3</v>
      </c>
      <c r="F10" s="8" t="n">
        <v>22</v>
      </c>
      <c r="G10" s="8">
        <f>IF(E10="","",E10*F10)</f>
        <v/>
      </c>
      <c r="H10" s="8">
        <f>IF(G10="","",G10-I10)</f>
        <v/>
      </c>
      <c r="I10" s="8">
        <f>IF(D10="","",VLOOKUP(D10, RECETTES!B:G, 6, FALSE)*E10)</f>
        <v/>
      </c>
      <c r="J10" s="8">
        <f>IF(G10="","",G10*0.20)</f>
        <v/>
      </c>
      <c r="K10" s="8">
        <f>IF(G10="","",G10+J10)</f>
        <v/>
      </c>
      <c r="L10" t="inlineStr">
        <is>
          <t>Dîner</t>
        </is>
      </c>
      <c r="M10" t="inlineStr">
        <is>
          <t>Marie</t>
        </is>
      </c>
      <c r="N10" t="inlineStr">
        <is>
          <t>15</t>
        </is>
      </c>
      <c r="O10" t="inlineStr">
        <is>
          <t>CB</t>
        </is>
      </c>
      <c r="P10" t="inlineStr">
        <is>
          <t>✓ Payé</t>
        </is>
      </c>
    </row>
    <row r="11">
      <c r="F11" s="8" t="n"/>
      <c r="G11" s="8">
        <f>IF(E11="","",E11*F11)</f>
        <v/>
      </c>
      <c r="H11" s="8">
        <f>IF(G11="","",G11-I11)</f>
        <v/>
      </c>
      <c r="I11" s="8">
        <f>IF(D11="","",VLOOKUP(D11, RECETTES!B:G, 6, FALSE)*E11)</f>
        <v/>
      </c>
      <c r="J11" s="8">
        <f>IF(G11="","",G11*0.20)</f>
        <v/>
      </c>
      <c r="K11" s="8">
        <f>IF(G11="","",G11+J11)</f>
        <v/>
      </c>
    </row>
    <row r="12">
      <c r="F12" s="8" t="n"/>
      <c r="G12" s="8">
        <f>IF(E12="","",E12*F12)</f>
        <v/>
      </c>
      <c r="H12" s="8">
        <f>IF(G12="","",G12-I12)</f>
        <v/>
      </c>
      <c r="I12" s="8">
        <f>IF(D12="","",VLOOKUP(D12, RECETTES!B:G, 6, FALSE)*E12)</f>
        <v/>
      </c>
      <c r="J12" s="8">
        <f>IF(G12="","",G12*0.20)</f>
        <v/>
      </c>
      <c r="K12" s="8">
        <f>IF(G12="","",G12+J12)</f>
        <v/>
      </c>
    </row>
    <row r="13">
      <c r="F13" s="8" t="n"/>
      <c r="G13" s="8">
        <f>IF(E13="","",E13*F13)</f>
        <v/>
      </c>
      <c r="H13" s="8">
        <f>IF(G13="","",G13-I13)</f>
        <v/>
      </c>
      <c r="I13" s="8">
        <f>IF(D13="","",VLOOKUP(D13, RECETTES!B:G, 6, FALSE)*E13)</f>
        <v/>
      </c>
      <c r="J13" s="8">
        <f>IF(G13="","",G13*0.20)</f>
        <v/>
      </c>
      <c r="K13" s="8">
        <f>IF(G13="","",G13+J13)</f>
        <v/>
      </c>
    </row>
    <row r="14">
      <c r="F14" s="8" t="n"/>
      <c r="G14" s="8">
        <f>IF(E14="","",E14*F14)</f>
        <v/>
      </c>
      <c r="H14" s="8">
        <f>IF(G14="","",G14-I14)</f>
        <v/>
      </c>
      <c r="I14" s="8">
        <f>IF(D14="","",VLOOKUP(D14, RECETTES!B:G, 6, FALSE)*E14)</f>
        <v/>
      </c>
      <c r="J14" s="8">
        <f>IF(G14="","",G14*0.20)</f>
        <v/>
      </c>
      <c r="K14" s="8">
        <f>IF(G14="","",G14+J14)</f>
        <v/>
      </c>
    </row>
    <row r="15">
      <c r="F15" s="8" t="n"/>
      <c r="G15" s="8">
        <f>IF(E15="","",E15*F15)</f>
        <v/>
      </c>
      <c r="H15" s="8">
        <f>IF(G15="","",G15-I15)</f>
        <v/>
      </c>
      <c r="I15" s="8">
        <f>IF(D15="","",VLOOKUP(D15, RECETTES!B:G, 6, FALSE)*E15)</f>
        <v/>
      </c>
      <c r="J15" s="8">
        <f>IF(G15="","",G15*0.20)</f>
        <v/>
      </c>
      <c r="K15" s="8">
        <f>IF(G15="","",G15+J15)</f>
        <v/>
      </c>
    </row>
    <row r="16">
      <c r="F16" s="8" t="n"/>
      <c r="G16" s="8">
        <f>IF(E16="","",E16*F16)</f>
        <v/>
      </c>
      <c r="H16" s="8">
        <f>IF(G16="","",G16-I16)</f>
        <v/>
      </c>
      <c r="I16" s="8">
        <f>IF(D16="","",VLOOKUP(D16, RECETTES!B:G, 6, FALSE)*E16)</f>
        <v/>
      </c>
      <c r="J16" s="8">
        <f>IF(G16="","",G16*0.20)</f>
        <v/>
      </c>
      <c r="K16" s="8">
        <f>IF(G16="","",G16+J16)</f>
        <v/>
      </c>
    </row>
    <row r="17">
      <c r="F17" s="8" t="n"/>
      <c r="G17" s="8">
        <f>IF(E17="","",E17*F17)</f>
        <v/>
      </c>
      <c r="H17" s="8">
        <f>IF(G17="","",G17-I17)</f>
        <v/>
      </c>
      <c r="I17" s="8">
        <f>IF(D17="","",VLOOKUP(D17, RECETTES!B:G, 6, FALSE)*E17)</f>
        <v/>
      </c>
      <c r="J17" s="8">
        <f>IF(G17="","",G17*0.20)</f>
        <v/>
      </c>
      <c r="K17" s="8">
        <f>IF(G17="","",G17+J17)</f>
        <v/>
      </c>
    </row>
    <row r="18">
      <c r="F18" s="8" t="n"/>
      <c r="G18" s="8">
        <f>IF(E18="","",E18*F18)</f>
        <v/>
      </c>
      <c r="H18" s="8">
        <f>IF(G18="","",G18-I18)</f>
        <v/>
      </c>
      <c r="I18" s="8">
        <f>IF(D18="","",VLOOKUP(D18, RECETTES!B:G, 6, FALSE)*E18)</f>
        <v/>
      </c>
      <c r="J18" s="8">
        <f>IF(G18="","",G18*0.20)</f>
        <v/>
      </c>
      <c r="K18" s="8">
        <f>IF(G18="","",G18+J18)</f>
        <v/>
      </c>
    </row>
    <row r="19">
      <c r="F19" s="8" t="n"/>
      <c r="G19" s="8">
        <f>IF(E19="","",E19*F19)</f>
        <v/>
      </c>
      <c r="H19" s="8">
        <f>IF(G19="","",G19-I19)</f>
        <v/>
      </c>
      <c r="I19" s="8">
        <f>IF(D19="","",VLOOKUP(D19, RECETTES!B:G, 6, FALSE)*E19)</f>
        <v/>
      </c>
      <c r="J19" s="8">
        <f>IF(G19="","",G19*0.20)</f>
        <v/>
      </c>
      <c r="K19" s="8">
        <f>IF(G19="","",G19+J19)</f>
        <v/>
      </c>
    </row>
    <row r="20">
      <c r="F20" s="8" t="n"/>
      <c r="G20" s="8">
        <f>IF(E20="","",E20*F20)</f>
        <v/>
      </c>
      <c r="H20" s="8">
        <f>IF(G20="","",G20-I20)</f>
        <v/>
      </c>
      <c r="I20" s="8">
        <f>IF(D20="","",VLOOKUP(D20, RECETTES!B:G, 6, FALSE)*E20)</f>
        <v/>
      </c>
      <c r="J20" s="8">
        <f>IF(G20="","",G20*0.20)</f>
        <v/>
      </c>
      <c r="K20" s="8">
        <f>IF(G20="","",G20+J20)</f>
        <v/>
      </c>
    </row>
    <row r="21">
      <c r="F21" s="8" t="n"/>
      <c r="G21" s="8">
        <f>IF(E21="","",E21*F21)</f>
        <v/>
      </c>
      <c r="H21" s="8">
        <f>IF(G21="","",G21-I21)</f>
        <v/>
      </c>
      <c r="I21" s="8">
        <f>IF(D21="","",VLOOKUP(D21, RECETTES!B:G, 6, FALSE)*E21)</f>
        <v/>
      </c>
      <c r="J21" s="8">
        <f>IF(G21="","",G21*0.20)</f>
        <v/>
      </c>
      <c r="K21" s="8">
        <f>IF(G21="","",G21+J21)</f>
        <v/>
      </c>
    </row>
    <row r="22">
      <c r="F22" s="8" t="n"/>
      <c r="G22" s="8">
        <f>IF(E22="","",E22*F22)</f>
        <v/>
      </c>
      <c r="H22" s="8">
        <f>IF(G22="","",G22-I22)</f>
        <v/>
      </c>
      <c r="I22" s="8">
        <f>IF(D22="","",VLOOKUP(D22, RECETTES!B:G, 6, FALSE)*E22)</f>
        <v/>
      </c>
      <c r="J22" s="8">
        <f>IF(G22="","",G22*0.20)</f>
        <v/>
      </c>
      <c r="K22" s="8">
        <f>IF(G22="","",G22+J22)</f>
        <v/>
      </c>
    </row>
    <row r="23">
      <c r="F23" s="8" t="n"/>
      <c r="G23" s="8">
        <f>IF(E23="","",E23*F23)</f>
        <v/>
      </c>
      <c r="H23" s="8">
        <f>IF(G23="","",G23-I23)</f>
        <v/>
      </c>
      <c r="I23" s="8">
        <f>IF(D23="","",VLOOKUP(D23, RECETTES!B:G, 6, FALSE)*E23)</f>
        <v/>
      </c>
      <c r="J23" s="8">
        <f>IF(G23="","",G23*0.20)</f>
        <v/>
      </c>
      <c r="K23" s="8">
        <f>IF(G23="","",G23+J23)</f>
        <v/>
      </c>
    </row>
    <row r="24">
      <c r="F24" s="8" t="n"/>
      <c r="G24" s="8">
        <f>IF(E24="","",E24*F24)</f>
        <v/>
      </c>
      <c r="H24" s="8">
        <f>IF(G24="","",G24-I24)</f>
        <v/>
      </c>
      <c r="I24" s="8">
        <f>IF(D24="","",VLOOKUP(D24, RECETTES!B:G, 6, FALSE)*E24)</f>
        <v/>
      </c>
      <c r="J24" s="8">
        <f>IF(G24="","",G24*0.20)</f>
        <v/>
      </c>
      <c r="K24" s="8">
        <f>IF(G24="","",G24+J24)</f>
        <v/>
      </c>
    </row>
    <row r="25">
      <c r="F25" s="8" t="n"/>
      <c r="G25" s="8">
        <f>IF(E25="","",E25*F25)</f>
        <v/>
      </c>
      <c r="H25" s="8">
        <f>IF(G25="","",G25-I25)</f>
        <v/>
      </c>
      <c r="I25" s="8">
        <f>IF(D25="","",VLOOKUP(D25, RECETTES!B:G, 6, FALSE)*E25)</f>
        <v/>
      </c>
      <c r="J25" s="8">
        <f>IF(G25="","",G25*0.20)</f>
        <v/>
      </c>
      <c r="K25" s="8">
        <f>IF(G25="","",G25+J25)</f>
        <v/>
      </c>
    </row>
    <row r="26">
      <c r="F26" s="8" t="n"/>
      <c r="G26" s="8">
        <f>IF(E26="","",E26*F26)</f>
        <v/>
      </c>
      <c r="H26" s="8">
        <f>IF(G26="","",G26-I26)</f>
        <v/>
      </c>
      <c r="I26" s="8">
        <f>IF(D26="","",VLOOKUP(D26, RECETTES!B:G, 6, FALSE)*E26)</f>
        <v/>
      </c>
      <c r="J26" s="8">
        <f>IF(G26="","",G26*0.20)</f>
        <v/>
      </c>
      <c r="K26" s="8">
        <f>IF(G26="","",G26+J26)</f>
        <v/>
      </c>
    </row>
    <row r="27">
      <c r="F27" s="8" t="n"/>
      <c r="G27" s="8">
        <f>IF(E27="","",E27*F27)</f>
        <v/>
      </c>
      <c r="H27" s="8">
        <f>IF(G27="","",G27-I27)</f>
        <v/>
      </c>
      <c r="I27" s="8">
        <f>IF(D27="","",VLOOKUP(D27, RECETTES!B:G, 6, FALSE)*E27)</f>
        <v/>
      </c>
      <c r="J27" s="8">
        <f>IF(G27="","",G27*0.20)</f>
        <v/>
      </c>
      <c r="K27" s="8">
        <f>IF(G27="","",G27+J27)</f>
        <v/>
      </c>
    </row>
    <row r="28">
      <c r="F28" s="8" t="n"/>
      <c r="G28" s="8">
        <f>IF(E28="","",E28*F28)</f>
        <v/>
      </c>
      <c r="H28" s="8">
        <f>IF(G28="","",G28-I28)</f>
        <v/>
      </c>
      <c r="I28" s="8">
        <f>IF(D28="","",VLOOKUP(D28, RECETTES!B:G, 6, FALSE)*E28)</f>
        <v/>
      </c>
      <c r="J28" s="8">
        <f>IF(G28="","",G28*0.20)</f>
        <v/>
      </c>
      <c r="K28" s="8">
        <f>IF(G28="","",G28+J28)</f>
        <v/>
      </c>
    </row>
    <row r="29">
      <c r="F29" s="8" t="n"/>
      <c r="G29" s="8">
        <f>IF(E29="","",E29*F29)</f>
        <v/>
      </c>
      <c r="H29" s="8">
        <f>IF(G29="","",G29-I29)</f>
        <v/>
      </c>
      <c r="I29" s="8">
        <f>IF(D29="","",VLOOKUP(D29, RECETTES!B:G, 6, FALSE)*E29)</f>
        <v/>
      </c>
      <c r="J29" s="8">
        <f>IF(G29="","",G29*0.20)</f>
        <v/>
      </c>
      <c r="K29" s="8">
        <f>IF(G29="","",G29+J29)</f>
        <v/>
      </c>
    </row>
    <row r="30">
      <c r="F30" s="8" t="n"/>
      <c r="G30" s="8">
        <f>IF(E30="","",E30*F30)</f>
        <v/>
      </c>
      <c r="H30" s="8">
        <f>IF(G30="","",G30-I30)</f>
        <v/>
      </c>
      <c r="I30" s="8">
        <f>IF(D30="","",VLOOKUP(D30, RECETTES!B:G, 6, FALSE)*E30)</f>
        <v/>
      </c>
      <c r="J30" s="8">
        <f>IF(G30="","",G30*0.20)</f>
        <v/>
      </c>
      <c r="K30" s="8">
        <f>IF(G30="","",G30+J30)</f>
        <v/>
      </c>
    </row>
    <row r="31">
      <c r="F31" s="8" t="n"/>
      <c r="G31" s="8">
        <f>IF(E31="","",E31*F31)</f>
        <v/>
      </c>
      <c r="H31" s="8">
        <f>IF(G31="","",G31-I31)</f>
        <v/>
      </c>
      <c r="I31" s="8">
        <f>IF(D31="","",VLOOKUP(D31, RECETTES!B:G, 6, FALSE)*E31)</f>
        <v/>
      </c>
      <c r="J31" s="8">
        <f>IF(G31="","",G31*0.20)</f>
        <v/>
      </c>
      <c r="K31" s="8">
        <f>IF(G31="","",G31+J31)</f>
        <v/>
      </c>
    </row>
    <row r="32">
      <c r="F32" s="8" t="n"/>
      <c r="G32" s="8">
        <f>IF(E32="","",E32*F32)</f>
        <v/>
      </c>
      <c r="H32" s="8">
        <f>IF(G32="","",G32-I32)</f>
        <v/>
      </c>
      <c r="I32" s="8">
        <f>IF(D32="","",VLOOKUP(D32, RECETTES!B:G, 6, FALSE)*E32)</f>
        <v/>
      </c>
      <c r="J32" s="8">
        <f>IF(G32="","",G32*0.20)</f>
        <v/>
      </c>
      <c r="K32" s="8">
        <f>IF(G32="","",G32+J32)</f>
        <v/>
      </c>
    </row>
    <row r="33">
      <c r="F33" s="8" t="n"/>
      <c r="G33" s="8">
        <f>IF(E33="","",E33*F33)</f>
        <v/>
      </c>
      <c r="H33" s="8">
        <f>IF(G33="","",G33-I33)</f>
        <v/>
      </c>
      <c r="I33" s="8">
        <f>IF(D33="","",VLOOKUP(D33, RECETTES!B:G, 6, FALSE)*E33)</f>
        <v/>
      </c>
      <c r="J33" s="8">
        <f>IF(G33="","",G33*0.20)</f>
        <v/>
      </c>
      <c r="K33" s="8">
        <f>IF(G33="","",G33+J33)</f>
        <v/>
      </c>
    </row>
    <row r="34">
      <c r="F34" s="8" t="n"/>
      <c r="G34" s="8">
        <f>IF(E34="","",E34*F34)</f>
        <v/>
      </c>
      <c r="H34" s="8">
        <f>IF(G34="","",G34-I34)</f>
        <v/>
      </c>
      <c r="I34" s="8">
        <f>IF(D34="","",VLOOKUP(D34, RECETTES!B:G, 6, FALSE)*E34)</f>
        <v/>
      </c>
      <c r="J34" s="8">
        <f>IF(G34="","",G34*0.20)</f>
        <v/>
      </c>
      <c r="K34" s="8">
        <f>IF(G34="","",G34+J34)</f>
        <v/>
      </c>
    </row>
    <row r="35">
      <c r="F35" s="8" t="n"/>
      <c r="G35" s="8">
        <f>IF(E35="","",E35*F35)</f>
        <v/>
      </c>
      <c r="H35" s="8">
        <f>IF(G35="","",G35-I35)</f>
        <v/>
      </c>
      <c r="I35" s="8">
        <f>IF(D35="","",VLOOKUP(D35, RECETTES!B:G, 6, FALSE)*E35)</f>
        <v/>
      </c>
      <c r="J35" s="8">
        <f>IF(G35="","",G35*0.20)</f>
        <v/>
      </c>
      <c r="K35" s="8">
        <f>IF(G35="","",G35+J35)</f>
        <v/>
      </c>
    </row>
    <row r="36">
      <c r="F36" s="8" t="n"/>
      <c r="G36" s="8">
        <f>IF(E36="","",E36*F36)</f>
        <v/>
      </c>
      <c r="H36" s="8">
        <f>IF(G36="","",G36-I36)</f>
        <v/>
      </c>
      <c r="I36" s="8">
        <f>IF(D36="","",VLOOKUP(D36, RECETTES!B:G, 6, FALSE)*E36)</f>
        <v/>
      </c>
      <c r="J36" s="8">
        <f>IF(G36="","",G36*0.20)</f>
        <v/>
      </c>
      <c r="K36" s="8">
        <f>IF(G36="","",G36+J36)</f>
        <v/>
      </c>
    </row>
    <row r="37">
      <c r="F37" s="8" t="n"/>
      <c r="G37" s="8">
        <f>IF(E37="","",E37*F37)</f>
        <v/>
      </c>
      <c r="H37" s="8">
        <f>IF(G37="","",G37-I37)</f>
        <v/>
      </c>
      <c r="I37" s="8">
        <f>IF(D37="","",VLOOKUP(D37, RECETTES!B:G, 6, FALSE)*E37)</f>
        <v/>
      </c>
      <c r="J37" s="8">
        <f>IF(G37="","",G37*0.20)</f>
        <v/>
      </c>
      <c r="K37" s="8">
        <f>IF(G37="","",G37+J37)</f>
        <v/>
      </c>
    </row>
    <row r="38">
      <c r="F38" s="8" t="n"/>
      <c r="G38" s="8">
        <f>IF(E38="","",E38*F38)</f>
        <v/>
      </c>
      <c r="H38" s="8">
        <f>IF(G38="","",G38-I38)</f>
        <v/>
      </c>
      <c r="I38" s="8">
        <f>IF(D38="","",VLOOKUP(D38, RECETTES!B:G, 6, FALSE)*E38)</f>
        <v/>
      </c>
      <c r="J38" s="8">
        <f>IF(G38="","",G38*0.20)</f>
        <v/>
      </c>
      <c r="K38" s="8">
        <f>IF(G38="","",G38+J38)</f>
        <v/>
      </c>
    </row>
    <row r="39">
      <c r="F39" s="8" t="n"/>
      <c r="G39" s="8">
        <f>IF(E39="","",E39*F39)</f>
        <v/>
      </c>
      <c r="H39" s="8">
        <f>IF(G39="","",G39-I39)</f>
        <v/>
      </c>
      <c r="I39" s="8">
        <f>IF(D39="","",VLOOKUP(D39, RECETTES!B:G, 6, FALSE)*E39)</f>
        <v/>
      </c>
      <c r="J39" s="8">
        <f>IF(G39="","",G39*0.20)</f>
        <v/>
      </c>
      <c r="K39" s="8">
        <f>IF(G39="","",G39+J39)</f>
        <v/>
      </c>
    </row>
    <row r="40">
      <c r="F40" s="8" t="n"/>
      <c r="G40" s="8">
        <f>IF(E40="","",E40*F40)</f>
        <v/>
      </c>
      <c r="H40" s="8">
        <f>IF(G40="","",G40-I40)</f>
        <v/>
      </c>
      <c r="I40" s="8">
        <f>IF(D40="","",VLOOKUP(D40, RECETTES!B:G, 6, FALSE)*E40)</f>
        <v/>
      </c>
      <c r="J40" s="8">
        <f>IF(G40="","",G40*0.20)</f>
        <v/>
      </c>
      <c r="K40" s="8">
        <f>IF(G40="","",G40+J40)</f>
        <v/>
      </c>
    </row>
    <row r="41">
      <c r="F41" s="8" t="n"/>
      <c r="G41" s="8">
        <f>IF(E41="","",E41*F41)</f>
        <v/>
      </c>
      <c r="H41" s="8">
        <f>IF(G41="","",G41-I41)</f>
        <v/>
      </c>
      <c r="I41" s="8">
        <f>IF(D41="","",VLOOKUP(D41, RECETTES!B:G, 6, FALSE)*E41)</f>
        <v/>
      </c>
      <c r="J41" s="8">
        <f>IF(G41="","",G41*0.20)</f>
        <v/>
      </c>
      <c r="K41" s="8">
        <f>IF(G41="","",G41+J41)</f>
        <v/>
      </c>
    </row>
    <row r="42">
      <c r="F42" s="8" t="n"/>
      <c r="G42" s="8">
        <f>IF(E42="","",E42*F42)</f>
        <v/>
      </c>
      <c r="H42" s="8">
        <f>IF(G42="","",G42-I42)</f>
        <v/>
      </c>
      <c r="I42" s="8">
        <f>IF(D42="","",VLOOKUP(D42, RECETTES!B:G, 6, FALSE)*E42)</f>
        <v/>
      </c>
      <c r="J42" s="8">
        <f>IF(G42="","",G42*0.20)</f>
        <v/>
      </c>
      <c r="K42" s="8">
        <f>IF(G42="","",G42+J42)</f>
        <v/>
      </c>
    </row>
    <row r="43">
      <c r="F43" s="8" t="n"/>
      <c r="G43" s="8">
        <f>IF(E43="","",E43*F43)</f>
        <v/>
      </c>
      <c r="H43" s="8">
        <f>IF(G43="","",G43-I43)</f>
        <v/>
      </c>
      <c r="I43" s="8">
        <f>IF(D43="","",VLOOKUP(D43, RECETTES!B:G, 6, FALSE)*E43)</f>
        <v/>
      </c>
      <c r="J43" s="8">
        <f>IF(G43="","",G43*0.20)</f>
        <v/>
      </c>
      <c r="K43" s="8">
        <f>IF(G43="","",G43+J43)</f>
        <v/>
      </c>
    </row>
    <row r="44">
      <c r="F44" s="8" t="n"/>
      <c r="G44" s="8">
        <f>IF(E44="","",E44*F44)</f>
        <v/>
      </c>
      <c r="H44" s="8">
        <f>IF(G44="","",G44-I44)</f>
        <v/>
      </c>
      <c r="I44" s="8">
        <f>IF(D44="","",VLOOKUP(D44, RECETTES!B:G, 6, FALSE)*E44)</f>
        <v/>
      </c>
      <c r="J44" s="8">
        <f>IF(G44="","",G44*0.20)</f>
        <v/>
      </c>
      <c r="K44" s="8">
        <f>IF(G44="","",G44+J44)</f>
        <v/>
      </c>
    </row>
    <row r="45">
      <c r="F45" s="8" t="n"/>
      <c r="G45" s="8">
        <f>IF(E45="","",E45*F45)</f>
        <v/>
      </c>
      <c r="H45" s="8">
        <f>IF(G45="","",G45-I45)</f>
        <v/>
      </c>
      <c r="I45" s="8">
        <f>IF(D45="","",VLOOKUP(D45, RECETTES!B:G, 6, FALSE)*E45)</f>
        <v/>
      </c>
      <c r="J45" s="8">
        <f>IF(G45="","",G45*0.20)</f>
        <v/>
      </c>
      <c r="K45" s="8">
        <f>IF(G45="","",G45+J45)</f>
        <v/>
      </c>
    </row>
    <row r="46">
      <c r="F46" s="8" t="n"/>
      <c r="G46" s="8">
        <f>IF(E46="","",E46*F46)</f>
        <v/>
      </c>
      <c r="H46" s="8">
        <f>IF(G46="","",G46-I46)</f>
        <v/>
      </c>
      <c r="I46" s="8">
        <f>IF(D46="","",VLOOKUP(D46, RECETTES!B:G, 6, FALSE)*E46)</f>
        <v/>
      </c>
      <c r="J46" s="8">
        <f>IF(G46="","",G46*0.20)</f>
        <v/>
      </c>
      <c r="K46" s="8">
        <f>IF(G46="","",G46+J46)</f>
        <v/>
      </c>
    </row>
    <row r="47">
      <c r="F47" s="8" t="n"/>
      <c r="G47" s="8">
        <f>IF(E47="","",E47*F47)</f>
        <v/>
      </c>
      <c r="H47" s="8">
        <f>IF(G47="","",G47-I47)</f>
        <v/>
      </c>
      <c r="I47" s="8">
        <f>IF(D47="","",VLOOKUP(D47, RECETTES!B:G, 6, FALSE)*E47)</f>
        <v/>
      </c>
      <c r="J47" s="8">
        <f>IF(G47="","",G47*0.20)</f>
        <v/>
      </c>
      <c r="K47" s="8">
        <f>IF(G47="","",G47+J47)</f>
        <v/>
      </c>
    </row>
    <row r="48">
      <c r="F48" s="8" t="n"/>
      <c r="G48" s="8">
        <f>IF(E48="","",E48*F48)</f>
        <v/>
      </c>
      <c r="H48" s="8">
        <f>IF(G48="","",G48-I48)</f>
        <v/>
      </c>
      <c r="I48" s="8">
        <f>IF(D48="","",VLOOKUP(D48, RECETTES!B:G, 6, FALSE)*E48)</f>
        <v/>
      </c>
      <c r="J48" s="8">
        <f>IF(G48="","",G48*0.20)</f>
        <v/>
      </c>
      <c r="K48" s="8">
        <f>IF(G48="","",G48+J48)</f>
        <v/>
      </c>
    </row>
    <row r="49">
      <c r="F49" s="8" t="n"/>
      <c r="G49" s="8">
        <f>IF(E49="","",E49*F49)</f>
        <v/>
      </c>
      <c r="H49" s="8">
        <f>IF(G49="","",G49-I49)</f>
        <v/>
      </c>
      <c r="I49" s="8">
        <f>IF(D49="","",VLOOKUP(D49, RECETTES!B:G, 6, FALSE)*E49)</f>
        <v/>
      </c>
      <c r="J49" s="8">
        <f>IF(G49="","",G49*0.20)</f>
        <v/>
      </c>
      <c r="K49" s="8">
        <f>IF(G49="","",G49+J49)</f>
        <v/>
      </c>
    </row>
    <row r="50">
      <c r="F50" s="8" t="n"/>
      <c r="G50" s="8">
        <f>IF(E50="","",E50*F50)</f>
        <v/>
      </c>
      <c r="H50" s="8">
        <f>IF(G50="","",G50-I50)</f>
        <v/>
      </c>
      <c r="I50" s="8">
        <f>IF(D50="","",VLOOKUP(D50, RECETTES!B:G, 6, FALSE)*E50)</f>
        <v/>
      </c>
      <c r="J50" s="8">
        <f>IF(G50="","",G50*0.20)</f>
        <v/>
      </c>
      <c r="K50" s="8">
        <f>IF(G50="","",G50+J50)</f>
        <v/>
      </c>
    </row>
    <row r="51">
      <c r="F51" s="8" t="n"/>
      <c r="G51" s="8">
        <f>IF(E51="","",E51*F51)</f>
        <v/>
      </c>
      <c r="H51" s="8">
        <f>IF(G51="","",G51-I51)</f>
        <v/>
      </c>
      <c r="I51" s="8">
        <f>IF(D51="","",VLOOKUP(D51, RECETTES!B:G, 6, FALSE)*E51)</f>
        <v/>
      </c>
      <c r="J51" s="8">
        <f>IF(G51="","",G51*0.20)</f>
        <v/>
      </c>
      <c r="K51" s="8">
        <f>IF(G51="","",G51+J51)</f>
        <v/>
      </c>
    </row>
    <row r="52">
      <c r="F52" s="8" t="n"/>
      <c r="G52" s="8">
        <f>IF(E52="","",E52*F52)</f>
        <v/>
      </c>
      <c r="H52" s="8">
        <f>IF(G52="","",G52-I52)</f>
        <v/>
      </c>
      <c r="I52" s="8">
        <f>IF(D52="","",VLOOKUP(D52, RECETTES!B:G, 6, FALSE)*E52)</f>
        <v/>
      </c>
      <c r="J52" s="8">
        <f>IF(G52="","",G52*0.20)</f>
        <v/>
      </c>
      <c r="K52" s="8">
        <f>IF(G52="","",G52+J52)</f>
        <v/>
      </c>
    </row>
    <row r="53">
      <c r="F53" s="8" t="n"/>
      <c r="G53" s="8">
        <f>IF(E53="","",E53*F53)</f>
        <v/>
      </c>
      <c r="H53" s="8">
        <f>IF(G53="","",G53-I53)</f>
        <v/>
      </c>
      <c r="I53" s="8">
        <f>IF(D53="","",VLOOKUP(D53, RECETTES!B:G, 6, FALSE)*E53)</f>
        <v/>
      </c>
      <c r="J53" s="8">
        <f>IF(G53="","",G53*0.20)</f>
        <v/>
      </c>
      <c r="K53" s="8">
        <f>IF(G53="","",G53+J53)</f>
        <v/>
      </c>
    </row>
    <row r="54">
      <c r="F54" s="8" t="n"/>
      <c r="G54" s="8">
        <f>IF(E54="","",E54*F54)</f>
        <v/>
      </c>
      <c r="H54" s="8">
        <f>IF(G54="","",G54-I54)</f>
        <v/>
      </c>
      <c r="I54" s="8">
        <f>IF(D54="","",VLOOKUP(D54, RECETTES!B:G, 6, FALSE)*E54)</f>
        <v/>
      </c>
      <c r="J54" s="8">
        <f>IF(G54="","",G54*0.20)</f>
        <v/>
      </c>
      <c r="K54" s="8">
        <f>IF(G54="","",G54+J54)</f>
        <v/>
      </c>
    </row>
    <row r="55">
      <c r="F55" s="8" t="n"/>
      <c r="G55" s="8">
        <f>IF(E55="","",E55*F55)</f>
        <v/>
      </c>
      <c r="H55" s="8">
        <f>IF(G55="","",G55-I55)</f>
        <v/>
      </c>
      <c r="I55" s="8">
        <f>IF(D55="","",VLOOKUP(D55, RECETTES!B:G, 6, FALSE)*E55)</f>
        <v/>
      </c>
      <c r="J55" s="8">
        <f>IF(G55="","",G55*0.20)</f>
        <v/>
      </c>
      <c r="K55" s="8">
        <f>IF(G55="","",G55+J55)</f>
        <v/>
      </c>
    </row>
    <row r="56">
      <c r="F56" s="8" t="n"/>
      <c r="G56" s="8">
        <f>IF(E56="","",E56*F56)</f>
        <v/>
      </c>
      <c r="H56" s="8">
        <f>IF(G56="","",G56-I56)</f>
        <v/>
      </c>
      <c r="I56" s="8">
        <f>IF(D56="","",VLOOKUP(D56, RECETTES!B:G, 6, FALSE)*E56)</f>
        <v/>
      </c>
      <c r="J56" s="8">
        <f>IF(G56="","",G56*0.20)</f>
        <v/>
      </c>
      <c r="K56" s="8">
        <f>IF(G56="","",G56+J56)</f>
        <v/>
      </c>
    </row>
    <row r="57">
      <c r="F57" s="8" t="n"/>
      <c r="G57" s="8">
        <f>IF(E57="","",E57*F57)</f>
        <v/>
      </c>
      <c r="H57" s="8">
        <f>IF(G57="","",G57-I57)</f>
        <v/>
      </c>
      <c r="I57" s="8">
        <f>IF(D57="","",VLOOKUP(D57, RECETTES!B:G, 6, FALSE)*E57)</f>
        <v/>
      </c>
      <c r="J57" s="8">
        <f>IF(G57="","",G57*0.20)</f>
        <v/>
      </c>
      <c r="K57" s="8">
        <f>IF(G57="","",G57+J57)</f>
        <v/>
      </c>
    </row>
    <row r="58">
      <c r="F58" s="8" t="n"/>
      <c r="G58" s="8">
        <f>IF(E58="","",E58*F58)</f>
        <v/>
      </c>
      <c r="H58" s="8">
        <f>IF(G58="","",G58-I58)</f>
        <v/>
      </c>
      <c r="I58" s="8">
        <f>IF(D58="","",VLOOKUP(D58, RECETTES!B:G, 6, FALSE)*E58)</f>
        <v/>
      </c>
      <c r="J58" s="8">
        <f>IF(G58="","",G58*0.20)</f>
        <v/>
      </c>
      <c r="K58" s="8">
        <f>IF(G58="","",G58+J58)</f>
        <v/>
      </c>
    </row>
    <row r="59">
      <c r="F59" s="8" t="n"/>
      <c r="G59" s="8">
        <f>IF(E59="","",E59*F59)</f>
        <v/>
      </c>
      <c r="H59" s="8">
        <f>IF(G59="","",G59-I59)</f>
        <v/>
      </c>
      <c r="I59" s="8">
        <f>IF(D59="","",VLOOKUP(D59, RECETTES!B:G, 6, FALSE)*E59)</f>
        <v/>
      </c>
      <c r="J59" s="8">
        <f>IF(G59="","",G59*0.20)</f>
        <v/>
      </c>
      <c r="K59" s="8">
        <f>IF(G59="","",G59+J59)</f>
        <v/>
      </c>
    </row>
    <row r="60">
      <c r="F60" s="8" t="n"/>
      <c r="G60" s="8">
        <f>IF(E60="","",E60*F60)</f>
        <v/>
      </c>
      <c r="H60" s="8">
        <f>IF(G60="","",G60-I60)</f>
        <v/>
      </c>
      <c r="I60" s="8">
        <f>IF(D60="","",VLOOKUP(D60, RECETTES!B:G, 6, FALSE)*E60)</f>
        <v/>
      </c>
      <c r="J60" s="8">
        <f>IF(G60="","",G60*0.20)</f>
        <v/>
      </c>
      <c r="K60" s="8">
        <f>IF(G60="","",G60+J60)</f>
        <v/>
      </c>
    </row>
    <row r="61">
      <c r="F61" s="8" t="n"/>
      <c r="G61" s="8">
        <f>IF(E61="","",E61*F61)</f>
        <v/>
      </c>
      <c r="H61" s="8">
        <f>IF(G61="","",G61-I61)</f>
        <v/>
      </c>
      <c r="I61" s="8">
        <f>IF(D61="","",VLOOKUP(D61, RECETTES!B:G, 6, FALSE)*E61)</f>
        <v/>
      </c>
      <c r="J61" s="8">
        <f>IF(G61="","",G61*0.20)</f>
        <v/>
      </c>
      <c r="K61" s="8">
        <f>IF(G61="","",G61+J61)</f>
        <v/>
      </c>
    </row>
    <row r="62">
      <c r="F62" s="8" t="n"/>
      <c r="G62" s="8">
        <f>IF(E62="","",E62*F62)</f>
        <v/>
      </c>
      <c r="H62" s="8">
        <f>IF(G62="","",G62-I62)</f>
        <v/>
      </c>
      <c r="I62" s="8">
        <f>IF(D62="","",VLOOKUP(D62, RECETTES!B:G, 6, FALSE)*E62)</f>
        <v/>
      </c>
      <c r="J62" s="8">
        <f>IF(G62="","",G62*0.20)</f>
        <v/>
      </c>
      <c r="K62" s="8">
        <f>IF(G62="","",G62+J62)</f>
        <v/>
      </c>
    </row>
    <row r="63">
      <c r="F63" s="8" t="n"/>
      <c r="G63" s="8">
        <f>IF(E63="","",E63*F63)</f>
        <v/>
      </c>
      <c r="H63" s="8">
        <f>IF(G63="","",G63-I63)</f>
        <v/>
      </c>
      <c r="I63" s="8">
        <f>IF(D63="","",VLOOKUP(D63, RECETTES!B:G, 6, FALSE)*E63)</f>
        <v/>
      </c>
      <c r="J63" s="8">
        <f>IF(G63="","",G63*0.20)</f>
        <v/>
      </c>
      <c r="K63" s="8">
        <f>IF(G63="","",G63+J63)</f>
        <v/>
      </c>
    </row>
    <row r="64">
      <c r="F64" s="8" t="n"/>
      <c r="G64" s="8">
        <f>IF(E64="","",E64*F64)</f>
        <v/>
      </c>
      <c r="H64" s="8">
        <f>IF(G64="","",G64-I64)</f>
        <v/>
      </c>
      <c r="I64" s="8">
        <f>IF(D64="","",VLOOKUP(D64, RECETTES!B:G, 6, FALSE)*E64)</f>
        <v/>
      </c>
      <c r="J64" s="8">
        <f>IF(G64="","",G64*0.20)</f>
        <v/>
      </c>
      <c r="K64" s="8">
        <f>IF(G64="","",G64+J64)</f>
        <v/>
      </c>
    </row>
    <row r="65">
      <c r="F65" s="8" t="n"/>
      <c r="G65" s="8">
        <f>IF(E65="","",E65*F65)</f>
        <v/>
      </c>
      <c r="H65" s="8">
        <f>IF(G65="","",G65-I65)</f>
        <v/>
      </c>
      <c r="I65" s="8">
        <f>IF(D65="","",VLOOKUP(D65, RECETTES!B:G, 6, FALSE)*E65)</f>
        <v/>
      </c>
      <c r="J65" s="8">
        <f>IF(G65="","",G65*0.20)</f>
        <v/>
      </c>
      <c r="K65" s="8">
        <f>IF(G65="","",G65+J65)</f>
        <v/>
      </c>
    </row>
    <row r="66">
      <c r="F66" s="8" t="n"/>
      <c r="G66" s="8">
        <f>IF(E66="","",E66*F66)</f>
        <v/>
      </c>
      <c r="H66" s="8">
        <f>IF(G66="","",G66-I66)</f>
        <v/>
      </c>
      <c r="I66" s="8">
        <f>IF(D66="","",VLOOKUP(D66, RECETTES!B:G, 6, FALSE)*E66)</f>
        <v/>
      </c>
      <c r="J66" s="8">
        <f>IF(G66="","",G66*0.20)</f>
        <v/>
      </c>
      <c r="K66" s="8">
        <f>IF(G66="","",G66+J66)</f>
        <v/>
      </c>
    </row>
    <row r="67">
      <c r="F67" s="8" t="n"/>
      <c r="G67" s="8">
        <f>IF(E67="","",E67*F67)</f>
        <v/>
      </c>
      <c r="H67" s="8">
        <f>IF(G67="","",G67-I67)</f>
        <v/>
      </c>
      <c r="I67" s="8">
        <f>IF(D67="","",VLOOKUP(D67, RECETTES!B:G, 6, FALSE)*E67)</f>
        <v/>
      </c>
      <c r="J67" s="8">
        <f>IF(G67="","",G67*0.20)</f>
        <v/>
      </c>
      <c r="K67" s="8">
        <f>IF(G67="","",G67+J67)</f>
        <v/>
      </c>
    </row>
    <row r="68">
      <c r="F68" s="8" t="n"/>
      <c r="G68" s="8">
        <f>IF(E68="","",E68*F68)</f>
        <v/>
      </c>
      <c r="H68" s="8">
        <f>IF(G68="","",G68-I68)</f>
        <v/>
      </c>
      <c r="I68" s="8">
        <f>IF(D68="","",VLOOKUP(D68, RECETTES!B:G, 6, FALSE)*E68)</f>
        <v/>
      </c>
      <c r="J68" s="8">
        <f>IF(G68="","",G68*0.20)</f>
        <v/>
      </c>
      <c r="K68" s="8">
        <f>IF(G68="","",G68+J68)</f>
        <v/>
      </c>
    </row>
    <row r="69">
      <c r="F69" s="8" t="n"/>
      <c r="G69" s="8">
        <f>IF(E69="","",E69*F69)</f>
        <v/>
      </c>
      <c r="H69" s="8">
        <f>IF(G69="","",G69-I69)</f>
        <v/>
      </c>
      <c r="I69" s="8">
        <f>IF(D69="","",VLOOKUP(D69, RECETTES!B:G, 6, FALSE)*E69)</f>
        <v/>
      </c>
      <c r="J69" s="8">
        <f>IF(G69="","",G69*0.20)</f>
        <v/>
      </c>
      <c r="K69" s="8">
        <f>IF(G69="","",G69+J69)</f>
        <v/>
      </c>
    </row>
    <row r="70">
      <c r="F70" s="8" t="n"/>
      <c r="G70" s="8">
        <f>IF(E70="","",E70*F70)</f>
        <v/>
      </c>
      <c r="H70" s="8">
        <f>IF(G70="","",G70-I70)</f>
        <v/>
      </c>
      <c r="I70" s="8">
        <f>IF(D70="","",VLOOKUP(D70, RECETTES!B:G, 6, FALSE)*E70)</f>
        <v/>
      </c>
      <c r="J70" s="8">
        <f>IF(G70="","",G70*0.20)</f>
        <v/>
      </c>
      <c r="K70" s="8">
        <f>IF(G70="","",G70+J70)</f>
        <v/>
      </c>
    </row>
    <row r="71">
      <c r="F71" s="8" t="n"/>
      <c r="G71" s="8">
        <f>IF(E71="","",E71*F71)</f>
        <v/>
      </c>
      <c r="H71" s="8">
        <f>IF(G71="","",G71-I71)</f>
        <v/>
      </c>
      <c r="I71" s="8">
        <f>IF(D71="","",VLOOKUP(D71, RECETTES!B:G, 6, FALSE)*E71)</f>
        <v/>
      </c>
      <c r="J71" s="8">
        <f>IF(G71="","",G71*0.20)</f>
        <v/>
      </c>
      <c r="K71" s="8">
        <f>IF(G71="","",G71+J71)</f>
        <v/>
      </c>
    </row>
    <row r="72">
      <c r="F72" s="8" t="n"/>
      <c r="G72" s="8">
        <f>IF(E72="","",E72*F72)</f>
        <v/>
      </c>
      <c r="H72" s="8">
        <f>IF(G72="","",G72-I72)</f>
        <v/>
      </c>
      <c r="I72" s="8">
        <f>IF(D72="","",VLOOKUP(D72, RECETTES!B:G, 6, FALSE)*E72)</f>
        <v/>
      </c>
      <c r="J72" s="8">
        <f>IF(G72="","",G72*0.20)</f>
        <v/>
      </c>
      <c r="K72" s="8">
        <f>IF(G72="","",G72+J72)</f>
        <v/>
      </c>
    </row>
    <row r="73">
      <c r="F73" s="8" t="n"/>
      <c r="G73" s="8">
        <f>IF(E73="","",E73*F73)</f>
        <v/>
      </c>
      <c r="H73" s="8">
        <f>IF(G73="","",G73-I73)</f>
        <v/>
      </c>
      <c r="I73" s="8">
        <f>IF(D73="","",VLOOKUP(D73, RECETTES!B:G, 6, FALSE)*E73)</f>
        <v/>
      </c>
      <c r="J73" s="8">
        <f>IF(G73="","",G73*0.20)</f>
        <v/>
      </c>
      <c r="K73" s="8">
        <f>IF(G73="","",G73+J73)</f>
        <v/>
      </c>
    </row>
    <row r="74">
      <c r="F74" s="8" t="n"/>
      <c r="G74" s="8">
        <f>IF(E74="","",E74*F74)</f>
        <v/>
      </c>
      <c r="H74" s="8">
        <f>IF(G74="","",G74-I74)</f>
        <v/>
      </c>
      <c r="I74" s="8">
        <f>IF(D74="","",VLOOKUP(D74, RECETTES!B:G, 6, FALSE)*E74)</f>
        <v/>
      </c>
      <c r="J74" s="8">
        <f>IF(G74="","",G74*0.20)</f>
        <v/>
      </c>
      <c r="K74" s="8">
        <f>IF(G74="","",G74+J74)</f>
        <v/>
      </c>
    </row>
    <row r="75">
      <c r="F75" s="8" t="n"/>
      <c r="G75" s="8">
        <f>IF(E75="","",E75*F75)</f>
        <v/>
      </c>
      <c r="H75" s="8">
        <f>IF(G75="","",G75-I75)</f>
        <v/>
      </c>
      <c r="I75" s="8">
        <f>IF(D75="","",VLOOKUP(D75, RECETTES!B:G, 6, FALSE)*E75)</f>
        <v/>
      </c>
      <c r="J75" s="8">
        <f>IF(G75="","",G75*0.20)</f>
        <v/>
      </c>
      <c r="K75" s="8">
        <f>IF(G75="","",G75+J75)</f>
        <v/>
      </c>
    </row>
    <row r="76">
      <c r="F76" s="8" t="n"/>
      <c r="G76" s="8">
        <f>IF(E76="","",E76*F76)</f>
        <v/>
      </c>
      <c r="H76" s="8">
        <f>IF(G76="","",G76-I76)</f>
        <v/>
      </c>
      <c r="I76" s="8">
        <f>IF(D76="","",VLOOKUP(D76, RECETTES!B:G, 6, FALSE)*E76)</f>
        <v/>
      </c>
      <c r="J76" s="8">
        <f>IF(G76="","",G76*0.20)</f>
        <v/>
      </c>
      <c r="K76" s="8">
        <f>IF(G76="","",G76+J76)</f>
        <v/>
      </c>
    </row>
    <row r="77">
      <c r="F77" s="8" t="n"/>
      <c r="G77" s="8">
        <f>IF(E77="","",E77*F77)</f>
        <v/>
      </c>
      <c r="H77" s="8">
        <f>IF(G77="","",G77-I77)</f>
        <v/>
      </c>
      <c r="I77" s="8">
        <f>IF(D77="","",VLOOKUP(D77, RECETTES!B:G, 6, FALSE)*E77)</f>
        <v/>
      </c>
      <c r="J77" s="8">
        <f>IF(G77="","",G77*0.20)</f>
        <v/>
      </c>
      <c r="K77" s="8">
        <f>IF(G77="","",G77+J77)</f>
        <v/>
      </c>
    </row>
    <row r="78">
      <c r="F78" s="8" t="n"/>
      <c r="G78" s="8">
        <f>IF(E78="","",E78*F78)</f>
        <v/>
      </c>
      <c r="H78" s="8">
        <f>IF(G78="","",G78-I78)</f>
        <v/>
      </c>
      <c r="I78" s="8">
        <f>IF(D78="","",VLOOKUP(D78, RECETTES!B:G, 6, FALSE)*E78)</f>
        <v/>
      </c>
      <c r="J78" s="8">
        <f>IF(G78="","",G78*0.20)</f>
        <v/>
      </c>
      <c r="K78" s="8">
        <f>IF(G78="","",G78+J78)</f>
        <v/>
      </c>
    </row>
    <row r="79">
      <c r="F79" s="8" t="n"/>
      <c r="G79" s="8">
        <f>IF(E79="","",E79*F79)</f>
        <v/>
      </c>
      <c r="H79" s="8">
        <f>IF(G79="","",G79-I79)</f>
        <v/>
      </c>
      <c r="I79" s="8">
        <f>IF(D79="","",VLOOKUP(D79, RECETTES!B:G, 6, FALSE)*E79)</f>
        <v/>
      </c>
      <c r="J79" s="8">
        <f>IF(G79="","",G79*0.20)</f>
        <v/>
      </c>
      <c r="K79" s="8">
        <f>IF(G79="","",G79+J79)</f>
        <v/>
      </c>
    </row>
    <row r="80">
      <c r="F80" s="8" t="n"/>
      <c r="G80" s="8">
        <f>IF(E80="","",E80*F80)</f>
        <v/>
      </c>
      <c r="H80" s="8">
        <f>IF(G80="","",G80-I80)</f>
        <v/>
      </c>
      <c r="I80" s="8">
        <f>IF(D80="","",VLOOKUP(D80, RECETTES!B:G, 6, FALSE)*E80)</f>
        <v/>
      </c>
      <c r="J80" s="8">
        <f>IF(G80="","",G80*0.20)</f>
        <v/>
      </c>
      <c r="K80" s="8">
        <f>IF(G80="","",G80+J80)</f>
        <v/>
      </c>
    </row>
    <row r="81">
      <c r="F81" s="8" t="n"/>
      <c r="G81" s="8">
        <f>IF(E81="","",E81*F81)</f>
        <v/>
      </c>
      <c r="H81" s="8">
        <f>IF(G81="","",G81-I81)</f>
        <v/>
      </c>
      <c r="I81" s="8">
        <f>IF(D81="","",VLOOKUP(D81, RECETTES!B:G, 6, FALSE)*E81)</f>
        <v/>
      </c>
      <c r="J81" s="8">
        <f>IF(G81="","",G81*0.20)</f>
        <v/>
      </c>
      <c r="K81" s="8">
        <f>IF(G81="","",G81+J81)</f>
        <v/>
      </c>
    </row>
    <row r="82">
      <c r="F82" s="8" t="n"/>
      <c r="G82" s="8">
        <f>IF(E82="","",E82*F82)</f>
        <v/>
      </c>
      <c r="H82" s="8">
        <f>IF(G82="","",G82-I82)</f>
        <v/>
      </c>
      <c r="I82" s="8">
        <f>IF(D82="","",VLOOKUP(D82, RECETTES!B:G, 6, FALSE)*E82)</f>
        <v/>
      </c>
      <c r="J82" s="8">
        <f>IF(G82="","",G82*0.20)</f>
        <v/>
      </c>
      <c r="K82" s="8">
        <f>IF(G82="","",G82+J82)</f>
        <v/>
      </c>
    </row>
    <row r="83">
      <c r="F83" s="8" t="n"/>
      <c r="G83" s="8">
        <f>IF(E83="","",E83*F83)</f>
        <v/>
      </c>
      <c r="H83" s="8">
        <f>IF(G83="","",G83-I83)</f>
        <v/>
      </c>
      <c r="I83" s="8">
        <f>IF(D83="","",VLOOKUP(D83, RECETTES!B:G, 6, FALSE)*E83)</f>
        <v/>
      </c>
      <c r="J83" s="8">
        <f>IF(G83="","",G83*0.20)</f>
        <v/>
      </c>
      <c r="K83" s="8">
        <f>IF(G83="","",G83+J83)</f>
        <v/>
      </c>
    </row>
    <row r="84">
      <c r="F84" s="8" t="n"/>
      <c r="G84" s="8">
        <f>IF(E84="","",E84*F84)</f>
        <v/>
      </c>
      <c r="H84" s="8">
        <f>IF(G84="","",G84-I84)</f>
        <v/>
      </c>
      <c r="I84" s="8">
        <f>IF(D84="","",VLOOKUP(D84, RECETTES!B:G, 6, FALSE)*E84)</f>
        <v/>
      </c>
      <c r="J84" s="8">
        <f>IF(G84="","",G84*0.20)</f>
        <v/>
      </c>
      <c r="K84" s="8">
        <f>IF(G84="","",G84+J84)</f>
        <v/>
      </c>
    </row>
    <row r="85">
      <c r="F85" s="8" t="n"/>
      <c r="G85" s="8">
        <f>IF(E85="","",E85*F85)</f>
        <v/>
      </c>
      <c r="H85" s="8">
        <f>IF(G85="","",G85-I85)</f>
        <v/>
      </c>
      <c r="I85" s="8">
        <f>IF(D85="","",VLOOKUP(D85, RECETTES!B:G, 6, FALSE)*E85)</f>
        <v/>
      </c>
      <c r="J85" s="8">
        <f>IF(G85="","",G85*0.20)</f>
        <v/>
      </c>
      <c r="K85" s="8">
        <f>IF(G85="","",G85+J85)</f>
        <v/>
      </c>
    </row>
    <row r="86">
      <c r="F86" s="8" t="n"/>
      <c r="G86" s="8">
        <f>IF(E86="","",E86*F86)</f>
        <v/>
      </c>
      <c r="H86" s="8">
        <f>IF(G86="","",G86-I86)</f>
        <v/>
      </c>
      <c r="I86" s="8">
        <f>IF(D86="","",VLOOKUP(D86, RECETTES!B:G, 6, FALSE)*E86)</f>
        <v/>
      </c>
      <c r="J86" s="8">
        <f>IF(G86="","",G86*0.20)</f>
        <v/>
      </c>
      <c r="K86" s="8">
        <f>IF(G86="","",G86+J86)</f>
        <v/>
      </c>
    </row>
    <row r="87">
      <c r="F87" s="8" t="n"/>
      <c r="G87" s="8">
        <f>IF(E87="","",E87*F87)</f>
        <v/>
      </c>
      <c r="H87" s="8">
        <f>IF(G87="","",G87-I87)</f>
        <v/>
      </c>
      <c r="I87" s="8">
        <f>IF(D87="","",VLOOKUP(D87, RECETTES!B:G, 6, FALSE)*E87)</f>
        <v/>
      </c>
      <c r="J87" s="8">
        <f>IF(G87="","",G87*0.20)</f>
        <v/>
      </c>
      <c r="K87" s="8">
        <f>IF(G87="","",G87+J87)</f>
        <v/>
      </c>
    </row>
    <row r="88">
      <c r="F88" s="8" t="n"/>
      <c r="G88" s="8">
        <f>IF(E88="","",E88*F88)</f>
        <v/>
      </c>
      <c r="H88" s="8">
        <f>IF(G88="","",G88-I88)</f>
        <v/>
      </c>
      <c r="I88" s="8">
        <f>IF(D88="","",VLOOKUP(D88, RECETTES!B:G, 6, FALSE)*E88)</f>
        <v/>
      </c>
      <c r="J88" s="8">
        <f>IF(G88="","",G88*0.20)</f>
        <v/>
      </c>
      <c r="K88" s="8">
        <f>IF(G88="","",G88+J88)</f>
        <v/>
      </c>
    </row>
    <row r="89">
      <c r="F89" s="8" t="n"/>
      <c r="G89" s="8">
        <f>IF(E89="","",E89*F89)</f>
        <v/>
      </c>
      <c r="H89" s="8">
        <f>IF(G89="","",G89-I89)</f>
        <v/>
      </c>
      <c r="I89" s="8">
        <f>IF(D89="","",VLOOKUP(D89, RECETTES!B:G, 6, FALSE)*E89)</f>
        <v/>
      </c>
      <c r="J89" s="8">
        <f>IF(G89="","",G89*0.20)</f>
        <v/>
      </c>
      <c r="K89" s="8">
        <f>IF(G89="","",G89+J89)</f>
        <v/>
      </c>
    </row>
    <row r="90">
      <c r="F90" s="8" t="n"/>
      <c r="G90" s="8">
        <f>IF(E90="","",E90*F90)</f>
        <v/>
      </c>
      <c r="H90" s="8">
        <f>IF(G90="","",G90-I90)</f>
        <v/>
      </c>
      <c r="I90" s="8">
        <f>IF(D90="","",VLOOKUP(D90, RECETTES!B:G, 6, FALSE)*E90)</f>
        <v/>
      </c>
      <c r="J90" s="8">
        <f>IF(G90="","",G90*0.20)</f>
        <v/>
      </c>
      <c r="K90" s="8">
        <f>IF(G90="","",G90+J90)</f>
        <v/>
      </c>
    </row>
    <row r="91">
      <c r="F91" s="8" t="n"/>
      <c r="G91" s="8">
        <f>IF(E91="","",E91*F91)</f>
        <v/>
      </c>
      <c r="H91" s="8">
        <f>IF(G91="","",G91-I91)</f>
        <v/>
      </c>
      <c r="I91" s="8">
        <f>IF(D91="","",VLOOKUP(D91, RECETTES!B:G, 6, FALSE)*E91)</f>
        <v/>
      </c>
      <c r="J91" s="8">
        <f>IF(G91="","",G91*0.20)</f>
        <v/>
      </c>
      <c r="K91" s="8">
        <f>IF(G91="","",G91+J91)</f>
        <v/>
      </c>
    </row>
    <row r="92">
      <c r="F92" s="8" t="n"/>
      <c r="G92" s="8">
        <f>IF(E92="","",E92*F92)</f>
        <v/>
      </c>
      <c r="H92" s="8">
        <f>IF(G92="","",G92-I92)</f>
        <v/>
      </c>
      <c r="I92" s="8">
        <f>IF(D92="","",VLOOKUP(D92, RECETTES!B:G, 6, FALSE)*E92)</f>
        <v/>
      </c>
      <c r="J92" s="8">
        <f>IF(G92="","",G92*0.20)</f>
        <v/>
      </c>
      <c r="K92" s="8">
        <f>IF(G92="","",G92+J92)</f>
        <v/>
      </c>
    </row>
    <row r="93">
      <c r="F93" s="8" t="n"/>
      <c r="G93" s="8">
        <f>IF(E93="","",E93*F93)</f>
        <v/>
      </c>
      <c r="H93" s="8">
        <f>IF(G93="","",G93-I93)</f>
        <v/>
      </c>
      <c r="I93" s="8">
        <f>IF(D93="","",VLOOKUP(D93, RECETTES!B:G, 6, FALSE)*E93)</f>
        <v/>
      </c>
      <c r="J93" s="8">
        <f>IF(G93="","",G93*0.20)</f>
        <v/>
      </c>
      <c r="K93" s="8">
        <f>IF(G93="","",G93+J93)</f>
        <v/>
      </c>
    </row>
    <row r="94">
      <c r="F94" s="8" t="n"/>
      <c r="G94" s="8">
        <f>IF(E94="","",E94*F94)</f>
        <v/>
      </c>
      <c r="H94" s="8">
        <f>IF(G94="","",G94-I94)</f>
        <v/>
      </c>
      <c r="I94" s="8">
        <f>IF(D94="","",VLOOKUP(D94, RECETTES!B:G, 6, FALSE)*E94)</f>
        <v/>
      </c>
      <c r="J94" s="8">
        <f>IF(G94="","",G94*0.20)</f>
        <v/>
      </c>
      <c r="K94" s="8">
        <f>IF(G94="","",G94+J94)</f>
        <v/>
      </c>
    </row>
    <row r="95">
      <c r="F95" s="8" t="n"/>
      <c r="G95" s="8">
        <f>IF(E95="","",E95*F95)</f>
        <v/>
      </c>
      <c r="H95" s="8">
        <f>IF(G95="","",G95-I95)</f>
        <v/>
      </c>
      <c r="I95" s="8">
        <f>IF(D95="","",VLOOKUP(D95, RECETTES!B:G, 6, FALSE)*E95)</f>
        <v/>
      </c>
      <c r="J95" s="8">
        <f>IF(G95="","",G95*0.20)</f>
        <v/>
      </c>
      <c r="K95" s="8">
        <f>IF(G95="","",G95+J95)</f>
        <v/>
      </c>
    </row>
    <row r="96">
      <c r="F96" s="8" t="n"/>
      <c r="G96" s="8">
        <f>IF(E96="","",E96*F96)</f>
        <v/>
      </c>
      <c r="H96" s="8">
        <f>IF(G96="","",G96-I96)</f>
        <v/>
      </c>
      <c r="I96" s="8">
        <f>IF(D96="","",VLOOKUP(D96, RECETTES!B:G, 6, FALSE)*E96)</f>
        <v/>
      </c>
      <c r="J96" s="8">
        <f>IF(G96="","",G96*0.20)</f>
        <v/>
      </c>
      <c r="K96" s="8">
        <f>IF(G96="","",G96+J96)</f>
        <v/>
      </c>
    </row>
    <row r="97">
      <c r="F97" s="8" t="n"/>
      <c r="G97" s="8">
        <f>IF(E97="","",E97*F97)</f>
        <v/>
      </c>
      <c r="H97" s="8">
        <f>IF(G97="","",G97-I97)</f>
        <v/>
      </c>
      <c r="I97" s="8">
        <f>IF(D97="","",VLOOKUP(D97, RECETTES!B:G, 6, FALSE)*E97)</f>
        <v/>
      </c>
      <c r="J97" s="8">
        <f>IF(G97="","",G97*0.20)</f>
        <v/>
      </c>
      <c r="K97" s="8">
        <f>IF(G97="","",G97+J97)</f>
        <v/>
      </c>
    </row>
    <row r="98">
      <c r="F98" s="8" t="n"/>
      <c r="G98" s="8">
        <f>IF(E98="","",E98*F98)</f>
        <v/>
      </c>
      <c r="H98" s="8">
        <f>IF(G98="","",G98-I98)</f>
        <v/>
      </c>
      <c r="I98" s="8">
        <f>IF(D98="","",VLOOKUP(D98, RECETTES!B:G, 6, FALSE)*E98)</f>
        <v/>
      </c>
      <c r="J98" s="8">
        <f>IF(G98="","",G98*0.20)</f>
        <v/>
      </c>
      <c r="K98" s="8">
        <f>IF(G98="","",G98+J98)</f>
        <v/>
      </c>
    </row>
    <row r="99">
      <c r="F99" s="8" t="n"/>
      <c r="G99" s="8">
        <f>IF(E99="","",E99*F99)</f>
        <v/>
      </c>
      <c r="H99" s="8">
        <f>IF(G99="","",G99-I99)</f>
        <v/>
      </c>
      <c r="I99" s="8">
        <f>IF(D99="","",VLOOKUP(D99, RECETTES!B:G, 6, FALSE)*E99)</f>
        <v/>
      </c>
      <c r="J99" s="8">
        <f>IF(G99="","",G99*0.20)</f>
        <v/>
      </c>
      <c r="K99" s="8">
        <f>IF(G99="","",G99+J99)</f>
        <v/>
      </c>
    </row>
    <row r="100">
      <c r="F100" s="8" t="n"/>
      <c r="G100" s="8">
        <f>IF(E100="","",E100*F100)</f>
        <v/>
      </c>
      <c r="H100" s="8">
        <f>IF(G100="","",G100-I100)</f>
        <v/>
      </c>
      <c r="I100" s="8">
        <f>IF(D100="","",VLOOKUP(D100, RECETTES!B:G, 6, FALSE)*E100)</f>
        <v/>
      </c>
      <c r="J100" s="8">
        <f>IF(G100="","",G100*0.20)</f>
        <v/>
      </c>
      <c r="K100" s="8">
        <f>IF(G100="","",G100+J100)</f>
        <v/>
      </c>
    </row>
    <row r="101">
      <c r="F101" s="8" t="n"/>
      <c r="G101" s="8">
        <f>IF(E101="","",E101*F101)</f>
        <v/>
      </c>
      <c r="H101" s="8">
        <f>IF(G101="","",G101-I101)</f>
        <v/>
      </c>
      <c r="I101" s="8">
        <f>IF(D101="","",VLOOKUP(D101, RECETTES!B:G, 6, FALSE)*E101)</f>
        <v/>
      </c>
      <c r="J101" s="8">
        <f>IF(G101="","",G101*0.20)</f>
        <v/>
      </c>
      <c r="K101" s="8">
        <f>IF(G101="","",G101+J101)</f>
        <v/>
      </c>
    </row>
    <row r="102">
      <c r="F102" s="8" t="n"/>
      <c r="G102" s="8">
        <f>IF(E102="","",E102*F102)</f>
        <v/>
      </c>
      <c r="H102" s="8">
        <f>IF(G102="","",G102-I102)</f>
        <v/>
      </c>
      <c r="I102" s="8">
        <f>IF(D102="","",VLOOKUP(D102, RECETTES!B:G, 6, FALSE)*E102)</f>
        <v/>
      </c>
      <c r="J102" s="8">
        <f>IF(G102="","",G102*0.20)</f>
        <v/>
      </c>
      <c r="K102" s="8">
        <f>IF(G102="","",G102+J102)</f>
        <v/>
      </c>
    </row>
    <row r="103">
      <c r="F103" s="8" t="n"/>
      <c r="G103" s="8">
        <f>IF(E103="","",E103*F103)</f>
        <v/>
      </c>
      <c r="H103" s="8">
        <f>IF(G103="","",G103-I103)</f>
        <v/>
      </c>
      <c r="I103" s="8">
        <f>IF(D103="","",VLOOKUP(D103, RECETTES!B:G, 6, FALSE)*E103)</f>
        <v/>
      </c>
      <c r="J103" s="8">
        <f>IF(G103="","",G103*0.20)</f>
        <v/>
      </c>
      <c r="K103" s="8">
        <f>IF(G103="","",G103+J103)</f>
        <v/>
      </c>
    </row>
    <row r="104">
      <c r="F104" s="8" t="n"/>
      <c r="G104" s="8">
        <f>IF(E104="","",E104*F104)</f>
        <v/>
      </c>
      <c r="H104" s="8">
        <f>IF(G104="","",G104-I104)</f>
        <v/>
      </c>
      <c r="I104" s="8">
        <f>IF(D104="","",VLOOKUP(D104, RECETTES!B:G, 6, FALSE)*E104)</f>
        <v/>
      </c>
      <c r="J104" s="8">
        <f>IF(G104="","",G104*0.20)</f>
        <v/>
      </c>
      <c r="K104" s="8">
        <f>IF(G104="","",G104+J104)</f>
        <v/>
      </c>
    </row>
    <row r="105">
      <c r="F105" s="8" t="n"/>
      <c r="G105" s="8">
        <f>IF(E105="","",E105*F105)</f>
        <v/>
      </c>
      <c r="H105" s="8">
        <f>IF(G105="","",G105-I105)</f>
        <v/>
      </c>
      <c r="I105" s="8">
        <f>IF(D105="","",VLOOKUP(D105, RECETTES!B:G, 6, FALSE)*E105)</f>
        <v/>
      </c>
      <c r="J105" s="8">
        <f>IF(G105="","",G105*0.20)</f>
        <v/>
      </c>
      <c r="K105" s="8">
        <f>IF(G105="","",G105+J105)</f>
        <v/>
      </c>
    </row>
    <row r="106">
      <c r="F106" s="8" t="n"/>
      <c r="G106" s="8">
        <f>IF(E106="","",E106*F106)</f>
        <v/>
      </c>
      <c r="H106" s="8">
        <f>IF(G106="","",G106-I106)</f>
        <v/>
      </c>
      <c r="I106" s="8">
        <f>IF(D106="","",VLOOKUP(D106, RECETTES!B:G, 6, FALSE)*E106)</f>
        <v/>
      </c>
      <c r="J106" s="8">
        <f>IF(G106="","",G106*0.20)</f>
        <v/>
      </c>
      <c r="K106" s="8">
        <f>IF(G106="","",G106+J106)</f>
        <v/>
      </c>
    </row>
    <row r="107">
      <c r="F107" s="8" t="n"/>
      <c r="G107" s="8">
        <f>IF(E107="","",E107*F107)</f>
        <v/>
      </c>
      <c r="H107" s="8">
        <f>IF(G107="","",G107-I107)</f>
        <v/>
      </c>
      <c r="I107" s="8">
        <f>IF(D107="","",VLOOKUP(D107, RECETTES!B:G, 6, FALSE)*E107)</f>
        <v/>
      </c>
      <c r="J107" s="8">
        <f>IF(G107="","",G107*0.20)</f>
        <v/>
      </c>
      <c r="K107" s="8">
        <f>IF(G107="","",G107+J107)</f>
        <v/>
      </c>
    </row>
    <row r="108">
      <c r="F108" s="8" t="n"/>
      <c r="G108" s="8">
        <f>IF(E108="","",E108*F108)</f>
        <v/>
      </c>
      <c r="H108" s="8">
        <f>IF(G108="","",G108-I108)</f>
        <v/>
      </c>
      <c r="I108" s="8">
        <f>IF(D108="","",VLOOKUP(D108, RECETTES!B:G, 6, FALSE)*E108)</f>
        <v/>
      </c>
      <c r="J108" s="8">
        <f>IF(G108="","",G108*0.20)</f>
        <v/>
      </c>
      <c r="K108" s="8">
        <f>IF(G108="","",G108+J108)</f>
        <v/>
      </c>
    </row>
    <row r="109">
      <c r="F109" s="8" t="n"/>
      <c r="G109" s="8">
        <f>IF(E109="","",E109*F109)</f>
        <v/>
      </c>
      <c r="H109" s="8">
        <f>IF(G109="","",G109-I109)</f>
        <v/>
      </c>
      <c r="I109" s="8">
        <f>IF(D109="","",VLOOKUP(D109, RECETTES!B:G, 6, FALSE)*E109)</f>
        <v/>
      </c>
      <c r="J109" s="8">
        <f>IF(G109="","",G109*0.20)</f>
        <v/>
      </c>
      <c r="K109" s="8">
        <f>IF(G109="","",G109+J109)</f>
        <v/>
      </c>
    </row>
    <row r="110">
      <c r="F110" s="8" t="n"/>
      <c r="G110" s="8">
        <f>IF(E110="","",E110*F110)</f>
        <v/>
      </c>
      <c r="H110" s="8">
        <f>IF(G110="","",G110-I110)</f>
        <v/>
      </c>
      <c r="I110" s="8">
        <f>IF(D110="","",VLOOKUP(D110, RECETTES!B:G, 6, FALSE)*E110)</f>
        <v/>
      </c>
      <c r="J110" s="8">
        <f>IF(G110="","",G110*0.20)</f>
        <v/>
      </c>
      <c r="K110" s="8">
        <f>IF(G110="","",G110+J110)</f>
        <v/>
      </c>
    </row>
    <row r="111">
      <c r="F111" s="8" t="n"/>
      <c r="G111" s="8">
        <f>IF(E111="","",E111*F111)</f>
        <v/>
      </c>
      <c r="H111" s="8">
        <f>IF(G111="","",G111-I111)</f>
        <v/>
      </c>
      <c r="I111" s="8">
        <f>IF(D111="","",VLOOKUP(D111, RECETTES!B:G, 6, FALSE)*E111)</f>
        <v/>
      </c>
      <c r="J111" s="8">
        <f>IF(G111="","",G111*0.20)</f>
        <v/>
      </c>
      <c r="K111" s="8">
        <f>IF(G111="","",G111+J111)</f>
        <v/>
      </c>
    </row>
    <row r="112">
      <c r="F112" s="8" t="n"/>
      <c r="G112" s="8">
        <f>IF(E112="","",E112*F112)</f>
        <v/>
      </c>
      <c r="H112" s="8">
        <f>IF(G112="","",G112-I112)</f>
        <v/>
      </c>
      <c r="I112" s="8">
        <f>IF(D112="","",VLOOKUP(D112, RECETTES!B:G, 6, FALSE)*E112)</f>
        <v/>
      </c>
      <c r="J112" s="8">
        <f>IF(G112="","",G112*0.20)</f>
        <v/>
      </c>
      <c r="K112" s="8">
        <f>IF(G112="","",G112+J112)</f>
        <v/>
      </c>
    </row>
    <row r="113">
      <c r="F113" s="8" t="n"/>
      <c r="G113" s="8">
        <f>IF(E113="","",E113*F113)</f>
        <v/>
      </c>
      <c r="H113" s="8">
        <f>IF(G113="","",G113-I113)</f>
        <v/>
      </c>
      <c r="I113" s="8">
        <f>IF(D113="","",VLOOKUP(D113, RECETTES!B:G, 6, FALSE)*E113)</f>
        <v/>
      </c>
      <c r="J113" s="8">
        <f>IF(G113="","",G113*0.20)</f>
        <v/>
      </c>
      <c r="K113" s="8">
        <f>IF(G113="","",G113+J113)</f>
        <v/>
      </c>
    </row>
    <row r="114">
      <c r="F114" s="8" t="n"/>
      <c r="G114" s="8">
        <f>IF(E114="","",E114*F114)</f>
        <v/>
      </c>
      <c r="H114" s="8">
        <f>IF(G114="","",G114-I114)</f>
        <v/>
      </c>
      <c r="I114" s="8">
        <f>IF(D114="","",VLOOKUP(D114, RECETTES!B:G, 6, FALSE)*E114)</f>
        <v/>
      </c>
      <c r="J114" s="8">
        <f>IF(G114="","",G114*0.20)</f>
        <v/>
      </c>
      <c r="K114" s="8">
        <f>IF(G114="","",G114+J114)</f>
        <v/>
      </c>
    </row>
    <row r="115">
      <c r="F115" s="8" t="n"/>
      <c r="G115" s="8">
        <f>IF(E115="","",E115*F115)</f>
        <v/>
      </c>
      <c r="H115" s="8">
        <f>IF(G115="","",G115-I115)</f>
        <v/>
      </c>
      <c r="I115" s="8">
        <f>IF(D115="","",VLOOKUP(D115, RECETTES!B:G, 6, FALSE)*E115)</f>
        <v/>
      </c>
      <c r="J115" s="8">
        <f>IF(G115="","",G115*0.20)</f>
        <v/>
      </c>
      <c r="K115" s="8">
        <f>IF(G115="","",G115+J115)</f>
        <v/>
      </c>
    </row>
    <row r="116">
      <c r="F116" s="8" t="n"/>
      <c r="G116" s="8">
        <f>IF(E116="","",E116*F116)</f>
        <v/>
      </c>
      <c r="H116" s="8">
        <f>IF(G116="","",G116-I116)</f>
        <v/>
      </c>
      <c r="I116" s="8">
        <f>IF(D116="","",VLOOKUP(D116, RECETTES!B:G, 6, FALSE)*E116)</f>
        <v/>
      </c>
      <c r="J116" s="8">
        <f>IF(G116="","",G116*0.20)</f>
        <v/>
      </c>
      <c r="K116" s="8">
        <f>IF(G116="","",G116+J116)</f>
        <v/>
      </c>
    </row>
    <row r="117">
      <c r="F117" s="8" t="n"/>
      <c r="G117" s="8">
        <f>IF(E117="","",E117*F117)</f>
        <v/>
      </c>
      <c r="H117" s="8">
        <f>IF(G117="","",G117-I117)</f>
        <v/>
      </c>
      <c r="I117" s="8">
        <f>IF(D117="","",VLOOKUP(D117, RECETTES!B:G, 6, FALSE)*E117)</f>
        <v/>
      </c>
      <c r="J117" s="8">
        <f>IF(G117="","",G117*0.20)</f>
        <v/>
      </c>
      <c r="K117" s="8">
        <f>IF(G117="","",G117+J117)</f>
        <v/>
      </c>
    </row>
    <row r="118">
      <c r="F118" s="8" t="n"/>
      <c r="G118" s="8">
        <f>IF(E118="","",E118*F118)</f>
        <v/>
      </c>
      <c r="H118" s="8">
        <f>IF(G118="","",G118-I118)</f>
        <v/>
      </c>
      <c r="I118" s="8">
        <f>IF(D118="","",VLOOKUP(D118, RECETTES!B:G, 6, FALSE)*E118)</f>
        <v/>
      </c>
      <c r="J118" s="8">
        <f>IF(G118="","",G118*0.20)</f>
        <v/>
      </c>
      <c r="K118" s="8">
        <f>IF(G118="","",G118+J118)</f>
        <v/>
      </c>
    </row>
    <row r="119">
      <c r="F119" s="8" t="n"/>
      <c r="G119" s="8">
        <f>IF(E119="","",E119*F119)</f>
        <v/>
      </c>
      <c r="H119" s="8">
        <f>IF(G119="","",G119-I119)</f>
        <v/>
      </c>
      <c r="I119" s="8">
        <f>IF(D119="","",VLOOKUP(D119, RECETTES!B:G, 6, FALSE)*E119)</f>
        <v/>
      </c>
      <c r="J119" s="8">
        <f>IF(G119="","",G119*0.20)</f>
        <v/>
      </c>
      <c r="K119" s="8">
        <f>IF(G119="","",G119+J119)</f>
        <v/>
      </c>
    </row>
    <row r="120">
      <c r="F120" s="8" t="n"/>
      <c r="G120" s="8">
        <f>IF(E120="","",E120*F120)</f>
        <v/>
      </c>
      <c r="H120" s="8">
        <f>IF(G120="","",G120-I120)</f>
        <v/>
      </c>
      <c r="I120" s="8">
        <f>IF(D120="","",VLOOKUP(D120, RECETTES!B:G, 6, FALSE)*E120)</f>
        <v/>
      </c>
      <c r="J120" s="8">
        <f>IF(G120="","",G120*0.20)</f>
        <v/>
      </c>
      <c r="K120" s="8">
        <f>IF(G120="","",G120+J120)</f>
        <v/>
      </c>
    </row>
    <row r="121">
      <c r="F121" s="8" t="n"/>
      <c r="G121" s="8">
        <f>IF(E121="","",E121*F121)</f>
        <v/>
      </c>
      <c r="H121" s="8">
        <f>IF(G121="","",G121-I121)</f>
        <v/>
      </c>
      <c r="I121" s="8">
        <f>IF(D121="","",VLOOKUP(D121, RECETTES!B:G, 6, FALSE)*E121)</f>
        <v/>
      </c>
      <c r="J121" s="8">
        <f>IF(G121="","",G121*0.20)</f>
        <v/>
      </c>
      <c r="K121" s="8">
        <f>IF(G121="","",G121+J121)</f>
        <v/>
      </c>
    </row>
    <row r="122">
      <c r="F122" s="8" t="n"/>
      <c r="G122" s="8">
        <f>IF(E122="","",E122*F122)</f>
        <v/>
      </c>
      <c r="H122" s="8">
        <f>IF(G122="","",G122-I122)</f>
        <v/>
      </c>
      <c r="I122" s="8">
        <f>IF(D122="","",VLOOKUP(D122, RECETTES!B:G, 6, FALSE)*E122)</f>
        <v/>
      </c>
      <c r="J122" s="8">
        <f>IF(G122="","",G122*0.20)</f>
        <v/>
      </c>
      <c r="K122" s="8">
        <f>IF(G122="","",G122+J122)</f>
        <v/>
      </c>
    </row>
    <row r="123">
      <c r="F123" s="8" t="n"/>
      <c r="G123" s="8">
        <f>IF(E123="","",E123*F123)</f>
        <v/>
      </c>
      <c r="H123" s="8">
        <f>IF(G123="","",G123-I123)</f>
        <v/>
      </c>
      <c r="I123" s="8">
        <f>IF(D123="","",VLOOKUP(D123, RECETTES!B:G, 6, FALSE)*E123)</f>
        <v/>
      </c>
      <c r="J123" s="8">
        <f>IF(G123="","",G123*0.20)</f>
        <v/>
      </c>
      <c r="K123" s="8">
        <f>IF(G123="","",G123+J123)</f>
        <v/>
      </c>
    </row>
    <row r="124">
      <c r="F124" s="8" t="n"/>
      <c r="G124" s="8">
        <f>IF(E124="","",E124*F124)</f>
        <v/>
      </c>
      <c r="H124" s="8">
        <f>IF(G124="","",G124-I124)</f>
        <v/>
      </c>
      <c r="I124" s="8">
        <f>IF(D124="","",VLOOKUP(D124, RECETTES!B:G, 6, FALSE)*E124)</f>
        <v/>
      </c>
      <c r="J124" s="8">
        <f>IF(G124="","",G124*0.20)</f>
        <v/>
      </c>
      <c r="K124" s="8">
        <f>IF(G124="","",G124+J124)</f>
        <v/>
      </c>
    </row>
    <row r="125">
      <c r="F125" s="8" t="n"/>
      <c r="G125" s="8">
        <f>IF(E125="","",E125*F125)</f>
        <v/>
      </c>
      <c r="H125" s="8">
        <f>IF(G125="","",G125-I125)</f>
        <v/>
      </c>
      <c r="I125" s="8">
        <f>IF(D125="","",VLOOKUP(D125, RECETTES!B:G, 6, FALSE)*E125)</f>
        <v/>
      </c>
      <c r="J125" s="8">
        <f>IF(G125="","",G125*0.20)</f>
        <v/>
      </c>
      <c r="K125" s="8">
        <f>IF(G125="","",G125+J125)</f>
        <v/>
      </c>
    </row>
    <row r="126">
      <c r="F126" s="8" t="n"/>
      <c r="G126" s="8">
        <f>IF(E126="","",E126*F126)</f>
        <v/>
      </c>
      <c r="H126" s="8">
        <f>IF(G126="","",G126-I126)</f>
        <v/>
      </c>
      <c r="I126" s="8">
        <f>IF(D126="","",VLOOKUP(D126, RECETTES!B:G, 6, FALSE)*E126)</f>
        <v/>
      </c>
      <c r="J126" s="8">
        <f>IF(G126="","",G126*0.20)</f>
        <v/>
      </c>
      <c r="K126" s="8">
        <f>IF(G126="","",G126+J126)</f>
        <v/>
      </c>
    </row>
    <row r="127">
      <c r="F127" s="8" t="n"/>
      <c r="G127" s="8">
        <f>IF(E127="","",E127*F127)</f>
        <v/>
      </c>
      <c r="H127" s="8">
        <f>IF(G127="","",G127-I127)</f>
        <v/>
      </c>
      <c r="I127" s="8">
        <f>IF(D127="","",VLOOKUP(D127, RECETTES!B:G, 6, FALSE)*E127)</f>
        <v/>
      </c>
      <c r="J127" s="8">
        <f>IF(G127="","",G127*0.20)</f>
        <v/>
      </c>
      <c r="K127" s="8">
        <f>IF(G127="","",G127+J127)</f>
        <v/>
      </c>
    </row>
    <row r="128">
      <c r="F128" s="8" t="n"/>
      <c r="G128" s="8">
        <f>IF(E128="","",E128*F128)</f>
        <v/>
      </c>
      <c r="H128" s="8">
        <f>IF(G128="","",G128-I128)</f>
        <v/>
      </c>
      <c r="I128" s="8">
        <f>IF(D128="","",VLOOKUP(D128, RECETTES!B:G, 6, FALSE)*E128)</f>
        <v/>
      </c>
      <c r="J128" s="8">
        <f>IF(G128="","",G128*0.20)</f>
        <v/>
      </c>
      <c r="K128" s="8">
        <f>IF(G128="","",G128+J128)</f>
        <v/>
      </c>
    </row>
    <row r="129">
      <c r="F129" s="8" t="n"/>
      <c r="G129" s="8">
        <f>IF(E129="","",E129*F129)</f>
        <v/>
      </c>
      <c r="H129" s="8">
        <f>IF(G129="","",G129-I129)</f>
        <v/>
      </c>
      <c r="I129" s="8">
        <f>IF(D129="","",VLOOKUP(D129, RECETTES!B:G, 6, FALSE)*E129)</f>
        <v/>
      </c>
      <c r="J129" s="8">
        <f>IF(G129="","",G129*0.20)</f>
        <v/>
      </c>
      <c r="K129" s="8">
        <f>IF(G129="","",G129+J129)</f>
        <v/>
      </c>
    </row>
    <row r="130">
      <c r="F130" s="8" t="n"/>
      <c r="G130" s="8">
        <f>IF(E130="","",E130*F130)</f>
        <v/>
      </c>
      <c r="H130" s="8">
        <f>IF(G130="","",G130-I130)</f>
        <v/>
      </c>
      <c r="I130" s="8">
        <f>IF(D130="","",VLOOKUP(D130, RECETTES!B:G, 6, FALSE)*E130)</f>
        <v/>
      </c>
      <c r="J130" s="8">
        <f>IF(G130="","",G130*0.20)</f>
        <v/>
      </c>
      <c r="K130" s="8">
        <f>IF(G130="","",G130+J130)</f>
        <v/>
      </c>
    </row>
    <row r="131">
      <c r="F131" s="8" t="n"/>
      <c r="G131" s="8">
        <f>IF(E131="","",E131*F131)</f>
        <v/>
      </c>
      <c r="H131" s="8">
        <f>IF(G131="","",G131-I131)</f>
        <v/>
      </c>
      <c r="I131" s="8">
        <f>IF(D131="","",VLOOKUP(D131, RECETTES!B:G, 6, FALSE)*E131)</f>
        <v/>
      </c>
      <c r="J131" s="8">
        <f>IF(G131="","",G131*0.20)</f>
        <v/>
      </c>
      <c r="K131" s="8">
        <f>IF(G131="","",G131+J131)</f>
        <v/>
      </c>
    </row>
    <row r="132">
      <c r="F132" s="8" t="n"/>
      <c r="G132" s="8">
        <f>IF(E132="","",E132*F132)</f>
        <v/>
      </c>
      <c r="H132" s="8">
        <f>IF(G132="","",G132-I132)</f>
        <v/>
      </c>
      <c r="I132" s="8">
        <f>IF(D132="","",VLOOKUP(D132, RECETTES!B:G, 6, FALSE)*E132)</f>
        <v/>
      </c>
      <c r="J132" s="8">
        <f>IF(G132="","",G132*0.20)</f>
        <v/>
      </c>
      <c r="K132" s="8">
        <f>IF(G132="","",G132+J132)</f>
        <v/>
      </c>
    </row>
    <row r="133">
      <c r="F133" s="8" t="n"/>
      <c r="G133" s="8">
        <f>IF(E133="","",E133*F133)</f>
        <v/>
      </c>
      <c r="H133" s="8">
        <f>IF(G133="","",G133-I133)</f>
        <v/>
      </c>
      <c r="I133" s="8">
        <f>IF(D133="","",VLOOKUP(D133, RECETTES!B:G, 6, FALSE)*E133)</f>
        <v/>
      </c>
      <c r="J133" s="8">
        <f>IF(G133="","",G133*0.20)</f>
        <v/>
      </c>
      <c r="K133" s="8">
        <f>IF(G133="","",G133+J133)</f>
        <v/>
      </c>
    </row>
    <row r="134">
      <c r="F134" s="8" t="n"/>
      <c r="G134" s="8">
        <f>IF(E134="","",E134*F134)</f>
        <v/>
      </c>
      <c r="H134" s="8">
        <f>IF(G134="","",G134-I134)</f>
        <v/>
      </c>
      <c r="I134" s="8">
        <f>IF(D134="","",VLOOKUP(D134, RECETTES!B:G, 6, FALSE)*E134)</f>
        <v/>
      </c>
      <c r="J134" s="8">
        <f>IF(G134="","",G134*0.20)</f>
        <v/>
      </c>
      <c r="K134" s="8">
        <f>IF(G134="","",G134+J134)</f>
        <v/>
      </c>
    </row>
    <row r="135">
      <c r="F135" s="8" t="n"/>
      <c r="G135" s="8">
        <f>IF(E135="","",E135*F135)</f>
        <v/>
      </c>
      <c r="H135" s="8">
        <f>IF(G135="","",G135-I135)</f>
        <v/>
      </c>
      <c r="I135" s="8">
        <f>IF(D135="","",VLOOKUP(D135, RECETTES!B:G, 6, FALSE)*E135)</f>
        <v/>
      </c>
      <c r="J135" s="8">
        <f>IF(G135="","",G135*0.20)</f>
        <v/>
      </c>
      <c r="K135" s="8">
        <f>IF(G135="","",G135+J135)</f>
        <v/>
      </c>
    </row>
    <row r="136">
      <c r="F136" s="8" t="n"/>
      <c r="G136" s="8">
        <f>IF(E136="","",E136*F136)</f>
        <v/>
      </c>
      <c r="H136" s="8">
        <f>IF(G136="","",G136-I136)</f>
        <v/>
      </c>
      <c r="I136" s="8">
        <f>IF(D136="","",VLOOKUP(D136, RECETTES!B:G, 6, FALSE)*E136)</f>
        <v/>
      </c>
      <c r="J136" s="8">
        <f>IF(G136="","",G136*0.20)</f>
        <v/>
      </c>
      <c r="K136" s="8">
        <f>IF(G136="","",G136+J136)</f>
        <v/>
      </c>
    </row>
    <row r="137">
      <c r="F137" s="8" t="n"/>
      <c r="G137" s="8">
        <f>IF(E137="","",E137*F137)</f>
        <v/>
      </c>
      <c r="H137" s="8">
        <f>IF(G137="","",G137-I137)</f>
        <v/>
      </c>
      <c r="I137" s="8">
        <f>IF(D137="","",VLOOKUP(D137, RECETTES!B:G, 6, FALSE)*E137)</f>
        <v/>
      </c>
      <c r="J137" s="8">
        <f>IF(G137="","",G137*0.20)</f>
        <v/>
      </c>
      <c r="K137" s="8">
        <f>IF(G137="","",G137+J137)</f>
        <v/>
      </c>
    </row>
    <row r="138">
      <c r="F138" s="8" t="n"/>
      <c r="G138" s="8">
        <f>IF(E138="","",E138*F138)</f>
        <v/>
      </c>
      <c r="H138" s="8">
        <f>IF(G138="","",G138-I138)</f>
        <v/>
      </c>
      <c r="I138" s="8">
        <f>IF(D138="","",VLOOKUP(D138, RECETTES!B:G, 6, FALSE)*E138)</f>
        <v/>
      </c>
      <c r="J138" s="8">
        <f>IF(G138="","",G138*0.20)</f>
        <v/>
      </c>
      <c r="K138" s="8">
        <f>IF(G138="","",G138+J138)</f>
        <v/>
      </c>
    </row>
    <row r="139">
      <c r="F139" s="8" t="n"/>
      <c r="G139" s="8">
        <f>IF(E139="","",E139*F139)</f>
        <v/>
      </c>
      <c r="H139" s="8">
        <f>IF(G139="","",G139-I139)</f>
        <v/>
      </c>
      <c r="I139" s="8">
        <f>IF(D139="","",VLOOKUP(D139, RECETTES!B:G, 6, FALSE)*E139)</f>
        <v/>
      </c>
      <c r="J139" s="8">
        <f>IF(G139="","",G139*0.20)</f>
        <v/>
      </c>
      <c r="K139" s="8">
        <f>IF(G139="","",G139+J139)</f>
        <v/>
      </c>
    </row>
    <row r="140">
      <c r="F140" s="8" t="n"/>
      <c r="G140" s="8">
        <f>IF(E140="","",E140*F140)</f>
        <v/>
      </c>
      <c r="H140" s="8">
        <f>IF(G140="","",G140-I140)</f>
        <v/>
      </c>
      <c r="I140" s="8">
        <f>IF(D140="","",VLOOKUP(D140, RECETTES!B:G, 6, FALSE)*E140)</f>
        <v/>
      </c>
      <c r="J140" s="8">
        <f>IF(G140="","",G140*0.20)</f>
        <v/>
      </c>
      <c r="K140" s="8">
        <f>IF(G140="","",G140+J140)</f>
        <v/>
      </c>
    </row>
    <row r="141">
      <c r="F141" s="8" t="n"/>
      <c r="G141" s="8">
        <f>IF(E141="","",E141*F141)</f>
        <v/>
      </c>
      <c r="H141" s="8">
        <f>IF(G141="","",G141-I141)</f>
        <v/>
      </c>
      <c r="I141" s="8">
        <f>IF(D141="","",VLOOKUP(D141, RECETTES!B:G, 6, FALSE)*E141)</f>
        <v/>
      </c>
      <c r="J141" s="8">
        <f>IF(G141="","",G141*0.20)</f>
        <v/>
      </c>
      <c r="K141" s="8">
        <f>IF(G141="","",G141+J141)</f>
        <v/>
      </c>
    </row>
    <row r="142">
      <c r="F142" s="8" t="n"/>
      <c r="G142" s="8">
        <f>IF(E142="","",E142*F142)</f>
        <v/>
      </c>
      <c r="H142" s="8">
        <f>IF(G142="","",G142-I142)</f>
        <v/>
      </c>
      <c r="I142" s="8">
        <f>IF(D142="","",VLOOKUP(D142, RECETTES!B:G, 6, FALSE)*E142)</f>
        <v/>
      </c>
      <c r="J142" s="8">
        <f>IF(G142="","",G142*0.20)</f>
        <v/>
      </c>
      <c r="K142" s="8">
        <f>IF(G142="","",G142+J142)</f>
        <v/>
      </c>
    </row>
    <row r="143">
      <c r="F143" s="8" t="n"/>
      <c r="G143" s="8">
        <f>IF(E143="","",E143*F143)</f>
        <v/>
      </c>
      <c r="H143" s="8">
        <f>IF(G143="","",G143-I143)</f>
        <v/>
      </c>
      <c r="I143" s="8">
        <f>IF(D143="","",VLOOKUP(D143, RECETTES!B:G, 6, FALSE)*E143)</f>
        <v/>
      </c>
      <c r="J143" s="8">
        <f>IF(G143="","",G143*0.20)</f>
        <v/>
      </c>
      <c r="K143" s="8">
        <f>IF(G143="","",G143+J143)</f>
        <v/>
      </c>
    </row>
    <row r="144">
      <c r="F144" s="8" t="n"/>
      <c r="G144" s="8">
        <f>IF(E144="","",E144*F144)</f>
        <v/>
      </c>
      <c r="H144" s="8">
        <f>IF(G144="","",G144-I144)</f>
        <v/>
      </c>
      <c r="I144" s="8">
        <f>IF(D144="","",VLOOKUP(D144, RECETTES!B:G, 6, FALSE)*E144)</f>
        <v/>
      </c>
      <c r="J144" s="8">
        <f>IF(G144="","",G144*0.20)</f>
        <v/>
      </c>
      <c r="K144" s="8">
        <f>IF(G144="","",G144+J144)</f>
        <v/>
      </c>
    </row>
    <row r="145">
      <c r="F145" s="8" t="n"/>
      <c r="G145" s="8">
        <f>IF(E145="","",E145*F145)</f>
        <v/>
      </c>
      <c r="H145" s="8">
        <f>IF(G145="","",G145-I145)</f>
        <v/>
      </c>
      <c r="I145" s="8">
        <f>IF(D145="","",VLOOKUP(D145, RECETTES!B:G, 6, FALSE)*E145)</f>
        <v/>
      </c>
      <c r="J145" s="8">
        <f>IF(G145="","",G145*0.20)</f>
        <v/>
      </c>
      <c r="K145" s="8">
        <f>IF(G145="","",G145+J145)</f>
        <v/>
      </c>
    </row>
    <row r="146">
      <c r="F146" s="8" t="n"/>
      <c r="G146" s="8">
        <f>IF(E146="","",E146*F146)</f>
        <v/>
      </c>
      <c r="H146" s="8">
        <f>IF(G146="","",G146-I146)</f>
        <v/>
      </c>
      <c r="I146" s="8">
        <f>IF(D146="","",VLOOKUP(D146, RECETTES!B:G, 6, FALSE)*E146)</f>
        <v/>
      </c>
      <c r="J146" s="8">
        <f>IF(G146="","",G146*0.20)</f>
        <v/>
      </c>
      <c r="K146" s="8">
        <f>IF(G146="","",G146+J146)</f>
        <v/>
      </c>
    </row>
    <row r="147">
      <c r="F147" s="8" t="n"/>
      <c r="G147" s="8">
        <f>IF(E147="","",E147*F147)</f>
        <v/>
      </c>
      <c r="H147" s="8">
        <f>IF(G147="","",G147-I147)</f>
        <v/>
      </c>
      <c r="I147" s="8">
        <f>IF(D147="","",VLOOKUP(D147, RECETTES!B:G, 6, FALSE)*E147)</f>
        <v/>
      </c>
      <c r="J147" s="8">
        <f>IF(G147="","",G147*0.20)</f>
        <v/>
      </c>
      <c r="K147" s="8">
        <f>IF(G147="","",G147+J147)</f>
        <v/>
      </c>
    </row>
    <row r="148">
      <c r="F148" s="8" t="n"/>
      <c r="G148" s="8">
        <f>IF(E148="","",E148*F148)</f>
        <v/>
      </c>
      <c r="H148" s="8">
        <f>IF(G148="","",G148-I148)</f>
        <v/>
      </c>
      <c r="I148" s="8">
        <f>IF(D148="","",VLOOKUP(D148, RECETTES!B:G, 6, FALSE)*E148)</f>
        <v/>
      </c>
      <c r="J148" s="8">
        <f>IF(G148="","",G148*0.20)</f>
        <v/>
      </c>
      <c r="K148" s="8">
        <f>IF(G148="","",G148+J148)</f>
        <v/>
      </c>
    </row>
    <row r="149">
      <c r="F149" s="8" t="n"/>
      <c r="G149" s="8">
        <f>IF(E149="","",E149*F149)</f>
        <v/>
      </c>
      <c r="H149" s="8">
        <f>IF(G149="","",G149-I149)</f>
        <v/>
      </c>
      <c r="I149" s="8">
        <f>IF(D149="","",VLOOKUP(D149, RECETTES!B:G, 6, FALSE)*E149)</f>
        <v/>
      </c>
      <c r="J149" s="8">
        <f>IF(G149="","",G149*0.20)</f>
        <v/>
      </c>
      <c r="K149" s="8">
        <f>IF(G149="","",G149+J149)</f>
        <v/>
      </c>
    </row>
    <row r="150">
      <c r="F150" s="8" t="n"/>
      <c r="G150" s="8">
        <f>IF(E150="","",E150*F150)</f>
        <v/>
      </c>
      <c r="H150" s="8">
        <f>IF(G150="","",G150-I150)</f>
        <v/>
      </c>
      <c r="I150" s="8">
        <f>IF(D150="","",VLOOKUP(D150, RECETTES!B:G, 6, FALSE)*E150)</f>
        <v/>
      </c>
      <c r="J150" s="8">
        <f>IF(G150="","",G150*0.20)</f>
        <v/>
      </c>
      <c r="K150" s="8">
        <f>IF(G150="","",G150+J150)</f>
        <v/>
      </c>
    </row>
    <row r="151">
      <c r="F151" s="8" t="n"/>
      <c r="G151" s="8">
        <f>IF(E151="","",E151*F151)</f>
        <v/>
      </c>
      <c r="H151" s="8">
        <f>IF(G151="","",G151-I151)</f>
        <v/>
      </c>
      <c r="I151" s="8">
        <f>IF(D151="","",VLOOKUP(D151, RECETTES!B:G, 6, FALSE)*E151)</f>
        <v/>
      </c>
      <c r="J151" s="8">
        <f>IF(G151="","",G151*0.20)</f>
        <v/>
      </c>
      <c r="K151" s="8">
        <f>IF(G151="","",G151+J151)</f>
        <v/>
      </c>
    </row>
    <row r="152">
      <c r="F152" s="8" t="n"/>
      <c r="G152" s="8">
        <f>IF(E152="","",E152*F152)</f>
        <v/>
      </c>
      <c r="H152" s="8">
        <f>IF(G152="","",G152-I152)</f>
        <v/>
      </c>
      <c r="I152" s="8">
        <f>IF(D152="","",VLOOKUP(D152, RECETTES!B:G, 6, FALSE)*E152)</f>
        <v/>
      </c>
      <c r="J152" s="8">
        <f>IF(G152="","",G152*0.20)</f>
        <v/>
      </c>
      <c r="K152" s="8">
        <f>IF(G152="","",G152+J152)</f>
        <v/>
      </c>
    </row>
    <row r="153">
      <c r="F153" s="8" t="n"/>
      <c r="G153" s="8">
        <f>IF(E153="","",E153*F153)</f>
        <v/>
      </c>
      <c r="H153" s="8">
        <f>IF(G153="","",G153-I153)</f>
        <v/>
      </c>
      <c r="I153" s="8">
        <f>IF(D153="","",VLOOKUP(D153, RECETTES!B:G, 6, FALSE)*E153)</f>
        <v/>
      </c>
      <c r="J153" s="8">
        <f>IF(G153="","",G153*0.20)</f>
        <v/>
      </c>
      <c r="K153" s="8">
        <f>IF(G153="","",G153+J153)</f>
        <v/>
      </c>
    </row>
    <row r="154">
      <c r="F154" s="8" t="n"/>
      <c r="G154" s="8">
        <f>IF(E154="","",E154*F154)</f>
        <v/>
      </c>
      <c r="H154" s="8">
        <f>IF(G154="","",G154-I154)</f>
        <v/>
      </c>
      <c r="I154" s="8">
        <f>IF(D154="","",VLOOKUP(D154, RECETTES!B:G, 6, FALSE)*E154)</f>
        <v/>
      </c>
      <c r="J154" s="8">
        <f>IF(G154="","",G154*0.20)</f>
        <v/>
      </c>
      <c r="K154" s="8">
        <f>IF(G154="","",G154+J154)</f>
        <v/>
      </c>
    </row>
    <row r="155">
      <c r="F155" s="8" t="n"/>
      <c r="G155" s="8">
        <f>IF(E155="","",E155*F155)</f>
        <v/>
      </c>
      <c r="H155" s="8">
        <f>IF(G155="","",G155-I155)</f>
        <v/>
      </c>
      <c r="I155" s="8">
        <f>IF(D155="","",VLOOKUP(D155, RECETTES!B:G, 6, FALSE)*E155)</f>
        <v/>
      </c>
      <c r="J155" s="8">
        <f>IF(G155="","",G155*0.20)</f>
        <v/>
      </c>
      <c r="K155" s="8">
        <f>IF(G155="","",G155+J155)</f>
        <v/>
      </c>
    </row>
    <row r="156">
      <c r="F156" s="8" t="n"/>
      <c r="G156" s="8">
        <f>IF(E156="","",E156*F156)</f>
        <v/>
      </c>
      <c r="H156" s="8">
        <f>IF(G156="","",G156-I156)</f>
        <v/>
      </c>
      <c r="I156" s="8">
        <f>IF(D156="","",VLOOKUP(D156, RECETTES!B:G, 6, FALSE)*E156)</f>
        <v/>
      </c>
      <c r="J156" s="8">
        <f>IF(G156="","",G156*0.20)</f>
        <v/>
      </c>
      <c r="K156" s="8">
        <f>IF(G156="","",G156+J156)</f>
        <v/>
      </c>
    </row>
    <row r="157">
      <c r="F157" s="8" t="n"/>
      <c r="G157" s="8">
        <f>IF(E157="","",E157*F157)</f>
        <v/>
      </c>
      <c r="H157" s="8">
        <f>IF(G157="","",G157-I157)</f>
        <v/>
      </c>
      <c r="I157" s="8">
        <f>IF(D157="","",VLOOKUP(D157, RECETTES!B:G, 6, FALSE)*E157)</f>
        <v/>
      </c>
      <c r="J157" s="8">
        <f>IF(G157="","",G157*0.20)</f>
        <v/>
      </c>
      <c r="K157" s="8">
        <f>IF(G157="","",G157+J157)</f>
        <v/>
      </c>
    </row>
    <row r="158">
      <c r="F158" s="8" t="n"/>
      <c r="G158" s="8">
        <f>IF(E158="","",E158*F158)</f>
        <v/>
      </c>
      <c r="H158" s="8">
        <f>IF(G158="","",G158-I158)</f>
        <v/>
      </c>
      <c r="I158" s="8">
        <f>IF(D158="","",VLOOKUP(D158, RECETTES!B:G, 6, FALSE)*E158)</f>
        <v/>
      </c>
      <c r="J158" s="8">
        <f>IF(G158="","",G158*0.20)</f>
        <v/>
      </c>
      <c r="K158" s="8">
        <f>IF(G158="","",G158+J158)</f>
        <v/>
      </c>
    </row>
    <row r="159">
      <c r="F159" s="8" t="n"/>
      <c r="G159" s="8">
        <f>IF(E159="","",E159*F159)</f>
        <v/>
      </c>
      <c r="H159" s="8">
        <f>IF(G159="","",G159-I159)</f>
        <v/>
      </c>
      <c r="I159" s="8">
        <f>IF(D159="","",VLOOKUP(D159, RECETTES!B:G, 6, FALSE)*E159)</f>
        <v/>
      </c>
      <c r="J159" s="8">
        <f>IF(G159="","",G159*0.20)</f>
        <v/>
      </c>
      <c r="K159" s="8">
        <f>IF(G159="","",G159+J159)</f>
        <v/>
      </c>
    </row>
    <row r="160">
      <c r="F160" s="8" t="n"/>
      <c r="G160" s="8">
        <f>IF(E160="","",E160*F160)</f>
        <v/>
      </c>
      <c r="H160" s="8">
        <f>IF(G160="","",G160-I160)</f>
        <v/>
      </c>
      <c r="I160" s="8">
        <f>IF(D160="","",VLOOKUP(D160, RECETTES!B:G, 6, FALSE)*E160)</f>
        <v/>
      </c>
      <c r="J160" s="8">
        <f>IF(G160="","",G160*0.20)</f>
        <v/>
      </c>
      <c r="K160" s="8">
        <f>IF(G160="","",G160+J160)</f>
        <v/>
      </c>
    </row>
    <row r="161">
      <c r="F161" s="8" t="n"/>
      <c r="G161" s="8">
        <f>IF(E161="","",E161*F161)</f>
        <v/>
      </c>
      <c r="H161" s="8">
        <f>IF(G161="","",G161-I161)</f>
        <v/>
      </c>
      <c r="I161" s="8">
        <f>IF(D161="","",VLOOKUP(D161, RECETTES!B:G, 6, FALSE)*E161)</f>
        <v/>
      </c>
      <c r="J161" s="8">
        <f>IF(G161="","",G161*0.20)</f>
        <v/>
      </c>
      <c r="K161" s="8">
        <f>IF(G161="","",G161+J161)</f>
        <v/>
      </c>
    </row>
    <row r="162">
      <c r="F162" s="8" t="n"/>
      <c r="G162" s="8">
        <f>IF(E162="","",E162*F162)</f>
        <v/>
      </c>
      <c r="H162" s="8">
        <f>IF(G162="","",G162-I162)</f>
        <v/>
      </c>
      <c r="I162" s="8">
        <f>IF(D162="","",VLOOKUP(D162, RECETTES!B:G, 6, FALSE)*E162)</f>
        <v/>
      </c>
      <c r="J162" s="8">
        <f>IF(G162="","",G162*0.20)</f>
        <v/>
      </c>
      <c r="K162" s="8">
        <f>IF(G162="","",G162+J162)</f>
        <v/>
      </c>
    </row>
    <row r="163">
      <c r="F163" s="8" t="n"/>
      <c r="G163" s="8">
        <f>IF(E163="","",E163*F163)</f>
        <v/>
      </c>
      <c r="H163" s="8">
        <f>IF(G163="","",G163-I163)</f>
        <v/>
      </c>
      <c r="I163" s="8">
        <f>IF(D163="","",VLOOKUP(D163, RECETTES!B:G, 6, FALSE)*E163)</f>
        <v/>
      </c>
      <c r="J163" s="8">
        <f>IF(G163="","",G163*0.20)</f>
        <v/>
      </c>
      <c r="K163" s="8">
        <f>IF(G163="","",G163+J163)</f>
        <v/>
      </c>
    </row>
    <row r="164">
      <c r="F164" s="8" t="n"/>
      <c r="G164" s="8">
        <f>IF(E164="","",E164*F164)</f>
        <v/>
      </c>
      <c r="H164" s="8">
        <f>IF(G164="","",G164-I164)</f>
        <v/>
      </c>
      <c r="I164" s="8">
        <f>IF(D164="","",VLOOKUP(D164, RECETTES!B:G, 6, FALSE)*E164)</f>
        <v/>
      </c>
      <c r="J164" s="8">
        <f>IF(G164="","",G164*0.20)</f>
        <v/>
      </c>
      <c r="K164" s="8">
        <f>IF(G164="","",G164+J164)</f>
        <v/>
      </c>
    </row>
    <row r="165">
      <c r="F165" s="8" t="n"/>
      <c r="G165" s="8">
        <f>IF(E165="","",E165*F165)</f>
        <v/>
      </c>
      <c r="H165" s="8">
        <f>IF(G165="","",G165-I165)</f>
        <v/>
      </c>
      <c r="I165" s="8">
        <f>IF(D165="","",VLOOKUP(D165, RECETTES!B:G, 6, FALSE)*E165)</f>
        <v/>
      </c>
      <c r="J165" s="8">
        <f>IF(G165="","",G165*0.20)</f>
        <v/>
      </c>
      <c r="K165" s="8">
        <f>IF(G165="","",G165+J165)</f>
        <v/>
      </c>
    </row>
    <row r="166">
      <c r="F166" s="8" t="n"/>
      <c r="G166" s="8">
        <f>IF(E166="","",E166*F166)</f>
        <v/>
      </c>
      <c r="H166" s="8">
        <f>IF(G166="","",G166-I166)</f>
        <v/>
      </c>
      <c r="I166" s="8">
        <f>IF(D166="","",VLOOKUP(D166, RECETTES!B:G, 6, FALSE)*E166)</f>
        <v/>
      </c>
      <c r="J166" s="8">
        <f>IF(G166="","",G166*0.20)</f>
        <v/>
      </c>
      <c r="K166" s="8">
        <f>IF(G166="","",G166+J166)</f>
        <v/>
      </c>
    </row>
    <row r="167">
      <c r="F167" s="8" t="n"/>
      <c r="G167" s="8">
        <f>IF(E167="","",E167*F167)</f>
        <v/>
      </c>
      <c r="H167" s="8">
        <f>IF(G167="","",G167-I167)</f>
        <v/>
      </c>
      <c r="I167" s="8">
        <f>IF(D167="","",VLOOKUP(D167, RECETTES!B:G, 6, FALSE)*E167)</f>
        <v/>
      </c>
      <c r="J167" s="8">
        <f>IF(G167="","",G167*0.20)</f>
        <v/>
      </c>
      <c r="K167" s="8">
        <f>IF(G167="","",G167+J167)</f>
        <v/>
      </c>
    </row>
    <row r="168">
      <c r="F168" s="8" t="n"/>
      <c r="G168" s="8">
        <f>IF(E168="","",E168*F168)</f>
        <v/>
      </c>
      <c r="H168" s="8">
        <f>IF(G168="","",G168-I168)</f>
        <v/>
      </c>
      <c r="I168" s="8">
        <f>IF(D168="","",VLOOKUP(D168, RECETTES!B:G, 6, FALSE)*E168)</f>
        <v/>
      </c>
      <c r="J168" s="8">
        <f>IF(G168="","",G168*0.20)</f>
        <v/>
      </c>
      <c r="K168" s="8">
        <f>IF(G168="","",G168+J168)</f>
        <v/>
      </c>
    </row>
    <row r="169">
      <c r="F169" s="8" t="n"/>
      <c r="G169" s="8">
        <f>IF(E169="","",E169*F169)</f>
        <v/>
      </c>
      <c r="H169" s="8">
        <f>IF(G169="","",G169-I169)</f>
        <v/>
      </c>
      <c r="I169" s="8">
        <f>IF(D169="","",VLOOKUP(D169, RECETTES!B:G, 6, FALSE)*E169)</f>
        <v/>
      </c>
      <c r="J169" s="8">
        <f>IF(G169="","",G169*0.20)</f>
        <v/>
      </c>
      <c r="K169" s="8">
        <f>IF(G169="","",G169+J169)</f>
        <v/>
      </c>
    </row>
    <row r="170">
      <c r="F170" s="8" t="n"/>
      <c r="G170" s="8">
        <f>IF(E170="","",E170*F170)</f>
        <v/>
      </c>
      <c r="H170" s="8">
        <f>IF(G170="","",G170-I170)</f>
        <v/>
      </c>
      <c r="I170" s="8">
        <f>IF(D170="","",VLOOKUP(D170, RECETTES!B:G, 6, FALSE)*E170)</f>
        <v/>
      </c>
      <c r="J170" s="8">
        <f>IF(G170="","",G170*0.20)</f>
        <v/>
      </c>
      <c r="K170" s="8">
        <f>IF(G170="","",G170+J170)</f>
        <v/>
      </c>
    </row>
    <row r="171">
      <c r="F171" s="8" t="n"/>
      <c r="G171" s="8">
        <f>IF(E171="","",E171*F171)</f>
        <v/>
      </c>
      <c r="H171" s="8">
        <f>IF(G171="","",G171-I171)</f>
        <v/>
      </c>
      <c r="I171" s="8">
        <f>IF(D171="","",VLOOKUP(D171, RECETTES!B:G, 6, FALSE)*E171)</f>
        <v/>
      </c>
      <c r="J171" s="8">
        <f>IF(G171="","",G171*0.20)</f>
        <v/>
      </c>
      <c r="K171" s="8">
        <f>IF(G171="","",G171+J171)</f>
        <v/>
      </c>
    </row>
    <row r="172">
      <c r="F172" s="8" t="n"/>
      <c r="G172" s="8">
        <f>IF(E172="","",E172*F172)</f>
        <v/>
      </c>
      <c r="H172" s="8">
        <f>IF(G172="","",G172-I172)</f>
        <v/>
      </c>
      <c r="I172" s="8">
        <f>IF(D172="","",VLOOKUP(D172, RECETTES!B:G, 6, FALSE)*E172)</f>
        <v/>
      </c>
      <c r="J172" s="8">
        <f>IF(G172="","",G172*0.20)</f>
        <v/>
      </c>
      <c r="K172" s="8">
        <f>IF(G172="","",G172+J172)</f>
        <v/>
      </c>
    </row>
    <row r="173">
      <c r="F173" s="8" t="n"/>
      <c r="G173" s="8">
        <f>IF(E173="","",E173*F173)</f>
        <v/>
      </c>
      <c r="H173" s="8">
        <f>IF(G173="","",G173-I173)</f>
        <v/>
      </c>
      <c r="I173" s="8">
        <f>IF(D173="","",VLOOKUP(D173, RECETTES!B:G, 6, FALSE)*E173)</f>
        <v/>
      </c>
      <c r="J173" s="8">
        <f>IF(G173="","",G173*0.20)</f>
        <v/>
      </c>
      <c r="K173" s="8">
        <f>IF(G173="","",G173+J173)</f>
        <v/>
      </c>
    </row>
    <row r="174">
      <c r="F174" s="8" t="n"/>
      <c r="G174" s="8">
        <f>IF(E174="","",E174*F174)</f>
        <v/>
      </c>
      <c r="H174" s="8">
        <f>IF(G174="","",G174-I174)</f>
        <v/>
      </c>
      <c r="I174" s="8">
        <f>IF(D174="","",VLOOKUP(D174, RECETTES!B:G, 6, FALSE)*E174)</f>
        <v/>
      </c>
      <c r="J174" s="8">
        <f>IF(G174="","",G174*0.20)</f>
        <v/>
      </c>
      <c r="K174" s="8">
        <f>IF(G174="","",G174+J174)</f>
        <v/>
      </c>
    </row>
    <row r="175">
      <c r="F175" s="8" t="n"/>
      <c r="G175" s="8">
        <f>IF(E175="","",E175*F175)</f>
        <v/>
      </c>
      <c r="H175" s="8">
        <f>IF(G175="","",G175-I175)</f>
        <v/>
      </c>
      <c r="I175" s="8">
        <f>IF(D175="","",VLOOKUP(D175, RECETTES!B:G, 6, FALSE)*E175)</f>
        <v/>
      </c>
      <c r="J175" s="8">
        <f>IF(G175="","",G175*0.20)</f>
        <v/>
      </c>
      <c r="K175" s="8">
        <f>IF(G175="","",G175+J175)</f>
        <v/>
      </c>
    </row>
    <row r="176">
      <c r="F176" s="8" t="n"/>
      <c r="G176" s="8">
        <f>IF(E176="","",E176*F176)</f>
        <v/>
      </c>
      <c r="H176" s="8">
        <f>IF(G176="","",G176-I176)</f>
        <v/>
      </c>
      <c r="I176" s="8">
        <f>IF(D176="","",VLOOKUP(D176, RECETTES!B:G, 6, FALSE)*E176)</f>
        <v/>
      </c>
      <c r="J176" s="8">
        <f>IF(G176="","",G176*0.20)</f>
        <v/>
      </c>
      <c r="K176" s="8">
        <f>IF(G176="","",G176+J176)</f>
        <v/>
      </c>
    </row>
    <row r="177">
      <c r="F177" s="8" t="n"/>
      <c r="G177" s="8">
        <f>IF(E177="","",E177*F177)</f>
        <v/>
      </c>
      <c r="H177" s="8">
        <f>IF(G177="","",G177-I177)</f>
        <v/>
      </c>
      <c r="I177" s="8">
        <f>IF(D177="","",VLOOKUP(D177, RECETTES!B:G, 6, FALSE)*E177)</f>
        <v/>
      </c>
      <c r="J177" s="8">
        <f>IF(G177="","",G177*0.20)</f>
        <v/>
      </c>
      <c r="K177" s="8">
        <f>IF(G177="","",G177+J177)</f>
        <v/>
      </c>
    </row>
    <row r="178">
      <c r="F178" s="8" t="n"/>
      <c r="G178" s="8">
        <f>IF(E178="","",E178*F178)</f>
        <v/>
      </c>
      <c r="H178" s="8">
        <f>IF(G178="","",G178-I178)</f>
        <v/>
      </c>
      <c r="I178" s="8">
        <f>IF(D178="","",VLOOKUP(D178, RECETTES!B:G, 6, FALSE)*E178)</f>
        <v/>
      </c>
      <c r="J178" s="8">
        <f>IF(G178="","",G178*0.20)</f>
        <v/>
      </c>
      <c r="K178" s="8">
        <f>IF(G178="","",G178+J178)</f>
        <v/>
      </c>
    </row>
    <row r="179">
      <c r="F179" s="8" t="n"/>
      <c r="G179" s="8">
        <f>IF(E179="","",E179*F179)</f>
        <v/>
      </c>
      <c r="H179" s="8">
        <f>IF(G179="","",G179-I179)</f>
        <v/>
      </c>
      <c r="I179" s="8">
        <f>IF(D179="","",VLOOKUP(D179, RECETTES!B:G, 6, FALSE)*E179)</f>
        <v/>
      </c>
      <c r="J179" s="8">
        <f>IF(G179="","",G179*0.20)</f>
        <v/>
      </c>
      <c r="K179" s="8">
        <f>IF(G179="","",G179+J179)</f>
        <v/>
      </c>
    </row>
    <row r="180">
      <c r="F180" s="8" t="n"/>
      <c r="G180" s="8">
        <f>IF(E180="","",E180*F180)</f>
        <v/>
      </c>
      <c r="H180" s="8">
        <f>IF(G180="","",G180-I180)</f>
        <v/>
      </c>
      <c r="I180" s="8">
        <f>IF(D180="","",VLOOKUP(D180, RECETTES!B:G, 6, FALSE)*E180)</f>
        <v/>
      </c>
      <c r="J180" s="8">
        <f>IF(G180="","",G180*0.20)</f>
        <v/>
      </c>
      <c r="K180" s="8">
        <f>IF(G180="","",G180+J180)</f>
        <v/>
      </c>
    </row>
    <row r="181">
      <c r="F181" s="8" t="n"/>
      <c r="G181" s="8">
        <f>IF(E181="","",E181*F181)</f>
        <v/>
      </c>
      <c r="H181" s="8">
        <f>IF(G181="","",G181-I181)</f>
        <v/>
      </c>
      <c r="I181" s="8">
        <f>IF(D181="","",VLOOKUP(D181, RECETTES!B:G, 6, FALSE)*E181)</f>
        <v/>
      </c>
      <c r="J181" s="8">
        <f>IF(G181="","",G181*0.20)</f>
        <v/>
      </c>
      <c r="K181" s="8">
        <f>IF(G181="","",G181+J181)</f>
        <v/>
      </c>
    </row>
    <row r="182">
      <c r="F182" s="8" t="n"/>
      <c r="G182" s="8">
        <f>IF(E182="","",E182*F182)</f>
        <v/>
      </c>
      <c r="H182" s="8">
        <f>IF(G182="","",G182-I182)</f>
        <v/>
      </c>
      <c r="I182" s="8">
        <f>IF(D182="","",VLOOKUP(D182, RECETTES!B:G, 6, FALSE)*E182)</f>
        <v/>
      </c>
      <c r="J182" s="8">
        <f>IF(G182="","",G182*0.20)</f>
        <v/>
      </c>
      <c r="K182" s="8">
        <f>IF(G182="","",G182+J182)</f>
        <v/>
      </c>
    </row>
    <row r="183">
      <c r="F183" s="8" t="n"/>
      <c r="G183" s="8">
        <f>IF(E183="","",E183*F183)</f>
        <v/>
      </c>
      <c r="H183" s="8">
        <f>IF(G183="","",G183-I183)</f>
        <v/>
      </c>
      <c r="I183" s="8">
        <f>IF(D183="","",VLOOKUP(D183, RECETTES!B:G, 6, FALSE)*E183)</f>
        <v/>
      </c>
      <c r="J183" s="8">
        <f>IF(G183="","",G183*0.20)</f>
        <v/>
      </c>
      <c r="K183" s="8">
        <f>IF(G183="","",G183+J183)</f>
        <v/>
      </c>
    </row>
    <row r="184">
      <c r="F184" s="8" t="n"/>
      <c r="G184" s="8">
        <f>IF(E184="","",E184*F184)</f>
        <v/>
      </c>
      <c r="H184" s="8">
        <f>IF(G184="","",G184-I184)</f>
        <v/>
      </c>
      <c r="I184" s="8">
        <f>IF(D184="","",VLOOKUP(D184, RECETTES!B:G, 6, FALSE)*E184)</f>
        <v/>
      </c>
      <c r="J184" s="8">
        <f>IF(G184="","",G184*0.20)</f>
        <v/>
      </c>
      <c r="K184" s="8">
        <f>IF(G184="","",G184+J184)</f>
        <v/>
      </c>
    </row>
    <row r="185">
      <c r="F185" s="8" t="n"/>
      <c r="G185" s="8">
        <f>IF(E185="","",E185*F185)</f>
        <v/>
      </c>
      <c r="H185" s="8">
        <f>IF(G185="","",G185-I185)</f>
        <v/>
      </c>
      <c r="I185" s="8">
        <f>IF(D185="","",VLOOKUP(D185, RECETTES!B:G, 6, FALSE)*E185)</f>
        <v/>
      </c>
      <c r="J185" s="8">
        <f>IF(G185="","",G185*0.20)</f>
        <v/>
      </c>
      <c r="K185" s="8">
        <f>IF(G185="","",G185+J185)</f>
        <v/>
      </c>
    </row>
    <row r="186">
      <c r="F186" s="8" t="n"/>
      <c r="G186" s="8">
        <f>IF(E186="","",E186*F186)</f>
        <v/>
      </c>
      <c r="H186" s="8">
        <f>IF(G186="","",G186-I186)</f>
        <v/>
      </c>
      <c r="I186" s="8">
        <f>IF(D186="","",VLOOKUP(D186, RECETTES!B:G, 6, FALSE)*E186)</f>
        <v/>
      </c>
      <c r="J186" s="8">
        <f>IF(G186="","",G186*0.20)</f>
        <v/>
      </c>
      <c r="K186" s="8">
        <f>IF(G186="","",G186+J186)</f>
        <v/>
      </c>
    </row>
    <row r="187">
      <c r="F187" s="8" t="n"/>
      <c r="G187" s="8">
        <f>IF(E187="","",E187*F187)</f>
        <v/>
      </c>
      <c r="H187" s="8">
        <f>IF(G187="","",G187-I187)</f>
        <v/>
      </c>
      <c r="I187" s="8">
        <f>IF(D187="","",VLOOKUP(D187, RECETTES!B:G, 6, FALSE)*E187)</f>
        <v/>
      </c>
      <c r="J187" s="8">
        <f>IF(G187="","",G187*0.20)</f>
        <v/>
      </c>
      <c r="K187" s="8">
        <f>IF(G187="","",G187+J187)</f>
        <v/>
      </c>
    </row>
    <row r="188">
      <c r="F188" s="8" t="n"/>
      <c r="G188" s="8">
        <f>IF(E188="","",E188*F188)</f>
        <v/>
      </c>
      <c r="H188" s="8">
        <f>IF(G188="","",G188-I188)</f>
        <v/>
      </c>
      <c r="I188" s="8">
        <f>IF(D188="","",VLOOKUP(D188, RECETTES!B:G, 6, FALSE)*E188)</f>
        <v/>
      </c>
      <c r="J188" s="8">
        <f>IF(G188="","",G188*0.20)</f>
        <v/>
      </c>
      <c r="K188" s="8">
        <f>IF(G188="","",G188+J188)</f>
        <v/>
      </c>
    </row>
    <row r="189">
      <c r="F189" s="8" t="n"/>
      <c r="G189" s="8">
        <f>IF(E189="","",E189*F189)</f>
        <v/>
      </c>
      <c r="H189" s="8">
        <f>IF(G189="","",G189-I189)</f>
        <v/>
      </c>
      <c r="I189" s="8">
        <f>IF(D189="","",VLOOKUP(D189, RECETTES!B:G, 6, FALSE)*E189)</f>
        <v/>
      </c>
      <c r="J189" s="8">
        <f>IF(G189="","",G189*0.20)</f>
        <v/>
      </c>
      <c r="K189" s="8">
        <f>IF(G189="","",G189+J189)</f>
        <v/>
      </c>
    </row>
    <row r="190">
      <c r="F190" s="8" t="n"/>
      <c r="G190" s="8">
        <f>IF(E190="","",E190*F190)</f>
        <v/>
      </c>
      <c r="H190" s="8">
        <f>IF(G190="","",G190-I190)</f>
        <v/>
      </c>
      <c r="I190" s="8">
        <f>IF(D190="","",VLOOKUP(D190, RECETTES!B:G, 6, FALSE)*E190)</f>
        <v/>
      </c>
      <c r="J190" s="8">
        <f>IF(G190="","",G190*0.20)</f>
        <v/>
      </c>
      <c r="K190" s="8">
        <f>IF(G190="","",G190+J190)</f>
        <v/>
      </c>
    </row>
    <row r="191">
      <c r="F191" s="8" t="n"/>
      <c r="G191" s="8">
        <f>IF(E191="","",E191*F191)</f>
        <v/>
      </c>
      <c r="H191" s="8">
        <f>IF(G191="","",G191-I191)</f>
        <v/>
      </c>
      <c r="I191" s="8">
        <f>IF(D191="","",VLOOKUP(D191, RECETTES!B:G, 6, FALSE)*E191)</f>
        <v/>
      </c>
      <c r="J191" s="8">
        <f>IF(G191="","",G191*0.20)</f>
        <v/>
      </c>
      <c r="K191" s="8">
        <f>IF(G191="","",G191+J191)</f>
        <v/>
      </c>
    </row>
    <row r="192">
      <c r="F192" s="8" t="n"/>
      <c r="G192" s="8">
        <f>IF(E192="","",E192*F192)</f>
        <v/>
      </c>
      <c r="H192" s="8">
        <f>IF(G192="","",G192-I192)</f>
        <v/>
      </c>
      <c r="I192" s="8">
        <f>IF(D192="","",VLOOKUP(D192, RECETTES!B:G, 6, FALSE)*E192)</f>
        <v/>
      </c>
      <c r="J192" s="8">
        <f>IF(G192="","",G192*0.20)</f>
        <v/>
      </c>
      <c r="K192" s="8">
        <f>IF(G192="","",G192+J192)</f>
        <v/>
      </c>
    </row>
    <row r="193">
      <c r="F193" s="8" t="n"/>
      <c r="G193" s="8">
        <f>IF(E193="","",E193*F193)</f>
        <v/>
      </c>
      <c r="H193" s="8">
        <f>IF(G193="","",G193-I193)</f>
        <v/>
      </c>
      <c r="I193" s="8">
        <f>IF(D193="","",VLOOKUP(D193, RECETTES!B:G, 6, FALSE)*E193)</f>
        <v/>
      </c>
      <c r="J193" s="8">
        <f>IF(G193="","",G193*0.20)</f>
        <v/>
      </c>
      <c r="K193" s="8">
        <f>IF(G193="","",G193+J193)</f>
        <v/>
      </c>
    </row>
    <row r="194">
      <c r="F194" s="8" t="n"/>
      <c r="G194" s="8">
        <f>IF(E194="","",E194*F194)</f>
        <v/>
      </c>
      <c r="H194" s="8">
        <f>IF(G194="","",G194-I194)</f>
        <v/>
      </c>
      <c r="I194" s="8">
        <f>IF(D194="","",VLOOKUP(D194, RECETTES!B:G, 6, FALSE)*E194)</f>
        <v/>
      </c>
      <c r="J194" s="8">
        <f>IF(G194="","",G194*0.20)</f>
        <v/>
      </c>
      <c r="K194" s="8">
        <f>IF(G194="","",G194+J194)</f>
        <v/>
      </c>
    </row>
    <row r="195">
      <c r="F195" s="8" t="n"/>
      <c r="G195" s="8">
        <f>IF(E195="","",E195*F195)</f>
        <v/>
      </c>
      <c r="H195" s="8">
        <f>IF(G195="","",G195-I195)</f>
        <v/>
      </c>
      <c r="I195" s="8">
        <f>IF(D195="","",VLOOKUP(D195, RECETTES!B:G, 6, FALSE)*E195)</f>
        <v/>
      </c>
      <c r="J195" s="8">
        <f>IF(G195="","",G195*0.20)</f>
        <v/>
      </c>
      <c r="K195" s="8">
        <f>IF(G195="","",G195+J195)</f>
        <v/>
      </c>
    </row>
    <row r="196">
      <c r="F196" s="8" t="n"/>
      <c r="G196" s="8">
        <f>IF(E196="","",E196*F196)</f>
        <v/>
      </c>
      <c r="H196" s="8">
        <f>IF(G196="","",G196-I196)</f>
        <v/>
      </c>
      <c r="I196" s="8">
        <f>IF(D196="","",VLOOKUP(D196, RECETTES!B:G, 6, FALSE)*E196)</f>
        <v/>
      </c>
      <c r="J196" s="8">
        <f>IF(G196="","",G196*0.20)</f>
        <v/>
      </c>
      <c r="K196" s="8">
        <f>IF(G196="","",G196+J196)</f>
        <v/>
      </c>
    </row>
    <row r="197">
      <c r="F197" s="8" t="n"/>
      <c r="G197" s="8">
        <f>IF(E197="","",E197*F197)</f>
        <v/>
      </c>
      <c r="H197" s="8">
        <f>IF(G197="","",G197-I197)</f>
        <v/>
      </c>
      <c r="I197" s="8">
        <f>IF(D197="","",VLOOKUP(D197, RECETTES!B:G, 6, FALSE)*E197)</f>
        <v/>
      </c>
      <c r="J197" s="8">
        <f>IF(G197="","",G197*0.20)</f>
        <v/>
      </c>
      <c r="K197" s="8">
        <f>IF(G197="","",G197+J197)</f>
        <v/>
      </c>
    </row>
    <row r="198">
      <c r="F198" s="8" t="n"/>
      <c r="G198" s="8">
        <f>IF(E198="","",E198*F198)</f>
        <v/>
      </c>
      <c r="H198" s="8">
        <f>IF(G198="","",G198-I198)</f>
        <v/>
      </c>
      <c r="I198" s="8">
        <f>IF(D198="","",VLOOKUP(D198, RECETTES!B:G, 6, FALSE)*E198)</f>
        <v/>
      </c>
      <c r="J198" s="8">
        <f>IF(G198="","",G198*0.20)</f>
        <v/>
      </c>
      <c r="K198" s="8">
        <f>IF(G198="","",G198+J198)</f>
        <v/>
      </c>
    </row>
    <row r="199">
      <c r="F199" s="8" t="n"/>
      <c r="G199" s="8">
        <f>IF(E199="","",E199*F199)</f>
        <v/>
      </c>
      <c r="H199" s="8">
        <f>IF(G199="","",G199-I199)</f>
        <v/>
      </c>
      <c r="I199" s="8">
        <f>IF(D199="","",VLOOKUP(D199, RECETTES!B:G, 6, FALSE)*E199)</f>
        <v/>
      </c>
      <c r="J199" s="8">
        <f>IF(G199="","",G199*0.20)</f>
        <v/>
      </c>
      <c r="K199" s="8">
        <f>IF(G199="","",G199+J199)</f>
        <v/>
      </c>
    </row>
    <row r="200">
      <c r="F200" s="8" t="n"/>
      <c r="G200" s="8">
        <f>IF(E200="","",E200*F200)</f>
        <v/>
      </c>
      <c r="H200" s="8">
        <f>IF(G200="","",G200-I200)</f>
        <v/>
      </c>
      <c r="I200" s="8">
        <f>IF(D200="","",VLOOKUP(D200, RECETTES!B:G, 6, FALSE)*E200)</f>
        <v/>
      </c>
      <c r="J200" s="8">
        <f>IF(G200="","",G200*0.20)</f>
        <v/>
      </c>
      <c r="K200" s="8">
        <f>IF(G200="","",G200+J200)</f>
        <v/>
      </c>
    </row>
    <row r="201">
      <c r="F201" s="8" t="n"/>
      <c r="G201" s="8">
        <f>IF(E201="","",E201*F201)</f>
        <v/>
      </c>
      <c r="H201" s="8">
        <f>IF(G201="","",G201-I201)</f>
        <v/>
      </c>
      <c r="I201" s="8">
        <f>IF(D201="","",VLOOKUP(D201, RECETTES!B:G, 6, FALSE)*E201)</f>
        <v/>
      </c>
      <c r="J201" s="8">
        <f>IF(G201="","",G201*0.20)</f>
        <v/>
      </c>
      <c r="K201" s="8">
        <f>IF(G201="","",G201+J201)</f>
        <v/>
      </c>
    </row>
    <row r="202">
      <c r="F202" s="8" t="n"/>
      <c r="G202" s="8">
        <f>IF(E202="","",E202*F202)</f>
        <v/>
      </c>
      <c r="H202" s="8">
        <f>IF(G202="","",G202-I202)</f>
        <v/>
      </c>
      <c r="I202" s="8">
        <f>IF(D202="","",VLOOKUP(D202, RECETTES!B:G, 6, FALSE)*E202)</f>
        <v/>
      </c>
      <c r="J202" s="8">
        <f>IF(G202="","",G202*0.20)</f>
        <v/>
      </c>
      <c r="K202" s="8">
        <f>IF(G202="","",G202+J202)</f>
        <v/>
      </c>
    </row>
    <row r="203">
      <c r="F203" s="8" t="n"/>
      <c r="G203" s="8">
        <f>IF(E203="","",E203*F203)</f>
        <v/>
      </c>
      <c r="H203" s="8">
        <f>IF(G203="","",G203-I203)</f>
        <v/>
      </c>
      <c r="I203" s="8">
        <f>IF(D203="","",VLOOKUP(D203, RECETTES!B:G, 6, FALSE)*E203)</f>
        <v/>
      </c>
      <c r="J203" s="8">
        <f>IF(G203="","",G203*0.20)</f>
        <v/>
      </c>
      <c r="K203" s="8">
        <f>IF(G203="","",G203+J203)</f>
        <v/>
      </c>
    </row>
    <row r="204">
      <c r="F204" s="8" t="n"/>
      <c r="G204" s="8">
        <f>IF(E204="","",E204*F204)</f>
        <v/>
      </c>
      <c r="H204" s="8">
        <f>IF(G204="","",G204-I204)</f>
        <v/>
      </c>
      <c r="I204" s="8">
        <f>IF(D204="","",VLOOKUP(D204, RECETTES!B:G, 6, FALSE)*E204)</f>
        <v/>
      </c>
      <c r="J204" s="8">
        <f>IF(G204="","",G204*0.20)</f>
        <v/>
      </c>
      <c r="K204" s="8">
        <f>IF(G204="","",G204+J204)</f>
        <v/>
      </c>
    </row>
    <row r="205">
      <c r="F205" s="8" t="n"/>
      <c r="G205" s="8">
        <f>IF(E205="","",E205*F205)</f>
        <v/>
      </c>
      <c r="H205" s="8">
        <f>IF(G205="","",G205-I205)</f>
        <v/>
      </c>
      <c r="I205" s="8">
        <f>IF(D205="","",VLOOKUP(D205, RECETTES!B:G, 6, FALSE)*E205)</f>
        <v/>
      </c>
      <c r="J205" s="8">
        <f>IF(G205="","",G205*0.20)</f>
        <v/>
      </c>
      <c r="K205" s="8">
        <f>IF(G205="","",G205+J205)</f>
        <v/>
      </c>
    </row>
    <row r="206">
      <c r="F206" s="8" t="n"/>
      <c r="G206" s="8">
        <f>IF(E206="","",E206*F206)</f>
        <v/>
      </c>
      <c r="H206" s="8">
        <f>IF(G206="","",G206-I206)</f>
        <v/>
      </c>
      <c r="I206" s="8">
        <f>IF(D206="","",VLOOKUP(D206, RECETTES!B:G, 6, FALSE)*E206)</f>
        <v/>
      </c>
      <c r="J206" s="8">
        <f>IF(G206="","",G206*0.20)</f>
        <v/>
      </c>
      <c r="K206" s="8">
        <f>IF(G206="","",G206+J206)</f>
        <v/>
      </c>
    </row>
    <row r="207">
      <c r="F207" s="8" t="n"/>
      <c r="G207" s="8">
        <f>IF(E207="","",E207*F207)</f>
        <v/>
      </c>
      <c r="H207" s="8">
        <f>IF(G207="","",G207-I207)</f>
        <v/>
      </c>
      <c r="I207" s="8">
        <f>IF(D207="","",VLOOKUP(D207, RECETTES!B:G, 6, FALSE)*E207)</f>
        <v/>
      </c>
      <c r="J207" s="8">
        <f>IF(G207="","",G207*0.20)</f>
        <v/>
      </c>
      <c r="K207" s="8">
        <f>IF(G207="","",G207+J207)</f>
        <v/>
      </c>
    </row>
    <row r="208">
      <c r="F208" s="8" t="n"/>
      <c r="G208" s="8">
        <f>IF(E208="","",E208*F208)</f>
        <v/>
      </c>
      <c r="H208" s="8">
        <f>IF(G208="","",G208-I208)</f>
        <v/>
      </c>
      <c r="I208" s="8">
        <f>IF(D208="","",VLOOKUP(D208, RECETTES!B:G, 6, FALSE)*E208)</f>
        <v/>
      </c>
      <c r="J208" s="8">
        <f>IF(G208="","",G208*0.20)</f>
        <v/>
      </c>
      <c r="K208" s="8">
        <f>IF(G208="","",G208+J208)</f>
        <v/>
      </c>
    </row>
    <row r="209">
      <c r="F209" s="8" t="n"/>
      <c r="G209" s="8">
        <f>IF(E209="","",E209*F209)</f>
        <v/>
      </c>
      <c r="H209" s="8">
        <f>IF(G209="","",G209-I209)</f>
        <v/>
      </c>
      <c r="I209" s="8">
        <f>IF(D209="","",VLOOKUP(D209, RECETTES!B:G, 6, FALSE)*E209)</f>
        <v/>
      </c>
      <c r="J209" s="8">
        <f>IF(G209="","",G209*0.20)</f>
        <v/>
      </c>
      <c r="K209" s="8">
        <f>IF(G209="","",G209+J209)</f>
        <v/>
      </c>
    </row>
    <row r="210">
      <c r="F210" s="8" t="n"/>
      <c r="G210" s="8">
        <f>IF(E210="","",E210*F210)</f>
        <v/>
      </c>
      <c r="H210" s="8">
        <f>IF(G210="","",G210-I210)</f>
        <v/>
      </c>
      <c r="I210" s="8">
        <f>IF(D210="","",VLOOKUP(D210, RECETTES!B:G, 6, FALSE)*E210)</f>
        <v/>
      </c>
      <c r="J210" s="8">
        <f>IF(G210="","",G210*0.20)</f>
        <v/>
      </c>
      <c r="K210" s="8">
        <f>IF(G210="","",G210+J210)</f>
        <v/>
      </c>
    </row>
    <row r="211">
      <c r="F211" s="8" t="n"/>
      <c r="G211" s="8">
        <f>IF(E211="","",E211*F211)</f>
        <v/>
      </c>
      <c r="H211" s="8">
        <f>IF(G211="","",G211-I211)</f>
        <v/>
      </c>
      <c r="I211" s="8">
        <f>IF(D211="","",VLOOKUP(D211, RECETTES!B:G, 6, FALSE)*E211)</f>
        <v/>
      </c>
      <c r="J211" s="8">
        <f>IF(G211="","",G211*0.20)</f>
        <v/>
      </c>
      <c r="K211" s="8">
        <f>IF(G211="","",G211+J211)</f>
        <v/>
      </c>
    </row>
    <row r="212">
      <c r="F212" s="8" t="n"/>
      <c r="G212" s="8">
        <f>IF(E212="","",E212*F212)</f>
        <v/>
      </c>
      <c r="H212" s="8">
        <f>IF(G212="","",G212-I212)</f>
        <v/>
      </c>
      <c r="I212" s="8">
        <f>IF(D212="","",VLOOKUP(D212, RECETTES!B:G, 6, FALSE)*E212)</f>
        <v/>
      </c>
      <c r="J212" s="8">
        <f>IF(G212="","",G212*0.20)</f>
        <v/>
      </c>
      <c r="K212" s="8">
        <f>IF(G212="","",G212+J212)</f>
        <v/>
      </c>
    </row>
    <row r="213">
      <c r="F213" s="8" t="n"/>
      <c r="G213" s="8">
        <f>IF(E213="","",E213*F213)</f>
        <v/>
      </c>
      <c r="H213" s="8">
        <f>IF(G213="","",G213-I213)</f>
        <v/>
      </c>
      <c r="I213" s="8">
        <f>IF(D213="","",VLOOKUP(D213, RECETTES!B:G, 6, FALSE)*E213)</f>
        <v/>
      </c>
      <c r="J213" s="8">
        <f>IF(G213="","",G213*0.20)</f>
        <v/>
      </c>
      <c r="K213" s="8">
        <f>IF(G213="","",G213+J213)</f>
        <v/>
      </c>
    </row>
    <row r="214">
      <c r="F214" s="8" t="n"/>
      <c r="G214" s="8">
        <f>IF(E214="","",E214*F214)</f>
        <v/>
      </c>
      <c r="H214" s="8">
        <f>IF(G214="","",G214-I214)</f>
        <v/>
      </c>
      <c r="I214" s="8">
        <f>IF(D214="","",VLOOKUP(D214, RECETTES!B:G, 6, FALSE)*E214)</f>
        <v/>
      </c>
      <c r="J214" s="8">
        <f>IF(G214="","",G214*0.20)</f>
        <v/>
      </c>
      <c r="K214" s="8">
        <f>IF(G214="","",G214+J214)</f>
        <v/>
      </c>
    </row>
    <row r="215">
      <c r="F215" s="8" t="n"/>
      <c r="G215" s="8">
        <f>IF(E215="","",E215*F215)</f>
        <v/>
      </c>
      <c r="H215" s="8">
        <f>IF(G215="","",G215-I215)</f>
        <v/>
      </c>
      <c r="I215" s="8">
        <f>IF(D215="","",VLOOKUP(D215, RECETTES!B:G, 6, FALSE)*E215)</f>
        <v/>
      </c>
      <c r="J215" s="8">
        <f>IF(G215="","",G215*0.20)</f>
        <v/>
      </c>
      <c r="K215" s="8">
        <f>IF(G215="","",G215+J215)</f>
        <v/>
      </c>
    </row>
    <row r="216">
      <c r="F216" s="8" t="n"/>
      <c r="G216" s="8">
        <f>IF(E216="","",E216*F216)</f>
        <v/>
      </c>
      <c r="H216" s="8">
        <f>IF(G216="","",G216-I216)</f>
        <v/>
      </c>
      <c r="I216" s="8">
        <f>IF(D216="","",VLOOKUP(D216, RECETTES!B:G, 6, FALSE)*E216)</f>
        <v/>
      </c>
      <c r="J216" s="8">
        <f>IF(G216="","",G216*0.20)</f>
        <v/>
      </c>
      <c r="K216" s="8">
        <f>IF(G216="","",G216+J216)</f>
        <v/>
      </c>
    </row>
    <row r="217">
      <c r="F217" s="8" t="n"/>
      <c r="G217" s="8">
        <f>IF(E217="","",E217*F217)</f>
        <v/>
      </c>
      <c r="H217" s="8">
        <f>IF(G217="","",G217-I217)</f>
        <v/>
      </c>
      <c r="I217" s="8">
        <f>IF(D217="","",VLOOKUP(D217, RECETTES!B:G, 6, FALSE)*E217)</f>
        <v/>
      </c>
      <c r="J217" s="8">
        <f>IF(G217="","",G217*0.20)</f>
        <v/>
      </c>
      <c r="K217" s="8">
        <f>IF(G217="","",G217+J217)</f>
        <v/>
      </c>
    </row>
    <row r="218">
      <c r="F218" s="8" t="n"/>
      <c r="G218" s="8">
        <f>IF(E218="","",E218*F218)</f>
        <v/>
      </c>
      <c r="H218" s="8">
        <f>IF(G218="","",G218-I218)</f>
        <v/>
      </c>
      <c r="I218" s="8">
        <f>IF(D218="","",VLOOKUP(D218, RECETTES!B:G, 6, FALSE)*E218)</f>
        <v/>
      </c>
      <c r="J218" s="8">
        <f>IF(G218="","",G218*0.20)</f>
        <v/>
      </c>
      <c r="K218" s="8">
        <f>IF(G218="","",G218+J218)</f>
        <v/>
      </c>
    </row>
    <row r="219">
      <c r="F219" s="8" t="n"/>
      <c r="G219" s="8">
        <f>IF(E219="","",E219*F219)</f>
        <v/>
      </c>
      <c r="H219" s="8">
        <f>IF(G219="","",G219-I219)</f>
        <v/>
      </c>
      <c r="I219" s="8">
        <f>IF(D219="","",VLOOKUP(D219, RECETTES!B:G, 6, FALSE)*E219)</f>
        <v/>
      </c>
      <c r="J219" s="8">
        <f>IF(G219="","",G219*0.20)</f>
        <v/>
      </c>
      <c r="K219" s="8">
        <f>IF(G219="","",G219+J219)</f>
        <v/>
      </c>
    </row>
    <row r="220">
      <c r="F220" s="8" t="n"/>
      <c r="G220" s="8">
        <f>IF(E220="","",E220*F220)</f>
        <v/>
      </c>
      <c r="H220" s="8">
        <f>IF(G220="","",G220-I220)</f>
        <v/>
      </c>
      <c r="I220" s="8">
        <f>IF(D220="","",VLOOKUP(D220, RECETTES!B:G, 6, FALSE)*E220)</f>
        <v/>
      </c>
      <c r="J220" s="8">
        <f>IF(G220="","",G220*0.20)</f>
        <v/>
      </c>
      <c r="K220" s="8">
        <f>IF(G220="","",G220+J220)</f>
        <v/>
      </c>
    </row>
    <row r="221">
      <c r="F221" s="8" t="n"/>
      <c r="G221" s="8">
        <f>IF(E221="","",E221*F221)</f>
        <v/>
      </c>
      <c r="H221" s="8">
        <f>IF(G221="","",G221-I221)</f>
        <v/>
      </c>
      <c r="I221" s="8">
        <f>IF(D221="","",VLOOKUP(D221, RECETTES!B:G, 6, FALSE)*E221)</f>
        <v/>
      </c>
      <c r="J221" s="8">
        <f>IF(G221="","",G221*0.20)</f>
        <v/>
      </c>
      <c r="K221" s="8">
        <f>IF(G221="","",G221+J221)</f>
        <v/>
      </c>
    </row>
    <row r="222">
      <c r="F222" s="8" t="n"/>
      <c r="G222" s="8">
        <f>IF(E222="","",E222*F222)</f>
        <v/>
      </c>
      <c r="H222" s="8">
        <f>IF(G222="","",G222-I222)</f>
        <v/>
      </c>
      <c r="I222" s="8">
        <f>IF(D222="","",VLOOKUP(D222, RECETTES!B:G, 6, FALSE)*E222)</f>
        <v/>
      </c>
      <c r="J222" s="8">
        <f>IF(G222="","",G222*0.20)</f>
        <v/>
      </c>
      <c r="K222" s="8">
        <f>IF(G222="","",G222+J222)</f>
        <v/>
      </c>
    </row>
    <row r="223">
      <c r="F223" s="8" t="n"/>
      <c r="G223" s="8">
        <f>IF(E223="","",E223*F223)</f>
        <v/>
      </c>
      <c r="H223" s="8">
        <f>IF(G223="","",G223-I223)</f>
        <v/>
      </c>
      <c r="I223" s="8">
        <f>IF(D223="","",VLOOKUP(D223, RECETTES!B:G, 6, FALSE)*E223)</f>
        <v/>
      </c>
      <c r="J223" s="8">
        <f>IF(G223="","",G223*0.20)</f>
        <v/>
      </c>
      <c r="K223" s="8">
        <f>IF(G223="","",G223+J223)</f>
        <v/>
      </c>
    </row>
    <row r="224">
      <c r="F224" s="8" t="n"/>
      <c r="G224" s="8">
        <f>IF(E224="","",E224*F224)</f>
        <v/>
      </c>
      <c r="H224" s="8">
        <f>IF(G224="","",G224-I224)</f>
        <v/>
      </c>
      <c r="I224" s="8">
        <f>IF(D224="","",VLOOKUP(D224, RECETTES!B:G, 6, FALSE)*E224)</f>
        <v/>
      </c>
      <c r="J224" s="8">
        <f>IF(G224="","",G224*0.20)</f>
        <v/>
      </c>
      <c r="K224" s="8">
        <f>IF(G224="","",G224+J224)</f>
        <v/>
      </c>
    </row>
    <row r="225">
      <c r="F225" s="8" t="n"/>
      <c r="G225" s="8">
        <f>IF(E225="","",E225*F225)</f>
        <v/>
      </c>
      <c r="H225" s="8">
        <f>IF(G225="","",G225-I225)</f>
        <v/>
      </c>
      <c r="I225" s="8">
        <f>IF(D225="","",VLOOKUP(D225, RECETTES!B:G, 6, FALSE)*E225)</f>
        <v/>
      </c>
      <c r="J225" s="8">
        <f>IF(G225="","",G225*0.20)</f>
        <v/>
      </c>
      <c r="K225" s="8">
        <f>IF(G225="","",G225+J225)</f>
        <v/>
      </c>
    </row>
    <row r="226">
      <c r="F226" s="8" t="n"/>
      <c r="G226" s="8">
        <f>IF(E226="","",E226*F226)</f>
        <v/>
      </c>
      <c r="H226" s="8">
        <f>IF(G226="","",G226-I226)</f>
        <v/>
      </c>
      <c r="I226" s="8">
        <f>IF(D226="","",VLOOKUP(D226, RECETTES!B:G, 6, FALSE)*E226)</f>
        <v/>
      </c>
      <c r="J226" s="8">
        <f>IF(G226="","",G226*0.20)</f>
        <v/>
      </c>
      <c r="K226" s="8">
        <f>IF(G226="","",G226+J226)</f>
        <v/>
      </c>
    </row>
    <row r="227">
      <c r="F227" s="8" t="n"/>
      <c r="G227" s="8">
        <f>IF(E227="","",E227*F227)</f>
        <v/>
      </c>
      <c r="H227" s="8">
        <f>IF(G227="","",G227-I227)</f>
        <v/>
      </c>
      <c r="I227" s="8">
        <f>IF(D227="","",VLOOKUP(D227, RECETTES!B:G, 6, FALSE)*E227)</f>
        <v/>
      </c>
      <c r="J227" s="8">
        <f>IF(G227="","",G227*0.20)</f>
        <v/>
      </c>
      <c r="K227" s="8">
        <f>IF(G227="","",G227+J227)</f>
        <v/>
      </c>
    </row>
    <row r="228">
      <c r="F228" s="8" t="n"/>
      <c r="G228" s="8">
        <f>IF(E228="","",E228*F228)</f>
        <v/>
      </c>
      <c r="H228" s="8">
        <f>IF(G228="","",G228-I228)</f>
        <v/>
      </c>
      <c r="I228" s="8">
        <f>IF(D228="","",VLOOKUP(D228, RECETTES!B:G, 6, FALSE)*E228)</f>
        <v/>
      </c>
      <c r="J228" s="8">
        <f>IF(G228="","",G228*0.20)</f>
        <v/>
      </c>
      <c r="K228" s="8">
        <f>IF(G228="","",G228+J228)</f>
        <v/>
      </c>
    </row>
    <row r="229">
      <c r="F229" s="8" t="n"/>
      <c r="G229" s="8">
        <f>IF(E229="","",E229*F229)</f>
        <v/>
      </c>
      <c r="H229" s="8">
        <f>IF(G229="","",G229-I229)</f>
        <v/>
      </c>
      <c r="I229" s="8">
        <f>IF(D229="","",VLOOKUP(D229, RECETTES!B:G, 6, FALSE)*E229)</f>
        <v/>
      </c>
      <c r="J229" s="8">
        <f>IF(G229="","",G229*0.20)</f>
        <v/>
      </c>
      <c r="K229" s="8">
        <f>IF(G229="","",G229+J229)</f>
        <v/>
      </c>
    </row>
    <row r="230">
      <c r="F230" s="8" t="n"/>
      <c r="G230" s="8">
        <f>IF(E230="","",E230*F230)</f>
        <v/>
      </c>
      <c r="H230" s="8">
        <f>IF(G230="","",G230-I230)</f>
        <v/>
      </c>
      <c r="I230" s="8">
        <f>IF(D230="","",VLOOKUP(D230, RECETTES!B:G, 6, FALSE)*E230)</f>
        <v/>
      </c>
      <c r="J230" s="8">
        <f>IF(G230="","",G230*0.20)</f>
        <v/>
      </c>
      <c r="K230" s="8">
        <f>IF(G230="","",G230+J230)</f>
        <v/>
      </c>
    </row>
    <row r="231">
      <c r="F231" s="8" t="n"/>
      <c r="G231" s="8">
        <f>IF(E231="","",E231*F231)</f>
        <v/>
      </c>
      <c r="H231" s="8">
        <f>IF(G231="","",G231-I231)</f>
        <v/>
      </c>
      <c r="I231" s="8">
        <f>IF(D231="","",VLOOKUP(D231, RECETTES!B:G, 6, FALSE)*E231)</f>
        <v/>
      </c>
      <c r="J231" s="8">
        <f>IF(G231="","",G231*0.20)</f>
        <v/>
      </c>
      <c r="K231" s="8">
        <f>IF(G231="","",G231+J231)</f>
        <v/>
      </c>
    </row>
    <row r="232">
      <c r="F232" s="8" t="n"/>
      <c r="G232" s="8">
        <f>IF(E232="","",E232*F232)</f>
        <v/>
      </c>
      <c r="H232" s="8">
        <f>IF(G232="","",G232-I232)</f>
        <v/>
      </c>
      <c r="I232" s="8">
        <f>IF(D232="","",VLOOKUP(D232, RECETTES!B:G, 6, FALSE)*E232)</f>
        <v/>
      </c>
      <c r="J232" s="8">
        <f>IF(G232="","",G232*0.20)</f>
        <v/>
      </c>
      <c r="K232" s="8">
        <f>IF(G232="","",G232+J232)</f>
        <v/>
      </c>
    </row>
    <row r="233">
      <c r="F233" s="8" t="n"/>
      <c r="G233" s="8">
        <f>IF(E233="","",E233*F233)</f>
        <v/>
      </c>
      <c r="H233" s="8">
        <f>IF(G233="","",G233-I233)</f>
        <v/>
      </c>
      <c r="I233" s="8">
        <f>IF(D233="","",VLOOKUP(D233, RECETTES!B:G, 6, FALSE)*E233)</f>
        <v/>
      </c>
      <c r="J233" s="8">
        <f>IF(G233="","",G233*0.20)</f>
        <v/>
      </c>
      <c r="K233" s="8">
        <f>IF(G233="","",G233+J233)</f>
        <v/>
      </c>
    </row>
    <row r="234">
      <c r="F234" s="8" t="n"/>
      <c r="G234" s="8">
        <f>IF(E234="","",E234*F234)</f>
        <v/>
      </c>
      <c r="H234" s="8">
        <f>IF(G234="","",G234-I234)</f>
        <v/>
      </c>
      <c r="I234" s="8">
        <f>IF(D234="","",VLOOKUP(D234, RECETTES!B:G, 6, FALSE)*E234)</f>
        <v/>
      </c>
      <c r="J234" s="8">
        <f>IF(G234="","",G234*0.20)</f>
        <v/>
      </c>
      <c r="K234" s="8">
        <f>IF(G234="","",G234+J234)</f>
        <v/>
      </c>
    </row>
    <row r="235">
      <c r="F235" s="8" t="n"/>
      <c r="G235" s="8">
        <f>IF(E235="","",E235*F235)</f>
        <v/>
      </c>
      <c r="H235" s="8">
        <f>IF(G235="","",G235-I235)</f>
        <v/>
      </c>
      <c r="I235" s="8">
        <f>IF(D235="","",VLOOKUP(D235, RECETTES!B:G, 6, FALSE)*E235)</f>
        <v/>
      </c>
      <c r="J235" s="8">
        <f>IF(G235="","",G235*0.20)</f>
        <v/>
      </c>
      <c r="K235" s="8">
        <f>IF(G235="","",G235+J235)</f>
        <v/>
      </c>
    </row>
    <row r="236">
      <c r="F236" s="8" t="n"/>
      <c r="G236" s="8">
        <f>IF(E236="","",E236*F236)</f>
        <v/>
      </c>
      <c r="H236" s="8">
        <f>IF(G236="","",G236-I236)</f>
        <v/>
      </c>
      <c r="I236" s="8">
        <f>IF(D236="","",VLOOKUP(D236, RECETTES!B:G, 6, FALSE)*E236)</f>
        <v/>
      </c>
      <c r="J236" s="8">
        <f>IF(G236="","",G236*0.20)</f>
        <v/>
      </c>
      <c r="K236" s="8">
        <f>IF(G236="","",G236+J236)</f>
        <v/>
      </c>
    </row>
    <row r="237">
      <c r="F237" s="8" t="n"/>
      <c r="G237" s="8">
        <f>IF(E237="","",E237*F237)</f>
        <v/>
      </c>
      <c r="H237" s="8">
        <f>IF(G237="","",G237-I237)</f>
        <v/>
      </c>
      <c r="I237" s="8">
        <f>IF(D237="","",VLOOKUP(D237, RECETTES!B:G, 6, FALSE)*E237)</f>
        <v/>
      </c>
      <c r="J237" s="8">
        <f>IF(G237="","",G237*0.20)</f>
        <v/>
      </c>
      <c r="K237" s="8">
        <f>IF(G237="","",G237+J237)</f>
        <v/>
      </c>
    </row>
    <row r="238">
      <c r="F238" s="8" t="n"/>
      <c r="G238" s="8">
        <f>IF(E238="","",E238*F238)</f>
        <v/>
      </c>
      <c r="H238" s="8">
        <f>IF(G238="","",G238-I238)</f>
        <v/>
      </c>
      <c r="I238" s="8">
        <f>IF(D238="","",VLOOKUP(D238, RECETTES!B:G, 6, FALSE)*E238)</f>
        <v/>
      </c>
      <c r="J238" s="8">
        <f>IF(G238="","",G238*0.20)</f>
        <v/>
      </c>
      <c r="K238" s="8">
        <f>IF(G238="","",G238+J238)</f>
        <v/>
      </c>
    </row>
    <row r="239">
      <c r="F239" s="8" t="n"/>
      <c r="G239" s="8">
        <f>IF(E239="","",E239*F239)</f>
        <v/>
      </c>
      <c r="H239" s="8">
        <f>IF(G239="","",G239-I239)</f>
        <v/>
      </c>
      <c r="I239" s="8">
        <f>IF(D239="","",VLOOKUP(D239, RECETTES!B:G, 6, FALSE)*E239)</f>
        <v/>
      </c>
      <c r="J239" s="8">
        <f>IF(G239="","",G239*0.20)</f>
        <v/>
      </c>
      <c r="K239" s="8">
        <f>IF(G239="","",G239+J239)</f>
        <v/>
      </c>
    </row>
    <row r="240">
      <c r="F240" s="8" t="n"/>
      <c r="G240" s="8">
        <f>IF(E240="","",E240*F240)</f>
        <v/>
      </c>
      <c r="H240" s="8">
        <f>IF(G240="","",G240-I240)</f>
        <v/>
      </c>
      <c r="I240" s="8">
        <f>IF(D240="","",VLOOKUP(D240, RECETTES!B:G, 6, FALSE)*E240)</f>
        <v/>
      </c>
      <c r="J240" s="8">
        <f>IF(G240="","",G240*0.20)</f>
        <v/>
      </c>
      <c r="K240" s="8">
        <f>IF(G240="","",G240+J240)</f>
        <v/>
      </c>
    </row>
    <row r="241">
      <c r="F241" s="8" t="n"/>
      <c r="G241" s="8">
        <f>IF(E241="","",E241*F241)</f>
        <v/>
      </c>
      <c r="H241" s="8">
        <f>IF(G241="","",G241-I241)</f>
        <v/>
      </c>
      <c r="I241" s="8">
        <f>IF(D241="","",VLOOKUP(D241, RECETTES!B:G, 6, FALSE)*E241)</f>
        <v/>
      </c>
      <c r="J241" s="8">
        <f>IF(G241="","",G241*0.20)</f>
        <v/>
      </c>
      <c r="K241" s="8">
        <f>IF(G241="","",G241+J241)</f>
        <v/>
      </c>
    </row>
    <row r="242">
      <c r="F242" s="8" t="n"/>
      <c r="G242" s="8">
        <f>IF(E242="","",E242*F242)</f>
        <v/>
      </c>
      <c r="H242" s="8">
        <f>IF(G242="","",G242-I242)</f>
        <v/>
      </c>
      <c r="I242" s="8">
        <f>IF(D242="","",VLOOKUP(D242, RECETTES!B:G, 6, FALSE)*E242)</f>
        <v/>
      </c>
      <c r="J242" s="8">
        <f>IF(G242="","",G242*0.20)</f>
        <v/>
      </c>
      <c r="K242" s="8">
        <f>IF(G242="","",G242+J242)</f>
        <v/>
      </c>
    </row>
    <row r="243">
      <c r="F243" s="8" t="n"/>
      <c r="G243" s="8">
        <f>IF(E243="","",E243*F243)</f>
        <v/>
      </c>
      <c r="H243" s="8">
        <f>IF(G243="","",G243-I243)</f>
        <v/>
      </c>
      <c r="I243" s="8">
        <f>IF(D243="","",VLOOKUP(D243, RECETTES!B:G, 6, FALSE)*E243)</f>
        <v/>
      </c>
      <c r="J243" s="8">
        <f>IF(G243="","",G243*0.20)</f>
        <v/>
      </c>
      <c r="K243" s="8">
        <f>IF(G243="","",G243+J243)</f>
        <v/>
      </c>
    </row>
    <row r="244">
      <c r="F244" s="8" t="n"/>
      <c r="G244" s="8">
        <f>IF(E244="","",E244*F244)</f>
        <v/>
      </c>
      <c r="H244" s="8">
        <f>IF(G244="","",G244-I244)</f>
        <v/>
      </c>
      <c r="I244" s="8">
        <f>IF(D244="","",VLOOKUP(D244, RECETTES!B:G, 6, FALSE)*E244)</f>
        <v/>
      </c>
      <c r="J244" s="8">
        <f>IF(G244="","",G244*0.20)</f>
        <v/>
      </c>
      <c r="K244" s="8">
        <f>IF(G244="","",G244+J244)</f>
        <v/>
      </c>
    </row>
    <row r="245">
      <c r="F245" s="8" t="n"/>
      <c r="G245" s="8">
        <f>IF(E245="","",E245*F245)</f>
        <v/>
      </c>
      <c r="H245" s="8">
        <f>IF(G245="","",G245-I245)</f>
        <v/>
      </c>
      <c r="I245" s="8">
        <f>IF(D245="","",VLOOKUP(D245, RECETTES!B:G, 6, FALSE)*E245)</f>
        <v/>
      </c>
      <c r="J245" s="8">
        <f>IF(G245="","",G245*0.20)</f>
        <v/>
      </c>
      <c r="K245" s="8">
        <f>IF(G245="","",G245+J245)</f>
        <v/>
      </c>
    </row>
    <row r="246">
      <c r="F246" s="8" t="n"/>
      <c r="G246" s="8">
        <f>IF(E246="","",E246*F246)</f>
        <v/>
      </c>
      <c r="H246" s="8">
        <f>IF(G246="","",G246-I246)</f>
        <v/>
      </c>
      <c r="I246" s="8">
        <f>IF(D246="","",VLOOKUP(D246, RECETTES!B:G, 6, FALSE)*E246)</f>
        <v/>
      </c>
      <c r="J246" s="8">
        <f>IF(G246="","",G246*0.20)</f>
        <v/>
      </c>
      <c r="K246" s="8">
        <f>IF(G246="","",G246+J246)</f>
        <v/>
      </c>
    </row>
    <row r="247">
      <c r="F247" s="8" t="n"/>
      <c r="G247" s="8">
        <f>IF(E247="","",E247*F247)</f>
        <v/>
      </c>
      <c r="H247" s="8">
        <f>IF(G247="","",G247-I247)</f>
        <v/>
      </c>
      <c r="I247" s="8">
        <f>IF(D247="","",VLOOKUP(D247, RECETTES!B:G, 6, FALSE)*E247)</f>
        <v/>
      </c>
      <c r="J247" s="8">
        <f>IF(G247="","",G247*0.20)</f>
        <v/>
      </c>
      <c r="K247" s="8">
        <f>IF(G247="","",G247+J247)</f>
        <v/>
      </c>
    </row>
    <row r="248">
      <c r="F248" s="8" t="n"/>
      <c r="G248" s="8">
        <f>IF(E248="","",E248*F248)</f>
        <v/>
      </c>
      <c r="H248" s="8">
        <f>IF(G248="","",G248-I248)</f>
        <v/>
      </c>
      <c r="I248" s="8">
        <f>IF(D248="","",VLOOKUP(D248, RECETTES!B:G, 6, FALSE)*E248)</f>
        <v/>
      </c>
      <c r="J248" s="8">
        <f>IF(G248="","",G248*0.20)</f>
        <v/>
      </c>
      <c r="K248" s="8">
        <f>IF(G248="","",G248+J248)</f>
        <v/>
      </c>
    </row>
    <row r="249">
      <c r="F249" s="8" t="n"/>
      <c r="G249" s="8">
        <f>IF(E249="","",E249*F249)</f>
        <v/>
      </c>
      <c r="H249" s="8">
        <f>IF(G249="","",G249-I249)</f>
        <v/>
      </c>
      <c r="I249" s="8">
        <f>IF(D249="","",VLOOKUP(D249, RECETTES!B:G, 6, FALSE)*E249)</f>
        <v/>
      </c>
      <c r="J249" s="8">
        <f>IF(G249="","",G249*0.20)</f>
        <v/>
      </c>
      <c r="K249" s="8">
        <f>IF(G249="","",G249+J249)</f>
        <v/>
      </c>
    </row>
    <row r="250">
      <c r="F250" s="8" t="n"/>
      <c r="G250" s="8">
        <f>IF(E250="","",E250*F250)</f>
        <v/>
      </c>
      <c r="H250" s="8">
        <f>IF(G250="","",G250-I250)</f>
        <v/>
      </c>
      <c r="I250" s="8">
        <f>IF(D250="","",VLOOKUP(D250, RECETTES!B:G, 6, FALSE)*E250)</f>
        <v/>
      </c>
      <c r="J250" s="8">
        <f>IF(G250="","",G250*0.20)</f>
        <v/>
      </c>
      <c r="K250" s="8">
        <f>IF(G250="","",G250+J250)</f>
        <v/>
      </c>
    </row>
    <row r="251">
      <c r="F251" s="8" t="n"/>
      <c r="G251" s="8">
        <f>IF(E251="","",E251*F251)</f>
        <v/>
      </c>
      <c r="H251" s="8">
        <f>IF(G251="","",G251-I251)</f>
        <v/>
      </c>
      <c r="I251" s="8">
        <f>IF(D251="","",VLOOKUP(D251, RECETTES!B:G, 6, FALSE)*E251)</f>
        <v/>
      </c>
      <c r="J251" s="8">
        <f>IF(G251="","",G251*0.20)</f>
        <v/>
      </c>
      <c r="K251" s="8">
        <f>IF(G251="","",G251+J251)</f>
        <v/>
      </c>
    </row>
    <row r="252">
      <c r="F252" s="8" t="n"/>
      <c r="G252" s="8">
        <f>IF(E252="","",E252*F252)</f>
        <v/>
      </c>
      <c r="H252" s="8">
        <f>IF(G252="","",G252-I252)</f>
        <v/>
      </c>
      <c r="I252" s="8">
        <f>IF(D252="","",VLOOKUP(D252, RECETTES!B:G, 6, FALSE)*E252)</f>
        <v/>
      </c>
      <c r="J252" s="8">
        <f>IF(G252="","",G252*0.20)</f>
        <v/>
      </c>
      <c r="K252" s="8">
        <f>IF(G252="","",G252+J252)</f>
        <v/>
      </c>
    </row>
    <row r="253">
      <c r="F253" s="8" t="n"/>
      <c r="G253" s="8">
        <f>IF(E253="","",E253*F253)</f>
        <v/>
      </c>
      <c r="H253" s="8">
        <f>IF(G253="","",G253-I253)</f>
        <v/>
      </c>
      <c r="I253" s="8">
        <f>IF(D253="","",VLOOKUP(D253, RECETTES!B:G, 6, FALSE)*E253)</f>
        <v/>
      </c>
      <c r="J253" s="8">
        <f>IF(G253="","",G253*0.20)</f>
        <v/>
      </c>
      <c r="K253" s="8">
        <f>IF(G253="","",G253+J253)</f>
        <v/>
      </c>
    </row>
    <row r="254">
      <c r="F254" s="8" t="n"/>
      <c r="G254" s="8">
        <f>IF(E254="","",E254*F254)</f>
        <v/>
      </c>
      <c r="H254" s="8">
        <f>IF(G254="","",G254-I254)</f>
        <v/>
      </c>
      <c r="I254" s="8">
        <f>IF(D254="","",VLOOKUP(D254, RECETTES!B:G, 6, FALSE)*E254)</f>
        <v/>
      </c>
      <c r="J254" s="8">
        <f>IF(G254="","",G254*0.20)</f>
        <v/>
      </c>
      <c r="K254" s="8">
        <f>IF(G254="","",G254+J254)</f>
        <v/>
      </c>
    </row>
    <row r="255">
      <c r="F255" s="8" t="n"/>
      <c r="G255" s="8">
        <f>IF(E255="","",E255*F255)</f>
        <v/>
      </c>
      <c r="H255" s="8">
        <f>IF(G255="","",G255-I255)</f>
        <v/>
      </c>
      <c r="I255" s="8">
        <f>IF(D255="","",VLOOKUP(D255, RECETTES!B:G, 6, FALSE)*E255)</f>
        <v/>
      </c>
      <c r="J255" s="8">
        <f>IF(G255="","",G255*0.20)</f>
        <v/>
      </c>
      <c r="K255" s="8">
        <f>IF(G255="","",G255+J255)</f>
        <v/>
      </c>
    </row>
    <row r="256">
      <c r="F256" s="8" t="n"/>
      <c r="G256" s="8">
        <f>IF(E256="","",E256*F256)</f>
        <v/>
      </c>
      <c r="H256" s="8">
        <f>IF(G256="","",G256-I256)</f>
        <v/>
      </c>
      <c r="I256" s="8">
        <f>IF(D256="","",VLOOKUP(D256, RECETTES!B:G, 6, FALSE)*E256)</f>
        <v/>
      </c>
      <c r="J256" s="8">
        <f>IF(G256="","",G256*0.20)</f>
        <v/>
      </c>
      <c r="K256" s="8">
        <f>IF(G256="","",G256+J256)</f>
        <v/>
      </c>
    </row>
    <row r="257">
      <c r="F257" s="8" t="n"/>
      <c r="G257" s="8">
        <f>IF(E257="","",E257*F257)</f>
        <v/>
      </c>
      <c r="H257" s="8">
        <f>IF(G257="","",G257-I257)</f>
        <v/>
      </c>
      <c r="I257" s="8">
        <f>IF(D257="","",VLOOKUP(D257, RECETTES!B:G, 6, FALSE)*E257)</f>
        <v/>
      </c>
      <c r="J257" s="8">
        <f>IF(G257="","",G257*0.20)</f>
        <v/>
      </c>
      <c r="K257" s="8">
        <f>IF(G257="","",G257+J257)</f>
        <v/>
      </c>
    </row>
    <row r="258">
      <c r="F258" s="8" t="n"/>
      <c r="G258" s="8">
        <f>IF(E258="","",E258*F258)</f>
        <v/>
      </c>
      <c r="H258" s="8">
        <f>IF(G258="","",G258-I258)</f>
        <v/>
      </c>
      <c r="I258" s="8">
        <f>IF(D258="","",VLOOKUP(D258, RECETTES!B:G, 6, FALSE)*E258)</f>
        <v/>
      </c>
      <c r="J258" s="8">
        <f>IF(G258="","",G258*0.20)</f>
        <v/>
      </c>
      <c r="K258" s="8">
        <f>IF(G258="","",G258+J258)</f>
        <v/>
      </c>
    </row>
    <row r="259">
      <c r="F259" s="8" t="n"/>
      <c r="G259" s="8">
        <f>IF(E259="","",E259*F259)</f>
        <v/>
      </c>
      <c r="H259" s="8">
        <f>IF(G259="","",G259-I259)</f>
        <v/>
      </c>
      <c r="I259" s="8">
        <f>IF(D259="","",VLOOKUP(D259, RECETTES!B:G, 6, FALSE)*E259)</f>
        <v/>
      </c>
      <c r="J259" s="8">
        <f>IF(G259="","",G259*0.20)</f>
        <v/>
      </c>
      <c r="K259" s="8">
        <f>IF(G259="","",G259+J259)</f>
        <v/>
      </c>
    </row>
    <row r="260">
      <c r="F260" s="8" t="n"/>
      <c r="G260" s="8">
        <f>IF(E260="","",E260*F260)</f>
        <v/>
      </c>
      <c r="H260" s="8">
        <f>IF(G260="","",G260-I260)</f>
        <v/>
      </c>
      <c r="I260" s="8">
        <f>IF(D260="","",VLOOKUP(D260, RECETTES!B:G, 6, FALSE)*E260)</f>
        <v/>
      </c>
      <c r="J260" s="8">
        <f>IF(G260="","",G260*0.20)</f>
        <v/>
      </c>
      <c r="K260" s="8">
        <f>IF(G260="","",G260+J260)</f>
        <v/>
      </c>
    </row>
    <row r="261">
      <c r="F261" s="8" t="n"/>
      <c r="G261" s="8">
        <f>IF(E261="","",E261*F261)</f>
        <v/>
      </c>
      <c r="H261" s="8">
        <f>IF(G261="","",G261-I261)</f>
        <v/>
      </c>
      <c r="I261" s="8">
        <f>IF(D261="","",VLOOKUP(D261, RECETTES!B:G, 6, FALSE)*E261)</f>
        <v/>
      </c>
      <c r="J261" s="8">
        <f>IF(G261="","",G261*0.20)</f>
        <v/>
      </c>
      <c r="K261" s="8">
        <f>IF(G261="","",G261+J261)</f>
        <v/>
      </c>
    </row>
    <row r="262">
      <c r="F262" s="8" t="n"/>
      <c r="G262" s="8">
        <f>IF(E262="","",E262*F262)</f>
        <v/>
      </c>
      <c r="H262" s="8">
        <f>IF(G262="","",G262-I262)</f>
        <v/>
      </c>
      <c r="I262" s="8">
        <f>IF(D262="","",VLOOKUP(D262, RECETTES!B:G, 6, FALSE)*E262)</f>
        <v/>
      </c>
      <c r="J262" s="8">
        <f>IF(G262="","",G262*0.20)</f>
        <v/>
      </c>
      <c r="K262" s="8">
        <f>IF(G262="","",G262+J262)</f>
        <v/>
      </c>
    </row>
    <row r="263">
      <c r="F263" s="8" t="n"/>
      <c r="G263" s="8">
        <f>IF(E263="","",E263*F263)</f>
        <v/>
      </c>
      <c r="H263" s="8">
        <f>IF(G263="","",G263-I263)</f>
        <v/>
      </c>
      <c r="I263" s="8">
        <f>IF(D263="","",VLOOKUP(D263, RECETTES!B:G, 6, FALSE)*E263)</f>
        <v/>
      </c>
      <c r="J263" s="8">
        <f>IF(G263="","",G263*0.20)</f>
        <v/>
      </c>
      <c r="K263" s="8">
        <f>IF(G263="","",G263+J263)</f>
        <v/>
      </c>
    </row>
    <row r="264">
      <c r="F264" s="8" t="n"/>
      <c r="G264" s="8">
        <f>IF(E264="","",E264*F264)</f>
        <v/>
      </c>
      <c r="H264" s="8">
        <f>IF(G264="","",G264-I264)</f>
        <v/>
      </c>
      <c r="I264" s="8">
        <f>IF(D264="","",VLOOKUP(D264, RECETTES!B:G, 6, FALSE)*E264)</f>
        <v/>
      </c>
      <c r="J264" s="8">
        <f>IF(G264="","",G264*0.20)</f>
        <v/>
      </c>
      <c r="K264" s="8">
        <f>IF(G264="","",G264+J264)</f>
        <v/>
      </c>
    </row>
    <row r="265">
      <c r="F265" s="8" t="n"/>
      <c r="G265" s="8">
        <f>IF(E265="","",E265*F265)</f>
        <v/>
      </c>
      <c r="H265" s="8">
        <f>IF(G265="","",G265-I265)</f>
        <v/>
      </c>
      <c r="I265" s="8">
        <f>IF(D265="","",VLOOKUP(D265, RECETTES!B:G, 6, FALSE)*E265)</f>
        <v/>
      </c>
      <c r="J265" s="8">
        <f>IF(G265="","",G265*0.20)</f>
        <v/>
      </c>
      <c r="K265" s="8">
        <f>IF(G265="","",G265+J265)</f>
        <v/>
      </c>
    </row>
    <row r="266">
      <c r="F266" s="8" t="n"/>
      <c r="G266" s="8">
        <f>IF(E266="","",E266*F266)</f>
        <v/>
      </c>
      <c r="H266" s="8">
        <f>IF(G266="","",G266-I266)</f>
        <v/>
      </c>
      <c r="I266" s="8">
        <f>IF(D266="","",VLOOKUP(D266, RECETTES!B:G, 6, FALSE)*E266)</f>
        <v/>
      </c>
      <c r="J266" s="8">
        <f>IF(G266="","",G266*0.20)</f>
        <v/>
      </c>
      <c r="K266" s="8">
        <f>IF(G266="","",G266+J266)</f>
        <v/>
      </c>
    </row>
    <row r="267">
      <c r="F267" s="8" t="n"/>
      <c r="G267" s="8">
        <f>IF(E267="","",E267*F267)</f>
        <v/>
      </c>
      <c r="H267" s="8">
        <f>IF(G267="","",G267-I267)</f>
        <v/>
      </c>
      <c r="I267" s="8">
        <f>IF(D267="","",VLOOKUP(D267, RECETTES!B:G, 6, FALSE)*E267)</f>
        <v/>
      </c>
      <c r="J267" s="8">
        <f>IF(G267="","",G267*0.20)</f>
        <v/>
      </c>
      <c r="K267" s="8">
        <f>IF(G267="","",G267+J267)</f>
        <v/>
      </c>
    </row>
    <row r="268">
      <c r="F268" s="8" t="n"/>
      <c r="G268" s="8">
        <f>IF(E268="","",E268*F268)</f>
        <v/>
      </c>
      <c r="H268" s="8">
        <f>IF(G268="","",G268-I268)</f>
        <v/>
      </c>
      <c r="I268" s="8">
        <f>IF(D268="","",VLOOKUP(D268, RECETTES!B:G, 6, FALSE)*E268)</f>
        <v/>
      </c>
      <c r="J268" s="8">
        <f>IF(G268="","",G268*0.20)</f>
        <v/>
      </c>
      <c r="K268" s="8">
        <f>IF(G268="","",G268+J268)</f>
        <v/>
      </c>
    </row>
    <row r="269">
      <c r="F269" s="8" t="n"/>
      <c r="G269" s="8">
        <f>IF(E269="","",E269*F269)</f>
        <v/>
      </c>
      <c r="H269" s="8">
        <f>IF(G269="","",G269-I269)</f>
        <v/>
      </c>
      <c r="I269" s="8">
        <f>IF(D269="","",VLOOKUP(D269, RECETTES!B:G, 6, FALSE)*E269)</f>
        <v/>
      </c>
      <c r="J269" s="8">
        <f>IF(G269="","",G269*0.20)</f>
        <v/>
      </c>
      <c r="K269" s="8">
        <f>IF(G269="","",G269+J269)</f>
        <v/>
      </c>
    </row>
    <row r="270">
      <c r="F270" s="8" t="n"/>
      <c r="G270" s="8">
        <f>IF(E270="","",E270*F270)</f>
        <v/>
      </c>
      <c r="H270" s="8">
        <f>IF(G270="","",G270-I270)</f>
        <v/>
      </c>
      <c r="I270" s="8">
        <f>IF(D270="","",VLOOKUP(D270, RECETTES!B:G, 6, FALSE)*E270)</f>
        <v/>
      </c>
      <c r="J270" s="8">
        <f>IF(G270="","",G270*0.20)</f>
        <v/>
      </c>
      <c r="K270" s="8">
        <f>IF(G270="","",G270+J270)</f>
        <v/>
      </c>
    </row>
    <row r="271">
      <c r="F271" s="8" t="n"/>
      <c r="G271" s="8">
        <f>IF(E271="","",E271*F271)</f>
        <v/>
      </c>
      <c r="H271" s="8">
        <f>IF(G271="","",G271-I271)</f>
        <v/>
      </c>
      <c r="I271" s="8">
        <f>IF(D271="","",VLOOKUP(D271, RECETTES!B:G, 6, FALSE)*E271)</f>
        <v/>
      </c>
      <c r="J271" s="8">
        <f>IF(G271="","",G271*0.20)</f>
        <v/>
      </c>
      <c r="K271" s="8">
        <f>IF(G271="","",G271+J271)</f>
        <v/>
      </c>
    </row>
    <row r="272">
      <c r="F272" s="8" t="n"/>
      <c r="G272" s="8">
        <f>IF(E272="","",E272*F272)</f>
        <v/>
      </c>
      <c r="H272" s="8">
        <f>IF(G272="","",G272-I272)</f>
        <v/>
      </c>
      <c r="I272" s="8">
        <f>IF(D272="","",VLOOKUP(D272, RECETTES!B:G, 6, FALSE)*E272)</f>
        <v/>
      </c>
      <c r="J272" s="8">
        <f>IF(G272="","",G272*0.20)</f>
        <v/>
      </c>
      <c r="K272" s="8">
        <f>IF(G272="","",G272+J272)</f>
        <v/>
      </c>
    </row>
    <row r="273">
      <c r="F273" s="8" t="n"/>
      <c r="G273" s="8">
        <f>IF(E273="","",E273*F273)</f>
        <v/>
      </c>
      <c r="H273" s="8">
        <f>IF(G273="","",G273-I273)</f>
        <v/>
      </c>
      <c r="I273" s="8">
        <f>IF(D273="","",VLOOKUP(D273, RECETTES!B:G, 6, FALSE)*E273)</f>
        <v/>
      </c>
      <c r="J273" s="8">
        <f>IF(G273="","",G273*0.20)</f>
        <v/>
      </c>
      <c r="K273" s="8">
        <f>IF(G273="","",G273+J273)</f>
        <v/>
      </c>
    </row>
    <row r="274">
      <c r="F274" s="8" t="n"/>
      <c r="G274" s="8">
        <f>IF(E274="","",E274*F274)</f>
        <v/>
      </c>
      <c r="H274" s="8">
        <f>IF(G274="","",G274-I274)</f>
        <v/>
      </c>
      <c r="I274" s="8">
        <f>IF(D274="","",VLOOKUP(D274, RECETTES!B:G, 6, FALSE)*E274)</f>
        <v/>
      </c>
      <c r="J274" s="8">
        <f>IF(G274="","",G274*0.20)</f>
        <v/>
      </c>
      <c r="K274" s="8">
        <f>IF(G274="","",G274+J274)</f>
        <v/>
      </c>
    </row>
    <row r="275">
      <c r="F275" s="8" t="n"/>
      <c r="G275" s="8">
        <f>IF(E275="","",E275*F275)</f>
        <v/>
      </c>
      <c r="H275" s="8">
        <f>IF(G275="","",G275-I275)</f>
        <v/>
      </c>
      <c r="I275" s="8">
        <f>IF(D275="","",VLOOKUP(D275, RECETTES!B:G, 6, FALSE)*E275)</f>
        <v/>
      </c>
      <c r="J275" s="8">
        <f>IF(G275="","",G275*0.20)</f>
        <v/>
      </c>
      <c r="K275" s="8">
        <f>IF(G275="","",G275+J275)</f>
        <v/>
      </c>
    </row>
    <row r="276">
      <c r="F276" s="8" t="n"/>
      <c r="G276" s="8">
        <f>IF(E276="","",E276*F276)</f>
        <v/>
      </c>
      <c r="H276" s="8">
        <f>IF(G276="","",G276-I276)</f>
        <v/>
      </c>
      <c r="I276" s="8">
        <f>IF(D276="","",VLOOKUP(D276, RECETTES!B:G, 6, FALSE)*E276)</f>
        <v/>
      </c>
      <c r="J276" s="8">
        <f>IF(G276="","",G276*0.20)</f>
        <v/>
      </c>
      <c r="K276" s="8">
        <f>IF(G276="","",G276+J276)</f>
        <v/>
      </c>
    </row>
    <row r="277">
      <c r="F277" s="8" t="n"/>
      <c r="G277" s="8">
        <f>IF(E277="","",E277*F277)</f>
        <v/>
      </c>
      <c r="H277" s="8">
        <f>IF(G277="","",G277-I277)</f>
        <v/>
      </c>
      <c r="I277" s="8">
        <f>IF(D277="","",VLOOKUP(D277, RECETTES!B:G, 6, FALSE)*E277)</f>
        <v/>
      </c>
      <c r="J277" s="8">
        <f>IF(G277="","",G277*0.20)</f>
        <v/>
      </c>
      <c r="K277" s="8">
        <f>IF(G277="","",G277+J277)</f>
        <v/>
      </c>
    </row>
    <row r="278">
      <c r="F278" s="8" t="n"/>
      <c r="G278" s="8">
        <f>IF(E278="","",E278*F278)</f>
        <v/>
      </c>
      <c r="H278" s="8">
        <f>IF(G278="","",G278-I278)</f>
        <v/>
      </c>
      <c r="I278" s="8">
        <f>IF(D278="","",VLOOKUP(D278, RECETTES!B:G, 6, FALSE)*E278)</f>
        <v/>
      </c>
      <c r="J278" s="8">
        <f>IF(G278="","",G278*0.20)</f>
        <v/>
      </c>
      <c r="K278" s="8">
        <f>IF(G278="","",G278+J278)</f>
        <v/>
      </c>
    </row>
    <row r="279">
      <c r="F279" s="8" t="n"/>
      <c r="G279" s="8">
        <f>IF(E279="","",E279*F279)</f>
        <v/>
      </c>
      <c r="H279" s="8">
        <f>IF(G279="","",G279-I279)</f>
        <v/>
      </c>
      <c r="I279" s="8">
        <f>IF(D279="","",VLOOKUP(D279, RECETTES!B:G, 6, FALSE)*E279)</f>
        <v/>
      </c>
      <c r="J279" s="8">
        <f>IF(G279="","",G279*0.20)</f>
        <v/>
      </c>
      <c r="K279" s="8">
        <f>IF(G279="","",G279+J279)</f>
        <v/>
      </c>
    </row>
    <row r="280">
      <c r="F280" s="8" t="n"/>
      <c r="G280" s="8">
        <f>IF(E280="","",E280*F280)</f>
        <v/>
      </c>
      <c r="H280" s="8">
        <f>IF(G280="","",G280-I280)</f>
        <v/>
      </c>
      <c r="I280" s="8">
        <f>IF(D280="","",VLOOKUP(D280, RECETTES!B:G, 6, FALSE)*E280)</f>
        <v/>
      </c>
      <c r="J280" s="8">
        <f>IF(G280="","",G280*0.20)</f>
        <v/>
      </c>
      <c r="K280" s="8">
        <f>IF(G280="","",G280+J280)</f>
        <v/>
      </c>
    </row>
    <row r="281">
      <c r="F281" s="8" t="n"/>
      <c r="G281" s="8">
        <f>IF(E281="","",E281*F281)</f>
        <v/>
      </c>
      <c r="H281" s="8">
        <f>IF(G281="","",G281-I281)</f>
        <v/>
      </c>
      <c r="I281" s="8">
        <f>IF(D281="","",VLOOKUP(D281, RECETTES!B:G, 6, FALSE)*E281)</f>
        <v/>
      </c>
      <c r="J281" s="8">
        <f>IF(G281="","",G281*0.20)</f>
        <v/>
      </c>
      <c r="K281" s="8">
        <f>IF(G281="","",G281+J281)</f>
        <v/>
      </c>
    </row>
    <row r="282">
      <c r="F282" s="8" t="n"/>
      <c r="G282" s="8">
        <f>IF(E282="","",E282*F282)</f>
        <v/>
      </c>
      <c r="H282" s="8">
        <f>IF(G282="","",G282-I282)</f>
        <v/>
      </c>
      <c r="I282" s="8">
        <f>IF(D282="","",VLOOKUP(D282, RECETTES!B:G, 6, FALSE)*E282)</f>
        <v/>
      </c>
      <c r="J282" s="8">
        <f>IF(G282="","",G282*0.20)</f>
        <v/>
      </c>
      <c r="K282" s="8">
        <f>IF(G282="","",G282+J282)</f>
        <v/>
      </c>
    </row>
    <row r="283">
      <c r="F283" s="8" t="n"/>
      <c r="G283" s="8">
        <f>IF(E283="","",E283*F283)</f>
        <v/>
      </c>
      <c r="H283" s="8">
        <f>IF(G283="","",G283-I283)</f>
        <v/>
      </c>
      <c r="I283" s="8">
        <f>IF(D283="","",VLOOKUP(D283, RECETTES!B:G, 6, FALSE)*E283)</f>
        <v/>
      </c>
      <c r="J283" s="8">
        <f>IF(G283="","",G283*0.20)</f>
        <v/>
      </c>
      <c r="K283" s="8">
        <f>IF(G283="","",G283+J283)</f>
        <v/>
      </c>
    </row>
    <row r="284">
      <c r="F284" s="8" t="n"/>
      <c r="G284" s="8">
        <f>IF(E284="","",E284*F284)</f>
        <v/>
      </c>
      <c r="H284" s="8">
        <f>IF(G284="","",G284-I284)</f>
        <v/>
      </c>
      <c r="I284" s="8">
        <f>IF(D284="","",VLOOKUP(D284, RECETTES!B:G, 6, FALSE)*E284)</f>
        <v/>
      </c>
      <c r="J284" s="8">
        <f>IF(G284="","",G284*0.20)</f>
        <v/>
      </c>
      <c r="K284" s="8">
        <f>IF(G284="","",G284+J284)</f>
        <v/>
      </c>
    </row>
    <row r="285">
      <c r="F285" s="8" t="n"/>
      <c r="G285" s="8">
        <f>IF(E285="","",E285*F285)</f>
        <v/>
      </c>
      <c r="H285" s="8">
        <f>IF(G285="","",G285-I285)</f>
        <v/>
      </c>
      <c r="I285" s="8">
        <f>IF(D285="","",VLOOKUP(D285, RECETTES!B:G, 6, FALSE)*E285)</f>
        <v/>
      </c>
      <c r="J285" s="8">
        <f>IF(G285="","",G285*0.20)</f>
        <v/>
      </c>
      <c r="K285" s="8">
        <f>IF(G285="","",G285+J285)</f>
        <v/>
      </c>
    </row>
    <row r="286">
      <c r="F286" s="8" t="n"/>
      <c r="G286" s="8">
        <f>IF(E286="","",E286*F286)</f>
        <v/>
      </c>
      <c r="H286" s="8">
        <f>IF(G286="","",G286-I286)</f>
        <v/>
      </c>
      <c r="I286" s="8">
        <f>IF(D286="","",VLOOKUP(D286, RECETTES!B:G, 6, FALSE)*E286)</f>
        <v/>
      </c>
      <c r="J286" s="8">
        <f>IF(G286="","",G286*0.20)</f>
        <v/>
      </c>
      <c r="K286" s="8">
        <f>IF(G286="","",G286+J286)</f>
        <v/>
      </c>
    </row>
    <row r="287">
      <c r="F287" s="8" t="n"/>
      <c r="G287" s="8">
        <f>IF(E287="","",E287*F287)</f>
        <v/>
      </c>
      <c r="H287" s="8">
        <f>IF(G287="","",G287-I287)</f>
        <v/>
      </c>
      <c r="I287" s="8">
        <f>IF(D287="","",VLOOKUP(D287, RECETTES!B:G, 6, FALSE)*E287)</f>
        <v/>
      </c>
      <c r="J287" s="8">
        <f>IF(G287="","",G287*0.20)</f>
        <v/>
      </c>
      <c r="K287" s="8">
        <f>IF(G287="","",G287+J287)</f>
        <v/>
      </c>
    </row>
    <row r="288">
      <c r="F288" s="8" t="n"/>
      <c r="G288" s="8">
        <f>IF(E288="","",E288*F288)</f>
        <v/>
      </c>
      <c r="H288" s="8">
        <f>IF(G288="","",G288-I288)</f>
        <v/>
      </c>
      <c r="I288" s="8">
        <f>IF(D288="","",VLOOKUP(D288, RECETTES!B:G, 6, FALSE)*E288)</f>
        <v/>
      </c>
      <c r="J288" s="8">
        <f>IF(G288="","",G288*0.20)</f>
        <v/>
      </c>
      <c r="K288" s="8">
        <f>IF(G288="","",G288+J288)</f>
        <v/>
      </c>
    </row>
    <row r="289">
      <c r="F289" s="8" t="n"/>
      <c r="G289" s="8">
        <f>IF(E289="","",E289*F289)</f>
        <v/>
      </c>
      <c r="H289" s="8">
        <f>IF(G289="","",G289-I289)</f>
        <v/>
      </c>
      <c r="I289" s="8">
        <f>IF(D289="","",VLOOKUP(D289, RECETTES!B:G, 6, FALSE)*E289)</f>
        <v/>
      </c>
      <c r="J289" s="8">
        <f>IF(G289="","",G289*0.20)</f>
        <v/>
      </c>
      <c r="K289" s="8">
        <f>IF(G289="","",G289+J289)</f>
        <v/>
      </c>
    </row>
    <row r="290">
      <c r="F290" s="8" t="n"/>
      <c r="G290" s="8">
        <f>IF(E290="","",E290*F290)</f>
        <v/>
      </c>
      <c r="H290" s="8">
        <f>IF(G290="","",G290-I290)</f>
        <v/>
      </c>
      <c r="I290" s="8">
        <f>IF(D290="","",VLOOKUP(D290, RECETTES!B:G, 6, FALSE)*E290)</f>
        <v/>
      </c>
      <c r="J290" s="8">
        <f>IF(G290="","",G290*0.20)</f>
        <v/>
      </c>
      <c r="K290" s="8">
        <f>IF(G290="","",G290+J290)</f>
        <v/>
      </c>
    </row>
    <row r="291">
      <c r="F291" s="8" t="n"/>
      <c r="G291" s="8">
        <f>IF(E291="","",E291*F291)</f>
        <v/>
      </c>
      <c r="H291" s="8">
        <f>IF(G291="","",G291-I291)</f>
        <v/>
      </c>
      <c r="I291" s="8">
        <f>IF(D291="","",VLOOKUP(D291, RECETTES!B:G, 6, FALSE)*E291)</f>
        <v/>
      </c>
      <c r="J291" s="8">
        <f>IF(G291="","",G291*0.20)</f>
        <v/>
      </c>
      <c r="K291" s="8">
        <f>IF(G291="","",G291+J291)</f>
        <v/>
      </c>
    </row>
    <row r="292">
      <c r="F292" s="8" t="n"/>
      <c r="G292" s="8">
        <f>IF(E292="","",E292*F292)</f>
        <v/>
      </c>
      <c r="H292" s="8">
        <f>IF(G292="","",G292-I292)</f>
        <v/>
      </c>
      <c r="I292" s="8">
        <f>IF(D292="","",VLOOKUP(D292, RECETTES!B:G, 6, FALSE)*E292)</f>
        <v/>
      </c>
      <c r="J292" s="8">
        <f>IF(G292="","",G292*0.20)</f>
        <v/>
      </c>
      <c r="K292" s="8">
        <f>IF(G292="","",G292+J292)</f>
        <v/>
      </c>
    </row>
    <row r="293">
      <c r="F293" s="8" t="n"/>
      <c r="G293" s="8">
        <f>IF(E293="","",E293*F293)</f>
        <v/>
      </c>
      <c r="H293" s="8">
        <f>IF(G293="","",G293-I293)</f>
        <v/>
      </c>
      <c r="I293" s="8">
        <f>IF(D293="","",VLOOKUP(D293, RECETTES!B:G, 6, FALSE)*E293)</f>
        <v/>
      </c>
      <c r="J293" s="8">
        <f>IF(G293="","",G293*0.20)</f>
        <v/>
      </c>
      <c r="K293" s="8">
        <f>IF(G293="","",G293+J293)</f>
        <v/>
      </c>
    </row>
    <row r="294">
      <c r="F294" s="8" t="n"/>
      <c r="G294" s="8">
        <f>IF(E294="","",E294*F294)</f>
        <v/>
      </c>
      <c r="H294" s="8">
        <f>IF(G294="","",G294-I294)</f>
        <v/>
      </c>
      <c r="I294" s="8">
        <f>IF(D294="","",VLOOKUP(D294, RECETTES!B:G, 6, FALSE)*E294)</f>
        <v/>
      </c>
      <c r="J294" s="8">
        <f>IF(G294="","",G294*0.20)</f>
        <v/>
      </c>
      <c r="K294" s="8">
        <f>IF(G294="","",G294+J294)</f>
        <v/>
      </c>
    </row>
    <row r="295">
      <c r="F295" s="8" t="n"/>
      <c r="G295" s="8">
        <f>IF(E295="","",E295*F295)</f>
        <v/>
      </c>
      <c r="H295" s="8">
        <f>IF(G295="","",G295-I295)</f>
        <v/>
      </c>
      <c r="I295" s="8">
        <f>IF(D295="","",VLOOKUP(D295, RECETTES!B:G, 6, FALSE)*E295)</f>
        <v/>
      </c>
      <c r="J295" s="8">
        <f>IF(G295="","",G295*0.20)</f>
        <v/>
      </c>
      <c r="K295" s="8">
        <f>IF(G295="","",G295+J295)</f>
        <v/>
      </c>
    </row>
    <row r="296">
      <c r="F296" s="8" t="n"/>
      <c r="G296" s="8">
        <f>IF(E296="","",E296*F296)</f>
        <v/>
      </c>
      <c r="H296" s="8">
        <f>IF(G296="","",G296-I296)</f>
        <v/>
      </c>
      <c r="I296" s="8">
        <f>IF(D296="","",VLOOKUP(D296, RECETTES!B:G, 6, FALSE)*E296)</f>
        <v/>
      </c>
      <c r="J296" s="8">
        <f>IF(G296="","",G296*0.20)</f>
        <v/>
      </c>
      <c r="K296" s="8">
        <f>IF(G296="","",G296+J296)</f>
        <v/>
      </c>
    </row>
    <row r="297">
      <c r="F297" s="8" t="n"/>
      <c r="G297" s="8">
        <f>IF(E297="","",E297*F297)</f>
        <v/>
      </c>
      <c r="H297" s="8">
        <f>IF(G297="","",G297-I297)</f>
        <v/>
      </c>
      <c r="I297" s="8">
        <f>IF(D297="","",VLOOKUP(D297, RECETTES!B:G, 6, FALSE)*E297)</f>
        <v/>
      </c>
      <c r="J297" s="8">
        <f>IF(G297="","",G297*0.20)</f>
        <v/>
      </c>
      <c r="K297" s="8">
        <f>IF(G297="","",G297+J297)</f>
        <v/>
      </c>
    </row>
    <row r="298">
      <c r="F298" s="8" t="n"/>
      <c r="G298" s="8">
        <f>IF(E298="","",E298*F298)</f>
        <v/>
      </c>
      <c r="H298" s="8">
        <f>IF(G298="","",G298-I298)</f>
        <v/>
      </c>
      <c r="I298" s="8">
        <f>IF(D298="","",VLOOKUP(D298, RECETTES!B:G, 6, FALSE)*E298)</f>
        <v/>
      </c>
      <c r="J298" s="8">
        <f>IF(G298="","",G298*0.20)</f>
        <v/>
      </c>
      <c r="K298" s="8">
        <f>IF(G298="","",G298+J298)</f>
        <v/>
      </c>
    </row>
    <row r="299">
      <c r="F299" s="8" t="n"/>
      <c r="G299" s="8">
        <f>IF(E299="","",E299*F299)</f>
        <v/>
      </c>
      <c r="H299" s="8">
        <f>IF(G299="","",G299-I299)</f>
        <v/>
      </c>
      <c r="I299" s="8">
        <f>IF(D299="","",VLOOKUP(D299, RECETTES!B:G, 6, FALSE)*E299)</f>
        <v/>
      </c>
      <c r="J299" s="8">
        <f>IF(G299="","",G299*0.20)</f>
        <v/>
      </c>
      <c r="K299" s="8">
        <f>IF(G299="","",G299+J299)</f>
        <v/>
      </c>
    </row>
    <row r="300">
      <c r="F300" s="8" t="n"/>
      <c r="G300" s="8">
        <f>IF(E300="","",E300*F300)</f>
        <v/>
      </c>
      <c r="H300" s="8">
        <f>IF(G300="","",G300-I300)</f>
        <v/>
      </c>
      <c r="I300" s="8">
        <f>IF(D300="","",VLOOKUP(D300, RECETTES!B:G, 6, FALSE)*E300)</f>
        <v/>
      </c>
      <c r="J300" s="8">
        <f>IF(G300="","",G300*0.20)</f>
        <v/>
      </c>
      <c r="K300" s="8">
        <f>IF(G300="","",G300+J300)</f>
        <v/>
      </c>
    </row>
    <row r="301">
      <c r="F301" s="8" t="n"/>
      <c r="G301" s="8">
        <f>IF(E301="","",E301*F301)</f>
        <v/>
      </c>
      <c r="H301" s="8">
        <f>IF(G301="","",G301-I301)</f>
        <v/>
      </c>
      <c r="I301" s="8">
        <f>IF(D301="","",VLOOKUP(D301, RECETTES!B:G, 6, FALSE)*E301)</f>
        <v/>
      </c>
      <c r="J301" s="8">
        <f>IF(G301="","",G301*0.20)</f>
        <v/>
      </c>
      <c r="K301" s="8">
        <f>IF(G301="","",G301+J301)</f>
        <v/>
      </c>
    </row>
    <row r="302">
      <c r="F302" s="8" t="n"/>
      <c r="G302" s="8">
        <f>IF(E302="","",E302*F302)</f>
        <v/>
      </c>
      <c r="H302" s="8">
        <f>IF(G302="","",G302-I302)</f>
        <v/>
      </c>
      <c r="I302" s="8">
        <f>IF(D302="","",VLOOKUP(D302, RECETTES!B:G, 6, FALSE)*E302)</f>
        <v/>
      </c>
      <c r="J302" s="8">
        <f>IF(G302="","",G302*0.20)</f>
        <v/>
      </c>
      <c r="K302" s="8">
        <f>IF(G302="","",G302+J302)</f>
        <v/>
      </c>
    </row>
    <row r="303">
      <c r="F303" s="8" t="n"/>
      <c r="G303" s="8">
        <f>IF(E303="","",E303*F303)</f>
        <v/>
      </c>
      <c r="H303" s="8">
        <f>IF(G303="","",G303-I303)</f>
        <v/>
      </c>
      <c r="I303" s="8">
        <f>IF(D303="","",VLOOKUP(D303, RECETTES!B:G, 6, FALSE)*E303)</f>
        <v/>
      </c>
      <c r="J303" s="8">
        <f>IF(G303="","",G303*0.20)</f>
        <v/>
      </c>
      <c r="K303" s="8">
        <f>IF(G303="","",G303+J303)</f>
        <v/>
      </c>
    </row>
    <row r="304">
      <c r="F304" s="8" t="n"/>
      <c r="G304" s="8">
        <f>IF(E304="","",E304*F304)</f>
        <v/>
      </c>
      <c r="H304" s="8">
        <f>IF(G304="","",G304-I304)</f>
        <v/>
      </c>
      <c r="I304" s="8">
        <f>IF(D304="","",VLOOKUP(D304, RECETTES!B:G, 6, FALSE)*E304)</f>
        <v/>
      </c>
      <c r="J304" s="8">
        <f>IF(G304="","",G304*0.20)</f>
        <v/>
      </c>
      <c r="K304" s="8">
        <f>IF(G304="","",G304+J304)</f>
        <v/>
      </c>
    </row>
    <row r="305">
      <c r="F305" s="8" t="n"/>
      <c r="G305" s="8">
        <f>IF(E305="","",E305*F305)</f>
        <v/>
      </c>
      <c r="H305" s="8">
        <f>IF(G305="","",G305-I305)</f>
        <v/>
      </c>
      <c r="I305" s="8">
        <f>IF(D305="","",VLOOKUP(D305, RECETTES!B:G, 6, FALSE)*E305)</f>
        <v/>
      </c>
      <c r="J305" s="8">
        <f>IF(G305="","",G305*0.20)</f>
        <v/>
      </c>
      <c r="K305" s="8">
        <f>IF(G305="","",G305+J305)</f>
        <v/>
      </c>
    </row>
    <row r="306">
      <c r="F306" s="8" t="n"/>
      <c r="G306" s="8">
        <f>IF(E306="","",E306*F306)</f>
        <v/>
      </c>
      <c r="H306" s="8">
        <f>IF(G306="","",G306-I306)</f>
        <v/>
      </c>
      <c r="I306" s="8">
        <f>IF(D306="","",VLOOKUP(D306, RECETTES!B:G, 6, FALSE)*E306)</f>
        <v/>
      </c>
      <c r="J306" s="8">
        <f>IF(G306="","",G306*0.20)</f>
        <v/>
      </c>
      <c r="K306" s="8">
        <f>IF(G306="","",G306+J306)</f>
        <v/>
      </c>
    </row>
    <row r="307">
      <c r="F307" s="8" t="n"/>
      <c r="G307" s="8">
        <f>IF(E307="","",E307*F307)</f>
        <v/>
      </c>
      <c r="H307" s="8">
        <f>IF(G307="","",G307-I307)</f>
        <v/>
      </c>
      <c r="I307" s="8">
        <f>IF(D307="","",VLOOKUP(D307, RECETTES!B:G, 6, FALSE)*E307)</f>
        <v/>
      </c>
      <c r="J307" s="8">
        <f>IF(G307="","",G307*0.20)</f>
        <v/>
      </c>
      <c r="K307" s="8">
        <f>IF(G307="","",G307+J307)</f>
        <v/>
      </c>
    </row>
    <row r="308">
      <c r="F308" s="8" t="n"/>
      <c r="G308" s="8">
        <f>IF(E308="","",E308*F308)</f>
        <v/>
      </c>
      <c r="H308" s="8">
        <f>IF(G308="","",G308-I308)</f>
        <v/>
      </c>
      <c r="I308" s="8">
        <f>IF(D308="","",VLOOKUP(D308, RECETTES!B:G, 6, FALSE)*E308)</f>
        <v/>
      </c>
      <c r="J308" s="8">
        <f>IF(G308="","",G308*0.20)</f>
        <v/>
      </c>
      <c r="K308" s="8">
        <f>IF(G308="","",G308+J308)</f>
        <v/>
      </c>
    </row>
    <row r="309">
      <c r="F309" s="8" t="n"/>
      <c r="G309" s="8">
        <f>IF(E309="","",E309*F309)</f>
        <v/>
      </c>
      <c r="H309" s="8">
        <f>IF(G309="","",G309-I309)</f>
        <v/>
      </c>
      <c r="I309" s="8">
        <f>IF(D309="","",VLOOKUP(D309, RECETTES!B:G, 6, FALSE)*E309)</f>
        <v/>
      </c>
      <c r="J309" s="8">
        <f>IF(G309="","",G309*0.20)</f>
        <v/>
      </c>
      <c r="K309" s="8">
        <f>IF(G309="","",G309+J309)</f>
        <v/>
      </c>
    </row>
    <row r="310">
      <c r="F310" s="8" t="n"/>
      <c r="G310" s="8">
        <f>IF(E310="","",E310*F310)</f>
        <v/>
      </c>
      <c r="H310" s="8">
        <f>IF(G310="","",G310-I310)</f>
        <v/>
      </c>
      <c r="I310" s="8">
        <f>IF(D310="","",VLOOKUP(D310, RECETTES!B:G, 6, FALSE)*E310)</f>
        <v/>
      </c>
      <c r="J310" s="8">
        <f>IF(G310="","",G310*0.20)</f>
        <v/>
      </c>
      <c r="K310" s="8">
        <f>IF(G310="","",G310+J310)</f>
        <v/>
      </c>
    </row>
    <row r="311">
      <c r="F311" s="8" t="n"/>
      <c r="G311" s="8">
        <f>IF(E311="","",E311*F311)</f>
        <v/>
      </c>
      <c r="H311" s="8">
        <f>IF(G311="","",G311-I311)</f>
        <v/>
      </c>
      <c r="I311" s="8">
        <f>IF(D311="","",VLOOKUP(D311, RECETTES!B:G, 6, FALSE)*E311)</f>
        <v/>
      </c>
      <c r="J311" s="8">
        <f>IF(G311="","",G311*0.20)</f>
        <v/>
      </c>
      <c r="K311" s="8">
        <f>IF(G311="","",G311+J311)</f>
        <v/>
      </c>
    </row>
    <row r="312">
      <c r="F312" s="8" t="n"/>
      <c r="G312" s="8">
        <f>IF(E312="","",E312*F312)</f>
        <v/>
      </c>
      <c r="H312" s="8">
        <f>IF(G312="","",G312-I312)</f>
        <v/>
      </c>
      <c r="I312" s="8">
        <f>IF(D312="","",VLOOKUP(D312, RECETTES!B:G, 6, FALSE)*E312)</f>
        <v/>
      </c>
      <c r="J312" s="8">
        <f>IF(G312="","",G312*0.20)</f>
        <v/>
      </c>
      <c r="K312" s="8">
        <f>IF(G312="","",G312+J312)</f>
        <v/>
      </c>
    </row>
    <row r="313">
      <c r="F313" s="8" t="n"/>
      <c r="G313" s="8">
        <f>IF(E313="","",E313*F313)</f>
        <v/>
      </c>
      <c r="H313" s="8">
        <f>IF(G313="","",G313-I313)</f>
        <v/>
      </c>
      <c r="I313" s="8">
        <f>IF(D313="","",VLOOKUP(D313, RECETTES!B:G, 6, FALSE)*E313)</f>
        <v/>
      </c>
      <c r="J313" s="8">
        <f>IF(G313="","",G313*0.20)</f>
        <v/>
      </c>
      <c r="K313" s="8">
        <f>IF(G313="","",G313+J313)</f>
        <v/>
      </c>
    </row>
    <row r="314">
      <c r="F314" s="8" t="n"/>
      <c r="G314" s="8">
        <f>IF(E314="","",E314*F314)</f>
        <v/>
      </c>
      <c r="H314" s="8">
        <f>IF(G314="","",G314-I314)</f>
        <v/>
      </c>
      <c r="I314" s="8">
        <f>IF(D314="","",VLOOKUP(D314, RECETTES!B:G, 6, FALSE)*E314)</f>
        <v/>
      </c>
      <c r="J314" s="8">
        <f>IF(G314="","",G314*0.20)</f>
        <v/>
      </c>
      <c r="K314" s="8">
        <f>IF(G314="","",G314+J314)</f>
        <v/>
      </c>
    </row>
    <row r="315">
      <c r="F315" s="8" t="n"/>
      <c r="G315" s="8">
        <f>IF(E315="","",E315*F315)</f>
        <v/>
      </c>
      <c r="H315" s="8">
        <f>IF(G315="","",G315-I315)</f>
        <v/>
      </c>
      <c r="I315" s="8">
        <f>IF(D315="","",VLOOKUP(D315, RECETTES!B:G, 6, FALSE)*E315)</f>
        <v/>
      </c>
      <c r="J315" s="8">
        <f>IF(G315="","",G315*0.20)</f>
        <v/>
      </c>
      <c r="K315" s="8">
        <f>IF(G315="","",G315+J315)</f>
        <v/>
      </c>
    </row>
    <row r="316">
      <c r="F316" s="8" t="n"/>
      <c r="G316" s="8">
        <f>IF(E316="","",E316*F316)</f>
        <v/>
      </c>
      <c r="H316" s="8">
        <f>IF(G316="","",G316-I316)</f>
        <v/>
      </c>
      <c r="I316" s="8">
        <f>IF(D316="","",VLOOKUP(D316, RECETTES!B:G, 6, FALSE)*E316)</f>
        <v/>
      </c>
      <c r="J316" s="8">
        <f>IF(G316="","",G316*0.20)</f>
        <v/>
      </c>
      <c r="K316" s="8">
        <f>IF(G316="","",G316+J316)</f>
        <v/>
      </c>
    </row>
    <row r="317">
      <c r="F317" s="8" t="n"/>
      <c r="G317" s="8">
        <f>IF(E317="","",E317*F317)</f>
        <v/>
      </c>
      <c r="H317" s="8">
        <f>IF(G317="","",G317-I317)</f>
        <v/>
      </c>
      <c r="I317" s="8">
        <f>IF(D317="","",VLOOKUP(D317, RECETTES!B:G, 6, FALSE)*E317)</f>
        <v/>
      </c>
      <c r="J317" s="8">
        <f>IF(G317="","",G317*0.20)</f>
        <v/>
      </c>
      <c r="K317" s="8">
        <f>IF(G317="","",G317+J317)</f>
        <v/>
      </c>
    </row>
    <row r="318">
      <c r="F318" s="8" t="n"/>
      <c r="G318" s="8">
        <f>IF(E318="","",E318*F318)</f>
        <v/>
      </c>
      <c r="H318" s="8">
        <f>IF(G318="","",G318-I318)</f>
        <v/>
      </c>
      <c r="I318" s="8">
        <f>IF(D318="","",VLOOKUP(D318, RECETTES!B:G, 6, FALSE)*E318)</f>
        <v/>
      </c>
      <c r="J318" s="8">
        <f>IF(G318="","",G318*0.20)</f>
        <v/>
      </c>
      <c r="K318" s="8">
        <f>IF(G318="","",G318+J318)</f>
        <v/>
      </c>
    </row>
    <row r="319">
      <c r="F319" s="8" t="n"/>
      <c r="G319" s="8">
        <f>IF(E319="","",E319*F319)</f>
        <v/>
      </c>
      <c r="H319" s="8">
        <f>IF(G319="","",G319-I319)</f>
        <v/>
      </c>
      <c r="I319" s="8">
        <f>IF(D319="","",VLOOKUP(D319, RECETTES!B:G, 6, FALSE)*E319)</f>
        <v/>
      </c>
      <c r="J319" s="8">
        <f>IF(G319="","",G319*0.20)</f>
        <v/>
      </c>
      <c r="K319" s="8">
        <f>IF(G319="","",G319+J319)</f>
        <v/>
      </c>
    </row>
    <row r="320">
      <c r="F320" s="8" t="n"/>
      <c r="G320" s="8">
        <f>IF(E320="","",E320*F320)</f>
        <v/>
      </c>
      <c r="H320" s="8">
        <f>IF(G320="","",G320-I320)</f>
        <v/>
      </c>
      <c r="I320" s="8">
        <f>IF(D320="","",VLOOKUP(D320, RECETTES!B:G, 6, FALSE)*E320)</f>
        <v/>
      </c>
      <c r="J320" s="8">
        <f>IF(G320="","",G320*0.20)</f>
        <v/>
      </c>
      <c r="K320" s="8">
        <f>IF(G320="","",G320+J320)</f>
        <v/>
      </c>
    </row>
    <row r="321">
      <c r="F321" s="8" t="n"/>
      <c r="G321" s="8">
        <f>IF(E321="","",E321*F321)</f>
        <v/>
      </c>
      <c r="H321" s="8">
        <f>IF(G321="","",G321-I321)</f>
        <v/>
      </c>
      <c r="I321" s="8">
        <f>IF(D321="","",VLOOKUP(D321, RECETTES!B:G, 6, FALSE)*E321)</f>
        <v/>
      </c>
      <c r="J321" s="8">
        <f>IF(G321="","",G321*0.20)</f>
        <v/>
      </c>
      <c r="K321" s="8">
        <f>IF(G321="","",G321+J321)</f>
        <v/>
      </c>
    </row>
    <row r="322">
      <c r="F322" s="8" t="n"/>
      <c r="G322" s="8">
        <f>IF(E322="","",E322*F322)</f>
        <v/>
      </c>
      <c r="H322" s="8">
        <f>IF(G322="","",G322-I322)</f>
        <v/>
      </c>
      <c r="I322" s="8">
        <f>IF(D322="","",VLOOKUP(D322, RECETTES!B:G, 6, FALSE)*E322)</f>
        <v/>
      </c>
      <c r="J322" s="8">
        <f>IF(G322="","",G322*0.20)</f>
        <v/>
      </c>
      <c r="K322" s="8">
        <f>IF(G322="","",G322+J322)</f>
        <v/>
      </c>
    </row>
    <row r="323">
      <c r="F323" s="8" t="n"/>
      <c r="G323" s="8">
        <f>IF(E323="","",E323*F323)</f>
        <v/>
      </c>
      <c r="H323" s="8">
        <f>IF(G323="","",G323-I323)</f>
        <v/>
      </c>
      <c r="I323" s="8">
        <f>IF(D323="","",VLOOKUP(D323, RECETTES!B:G, 6, FALSE)*E323)</f>
        <v/>
      </c>
      <c r="J323" s="8">
        <f>IF(G323="","",G323*0.20)</f>
        <v/>
      </c>
      <c r="K323" s="8">
        <f>IF(G323="","",G323+J323)</f>
        <v/>
      </c>
    </row>
    <row r="324">
      <c r="F324" s="8" t="n"/>
      <c r="G324" s="8">
        <f>IF(E324="","",E324*F324)</f>
        <v/>
      </c>
      <c r="H324" s="8">
        <f>IF(G324="","",G324-I324)</f>
        <v/>
      </c>
      <c r="I324" s="8">
        <f>IF(D324="","",VLOOKUP(D324, RECETTES!B:G, 6, FALSE)*E324)</f>
        <v/>
      </c>
      <c r="J324" s="8">
        <f>IF(G324="","",G324*0.20)</f>
        <v/>
      </c>
      <c r="K324" s="8">
        <f>IF(G324="","",G324+J324)</f>
        <v/>
      </c>
    </row>
    <row r="325">
      <c r="F325" s="8" t="n"/>
      <c r="G325" s="8">
        <f>IF(E325="","",E325*F325)</f>
        <v/>
      </c>
      <c r="H325" s="8">
        <f>IF(G325="","",G325-I325)</f>
        <v/>
      </c>
      <c r="I325" s="8">
        <f>IF(D325="","",VLOOKUP(D325, RECETTES!B:G, 6, FALSE)*E325)</f>
        <v/>
      </c>
      <c r="J325" s="8">
        <f>IF(G325="","",G325*0.20)</f>
        <v/>
      </c>
      <c r="K325" s="8">
        <f>IF(G325="","",G325+J325)</f>
        <v/>
      </c>
    </row>
    <row r="326">
      <c r="F326" s="8" t="n"/>
      <c r="G326" s="8">
        <f>IF(E326="","",E326*F326)</f>
        <v/>
      </c>
      <c r="H326" s="8">
        <f>IF(G326="","",G326-I326)</f>
        <v/>
      </c>
      <c r="I326" s="8">
        <f>IF(D326="","",VLOOKUP(D326, RECETTES!B:G, 6, FALSE)*E326)</f>
        <v/>
      </c>
      <c r="J326" s="8">
        <f>IF(G326="","",G326*0.20)</f>
        <v/>
      </c>
      <c r="K326" s="8">
        <f>IF(G326="","",G326+J326)</f>
        <v/>
      </c>
    </row>
    <row r="327">
      <c r="F327" s="8" t="n"/>
      <c r="G327" s="8">
        <f>IF(E327="","",E327*F327)</f>
        <v/>
      </c>
      <c r="H327" s="8">
        <f>IF(G327="","",G327-I327)</f>
        <v/>
      </c>
      <c r="I327" s="8">
        <f>IF(D327="","",VLOOKUP(D327, RECETTES!B:G, 6, FALSE)*E327)</f>
        <v/>
      </c>
      <c r="J327" s="8">
        <f>IF(G327="","",G327*0.20)</f>
        <v/>
      </c>
      <c r="K327" s="8">
        <f>IF(G327="","",G327+J327)</f>
        <v/>
      </c>
    </row>
    <row r="328">
      <c r="F328" s="8" t="n"/>
      <c r="G328" s="8">
        <f>IF(E328="","",E328*F328)</f>
        <v/>
      </c>
      <c r="H328" s="8">
        <f>IF(G328="","",G328-I328)</f>
        <v/>
      </c>
      <c r="I328" s="8">
        <f>IF(D328="","",VLOOKUP(D328, RECETTES!B:G, 6, FALSE)*E328)</f>
        <v/>
      </c>
      <c r="J328" s="8">
        <f>IF(G328="","",G328*0.20)</f>
        <v/>
      </c>
      <c r="K328" s="8">
        <f>IF(G328="","",G328+J328)</f>
        <v/>
      </c>
    </row>
    <row r="329">
      <c r="F329" s="8" t="n"/>
      <c r="G329" s="8">
        <f>IF(E329="","",E329*F329)</f>
        <v/>
      </c>
      <c r="H329" s="8">
        <f>IF(G329="","",G329-I329)</f>
        <v/>
      </c>
      <c r="I329" s="8">
        <f>IF(D329="","",VLOOKUP(D329, RECETTES!B:G, 6, FALSE)*E329)</f>
        <v/>
      </c>
      <c r="J329" s="8">
        <f>IF(G329="","",G329*0.20)</f>
        <v/>
      </c>
      <c r="K329" s="8">
        <f>IF(G329="","",G329+J329)</f>
        <v/>
      </c>
    </row>
    <row r="330">
      <c r="F330" s="8" t="n"/>
      <c r="G330" s="8">
        <f>IF(E330="","",E330*F330)</f>
        <v/>
      </c>
      <c r="H330" s="8">
        <f>IF(G330="","",G330-I330)</f>
        <v/>
      </c>
      <c r="I330" s="8">
        <f>IF(D330="","",VLOOKUP(D330, RECETTES!B:G, 6, FALSE)*E330)</f>
        <v/>
      </c>
      <c r="J330" s="8">
        <f>IF(G330="","",G330*0.20)</f>
        <v/>
      </c>
      <c r="K330" s="8">
        <f>IF(G330="","",G330+J330)</f>
        <v/>
      </c>
    </row>
    <row r="331">
      <c r="F331" s="8" t="n"/>
      <c r="G331" s="8">
        <f>IF(E331="","",E331*F331)</f>
        <v/>
      </c>
      <c r="H331" s="8">
        <f>IF(G331="","",G331-I331)</f>
        <v/>
      </c>
      <c r="I331" s="8">
        <f>IF(D331="","",VLOOKUP(D331, RECETTES!B:G, 6, FALSE)*E331)</f>
        <v/>
      </c>
      <c r="J331" s="8">
        <f>IF(G331="","",G331*0.20)</f>
        <v/>
      </c>
      <c r="K331" s="8">
        <f>IF(G331="","",G331+J331)</f>
        <v/>
      </c>
    </row>
    <row r="332">
      <c r="F332" s="8" t="n"/>
      <c r="G332" s="8">
        <f>IF(E332="","",E332*F332)</f>
        <v/>
      </c>
      <c r="H332" s="8">
        <f>IF(G332="","",G332-I332)</f>
        <v/>
      </c>
      <c r="I332" s="8">
        <f>IF(D332="","",VLOOKUP(D332, RECETTES!B:G, 6, FALSE)*E332)</f>
        <v/>
      </c>
      <c r="J332" s="8">
        <f>IF(G332="","",G332*0.20)</f>
        <v/>
      </c>
      <c r="K332" s="8">
        <f>IF(G332="","",G332+J332)</f>
        <v/>
      </c>
    </row>
    <row r="333">
      <c r="F333" s="8" t="n"/>
      <c r="G333" s="8">
        <f>IF(E333="","",E333*F333)</f>
        <v/>
      </c>
      <c r="H333" s="8">
        <f>IF(G333="","",G333-I333)</f>
        <v/>
      </c>
      <c r="I333" s="8">
        <f>IF(D333="","",VLOOKUP(D333, RECETTES!B:G, 6, FALSE)*E333)</f>
        <v/>
      </c>
      <c r="J333" s="8">
        <f>IF(G333="","",G333*0.20)</f>
        <v/>
      </c>
      <c r="K333" s="8">
        <f>IF(G333="","",G333+J333)</f>
        <v/>
      </c>
    </row>
    <row r="334">
      <c r="F334" s="8" t="n"/>
      <c r="G334" s="8">
        <f>IF(E334="","",E334*F334)</f>
        <v/>
      </c>
      <c r="H334" s="8">
        <f>IF(G334="","",G334-I334)</f>
        <v/>
      </c>
      <c r="I334" s="8">
        <f>IF(D334="","",VLOOKUP(D334, RECETTES!B:G, 6, FALSE)*E334)</f>
        <v/>
      </c>
      <c r="J334" s="8">
        <f>IF(G334="","",G334*0.20)</f>
        <v/>
      </c>
      <c r="K334" s="8">
        <f>IF(G334="","",G334+J334)</f>
        <v/>
      </c>
    </row>
    <row r="335">
      <c r="F335" s="8" t="n"/>
      <c r="G335" s="8">
        <f>IF(E335="","",E335*F335)</f>
        <v/>
      </c>
      <c r="H335" s="8">
        <f>IF(G335="","",G335-I335)</f>
        <v/>
      </c>
      <c r="I335" s="8">
        <f>IF(D335="","",VLOOKUP(D335, RECETTES!B:G, 6, FALSE)*E335)</f>
        <v/>
      </c>
      <c r="J335" s="8">
        <f>IF(G335="","",G335*0.20)</f>
        <v/>
      </c>
      <c r="K335" s="8">
        <f>IF(G335="","",G335+J335)</f>
        <v/>
      </c>
    </row>
    <row r="336">
      <c r="F336" s="8" t="n"/>
      <c r="G336" s="8">
        <f>IF(E336="","",E336*F336)</f>
        <v/>
      </c>
      <c r="H336" s="8">
        <f>IF(G336="","",G336-I336)</f>
        <v/>
      </c>
      <c r="I336" s="8">
        <f>IF(D336="","",VLOOKUP(D336, RECETTES!B:G, 6, FALSE)*E336)</f>
        <v/>
      </c>
      <c r="J336" s="8">
        <f>IF(G336="","",G336*0.20)</f>
        <v/>
      </c>
      <c r="K336" s="8">
        <f>IF(G336="","",G336+J336)</f>
        <v/>
      </c>
    </row>
    <row r="337">
      <c r="F337" s="8" t="n"/>
      <c r="G337" s="8">
        <f>IF(E337="","",E337*F337)</f>
        <v/>
      </c>
      <c r="H337" s="8">
        <f>IF(G337="","",G337-I337)</f>
        <v/>
      </c>
      <c r="I337" s="8">
        <f>IF(D337="","",VLOOKUP(D337, RECETTES!B:G, 6, FALSE)*E337)</f>
        <v/>
      </c>
      <c r="J337" s="8">
        <f>IF(G337="","",G337*0.20)</f>
        <v/>
      </c>
      <c r="K337" s="8">
        <f>IF(G337="","",G337+J337)</f>
        <v/>
      </c>
    </row>
    <row r="338">
      <c r="F338" s="8" t="n"/>
      <c r="G338" s="8">
        <f>IF(E338="","",E338*F338)</f>
        <v/>
      </c>
      <c r="H338" s="8">
        <f>IF(G338="","",G338-I338)</f>
        <v/>
      </c>
      <c r="I338" s="8">
        <f>IF(D338="","",VLOOKUP(D338, RECETTES!B:G, 6, FALSE)*E338)</f>
        <v/>
      </c>
      <c r="J338" s="8">
        <f>IF(G338="","",G338*0.20)</f>
        <v/>
      </c>
      <c r="K338" s="8">
        <f>IF(G338="","",G338+J338)</f>
        <v/>
      </c>
    </row>
    <row r="339">
      <c r="F339" s="8" t="n"/>
      <c r="G339" s="8">
        <f>IF(E339="","",E339*F339)</f>
        <v/>
      </c>
      <c r="H339" s="8">
        <f>IF(G339="","",G339-I339)</f>
        <v/>
      </c>
      <c r="I339" s="8">
        <f>IF(D339="","",VLOOKUP(D339, RECETTES!B:G, 6, FALSE)*E339)</f>
        <v/>
      </c>
      <c r="J339" s="8">
        <f>IF(G339="","",G339*0.20)</f>
        <v/>
      </c>
      <c r="K339" s="8">
        <f>IF(G339="","",G339+J339)</f>
        <v/>
      </c>
    </row>
    <row r="340">
      <c r="F340" s="8" t="n"/>
      <c r="G340" s="8">
        <f>IF(E340="","",E340*F340)</f>
        <v/>
      </c>
      <c r="H340" s="8">
        <f>IF(G340="","",G340-I340)</f>
        <v/>
      </c>
      <c r="I340" s="8">
        <f>IF(D340="","",VLOOKUP(D340, RECETTES!B:G, 6, FALSE)*E340)</f>
        <v/>
      </c>
      <c r="J340" s="8">
        <f>IF(G340="","",G340*0.20)</f>
        <v/>
      </c>
      <c r="K340" s="8">
        <f>IF(G340="","",G340+J340)</f>
        <v/>
      </c>
    </row>
    <row r="341">
      <c r="F341" s="8" t="n"/>
      <c r="G341" s="8">
        <f>IF(E341="","",E341*F341)</f>
        <v/>
      </c>
      <c r="H341" s="8">
        <f>IF(G341="","",G341-I341)</f>
        <v/>
      </c>
      <c r="I341" s="8">
        <f>IF(D341="","",VLOOKUP(D341, RECETTES!B:G, 6, FALSE)*E341)</f>
        <v/>
      </c>
      <c r="J341" s="8">
        <f>IF(G341="","",G341*0.20)</f>
        <v/>
      </c>
      <c r="K341" s="8">
        <f>IF(G341="","",G341+J341)</f>
        <v/>
      </c>
    </row>
    <row r="342">
      <c r="F342" s="8" t="n"/>
      <c r="G342" s="8">
        <f>IF(E342="","",E342*F342)</f>
        <v/>
      </c>
      <c r="H342" s="8">
        <f>IF(G342="","",G342-I342)</f>
        <v/>
      </c>
      <c r="I342" s="8">
        <f>IF(D342="","",VLOOKUP(D342, RECETTES!B:G, 6, FALSE)*E342)</f>
        <v/>
      </c>
      <c r="J342" s="8">
        <f>IF(G342="","",G342*0.20)</f>
        <v/>
      </c>
      <c r="K342" s="8">
        <f>IF(G342="","",G342+J342)</f>
        <v/>
      </c>
    </row>
    <row r="343">
      <c r="F343" s="8" t="n"/>
      <c r="G343" s="8">
        <f>IF(E343="","",E343*F343)</f>
        <v/>
      </c>
      <c r="H343" s="8">
        <f>IF(G343="","",G343-I343)</f>
        <v/>
      </c>
      <c r="I343" s="8">
        <f>IF(D343="","",VLOOKUP(D343, RECETTES!B:G, 6, FALSE)*E343)</f>
        <v/>
      </c>
      <c r="J343" s="8">
        <f>IF(G343="","",G343*0.20)</f>
        <v/>
      </c>
      <c r="K343" s="8">
        <f>IF(G343="","",G343+J343)</f>
        <v/>
      </c>
    </row>
    <row r="344">
      <c r="F344" s="8" t="n"/>
      <c r="G344" s="8">
        <f>IF(E344="","",E344*F344)</f>
        <v/>
      </c>
      <c r="H344" s="8">
        <f>IF(G344="","",G344-I344)</f>
        <v/>
      </c>
      <c r="I344" s="8">
        <f>IF(D344="","",VLOOKUP(D344, RECETTES!B:G, 6, FALSE)*E344)</f>
        <v/>
      </c>
      <c r="J344" s="8">
        <f>IF(G344="","",G344*0.20)</f>
        <v/>
      </c>
      <c r="K344" s="8">
        <f>IF(G344="","",G344+J344)</f>
        <v/>
      </c>
    </row>
    <row r="345">
      <c r="F345" s="8" t="n"/>
      <c r="G345" s="8">
        <f>IF(E345="","",E345*F345)</f>
        <v/>
      </c>
      <c r="H345" s="8">
        <f>IF(G345="","",G345-I345)</f>
        <v/>
      </c>
      <c r="I345" s="8">
        <f>IF(D345="","",VLOOKUP(D345, RECETTES!B:G, 6, FALSE)*E345)</f>
        <v/>
      </c>
      <c r="J345" s="8">
        <f>IF(G345="","",G345*0.20)</f>
        <v/>
      </c>
      <c r="K345" s="8">
        <f>IF(G345="","",G345+J345)</f>
        <v/>
      </c>
    </row>
    <row r="346">
      <c r="F346" s="8" t="n"/>
      <c r="G346" s="8">
        <f>IF(E346="","",E346*F346)</f>
        <v/>
      </c>
      <c r="H346" s="8">
        <f>IF(G346="","",G346-I346)</f>
        <v/>
      </c>
      <c r="I346" s="8">
        <f>IF(D346="","",VLOOKUP(D346, RECETTES!B:G, 6, FALSE)*E346)</f>
        <v/>
      </c>
      <c r="J346" s="8">
        <f>IF(G346="","",G346*0.20)</f>
        <v/>
      </c>
      <c r="K346" s="8">
        <f>IF(G346="","",G346+J346)</f>
        <v/>
      </c>
    </row>
    <row r="347">
      <c r="F347" s="8" t="n"/>
      <c r="G347" s="8">
        <f>IF(E347="","",E347*F347)</f>
        <v/>
      </c>
      <c r="H347" s="8">
        <f>IF(G347="","",G347-I347)</f>
        <v/>
      </c>
      <c r="I347" s="8">
        <f>IF(D347="","",VLOOKUP(D347, RECETTES!B:G, 6, FALSE)*E347)</f>
        <v/>
      </c>
      <c r="J347" s="8">
        <f>IF(G347="","",G347*0.20)</f>
        <v/>
      </c>
      <c r="K347" s="8">
        <f>IF(G347="","",G347+J347)</f>
        <v/>
      </c>
    </row>
    <row r="348">
      <c r="F348" s="8" t="n"/>
      <c r="G348" s="8">
        <f>IF(E348="","",E348*F348)</f>
        <v/>
      </c>
      <c r="H348" s="8">
        <f>IF(G348="","",G348-I348)</f>
        <v/>
      </c>
      <c r="I348" s="8">
        <f>IF(D348="","",VLOOKUP(D348, RECETTES!B:G, 6, FALSE)*E348)</f>
        <v/>
      </c>
      <c r="J348" s="8">
        <f>IF(G348="","",G348*0.20)</f>
        <v/>
      </c>
      <c r="K348" s="8">
        <f>IF(G348="","",G348+J348)</f>
        <v/>
      </c>
    </row>
    <row r="349">
      <c r="F349" s="8" t="n"/>
      <c r="G349" s="8">
        <f>IF(E349="","",E349*F349)</f>
        <v/>
      </c>
      <c r="H349" s="8">
        <f>IF(G349="","",G349-I349)</f>
        <v/>
      </c>
      <c r="I349" s="8">
        <f>IF(D349="","",VLOOKUP(D349, RECETTES!B:G, 6, FALSE)*E349)</f>
        <v/>
      </c>
      <c r="J349" s="8">
        <f>IF(G349="","",G349*0.20)</f>
        <v/>
      </c>
      <c r="K349" s="8">
        <f>IF(G349="","",G349+J349)</f>
        <v/>
      </c>
    </row>
    <row r="350">
      <c r="F350" s="8" t="n"/>
      <c r="G350" s="8">
        <f>IF(E350="","",E350*F350)</f>
        <v/>
      </c>
      <c r="H350" s="8">
        <f>IF(G350="","",G350-I350)</f>
        <v/>
      </c>
      <c r="I350" s="8">
        <f>IF(D350="","",VLOOKUP(D350, RECETTES!B:G, 6, FALSE)*E350)</f>
        <v/>
      </c>
      <c r="J350" s="8">
        <f>IF(G350="","",G350*0.20)</f>
        <v/>
      </c>
      <c r="K350" s="8">
        <f>IF(G350="","",G350+J350)</f>
        <v/>
      </c>
    </row>
    <row r="351">
      <c r="F351" s="8" t="n"/>
      <c r="G351" s="8">
        <f>IF(E351="","",E351*F351)</f>
        <v/>
      </c>
      <c r="H351" s="8">
        <f>IF(G351="","",G351-I351)</f>
        <v/>
      </c>
      <c r="I351" s="8">
        <f>IF(D351="","",VLOOKUP(D351, RECETTES!B:G, 6, FALSE)*E351)</f>
        <v/>
      </c>
      <c r="J351" s="8">
        <f>IF(G351="","",G351*0.20)</f>
        <v/>
      </c>
      <c r="K351" s="8">
        <f>IF(G351="","",G351+J351)</f>
        <v/>
      </c>
    </row>
    <row r="352">
      <c r="F352" s="8" t="n"/>
      <c r="G352" s="8">
        <f>IF(E352="","",E352*F352)</f>
        <v/>
      </c>
      <c r="H352" s="8">
        <f>IF(G352="","",G352-I352)</f>
        <v/>
      </c>
      <c r="I352" s="8">
        <f>IF(D352="","",VLOOKUP(D352, RECETTES!B:G, 6, FALSE)*E352)</f>
        <v/>
      </c>
      <c r="J352" s="8">
        <f>IF(G352="","",G352*0.20)</f>
        <v/>
      </c>
      <c r="K352" s="8">
        <f>IF(G352="","",G352+J352)</f>
        <v/>
      </c>
    </row>
    <row r="353">
      <c r="F353" s="8" t="n"/>
      <c r="G353" s="8">
        <f>IF(E353="","",E353*F353)</f>
        <v/>
      </c>
      <c r="H353" s="8">
        <f>IF(G353="","",G353-I353)</f>
        <v/>
      </c>
      <c r="I353" s="8">
        <f>IF(D353="","",VLOOKUP(D353, RECETTES!B:G, 6, FALSE)*E353)</f>
        <v/>
      </c>
      <c r="J353" s="8">
        <f>IF(G353="","",G353*0.20)</f>
        <v/>
      </c>
      <c r="K353" s="8">
        <f>IF(G353="","",G353+J353)</f>
        <v/>
      </c>
    </row>
    <row r="354">
      <c r="F354" s="8" t="n"/>
      <c r="G354" s="8">
        <f>IF(E354="","",E354*F354)</f>
        <v/>
      </c>
      <c r="H354" s="8">
        <f>IF(G354="","",G354-I354)</f>
        <v/>
      </c>
      <c r="I354" s="8">
        <f>IF(D354="","",VLOOKUP(D354, RECETTES!B:G, 6, FALSE)*E354)</f>
        <v/>
      </c>
      <c r="J354" s="8">
        <f>IF(G354="","",G354*0.20)</f>
        <v/>
      </c>
      <c r="K354" s="8">
        <f>IF(G354="","",G354+J354)</f>
        <v/>
      </c>
    </row>
    <row r="355">
      <c r="F355" s="8" t="n"/>
      <c r="G355" s="8">
        <f>IF(E355="","",E355*F355)</f>
        <v/>
      </c>
      <c r="H355" s="8">
        <f>IF(G355="","",G355-I355)</f>
        <v/>
      </c>
      <c r="I355" s="8">
        <f>IF(D355="","",VLOOKUP(D355, RECETTES!B:G, 6, FALSE)*E355)</f>
        <v/>
      </c>
      <c r="J355" s="8">
        <f>IF(G355="","",G355*0.20)</f>
        <v/>
      </c>
      <c r="K355" s="8">
        <f>IF(G355="","",G355+J355)</f>
        <v/>
      </c>
    </row>
    <row r="356">
      <c r="F356" s="8" t="n"/>
      <c r="G356" s="8">
        <f>IF(E356="","",E356*F356)</f>
        <v/>
      </c>
      <c r="H356" s="8">
        <f>IF(G356="","",G356-I356)</f>
        <v/>
      </c>
      <c r="I356" s="8">
        <f>IF(D356="","",VLOOKUP(D356, RECETTES!B:G, 6, FALSE)*E356)</f>
        <v/>
      </c>
      <c r="J356" s="8">
        <f>IF(G356="","",G356*0.20)</f>
        <v/>
      </c>
      <c r="K356" s="8">
        <f>IF(G356="","",G356+J356)</f>
        <v/>
      </c>
    </row>
    <row r="357">
      <c r="F357" s="8" t="n"/>
      <c r="G357" s="8">
        <f>IF(E357="","",E357*F357)</f>
        <v/>
      </c>
      <c r="H357" s="8">
        <f>IF(G357="","",G357-I357)</f>
        <v/>
      </c>
      <c r="I357" s="8">
        <f>IF(D357="","",VLOOKUP(D357, RECETTES!B:G, 6, FALSE)*E357)</f>
        <v/>
      </c>
      <c r="J357" s="8">
        <f>IF(G357="","",G357*0.20)</f>
        <v/>
      </c>
      <c r="K357" s="8">
        <f>IF(G357="","",G357+J357)</f>
        <v/>
      </c>
    </row>
    <row r="358">
      <c r="F358" s="8" t="n"/>
      <c r="G358" s="8">
        <f>IF(E358="","",E358*F358)</f>
        <v/>
      </c>
      <c r="H358" s="8">
        <f>IF(G358="","",G358-I358)</f>
        <v/>
      </c>
      <c r="I358" s="8">
        <f>IF(D358="","",VLOOKUP(D358, RECETTES!B:G, 6, FALSE)*E358)</f>
        <v/>
      </c>
      <c r="J358" s="8">
        <f>IF(G358="","",G358*0.20)</f>
        <v/>
      </c>
      <c r="K358" s="8">
        <f>IF(G358="","",G358+J358)</f>
        <v/>
      </c>
    </row>
    <row r="359">
      <c r="F359" s="8" t="n"/>
      <c r="G359" s="8">
        <f>IF(E359="","",E359*F359)</f>
        <v/>
      </c>
      <c r="H359" s="8">
        <f>IF(G359="","",G359-I359)</f>
        <v/>
      </c>
      <c r="I359" s="8">
        <f>IF(D359="","",VLOOKUP(D359, RECETTES!B:G, 6, FALSE)*E359)</f>
        <v/>
      </c>
      <c r="J359" s="8">
        <f>IF(G359="","",G359*0.20)</f>
        <v/>
      </c>
      <c r="K359" s="8">
        <f>IF(G359="","",G359+J359)</f>
        <v/>
      </c>
    </row>
    <row r="360">
      <c r="F360" s="8" t="n"/>
      <c r="G360" s="8">
        <f>IF(E360="","",E360*F360)</f>
        <v/>
      </c>
      <c r="H360" s="8">
        <f>IF(G360="","",G360-I360)</f>
        <v/>
      </c>
      <c r="I360" s="8">
        <f>IF(D360="","",VLOOKUP(D360, RECETTES!B:G, 6, FALSE)*E360)</f>
        <v/>
      </c>
      <c r="J360" s="8">
        <f>IF(G360="","",G360*0.20)</f>
        <v/>
      </c>
      <c r="K360" s="8">
        <f>IF(G360="","",G360+J360)</f>
        <v/>
      </c>
    </row>
    <row r="361">
      <c r="F361" s="8" t="n"/>
      <c r="G361" s="8">
        <f>IF(E361="","",E361*F361)</f>
        <v/>
      </c>
      <c r="H361" s="8">
        <f>IF(G361="","",G361-I361)</f>
        <v/>
      </c>
      <c r="I361" s="8">
        <f>IF(D361="","",VLOOKUP(D361, RECETTES!B:G, 6, FALSE)*E361)</f>
        <v/>
      </c>
      <c r="J361" s="8">
        <f>IF(G361="","",G361*0.20)</f>
        <v/>
      </c>
      <c r="K361" s="8">
        <f>IF(G361="","",G361+J361)</f>
        <v/>
      </c>
    </row>
    <row r="362">
      <c r="F362" s="8" t="n"/>
      <c r="G362" s="8">
        <f>IF(E362="","",E362*F362)</f>
        <v/>
      </c>
      <c r="H362" s="8">
        <f>IF(G362="","",G362-I362)</f>
        <v/>
      </c>
      <c r="I362" s="8">
        <f>IF(D362="","",VLOOKUP(D362, RECETTES!B:G, 6, FALSE)*E362)</f>
        <v/>
      </c>
      <c r="J362" s="8">
        <f>IF(G362="","",G362*0.20)</f>
        <v/>
      </c>
      <c r="K362" s="8">
        <f>IF(G362="","",G362+J362)</f>
        <v/>
      </c>
    </row>
    <row r="363">
      <c r="F363" s="8" t="n"/>
      <c r="G363" s="8">
        <f>IF(E363="","",E363*F363)</f>
        <v/>
      </c>
      <c r="H363" s="8">
        <f>IF(G363="","",G363-I363)</f>
        <v/>
      </c>
      <c r="I363" s="8">
        <f>IF(D363="","",VLOOKUP(D363, RECETTES!B:G, 6, FALSE)*E363)</f>
        <v/>
      </c>
      <c r="J363" s="8">
        <f>IF(G363="","",G363*0.20)</f>
        <v/>
      </c>
      <c r="K363" s="8">
        <f>IF(G363="","",G363+J363)</f>
        <v/>
      </c>
    </row>
    <row r="364">
      <c r="F364" s="8" t="n"/>
      <c r="G364" s="8">
        <f>IF(E364="","",E364*F364)</f>
        <v/>
      </c>
      <c r="H364" s="8">
        <f>IF(G364="","",G364-I364)</f>
        <v/>
      </c>
      <c r="I364" s="8">
        <f>IF(D364="","",VLOOKUP(D364, RECETTES!B:G, 6, FALSE)*E364)</f>
        <v/>
      </c>
      <c r="J364" s="8">
        <f>IF(G364="","",G364*0.20)</f>
        <v/>
      </c>
      <c r="K364" s="8">
        <f>IF(G364="","",G364+J364)</f>
        <v/>
      </c>
    </row>
    <row r="365">
      <c r="F365" s="8" t="n"/>
      <c r="G365" s="8">
        <f>IF(E365="","",E365*F365)</f>
        <v/>
      </c>
      <c r="H365" s="8">
        <f>IF(G365="","",G365-I365)</f>
        <v/>
      </c>
      <c r="I365" s="8">
        <f>IF(D365="","",VLOOKUP(D365, RECETTES!B:G, 6, FALSE)*E365)</f>
        <v/>
      </c>
      <c r="J365" s="8">
        <f>IF(G365="","",G365*0.20)</f>
        <v/>
      </c>
      <c r="K365" s="8">
        <f>IF(G365="","",G365+J365)</f>
        <v/>
      </c>
    </row>
    <row r="366">
      <c r="F366" s="8" t="n"/>
      <c r="G366" s="8">
        <f>IF(E366="","",E366*F366)</f>
        <v/>
      </c>
      <c r="H366" s="8">
        <f>IF(G366="","",G366-I366)</f>
        <v/>
      </c>
      <c r="I366" s="8">
        <f>IF(D366="","",VLOOKUP(D366, RECETTES!B:G, 6, FALSE)*E366)</f>
        <v/>
      </c>
      <c r="J366" s="8">
        <f>IF(G366="","",G366*0.20)</f>
        <v/>
      </c>
      <c r="K366" s="8">
        <f>IF(G366="","",G366+J366)</f>
        <v/>
      </c>
    </row>
    <row r="367">
      <c r="F367" s="8" t="n"/>
      <c r="G367" s="8">
        <f>IF(E367="","",E367*F367)</f>
        <v/>
      </c>
      <c r="H367" s="8">
        <f>IF(G367="","",G367-I367)</f>
        <v/>
      </c>
      <c r="I367" s="8">
        <f>IF(D367="","",VLOOKUP(D367, RECETTES!B:G, 6, FALSE)*E367)</f>
        <v/>
      </c>
      <c r="J367" s="8">
        <f>IF(G367="","",G367*0.20)</f>
        <v/>
      </c>
      <c r="K367" s="8">
        <f>IF(G367="","",G367+J367)</f>
        <v/>
      </c>
    </row>
    <row r="368">
      <c r="F368" s="8" t="n"/>
      <c r="G368" s="8">
        <f>IF(E368="","",E368*F368)</f>
        <v/>
      </c>
      <c r="H368" s="8">
        <f>IF(G368="","",G368-I368)</f>
        <v/>
      </c>
      <c r="I368" s="8">
        <f>IF(D368="","",VLOOKUP(D368, RECETTES!B:G, 6, FALSE)*E368)</f>
        <v/>
      </c>
      <c r="J368" s="8">
        <f>IF(G368="","",G368*0.20)</f>
        <v/>
      </c>
      <c r="K368" s="8">
        <f>IF(G368="","",G368+J368)</f>
        <v/>
      </c>
    </row>
    <row r="369">
      <c r="F369" s="8" t="n"/>
      <c r="G369" s="8">
        <f>IF(E369="","",E369*F369)</f>
        <v/>
      </c>
      <c r="H369" s="8">
        <f>IF(G369="","",G369-I369)</f>
        <v/>
      </c>
      <c r="I369" s="8">
        <f>IF(D369="","",VLOOKUP(D369, RECETTES!B:G, 6, FALSE)*E369)</f>
        <v/>
      </c>
      <c r="J369" s="8">
        <f>IF(G369="","",G369*0.20)</f>
        <v/>
      </c>
      <c r="K369" s="8">
        <f>IF(G369="","",G369+J369)</f>
        <v/>
      </c>
    </row>
    <row r="370">
      <c r="F370" s="8" t="n"/>
      <c r="G370" s="8">
        <f>IF(E370="","",E370*F370)</f>
        <v/>
      </c>
      <c r="H370" s="8">
        <f>IF(G370="","",G370-I370)</f>
        <v/>
      </c>
      <c r="I370" s="8">
        <f>IF(D370="","",VLOOKUP(D370, RECETTES!B:G, 6, FALSE)*E370)</f>
        <v/>
      </c>
      <c r="J370" s="8">
        <f>IF(G370="","",G370*0.20)</f>
        <v/>
      </c>
      <c r="K370" s="8">
        <f>IF(G370="","",G370+J370)</f>
        <v/>
      </c>
    </row>
    <row r="371">
      <c r="F371" s="8" t="n"/>
      <c r="G371" s="8">
        <f>IF(E371="","",E371*F371)</f>
        <v/>
      </c>
      <c r="H371" s="8">
        <f>IF(G371="","",G371-I371)</f>
        <v/>
      </c>
      <c r="I371" s="8">
        <f>IF(D371="","",VLOOKUP(D371, RECETTES!B:G, 6, FALSE)*E371)</f>
        <v/>
      </c>
      <c r="J371" s="8">
        <f>IF(G371="","",G371*0.20)</f>
        <v/>
      </c>
      <c r="K371" s="8">
        <f>IF(G371="","",G371+J371)</f>
        <v/>
      </c>
    </row>
    <row r="372">
      <c r="F372" s="8" t="n"/>
      <c r="G372" s="8">
        <f>IF(E372="","",E372*F372)</f>
        <v/>
      </c>
      <c r="H372" s="8">
        <f>IF(G372="","",G372-I372)</f>
        <v/>
      </c>
      <c r="I372" s="8">
        <f>IF(D372="","",VLOOKUP(D372, RECETTES!B:G, 6, FALSE)*E372)</f>
        <v/>
      </c>
      <c r="J372" s="8">
        <f>IF(G372="","",G372*0.20)</f>
        <v/>
      </c>
      <c r="K372" s="8">
        <f>IF(G372="","",G372+J372)</f>
        <v/>
      </c>
    </row>
    <row r="373">
      <c r="F373" s="8" t="n"/>
      <c r="G373" s="8">
        <f>IF(E373="","",E373*F373)</f>
        <v/>
      </c>
      <c r="H373" s="8">
        <f>IF(G373="","",G373-I373)</f>
        <v/>
      </c>
      <c r="I373" s="8">
        <f>IF(D373="","",VLOOKUP(D373, RECETTES!B:G, 6, FALSE)*E373)</f>
        <v/>
      </c>
      <c r="J373" s="8">
        <f>IF(G373="","",G373*0.20)</f>
        <v/>
      </c>
      <c r="K373" s="8">
        <f>IF(G373="","",G373+J373)</f>
        <v/>
      </c>
    </row>
    <row r="374">
      <c r="F374" s="8" t="n"/>
      <c r="G374" s="8">
        <f>IF(E374="","",E374*F374)</f>
        <v/>
      </c>
      <c r="H374" s="8">
        <f>IF(G374="","",G374-I374)</f>
        <v/>
      </c>
      <c r="I374" s="8">
        <f>IF(D374="","",VLOOKUP(D374, RECETTES!B:G, 6, FALSE)*E374)</f>
        <v/>
      </c>
      <c r="J374" s="8">
        <f>IF(G374="","",G374*0.20)</f>
        <v/>
      </c>
      <c r="K374" s="8">
        <f>IF(G374="","",G374+J374)</f>
        <v/>
      </c>
    </row>
    <row r="375">
      <c r="F375" s="8" t="n"/>
      <c r="G375" s="8">
        <f>IF(E375="","",E375*F375)</f>
        <v/>
      </c>
      <c r="H375" s="8">
        <f>IF(G375="","",G375-I375)</f>
        <v/>
      </c>
      <c r="I375" s="8">
        <f>IF(D375="","",VLOOKUP(D375, RECETTES!B:G, 6, FALSE)*E375)</f>
        <v/>
      </c>
      <c r="J375" s="8">
        <f>IF(G375="","",G375*0.20)</f>
        <v/>
      </c>
      <c r="K375" s="8">
        <f>IF(G375="","",G375+J375)</f>
        <v/>
      </c>
    </row>
    <row r="376">
      <c r="F376" s="8" t="n"/>
      <c r="G376" s="8">
        <f>IF(E376="","",E376*F376)</f>
        <v/>
      </c>
      <c r="H376" s="8">
        <f>IF(G376="","",G376-I376)</f>
        <v/>
      </c>
      <c r="I376" s="8">
        <f>IF(D376="","",VLOOKUP(D376, RECETTES!B:G, 6, FALSE)*E376)</f>
        <v/>
      </c>
      <c r="J376" s="8">
        <f>IF(G376="","",G376*0.20)</f>
        <v/>
      </c>
      <c r="K376" s="8">
        <f>IF(G376="","",G376+J376)</f>
        <v/>
      </c>
    </row>
    <row r="377">
      <c r="F377" s="8" t="n"/>
      <c r="G377" s="8">
        <f>IF(E377="","",E377*F377)</f>
        <v/>
      </c>
      <c r="H377" s="8">
        <f>IF(G377="","",G377-I377)</f>
        <v/>
      </c>
      <c r="I377" s="8">
        <f>IF(D377="","",VLOOKUP(D377, RECETTES!B:G, 6, FALSE)*E377)</f>
        <v/>
      </c>
      <c r="J377" s="8">
        <f>IF(G377="","",G377*0.20)</f>
        <v/>
      </c>
      <c r="K377" s="8">
        <f>IF(G377="","",G377+J377)</f>
        <v/>
      </c>
    </row>
    <row r="378">
      <c r="F378" s="8" t="n"/>
      <c r="G378" s="8">
        <f>IF(E378="","",E378*F378)</f>
        <v/>
      </c>
      <c r="H378" s="8">
        <f>IF(G378="","",G378-I378)</f>
        <v/>
      </c>
      <c r="I378" s="8">
        <f>IF(D378="","",VLOOKUP(D378, RECETTES!B:G, 6, FALSE)*E378)</f>
        <v/>
      </c>
      <c r="J378" s="8">
        <f>IF(G378="","",G378*0.20)</f>
        <v/>
      </c>
      <c r="K378" s="8">
        <f>IF(G378="","",G378+J378)</f>
        <v/>
      </c>
    </row>
    <row r="379">
      <c r="F379" s="8" t="n"/>
      <c r="G379" s="8">
        <f>IF(E379="","",E379*F379)</f>
        <v/>
      </c>
      <c r="H379" s="8">
        <f>IF(G379="","",G379-I379)</f>
        <v/>
      </c>
      <c r="I379" s="8">
        <f>IF(D379="","",VLOOKUP(D379, RECETTES!B:G, 6, FALSE)*E379)</f>
        <v/>
      </c>
      <c r="J379" s="8">
        <f>IF(G379="","",G379*0.20)</f>
        <v/>
      </c>
      <c r="K379" s="8">
        <f>IF(G379="","",G379+J379)</f>
        <v/>
      </c>
    </row>
    <row r="380">
      <c r="F380" s="8" t="n"/>
      <c r="G380" s="8">
        <f>IF(E380="","",E380*F380)</f>
        <v/>
      </c>
      <c r="H380" s="8">
        <f>IF(G380="","",G380-I380)</f>
        <v/>
      </c>
      <c r="I380" s="8">
        <f>IF(D380="","",VLOOKUP(D380, RECETTES!B:G, 6, FALSE)*E380)</f>
        <v/>
      </c>
      <c r="J380" s="8">
        <f>IF(G380="","",G380*0.20)</f>
        <v/>
      </c>
      <c r="K380" s="8">
        <f>IF(G380="","",G380+J380)</f>
        <v/>
      </c>
    </row>
    <row r="381">
      <c r="F381" s="8" t="n"/>
      <c r="G381" s="8">
        <f>IF(E381="","",E381*F381)</f>
        <v/>
      </c>
      <c r="H381" s="8">
        <f>IF(G381="","",G381-I381)</f>
        <v/>
      </c>
      <c r="I381" s="8">
        <f>IF(D381="","",VLOOKUP(D381, RECETTES!B:G, 6, FALSE)*E381)</f>
        <v/>
      </c>
      <c r="J381" s="8">
        <f>IF(G381="","",G381*0.20)</f>
        <v/>
      </c>
      <c r="K381" s="8">
        <f>IF(G381="","",G381+J381)</f>
        <v/>
      </c>
    </row>
    <row r="382">
      <c r="F382" s="8" t="n"/>
      <c r="G382" s="8">
        <f>IF(E382="","",E382*F382)</f>
        <v/>
      </c>
      <c r="H382" s="8">
        <f>IF(G382="","",G382-I382)</f>
        <v/>
      </c>
      <c r="I382" s="8">
        <f>IF(D382="","",VLOOKUP(D382, RECETTES!B:G, 6, FALSE)*E382)</f>
        <v/>
      </c>
      <c r="J382" s="8">
        <f>IF(G382="","",G382*0.20)</f>
        <v/>
      </c>
      <c r="K382" s="8">
        <f>IF(G382="","",G382+J382)</f>
        <v/>
      </c>
    </row>
    <row r="383">
      <c r="F383" s="8" t="n"/>
      <c r="G383" s="8">
        <f>IF(E383="","",E383*F383)</f>
        <v/>
      </c>
      <c r="H383" s="8">
        <f>IF(G383="","",G383-I383)</f>
        <v/>
      </c>
      <c r="I383" s="8">
        <f>IF(D383="","",VLOOKUP(D383, RECETTES!B:G, 6, FALSE)*E383)</f>
        <v/>
      </c>
      <c r="J383" s="8">
        <f>IF(G383="","",G383*0.20)</f>
        <v/>
      </c>
      <c r="K383" s="8">
        <f>IF(G383="","",G383+J383)</f>
        <v/>
      </c>
    </row>
    <row r="384">
      <c r="F384" s="8" t="n"/>
      <c r="G384" s="8">
        <f>IF(E384="","",E384*F384)</f>
        <v/>
      </c>
      <c r="H384" s="8">
        <f>IF(G384="","",G384-I384)</f>
        <v/>
      </c>
      <c r="I384" s="8">
        <f>IF(D384="","",VLOOKUP(D384, RECETTES!B:G, 6, FALSE)*E384)</f>
        <v/>
      </c>
      <c r="J384" s="8">
        <f>IF(G384="","",G384*0.20)</f>
        <v/>
      </c>
      <c r="K384" s="8">
        <f>IF(G384="","",G384+J384)</f>
        <v/>
      </c>
    </row>
    <row r="385">
      <c r="F385" s="8" t="n"/>
      <c r="G385" s="8">
        <f>IF(E385="","",E385*F385)</f>
        <v/>
      </c>
      <c r="H385" s="8">
        <f>IF(G385="","",G385-I385)</f>
        <v/>
      </c>
      <c r="I385" s="8">
        <f>IF(D385="","",VLOOKUP(D385, RECETTES!B:G, 6, FALSE)*E385)</f>
        <v/>
      </c>
      <c r="J385" s="8">
        <f>IF(G385="","",G385*0.20)</f>
        <v/>
      </c>
      <c r="K385" s="8">
        <f>IF(G385="","",G385+J385)</f>
        <v/>
      </c>
    </row>
    <row r="386">
      <c r="F386" s="8" t="n"/>
      <c r="G386" s="8">
        <f>IF(E386="","",E386*F386)</f>
        <v/>
      </c>
      <c r="H386" s="8">
        <f>IF(G386="","",G386-I386)</f>
        <v/>
      </c>
      <c r="I386" s="8">
        <f>IF(D386="","",VLOOKUP(D386, RECETTES!B:G, 6, FALSE)*E386)</f>
        <v/>
      </c>
      <c r="J386" s="8">
        <f>IF(G386="","",G386*0.20)</f>
        <v/>
      </c>
      <c r="K386" s="8">
        <f>IF(G386="","",G386+J386)</f>
        <v/>
      </c>
    </row>
    <row r="387">
      <c r="F387" s="8" t="n"/>
      <c r="G387" s="8">
        <f>IF(E387="","",E387*F387)</f>
        <v/>
      </c>
      <c r="H387" s="8">
        <f>IF(G387="","",G387-I387)</f>
        <v/>
      </c>
      <c r="I387" s="8">
        <f>IF(D387="","",VLOOKUP(D387, RECETTES!B:G, 6, FALSE)*E387)</f>
        <v/>
      </c>
      <c r="J387" s="8">
        <f>IF(G387="","",G387*0.20)</f>
        <v/>
      </c>
      <c r="K387" s="8">
        <f>IF(G387="","",G387+J387)</f>
        <v/>
      </c>
    </row>
    <row r="388">
      <c r="F388" s="8" t="n"/>
      <c r="G388" s="8">
        <f>IF(E388="","",E388*F388)</f>
        <v/>
      </c>
      <c r="H388" s="8">
        <f>IF(G388="","",G388-I388)</f>
        <v/>
      </c>
      <c r="I388" s="8">
        <f>IF(D388="","",VLOOKUP(D388, RECETTES!B:G, 6, FALSE)*E388)</f>
        <v/>
      </c>
      <c r="J388" s="8">
        <f>IF(G388="","",G388*0.20)</f>
        <v/>
      </c>
      <c r="K388" s="8">
        <f>IF(G388="","",G388+J388)</f>
        <v/>
      </c>
    </row>
    <row r="389">
      <c r="F389" s="8" t="n"/>
      <c r="G389" s="8">
        <f>IF(E389="","",E389*F389)</f>
        <v/>
      </c>
      <c r="H389" s="8">
        <f>IF(G389="","",G389-I389)</f>
        <v/>
      </c>
      <c r="I389" s="8">
        <f>IF(D389="","",VLOOKUP(D389, RECETTES!B:G, 6, FALSE)*E389)</f>
        <v/>
      </c>
      <c r="J389" s="8">
        <f>IF(G389="","",G389*0.20)</f>
        <v/>
      </c>
      <c r="K389" s="8">
        <f>IF(G389="","",G389+J389)</f>
        <v/>
      </c>
    </row>
    <row r="390">
      <c r="F390" s="8" t="n"/>
      <c r="G390" s="8">
        <f>IF(E390="","",E390*F390)</f>
        <v/>
      </c>
      <c r="H390" s="8">
        <f>IF(G390="","",G390-I390)</f>
        <v/>
      </c>
      <c r="I390" s="8">
        <f>IF(D390="","",VLOOKUP(D390, RECETTES!B:G, 6, FALSE)*E390)</f>
        <v/>
      </c>
      <c r="J390" s="8">
        <f>IF(G390="","",G390*0.20)</f>
        <v/>
      </c>
      <c r="K390" s="8">
        <f>IF(G390="","",G390+J390)</f>
        <v/>
      </c>
    </row>
    <row r="391">
      <c r="F391" s="8" t="n"/>
      <c r="G391" s="8">
        <f>IF(E391="","",E391*F391)</f>
        <v/>
      </c>
      <c r="H391" s="8">
        <f>IF(G391="","",G391-I391)</f>
        <v/>
      </c>
      <c r="I391" s="8">
        <f>IF(D391="","",VLOOKUP(D391, RECETTES!B:G, 6, FALSE)*E391)</f>
        <v/>
      </c>
      <c r="J391" s="8">
        <f>IF(G391="","",G391*0.20)</f>
        <v/>
      </c>
      <c r="K391" s="8">
        <f>IF(G391="","",G391+J391)</f>
        <v/>
      </c>
    </row>
    <row r="392">
      <c r="F392" s="8" t="n"/>
      <c r="G392" s="8">
        <f>IF(E392="","",E392*F392)</f>
        <v/>
      </c>
      <c r="H392" s="8">
        <f>IF(G392="","",G392-I392)</f>
        <v/>
      </c>
      <c r="I392" s="8">
        <f>IF(D392="","",VLOOKUP(D392, RECETTES!B:G, 6, FALSE)*E392)</f>
        <v/>
      </c>
      <c r="J392" s="8">
        <f>IF(G392="","",G392*0.20)</f>
        <v/>
      </c>
      <c r="K392" s="8">
        <f>IF(G392="","",G392+J392)</f>
        <v/>
      </c>
    </row>
    <row r="393">
      <c r="F393" s="8" t="n"/>
      <c r="G393" s="8">
        <f>IF(E393="","",E393*F393)</f>
        <v/>
      </c>
      <c r="H393" s="8">
        <f>IF(G393="","",G393-I393)</f>
        <v/>
      </c>
      <c r="I393" s="8">
        <f>IF(D393="","",VLOOKUP(D393, RECETTES!B:G, 6, FALSE)*E393)</f>
        <v/>
      </c>
      <c r="J393" s="8">
        <f>IF(G393="","",G393*0.20)</f>
        <v/>
      </c>
      <c r="K393" s="8">
        <f>IF(G393="","",G393+J393)</f>
        <v/>
      </c>
    </row>
    <row r="394">
      <c r="F394" s="8" t="n"/>
      <c r="G394" s="8">
        <f>IF(E394="","",E394*F394)</f>
        <v/>
      </c>
      <c r="H394" s="8">
        <f>IF(G394="","",G394-I394)</f>
        <v/>
      </c>
      <c r="I394" s="8">
        <f>IF(D394="","",VLOOKUP(D394, RECETTES!B:G, 6, FALSE)*E394)</f>
        <v/>
      </c>
      <c r="J394" s="8">
        <f>IF(G394="","",G394*0.20)</f>
        <v/>
      </c>
      <c r="K394" s="8">
        <f>IF(G394="","",G394+J394)</f>
        <v/>
      </c>
    </row>
    <row r="395">
      <c r="F395" s="8" t="n"/>
      <c r="G395" s="8">
        <f>IF(E395="","",E395*F395)</f>
        <v/>
      </c>
      <c r="H395" s="8">
        <f>IF(G395="","",G395-I395)</f>
        <v/>
      </c>
      <c r="I395" s="8">
        <f>IF(D395="","",VLOOKUP(D395, RECETTES!B:G, 6, FALSE)*E395)</f>
        <v/>
      </c>
      <c r="J395" s="8">
        <f>IF(G395="","",G395*0.20)</f>
        <v/>
      </c>
      <c r="K395" s="8">
        <f>IF(G395="","",G395+J395)</f>
        <v/>
      </c>
    </row>
    <row r="396">
      <c r="F396" s="8" t="n"/>
      <c r="G396" s="8">
        <f>IF(E396="","",E396*F396)</f>
        <v/>
      </c>
      <c r="H396" s="8">
        <f>IF(G396="","",G396-I396)</f>
        <v/>
      </c>
      <c r="I396" s="8">
        <f>IF(D396="","",VLOOKUP(D396, RECETTES!B:G, 6, FALSE)*E396)</f>
        <v/>
      </c>
      <c r="J396" s="8">
        <f>IF(G396="","",G396*0.20)</f>
        <v/>
      </c>
      <c r="K396" s="8">
        <f>IF(G396="","",G396+J396)</f>
        <v/>
      </c>
    </row>
    <row r="397">
      <c r="F397" s="8" t="n"/>
      <c r="G397" s="8">
        <f>IF(E397="","",E397*F397)</f>
        <v/>
      </c>
      <c r="H397" s="8">
        <f>IF(G397="","",G397-I397)</f>
        <v/>
      </c>
      <c r="I397" s="8">
        <f>IF(D397="","",VLOOKUP(D397, RECETTES!B:G, 6, FALSE)*E397)</f>
        <v/>
      </c>
      <c r="J397" s="8">
        <f>IF(G397="","",G397*0.20)</f>
        <v/>
      </c>
      <c r="K397" s="8">
        <f>IF(G397="","",G397+J397)</f>
        <v/>
      </c>
    </row>
    <row r="398">
      <c r="F398" s="8" t="n"/>
      <c r="G398" s="8">
        <f>IF(E398="","",E398*F398)</f>
        <v/>
      </c>
      <c r="H398" s="8">
        <f>IF(G398="","",G398-I398)</f>
        <v/>
      </c>
      <c r="I398" s="8">
        <f>IF(D398="","",VLOOKUP(D398, RECETTES!B:G, 6, FALSE)*E398)</f>
        <v/>
      </c>
      <c r="J398" s="8">
        <f>IF(G398="","",G398*0.20)</f>
        <v/>
      </c>
      <c r="K398" s="8">
        <f>IF(G398="","",G398+J398)</f>
        <v/>
      </c>
    </row>
    <row r="399">
      <c r="F399" s="8" t="n"/>
      <c r="G399" s="8">
        <f>IF(E399="","",E399*F399)</f>
        <v/>
      </c>
      <c r="H399" s="8">
        <f>IF(G399="","",G399-I399)</f>
        <v/>
      </c>
      <c r="I399" s="8">
        <f>IF(D399="","",VLOOKUP(D399, RECETTES!B:G, 6, FALSE)*E399)</f>
        <v/>
      </c>
      <c r="J399" s="8">
        <f>IF(G399="","",G399*0.20)</f>
        <v/>
      </c>
      <c r="K399" s="8">
        <f>IF(G399="","",G399+J399)</f>
        <v/>
      </c>
    </row>
    <row r="400">
      <c r="F400" s="8" t="n"/>
      <c r="G400" s="8">
        <f>IF(E400="","",E400*F400)</f>
        <v/>
      </c>
      <c r="H400" s="8">
        <f>IF(G400="","",G400-I400)</f>
        <v/>
      </c>
      <c r="I400" s="8">
        <f>IF(D400="","",VLOOKUP(D400, RECETTES!B:G, 6, FALSE)*E400)</f>
        <v/>
      </c>
      <c r="J400" s="8">
        <f>IF(G400="","",G400*0.20)</f>
        <v/>
      </c>
      <c r="K400" s="8">
        <f>IF(G400="","",G400+J400)</f>
        <v/>
      </c>
    </row>
    <row r="401">
      <c r="F401" s="8" t="n"/>
      <c r="G401" s="8">
        <f>IF(E401="","",E401*F401)</f>
        <v/>
      </c>
      <c r="H401" s="8">
        <f>IF(G401="","",G401-I401)</f>
        <v/>
      </c>
      <c r="I401" s="8">
        <f>IF(D401="","",VLOOKUP(D401, RECETTES!B:G, 6, FALSE)*E401)</f>
        <v/>
      </c>
      <c r="J401" s="8">
        <f>IF(G401="","",G401*0.20)</f>
        <v/>
      </c>
      <c r="K401" s="8">
        <f>IF(G401="","",G401+J401)</f>
        <v/>
      </c>
    </row>
    <row r="402">
      <c r="F402" s="8" t="n"/>
      <c r="G402" s="8">
        <f>IF(E402="","",E402*F402)</f>
        <v/>
      </c>
      <c r="H402" s="8">
        <f>IF(G402="","",G402-I402)</f>
        <v/>
      </c>
      <c r="I402" s="8">
        <f>IF(D402="","",VLOOKUP(D402, RECETTES!B:G, 6, FALSE)*E402)</f>
        <v/>
      </c>
      <c r="J402" s="8">
        <f>IF(G402="","",G402*0.20)</f>
        <v/>
      </c>
      <c r="K402" s="8">
        <f>IF(G402="","",G402+J402)</f>
        <v/>
      </c>
    </row>
    <row r="403">
      <c r="F403" s="8" t="n"/>
      <c r="G403" s="8">
        <f>IF(E403="","",E403*F403)</f>
        <v/>
      </c>
      <c r="H403" s="8">
        <f>IF(G403="","",G403-I403)</f>
        <v/>
      </c>
      <c r="I403" s="8">
        <f>IF(D403="","",VLOOKUP(D403, RECETTES!B:G, 6, FALSE)*E403)</f>
        <v/>
      </c>
      <c r="J403" s="8">
        <f>IF(G403="","",G403*0.20)</f>
        <v/>
      </c>
      <c r="K403" s="8">
        <f>IF(G403="","",G403+J403)</f>
        <v/>
      </c>
    </row>
    <row r="404">
      <c r="F404" s="8" t="n"/>
      <c r="G404" s="8">
        <f>IF(E404="","",E404*F404)</f>
        <v/>
      </c>
      <c r="H404" s="8">
        <f>IF(G404="","",G404-I404)</f>
        <v/>
      </c>
      <c r="I404" s="8">
        <f>IF(D404="","",VLOOKUP(D404, RECETTES!B:G, 6, FALSE)*E404)</f>
        <v/>
      </c>
      <c r="J404" s="8">
        <f>IF(G404="","",G404*0.20)</f>
        <v/>
      </c>
      <c r="K404" s="8">
        <f>IF(G404="","",G404+J404)</f>
        <v/>
      </c>
    </row>
    <row r="405">
      <c r="F405" s="8" t="n"/>
      <c r="G405" s="8">
        <f>IF(E405="","",E405*F405)</f>
        <v/>
      </c>
      <c r="H405" s="8">
        <f>IF(G405="","",G405-I405)</f>
        <v/>
      </c>
      <c r="I405" s="8">
        <f>IF(D405="","",VLOOKUP(D405, RECETTES!B:G, 6, FALSE)*E405)</f>
        <v/>
      </c>
      <c r="J405" s="8">
        <f>IF(G405="","",G405*0.20)</f>
        <v/>
      </c>
      <c r="K405" s="8">
        <f>IF(G405="","",G405+J405)</f>
        <v/>
      </c>
    </row>
    <row r="406">
      <c r="F406" s="8" t="n"/>
      <c r="G406" s="8">
        <f>IF(E406="","",E406*F406)</f>
        <v/>
      </c>
      <c r="H406" s="8">
        <f>IF(G406="","",G406-I406)</f>
        <v/>
      </c>
      <c r="I406" s="8">
        <f>IF(D406="","",VLOOKUP(D406, RECETTES!B:G, 6, FALSE)*E406)</f>
        <v/>
      </c>
      <c r="J406" s="8">
        <f>IF(G406="","",G406*0.20)</f>
        <v/>
      </c>
      <c r="K406" s="8">
        <f>IF(G406="","",G406+J406)</f>
        <v/>
      </c>
    </row>
    <row r="407">
      <c r="F407" s="8" t="n"/>
      <c r="G407" s="8">
        <f>IF(E407="","",E407*F407)</f>
        <v/>
      </c>
      <c r="H407" s="8">
        <f>IF(G407="","",G407-I407)</f>
        <v/>
      </c>
      <c r="I407" s="8">
        <f>IF(D407="","",VLOOKUP(D407, RECETTES!B:G, 6, FALSE)*E407)</f>
        <v/>
      </c>
      <c r="J407" s="8">
        <f>IF(G407="","",G407*0.20)</f>
        <v/>
      </c>
      <c r="K407" s="8">
        <f>IF(G407="","",G407+J407)</f>
        <v/>
      </c>
    </row>
    <row r="408">
      <c r="F408" s="8" t="n"/>
      <c r="G408" s="8">
        <f>IF(E408="","",E408*F408)</f>
        <v/>
      </c>
      <c r="H408" s="8">
        <f>IF(G408="","",G408-I408)</f>
        <v/>
      </c>
      <c r="I408" s="8">
        <f>IF(D408="","",VLOOKUP(D408, RECETTES!B:G, 6, FALSE)*E408)</f>
        <v/>
      </c>
      <c r="J408" s="8">
        <f>IF(G408="","",G408*0.20)</f>
        <v/>
      </c>
      <c r="K408" s="8">
        <f>IF(G408="","",G408+J408)</f>
        <v/>
      </c>
    </row>
    <row r="409">
      <c r="F409" s="8" t="n"/>
      <c r="G409" s="8">
        <f>IF(E409="","",E409*F409)</f>
        <v/>
      </c>
      <c r="H409" s="8">
        <f>IF(G409="","",G409-I409)</f>
        <v/>
      </c>
      <c r="I409" s="8">
        <f>IF(D409="","",VLOOKUP(D409, RECETTES!B:G, 6, FALSE)*E409)</f>
        <v/>
      </c>
      <c r="J409" s="8">
        <f>IF(G409="","",G409*0.20)</f>
        <v/>
      </c>
      <c r="K409" s="8">
        <f>IF(G409="","",G409+J409)</f>
        <v/>
      </c>
    </row>
    <row r="410">
      <c r="F410" s="8" t="n"/>
      <c r="G410" s="8">
        <f>IF(E410="","",E410*F410)</f>
        <v/>
      </c>
      <c r="H410" s="8">
        <f>IF(G410="","",G410-I410)</f>
        <v/>
      </c>
      <c r="I410" s="8">
        <f>IF(D410="","",VLOOKUP(D410, RECETTES!B:G, 6, FALSE)*E410)</f>
        <v/>
      </c>
      <c r="J410" s="8">
        <f>IF(G410="","",G410*0.20)</f>
        <v/>
      </c>
      <c r="K410" s="8">
        <f>IF(G410="","",G410+J410)</f>
        <v/>
      </c>
    </row>
    <row r="411">
      <c r="F411" s="8" t="n"/>
      <c r="G411" s="8">
        <f>IF(E411="","",E411*F411)</f>
        <v/>
      </c>
      <c r="H411" s="8">
        <f>IF(G411="","",G411-I411)</f>
        <v/>
      </c>
      <c r="I411" s="8">
        <f>IF(D411="","",VLOOKUP(D411, RECETTES!B:G, 6, FALSE)*E411)</f>
        <v/>
      </c>
      <c r="J411" s="8">
        <f>IF(G411="","",G411*0.20)</f>
        <v/>
      </c>
      <c r="K411" s="8">
        <f>IF(G411="","",G411+J411)</f>
        <v/>
      </c>
    </row>
    <row r="412">
      <c r="F412" s="8" t="n"/>
      <c r="G412" s="8">
        <f>IF(E412="","",E412*F412)</f>
        <v/>
      </c>
      <c r="H412" s="8">
        <f>IF(G412="","",G412-I412)</f>
        <v/>
      </c>
      <c r="I412" s="8">
        <f>IF(D412="","",VLOOKUP(D412, RECETTES!B:G, 6, FALSE)*E412)</f>
        <v/>
      </c>
      <c r="J412" s="8">
        <f>IF(G412="","",G412*0.20)</f>
        <v/>
      </c>
      <c r="K412" s="8">
        <f>IF(G412="","",G412+J412)</f>
        <v/>
      </c>
    </row>
    <row r="413">
      <c r="F413" s="8" t="n"/>
      <c r="G413" s="8">
        <f>IF(E413="","",E413*F413)</f>
        <v/>
      </c>
      <c r="H413" s="8">
        <f>IF(G413="","",G413-I413)</f>
        <v/>
      </c>
      <c r="I413" s="8">
        <f>IF(D413="","",VLOOKUP(D413, RECETTES!B:G, 6, FALSE)*E413)</f>
        <v/>
      </c>
      <c r="J413" s="8">
        <f>IF(G413="","",G413*0.20)</f>
        <v/>
      </c>
      <c r="K413" s="8">
        <f>IF(G413="","",G413+J413)</f>
        <v/>
      </c>
    </row>
    <row r="414">
      <c r="F414" s="8" t="n"/>
      <c r="G414" s="8">
        <f>IF(E414="","",E414*F414)</f>
        <v/>
      </c>
      <c r="H414" s="8">
        <f>IF(G414="","",G414-I414)</f>
        <v/>
      </c>
      <c r="I414" s="8">
        <f>IF(D414="","",VLOOKUP(D414, RECETTES!B:G, 6, FALSE)*E414)</f>
        <v/>
      </c>
      <c r="J414" s="8">
        <f>IF(G414="","",G414*0.20)</f>
        <v/>
      </c>
      <c r="K414" s="8">
        <f>IF(G414="","",G414+J414)</f>
        <v/>
      </c>
    </row>
    <row r="415">
      <c r="F415" s="8" t="n"/>
      <c r="G415" s="8">
        <f>IF(E415="","",E415*F415)</f>
        <v/>
      </c>
      <c r="H415" s="8">
        <f>IF(G415="","",G415-I415)</f>
        <v/>
      </c>
      <c r="I415" s="8">
        <f>IF(D415="","",VLOOKUP(D415, RECETTES!B:G, 6, FALSE)*E415)</f>
        <v/>
      </c>
      <c r="J415" s="8">
        <f>IF(G415="","",G415*0.20)</f>
        <v/>
      </c>
      <c r="K415" s="8">
        <f>IF(G415="","",G415+J415)</f>
        <v/>
      </c>
    </row>
    <row r="416">
      <c r="F416" s="8" t="n"/>
      <c r="G416" s="8">
        <f>IF(E416="","",E416*F416)</f>
        <v/>
      </c>
      <c r="H416" s="8">
        <f>IF(G416="","",G416-I416)</f>
        <v/>
      </c>
      <c r="I416" s="8">
        <f>IF(D416="","",VLOOKUP(D416, RECETTES!B:G, 6, FALSE)*E416)</f>
        <v/>
      </c>
      <c r="J416" s="8">
        <f>IF(G416="","",G416*0.20)</f>
        <v/>
      </c>
      <c r="K416" s="8">
        <f>IF(G416="","",G416+J416)</f>
        <v/>
      </c>
    </row>
    <row r="417">
      <c r="F417" s="8" t="n"/>
      <c r="G417" s="8">
        <f>IF(E417="","",E417*F417)</f>
        <v/>
      </c>
      <c r="H417" s="8">
        <f>IF(G417="","",G417-I417)</f>
        <v/>
      </c>
      <c r="I417" s="8">
        <f>IF(D417="","",VLOOKUP(D417, RECETTES!B:G, 6, FALSE)*E417)</f>
        <v/>
      </c>
      <c r="J417" s="8">
        <f>IF(G417="","",G417*0.20)</f>
        <v/>
      </c>
      <c r="K417" s="8">
        <f>IF(G417="","",G417+J417)</f>
        <v/>
      </c>
    </row>
    <row r="418">
      <c r="F418" s="8" t="n"/>
      <c r="G418" s="8">
        <f>IF(E418="","",E418*F418)</f>
        <v/>
      </c>
      <c r="H418" s="8">
        <f>IF(G418="","",G418-I418)</f>
        <v/>
      </c>
      <c r="I418" s="8">
        <f>IF(D418="","",VLOOKUP(D418, RECETTES!B:G, 6, FALSE)*E418)</f>
        <v/>
      </c>
      <c r="J418" s="8">
        <f>IF(G418="","",G418*0.20)</f>
        <v/>
      </c>
      <c r="K418" s="8">
        <f>IF(G418="","",G418+J418)</f>
        <v/>
      </c>
    </row>
    <row r="419">
      <c r="F419" s="8" t="n"/>
      <c r="G419" s="8">
        <f>IF(E419="","",E419*F419)</f>
        <v/>
      </c>
      <c r="H419" s="8">
        <f>IF(G419="","",G419-I419)</f>
        <v/>
      </c>
      <c r="I419" s="8">
        <f>IF(D419="","",VLOOKUP(D419, RECETTES!B:G, 6, FALSE)*E419)</f>
        <v/>
      </c>
      <c r="J419" s="8">
        <f>IF(G419="","",G419*0.20)</f>
        <v/>
      </c>
      <c r="K419" s="8">
        <f>IF(G419="","",G419+J419)</f>
        <v/>
      </c>
    </row>
    <row r="420">
      <c r="F420" s="8" t="n"/>
      <c r="G420" s="8">
        <f>IF(E420="","",E420*F420)</f>
        <v/>
      </c>
      <c r="H420" s="8">
        <f>IF(G420="","",G420-I420)</f>
        <v/>
      </c>
      <c r="I420" s="8">
        <f>IF(D420="","",VLOOKUP(D420, RECETTES!B:G, 6, FALSE)*E420)</f>
        <v/>
      </c>
      <c r="J420" s="8">
        <f>IF(G420="","",G420*0.20)</f>
        <v/>
      </c>
      <c r="K420" s="8">
        <f>IF(G420="","",G420+J420)</f>
        <v/>
      </c>
    </row>
    <row r="421">
      <c r="F421" s="8" t="n"/>
      <c r="G421" s="8">
        <f>IF(E421="","",E421*F421)</f>
        <v/>
      </c>
      <c r="H421" s="8">
        <f>IF(G421="","",G421-I421)</f>
        <v/>
      </c>
      <c r="I421" s="8">
        <f>IF(D421="","",VLOOKUP(D421, RECETTES!B:G, 6, FALSE)*E421)</f>
        <v/>
      </c>
      <c r="J421" s="8">
        <f>IF(G421="","",G421*0.20)</f>
        <v/>
      </c>
      <c r="K421" s="8">
        <f>IF(G421="","",G421+J421)</f>
        <v/>
      </c>
    </row>
    <row r="422">
      <c r="F422" s="8" t="n"/>
      <c r="G422" s="8">
        <f>IF(E422="","",E422*F422)</f>
        <v/>
      </c>
      <c r="H422" s="8">
        <f>IF(G422="","",G422-I422)</f>
        <v/>
      </c>
      <c r="I422" s="8">
        <f>IF(D422="","",VLOOKUP(D422, RECETTES!B:G, 6, FALSE)*E422)</f>
        <v/>
      </c>
      <c r="J422" s="8">
        <f>IF(G422="","",G422*0.20)</f>
        <v/>
      </c>
      <c r="K422" s="8">
        <f>IF(G422="","",G422+J422)</f>
        <v/>
      </c>
    </row>
    <row r="423">
      <c r="F423" s="8" t="n"/>
      <c r="G423" s="8">
        <f>IF(E423="","",E423*F423)</f>
        <v/>
      </c>
      <c r="H423" s="8">
        <f>IF(G423="","",G423-I423)</f>
        <v/>
      </c>
      <c r="I423" s="8">
        <f>IF(D423="","",VLOOKUP(D423, RECETTES!B:G, 6, FALSE)*E423)</f>
        <v/>
      </c>
      <c r="J423" s="8">
        <f>IF(G423="","",G423*0.20)</f>
        <v/>
      </c>
      <c r="K423" s="8">
        <f>IF(G423="","",G423+J423)</f>
        <v/>
      </c>
    </row>
    <row r="424">
      <c r="F424" s="8" t="n"/>
      <c r="G424" s="8">
        <f>IF(E424="","",E424*F424)</f>
        <v/>
      </c>
      <c r="H424" s="8">
        <f>IF(G424="","",G424-I424)</f>
        <v/>
      </c>
      <c r="I424" s="8">
        <f>IF(D424="","",VLOOKUP(D424, RECETTES!B:G, 6, FALSE)*E424)</f>
        <v/>
      </c>
      <c r="J424" s="8">
        <f>IF(G424="","",G424*0.20)</f>
        <v/>
      </c>
      <c r="K424" s="8">
        <f>IF(G424="","",G424+J424)</f>
        <v/>
      </c>
    </row>
    <row r="425">
      <c r="F425" s="8" t="n"/>
      <c r="G425" s="8">
        <f>IF(E425="","",E425*F425)</f>
        <v/>
      </c>
      <c r="H425" s="8">
        <f>IF(G425="","",G425-I425)</f>
        <v/>
      </c>
      <c r="I425" s="8">
        <f>IF(D425="","",VLOOKUP(D425, RECETTES!B:G, 6, FALSE)*E425)</f>
        <v/>
      </c>
      <c r="J425" s="8">
        <f>IF(G425="","",G425*0.20)</f>
        <v/>
      </c>
      <c r="K425" s="8">
        <f>IF(G425="","",G425+J425)</f>
        <v/>
      </c>
    </row>
    <row r="426">
      <c r="F426" s="8" t="n"/>
      <c r="G426" s="8">
        <f>IF(E426="","",E426*F426)</f>
        <v/>
      </c>
      <c r="H426" s="8">
        <f>IF(G426="","",G426-I426)</f>
        <v/>
      </c>
      <c r="I426" s="8">
        <f>IF(D426="","",VLOOKUP(D426, RECETTES!B:G, 6, FALSE)*E426)</f>
        <v/>
      </c>
      <c r="J426" s="8">
        <f>IF(G426="","",G426*0.20)</f>
        <v/>
      </c>
      <c r="K426" s="8">
        <f>IF(G426="","",G426+J426)</f>
        <v/>
      </c>
    </row>
    <row r="427">
      <c r="F427" s="8" t="n"/>
      <c r="G427" s="8">
        <f>IF(E427="","",E427*F427)</f>
        <v/>
      </c>
      <c r="H427" s="8">
        <f>IF(G427="","",G427-I427)</f>
        <v/>
      </c>
      <c r="I427" s="8">
        <f>IF(D427="","",VLOOKUP(D427, RECETTES!B:G, 6, FALSE)*E427)</f>
        <v/>
      </c>
      <c r="J427" s="8">
        <f>IF(G427="","",G427*0.20)</f>
        <v/>
      </c>
      <c r="K427" s="8">
        <f>IF(G427="","",G427+J427)</f>
        <v/>
      </c>
    </row>
    <row r="428">
      <c r="F428" s="8" t="n"/>
      <c r="G428" s="8">
        <f>IF(E428="","",E428*F428)</f>
        <v/>
      </c>
      <c r="H428" s="8">
        <f>IF(G428="","",G428-I428)</f>
        <v/>
      </c>
      <c r="I428" s="8">
        <f>IF(D428="","",VLOOKUP(D428, RECETTES!B:G, 6, FALSE)*E428)</f>
        <v/>
      </c>
      <c r="J428" s="8">
        <f>IF(G428="","",G428*0.20)</f>
        <v/>
      </c>
      <c r="K428" s="8">
        <f>IF(G428="","",G428+J428)</f>
        <v/>
      </c>
    </row>
    <row r="429">
      <c r="F429" s="8" t="n"/>
      <c r="G429" s="8">
        <f>IF(E429="","",E429*F429)</f>
        <v/>
      </c>
      <c r="H429" s="8">
        <f>IF(G429="","",G429-I429)</f>
        <v/>
      </c>
      <c r="I429" s="8">
        <f>IF(D429="","",VLOOKUP(D429, RECETTES!B:G, 6, FALSE)*E429)</f>
        <v/>
      </c>
      <c r="J429" s="8">
        <f>IF(G429="","",G429*0.20)</f>
        <v/>
      </c>
      <c r="K429" s="8">
        <f>IF(G429="","",G429+J429)</f>
        <v/>
      </c>
    </row>
    <row r="430">
      <c r="F430" s="8" t="n"/>
      <c r="G430" s="8">
        <f>IF(E430="","",E430*F430)</f>
        <v/>
      </c>
      <c r="H430" s="8">
        <f>IF(G430="","",G430-I430)</f>
        <v/>
      </c>
      <c r="I430" s="8">
        <f>IF(D430="","",VLOOKUP(D430, RECETTES!B:G, 6, FALSE)*E430)</f>
        <v/>
      </c>
      <c r="J430" s="8">
        <f>IF(G430="","",G430*0.20)</f>
        <v/>
      </c>
      <c r="K430" s="8">
        <f>IF(G430="","",G430+J430)</f>
        <v/>
      </c>
    </row>
    <row r="431">
      <c r="F431" s="8" t="n"/>
      <c r="G431" s="8">
        <f>IF(E431="","",E431*F431)</f>
        <v/>
      </c>
      <c r="H431" s="8">
        <f>IF(G431="","",G431-I431)</f>
        <v/>
      </c>
      <c r="I431" s="8">
        <f>IF(D431="","",VLOOKUP(D431, RECETTES!B:G, 6, FALSE)*E431)</f>
        <v/>
      </c>
      <c r="J431" s="8">
        <f>IF(G431="","",G431*0.20)</f>
        <v/>
      </c>
      <c r="K431" s="8">
        <f>IF(G431="","",G431+J431)</f>
        <v/>
      </c>
    </row>
    <row r="432">
      <c r="F432" s="8" t="n"/>
      <c r="G432" s="8">
        <f>IF(E432="","",E432*F432)</f>
        <v/>
      </c>
      <c r="H432" s="8">
        <f>IF(G432="","",G432-I432)</f>
        <v/>
      </c>
      <c r="I432" s="8">
        <f>IF(D432="","",VLOOKUP(D432, RECETTES!B:G, 6, FALSE)*E432)</f>
        <v/>
      </c>
      <c r="J432" s="8">
        <f>IF(G432="","",G432*0.20)</f>
        <v/>
      </c>
      <c r="K432" s="8">
        <f>IF(G432="","",G432+J432)</f>
        <v/>
      </c>
    </row>
    <row r="433">
      <c r="F433" s="8" t="n"/>
      <c r="G433" s="8">
        <f>IF(E433="","",E433*F433)</f>
        <v/>
      </c>
      <c r="H433" s="8">
        <f>IF(G433="","",G433-I433)</f>
        <v/>
      </c>
      <c r="I433" s="8">
        <f>IF(D433="","",VLOOKUP(D433, RECETTES!B:G, 6, FALSE)*E433)</f>
        <v/>
      </c>
      <c r="J433" s="8">
        <f>IF(G433="","",G433*0.20)</f>
        <v/>
      </c>
      <c r="K433" s="8">
        <f>IF(G433="","",G433+J433)</f>
        <v/>
      </c>
    </row>
    <row r="434">
      <c r="F434" s="8" t="n"/>
      <c r="G434" s="8">
        <f>IF(E434="","",E434*F434)</f>
        <v/>
      </c>
      <c r="H434" s="8">
        <f>IF(G434="","",G434-I434)</f>
        <v/>
      </c>
      <c r="I434" s="8">
        <f>IF(D434="","",VLOOKUP(D434, RECETTES!B:G, 6, FALSE)*E434)</f>
        <v/>
      </c>
      <c r="J434" s="8">
        <f>IF(G434="","",G434*0.20)</f>
        <v/>
      </c>
      <c r="K434" s="8">
        <f>IF(G434="","",G434+J434)</f>
        <v/>
      </c>
    </row>
    <row r="435">
      <c r="F435" s="8" t="n"/>
      <c r="G435" s="8">
        <f>IF(E435="","",E435*F435)</f>
        <v/>
      </c>
      <c r="H435" s="8">
        <f>IF(G435="","",G435-I435)</f>
        <v/>
      </c>
      <c r="I435" s="8">
        <f>IF(D435="","",VLOOKUP(D435, RECETTES!B:G, 6, FALSE)*E435)</f>
        <v/>
      </c>
      <c r="J435" s="8">
        <f>IF(G435="","",G435*0.20)</f>
        <v/>
      </c>
      <c r="K435" s="8">
        <f>IF(G435="","",G435+J435)</f>
        <v/>
      </c>
    </row>
    <row r="436">
      <c r="F436" s="8" t="n"/>
      <c r="G436" s="8">
        <f>IF(E436="","",E436*F436)</f>
        <v/>
      </c>
      <c r="H436" s="8">
        <f>IF(G436="","",G436-I436)</f>
        <v/>
      </c>
      <c r="I436" s="8">
        <f>IF(D436="","",VLOOKUP(D436, RECETTES!B:G, 6, FALSE)*E436)</f>
        <v/>
      </c>
      <c r="J436" s="8">
        <f>IF(G436="","",G436*0.20)</f>
        <v/>
      </c>
      <c r="K436" s="8">
        <f>IF(G436="","",G436+J436)</f>
        <v/>
      </c>
    </row>
    <row r="437">
      <c r="F437" s="8" t="n"/>
      <c r="G437" s="8">
        <f>IF(E437="","",E437*F437)</f>
        <v/>
      </c>
      <c r="H437" s="8">
        <f>IF(G437="","",G437-I437)</f>
        <v/>
      </c>
      <c r="I437" s="8">
        <f>IF(D437="","",VLOOKUP(D437, RECETTES!B:G, 6, FALSE)*E437)</f>
        <v/>
      </c>
      <c r="J437" s="8">
        <f>IF(G437="","",G437*0.20)</f>
        <v/>
      </c>
      <c r="K437" s="8">
        <f>IF(G437="","",G437+J437)</f>
        <v/>
      </c>
    </row>
    <row r="438">
      <c r="F438" s="8" t="n"/>
      <c r="G438" s="8">
        <f>IF(E438="","",E438*F438)</f>
        <v/>
      </c>
      <c r="H438" s="8">
        <f>IF(G438="","",G438-I438)</f>
        <v/>
      </c>
      <c r="I438" s="8">
        <f>IF(D438="","",VLOOKUP(D438, RECETTES!B:G, 6, FALSE)*E438)</f>
        <v/>
      </c>
      <c r="J438" s="8">
        <f>IF(G438="","",G438*0.20)</f>
        <v/>
      </c>
      <c r="K438" s="8">
        <f>IF(G438="","",G438+J438)</f>
        <v/>
      </c>
    </row>
    <row r="439">
      <c r="F439" s="8" t="n"/>
      <c r="G439" s="8">
        <f>IF(E439="","",E439*F439)</f>
        <v/>
      </c>
      <c r="H439" s="8">
        <f>IF(G439="","",G439-I439)</f>
        <v/>
      </c>
      <c r="I439" s="8">
        <f>IF(D439="","",VLOOKUP(D439, RECETTES!B:G, 6, FALSE)*E439)</f>
        <v/>
      </c>
      <c r="J439" s="8">
        <f>IF(G439="","",G439*0.20)</f>
        <v/>
      </c>
      <c r="K439" s="8">
        <f>IF(G439="","",G439+J439)</f>
        <v/>
      </c>
    </row>
    <row r="440">
      <c r="F440" s="8" t="n"/>
      <c r="G440" s="8">
        <f>IF(E440="","",E440*F440)</f>
        <v/>
      </c>
      <c r="H440" s="8">
        <f>IF(G440="","",G440-I440)</f>
        <v/>
      </c>
      <c r="I440" s="8">
        <f>IF(D440="","",VLOOKUP(D440, RECETTES!B:G, 6, FALSE)*E440)</f>
        <v/>
      </c>
      <c r="J440" s="8">
        <f>IF(G440="","",G440*0.20)</f>
        <v/>
      </c>
      <c r="K440" s="8">
        <f>IF(G440="","",G440+J440)</f>
        <v/>
      </c>
    </row>
    <row r="441">
      <c r="F441" s="8" t="n"/>
      <c r="G441" s="8">
        <f>IF(E441="","",E441*F441)</f>
        <v/>
      </c>
      <c r="H441" s="8">
        <f>IF(G441="","",G441-I441)</f>
        <v/>
      </c>
      <c r="I441" s="8">
        <f>IF(D441="","",VLOOKUP(D441, RECETTES!B:G, 6, FALSE)*E441)</f>
        <v/>
      </c>
      <c r="J441" s="8">
        <f>IF(G441="","",G441*0.20)</f>
        <v/>
      </c>
      <c r="K441" s="8">
        <f>IF(G441="","",G441+J441)</f>
        <v/>
      </c>
    </row>
    <row r="442">
      <c r="F442" s="8" t="n"/>
      <c r="G442" s="8">
        <f>IF(E442="","",E442*F442)</f>
        <v/>
      </c>
      <c r="H442" s="8">
        <f>IF(G442="","",G442-I442)</f>
        <v/>
      </c>
      <c r="I442" s="8">
        <f>IF(D442="","",VLOOKUP(D442, RECETTES!B:G, 6, FALSE)*E442)</f>
        <v/>
      </c>
      <c r="J442" s="8">
        <f>IF(G442="","",G442*0.20)</f>
        <v/>
      </c>
      <c r="K442" s="8">
        <f>IF(G442="","",G442+J442)</f>
        <v/>
      </c>
    </row>
    <row r="443">
      <c r="F443" s="8" t="n"/>
      <c r="G443" s="8">
        <f>IF(E443="","",E443*F443)</f>
        <v/>
      </c>
      <c r="H443" s="8">
        <f>IF(G443="","",G443-I443)</f>
        <v/>
      </c>
      <c r="I443" s="8">
        <f>IF(D443="","",VLOOKUP(D443, RECETTES!B:G, 6, FALSE)*E443)</f>
        <v/>
      </c>
      <c r="J443" s="8">
        <f>IF(G443="","",G443*0.20)</f>
        <v/>
      </c>
      <c r="K443" s="8">
        <f>IF(G443="","",G443+J443)</f>
        <v/>
      </c>
    </row>
    <row r="444">
      <c r="F444" s="8" t="n"/>
      <c r="G444" s="8">
        <f>IF(E444="","",E444*F444)</f>
        <v/>
      </c>
      <c r="H444" s="8">
        <f>IF(G444="","",G444-I444)</f>
        <v/>
      </c>
      <c r="I444" s="8">
        <f>IF(D444="","",VLOOKUP(D444, RECETTES!B:G, 6, FALSE)*E444)</f>
        <v/>
      </c>
      <c r="J444" s="8">
        <f>IF(G444="","",G444*0.20)</f>
        <v/>
      </c>
      <c r="K444" s="8">
        <f>IF(G444="","",G444+J444)</f>
        <v/>
      </c>
    </row>
    <row r="445">
      <c r="F445" s="8" t="n"/>
      <c r="G445" s="8">
        <f>IF(E445="","",E445*F445)</f>
        <v/>
      </c>
      <c r="H445" s="8">
        <f>IF(G445="","",G445-I445)</f>
        <v/>
      </c>
      <c r="I445" s="8">
        <f>IF(D445="","",VLOOKUP(D445, RECETTES!B:G, 6, FALSE)*E445)</f>
        <v/>
      </c>
      <c r="J445" s="8">
        <f>IF(G445="","",G445*0.20)</f>
        <v/>
      </c>
      <c r="K445" s="8">
        <f>IF(G445="","",G445+J445)</f>
        <v/>
      </c>
    </row>
    <row r="446">
      <c r="F446" s="8" t="n"/>
      <c r="G446" s="8">
        <f>IF(E446="","",E446*F446)</f>
        <v/>
      </c>
      <c r="H446" s="8">
        <f>IF(G446="","",G446-I446)</f>
        <v/>
      </c>
      <c r="I446" s="8">
        <f>IF(D446="","",VLOOKUP(D446, RECETTES!B:G, 6, FALSE)*E446)</f>
        <v/>
      </c>
      <c r="J446" s="8">
        <f>IF(G446="","",G446*0.20)</f>
        <v/>
      </c>
      <c r="K446" s="8">
        <f>IF(G446="","",G446+J446)</f>
        <v/>
      </c>
    </row>
    <row r="447">
      <c r="F447" s="8" t="n"/>
      <c r="G447" s="8">
        <f>IF(E447="","",E447*F447)</f>
        <v/>
      </c>
      <c r="H447" s="8">
        <f>IF(G447="","",G447-I447)</f>
        <v/>
      </c>
      <c r="I447" s="8">
        <f>IF(D447="","",VLOOKUP(D447, RECETTES!B:G, 6, FALSE)*E447)</f>
        <v/>
      </c>
      <c r="J447" s="8">
        <f>IF(G447="","",G447*0.20)</f>
        <v/>
      </c>
      <c r="K447" s="8">
        <f>IF(G447="","",G447+J447)</f>
        <v/>
      </c>
    </row>
    <row r="448">
      <c r="F448" s="8" t="n"/>
      <c r="G448" s="8">
        <f>IF(E448="","",E448*F448)</f>
        <v/>
      </c>
      <c r="H448" s="8">
        <f>IF(G448="","",G448-I448)</f>
        <v/>
      </c>
      <c r="I448" s="8">
        <f>IF(D448="","",VLOOKUP(D448, RECETTES!B:G, 6, FALSE)*E448)</f>
        <v/>
      </c>
      <c r="J448" s="8">
        <f>IF(G448="","",G448*0.20)</f>
        <v/>
      </c>
      <c r="K448" s="8">
        <f>IF(G448="","",G448+J448)</f>
        <v/>
      </c>
    </row>
    <row r="449">
      <c r="F449" s="8" t="n"/>
      <c r="G449" s="8">
        <f>IF(E449="","",E449*F449)</f>
        <v/>
      </c>
      <c r="H449" s="8">
        <f>IF(G449="","",G449-I449)</f>
        <v/>
      </c>
      <c r="I449" s="8">
        <f>IF(D449="","",VLOOKUP(D449, RECETTES!B:G, 6, FALSE)*E449)</f>
        <v/>
      </c>
      <c r="J449" s="8">
        <f>IF(G449="","",G449*0.20)</f>
        <v/>
      </c>
      <c r="K449" s="8">
        <f>IF(G449="","",G449+J449)</f>
        <v/>
      </c>
    </row>
    <row r="450">
      <c r="F450" s="8" t="n"/>
      <c r="G450" s="8">
        <f>IF(E450="","",E450*F450)</f>
        <v/>
      </c>
      <c r="H450" s="8">
        <f>IF(G450="","",G450-I450)</f>
        <v/>
      </c>
      <c r="I450" s="8">
        <f>IF(D450="","",VLOOKUP(D450, RECETTES!B:G, 6, FALSE)*E450)</f>
        <v/>
      </c>
      <c r="J450" s="8">
        <f>IF(G450="","",G450*0.20)</f>
        <v/>
      </c>
      <c r="K450" s="8">
        <f>IF(G450="","",G450+J450)</f>
        <v/>
      </c>
    </row>
    <row r="451">
      <c r="F451" s="8" t="n"/>
      <c r="G451" s="8">
        <f>IF(E451="","",E451*F451)</f>
        <v/>
      </c>
      <c r="H451" s="8">
        <f>IF(G451="","",G451-I451)</f>
        <v/>
      </c>
      <c r="I451" s="8">
        <f>IF(D451="","",VLOOKUP(D451, RECETTES!B:G, 6, FALSE)*E451)</f>
        <v/>
      </c>
      <c r="J451" s="8">
        <f>IF(G451="","",G451*0.20)</f>
        <v/>
      </c>
      <c r="K451" s="8">
        <f>IF(G451="","",G451+J451)</f>
        <v/>
      </c>
    </row>
    <row r="452">
      <c r="F452" s="8" t="n"/>
      <c r="G452" s="8">
        <f>IF(E452="","",E452*F452)</f>
        <v/>
      </c>
      <c r="H452" s="8">
        <f>IF(G452="","",G452-I452)</f>
        <v/>
      </c>
      <c r="I452" s="8">
        <f>IF(D452="","",VLOOKUP(D452, RECETTES!B:G, 6, FALSE)*E452)</f>
        <v/>
      </c>
      <c r="J452" s="8">
        <f>IF(G452="","",G452*0.20)</f>
        <v/>
      </c>
      <c r="K452" s="8">
        <f>IF(G452="","",G452+J452)</f>
        <v/>
      </c>
    </row>
    <row r="453">
      <c r="F453" s="8" t="n"/>
      <c r="G453" s="8">
        <f>IF(E453="","",E453*F453)</f>
        <v/>
      </c>
      <c r="H453" s="8">
        <f>IF(G453="","",G453-I453)</f>
        <v/>
      </c>
      <c r="I453" s="8">
        <f>IF(D453="","",VLOOKUP(D453, RECETTES!B:G, 6, FALSE)*E453)</f>
        <v/>
      </c>
      <c r="J453" s="8">
        <f>IF(G453="","",G453*0.20)</f>
        <v/>
      </c>
      <c r="K453" s="8">
        <f>IF(G453="","",G453+J453)</f>
        <v/>
      </c>
    </row>
    <row r="454">
      <c r="F454" s="8" t="n"/>
      <c r="G454" s="8">
        <f>IF(E454="","",E454*F454)</f>
        <v/>
      </c>
      <c r="H454" s="8">
        <f>IF(G454="","",G454-I454)</f>
        <v/>
      </c>
      <c r="I454" s="8">
        <f>IF(D454="","",VLOOKUP(D454, RECETTES!B:G, 6, FALSE)*E454)</f>
        <v/>
      </c>
      <c r="J454" s="8">
        <f>IF(G454="","",G454*0.20)</f>
        <v/>
      </c>
      <c r="K454" s="8">
        <f>IF(G454="","",G454+J454)</f>
        <v/>
      </c>
    </row>
    <row r="455">
      <c r="F455" s="8" t="n"/>
      <c r="G455" s="8">
        <f>IF(E455="","",E455*F455)</f>
        <v/>
      </c>
      <c r="H455" s="8">
        <f>IF(G455="","",G455-I455)</f>
        <v/>
      </c>
      <c r="I455" s="8">
        <f>IF(D455="","",VLOOKUP(D455, RECETTES!B:G, 6, FALSE)*E455)</f>
        <v/>
      </c>
      <c r="J455" s="8">
        <f>IF(G455="","",G455*0.20)</f>
        <v/>
      </c>
      <c r="K455" s="8">
        <f>IF(G455="","",G455+J455)</f>
        <v/>
      </c>
    </row>
    <row r="456">
      <c r="F456" s="8" t="n"/>
      <c r="G456" s="8">
        <f>IF(E456="","",E456*F456)</f>
        <v/>
      </c>
      <c r="H456" s="8">
        <f>IF(G456="","",G456-I456)</f>
        <v/>
      </c>
      <c r="I456" s="8">
        <f>IF(D456="","",VLOOKUP(D456, RECETTES!B:G, 6, FALSE)*E456)</f>
        <v/>
      </c>
      <c r="J456" s="8">
        <f>IF(G456="","",G456*0.20)</f>
        <v/>
      </c>
      <c r="K456" s="8">
        <f>IF(G456="","",G456+J456)</f>
        <v/>
      </c>
    </row>
    <row r="457">
      <c r="F457" s="8" t="n"/>
      <c r="G457" s="8">
        <f>IF(E457="","",E457*F457)</f>
        <v/>
      </c>
      <c r="H457" s="8">
        <f>IF(G457="","",G457-I457)</f>
        <v/>
      </c>
      <c r="I457" s="8">
        <f>IF(D457="","",VLOOKUP(D457, RECETTES!B:G, 6, FALSE)*E457)</f>
        <v/>
      </c>
      <c r="J457" s="8">
        <f>IF(G457="","",G457*0.20)</f>
        <v/>
      </c>
      <c r="K457" s="8">
        <f>IF(G457="","",G457+J457)</f>
        <v/>
      </c>
    </row>
    <row r="458">
      <c r="F458" s="8" t="n"/>
      <c r="G458" s="8">
        <f>IF(E458="","",E458*F458)</f>
        <v/>
      </c>
      <c r="H458" s="8">
        <f>IF(G458="","",G458-I458)</f>
        <v/>
      </c>
      <c r="I458" s="8">
        <f>IF(D458="","",VLOOKUP(D458, RECETTES!B:G, 6, FALSE)*E458)</f>
        <v/>
      </c>
      <c r="J458" s="8">
        <f>IF(G458="","",G458*0.20)</f>
        <v/>
      </c>
      <c r="K458" s="8">
        <f>IF(G458="","",G458+J458)</f>
        <v/>
      </c>
    </row>
    <row r="459">
      <c r="F459" s="8" t="n"/>
      <c r="G459" s="8">
        <f>IF(E459="","",E459*F459)</f>
        <v/>
      </c>
      <c r="H459" s="8">
        <f>IF(G459="","",G459-I459)</f>
        <v/>
      </c>
      <c r="I459" s="8">
        <f>IF(D459="","",VLOOKUP(D459, RECETTES!B:G, 6, FALSE)*E459)</f>
        <v/>
      </c>
      <c r="J459" s="8">
        <f>IF(G459="","",G459*0.20)</f>
        <v/>
      </c>
      <c r="K459" s="8">
        <f>IF(G459="","",G459+J459)</f>
        <v/>
      </c>
    </row>
    <row r="460">
      <c r="F460" s="8" t="n"/>
      <c r="G460" s="8">
        <f>IF(E460="","",E460*F460)</f>
        <v/>
      </c>
      <c r="H460" s="8">
        <f>IF(G460="","",G460-I460)</f>
        <v/>
      </c>
      <c r="I460" s="8">
        <f>IF(D460="","",VLOOKUP(D460, RECETTES!B:G, 6, FALSE)*E460)</f>
        <v/>
      </c>
      <c r="J460" s="8">
        <f>IF(G460="","",G460*0.20)</f>
        <v/>
      </c>
      <c r="K460" s="8">
        <f>IF(G460="","",G460+J460)</f>
        <v/>
      </c>
    </row>
    <row r="461">
      <c r="F461" s="8" t="n"/>
      <c r="G461" s="8">
        <f>IF(E461="","",E461*F461)</f>
        <v/>
      </c>
      <c r="H461" s="8">
        <f>IF(G461="","",G461-I461)</f>
        <v/>
      </c>
      <c r="I461" s="8">
        <f>IF(D461="","",VLOOKUP(D461, RECETTES!B:G, 6, FALSE)*E461)</f>
        <v/>
      </c>
      <c r="J461" s="8">
        <f>IF(G461="","",G461*0.20)</f>
        <v/>
      </c>
      <c r="K461" s="8">
        <f>IF(G461="","",G461+J461)</f>
        <v/>
      </c>
    </row>
    <row r="462">
      <c r="F462" s="8" t="n"/>
      <c r="G462" s="8">
        <f>IF(E462="","",E462*F462)</f>
        <v/>
      </c>
      <c r="H462" s="8">
        <f>IF(G462="","",G462-I462)</f>
        <v/>
      </c>
      <c r="I462" s="8">
        <f>IF(D462="","",VLOOKUP(D462, RECETTES!B:G, 6, FALSE)*E462)</f>
        <v/>
      </c>
      <c r="J462" s="8">
        <f>IF(G462="","",G462*0.20)</f>
        <v/>
      </c>
      <c r="K462" s="8">
        <f>IF(G462="","",G462+J462)</f>
        <v/>
      </c>
    </row>
    <row r="463">
      <c r="F463" s="8" t="n"/>
      <c r="G463" s="8">
        <f>IF(E463="","",E463*F463)</f>
        <v/>
      </c>
      <c r="H463" s="8">
        <f>IF(G463="","",G463-I463)</f>
        <v/>
      </c>
      <c r="I463" s="8">
        <f>IF(D463="","",VLOOKUP(D463, RECETTES!B:G, 6, FALSE)*E463)</f>
        <v/>
      </c>
      <c r="J463" s="8">
        <f>IF(G463="","",G463*0.20)</f>
        <v/>
      </c>
      <c r="K463" s="8">
        <f>IF(G463="","",G463+J463)</f>
        <v/>
      </c>
    </row>
    <row r="464">
      <c r="F464" s="8" t="n"/>
      <c r="G464" s="8">
        <f>IF(E464="","",E464*F464)</f>
        <v/>
      </c>
      <c r="H464" s="8">
        <f>IF(G464="","",G464-I464)</f>
        <v/>
      </c>
      <c r="I464" s="8">
        <f>IF(D464="","",VLOOKUP(D464, RECETTES!B:G, 6, FALSE)*E464)</f>
        <v/>
      </c>
      <c r="J464" s="8">
        <f>IF(G464="","",G464*0.20)</f>
        <v/>
      </c>
      <c r="K464" s="8">
        <f>IF(G464="","",G464+J464)</f>
        <v/>
      </c>
    </row>
    <row r="465">
      <c r="F465" s="8" t="n"/>
      <c r="G465" s="8">
        <f>IF(E465="","",E465*F465)</f>
        <v/>
      </c>
      <c r="H465" s="8">
        <f>IF(G465="","",G465-I465)</f>
        <v/>
      </c>
      <c r="I465" s="8">
        <f>IF(D465="","",VLOOKUP(D465, RECETTES!B:G, 6, FALSE)*E465)</f>
        <v/>
      </c>
      <c r="J465" s="8">
        <f>IF(G465="","",G465*0.20)</f>
        <v/>
      </c>
      <c r="K465" s="8">
        <f>IF(G465="","",G465+J465)</f>
        <v/>
      </c>
    </row>
    <row r="466">
      <c r="F466" s="8" t="n"/>
      <c r="G466" s="8">
        <f>IF(E466="","",E466*F466)</f>
        <v/>
      </c>
      <c r="H466" s="8">
        <f>IF(G466="","",G466-I466)</f>
        <v/>
      </c>
      <c r="I466" s="8">
        <f>IF(D466="","",VLOOKUP(D466, RECETTES!B:G, 6, FALSE)*E466)</f>
        <v/>
      </c>
      <c r="J466" s="8">
        <f>IF(G466="","",G466*0.20)</f>
        <v/>
      </c>
      <c r="K466" s="8">
        <f>IF(G466="","",G466+J466)</f>
        <v/>
      </c>
    </row>
    <row r="467">
      <c r="F467" s="8" t="n"/>
      <c r="G467" s="8">
        <f>IF(E467="","",E467*F467)</f>
        <v/>
      </c>
      <c r="H467" s="8">
        <f>IF(G467="","",G467-I467)</f>
        <v/>
      </c>
      <c r="I467" s="8">
        <f>IF(D467="","",VLOOKUP(D467, RECETTES!B:G, 6, FALSE)*E467)</f>
        <v/>
      </c>
      <c r="J467" s="8">
        <f>IF(G467="","",G467*0.20)</f>
        <v/>
      </c>
      <c r="K467" s="8">
        <f>IF(G467="","",G467+J467)</f>
        <v/>
      </c>
    </row>
    <row r="468">
      <c r="F468" s="8" t="n"/>
      <c r="G468" s="8">
        <f>IF(E468="","",E468*F468)</f>
        <v/>
      </c>
      <c r="H468" s="8">
        <f>IF(G468="","",G468-I468)</f>
        <v/>
      </c>
      <c r="I468" s="8">
        <f>IF(D468="","",VLOOKUP(D468, RECETTES!B:G, 6, FALSE)*E468)</f>
        <v/>
      </c>
      <c r="J468" s="8">
        <f>IF(G468="","",G468*0.20)</f>
        <v/>
      </c>
      <c r="K468" s="8">
        <f>IF(G468="","",G468+J468)</f>
        <v/>
      </c>
    </row>
    <row r="469">
      <c r="F469" s="8" t="n"/>
      <c r="G469" s="8">
        <f>IF(E469="","",E469*F469)</f>
        <v/>
      </c>
      <c r="H469" s="8">
        <f>IF(G469="","",G469-I469)</f>
        <v/>
      </c>
      <c r="I469" s="8">
        <f>IF(D469="","",VLOOKUP(D469, RECETTES!B:G, 6, FALSE)*E469)</f>
        <v/>
      </c>
      <c r="J469" s="8">
        <f>IF(G469="","",G469*0.20)</f>
        <v/>
      </c>
      <c r="K469" s="8">
        <f>IF(G469="","",G469+J469)</f>
        <v/>
      </c>
    </row>
    <row r="470">
      <c r="F470" s="8" t="n"/>
      <c r="G470" s="8">
        <f>IF(E470="","",E470*F470)</f>
        <v/>
      </c>
      <c r="H470" s="8">
        <f>IF(G470="","",G470-I470)</f>
        <v/>
      </c>
      <c r="I470" s="8">
        <f>IF(D470="","",VLOOKUP(D470, RECETTES!B:G, 6, FALSE)*E470)</f>
        <v/>
      </c>
      <c r="J470" s="8">
        <f>IF(G470="","",G470*0.20)</f>
        <v/>
      </c>
      <c r="K470" s="8">
        <f>IF(G470="","",G470+J470)</f>
        <v/>
      </c>
    </row>
    <row r="471">
      <c r="F471" s="8" t="n"/>
      <c r="G471" s="8">
        <f>IF(E471="","",E471*F471)</f>
        <v/>
      </c>
      <c r="H471" s="8">
        <f>IF(G471="","",G471-I471)</f>
        <v/>
      </c>
      <c r="I471" s="8">
        <f>IF(D471="","",VLOOKUP(D471, RECETTES!B:G, 6, FALSE)*E471)</f>
        <v/>
      </c>
      <c r="J471" s="8">
        <f>IF(G471="","",G471*0.20)</f>
        <v/>
      </c>
      <c r="K471" s="8">
        <f>IF(G471="","",G471+J471)</f>
        <v/>
      </c>
    </row>
    <row r="472">
      <c r="F472" s="8" t="n"/>
      <c r="G472" s="8">
        <f>IF(E472="","",E472*F472)</f>
        <v/>
      </c>
      <c r="H472" s="8">
        <f>IF(G472="","",G472-I472)</f>
        <v/>
      </c>
      <c r="I472" s="8">
        <f>IF(D472="","",VLOOKUP(D472, RECETTES!B:G, 6, FALSE)*E472)</f>
        <v/>
      </c>
      <c r="J472" s="8">
        <f>IF(G472="","",G472*0.20)</f>
        <v/>
      </c>
      <c r="K472" s="8">
        <f>IF(G472="","",G472+J472)</f>
        <v/>
      </c>
    </row>
    <row r="473">
      <c r="F473" s="8" t="n"/>
      <c r="G473" s="8">
        <f>IF(E473="","",E473*F473)</f>
        <v/>
      </c>
      <c r="H473" s="8">
        <f>IF(G473="","",G473-I473)</f>
        <v/>
      </c>
      <c r="I473" s="8">
        <f>IF(D473="","",VLOOKUP(D473, RECETTES!B:G, 6, FALSE)*E473)</f>
        <v/>
      </c>
      <c r="J473" s="8">
        <f>IF(G473="","",G473*0.20)</f>
        <v/>
      </c>
      <c r="K473" s="8">
        <f>IF(G473="","",G473+J473)</f>
        <v/>
      </c>
    </row>
    <row r="474">
      <c r="F474" s="8" t="n"/>
      <c r="G474" s="8">
        <f>IF(E474="","",E474*F474)</f>
        <v/>
      </c>
      <c r="H474" s="8">
        <f>IF(G474="","",G474-I474)</f>
        <v/>
      </c>
      <c r="I474" s="8">
        <f>IF(D474="","",VLOOKUP(D474, RECETTES!B:G, 6, FALSE)*E474)</f>
        <v/>
      </c>
      <c r="J474" s="8">
        <f>IF(G474="","",G474*0.20)</f>
        <v/>
      </c>
      <c r="K474" s="8">
        <f>IF(G474="","",G474+J474)</f>
        <v/>
      </c>
    </row>
    <row r="475">
      <c r="F475" s="8" t="n"/>
      <c r="G475" s="8">
        <f>IF(E475="","",E475*F475)</f>
        <v/>
      </c>
      <c r="H475" s="8">
        <f>IF(G475="","",G475-I475)</f>
        <v/>
      </c>
      <c r="I475" s="8">
        <f>IF(D475="","",VLOOKUP(D475, RECETTES!B:G, 6, FALSE)*E475)</f>
        <v/>
      </c>
      <c r="J475" s="8">
        <f>IF(G475="","",G475*0.20)</f>
        <v/>
      </c>
      <c r="K475" s="8">
        <f>IF(G475="","",G475+J475)</f>
        <v/>
      </c>
    </row>
    <row r="476">
      <c r="F476" s="8" t="n"/>
      <c r="G476" s="8">
        <f>IF(E476="","",E476*F476)</f>
        <v/>
      </c>
      <c r="H476" s="8">
        <f>IF(G476="","",G476-I476)</f>
        <v/>
      </c>
      <c r="I476" s="8">
        <f>IF(D476="","",VLOOKUP(D476, RECETTES!B:G, 6, FALSE)*E476)</f>
        <v/>
      </c>
      <c r="J476" s="8">
        <f>IF(G476="","",G476*0.20)</f>
        <v/>
      </c>
      <c r="K476" s="8">
        <f>IF(G476="","",G476+J476)</f>
        <v/>
      </c>
    </row>
    <row r="477">
      <c r="F477" s="8" t="n"/>
      <c r="G477" s="8">
        <f>IF(E477="","",E477*F477)</f>
        <v/>
      </c>
      <c r="H477" s="8">
        <f>IF(G477="","",G477-I477)</f>
        <v/>
      </c>
      <c r="I477" s="8">
        <f>IF(D477="","",VLOOKUP(D477, RECETTES!B:G, 6, FALSE)*E477)</f>
        <v/>
      </c>
      <c r="J477" s="8">
        <f>IF(G477="","",G477*0.20)</f>
        <v/>
      </c>
      <c r="K477" s="8">
        <f>IF(G477="","",G477+J477)</f>
        <v/>
      </c>
    </row>
    <row r="478">
      <c r="F478" s="8" t="n"/>
      <c r="G478" s="8">
        <f>IF(E478="","",E478*F478)</f>
        <v/>
      </c>
      <c r="H478" s="8">
        <f>IF(G478="","",G478-I478)</f>
        <v/>
      </c>
      <c r="I478" s="8">
        <f>IF(D478="","",VLOOKUP(D478, RECETTES!B:G, 6, FALSE)*E478)</f>
        <v/>
      </c>
      <c r="J478" s="8">
        <f>IF(G478="","",G478*0.20)</f>
        <v/>
      </c>
      <c r="K478" s="8">
        <f>IF(G478="","",G478+J478)</f>
        <v/>
      </c>
    </row>
    <row r="479">
      <c r="F479" s="8" t="n"/>
      <c r="G479" s="8">
        <f>IF(E479="","",E479*F479)</f>
        <v/>
      </c>
      <c r="H479" s="8">
        <f>IF(G479="","",G479-I479)</f>
        <v/>
      </c>
      <c r="I479" s="8">
        <f>IF(D479="","",VLOOKUP(D479, RECETTES!B:G, 6, FALSE)*E479)</f>
        <v/>
      </c>
      <c r="J479" s="8">
        <f>IF(G479="","",G479*0.20)</f>
        <v/>
      </c>
      <c r="K479" s="8">
        <f>IF(G479="","",G479+J479)</f>
        <v/>
      </c>
    </row>
    <row r="480">
      <c r="F480" s="8" t="n"/>
      <c r="G480" s="8">
        <f>IF(E480="","",E480*F480)</f>
        <v/>
      </c>
      <c r="H480" s="8">
        <f>IF(G480="","",G480-I480)</f>
        <v/>
      </c>
      <c r="I480" s="8">
        <f>IF(D480="","",VLOOKUP(D480, RECETTES!B:G, 6, FALSE)*E480)</f>
        <v/>
      </c>
      <c r="J480" s="8">
        <f>IF(G480="","",G480*0.20)</f>
        <v/>
      </c>
      <c r="K480" s="8">
        <f>IF(G480="","",G480+J480)</f>
        <v/>
      </c>
    </row>
    <row r="481">
      <c r="F481" s="8" t="n"/>
      <c r="G481" s="8">
        <f>IF(E481="","",E481*F481)</f>
        <v/>
      </c>
      <c r="H481" s="8">
        <f>IF(G481="","",G481-I481)</f>
        <v/>
      </c>
      <c r="I481" s="8">
        <f>IF(D481="","",VLOOKUP(D481, RECETTES!B:G, 6, FALSE)*E481)</f>
        <v/>
      </c>
      <c r="J481" s="8">
        <f>IF(G481="","",G481*0.20)</f>
        <v/>
      </c>
      <c r="K481" s="8">
        <f>IF(G481="","",G481+J481)</f>
        <v/>
      </c>
    </row>
    <row r="482">
      <c r="F482" s="8" t="n"/>
      <c r="G482" s="8">
        <f>IF(E482="","",E482*F482)</f>
        <v/>
      </c>
      <c r="H482" s="8">
        <f>IF(G482="","",G482-I482)</f>
        <v/>
      </c>
      <c r="I482" s="8">
        <f>IF(D482="","",VLOOKUP(D482, RECETTES!B:G, 6, FALSE)*E482)</f>
        <v/>
      </c>
      <c r="J482" s="8">
        <f>IF(G482="","",G482*0.20)</f>
        <v/>
      </c>
      <c r="K482" s="8">
        <f>IF(G482="","",G482+J482)</f>
        <v/>
      </c>
    </row>
    <row r="483">
      <c r="F483" s="8" t="n"/>
      <c r="G483" s="8">
        <f>IF(E483="","",E483*F483)</f>
        <v/>
      </c>
      <c r="H483" s="8">
        <f>IF(G483="","",G483-I483)</f>
        <v/>
      </c>
      <c r="I483" s="8">
        <f>IF(D483="","",VLOOKUP(D483, RECETTES!B:G, 6, FALSE)*E483)</f>
        <v/>
      </c>
      <c r="J483" s="8">
        <f>IF(G483="","",G483*0.20)</f>
        <v/>
      </c>
      <c r="K483" s="8">
        <f>IF(G483="","",G483+J483)</f>
        <v/>
      </c>
    </row>
    <row r="484">
      <c r="F484" s="8" t="n"/>
      <c r="G484" s="8">
        <f>IF(E484="","",E484*F484)</f>
        <v/>
      </c>
      <c r="H484" s="8">
        <f>IF(G484="","",G484-I484)</f>
        <v/>
      </c>
      <c r="I484" s="8">
        <f>IF(D484="","",VLOOKUP(D484, RECETTES!B:G, 6, FALSE)*E484)</f>
        <v/>
      </c>
      <c r="J484" s="8">
        <f>IF(G484="","",G484*0.20)</f>
        <v/>
      </c>
      <c r="K484" s="8">
        <f>IF(G484="","",G484+J484)</f>
        <v/>
      </c>
    </row>
    <row r="485">
      <c r="F485" s="8" t="n"/>
      <c r="G485" s="8">
        <f>IF(E485="","",E485*F485)</f>
        <v/>
      </c>
      <c r="H485" s="8">
        <f>IF(G485="","",G485-I485)</f>
        <v/>
      </c>
      <c r="I485" s="8">
        <f>IF(D485="","",VLOOKUP(D485, RECETTES!B:G, 6, FALSE)*E485)</f>
        <v/>
      </c>
      <c r="J485" s="8">
        <f>IF(G485="","",G485*0.20)</f>
        <v/>
      </c>
      <c r="K485" s="8">
        <f>IF(G485="","",G485+J485)</f>
        <v/>
      </c>
    </row>
    <row r="486">
      <c r="F486" s="8" t="n"/>
      <c r="G486" s="8">
        <f>IF(E486="","",E486*F486)</f>
        <v/>
      </c>
      <c r="H486" s="8">
        <f>IF(G486="","",G486-I486)</f>
        <v/>
      </c>
      <c r="I486" s="8">
        <f>IF(D486="","",VLOOKUP(D486, RECETTES!B:G, 6, FALSE)*E486)</f>
        <v/>
      </c>
      <c r="J486" s="8">
        <f>IF(G486="","",G486*0.20)</f>
        <v/>
      </c>
      <c r="K486" s="8">
        <f>IF(G486="","",G486+J486)</f>
        <v/>
      </c>
    </row>
    <row r="487">
      <c r="F487" s="8" t="n"/>
      <c r="G487" s="8">
        <f>IF(E487="","",E487*F487)</f>
        <v/>
      </c>
      <c r="H487" s="8">
        <f>IF(G487="","",G487-I487)</f>
        <v/>
      </c>
      <c r="I487" s="8">
        <f>IF(D487="","",VLOOKUP(D487, RECETTES!B:G, 6, FALSE)*E487)</f>
        <v/>
      </c>
      <c r="J487" s="8">
        <f>IF(G487="","",G487*0.20)</f>
        <v/>
      </c>
      <c r="K487" s="8">
        <f>IF(G487="","",G487+J487)</f>
        <v/>
      </c>
    </row>
    <row r="488">
      <c r="F488" s="8" t="n"/>
      <c r="G488" s="8">
        <f>IF(E488="","",E488*F488)</f>
        <v/>
      </c>
      <c r="H488" s="8">
        <f>IF(G488="","",G488-I488)</f>
        <v/>
      </c>
      <c r="I488" s="8">
        <f>IF(D488="","",VLOOKUP(D488, RECETTES!B:G, 6, FALSE)*E488)</f>
        <v/>
      </c>
      <c r="J488" s="8">
        <f>IF(G488="","",G488*0.20)</f>
        <v/>
      </c>
      <c r="K488" s="8">
        <f>IF(G488="","",G488+J488)</f>
        <v/>
      </c>
    </row>
    <row r="489">
      <c r="F489" s="8" t="n"/>
      <c r="G489" s="8">
        <f>IF(E489="","",E489*F489)</f>
        <v/>
      </c>
      <c r="H489" s="8">
        <f>IF(G489="","",G489-I489)</f>
        <v/>
      </c>
      <c r="I489" s="8">
        <f>IF(D489="","",VLOOKUP(D489, RECETTES!B:G, 6, FALSE)*E489)</f>
        <v/>
      </c>
      <c r="J489" s="8">
        <f>IF(G489="","",G489*0.20)</f>
        <v/>
      </c>
      <c r="K489" s="8">
        <f>IF(G489="","",G489+J489)</f>
        <v/>
      </c>
    </row>
    <row r="490">
      <c r="F490" s="8" t="n"/>
      <c r="G490" s="8">
        <f>IF(E490="","",E490*F490)</f>
        <v/>
      </c>
      <c r="H490" s="8">
        <f>IF(G490="","",G490-I490)</f>
        <v/>
      </c>
      <c r="I490" s="8">
        <f>IF(D490="","",VLOOKUP(D490, RECETTES!B:G, 6, FALSE)*E490)</f>
        <v/>
      </c>
      <c r="J490" s="8">
        <f>IF(G490="","",G490*0.20)</f>
        <v/>
      </c>
      <c r="K490" s="8">
        <f>IF(G490="","",G490+J490)</f>
        <v/>
      </c>
    </row>
    <row r="491">
      <c r="F491" s="8" t="n"/>
      <c r="G491" s="8">
        <f>IF(E491="","",E491*F491)</f>
        <v/>
      </c>
      <c r="H491" s="8">
        <f>IF(G491="","",G491-I491)</f>
        <v/>
      </c>
      <c r="I491" s="8">
        <f>IF(D491="","",VLOOKUP(D491, RECETTES!B:G, 6, FALSE)*E491)</f>
        <v/>
      </c>
      <c r="J491" s="8">
        <f>IF(G491="","",G491*0.20)</f>
        <v/>
      </c>
      <c r="K491" s="8">
        <f>IF(G491="","",G491+J491)</f>
        <v/>
      </c>
    </row>
    <row r="492">
      <c r="F492" s="8" t="n"/>
      <c r="G492" s="8">
        <f>IF(E492="","",E492*F492)</f>
        <v/>
      </c>
      <c r="H492" s="8">
        <f>IF(G492="","",G492-I492)</f>
        <v/>
      </c>
      <c r="I492" s="8">
        <f>IF(D492="","",VLOOKUP(D492, RECETTES!B:G, 6, FALSE)*E492)</f>
        <v/>
      </c>
      <c r="J492" s="8">
        <f>IF(G492="","",G492*0.20)</f>
        <v/>
      </c>
      <c r="K492" s="8">
        <f>IF(G492="","",G492+J492)</f>
        <v/>
      </c>
    </row>
    <row r="493">
      <c r="F493" s="8" t="n"/>
      <c r="G493" s="8">
        <f>IF(E493="","",E493*F493)</f>
        <v/>
      </c>
      <c r="H493" s="8">
        <f>IF(G493="","",G493-I493)</f>
        <v/>
      </c>
      <c r="I493" s="8">
        <f>IF(D493="","",VLOOKUP(D493, RECETTES!B:G, 6, FALSE)*E493)</f>
        <v/>
      </c>
      <c r="J493" s="8">
        <f>IF(G493="","",G493*0.20)</f>
        <v/>
      </c>
      <c r="K493" s="8">
        <f>IF(G493="","",G493+J493)</f>
        <v/>
      </c>
    </row>
    <row r="494">
      <c r="F494" s="8" t="n"/>
      <c r="G494" s="8">
        <f>IF(E494="","",E494*F494)</f>
        <v/>
      </c>
      <c r="H494" s="8">
        <f>IF(G494="","",G494-I494)</f>
        <v/>
      </c>
      <c r="I494" s="8">
        <f>IF(D494="","",VLOOKUP(D494, RECETTES!B:G, 6, FALSE)*E494)</f>
        <v/>
      </c>
      <c r="J494" s="8">
        <f>IF(G494="","",G494*0.20)</f>
        <v/>
      </c>
      <c r="K494" s="8">
        <f>IF(G494="","",G494+J494)</f>
        <v/>
      </c>
    </row>
    <row r="495">
      <c r="F495" s="8" t="n"/>
      <c r="G495" s="8">
        <f>IF(E495="","",E495*F495)</f>
        <v/>
      </c>
      <c r="H495" s="8">
        <f>IF(G495="","",G495-I495)</f>
        <v/>
      </c>
      <c r="I495" s="8">
        <f>IF(D495="","",VLOOKUP(D495, RECETTES!B:G, 6, FALSE)*E495)</f>
        <v/>
      </c>
      <c r="J495" s="8">
        <f>IF(G495="","",G495*0.20)</f>
        <v/>
      </c>
      <c r="K495" s="8">
        <f>IF(G495="","",G495+J495)</f>
        <v/>
      </c>
    </row>
    <row r="496">
      <c r="F496" s="8" t="n"/>
      <c r="G496" s="8">
        <f>IF(E496="","",E496*F496)</f>
        <v/>
      </c>
      <c r="H496" s="8">
        <f>IF(G496="","",G496-I496)</f>
        <v/>
      </c>
      <c r="I496" s="8">
        <f>IF(D496="","",VLOOKUP(D496, RECETTES!B:G, 6, FALSE)*E496)</f>
        <v/>
      </c>
      <c r="J496" s="8">
        <f>IF(G496="","",G496*0.20)</f>
        <v/>
      </c>
      <c r="K496" s="8">
        <f>IF(G496="","",G496+J496)</f>
        <v/>
      </c>
    </row>
    <row r="497">
      <c r="F497" s="8" t="n"/>
      <c r="G497" s="8">
        <f>IF(E497="","",E497*F497)</f>
        <v/>
      </c>
      <c r="H497" s="8">
        <f>IF(G497="","",G497-I497)</f>
        <v/>
      </c>
      <c r="I497" s="8">
        <f>IF(D497="","",VLOOKUP(D497, RECETTES!B:G, 6, FALSE)*E497)</f>
        <v/>
      </c>
      <c r="J497" s="8">
        <f>IF(G497="","",G497*0.20)</f>
        <v/>
      </c>
      <c r="K497" s="8">
        <f>IF(G497="","",G497+J497)</f>
        <v/>
      </c>
    </row>
    <row r="498">
      <c r="F498" s="8" t="n"/>
      <c r="G498" s="8">
        <f>IF(E498="","",E498*F498)</f>
        <v/>
      </c>
      <c r="H498" s="8">
        <f>IF(G498="","",G498-I498)</f>
        <v/>
      </c>
      <c r="I498" s="8">
        <f>IF(D498="","",VLOOKUP(D498, RECETTES!B:G, 6, FALSE)*E498)</f>
        <v/>
      </c>
      <c r="J498" s="8">
        <f>IF(G498="","",G498*0.20)</f>
        <v/>
      </c>
      <c r="K498" s="8">
        <f>IF(G498="","",G498+J498)</f>
        <v/>
      </c>
    </row>
    <row r="499">
      <c r="F499" s="8" t="n"/>
      <c r="G499" s="8">
        <f>IF(E499="","",E499*F499)</f>
        <v/>
      </c>
      <c r="H499" s="8">
        <f>IF(G499="","",G499-I499)</f>
        <v/>
      </c>
      <c r="I499" s="8">
        <f>IF(D499="","",VLOOKUP(D499, RECETTES!B:G, 6, FALSE)*E499)</f>
        <v/>
      </c>
      <c r="J499" s="8">
        <f>IF(G499="","",G499*0.20)</f>
        <v/>
      </c>
      <c r="K499" s="8">
        <f>IF(G499="","",G499+J499)</f>
        <v/>
      </c>
    </row>
    <row r="500">
      <c r="F500" s="8" t="n"/>
      <c r="G500" s="8">
        <f>IF(E500="","",E500*F500)</f>
        <v/>
      </c>
      <c r="H500" s="8">
        <f>IF(G500="","",G500-I500)</f>
        <v/>
      </c>
      <c r="I500" s="8">
        <f>IF(D500="","",VLOOKUP(D500, RECETTES!B:G, 6, FALSE)*E500)</f>
        <v/>
      </c>
      <c r="J500" s="8">
        <f>IF(G500="","",G500*0.20)</f>
        <v/>
      </c>
      <c r="K500" s="8">
        <f>IF(G500="","",G500+J500)</f>
        <v/>
      </c>
    </row>
    <row r="501">
      <c r="F501" s="8" t="n"/>
      <c r="G501" s="8">
        <f>IF(E501="","",E501*F501)</f>
        <v/>
      </c>
      <c r="H501" s="8">
        <f>IF(G501="","",G501-I501)</f>
        <v/>
      </c>
      <c r="I501" s="8">
        <f>IF(D501="","",VLOOKUP(D501, RECETTES!B:G, 6, FALSE)*E501)</f>
        <v/>
      </c>
      <c r="J501" s="8">
        <f>IF(G501="","",G501*0.20)</f>
        <v/>
      </c>
      <c r="K501" s="8">
        <f>IF(G501="","",G501+J501)</f>
        <v/>
      </c>
    </row>
    <row r="502">
      <c r="F502" s="8" t="n"/>
      <c r="G502" s="8">
        <f>IF(E502="","",E502*F502)</f>
        <v/>
      </c>
      <c r="H502" s="8">
        <f>IF(G502="","",G502-I502)</f>
        <v/>
      </c>
      <c r="I502" s="8">
        <f>IF(D502="","",VLOOKUP(D502, RECETTES!B:G, 6, FALSE)*E502)</f>
        <v/>
      </c>
      <c r="J502" s="8">
        <f>IF(G502="","",G502*0.20)</f>
        <v/>
      </c>
      <c r="K502" s="8">
        <f>IF(G502="","",G502+J502)</f>
        <v/>
      </c>
    </row>
    <row r="503">
      <c r="F503" s="8" t="n"/>
      <c r="G503" s="8">
        <f>IF(E503="","",E503*F503)</f>
        <v/>
      </c>
      <c r="H503" s="8">
        <f>IF(G503="","",G503-I503)</f>
        <v/>
      </c>
      <c r="I503" s="8">
        <f>IF(D503="","",VLOOKUP(D503, RECETTES!B:G, 6, FALSE)*E503)</f>
        <v/>
      </c>
      <c r="J503" s="8">
        <f>IF(G503="","",G503*0.20)</f>
        <v/>
      </c>
      <c r="K503" s="8">
        <f>IF(G503="","",G503+J503)</f>
        <v/>
      </c>
    </row>
    <row r="504">
      <c r="F504" s="8" t="n"/>
      <c r="G504" s="8">
        <f>IF(E504="","",E504*F504)</f>
        <v/>
      </c>
      <c r="H504" s="8">
        <f>IF(G504="","",G504-I504)</f>
        <v/>
      </c>
      <c r="I504" s="8">
        <f>IF(D504="","",VLOOKUP(D504, RECETTES!B:G, 6, FALSE)*E504)</f>
        <v/>
      </c>
      <c r="J504" s="8">
        <f>IF(G504="","",G504*0.20)</f>
        <v/>
      </c>
      <c r="K504" s="8">
        <f>IF(G504="","",G504+J504)</f>
        <v/>
      </c>
    </row>
    <row r="505">
      <c r="F505" s="8" t="n"/>
      <c r="G505" s="8">
        <f>IF(E505="","",E505*F505)</f>
        <v/>
      </c>
      <c r="H505" s="8">
        <f>IF(G505="","",G505-I505)</f>
        <v/>
      </c>
      <c r="I505" s="8">
        <f>IF(D505="","",VLOOKUP(D505, RECETTES!B:G, 6, FALSE)*E505)</f>
        <v/>
      </c>
      <c r="J505" s="8">
        <f>IF(G505="","",G505*0.20)</f>
        <v/>
      </c>
      <c r="K505" s="8">
        <f>IF(G505="","",G505+J505)</f>
        <v/>
      </c>
    </row>
    <row r="506">
      <c r="F506" s="8" t="n"/>
      <c r="G506" s="8">
        <f>IF(E506="","",E506*F506)</f>
        <v/>
      </c>
      <c r="H506" s="8">
        <f>IF(G506="","",G506-I506)</f>
        <v/>
      </c>
      <c r="I506" s="8">
        <f>IF(D506="","",VLOOKUP(D506, RECETTES!B:G, 6, FALSE)*E506)</f>
        <v/>
      </c>
      <c r="J506" s="8">
        <f>IF(G506="","",G506*0.20)</f>
        <v/>
      </c>
      <c r="K506" s="8">
        <f>IF(G506="","",G506+J506)</f>
        <v/>
      </c>
    </row>
    <row r="507">
      <c r="F507" s="8" t="n"/>
      <c r="G507" s="8">
        <f>IF(E507="","",E507*F507)</f>
        <v/>
      </c>
      <c r="H507" s="8">
        <f>IF(G507="","",G507-I507)</f>
        <v/>
      </c>
      <c r="I507" s="8">
        <f>IF(D507="","",VLOOKUP(D507, RECETTES!B:G, 6, FALSE)*E507)</f>
        <v/>
      </c>
      <c r="J507" s="8">
        <f>IF(G507="","",G507*0.20)</f>
        <v/>
      </c>
      <c r="K507" s="8">
        <f>IF(G507="","",G507+J507)</f>
        <v/>
      </c>
    </row>
    <row r="508">
      <c r="F508" s="8" t="n"/>
      <c r="G508" s="8">
        <f>IF(E508="","",E508*F508)</f>
        <v/>
      </c>
      <c r="H508" s="8">
        <f>IF(G508="","",G508-I508)</f>
        <v/>
      </c>
      <c r="I508" s="8">
        <f>IF(D508="","",VLOOKUP(D508, RECETTES!B:G, 6, FALSE)*E508)</f>
        <v/>
      </c>
      <c r="J508" s="8">
        <f>IF(G508="","",G508*0.20)</f>
        <v/>
      </c>
      <c r="K508" s="8">
        <f>IF(G508="","",G508+J508)</f>
        <v/>
      </c>
    </row>
    <row r="509">
      <c r="F509" s="8" t="n"/>
      <c r="G509" s="8">
        <f>IF(E509="","",E509*F509)</f>
        <v/>
      </c>
      <c r="H509" s="8">
        <f>IF(G509="","",G509-I509)</f>
        <v/>
      </c>
      <c r="I509" s="8">
        <f>IF(D509="","",VLOOKUP(D509, RECETTES!B:G, 6, FALSE)*E509)</f>
        <v/>
      </c>
      <c r="J509" s="8">
        <f>IF(G509="","",G509*0.20)</f>
        <v/>
      </c>
      <c r="K509" s="8">
        <f>IF(G509="","",G509+J509)</f>
        <v/>
      </c>
    </row>
    <row r="510">
      <c r="F510" s="8" t="n"/>
      <c r="G510" s="8">
        <f>IF(E510="","",E510*F510)</f>
        <v/>
      </c>
      <c r="H510" s="8">
        <f>IF(G510="","",G510-I510)</f>
        <v/>
      </c>
      <c r="I510" s="8">
        <f>IF(D510="","",VLOOKUP(D510, RECETTES!B:G, 6, FALSE)*E510)</f>
        <v/>
      </c>
      <c r="J510" s="8">
        <f>IF(G510="","",G510*0.20)</f>
        <v/>
      </c>
      <c r="K510" s="8">
        <f>IF(G510="","",G510+J510)</f>
        <v/>
      </c>
    </row>
    <row r="511">
      <c r="F511" s="8" t="n"/>
      <c r="G511" s="8">
        <f>IF(E511="","",E511*F511)</f>
        <v/>
      </c>
      <c r="H511" s="8">
        <f>IF(G511="","",G511-I511)</f>
        <v/>
      </c>
      <c r="I511" s="8">
        <f>IF(D511="","",VLOOKUP(D511, RECETTES!B:G, 6, FALSE)*E511)</f>
        <v/>
      </c>
      <c r="J511" s="8">
        <f>IF(G511="","",G511*0.20)</f>
        <v/>
      </c>
      <c r="K511" s="8">
        <f>IF(G511="","",G511+J511)</f>
        <v/>
      </c>
    </row>
    <row r="512">
      <c r="F512" s="8" t="n"/>
      <c r="G512" s="8">
        <f>IF(E512="","",E512*F512)</f>
        <v/>
      </c>
      <c r="H512" s="8">
        <f>IF(G512="","",G512-I512)</f>
        <v/>
      </c>
      <c r="I512" s="8">
        <f>IF(D512="","",VLOOKUP(D512, RECETTES!B:G, 6, FALSE)*E512)</f>
        <v/>
      </c>
      <c r="J512" s="8">
        <f>IF(G512="","",G512*0.20)</f>
        <v/>
      </c>
      <c r="K512" s="8">
        <f>IF(G512="","",G512+J512)</f>
        <v/>
      </c>
    </row>
    <row r="513">
      <c r="F513" s="8" t="n"/>
      <c r="G513" s="8">
        <f>IF(E513="","",E513*F513)</f>
        <v/>
      </c>
      <c r="H513" s="8">
        <f>IF(G513="","",G513-I513)</f>
        <v/>
      </c>
      <c r="I513" s="8">
        <f>IF(D513="","",VLOOKUP(D513, RECETTES!B:G, 6, FALSE)*E513)</f>
        <v/>
      </c>
      <c r="J513" s="8">
        <f>IF(G513="","",G513*0.20)</f>
        <v/>
      </c>
      <c r="K513" s="8">
        <f>IF(G513="","",G513+J513)</f>
        <v/>
      </c>
    </row>
    <row r="514">
      <c r="F514" s="8" t="n"/>
      <c r="G514" s="8">
        <f>IF(E514="","",E514*F514)</f>
        <v/>
      </c>
      <c r="H514" s="8">
        <f>IF(G514="","",G514-I514)</f>
        <v/>
      </c>
      <c r="I514" s="8">
        <f>IF(D514="","",VLOOKUP(D514, RECETTES!B:G, 6, FALSE)*E514)</f>
        <v/>
      </c>
      <c r="J514" s="8">
        <f>IF(G514="","",G514*0.20)</f>
        <v/>
      </c>
      <c r="K514" s="8">
        <f>IF(G514="","",G514+J514)</f>
        <v/>
      </c>
    </row>
    <row r="515">
      <c r="F515" s="8" t="n"/>
      <c r="G515" s="8">
        <f>IF(E515="","",E515*F515)</f>
        <v/>
      </c>
      <c r="H515" s="8">
        <f>IF(G515="","",G515-I515)</f>
        <v/>
      </c>
      <c r="I515" s="8">
        <f>IF(D515="","",VLOOKUP(D515, RECETTES!B:G, 6, FALSE)*E515)</f>
        <v/>
      </c>
      <c r="J515" s="8">
        <f>IF(G515="","",G515*0.20)</f>
        <v/>
      </c>
      <c r="K515" s="8">
        <f>IF(G515="","",G515+J515)</f>
        <v/>
      </c>
    </row>
    <row r="516">
      <c r="F516" s="8" t="n"/>
      <c r="G516" s="8">
        <f>IF(E516="","",E516*F516)</f>
        <v/>
      </c>
      <c r="H516" s="8">
        <f>IF(G516="","",G516-I516)</f>
        <v/>
      </c>
      <c r="I516" s="8">
        <f>IF(D516="","",VLOOKUP(D516, RECETTES!B:G, 6, FALSE)*E516)</f>
        <v/>
      </c>
      <c r="J516" s="8">
        <f>IF(G516="","",G516*0.20)</f>
        <v/>
      </c>
      <c r="K516" s="8">
        <f>IF(G516="","",G516+J516)</f>
        <v/>
      </c>
    </row>
    <row r="517">
      <c r="F517" s="8" t="n"/>
      <c r="G517" s="8">
        <f>IF(E517="","",E517*F517)</f>
        <v/>
      </c>
      <c r="H517" s="8">
        <f>IF(G517="","",G517-I517)</f>
        <v/>
      </c>
      <c r="I517" s="8">
        <f>IF(D517="","",VLOOKUP(D517, RECETTES!B:G, 6, FALSE)*E517)</f>
        <v/>
      </c>
      <c r="J517" s="8">
        <f>IF(G517="","",G517*0.20)</f>
        <v/>
      </c>
      <c r="K517" s="8">
        <f>IF(G517="","",G517+J517)</f>
        <v/>
      </c>
    </row>
    <row r="518">
      <c r="F518" s="8" t="n"/>
      <c r="G518" s="8">
        <f>IF(E518="","",E518*F518)</f>
        <v/>
      </c>
      <c r="H518" s="8">
        <f>IF(G518="","",G518-I518)</f>
        <v/>
      </c>
      <c r="I518" s="8">
        <f>IF(D518="","",VLOOKUP(D518, RECETTES!B:G, 6, FALSE)*E518)</f>
        <v/>
      </c>
      <c r="J518" s="8">
        <f>IF(G518="","",G518*0.20)</f>
        <v/>
      </c>
      <c r="K518" s="8">
        <f>IF(G518="","",G518+J518)</f>
        <v/>
      </c>
    </row>
    <row r="519">
      <c r="F519" s="8" t="n"/>
      <c r="G519" s="8">
        <f>IF(E519="","",E519*F519)</f>
        <v/>
      </c>
      <c r="H519" s="8">
        <f>IF(G519="","",G519-I519)</f>
        <v/>
      </c>
      <c r="I519" s="8">
        <f>IF(D519="","",VLOOKUP(D519, RECETTES!B:G, 6, FALSE)*E519)</f>
        <v/>
      </c>
      <c r="J519" s="8">
        <f>IF(G519="","",G519*0.20)</f>
        <v/>
      </c>
      <c r="K519" s="8">
        <f>IF(G519="","",G519+J519)</f>
        <v/>
      </c>
    </row>
    <row r="520">
      <c r="F520" s="8" t="n"/>
      <c r="G520" s="8">
        <f>IF(E520="","",E520*F520)</f>
        <v/>
      </c>
      <c r="H520" s="8">
        <f>IF(G520="","",G520-I520)</f>
        <v/>
      </c>
      <c r="I520" s="8">
        <f>IF(D520="","",VLOOKUP(D520, RECETTES!B:G, 6, FALSE)*E520)</f>
        <v/>
      </c>
      <c r="J520" s="8">
        <f>IF(G520="","",G520*0.20)</f>
        <v/>
      </c>
      <c r="K520" s="8">
        <f>IF(G520="","",G520+J520)</f>
        <v/>
      </c>
    </row>
    <row r="521">
      <c r="F521" s="8" t="n"/>
      <c r="G521" s="8">
        <f>IF(E521="","",E521*F521)</f>
        <v/>
      </c>
      <c r="H521" s="8">
        <f>IF(G521="","",G521-I521)</f>
        <v/>
      </c>
      <c r="I521" s="8">
        <f>IF(D521="","",VLOOKUP(D521, RECETTES!B:G, 6, FALSE)*E521)</f>
        <v/>
      </c>
      <c r="J521" s="8">
        <f>IF(G521="","",G521*0.20)</f>
        <v/>
      </c>
      <c r="K521" s="8">
        <f>IF(G521="","",G521+J521)</f>
        <v/>
      </c>
    </row>
    <row r="522">
      <c r="F522" s="8" t="n"/>
      <c r="G522" s="8">
        <f>IF(E522="","",E522*F522)</f>
        <v/>
      </c>
      <c r="H522" s="8">
        <f>IF(G522="","",G522-I522)</f>
        <v/>
      </c>
      <c r="I522" s="8">
        <f>IF(D522="","",VLOOKUP(D522, RECETTES!B:G, 6, FALSE)*E522)</f>
        <v/>
      </c>
      <c r="J522" s="8">
        <f>IF(G522="","",G522*0.20)</f>
        <v/>
      </c>
      <c r="K522" s="8">
        <f>IF(G522="","",G522+J522)</f>
        <v/>
      </c>
    </row>
    <row r="523">
      <c r="F523" s="8" t="n"/>
      <c r="G523" s="8">
        <f>IF(E523="","",E523*F523)</f>
        <v/>
      </c>
      <c r="H523" s="8">
        <f>IF(G523="","",G523-I523)</f>
        <v/>
      </c>
      <c r="I523" s="8">
        <f>IF(D523="","",VLOOKUP(D523, RECETTES!B:G, 6, FALSE)*E523)</f>
        <v/>
      </c>
      <c r="J523" s="8">
        <f>IF(G523="","",G523*0.20)</f>
        <v/>
      </c>
      <c r="K523" s="8">
        <f>IF(G523="","",G523+J523)</f>
        <v/>
      </c>
    </row>
    <row r="524">
      <c r="F524" s="8" t="n"/>
      <c r="G524" s="8">
        <f>IF(E524="","",E524*F524)</f>
        <v/>
      </c>
      <c r="H524" s="8">
        <f>IF(G524="","",G524-I524)</f>
        <v/>
      </c>
      <c r="I524" s="8">
        <f>IF(D524="","",VLOOKUP(D524, RECETTES!B:G, 6, FALSE)*E524)</f>
        <v/>
      </c>
      <c r="J524" s="8">
        <f>IF(G524="","",G524*0.20)</f>
        <v/>
      </c>
      <c r="K524" s="8">
        <f>IF(G524="","",G524+J524)</f>
        <v/>
      </c>
    </row>
    <row r="525">
      <c r="F525" s="8" t="n"/>
      <c r="G525" s="8">
        <f>IF(E525="","",E525*F525)</f>
        <v/>
      </c>
      <c r="H525" s="8">
        <f>IF(G525="","",G525-I525)</f>
        <v/>
      </c>
      <c r="I525" s="8">
        <f>IF(D525="","",VLOOKUP(D525, RECETTES!B:G, 6, FALSE)*E525)</f>
        <v/>
      </c>
      <c r="J525" s="8">
        <f>IF(G525="","",G525*0.20)</f>
        <v/>
      </c>
      <c r="K525" s="8">
        <f>IF(G525="","",G525+J525)</f>
        <v/>
      </c>
    </row>
    <row r="526">
      <c r="F526" s="8" t="n"/>
      <c r="G526" s="8">
        <f>IF(E526="","",E526*F526)</f>
        <v/>
      </c>
      <c r="H526" s="8">
        <f>IF(G526="","",G526-I526)</f>
        <v/>
      </c>
      <c r="I526" s="8">
        <f>IF(D526="","",VLOOKUP(D526, RECETTES!B:G, 6, FALSE)*E526)</f>
        <v/>
      </c>
      <c r="J526" s="8">
        <f>IF(G526="","",G526*0.20)</f>
        <v/>
      </c>
      <c r="K526" s="8">
        <f>IF(G526="","",G526+J526)</f>
        <v/>
      </c>
    </row>
    <row r="527">
      <c r="F527" s="8" t="n"/>
      <c r="G527" s="8">
        <f>IF(E527="","",E527*F527)</f>
        <v/>
      </c>
      <c r="H527" s="8">
        <f>IF(G527="","",G527-I527)</f>
        <v/>
      </c>
      <c r="I527" s="8">
        <f>IF(D527="","",VLOOKUP(D527, RECETTES!B:G, 6, FALSE)*E527)</f>
        <v/>
      </c>
      <c r="J527" s="8">
        <f>IF(G527="","",G527*0.20)</f>
        <v/>
      </c>
      <c r="K527" s="8">
        <f>IF(G527="","",G527+J527)</f>
        <v/>
      </c>
    </row>
    <row r="528">
      <c r="F528" s="8" t="n"/>
      <c r="G528" s="8">
        <f>IF(E528="","",E528*F528)</f>
        <v/>
      </c>
      <c r="H528" s="8">
        <f>IF(G528="","",G528-I528)</f>
        <v/>
      </c>
      <c r="I528" s="8">
        <f>IF(D528="","",VLOOKUP(D528, RECETTES!B:G, 6, FALSE)*E528)</f>
        <v/>
      </c>
      <c r="J528" s="8">
        <f>IF(G528="","",G528*0.20)</f>
        <v/>
      </c>
      <c r="K528" s="8">
        <f>IF(G528="","",G528+J528)</f>
        <v/>
      </c>
    </row>
    <row r="529">
      <c r="F529" s="8" t="n"/>
      <c r="G529" s="8">
        <f>IF(E529="","",E529*F529)</f>
        <v/>
      </c>
      <c r="H529" s="8">
        <f>IF(G529="","",G529-I529)</f>
        <v/>
      </c>
      <c r="I529" s="8">
        <f>IF(D529="","",VLOOKUP(D529, RECETTES!B:G, 6, FALSE)*E529)</f>
        <v/>
      </c>
      <c r="J529" s="8">
        <f>IF(G529="","",G529*0.20)</f>
        <v/>
      </c>
      <c r="K529" s="8">
        <f>IF(G529="","",G529+J529)</f>
        <v/>
      </c>
    </row>
    <row r="530">
      <c r="F530" s="8" t="n"/>
      <c r="G530" s="8">
        <f>IF(E530="","",E530*F530)</f>
        <v/>
      </c>
      <c r="H530" s="8">
        <f>IF(G530="","",G530-I530)</f>
        <v/>
      </c>
      <c r="I530" s="8">
        <f>IF(D530="","",VLOOKUP(D530, RECETTES!B:G, 6, FALSE)*E530)</f>
        <v/>
      </c>
      <c r="J530" s="8">
        <f>IF(G530="","",G530*0.20)</f>
        <v/>
      </c>
      <c r="K530" s="8">
        <f>IF(G530="","",G530+J530)</f>
        <v/>
      </c>
    </row>
    <row r="531">
      <c r="F531" s="8" t="n"/>
      <c r="G531" s="8">
        <f>IF(E531="","",E531*F531)</f>
        <v/>
      </c>
      <c r="H531" s="8">
        <f>IF(G531="","",G531-I531)</f>
        <v/>
      </c>
      <c r="I531" s="8">
        <f>IF(D531="","",VLOOKUP(D531, RECETTES!B:G, 6, FALSE)*E531)</f>
        <v/>
      </c>
      <c r="J531" s="8">
        <f>IF(G531="","",G531*0.20)</f>
        <v/>
      </c>
      <c r="K531" s="8">
        <f>IF(G531="","",G531+J531)</f>
        <v/>
      </c>
    </row>
    <row r="532">
      <c r="F532" s="8" t="n"/>
      <c r="G532" s="8">
        <f>IF(E532="","",E532*F532)</f>
        <v/>
      </c>
      <c r="H532" s="8">
        <f>IF(G532="","",G532-I532)</f>
        <v/>
      </c>
      <c r="I532" s="8">
        <f>IF(D532="","",VLOOKUP(D532, RECETTES!B:G, 6, FALSE)*E532)</f>
        <v/>
      </c>
      <c r="J532" s="8">
        <f>IF(G532="","",G532*0.20)</f>
        <v/>
      </c>
      <c r="K532" s="8">
        <f>IF(G532="","",G532+J532)</f>
        <v/>
      </c>
    </row>
    <row r="533">
      <c r="F533" s="8" t="n"/>
      <c r="G533" s="8">
        <f>IF(E533="","",E533*F533)</f>
        <v/>
      </c>
      <c r="H533" s="8">
        <f>IF(G533="","",G533-I533)</f>
        <v/>
      </c>
      <c r="I533" s="8">
        <f>IF(D533="","",VLOOKUP(D533, RECETTES!B:G, 6, FALSE)*E533)</f>
        <v/>
      </c>
      <c r="J533" s="8">
        <f>IF(G533="","",G533*0.20)</f>
        <v/>
      </c>
      <c r="K533" s="8">
        <f>IF(G533="","",G533+J533)</f>
        <v/>
      </c>
    </row>
    <row r="534">
      <c r="F534" s="8" t="n"/>
      <c r="G534" s="8">
        <f>IF(E534="","",E534*F534)</f>
        <v/>
      </c>
      <c r="H534" s="8">
        <f>IF(G534="","",G534-I534)</f>
        <v/>
      </c>
      <c r="I534" s="8">
        <f>IF(D534="","",VLOOKUP(D534, RECETTES!B:G, 6, FALSE)*E534)</f>
        <v/>
      </c>
      <c r="J534" s="8">
        <f>IF(G534="","",G534*0.20)</f>
        <v/>
      </c>
      <c r="K534" s="8">
        <f>IF(G534="","",G534+J534)</f>
        <v/>
      </c>
    </row>
    <row r="535">
      <c r="F535" s="8" t="n"/>
      <c r="G535" s="8">
        <f>IF(E535="","",E535*F535)</f>
        <v/>
      </c>
      <c r="H535" s="8">
        <f>IF(G535="","",G535-I535)</f>
        <v/>
      </c>
      <c r="I535" s="8">
        <f>IF(D535="","",VLOOKUP(D535, RECETTES!B:G, 6, FALSE)*E535)</f>
        <v/>
      </c>
      <c r="J535" s="8">
        <f>IF(G535="","",G535*0.20)</f>
        <v/>
      </c>
      <c r="K535" s="8">
        <f>IF(G535="","",G535+J535)</f>
        <v/>
      </c>
    </row>
    <row r="536">
      <c r="F536" s="8" t="n"/>
      <c r="G536" s="8">
        <f>IF(E536="","",E536*F536)</f>
        <v/>
      </c>
      <c r="H536" s="8">
        <f>IF(G536="","",G536-I536)</f>
        <v/>
      </c>
      <c r="I536" s="8">
        <f>IF(D536="","",VLOOKUP(D536, RECETTES!B:G, 6, FALSE)*E536)</f>
        <v/>
      </c>
      <c r="J536" s="8">
        <f>IF(G536="","",G536*0.20)</f>
        <v/>
      </c>
      <c r="K536" s="8">
        <f>IF(G536="","",G536+J536)</f>
        <v/>
      </c>
    </row>
    <row r="537">
      <c r="F537" s="8" t="n"/>
      <c r="G537" s="8">
        <f>IF(E537="","",E537*F537)</f>
        <v/>
      </c>
      <c r="H537" s="8">
        <f>IF(G537="","",G537-I537)</f>
        <v/>
      </c>
      <c r="I537" s="8">
        <f>IF(D537="","",VLOOKUP(D537, RECETTES!B:G, 6, FALSE)*E537)</f>
        <v/>
      </c>
      <c r="J537" s="8">
        <f>IF(G537="","",G537*0.20)</f>
        <v/>
      </c>
      <c r="K537" s="8">
        <f>IF(G537="","",G537+J537)</f>
        <v/>
      </c>
    </row>
    <row r="538">
      <c r="F538" s="8" t="n"/>
      <c r="G538" s="8">
        <f>IF(E538="","",E538*F538)</f>
        <v/>
      </c>
      <c r="H538" s="8">
        <f>IF(G538="","",G538-I538)</f>
        <v/>
      </c>
      <c r="I538" s="8">
        <f>IF(D538="","",VLOOKUP(D538, RECETTES!B:G, 6, FALSE)*E538)</f>
        <v/>
      </c>
      <c r="J538" s="8">
        <f>IF(G538="","",G538*0.20)</f>
        <v/>
      </c>
      <c r="K538" s="8">
        <f>IF(G538="","",G538+J538)</f>
        <v/>
      </c>
    </row>
    <row r="539">
      <c r="F539" s="8" t="n"/>
      <c r="G539" s="8">
        <f>IF(E539="","",E539*F539)</f>
        <v/>
      </c>
      <c r="H539" s="8">
        <f>IF(G539="","",G539-I539)</f>
        <v/>
      </c>
      <c r="I539" s="8">
        <f>IF(D539="","",VLOOKUP(D539, RECETTES!B:G, 6, FALSE)*E539)</f>
        <v/>
      </c>
      <c r="J539" s="8">
        <f>IF(G539="","",G539*0.20)</f>
        <v/>
      </c>
      <c r="K539" s="8">
        <f>IF(G539="","",G539+J539)</f>
        <v/>
      </c>
    </row>
    <row r="540">
      <c r="F540" s="8" t="n"/>
      <c r="G540" s="8">
        <f>IF(E540="","",E540*F540)</f>
        <v/>
      </c>
      <c r="H540" s="8">
        <f>IF(G540="","",G540-I540)</f>
        <v/>
      </c>
      <c r="I540" s="8">
        <f>IF(D540="","",VLOOKUP(D540, RECETTES!B:G, 6, FALSE)*E540)</f>
        <v/>
      </c>
      <c r="J540" s="8">
        <f>IF(G540="","",G540*0.20)</f>
        <v/>
      </c>
      <c r="K540" s="8">
        <f>IF(G540="","",G540+J540)</f>
        <v/>
      </c>
    </row>
    <row r="541">
      <c r="F541" s="8" t="n"/>
      <c r="G541" s="8">
        <f>IF(E541="","",E541*F541)</f>
        <v/>
      </c>
      <c r="H541" s="8">
        <f>IF(G541="","",G541-I541)</f>
        <v/>
      </c>
      <c r="I541" s="8">
        <f>IF(D541="","",VLOOKUP(D541, RECETTES!B:G, 6, FALSE)*E541)</f>
        <v/>
      </c>
      <c r="J541" s="8">
        <f>IF(G541="","",G541*0.20)</f>
        <v/>
      </c>
      <c r="K541" s="8">
        <f>IF(G541="","",G541+J541)</f>
        <v/>
      </c>
    </row>
    <row r="542">
      <c r="F542" s="8" t="n"/>
      <c r="G542" s="8">
        <f>IF(E542="","",E542*F542)</f>
        <v/>
      </c>
      <c r="H542" s="8">
        <f>IF(G542="","",G542-I542)</f>
        <v/>
      </c>
      <c r="I542" s="8">
        <f>IF(D542="","",VLOOKUP(D542, RECETTES!B:G, 6, FALSE)*E542)</f>
        <v/>
      </c>
      <c r="J542" s="8">
        <f>IF(G542="","",G542*0.20)</f>
        <v/>
      </c>
      <c r="K542" s="8">
        <f>IF(G542="","",G542+J542)</f>
        <v/>
      </c>
    </row>
    <row r="543">
      <c r="F543" s="8" t="n"/>
      <c r="G543" s="8">
        <f>IF(E543="","",E543*F543)</f>
        <v/>
      </c>
      <c r="H543" s="8">
        <f>IF(G543="","",G543-I543)</f>
        <v/>
      </c>
      <c r="I543" s="8">
        <f>IF(D543="","",VLOOKUP(D543, RECETTES!B:G, 6, FALSE)*E543)</f>
        <v/>
      </c>
      <c r="J543" s="8">
        <f>IF(G543="","",G543*0.20)</f>
        <v/>
      </c>
      <c r="K543" s="8">
        <f>IF(G543="","",G543+J543)</f>
        <v/>
      </c>
    </row>
    <row r="544">
      <c r="F544" s="8" t="n"/>
      <c r="G544" s="8">
        <f>IF(E544="","",E544*F544)</f>
        <v/>
      </c>
      <c r="H544" s="8">
        <f>IF(G544="","",G544-I544)</f>
        <v/>
      </c>
      <c r="I544" s="8">
        <f>IF(D544="","",VLOOKUP(D544, RECETTES!B:G, 6, FALSE)*E544)</f>
        <v/>
      </c>
      <c r="J544" s="8">
        <f>IF(G544="","",G544*0.20)</f>
        <v/>
      </c>
      <c r="K544" s="8">
        <f>IF(G544="","",G544+J544)</f>
        <v/>
      </c>
    </row>
    <row r="545">
      <c r="F545" s="8" t="n"/>
      <c r="G545" s="8">
        <f>IF(E545="","",E545*F545)</f>
        <v/>
      </c>
      <c r="H545" s="8">
        <f>IF(G545="","",G545-I545)</f>
        <v/>
      </c>
      <c r="I545" s="8">
        <f>IF(D545="","",VLOOKUP(D545, RECETTES!B:G, 6, FALSE)*E545)</f>
        <v/>
      </c>
      <c r="J545" s="8">
        <f>IF(G545="","",G545*0.20)</f>
        <v/>
      </c>
      <c r="K545" s="8">
        <f>IF(G545="","",G545+J545)</f>
        <v/>
      </c>
    </row>
    <row r="546">
      <c r="F546" s="8" t="n"/>
      <c r="G546" s="8">
        <f>IF(E546="","",E546*F546)</f>
        <v/>
      </c>
      <c r="H546" s="8">
        <f>IF(G546="","",G546-I546)</f>
        <v/>
      </c>
      <c r="I546" s="8">
        <f>IF(D546="","",VLOOKUP(D546, RECETTES!B:G, 6, FALSE)*E546)</f>
        <v/>
      </c>
      <c r="J546" s="8">
        <f>IF(G546="","",G546*0.20)</f>
        <v/>
      </c>
      <c r="K546" s="8">
        <f>IF(G546="","",G546+J546)</f>
        <v/>
      </c>
    </row>
    <row r="547">
      <c r="F547" s="8" t="n"/>
      <c r="G547" s="8">
        <f>IF(E547="","",E547*F547)</f>
        <v/>
      </c>
      <c r="H547" s="8">
        <f>IF(G547="","",G547-I547)</f>
        <v/>
      </c>
      <c r="I547" s="8">
        <f>IF(D547="","",VLOOKUP(D547, RECETTES!B:G, 6, FALSE)*E547)</f>
        <v/>
      </c>
      <c r="J547" s="8">
        <f>IF(G547="","",G547*0.20)</f>
        <v/>
      </c>
      <c r="K547" s="8">
        <f>IF(G547="","",G547+J547)</f>
        <v/>
      </c>
    </row>
    <row r="548">
      <c r="F548" s="8" t="n"/>
      <c r="G548" s="8">
        <f>IF(E548="","",E548*F548)</f>
        <v/>
      </c>
      <c r="H548" s="8">
        <f>IF(G548="","",G548-I548)</f>
        <v/>
      </c>
      <c r="I548" s="8">
        <f>IF(D548="","",VLOOKUP(D548, RECETTES!B:G, 6, FALSE)*E548)</f>
        <v/>
      </c>
      <c r="J548" s="8">
        <f>IF(G548="","",G548*0.20)</f>
        <v/>
      </c>
      <c r="K548" s="8">
        <f>IF(G548="","",G548+J548)</f>
        <v/>
      </c>
    </row>
    <row r="549">
      <c r="F549" s="8" t="n"/>
      <c r="G549" s="8">
        <f>IF(E549="","",E549*F549)</f>
        <v/>
      </c>
      <c r="H549" s="8">
        <f>IF(G549="","",G549-I549)</f>
        <v/>
      </c>
      <c r="I549" s="8">
        <f>IF(D549="","",VLOOKUP(D549, RECETTES!B:G, 6, FALSE)*E549)</f>
        <v/>
      </c>
      <c r="J549" s="8">
        <f>IF(G549="","",G549*0.20)</f>
        <v/>
      </c>
      <c r="K549" s="8">
        <f>IF(G549="","",G549+J549)</f>
        <v/>
      </c>
    </row>
    <row r="550">
      <c r="F550" s="8" t="n"/>
      <c r="G550" s="8">
        <f>IF(E550="","",E550*F550)</f>
        <v/>
      </c>
      <c r="H550" s="8">
        <f>IF(G550="","",G550-I550)</f>
        <v/>
      </c>
      <c r="I550" s="8">
        <f>IF(D550="","",VLOOKUP(D550, RECETTES!B:G, 6, FALSE)*E550)</f>
        <v/>
      </c>
      <c r="J550" s="8">
        <f>IF(G550="","",G550*0.20)</f>
        <v/>
      </c>
      <c r="K550" s="8">
        <f>IF(G550="","",G550+J550)</f>
        <v/>
      </c>
    </row>
    <row r="551">
      <c r="F551" s="8" t="n"/>
      <c r="G551" s="8">
        <f>IF(E551="","",E551*F551)</f>
        <v/>
      </c>
      <c r="H551" s="8">
        <f>IF(G551="","",G551-I551)</f>
        <v/>
      </c>
      <c r="I551" s="8">
        <f>IF(D551="","",VLOOKUP(D551, RECETTES!B:G, 6, FALSE)*E551)</f>
        <v/>
      </c>
      <c r="J551" s="8">
        <f>IF(G551="","",G551*0.20)</f>
        <v/>
      </c>
      <c r="K551" s="8">
        <f>IF(G551="","",G551+J551)</f>
        <v/>
      </c>
    </row>
    <row r="552">
      <c r="F552" s="8" t="n"/>
      <c r="G552" s="8">
        <f>IF(E552="","",E552*F552)</f>
        <v/>
      </c>
      <c r="H552" s="8">
        <f>IF(G552="","",G552-I552)</f>
        <v/>
      </c>
      <c r="I552" s="8">
        <f>IF(D552="","",VLOOKUP(D552, RECETTES!B:G, 6, FALSE)*E552)</f>
        <v/>
      </c>
      <c r="J552" s="8">
        <f>IF(G552="","",G552*0.20)</f>
        <v/>
      </c>
      <c r="K552" s="8">
        <f>IF(G552="","",G552+J552)</f>
        <v/>
      </c>
    </row>
    <row r="553">
      <c r="F553" s="8" t="n"/>
      <c r="G553" s="8">
        <f>IF(E553="","",E553*F553)</f>
        <v/>
      </c>
      <c r="H553" s="8">
        <f>IF(G553="","",G553-I553)</f>
        <v/>
      </c>
      <c r="I553" s="8">
        <f>IF(D553="","",VLOOKUP(D553, RECETTES!B:G, 6, FALSE)*E553)</f>
        <v/>
      </c>
      <c r="J553" s="8">
        <f>IF(G553="","",G553*0.20)</f>
        <v/>
      </c>
      <c r="K553" s="8">
        <f>IF(G553="","",G553+J553)</f>
        <v/>
      </c>
    </row>
    <row r="554">
      <c r="F554" s="8" t="n"/>
      <c r="G554" s="8">
        <f>IF(E554="","",E554*F554)</f>
        <v/>
      </c>
      <c r="H554" s="8">
        <f>IF(G554="","",G554-I554)</f>
        <v/>
      </c>
      <c r="I554" s="8">
        <f>IF(D554="","",VLOOKUP(D554, RECETTES!B:G, 6, FALSE)*E554)</f>
        <v/>
      </c>
      <c r="J554" s="8">
        <f>IF(G554="","",G554*0.20)</f>
        <v/>
      </c>
      <c r="K554" s="8">
        <f>IF(G554="","",G554+J554)</f>
        <v/>
      </c>
    </row>
    <row r="555">
      <c r="F555" s="8" t="n"/>
      <c r="G555" s="8">
        <f>IF(E555="","",E555*F555)</f>
        <v/>
      </c>
      <c r="H555" s="8">
        <f>IF(G555="","",G555-I555)</f>
        <v/>
      </c>
      <c r="I555" s="8">
        <f>IF(D555="","",VLOOKUP(D555, RECETTES!B:G, 6, FALSE)*E555)</f>
        <v/>
      </c>
      <c r="J555" s="8">
        <f>IF(G555="","",G555*0.20)</f>
        <v/>
      </c>
      <c r="K555" s="8">
        <f>IF(G555="","",G555+J555)</f>
        <v/>
      </c>
    </row>
    <row r="556">
      <c r="F556" s="8" t="n"/>
      <c r="G556" s="8">
        <f>IF(E556="","",E556*F556)</f>
        <v/>
      </c>
      <c r="H556" s="8">
        <f>IF(G556="","",G556-I556)</f>
        <v/>
      </c>
      <c r="I556" s="8">
        <f>IF(D556="","",VLOOKUP(D556, RECETTES!B:G, 6, FALSE)*E556)</f>
        <v/>
      </c>
      <c r="J556" s="8">
        <f>IF(G556="","",G556*0.20)</f>
        <v/>
      </c>
      <c r="K556" s="8">
        <f>IF(G556="","",G556+J556)</f>
        <v/>
      </c>
    </row>
    <row r="557">
      <c r="F557" s="8" t="n"/>
      <c r="G557" s="8">
        <f>IF(E557="","",E557*F557)</f>
        <v/>
      </c>
      <c r="H557" s="8">
        <f>IF(G557="","",G557-I557)</f>
        <v/>
      </c>
      <c r="I557" s="8">
        <f>IF(D557="","",VLOOKUP(D557, RECETTES!B:G, 6, FALSE)*E557)</f>
        <v/>
      </c>
      <c r="J557" s="8">
        <f>IF(G557="","",G557*0.20)</f>
        <v/>
      </c>
      <c r="K557" s="8">
        <f>IF(G557="","",G557+J557)</f>
        <v/>
      </c>
    </row>
    <row r="558">
      <c r="F558" s="8" t="n"/>
      <c r="G558" s="8">
        <f>IF(E558="","",E558*F558)</f>
        <v/>
      </c>
      <c r="H558" s="8">
        <f>IF(G558="","",G558-I558)</f>
        <v/>
      </c>
      <c r="I558" s="8">
        <f>IF(D558="","",VLOOKUP(D558, RECETTES!B:G, 6, FALSE)*E558)</f>
        <v/>
      </c>
      <c r="J558" s="8">
        <f>IF(G558="","",G558*0.20)</f>
        <v/>
      </c>
      <c r="K558" s="8">
        <f>IF(G558="","",G558+J558)</f>
        <v/>
      </c>
    </row>
    <row r="559">
      <c r="F559" s="8" t="n"/>
      <c r="G559" s="8">
        <f>IF(E559="","",E559*F559)</f>
        <v/>
      </c>
      <c r="H559" s="8">
        <f>IF(G559="","",G559-I559)</f>
        <v/>
      </c>
      <c r="I559" s="8">
        <f>IF(D559="","",VLOOKUP(D559, RECETTES!B:G, 6, FALSE)*E559)</f>
        <v/>
      </c>
      <c r="J559" s="8">
        <f>IF(G559="","",G559*0.20)</f>
        <v/>
      </c>
      <c r="K559" s="8">
        <f>IF(G559="","",G559+J559)</f>
        <v/>
      </c>
    </row>
    <row r="560">
      <c r="F560" s="8" t="n"/>
      <c r="G560" s="8">
        <f>IF(E560="","",E560*F560)</f>
        <v/>
      </c>
      <c r="H560" s="8">
        <f>IF(G560="","",G560-I560)</f>
        <v/>
      </c>
      <c r="I560" s="8">
        <f>IF(D560="","",VLOOKUP(D560, RECETTES!B:G, 6, FALSE)*E560)</f>
        <v/>
      </c>
      <c r="J560" s="8">
        <f>IF(G560="","",G560*0.20)</f>
        <v/>
      </c>
      <c r="K560" s="8">
        <f>IF(G560="","",G560+J560)</f>
        <v/>
      </c>
    </row>
    <row r="561">
      <c r="F561" s="8" t="n"/>
      <c r="G561" s="8">
        <f>IF(E561="","",E561*F561)</f>
        <v/>
      </c>
      <c r="H561" s="8">
        <f>IF(G561="","",G561-I561)</f>
        <v/>
      </c>
      <c r="I561" s="8">
        <f>IF(D561="","",VLOOKUP(D561, RECETTES!B:G, 6, FALSE)*E561)</f>
        <v/>
      </c>
      <c r="J561" s="8">
        <f>IF(G561="","",G561*0.20)</f>
        <v/>
      </c>
      <c r="K561" s="8">
        <f>IF(G561="","",G561+J561)</f>
        <v/>
      </c>
    </row>
    <row r="562">
      <c r="F562" s="8" t="n"/>
      <c r="G562" s="8">
        <f>IF(E562="","",E562*F562)</f>
        <v/>
      </c>
      <c r="H562" s="8">
        <f>IF(G562="","",G562-I562)</f>
        <v/>
      </c>
      <c r="I562" s="8">
        <f>IF(D562="","",VLOOKUP(D562, RECETTES!B:G, 6, FALSE)*E562)</f>
        <v/>
      </c>
      <c r="J562" s="8">
        <f>IF(G562="","",G562*0.20)</f>
        <v/>
      </c>
      <c r="K562" s="8">
        <f>IF(G562="","",G562+J562)</f>
        <v/>
      </c>
    </row>
    <row r="563">
      <c r="F563" s="8" t="n"/>
      <c r="G563" s="8">
        <f>IF(E563="","",E563*F563)</f>
        <v/>
      </c>
      <c r="H563" s="8">
        <f>IF(G563="","",G563-I563)</f>
        <v/>
      </c>
      <c r="I563" s="8">
        <f>IF(D563="","",VLOOKUP(D563, RECETTES!B:G, 6, FALSE)*E563)</f>
        <v/>
      </c>
      <c r="J563" s="8">
        <f>IF(G563="","",G563*0.20)</f>
        <v/>
      </c>
      <c r="K563" s="8">
        <f>IF(G563="","",G563+J563)</f>
        <v/>
      </c>
    </row>
    <row r="564">
      <c r="F564" s="8" t="n"/>
      <c r="G564" s="8">
        <f>IF(E564="","",E564*F564)</f>
        <v/>
      </c>
      <c r="H564" s="8">
        <f>IF(G564="","",G564-I564)</f>
        <v/>
      </c>
      <c r="I564" s="8">
        <f>IF(D564="","",VLOOKUP(D564, RECETTES!B:G, 6, FALSE)*E564)</f>
        <v/>
      </c>
      <c r="J564" s="8">
        <f>IF(G564="","",G564*0.20)</f>
        <v/>
      </c>
      <c r="K564" s="8">
        <f>IF(G564="","",G564+J564)</f>
        <v/>
      </c>
    </row>
    <row r="565">
      <c r="F565" s="8" t="n"/>
      <c r="G565" s="8">
        <f>IF(E565="","",E565*F565)</f>
        <v/>
      </c>
      <c r="H565" s="8">
        <f>IF(G565="","",G565-I565)</f>
        <v/>
      </c>
      <c r="I565" s="8">
        <f>IF(D565="","",VLOOKUP(D565, RECETTES!B:G, 6, FALSE)*E565)</f>
        <v/>
      </c>
      <c r="J565" s="8">
        <f>IF(G565="","",G565*0.20)</f>
        <v/>
      </c>
      <c r="K565" s="8">
        <f>IF(G565="","",G565+J565)</f>
        <v/>
      </c>
    </row>
    <row r="566">
      <c r="F566" s="8" t="n"/>
      <c r="G566" s="8">
        <f>IF(E566="","",E566*F566)</f>
        <v/>
      </c>
      <c r="H566" s="8">
        <f>IF(G566="","",G566-I566)</f>
        <v/>
      </c>
      <c r="I566" s="8">
        <f>IF(D566="","",VLOOKUP(D566, RECETTES!B:G, 6, FALSE)*E566)</f>
        <v/>
      </c>
      <c r="J566" s="8">
        <f>IF(G566="","",G566*0.20)</f>
        <v/>
      </c>
      <c r="K566" s="8">
        <f>IF(G566="","",G566+J566)</f>
        <v/>
      </c>
    </row>
    <row r="567">
      <c r="F567" s="8" t="n"/>
      <c r="G567" s="8">
        <f>IF(E567="","",E567*F567)</f>
        <v/>
      </c>
      <c r="H567" s="8">
        <f>IF(G567="","",G567-I567)</f>
        <v/>
      </c>
      <c r="I567" s="8">
        <f>IF(D567="","",VLOOKUP(D567, RECETTES!B:G, 6, FALSE)*E567)</f>
        <v/>
      </c>
      <c r="J567" s="8">
        <f>IF(G567="","",G567*0.20)</f>
        <v/>
      </c>
      <c r="K567" s="8">
        <f>IF(G567="","",G567+J567)</f>
        <v/>
      </c>
    </row>
    <row r="568">
      <c r="F568" s="8" t="n"/>
      <c r="G568" s="8">
        <f>IF(E568="","",E568*F568)</f>
        <v/>
      </c>
      <c r="H568" s="8">
        <f>IF(G568="","",G568-I568)</f>
        <v/>
      </c>
      <c r="I568" s="8">
        <f>IF(D568="","",VLOOKUP(D568, RECETTES!B:G, 6, FALSE)*E568)</f>
        <v/>
      </c>
      <c r="J568" s="8">
        <f>IF(G568="","",G568*0.20)</f>
        <v/>
      </c>
      <c r="K568" s="8">
        <f>IF(G568="","",G568+J568)</f>
        <v/>
      </c>
    </row>
    <row r="569">
      <c r="F569" s="8" t="n"/>
      <c r="G569" s="8">
        <f>IF(E569="","",E569*F569)</f>
        <v/>
      </c>
      <c r="H569" s="8">
        <f>IF(G569="","",G569-I569)</f>
        <v/>
      </c>
      <c r="I569" s="8">
        <f>IF(D569="","",VLOOKUP(D569, RECETTES!B:G, 6, FALSE)*E569)</f>
        <v/>
      </c>
      <c r="J569" s="8">
        <f>IF(G569="","",G569*0.20)</f>
        <v/>
      </c>
      <c r="K569" s="8">
        <f>IF(G569="","",G569+J569)</f>
        <v/>
      </c>
    </row>
    <row r="570">
      <c r="F570" s="8" t="n"/>
      <c r="G570" s="8">
        <f>IF(E570="","",E570*F570)</f>
        <v/>
      </c>
      <c r="H570" s="8">
        <f>IF(G570="","",G570-I570)</f>
        <v/>
      </c>
      <c r="I570" s="8">
        <f>IF(D570="","",VLOOKUP(D570, RECETTES!B:G, 6, FALSE)*E570)</f>
        <v/>
      </c>
      <c r="J570" s="8">
        <f>IF(G570="","",G570*0.20)</f>
        <v/>
      </c>
      <c r="K570" s="8">
        <f>IF(G570="","",G570+J570)</f>
        <v/>
      </c>
    </row>
    <row r="571">
      <c r="F571" s="8" t="n"/>
      <c r="G571" s="8">
        <f>IF(E571="","",E571*F571)</f>
        <v/>
      </c>
      <c r="H571" s="8">
        <f>IF(G571="","",G571-I571)</f>
        <v/>
      </c>
      <c r="I571" s="8">
        <f>IF(D571="","",VLOOKUP(D571, RECETTES!B:G, 6, FALSE)*E571)</f>
        <v/>
      </c>
      <c r="J571" s="8">
        <f>IF(G571="","",G571*0.20)</f>
        <v/>
      </c>
      <c r="K571" s="8">
        <f>IF(G571="","",G571+J571)</f>
        <v/>
      </c>
    </row>
    <row r="572">
      <c r="F572" s="8" t="n"/>
      <c r="G572" s="8">
        <f>IF(E572="","",E572*F572)</f>
        <v/>
      </c>
      <c r="H572" s="8">
        <f>IF(G572="","",G572-I572)</f>
        <v/>
      </c>
      <c r="I572" s="8">
        <f>IF(D572="","",VLOOKUP(D572, RECETTES!B:G, 6, FALSE)*E572)</f>
        <v/>
      </c>
      <c r="J572" s="8">
        <f>IF(G572="","",G572*0.20)</f>
        <v/>
      </c>
      <c r="K572" s="8">
        <f>IF(G572="","",G572+J572)</f>
        <v/>
      </c>
    </row>
    <row r="573">
      <c r="F573" s="8" t="n"/>
      <c r="G573" s="8">
        <f>IF(E573="","",E573*F573)</f>
        <v/>
      </c>
      <c r="H573" s="8">
        <f>IF(G573="","",G573-I573)</f>
        <v/>
      </c>
      <c r="I573" s="8">
        <f>IF(D573="","",VLOOKUP(D573, RECETTES!B:G, 6, FALSE)*E573)</f>
        <v/>
      </c>
      <c r="J573" s="8">
        <f>IF(G573="","",G573*0.20)</f>
        <v/>
      </c>
      <c r="K573" s="8">
        <f>IF(G573="","",G573+J573)</f>
        <v/>
      </c>
    </row>
    <row r="574">
      <c r="F574" s="8" t="n"/>
      <c r="G574" s="8">
        <f>IF(E574="","",E574*F574)</f>
        <v/>
      </c>
      <c r="H574" s="8">
        <f>IF(G574="","",G574-I574)</f>
        <v/>
      </c>
      <c r="I574" s="8">
        <f>IF(D574="","",VLOOKUP(D574, RECETTES!B:G, 6, FALSE)*E574)</f>
        <v/>
      </c>
      <c r="J574" s="8">
        <f>IF(G574="","",G574*0.20)</f>
        <v/>
      </c>
      <c r="K574" s="8">
        <f>IF(G574="","",G574+J574)</f>
        <v/>
      </c>
    </row>
    <row r="575">
      <c r="F575" s="8" t="n"/>
      <c r="G575" s="8">
        <f>IF(E575="","",E575*F575)</f>
        <v/>
      </c>
      <c r="H575" s="8">
        <f>IF(G575="","",G575-I575)</f>
        <v/>
      </c>
      <c r="I575" s="8">
        <f>IF(D575="","",VLOOKUP(D575, RECETTES!B:G, 6, FALSE)*E575)</f>
        <v/>
      </c>
      <c r="J575" s="8">
        <f>IF(G575="","",G575*0.20)</f>
        <v/>
      </c>
      <c r="K575" s="8">
        <f>IF(G575="","",G575+J575)</f>
        <v/>
      </c>
    </row>
    <row r="576">
      <c r="F576" s="8" t="n"/>
      <c r="G576" s="8">
        <f>IF(E576="","",E576*F576)</f>
        <v/>
      </c>
      <c r="H576" s="8">
        <f>IF(G576="","",G576-I576)</f>
        <v/>
      </c>
      <c r="I576" s="8">
        <f>IF(D576="","",VLOOKUP(D576, RECETTES!B:G, 6, FALSE)*E576)</f>
        <v/>
      </c>
      <c r="J576" s="8">
        <f>IF(G576="","",G576*0.20)</f>
        <v/>
      </c>
      <c r="K576" s="8">
        <f>IF(G576="","",G576+J576)</f>
        <v/>
      </c>
    </row>
    <row r="577">
      <c r="F577" s="8" t="n"/>
      <c r="G577" s="8">
        <f>IF(E577="","",E577*F577)</f>
        <v/>
      </c>
      <c r="H577" s="8">
        <f>IF(G577="","",G577-I577)</f>
        <v/>
      </c>
      <c r="I577" s="8">
        <f>IF(D577="","",VLOOKUP(D577, RECETTES!B:G, 6, FALSE)*E577)</f>
        <v/>
      </c>
      <c r="J577" s="8">
        <f>IF(G577="","",G577*0.20)</f>
        <v/>
      </c>
      <c r="K577" s="8">
        <f>IF(G577="","",G577+J577)</f>
        <v/>
      </c>
    </row>
    <row r="578">
      <c r="F578" s="8" t="n"/>
      <c r="G578" s="8">
        <f>IF(E578="","",E578*F578)</f>
        <v/>
      </c>
      <c r="H578" s="8">
        <f>IF(G578="","",G578-I578)</f>
        <v/>
      </c>
      <c r="I578" s="8">
        <f>IF(D578="","",VLOOKUP(D578, RECETTES!B:G, 6, FALSE)*E578)</f>
        <v/>
      </c>
      <c r="J578" s="8">
        <f>IF(G578="","",G578*0.20)</f>
        <v/>
      </c>
      <c r="K578" s="8">
        <f>IF(G578="","",G578+J578)</f>
        <v/>
      </c>
    </row>
    <row r="579">
      <c r="F579" s="8" t="n"/>
      <c r="G579" s="8">
        <f>IF(E579="","",E579*F579)</f>
        <v/>
      </c>
      <c r="H579" s="8">
        <f>IF(G579="","",G579-I579)</f>
        <v/>
      </c>
      <c r="I579" s="8">
        <f>IF(D579="","",VLOOKUP(D579, RECETTES!B:G, 6, FALSE)*E579)</f>
        <v/>
      </c>
      <c r="J579" s="8">
        <f>IF(G579="","",G579*0.20)</f>
        <v/>
      </c>
      <c r="K579" s="8">
        <f>IF(G579="","",G579+J579)</f>
        <v/>
      </c>
    </row>
    <row r="580">
      <c r="F580" s="8" t="n"/>
      <c r="G580" s="8">
        <f>IF(E580="","",E580*F580)</f>
        <v/>
      </c>
      <c r="H580" s="8">
        <f>IF(G580="","",G580-I580)</f>
        <v/>
      </c>
      <c r="I580" s="8">
        <f>IF(D580="","",VLOOKUP(D580, RECETTES!B:G, 6, FALSE)*E580)</f>
        <v/>
      </c>
      <c r="J580" s="8">
        <f>IF(G580="","",G580*0.20)</f>
        <v/>
      </c>
      <c r="K580" s="8">
        <f>IF(G580="","",G580+J580)</f>
        <v/>
      </c>
    </row>
    <row r="581">
      <c r="F581" s="8" t="n"/>
      <c r="G581" s="8">
        <f>IF(E581="","",E581*F581)</f>
        <v/>
      </c>
      <c r="H581" s="8">
        <f>IF(G581="","",G581-I581)</f>
        <v/>
      </c>
      <c r="I581" s="8">
        <f>IF(D581="","",VLOOKUP(D581, RECETTES!B:G, 6, FALSE)*E581)</f>
        <v/>
      </c>
      <c r="J581" s="8">
        <f>IF(G581="","",G581*0.20)</f>
        <v/>
      </c>
      <c r="K581" s="8">
        <f>IF(G581="","",G581+J581)</f>
        <v/>
      </c>
    </row>
    <row r="582">
      <c r="F582" s="8" t="n"/>
      <c r="G582" s="8">
        <f>IF(E582="","",E582*F582)</f>
        <v/>
      </c>
      <c r="H582" s="8">
        <f>IF(G582="","",G582-I582)</f>
        <v/>
      </c>
      <c r="I582" s="8">
        <f>IF(D582="","",VLOOKUP(D582, RECETTES!B:G, 6, FALSE)*E582)</f>
        <v/>
      </c>
      <c r="J582" s="8">
        <f>IF(G582="","",G582*0.20)</f>
        <v/>
      </c>
      <c r="K582" s="8">
        <f>IF(G582="","",G582+J582)</f>
        <v/>
      </c>
    </row>
    <row r="583">
      <c r="F583" s="8" t="n"/>
      <c r="G583" s="8">
        <f>IF(E583="","",E583*F583)</f>
        <v/>
      </c>
      <c r="H583" s="8">
        <f>IF(G583="","",G583-I583)</f>
        <v/>
      </c>
      <c r="I583" s="8">
        <f>IF(D583="","",VLOOKUP(D583, RECETTES!B:G, 6, FALSE)*E583)</f>
        <v/>
      </c>
      <c r="J583" s="8">
        <f>IF(G583="","",G583*0.20)</f>
        <v/>
      </c>
      <c r="K583" s="8">
        <f>IF(G583="","",G583+J583)</f>
        <v/>
      </c>
    </row>
    <row r="584">
      <c r="F584" s="8" t="n"/>
      <c r="G584" s="8">
        <f>IF(E584="","",E584*F584)</f>
        <v/>
      </c>
      <c r="H584" s="8">
        <f>IF(G584="","",G584-I584)</f>
        <v/>
      </c>
      <c r="I584" s="8">
        <f>IF(D584="","",VLOOKUP(D584, RECETTES!B:G, 6, FALSE)*E584)</f>
        <v/>
      </c>
      <c r="J584" s="8">
        <f>IF(G584="","",G584*0.20)</f>
        <v/>
      </c>
      <c r="K584" s="8">
        <f>IF(G584="","",G584+J584)</f>
        <v/>
      </c>
    </row>
    <row r="585">
      <c r="F585" s="8" t="n"/>
      <c r="G585" s="8">
        <f>IF(E585="","",E585*F585)</f>
        <v/>
      </c>
      <c r="H585" s="8">
        <f>IF(G585="","",G585-I585)</f>
        <v/>
      </c>
      <c r="I585" s="8">
        <f>IF(D585="","",VLOOKUP(D585, RECETTES!B:G, 6, FALSE)*E585)</f>
        <v/>
      </c>
      <c r="J585" s="8">
        <f>IF(G585="","",G585*0.20)</f>
        <v/>
      </c>
      <c r="K585" s="8">
        <f>IF(G585="","",G585+J585)</f>
        <v/>
      </c>
    </row>
    <row r="586">
      <c r="F586" s="8" t="n"/>
      <c r="G586" s="8">
        <f>IF(E586="","",E586*F586)</f>
        <v/>
      </c>
      <c r="H586" s="8">
        <f>IF(G586="","",G586-I586)</f>
        <v/>
      </c>
      <c r="I586" s="8">
        <f>IF(D586="","",VLOOKUP(D586, RECETTES!B:G, 6, FALSE)*E586)</f>
        <v/>
      </c>
      <c r="J586" s="8">
        <f>IF(G586="","",G586*0.20)</f>
        <v/>
      </c>
      <c r="K586" s="8">
        <f>IF(G586="","",G586+J586)</f>
        <v/>
      </c>
    </row>
    <row r="587">
      <c r="F587" s="8" t="n"/>
      <c r="G587" s="8">
        <f>IF(E587="","",E587*F587)</f>
        <v/>
      </c>
      <c r="H587" s="8">
        <f>IF(G587="","",G587-I587)</f>
        <v/>
      </c>
      <c r="I587" s="8">
        <f>IF(D587="","",VLOOKUP(D587, RECETTES!B:G, 6, FALSE)*E587)</f>
        <v/>
      </c>
      <c r="J587" s="8">
        <f>IF(G587="","",G587*0.20)</f>
        <v/>
      </c>
      <c r="K587" s="8">
        <f>IF(G587="","",G587+J587)</f>
        <v/>
      </c>
    </row>
    <row r="588">
      <c r="F588" s="8" t="n"/>
      <c r="G588" s="8">
        <f>IF(E588="","",E588*F588)</f>
        <v/>
      </c>
      <c r="H588" s="8">
        <f>IF(G588="","",G588-I588)</f>
        <v/>
      </c>
      <c r="I588" s="8">
        <f>IF(D588="","",VLOOKUP(D588, RECETTES!B:G, 6, FALSE)*E588)</f>
        <v/>
      </c>
      <c r="J588" s="8">
        <f>IF(G588="","",G588*0.20)</f>
        <v/>
      </c>
      <c r="K588" s="8">
        <f>IF(G588="","",G588+J588)</f>
        <v/>
      </c>
    </row>
    <row r="589">
      <c r="F589" s="8" t="n"/>
      <c r="G589" s="8">
        <f>IF(E589="","",E589*F589)</f>
        <v/>
      </c>
      <c r="H589" s="8">
        <f>IF(G589="","",G589-I589)</f>
        <v/>
      </c>
      <c r="I589" s="8">
        <f>IF(D589="","",VLOOKUP(D589, RECETTES!B:G, 6, FALSE)*E589)</f>
        <v/>
      </c>
      <c r="J589" s="8">
        <f>IF(G589="","",G589*0.20)</f>
        <v/>
      </c>
      <c r="K589" s="8">
        <f>IF(G589="","",G589+J589)</f>
        <v/>
      </c>
    </row>
    <row r="590">
      <c r="F590" s="8" t="n"/>
      <c r="G590" s="8">
        <f>IF(E590="","",E590*F590)</f>
        <v/>
      </c>
      <c r="H590" s="8">
        <f>IF(G590="","",G590-I590)</f>
        <v/>
      </c>
      <c r="I590" s="8">
        <f>IF(D590="","",VLOOKUP(D590, RECETTES!B:G, 6, FALSE)*E590)</f>
        <v/>
      </c>
      <c r="J590" s="8">
        <f>IF(G590="","",G590*0.20)</f>
        <v/>
      </c>
      <c r="K590" s="8">
        <f>IF(G590="","",G590+J590)</f>
        <v/>
      </c>
    </row>
    <row r="591">
      <c r="F591" s="8" t="n"/>
      <c r="G591" s="8">
        <f>IF(E591="","",E591*F591)</f>
        <v/>
      </c>
      <c r="H591" s="8">
        <f>IF(G591="","",G591-I591)</f>
        <v/>
      </c>
      <c r="I591" s="8">
        <f>IF(D591="","",VLOOKUP(D591, RECETTES!B:G, 6, FALSE)*E591)</f>
        <v/>
      </c>
      <c r="J591" s="8">
        <f>IF(G591="","",G591*0.20)</f>
        <v/>
      </c>
      <c r="K591" s="8">
        <f>IF(G591="","",G591+J591)</f>
        <v/>
      </c>
    </row>
    <row r="592">
      <c r="F592" s="8" t="n"/>
      <c r="G592" s="8">
        <f>IF(E592="","",E592*F592)</f>
        <v/>
      </c>
      <c r="H592" s="8">
        <f>IF(G592="","",G592-I592)</f>
        <v/>
      </c>
      <c r="I592" s="8">
        <f>IF(D592="","",VLOOKUP(D592, RECETTES!B:G, 6, FALSE)*E592)</f>
        <v/>
      </c>
      <c r="J592" s="8">
        <f>IF(G592="","",G592*0.20)</f>
        <v/>
      </c>
      <c r="K592" s="8">
        <f>IF(G592="","",G592+J592)</f>
        <v/>
      </c>
    </row>
    <row r="593">
      <c r="F593" s="8" t="n"/>
      <c r="G593" s="8">
        <f>IF(E593="","",E593*F593)</f>
        <v/>
      </c>
      <c r="H593" s="8">
        <f>IF(G593="","",G593-I593)</f>
        <v/>
      </c>
      <c r="I593" s="8">
        <f>IF(D593="","",VLOOKUP(D593, RECETTES!B:G, 6, FALSE)*E593)</f>
        <v/>
      </c>
      <c r="J593" s="8">
        <f>IF(G593="","",G593*0.20)</f>
        <v/>
      </c>
      <c r="K593" s="8">
        <f>IF(G593="","",G593+J593)</f>
        <v/>
      </c>
    </row>
    <row r="594">
      <c r="F594" s="8" t="n"/>
      <c r="G594" s="8">
        <f>IF(E594="","",E594*F594)</f>
        <v/>
      </c>
      <c r="H594" s="8">
        <f>IF(G594="","",G594-I594)</f>
        <v/>
      </c>
      <c r="I594" s="8">
        <f>IF(D594="","",VLOOKUP(D594, RECETTES!B:G, 6, FALSE)*E594)</f>
        <v/>
      </c>
      <c r="J594" s="8">
        <f>IF(G594="","",G594*0.20)</f>
        <v/>
      </c>
      <c r="K594" s="8">
        <f>IF(G594="","",G594+J594)</f>
        <v/>
      </c>
    </row>
    <row r="595">
      <c r="F595" s="8" t="n"/>
      <c r="G595" s="8">
        <f>IF(E595="","",E595*F595)</f>
        <v/>
      </c>
      <c r="H595" s="8">
        <f>IF(G595="","",G595-I595)</f>
        <v/>
      </c>
      <c r="I595" s="8">
        <f>IF(D595="","",VLOOKUP(D595, RECETTES!B:G, 6, FALSE)*E595)</f>
        <v/>
      </c>
      <c r="J595" s="8">
        <f>IF(G595="","",G595*0.20)</f>
        <v/>
      </c>
      <c r="K595" s="8">
        <f>IF(G595="","",G595+J595)</f>
        <v/>
      </c>
    </row>
    <row r="596">
      <c r="F596" s="8" t="n"/>
      <c r="G596" s="8">
        <f>IF(E596="","",E596*F596)</f>
        <v/>
      </c>
      <c r="H596" s="8">
        <f>IF(G596="","",G596-I596)</f>
        <v/>
      </c>
      <c r="I596" s="8">
        <f>IF(D596="","",VLOOKUP(D596, RECETTES!B:G, 6, FALSE)*E596)</f>
        <v/>
      </c>
      <c r="J596" s="8">
        <f>IF(G596="","",G596*0.20)</f>
        <v/>
      </c>
      <c r="K596" s="8">
        <f>IF(G596="","",G596+J596)</f>
        <v/>
      </c>
    </row>
    <row r="597">
      <c r="F597" s="8" t="n"/>
      <c r="G597" s="8">
        <f>IF(E597="","",E597*F597)</f>
        <v/>
      </c>
      <c r="H597" s="8">
        <f>IF(G597="","",G597-I597)</f>
        <v/>
      </c>
      <c r="I597" s="8">
        <f>IF(D597="","",VLOOKUP(D597, RECETTES!B:G, 6, FALSE)*E597)</f>
        <v/>
      </c>
      <c r="J597" s="8">
        <f>IF(G597="","",G597*0.20)</f>
        <v/>
      </c>
      <c r="K597" s="8">
        <f>IF(G597="","",G597+J597)</f>
        <v/>
      </c>
    </row>
    <row r="598">
      <c r="F598" s="8" t="n"/>
      <c r="G598" s="8">
        <f>IF(E598="","",E598*F598)</f>
        <v/>
      </c>
      <c r="H598" s="8">
        <f>IF(G598="","",G598-I598)</f>
        <v/>
      </c>
      <c r="I598" s="8">
        <f>IF(D598="","",VLOOKUP(D598, RECETTES!B:G, 6, FALSE)*E598)</f>
        <v/>
      </c>
      <c r="J598" s="8">
        <f>IF(G598="","",G598*0.20)</f>
        <v/>
      </c>
      <c r="K598" s="8">
        <f>IF(G598="","",G598+J598)</f>
        <v/>
      </c>
    </row>
    <row r="599">
      <c r="F599" s="8" t="n"/>
      <c r="G599" s="8">
        <f>IF(E599="","",E599*F599)</f>
        <v/>
      </c>
      <c r="H599" s="8">
        <f>IF(G599="","",G599-I599)</f>
        <v/>
      </c>
      <c r="I599" s="8">
        <f>IF(D599="","",VLOOKUP(D599, RECETTES!B:G, 6, FALSE)*E599)</f>
        <v/>
      </c>
      <c r="J599" s="8">
        <f>IF(G599="","",G599*0.20)</f>
        <v/>
      </c>
      <c r="K599" s="8">
        <f>IF(G599="","",G599+J599)</f>
        <v/>
      </c>
    </row>
    <row r="600">
      <c r="F600" s="8" t="n"/>
      <c r="G600" s="8">
        <f>IF(E600="","",E600*F600)</f>
        <v/>
      </c>
      <c r="H600" s="8">
        <f>IF(G600="","",G600-I600)</f>
        <v/>
      </c>
      <c r="I600" s="8">
        <f>IF(D600="","",VLOOKUP(D600, RECETTES!B:G, 6, FALSE)*E600)</f>
        <v/>
      </c>
      <c r="J600" s="8">
        <f>IF(G600="","",G600*0.20)</f>
        <v/>
      </c>
      <c r="K600" s="8">
        <f>IF(G600="","",G600+J600)</f>
        <v/>
      </c>
    </row>
    <row r="601">
      <c r="F601" s="8" t="n"/>
      <c r="G601" s="8">
        <f>IF(E601="","",E601*F601)</f>
        <v/>
      </c>
      <c r="H601" s="8">
        <f>IF(G601="","",G601-I601)</f>
        <v/>
      </c>
      <c r="I601" s="8">
        <f>IF(D601="","",VLOOKUP(D601, RECETTES!B:G, 6, FALSE)*E601)</f>
        <v/>
      </c>
      <c r="J601" s="8">
        <f>IF(G601="","",G601*0.20)</f>
        <v/>
      </c>
      <c r="K601" s="8">
        <f>IF(G601="","",G601+J601)</f>
        <v/>
      </c>
    </row>
    <row r="602">
      <c r="F602" s="8" t="n"/>
      <c r="G602" s="8">
        <f>IF(E602="","",E602*F602)</f>
        <v/>
      </c>
      <c r="H602" s="8">
        <f>IF(G602="","",G602-I602)</f>
        <v/>
      </c>
      <c r="I602" s="8">
        <f>IF(D602="","",VLOOKUP(D602, RECETTES!B:G, 6, FALSE)*E602)</f>
        <v/>
      </c>
      <c r="J602" s="8">
        <f>IF(G602="","",G602*0.20)</f>
        <v/>
      </c>
      <c r="K602" s="8">
        <f>IF(G602="","",G602+J602)</f>
        <v/>
      </c>
    </row>
    <row r="603">
      <c r="F603" s="8" t="n"/>
      <c r="G603" s="8">
        <f>IF(E603="","",E603*F603)</f>
        <v/>
      </c>
      <c r="H603" s="8">
        <f>IF(G603="","",G603-I603)</f>
        <v/>
      </c>
      <c r="I603" s="8">
        <f>IF(D603="","",VLOOKUP(D603, RECETTES!B:G, 6, FALSE)*E603)</f>
        <v/>
      </c>
      <c r="J603" s="8">
        <f>IF(G603="","",G603*0.20)</f>
        <v/>
      </c>
      <c r="K603" s="8">
        <f>IF(G603="","",G603+J603)</f>
        <v/>
      </c>
    </row>
    <row r="604">
      <c r="F604" s="8" t="n"/>
      <c r="G604" s="8">
        <f>IF(E604="","",E604*F604)</f>
        <v/>
      </c>
      <c r="H604" s="8">
        <f>IF(G604="","",G604-I604)</f>
        <v/>
      </c>
      <c r="I604" s="8">
        <f>IF(D604="","",VLOOKUP(D604, RECETTES!B:G, 6, FALSE)*E604)</f>
        <v/>
      </c>
      <c r="J604" s="8">
        <f>IF(G604="","",G604*0.20)</f>
        <v/>
      </c>
      <c r="K604" s="8">
        <f>IF(G604="","",G604+J604)</f>
        <v/>
      </c>
    </row>
    <row r="605">
      <c r="F605" s="8" t="n"/>
      <c r="G605" s="8">
        <f>IF(E605="","",E605*F605)</f>
        <v/>
      </c>
      <c r="H605" s="8">
        <f>IF(G605="","",G605-I605)</f>
        <v/>
      </c>
      <c r="I605" s="8">
        <f>IF(D605="","",VLOOKUP(D605, RECETTES!B:G, 6, FALSE)*E605)</f>
        <v/>
      </c>
      <c r="J605" s="8">
        <f>IF(G605="","",G605*0.20)</f>
        <v/>
      </c>
      <c r="K605" s="8">
        <f>IF(G605="","",G605+J605)</f>
        <v/>
      </c>
    </row>
    <row r="606">
      <c r="F606" s="8" t="n"/>
      <c r="G606" s="8">
        <f>IF(E606="","",E606*F606)</f>
        <v/>
      </c>
      <c r="H606" s="8">
        <f>IF(G606="","",G606-I606)</f>
        <v/>
      </c>
      <c r="I606" s="8">
        <f>IF(D606="","",VLOOKUP(D606, RECETTES!B:G, 6, FALSE)*E606)</f>
        <v/>
      </c>
      <c r="J606" s="8">
        <f>IF(G606="","",G606*0.20)</f>
        <v/>
      </c>
      <c r="K606" s="8">
        <f>IF(G606="","",G606+J606)</f>
        <v/>
      </c>
    </row>
    <row r="607">
      <c r="F607" s="8" t="n"/>
      <c r="G607" s="8">
        <f>IF(E607="","",E607*F607)</f>
        <v/>
      </c>
      <c r="H607" s="8">
        <f>IF(G607="","",G607-I607)</f>
        <v/>
      </c>
      <c r="I607" s="8">
        <f>IF(D607="","",VLOOKUP(D607, RECETTES!B:G, 6, FALSE)*E607)</f>
        <v/>
      </c>
      <c r="J607" s="8">
        <f>IF(G607="","",G607*0.20)</f>
        <v/>
      </c>
      <c r="K607" s="8">
        <f>IF(G607="","",G607+J607)</f>
        <v/>
      </c>
    </row>
    <row r="608">
      <c r="F608" s="8" t="n"/>
      <c r="G608" s="8">
        <f>IF(E608="","",E608*F608)</f>
        <v/>
      </c>
      <c r="H608" s="8">
        <f>IF(G608="","",G608-I608)</f>
        <v/>
      </c>
      <c r="I608" s="8">
        <f>IF(D608="","",VLOOKUP(D608, RECETTES!B:G, 6, FALSE)*E608)</f>
        <v/>
      </c>
      <c r="J608" s="8">
        <f>IF(G608="","",G608*0.20)</f>
        <v/>
      </c>
      <c r="K608" s="8">
        <f>IF(G608="","",G608+J608)</f>
        <v/>
      </c>
    </row>
    <row r="609">
      <c r="F609" s="8" t="n"/>
      <c r="G609" s="8">
        <f>IF(E609="","",E609*F609)</f>
        <v/>
      </c>
      <c r="H609" s="8">
        <f>IF(G609="","",G609-I609)</f>
        <v/>
      </c>
      <c r="I609" s="8">
        <f>IF(D609="","",VLOOKUP(D609, RECETTES!B:G, 6, FALSE)*E609)</f>
        <v/>
      </c>
      <c r="J609" s="8">
        <f>IF(G609="","",G609*0.20)</f>
        <v/>
      </c>
      <c r="K609" s="8">
        <f>IF(G609="","",G609+J609)</f>
        <v/>
      </c>
    </row>
    <row r="610">
      <c r="F610" s="8" t="n"/>
      <c r="G610" s="8">
        <f>IF(E610="","",E610*F610)</f>
        <v/>
      </c>
      <c r="H610" s="8">
        <f>IF(G610="","",G610-I610)</f>
        <v/>
      </c>
      <c r="I610" s="8">
        <f>IF(D610="","",VLOOKUP(D610, RECETTES!B:G, 6, FALSE)*E610)</f>
        <v/>
      </c>
      <c r="J610" s="8">
        <f>IF(G610="","",G610*0.20)</f>
        <v/>
      </c>
      <c r="K610" s="8">
        <f>IF(G610="","",G610+J610)</f>
        <v/>
      </c>
    </row>
    <row r="611">
      <c r="F611" s="8" t="n"/>
      <c r="G611" s="8">
        <f>IF(E611="","",E611*F611)</f>
        <v/>
      </c>
      <c r="H611" s="8">
        <f>IF(G611="","",G611-I611)</f>
        <v/>
      </c>
      <c r="I611" s="8">
        <f>IF(D611="","",VLOOKUP(D611, RECETTES!B:G, 6, FALSE)*E611)</f>
        <v/>
      </c>
      <c r="J611" s="8">
        <f>IF(G611="","",G611*0.20)</f>
        <v/>
      </c>
      <c r="K611" s="8">
        <f>IF(G611="","",G611+J611)</f>
        <v/>
      </c>
    </row>
    <row r="612">
      <c r="F612" s="8" t="n"/>
      <c r="G612" s="8">
        <f>IF(E612="","",E612*F612)</f>
        <v/>
      </c>
      <c r="H612" s="8">
        <f>IF(G612="","",G612-I612)</f>
        <v/>
      </c>
      <c r="I612" s="8">
        <f>IF(D612="","",VLOOKUP(D612, RECETTES!B:G, 6, FALSE)*E612)</f>
        <v/>
      </c>
      <c r="J612" s="8">
        <f>IF(G612="","",G612*0.20)</f>
        <v/>
      </c>
      <c r="K612" s="8">
        <f>IF(G612="","",G612+J612)</f>
        <v/>
      </c>
    </row>
    <row r="613">
      <c r="F613" s="8" t="n"/>
      <c r="G613" s="8">
        <f>IF(E613="","",E613*F613)</f>
        <v/>
      </c>
      <c r="H613" s="8">
        <f>IF(G613="","",G613-I613)</f>
        <v/>
      </c>
      <c r="I613" s="8">
        <f>IF(D613="","",VLOOKUP(D613, RECETTES!B:G, 6, FALSE)*E613)</f>
        <v/>
      </c>
      <c r="J613" s="8">
        <f>IF(G613="","",G613*0.20)</f>
        <v/>
      </c>
      <c r="K613" s="8">
        <f>IF(G613="","",G613+J613)</f>
        <v/>
      </c>
    </row>
    <row r="614">
      <c r="F614" s="8" t="n"/>
      <c r="G614" s="8">
        <f>IF(E614="","",E614*F614)</f>
        <v/>
      </c>
      <c r="H614" s="8">
        <f>IF(G614="","",G614-I614)</f>
        <v/>
      </c>
      <c r="I614" s="8">
        <f>IF(D614="","",VLOOKUP(D614, RECETTES!B:G, 6, FALSE)*E614)</f>
        <v/>
      </c>
      <c r="J614" s="8">
        <f>IF(G614="","",G614*0.20)</f>
        <v/>
      </c>
      <c r="K614" s="8">
        <f>IF(G614="","",G614+J614)</f>
        <v/>
      </c>
    </row>
    <row r="615">
      <c r="F615" s="8" t="n"/>
      <c r="G615" s="8">
        <f>IF(E615="","",E615*F615)</f>
        <v/>
      </c>
      <c r="H615" s="8">
        <f>IF(G615="","",G615-I615)</f>
        <v/>
      </c>
      <c r="I615" s="8">
        <f>IF(D615="","",VLOOKUP(D615, RECETTES!B:G, 6, FALSE)*E615)</f>
        <v/>
      </c>
      <c r="J615" s="8">
        <f>IF(G615="","",G615*0.20)</f>
        <v/>
      </c>
      <c r="K615" s="8">
        <f>IF(G615="","",G615+J615)</f>
        <v/>
      </c>
    </row>
    <row r="616">
      <c r="F616" s="8" t="n"/>
      <c r="G616" s="8">
        <f>IF(E616="","",E616*F616)</f>
        <v/>
      </c>
      <c r="H616" s="8">
        <f>IF(G616="","",G616-I616)</f>
        <v/>
      </c>
      <c r="I616" s="8">
        <f>IF(D616="","",VLOOKUP(D616, RECETTES!B:G, 6, FALSE)*E616)</f>
        <v/>
      </c>
      <c r="J616" s="8">
        <f>IF(G616="","",G616*0.20)</f>
        <v/>
      </c>
      <c r="K616" s="8">
        <f>IF(G616="","",G616+J616)</f>
        <v/>
      </c>
    </row>
    <row r="617">
      <c r="F617" s="8" t="n"/>
      <c r="G617" s="8">
        <f>IF(E617="","",E617*F617)</f>
        <v/>
      </c>
      <c r="H617" s="8">
        <f>IF(G617="","",G617-I617)</f>
        <v/>
      </c>
      <c r="I617" s="8">
        <f>IF(D617="","",VLOOKUP(D617, RECETTES!B:G, 6, FALSE)*E617)</f>
        <v/>
      </c>
      <c r="J617" s="8">
        <f>IF(G617="","",G617*0.20)</f>
        <v/>
      </c>
      <c r="K617" s="8">
        <f>IF(G617="","",G617+J617)</f>
        <v/>
      </c>
    </row>
    <row r="618">
      <c r="F618" s="8" t="n"/>
      <c r="G618" s="8">
        <f>IF(E618="","",E618*F618)</f>
        <v/>
      </c>
      <c r="H618" s="8">
        <f>IF(G618="","",G618-I618)</f>
        <v/>
      </c>
      <c r="I618" s="8">
        <f>IF(D618="","",VLOOKUP(D618, RECETTES!B:G, 6, FALSE)*E618)</f>
        <v/>
      </c>
      <c r="J618" s="8">
        <f>IF(G618="","",G618*0.20)</f>
        <v/>
      </c>
      <c r="K618" s="8">
        <f>IF(G618="","",G618+J618)</f>
        <v/>
      </c>
    </row>
    <row r="619">
      <c r="F619" s="8" t="n"/>
      <c r="G619" s="8">
        <f>IF(E619="","",E619*F619)</f>
        <v/>
      </c>
      <c r="H619" s="8">
        <f>IF(G619="","",G619-I619)</f>
        <v/>
      </c>
      <c r="I619" s="8">
        <f>IF(D619="","",VLOOKUP(D619, RECETTES!B:G, 6, FALSE)*E619)</f>
        <v/>
      </c>
      <c r="J619" s="8">
        <f>IF(G619="","",G619*0.20)</f>
        <v/>
      </c>
      <c r="K619" s="8">
        <f>IF(G619="","",G619+J619)</f>
        <v/>
      </c>
    </row>
    <row r="620">
      <c r="F620" s="8" t="n"/>
      <c r="G620" s="8">
        <f>IF(E620="","",E620*F620)</f>
        <v/>
      </c>
      <c r="H620" s="8">
        <f>IF(G620="","",G620-I620)</f>
        <v/>
      </c>
      <c r="I620" s="8">
        <f>IF(D620="","",VLOOKUP(D620, RECETTES!B:G, 6, FALSE)*E620)</f>
        <v/>
      </c>
      <c r="J620" s="8">
        <f>IF(G620="","",G620*0.20)</f>
        <v/>
      </c>
      <c r="K620" s="8">
        <f>IF(G620="","",G620+J620)</f>
        <v/>
      </c>
    </row>
    <row r="621">
      <c r="F621" s="8" t="n"/>
      <c r="G621" s="8">
        <f>IF(E621="","",E621*F621)</f>
        <v/>
      </c>
      <c r="H621" s="8">
        <f>IF(G621="","",G621-I621)</f>
        <v/>
      </c>
      <c r="I621" s="8">
        <f>IF(D621="","",VLOOKUP(D621, RECETTES!B:G, 6, FALSE)*E621)</f>
        <v/>
      </c>
      <c r="J621" s="8">
        <f>IF(G621="","",G621*0.20)</f>
        <v/>
      </c>
      <c r="K621" s="8">
        <f>IF(G621="","",G621+J621)</f>
        <v/>
      </c>
    </row>
    <row r="622">
      <c r="F622" s="8" t="n"/>
      <c r="G622" s="8">
        <f>IF(E622="","",E622*F622)</f>
        <v/>
      </c>
      <c r="H622" s="8">
        <f>IF(G622="","",G622-I622)</f>
        <v/>
      </c>
      <c r="I622" s="8">
        <f>IF(D622="","",VLOOKUP(D622, RECETTES!B:G, 6, FALSE)*E622)</f>
        <v/>
      </c>
      <c r="J622" s="8">
        <f>IF(G622="","",G622*0.20)</f>
        <v/>
      </c>
      <c r="K622" s="8">
        <f>IF(G622="","",G622+J622)</f>
        <v/>
      </c>
    </row>
    <row r="623">
      <c r="F623" s="8" t="n"/>
      <c r="G623" s="8">
        <f>IF(E623="","",E623*F623)</f>
        <v/>
      </c>
      <c r="H623" s="8">
        <f>IF(G623="","",G623-I623)</f>
        <v/>
      </c>
      <c r="I623" s="8">
        <f>IF(D623="","",VLOOKUP(D623, RECETTES!B:G, 6, FALSE)*E623)</f>
        <v/>
      </c>
      <c r="J623" s="8">
        <f>IF(G623="","",G623*0.20)</f>
        <v/>
      </c>
      <c r="K623" s="8">
        <f>IF(G623="","",G623+J623)</f>
        <v/>
      </c>
    </row>
    <row r="624">
      <c r="F624" s="8" t="n"/>
      <c r="G624" s="8">
        <f>IF(E624="","",E624*F624)</f>
        <v/>
      </c>
      <c r="H624" s="8">
        <f>IF(G624="","",G624-I624)</f>
        <v/>
      </c>
      <c r="I624" s="8">
        <f>IF(D624="","",VLOOKUP(D624, RECETTES!B:G, 6, FALSE)*E624)</f>
        <v/>
      </c>
      <c r="J624" s="8">
        <f>IF(G624="","",G624*0.20)</f>
        <v/>
      </c>
      <c r="K624" s="8">
        <f>IF(G624="","",G624+J624)</f>
        <v/>
      </c>
    </row>
    <row r="625">
      <c r="F625" s="8" t="n"/>
      <c r="G625" s="8">
        <f>IF(E625="","",E625*F625)</f>
        <v/>
      </c>
      <c r="H625" s="8">
        <f>IF(G625="","",G625-I625)</f>
        <v/>
      </c>
      <c r="I625" s="8">
        <f>IF(D625="","",VLOOKUP(D625, RECETTES!B:G, 6, FALSE)*E625)</f>
        <v/>
      </c>
      <c r="J625" s="8">
        <f>IF(G625="","",G625*0.20)</f>
        <v/>
      </c>
      <c r="K625" s="8">
        <f>IF(G625="","",G625+J625)</f>
        <v/>
      </c>
    </row>
    <row r="626">
      <c r="F626" s="8" t="n"/>
      <c r="G626" s="8">
        <f>IF(E626="","",E626*F626)</f>
        <v/>
      </c>
      <c r="H626" s="8">
        <f>IF(G626="","",G626-I626)</f>
        <v/>
      </c>
      <c r="I626" s="8">
        <f>IF(D626="","",VLOOKUP(D626, RECETTES!B:G, 6, FALSE)*E626)</f>
        <v/>
      </c>
      <c r="J626" s="8">
        <f>IF(G626="","",G626*0.20)</f>
        <v/>
      </c>
      <c r="K626" s="8">
        <f>IF(G626="","",G626+J626)</f>
        <v/>
      </c>
    </row>
    <row r="627">
      <c r="F627" s="8" t="n"/>
      <c r="G627" s="8">
        <f>IF(E627="","",E627*F627)</f>
        <v/>
      </c>
      <c r="H627" s="8">
        <f>IF(G627="","",G627-I627)</f>
        <v/>
      </c>
      <c r="I627" s="8">
        <f>IF(D627="","",VLOOKUP(D627, RECETTES!B:G, 6, FALSE)*E627)</f>
        <v/>
      </c>
      <c r="J627" s="8">
        <f>IF(G627="","",G627*0.20)</f>
        <v/>
      </c>
      <c r="K627" s="8">
        <f>IF(G627="","",G627+J627)</f>
        <v/>
      </c>
    </row>
    <row r="628">
      <c r="F628" s="8" t="n"/>
      <c r="G628" s="8">
        <f>IF(E628="","",E628*F628)</f>
        <v/>
      </c>
      <c r="H628" s="8">
        <f>IF(G628="","",G628-I628)</f>
        <v/>
      </c>
      <c r="I628" s="8">
        <f>IF(D628="","",VLOOKUP(D628, RECETTES!B:G, 6, FALSE)*E628)</f>
        <v/>
      </c>
      <c r="J628" s="8">
        <f>IF(G628="","",G628*0.20)</f>
        <v/>
      </c>
      <c r="K628" s="8">
        <f>IF(G628="","",G628+J628)</f>
        <v/>
      </c>
    </row>
    <row r="629">
      <c r="F629" s="8" t="n"/>
      <c r="G629" s="8">
        <f>IF(E629="","",E629*F629)</f>
        <v/>
      </c>
      <c r="H629" s="8">
        <f>IF(G629="","",G629-I629)</f>
        <v/>
      </c>
      <c r="I629" s="8">
        <f>IF(D629="","",VLOOKUP(D629, RECETTES!B:G, 6, FALSE)*E629)</f>
        <v/>
      </c>
      <c r="J629" s="8">
        <f>IF(G629="","",G629*0.20)</f>
        <v/>
      </c>
      <c r="K629" s="8">
        <f>IF(G629="","",G629+J629)</f>
        <v/>
      </c>
    </row>
    <row r="630">
      <c r="F630" s="8" t="n"/>
      <c r="G630" s="8">
        <f>IF(E630="","",E630*F630)</f>
        <v/>
      </c>
      <c r="H630" s="8">
        <f>IF(G630="","",G630-I630)</f>
        <v/>
      </c>
      <c r="I630" s="8">
        <f>IF(D630="","",VLOOKUP(D630, RECETTES!B:G, 6, FALSE)*E630)</f>
        <v/>
      </c>
      <c r="J630" s="8">
        <f>IF(G630="","",G630*0.20)</f>
        <v/>
      </c>
      <c r="K630" s="8">
        <f>IF(G630="","",G630+J630)</f>
        <v/>
      </c>
    </row>
    <row r="631">
      <c r="F631" s="8" t="n"/>
      <c r="G631" s="8">
        <f>IF(E631="","",E631*F631)</f>
        <v/>
      </c>
      <c r="H631" s="8">
        <f>IF(G631="","",G631-I631)</f>
        <v/>
      </c>
      <c r="I631" s="8">
        <f>IF(D631="","",VLOOKUP(D631, RECETTES!B:G, 6, FALSE)*E631)</f>
        <v/>
      </c>
      <c r="J631" s="8">
        <f>IF(G631="","",G631*0.20)</f>
        <v/>
      </c>
      <c r="K631" s="8">
        <f>IF(G631="","",G631+J631)</f>
        <v/>
      </c>
    </row>
    <row r="632">
      <c r="F632" s="8" t="n"/>
      <c r="G632" s="8">
        <f>IF(E632="","",E632*F632)</f>
        <v/>
      </c>
      <c r="H632" s="8">
        <f>IF(G632="","",G632-I632)</f>
        <v/>
      </c>
      <c r="I632" s="8">
        <f>IF(D632="","",VLOOKUP(D632, RECETTES!B:G, 6, FALSE)*E632)</f>
        <v/>
      </c>
      <c r="J632" s="8">
        <f>IF(G632="","",G632*0.20)</f>
        <v/>
      </c>
      <c r="K632" s="8">
        <f>IF(G632="","",G632+J632)</f>
        <v/>
      </c>
    </row>
    <row r="633">
      <c r="F633" s="8" t="n"/>
      <c r="G633" s="8">
        <f>IF(E633="","",E633*F633)</f>
        <v/>
      </c>
      <c r="H633" s="8">
        <f>IF(G633="","",G633-I633)</f>
        <v/>
      </c>
      <c r="I633" s="8">
        <f>IF(D633="","",VLOOKUP(D633, RECETTES!B:G, 6, FALSE)*E633)</f>
        <v/>
      </c>
      <c r="J633" s="8">
        <f>IF(G633="","",G633*0.20)</f>
        <v/>
      </c>
      <c r="K633" s="8">
        <f>IF(G633="","",G633+J633)</f>
        <v/>
      </c>
    </row>
    <row r="634">
      <c r="F634" s="8" t="n"/>
      <c r="G634" s="8">
        <f>IF(E634="","",E634*F634)</f>
        <v/>
      </c>
      <c r="H634" s="8">
        <f>IF(G634="","",G634-I634)</f>
        <v/>
      </c>
      <c r="I634" s="8">
        <f>IF(D634="","",VLOOKUP(D634, RECETTES!B:G, 6, FALSE)*E634)</f>
        <v/>
      </c>
      <c r="J634" s="8">
        <f>IF(G634="","",G634*0.20)</f>
        <v/>
      </c>
      <c r="K634" s="8">
        <f>IF(G634="","",G634+J634)</f>
        <v/>
      </c>
    </row>
    <row r="635">
      <c r="F635" s="8" t="n"/>
      <c r="G635" s="8">
        <f>IF(E635="","",E635*F635)</f>
        <v/>
      </c>
      <c r="H635" s="8">
        <f>IF(G635="","",G635-I635)</f>
        <v/>
      </c>
      <c r="I635" s="8">
        <f>IF(D635="","",VLOOKUP(D635, RECETTES!B:G, 6, FALSE)*E635)</f>
        <v/>
      </c>
      <c r="J635" s="8">
        <f>IF(G635="","",G635*0.20)</f>
        <v/>
      </c>
      <c r="K635" s="8">
        <f>IF(G635="","",G635+J635)</f>
        <v/>
      </c>
    </row>
    <row r="636">
      <c r="F636" s="8" t="n"/>
      <c r="G636" s="8">
        <f>IF(E636="","",E636*F636)</f>
        <v/>
      </c>
      <c r="H636" s="8">
        <f>IF(G636="","",G636-I636)</f>
        <v/>
      </c>
      <c r="I636" s="8">
        <f>IF(D636="","",VLOOKUP(D636, RECETTES!B:G, 6, FALSE)*E636)</f>
        <v/>
      </c>
      <c r="J636" s="8">
        <f>IF(G636="","",G636*0.20)</f>
        <v/>
      </c>
      <c r="K636" s="8">
        <f>IF(G636="","",G636+J636)</f>
        <v/>
      </c>
    </row>
    <row r="637">
      <c r="F637" s="8" t="n"/>
      <c r="G637" s="8">
        <f>IF(E637="","",E637*F637)</f>
        <v/>
      </c>
      <c r="H637" s="8">
        <f>IF(G637="","",G637-I637)</f>
        <v/>
      </c>
      <c r="I637" s="8">
        <f>IF(D637="","",VLOOKUP(D637, RECETTES!B:G, 6, FALSE)*E637)</f>
        <v/>
      </c>
      <c r="J637" s="8">
        <f>IF(G637="","",G637*0.20)</f>
        <v/>
      </c>
      <c r="K637" s="8">
        <f>IF(G637="","",G637+J637)</f>
        <v/>
      </c>
    </row>
    <row r="638">
      <c r="F638" s="8" t="n"/>
      <c r="G638" s="8">
        <f>IF(E638="","",E638*F638)</f>
        <v/>
      </c>
      <c r="H638" s="8">
        <f>IF(G638="","",G638-I638)</f>
        <v/>
      </c>
      <c r="I638" s="8">
        <f>IF(D638="","",VLOOKUP(D638, RECETTES!B:G, 6, FALSE)*E638)</f>
        <v/>
      </c>
      <c r="J638" s="8">
        <f>IF(G638="","",G638*0.20)</f>
        <v/>
      </c>
      <c r="K638" s="8">
        <f>IF(G638="","",G638+J638)</f>
        <v/>
      </c>
    </row>
    <row r="639">
      <c r="F639" s="8" t="n"/>
      <c r="G639" s="8">
        <f>IF(E639="","",E639*F639)</f>
        <v/>
      </c>
      <c r="H639" s="8">
        <f>IF(G639="","",G639-I639)</f>
        <v/>
      </c>
      <c r="I639" s="8">
        <f>IF(D639="","",VLOOKUP(D639, RECETTES!B:G, 6, FALSE)*E639)</f>
        <v/>
      </c>
      <c r="J639" s="8">
        <f>IF(G639="","",G639*0.20)</f>
        <v/>
      </c>
      <c r="K639" s="8">
        <f>IF(G639="","",G639+J639)</f>
        <v/>
      </c>
    </row>
    <row r="640">
      <c r="F640" s="8" t="n"/>
      <c r="G640" s="8">
        <f>IF(E640="","",E640*F640)</f>
        <v/>
      </c>
      <c r="H640" s="8">
        <f>IF(G640="","",G640-I640)</f>
        <v/>
      </c>
      <c r="I640" s="8">
        <f>IF(D640="","",VLOOKUP(D640, RECETTES!B:G, 6, FALSE)*E640)</f>
        <v/>
      </c>
      <c r="J640" s="8">
        <f>IF(G640="","",G640*0.20)</f>
        <v/>
      </c>
      <c r="K640" s="8">
        <f>IF(G640="","",G640+J640)</f>
        <v/>
      </c>
    </row>
    <row r="641">
      <c r="F641" s="8" t="n"/>
      <c r="G641" s="8">
        <f>IF(E641="","",E641*F641)</f>
        <v/>
      </c>
      <c r="H641" s="8">
        <f>IF(G641="","",G641-I641)</f>
        <v/>
      </c>
      <c r="I641" s="8">
        <f>IF(D641="","",VLOOKUP(D641, RECETTES!B:G, 6, FALSE)*E641)</f>
        <v/>
      </c>
      <c r="J641" s="8">
        <f>IF(G641="","",G641*0.20)</f>
        <v/>
      </c>
      <c r="K641" s="8">
        <f>IF(G641="","",G641+J641)</f>
        <v/>
      </c>
    </row>
    <row r="642">
      <c r="F642" s="8" t="n"/>
      <c r="G642" s="8">
        <f>IF(E642="","",E642*F642)</f>
        <v/>
      </c>
      <c r="H642" s="8">
        <f>IF(G642="","",G642-I642)</f>
        <v/>
      </c>
      <c r="I642" s="8">
        <f>IF(D642="","",VLOOKUP(D642, RECETTES!B:G, 6, FALSE)*E642)</f>
        <v/>
      </c>
      <c r="J642" s="8">
        <f>IF(G642="","",G642*0.20)</f>
        <v/>
      </c>
      <c r="K642" s="8">
        <f>IF(G642="","",G642+J642)</f>
        <v/>
      </c>
    </row>
    <row r="643">
      <c r="F643" s="8" t="n"/>
      <c r="G643" s="8">
        <f>IF(E643="","",E643*F643)</f>
        <v/>
      </c>
      <c r="H643" s="8">
        <f>IF(G643="","",G643-I643)</f>
        <v/>
      </c>
      <c r="I643" s="8">
        <f>IF(D643="","",VLOOKUP(D643, RECETTES!B:G, 6, FALSE)*E643)</f>
        <v/>
      </c>
      <c r="J643" s="8">
        <f>IF(G643="","",G643*0.20)</f>
        <v/>
      </c>
      <c r="K643" s="8">
        <f>IF(G643="","",G643+J643)</f>
        <v/>
      </c>
    </row>
    <row r="644">
      <c r="F644" s="8" t="n"/>
      <c r="G644" s="8">
        <f>IF(E644="","",E644*F644)</f>
        <v/>
      </c>
      <c r="H644" s="8">
        <f>IF(G644="","",G644-I644)</f>
        <v/>
      </c>
      <c r="I644" s="8">
        <f>IF(D644="","",VLOOKUP(D644, RECETTES!B:G, 6, FALSE)*E644)</f>
        <v/>
      </c>
      <c r="J644" s="8">
        <f>IF(G644="","",G644*0.20)</f>
        <v/>
      </c>
      <c r="K644" s="8">
        <f>IF(G644="","",G644+J644)</f>
        <v/>
      </c>
    </row>
    <row r="645">
      <c r="F645" s="8" t="n"/>
      <c r="G645" s="8">
        <f>IF(E645="","",E645*F645)</f>
        <v/>
      </c>
      <c r="H645" s="8">
        <f>IF(G645="","",G645-I645)</f>
        <v/>
      </c>
      <c r="I645" s="8">
        <f>IF(D645="","",VLOOKUP(D645, RECETTES!B:G, 6, FALSE)*E645)</f>
        <v/>
      </c>
      <c r="J645" s="8">
        <f>IF(G645="","",G645*0.20)</f>
        <v/>
      </c>
      <c r="K645" s="8">
        <f>IF(G645="","",G645+J645)</f>
        <v/>
      </c>
    </row>
    <row r="646">
      <c r="F646" s="8" t="n"/>
      <c r="G646" s="8">
        <f>IF(E646="","",E646*F646)</f>
        <v/>
      </c>
      <c r="H646" s="8">
        <f>IF(G646="","",G646-I646)</f>
        <v/>
      </c>
      <c r="I646" s="8">
        <f>IF(D646="","",VLOOKUP(D646, RECETTES!B:G, 6, FALSE)*E646)</f>
        <v/>
      </c>
      <c r="J646" s="8">
        <f>IF(G646="","",G646*0.20)</f>
        <v/>
      </c>
      <c r="K646" s="8">
        <f>IF(G646="","",G646+J646)</f>
        <v/>
      </c>
    </row>
    <row r="647">
      <c r="F647" s="8" t="n"/>
      <c r="G647" s="8">
        <f>IF(E647="","",E647*F647)</f>
        <v/>
      </c>
      <c r="H647" s="8">
        <f>IF(G647="","",G647-I647)</f>
        <v/>
      </c>
      <c r="I647" s="8">
        <f>IF(D647="","",VLOOKUP(D647, RECETTES!B:G, 6, FALSE)*E647)</f>
        <v/>
      </c>
      <c r="J647" s="8">
        <f>IF(G647="","",G647*0.20)</f>
        <v/>
      </c>
      <c r="K647" s="8">
        <f>IF(G647="","",G647+J647)</f>
        <v/>
      </c>
    </row>
    <row r="648">
      <c r="F648" s="8" t="n"/>
      <c r="G648" s="8">
        <f>IF(E648="","",E648*F648)</f>
        <v/>
      </c>
      <c r="H648" s="8">
        <f>IF(G648="","",G648-I648)</f>
        <v/>
      </c>
      <c r="I648" s="8">
        <f>IF(D648="","",VLOOKUP(D648, RECETTES!B:G, 6, FALSE)*E648)</f>
        <v/>
      </c>
      <c r="J648" s="8">
        <f>IF(G648="","",G648*0.20)</f>
        <v/>
      </c>
      <c r="K648" s="8">
        <f>IF(G648="","",G648+J648)</f>
        <v/>
      </c>
    </row>
    <row r="649">
      <c r="F649" s="8" t="n"/>
      <c r="G649" s="8">
        <f>IF(E649="","",E649*F649)</f>
        <v/>
      </c>
      <c r="H649" s="8">
        <f>IF(G649="","",G649-I649)</f>
        <v/>
      </c>
      <c r="I649" s="8">
        <f>IF(D649="","",VLOOKUP(D649, RECETTES!B:G, 6, FALSE)*E649)</f>
        <v/>
      </c>
      <c r="J649" s="8">
        <f>IF(G649="","",G649*0.20)</f>
        <v/>
      </c>
      <c r="K649" s="8">
        <f>IF(G649="","",G649+J649)</f>
        <v/>
      </c>
    </row>
    <row r="650">
      <c r="F650" s="8" t="n"/>
      <c r="G650" s="8">
        <f>IF(E650="","",E650*F650)</f>
        <v/>
      </c>
      <c r="H650" s="8">
        <f>IF(G650="","",G650-I650)</f>
        <v/>
      </c>
      <c r="I650" s="8">
        <f>IF(D650="","",VLOOKUP(D650, RECETTES!B:G, 6, FALSE)*E650)</f>
        <v/>
      </c>
      <c r="J650" s="8">
        <f>IF(G650="","",G650*0.20)</f>
        <v/>
      </c>
      <c r="K650" s="8">
        <f>IF(G650="","",G650+J650)</f>
        <v/>
      </c>
    </row>
    <row r="651">
      <c r="F651" s="8" t="n"/>
      <c r="G651" s="8">
        <f>IF(E651="","",E651*F651)</f>
        <v/>
      </c>
      <c r="H651" s="8">
        <f>IF(G651="","",G651-I651)</f>
        <v/>
      </c>
      <c r="I651" s="8">
        <f>IF(D651="","",VLOOKUP(D651, RECETTES!B:G, 6, FALSE)*E651)</f>
        <v/>
      </c>
      <c r="J651" s="8">
        <f>IF(G651="","",G651*0.20)</f>
        <v/>
      </c>
      <c r="K651" s="8">
        <f>IF(G651="","",G651+J651)</f>
        <v/>
      </c>
    </row>
    <row r="652">
      <c r="F652" s="8" t="n"/>
      <c r="G652" s="8">
        <f>IF(E652="","",E652*F652)</f>
        <v/>
      </c>
      <c r="H652" s="8">
        <f>IF(G652="","",G652-I652)</f>
        <v/>
      </c>
      <c r="I652" s="8">
        <f>IF(D652="","",VLOOKUP(D652, RECETTES!B:G, 6, FALSE)*E652)</f>
        <v/>
      </c>
      <c r="J652" s="8">
        <f>IF(G652="","",G652*0.20)</f>
        <v/>
      </c>
      <c r="K652" s="8">
        <f>IF(G652="","",G652+J652)</f>
        <v/>
      </c>
    </row>
    <row r="653">
      <c r="F653" s="8" t="n"/>
      <c r="G653" s="8">
        <f>IF(E653="","",E653*F653)</f>
        <v/>
      </c>
      <c r="H653" s="8">
        <f>IF(G653="","",G653-I653)</f>
        <v/>
      </c>
      <c r="I653" s="8">
        <f>IF(D653="","",VLOOKUP(D653, RECETTES!B:G, 6, FALSE)*E653)</f>
        <v/>
      </c>
      <c r="J653" s="8">
        <f>IF(G653="","",G653*0.20)</f>
        <v/>
      </c>
      <c r="K653" s="8">
        <f>IF(G653="","",G653+J653)</f>
        <v/>
      </c>
    </row>
    <row r="654">
      <c r="F654" s="8" t="n"/>
      <c r="G654" s="8">
        <f>IF(E654="","",E654*F654)</f>
        <v/>
      </c>
      <c r="H654" s="8">
        <f>IF(G654="","",G654-I654)</f>
        <v/>
      </c>
      <c r="I654" s="8">
        <f>IF(D654="","",VLOOKUP(D654, RECETTES!B:G, 6, FALSE)*E654)</f>
        <v/>
      </c>
      <c r="J654" s="8">
        <f>IF(G654="","",G654*0.20)</f>
        <v/>
      </c>
      <c r="K654" s="8">
        <f>IF(G654="","",G654+J654)</f>
        <v/>
      </c>
    </row>
    <row r="655">
      <c r="F655" s="8" t="n"/>
      <c r="G655" s="8">
        <f>IF(E655="","",E655*F655)</f>
        <v/>
      </c>
      <c r="H655" s="8">
        <f>IF(G655="","",G655-I655)</f>
        <v/>
      </c>
      <c r="I655" s="8">
        <f>IF(D655="","",VLOOKUP(D655, RECETTES!B:G, 6, FALSE)*E655)</f>
        <v/>
      </c>
      <c r="J655" s="8">
        <f>IF(G655="","",G655*0.20)</f>
        <v/>
      </c>
      <c r="K655" s="8">
        <f>IF(G655="","",G655+J655)</f>
        <v/>
      </c>
    </row>
    <row r="656">
      <c r="F656" s="8" t="n"/>
      <c r="G656" s="8">
        <f>IF(E656="","",E656*F656)</f>
        <v/>
      </c>
      <c r="H656" s="8">
        <f>IF(G656="","",G656-I656)</f>
        <v/>
      </c>
      <c r="I656" s="8">
        <f>IF(D656="","",VLOOKUP(D656, RECETTES!B:G, 6, FALSE)*E656)</f>
        <v/>
      </c>
      <c r="J656" s="8">
        <f>IF(G656="","",G656*0.20)</f>
        <v/>
      </c>
      <c r="K656" s="8">
        <f>IF(G656="","",G656+J656)</f>
        <v/>
      </c>
    </row>
    <row r="657">
      <c r="F657" s="8" t="n"/>
      <c r="G657" s="8">
        <f>IF(E657="","",E657*F657)</f>
        <v/>
      </c>
      <c r="H657" s="8">
        <f>IF(G657="","",G657-I657)</f>
        <v/>
      </c>
      <c r="I657" s="8">
        <f>IF(D657="","",VLOOKUP(D657, RECETTES!B:G, 6, FALSE)*E657)</f>
        <v/>
      </c>
      <c r="J657" s="8">
        <f>IF(G657="","",G657*0.20)</f>
        <v/>
      </c>
      <c r="K657" s="8">
        <f>IF(G657="","",G657+J657)</f>
        <v/>
      </c>
    </row>
    <row r="658">
      <c r="F658" s="8" t="n"/>
      <c r="G658" s="8">
        <f>IF(E658="","",E658*F658)</f>
        <v/>
      </c>
      <c r="H658" s="8">
        <f>IF(G658="","",G658-I658)</f>
        <v/>
      </c>
      <c r="I658" s="8">
        <f>IF(D658="","",VLOOKUP(D658, RECETTES!B:G, 6, FALSE)*E658)</f>
        <v/>
      </c>
      <c r="J658" s="8">
        <f>IF(G658="","",G658*0.20)</f>
        <v/>
      </c>
      <c r="K658" s="8">
        <f>IF(G658="","",G658+J658)</f>
        <v/>
      </c>
    </row>
    <row r="659">
      <c r="F659" s="8" t="n"/>
      <c r="G659" s="8">
        <f>IF(E659="","",E659*F659)</f>
        <v/>
      </c>
      <c r="H659" s="8">
        <f>IF(G659="","",G659-I659)</f>
        <v/>
      </c>
      <c r="I659" s="8">
        <f>IF(D659="","",VLOOKUP(D659, RECETTES!B:G, 6, FALSE)*E659)</f>
        <v/>
      </c>
      <c r="J659" s="8">
        <f>IF(G659="","",G659*0.20)</f>
        <v/>
      </c>
      <c r="K659" s="8">
        <f>IF(G659="","",G659+J659)</f>
        <v/>
      </c>
    </row>
    <row r="660">
      <c r="F660" s="8" t="n"/>
      <c r="G660" s="8">
        <f>IF(E660="","",E660*F660)</f>
        <v/>
      </c>
      <c r="H660" s="8">
        <f>IF(G660="","",G660-I660)</f>
        <v/>
      </c>
      <c r="I660" s="8">
        <f>IF(D660="","",VLOOKUP(D660, RECETTES!B:G, 6, FALSE)*E660)</f>
        <v/>
      </c>
      <c r="J660" s="8">
        <f>IF(G660="","",G660*0.20)</f>
        <v/>
      </c>
      <c r="K660" s="8">
        <f>IF(G660="","",G660+J660)</f>
        <v/>
      </c>
    </row>
    <row r="661">
      <c r="F661" s="8" t="n"/>
      <c r="G661" s="8">
        <f>IF(E661="","",E661*F661)</f>
        <v/>
      </c>
      <c r="H661" s="8">
        <f>IF(G661="","",G661-I661)</f>
        <v/>
      </c>
      <c r="I661" s="8">
        <f>IF(D661="","",VLOOKUP(D661, RECETTES!B:G, 6, FALSE)*E661)</f>
        <v/>
      </c>
      <c r="J661" s="8">
        <f>IF(G661="","",G661*0.20)</f>
        <v/>
      </c>
      <c r="K661" s="8">
        <f>IF(G661="","",G661+J661)</f>
        <v/>
      </c>
    </row>
    <row r="662">
      <c r="F662" s="8" t="n"/>
      <c r="G662" s="8">
        <f>IF(E662="","",E662*F662)</f>
        <v/>
      </c>
      <c r="H662" s="8">
        <f>IF(G662="","",G662-I662)</f>
        <v/>
      </c>
      <c r="I662" s="8">
        <f>IF(D662="","",VLOOKUP(D662, RECETTES!B:G, 6, FALSE)*E662)</f>
        <v/>
      </c>
      <c r="J662" s="8">
        <f>IF(G662="","",G662*0.20)</f>
        <v/>
      </c>
      <c r="K662" s="8">
        <f>IF(G662="","",G662+J662)</f>
        <v/>
      </c>
    </row>
    <row r="663">
      <c r="F663" s="8" t="n"/>
      <c r="G663" s="8">
        <f>IF(E663="","",E663*F663)</f>
        <v/>
      </c>
      <c r="H663" s="8">
        <f>IF(G663="","",G663-I663)</f>
        <v/>
      </c>
      <c r="I663" s="8">
        <f>IF(D663="","",VLOOKUP(D663, RECETTES!B:G, 6, FALSE)*E663)</f>
        <v/>
      </c>
      <c r="J663" s="8">
        <f>IF(G663="","",G663*0.20)</f>
        <v/>
      </c>
      <c r="K663" s="8">
        <f>IF(G663="","",G663+J663)</f>
        <v/>
      </c>
    </row>
    <row r="664">
      <c r="F664" s="8" t="n"/>
      <c r="G664" s="8">
        <f>IF(E664="","",E664*F664)</f>
        <v/>
      </c>
      <c r="H664" s="8">
        <f>IF(G664="","",G664-I664)</f>
        <v/>
      </c>
      <c r="I664" s="8">
        <f>IF(D664="","",VLOOKUP(D664, RECETTES!B:G, 6, FALSE)*E664)</f>
        <v/>
      </c>
      <c r="J664" s="8">
        <f>IF(G664="","",G664*0.20)</f>
        <v/>
      </c>
      <c r="K664" s="8">
        <f>IF(G664="","",G664+J664)</f>
        <v/>
      </c>
    </row>
    <row r="665">
      <c r="F665" s="8" t="n"/>
      <c r="G665" s="8">
        <f>IF(E665="","",E665*F665)</f>
        <v/>
      </c>
      <c r="H665" s="8">
        <f>IF(G665="","",G665-I665)</f>
        <v/>
      </c>
      <c r="I665" s="8">
        <f>IF(D665="","",VLOOKUP(D665, RECETTES!B:G, 6, FALSE)*E665)</f>
        <v/>
      </c>
      <c r="J665" s="8">
        <f>IF(G665="","",G665*0.20)</f>
        <v/>
      </c>
      <c r="K665" s="8">
        <f>IF(G665="","",G665+J665)</f>
        <v/>
      </c>
    </row>
    <row r="666">
      <c r="F666" s="8" t="n"/>
      <c r="G666" s="8">
        <f>IF(E666="","",E666*F666)</f>
        <v/>
      </c>
      <c r="H666" s="8">
        <f>IF(G666="","",G666-I666)</f>
        <v/>
      </c>
      <c r="I666" s="8">
        <f>IF(D666="","",VLOOKUP(D666, RECETTES!B:G, 6, FALSE)*E666)</f>
        <v/>
      </c>
      <c r="J666" s="8">
        <f>IF(G666="","",G666*0.20)</f>
        <v/>
      </c>
      <c r="K666" s="8">
        <f>IF(G666="","",G666+J666)</f>
        <v/>
      </c>
    </row>
    <row r="667">
      <c r="F667" s="8" t="n"/>
      <c r="G667" s="8">
        <f>IF(E667="","",E667*F667)</f>
        <v/>
      </c>
      <c r="H667" s="8">
        <f>IF(G667="","",G667-I667)</f>
        <v/>
      </c>
      <c r="I667" s="8">
        <f>IF(D667="","",VLOOKUP(D667, RECETTES!B:G, 6, FALSE)*E667)</f>
        <v/>
      </c>
      <c r="J667" s="8">
        <f>IF(G667="","",G667*0.20)</f>
        <v/>
      </c>
      <c r="K667" s="8">
        <f>IF(G667="","",G667+J667)</f>
        <v/>
      </c>
    </row>
    <row r="668">
      <c r="F668" s="8" t="n"/>
      <c r="G668" s="8">
        <f>IF(E668="","",E668*F668)</f>
        <v/>
      </c>
      <c r="H668" s="8">
        <f>IF(G668="","",G668-I668)</f>
        <v/>
      </c>
      <c r="I668" s="8">
        <f>IF(D668="","",VLOOKUP(D668, RECETTES!B:G, 6, FALSE)*E668)</f>
        <v/>
      </c>
      <c r="J668" s="8">
        <f>IF(G668="","",G668*0.20)</f>
        <v/>
      </c>
      <c r="K668" s="8">
        <f>IF(G668="","",G668+J668)</f>
        <v/>
      </c>
    </row>
    <row r="669">
      <c r="F669" s="8" t="n"/>
      <c r="G669" s="8">
        <f>IF(E669="","",E669*F669)</f>
        <v/>
      </c>
      <c r="H669" s="8">
        <f>IF(G669="","",G669-I669)</f>
        <v/>
      </c>
      <c r="I669" s="8">
        <f>IF(D669="","",VLOOKUP(D669, RECETTES!B:G, 6, FALSE)*E669)</f>
        <v/>
      </c>
      <c r="J669" s="8">
        <f>IF(G669="","",G669*0.20)</f>
        <v/>
      </c>
      <c r="K669" s="8">
        <f>IF(G669="","",G669+J669)</f>
        <v/>
      </c>
    </row>
    <row r="670">
      <c r="F670" s="8" t="n"/>
      <c r="G670" s="8">
        <f>IF(E670="","",E670*F670)</f>
        <v/>
      </c>
      <c r="H670" s="8">
        <f>IF(G670="","",G670-I670)</f>
        <v/>
      </c>
      <c r="I670" s="8">
        <f>IF(D670="","",VLOOKUP(D670, RECETTES!B:G, 6, FALSE)*E670)</f>
        <v/>
      </c>
      <c r="J670" s="8">
        <f>IF(G670="","",G670*0.20)</f>
        <v/>
      </c>
      <c r="K670" s="8">
        <f>IF(G670="","",G670+J670)</f>
        <v/>
      </c>
    </row>
    <row r="671">
      <c r="F671" s="8" t="n"/>
      <c r="G671" s="8">
        <f>IF(E671="","",E671*F671)</f>
        <v/>
      </c>
      <c r="H671" s="8">
        <f>IF(G671="","",G671-I671)</f>
        <v/>
      </c>
      <c r="I671" s="8">
        <f>IF(D671="","",VLOOKUP(D671, RECETTES!B:G, 6, FALSE)*E671)</f>
        <v/>
      </c>
      <c r="J671" s="8">
        <f>IF(G671="","",G671*0.20)</f>
        <v/>
      </c>
      <c r="K671" s="8">
        <f>IF(G671="","",G671+J671)</f>
        <v/>
      </c>
    </row>
    <row r="672">
      <c r="F672" s="8" t="n"/>
      <c r="G672" s="8">
        <f>IF(E672="","",E672*F672)</f>
        <v/>
      </c>
      <c r="H672" s="8">
        <f>IF(G672="","",G672-I672)</f>
        <v/>
      </c>
      <c r="I672" s="8">
        <f>IF(D672="","",VLOOKUP(D672, RECETTES!B:G, 6, FALSE)*E672)</f>
        <v/>
      </c>
      <c r="J672" s="8">
        <f>IF(G672="","",G672*0.20)</f>
        <v/>
      </c>
      <c r="K672" s="8">
        <f>IF(G672="","",G672+J672)</f>
        <v/>
      </c>
    </row>
    <row r="673">
      <c r="F673" s="8" t="n"/>
      <c r="G673" s="8">
        <f>IF(E673="","",E673*F673)</f>
        <v/>
      </c>
      <c r="H673" s="8">
        <f>IF(G673="","",G673-I673)</f>
        <v/>
      </c>
      <c r="I673" s="8">
        <f>IF(D673="","",VLOOKUP(D673, RECETTES!B:G, 6, FALSE)*E673)</f>
        <v/>
      </c>
      <c r="J673" s="8">
        <f>IF(G673="","",G673*0.20)</f>
        <v/>
      </c>
      <c r="K673" s="8">
        <f>IF(G673="","",G673+J673)</f>
        <v/>
      </c>
    </row>
    <row r="674">
      <c r="F674" s="8" t="n"/>
      <c r="G674" s="8">
        <f>IF(E674="","",E674*F674)</f>
        <v/>
      </c>
      <c r="H674" s="8">
        <f>IF(G674="","",G674-I674)</f>
        <v/>
      </c>
      <c r="I674" s="8">
        <f>IF(D674="","",VLOOKUP(D674, RECETTES!B:G, 6, FALSE)*E674)</f>
        <v/>
      </c>
      <c r="J674" s="8">
        <f>IF(G674="","",G674*0.20)</f>
        <v/>
      </c>
      <c r="K674" s="8">
        <f>IF(G674="","",G674+J674)</f>
        <v/>
      </c>
    </row>
    <row r="675">
      <c r="F675" s="8" t="n"/>
      <c r="G675" s="8">
        <f>IF(E675="","",E675*F675)</f>
        <v/>
      </c>
      <c r="H675" s="8">
        <f>IF(G675="","",G675-I675)</f>
        <v/>
      </c>
      <c r="I675" s="8">
        <f>IF(D675="","",VLOOKUP(D675, RECETTES!B:G, 6, FALSE)*E675)</f>
        <v/>
      </c>
      <c r="J675" s="8">
        <f>IF(G675="","",G675*0.20)</f>
        <v/>
      </c>
      <c r="K675" s="8">
        <f>IF(G675="","",G675+J675)</f>
        <v/>
      </c>
    </row>
    <row r="676">
      <c r="F676" s="8" t="n"/>
      <c r="G676" s="8">
        <f>IF(E676="","",E676*F676)</f>
        <v/>
      </c>
      <c r="H676" s="8">
        <f>IF(G676="","",G676-I676)</f>
        <v/>
      </c>
      <c r="I676" s="8">
        <f>IF(D676="","",VLOOKUP(D676, RECETTES!B:G, 6, FALSE)*E676)</f>
        <v/>
      </c>
      <c r="J676" s="8">
        <f>IF(G676="","",G676*0.20)</f>
        <v/>
      </c>
      <c r="K676" s="8">
        <f>IF(G676="","",G676+J676)</f>
        <v/>
      </c>
    </row>
    <row r="677">
      <c r="F677" s="8" t="n"/>
      <c r="G677" s="8">
        <f>IF(E677="","",E677*F677)</f>
        <v/>
      </c>
      <c r="H677" s="8">
        <f>IF(G677="","",G677-I677)</f>
        <v/>
      </c>
      <c r="I677" s="8">
        <f>IF(D677="","",VLOOKUP(D677, RECETTES!B:G, 6, FALSE)*E677)</f>
        <v/>
      </c>
      <c r="J677" s="8">
        <f>IF(G677="","",G677*0.20)</f>
        <v/>
      </c>
      <c r="K677" s="8">
        <f>IF(G677="","",G677+J677)</f>
        <v/>
      </c>
    </row>
    <row r="678">
      <c r="F678" s="8" t="n"/>
      <c r="G678" s="8">
        <f>IF(E678="","",E678*F678)</f>
        <v/>
      </c>
      <c r="H678" s="8">
        <f>IF(G678="","",G678-I678)</f>
        <v/>
      </c>
      <c r="I678" s="8">
        <f>IF(D678="","",VLOOKUP(D678, RECETTES!B:G, 6, FALSE)*E678)</f>
        <v/>
      </c>
      <c r="J678" s="8">
        <f>IF(G678="","",G678*0.20)</f>
        <v/>
      </c>
      <c r="K678" s="8">
        <f>IF(G678="","",G678+J678)</f>
        <v/>
      </c>
    </row>
    <row r="679">
      <c r="F679" s="8" t="n"/>
      <c r="G679" s="8">
        <f>IF(E679="","",E679*F679)</f>
        <v/>
      </c>
      <c r="H679" s="8">
        <f>IF(G679="","",G679-I679)</f>
        <v/>
      </c>
      <c r="I679" s="8">
        <f>IF(D679="","",VLOOKUP(D679, RECETTES!B:G, 6, FALSE)*E679)</f>
        <v/>
      </c>
      <c r="J679" s="8">
        <f>IF(G679="","",G679*0.20)</f>
        <v/>
      </c>
      <c r="K679" s="8">
        <f>IF(G679="","",G679+J679)</f>
        <v/>
      </c>
    </row>
    <row r="680">
      <c r="F680" s="8" t="n"/>
      <c r="G680" s="8">
        <f>IF(E680="","",E680*F680)</f>
        <v/>
      </c>
      <c r="H680" s="8">
        <f>IF(G680="","",G680-I680)</f>
        <v/>
      </c>
      <c r="I680" s="8">
        <f>IF(D680="","",VLOOKUP(D680, RECETTES!B:G, 6, FALSE)*E680)</f>
        <v/>
      </c>
      <c r="J680" s="8">
        <f>IF(G680="","",G680*0.20)</f>
        <v/>
      </c>
      <c r="K680" s="8">
        <f>IF(G680="","",G680+J680)</f>
        <v/>
      </c>
    </row>
    <row r="681">
      <c r="F681" s="8" t="n"/>
      <c r="G681" s="8">
        <f>IF(E681="","",E681*F681)</f>
        <v/>
      </c>
      <c r="H681" s="8">
        <f>IF(G681="","",G681-I681)</f>
        <v/>
      </c>
      <c r="I681" s="8">
        <f>IF(D681="","",VLOOKUP(D681, RECETTES!B:G, 6, FALSE)*E681)</f>
        <v/>
      </c>
      <c r="J681" s="8">
        <f>IF(G681="","",G681*0.20)</f>
        <v/>
      </c>
      <c r="K681" s="8">
        <f>IF(G681="","",G681+J681)</f>
        <v/>
      </c>
    </row>
    <row r="682">
      <c r="F682" s="8" t="n"/>
      <c r="G682" s="8">
        <f>IF(E682="","",E682*F682)</f>
        <v/>
      </c>
      <c r="H682" s="8">
        <f>IF(G682="","",G682-I682)</f>
        <v/>
      </c>
      <c r="I682" s="8">
        <f>IF(D682="","",VLOOKUP(D682, RECETTES!B:G, 6, FALSE)*E682)</f>
        <v/>
      </c>
      <c r="J682" s="8">
        <f>IF(G682="","",G682*0.20)</f>
        <v/>
      </c>
      <c r="K682" s="8">
        <f>IF(G682="","",G682+J682)</f>
        <v/>
      </c>
    </row>
    <row r="683">
      <c r="F683" s="8" t="n"/>
      <c r="G683" s="8">
        <f>IF(E683="","",E683*F683)</f>
        <v/>
      </c>
      <c r="H683" s="8">
        <f>IF(G683="","",G683-I683)</f>
        <v/>
      </c>
      <c r="I683" s="8">
        <f>IF(D683="","",VLOOKUP(D683, RECETTES!B:G, 6, FALSE)*E683)</f>
        <v/>
      </c>
      <c r="J683" s="8">
        <f>IF(G683="","",G683*0.20)</f>
        <v/>
      </c>
      <c r="K683" s="8">
        <f>IF(G683="","",G683+J683)</f>
        <v/>
      </c>
    </row>
    <row r="684">
      <c r="F684" s="8" t="n"/>
      <c r="G684" s="8">
        <f>IF(E684="","",E684*F684)</f>
        <v/>
      </c>
      <c r="H684" s="8">
        <f>IF(G684="","",G684-I684)</f>
        <v/>
      </c>
      <c r="I684" s="8">
        <f>IF(D684="","",VLOOKUP(D684, RECETTES!B:G, 6, FALSE)*E684)</f>
        <v/>
      </c>
      <c r="J684" s="8">
        <f>IF(G684="","",G684*0.20)</f>
        <v/>
      </c>
      <c r="K684" s="8">
        <f>IF(G684="","",G684+J684)</f>
        <v/>
      </c>
    </row>
    <row r="685">
      <c r="F685" s="8" t="n"/>
      <c r="G685" s="8">
        <f>IF(E685="","",E685*F685)</f>
        <v/>
      </c>
      <c r="H685" s="8">
        <f>IF(G685="","",G685-I685)</f>
        <v/>
      </c>
      <c r="I685" s="8">
        <f>IF(D685="","",VLOOKUP(D685, RECETTES!B:G, 6, FALSE)*E685)</f>
        <v/>
      </c>
      <c r="J685" s="8">
        <f>IF(G685="","",G685*0.20)</f>
        <v/>
      </c>
      <c r="K685" s="8">
        <f>IF(G685="","",G685+J685)</f>
        <v/>
      </c>
    </row>
    <row r="686">
      <c r="F686" s="8" t="n"/>
      <c r="G686" s="8">
        <f>IF(E686="","",E686*F686)</f>
        <v/>
      </c>
      <c r="H686" s="8">
        <f>IF(G686="","",G686-I686)</f>
        <v/>
      </c>
      <c r="I686" s="8">
        <f>IF(D686="","",VLOOKUP(D686, RECETTES!B:G, 6, FALSE)*E686)</f>
        <v/>
      </c>
      <c r="J686" s="8">
        <f>IF(G686="","",G686*0.20)</f>
        <v/>
      </c>
      <c r="K686" s="8">
        <f>IF(G686="","",G686+J686)</f>
        <v/>
      </c>
    </row>
    <row r="687">
      <c r="F687" s="8" t="n"/>
      <c r="G687" s="8">
        <f>IF(E687="","",E687*F687)</f>
        <v/>
      </c>
      <c r="H687" s="8">
        <f>IF(G687="","",G687-I687)</f>
        <v/>
      </c>
      <c r="I687" s="8">
        <f>IF(D687="","",VLOOKUP(D687, RECETTES!B:G, 6, FALSE)*E687)</f>
        <v/>
      </c>
      <c r="J687" s="8">
        <f>IF(G687="","",G687*0.20)</f>
        <v/>
      </c>
      <c r="K687" s="8">
        <f>IF(G687="","",G687+J687)</f>
        <v/>
      </c>
    </row>
    <row r="688">
      <c r="F688" s="8" t="n"/>
      <c r="G688" s="8">
        <f>IF(E688="","",E688*F688)</f>
        <v/>
      </c>
      <c r="H688" s="8">
        <f>IF(G688="","",G688-I688)</f>
        <v/>
      </c>
      <c r="I688" s="8">
        <f>IF(D688="","",VLOOKUP(D688, RECETTES!B:G, 6, FALSE)*E688)</f>
        <v/>
      </c>
      <c r="J688" s="8">
        <f>IF(G688="","",G688*0.20)</f>
        <v/>
      </c>
      <c r="K688" s="8">
        <f>IF(G688="","",G688+J688)</f>
        <v/>
      </c>
    </row>
    <row r="689">
      <c r="F689" s="8" t="n"/>
      <c r="G689" s="8">
        <f>IF(E689="","",E689*F689)</f>
        <v/>
      </c>
      <c r="H689" s="8">
        <f>IF(G689="","",G689-I689)</f>
        <v/>
      </c>
      <c r="I689" s="8">
        <f>IF(D689="","",VLOOKUP(D689, RECETTES!B:G, 6, FALSE)*E689)</f>
        <v/>
      </c>
      <c r="J689" s="8">
        <f>IF(G689="","",G689*0.20)</f>
        <v/>
      </c>
      <c r="K689" s="8">
        <f>IF(G689="","",G689+J689)</f>
        <v/>
      </c>
    </row>
    <row r="690">
      <c r="F690" s="8" t="n"/>
      <c r="G690" s="8">
        <f>IF(E690="","",E690*F690)</f>
        <v/>
      </c>
      <c r="H690" s="8">
        <f>IF(G690="","",G690-I690)</f>
        <v/>
      </c>
      <c r="I690" s="8">
        <f>IF(D690="","",VLOOKUP(D690, RECETTES!B:G, 6, FALSE)*E690)</f>
        <v/>
      </c>
      <c r="J690" s="8">
        <f>IF(G690="","",G690*0.20)</f>
        <v/>
      </c>
      <c r="K690" s="8">
        <f>IF(G690="","",G690+J690)</f>
        <v/>
      </c>
    </row>
    <row r="691">
      <c r="F691" s="8" t="n"/>
      <c r="G691" s="8">
        <f>IF(E691="","",E691*F691)</f>
        <v/>
      </c>
      <c r="H691" s="8">
        <f>IF(G691="","",G691-I691)</f>
        <v/>
      </c>
      <c r="I691" s="8">
        <f>IF(D691="","",VLOOKUP(D691, RECETTES!B:G, 6, FALSE)*E691)</f>
        <v/>
      </c>
      <c r="J691" s="8">
        <f>IF(G691="","",G691*0.20)</f>
        <v/>
      </c>
      <c r="K691" s="8">
        <f>IF(G691="","",G691+J691)</f>
        <v/>
      </c>
    </row>
    <row r="692">
      <c r="F692" s="8" t="n"/>
      <c r="G692" s="8">
        <f>IF(E692="","",E692*F692)</f>
        <v/>
      </c>
      <c r="H692" s="8">
        <f>IF(G692="","",G692-I692)</f>
        <v/>
      </c>
      <c r="I692" s="8">
        <f>IF(D692="","",VLOOKUP(D692, RECETTES!B:G, 6, FALSE)*E692)</f>
        <v/>
      </c>
      <c r="J692" s="8">
        <f>IF(G692="","",G692*0.20)</f>
        <v/>
      </c>
      <c r="K692" s="8">
        <f>IF(G692="","",G692+J692)</f>
        <v/>
      </c>
    </row>
    <row r="693">
      <c r="F693" s="8" t="n"/>
      <c r="G693" s="8">
        <f>IF(E693="","",E693*F693)</f>
        <v/>
      </c>
      <c r="H693" s="8">
        <f>IF(G693="","",G693-I693)</f>
        <v/>
      </c>
      <c r="I693" s="8">
        <f>IF(D693="","",VLOOKUP(D693, RECETTES!B:G, 6, FALSE)*E693)</f>
        <v/>
      </c>
      <c r="J693" s="8">
        <f>IF(G693="","",G693*0.20)</f>
        <v/>
      </c>
      <c r="K693" s="8">
        <f>IF(G693="","",G693+J693)</f>
        <v/>
      </c>
    </row>
    <row r="694">
      <c r="F694" s="8" t="n"/>
      <c r="G694" s="8">
        <f>IF(E694="","",E694*F694)</f>
        <v/>
      </c>
      <c r="H694" s="8">
        <f>IF(G694="","",G694-I694)</f>
        <v/>
      </c>
      <c r="I694" s="8">
        <f>IF(D694="","",VLOOKUP(D694, RECETTES!B:G, 6, FALSE)*E694)</f>
        <v/>
      </c>
      <c r="J694" s="8">
        <f>IF(G694="","",G694*0.20)</f>
        <v/>
      </c>
      <c r="K694" s="8">
        <f>IF(G694="","",G694+J694)</f>
        <v/>
      </c>
    </row>
    <row r="695">
      <c r="F695" s="8" t="n"/>
      <c r="G695" s="8">
        <f>IF(E695="","",E695*F695)</f>
        <v/>
      </c>
      <c r="H695" s="8">
        <f>IF(G695="","",G695-I695)</f>
        <v/>
      </c>
      <c r="I695" s="8">
        <f>IF(D695="","",VLOOKUP(D695, RECETTES!B:G, 6, FALSE)*E695)</f>
        <v/>
      </c>
      <c r="J695" s="8">
        <f>IF(G695="","",G695*0.20)</f>
        <v/>
      </c>
      <c r="K695" s="8">
        <f>IF(G695="","",G695+J695)</f>
        <v/>
      </c>
    </row>
    <row r="696">
      <c r="F696" s="8" t="n"/>
      <c r="G696" s="8">
        <f>IF(E696="","",E696*F696)</f>
        <v/>
      </c>
      <c r="H696" s="8">
        <f>IF(G696="","",G696-I696)</f>
        <v/>
      </c>
      <c r="I696" s="8">
        <f>IF(D696="","",VLOOKUP(D696, RECETTES!B:G, 6, FALSE)*E696)</f>
        <v/>
      </c>
      <c r="J696" s="8">
        <f>IF(G696="","",G696*0.20)</f>
        <v/>
      </c>
      <c r="K696" s="8">
        <f>IF(G696="","",G696+J696)</f>
        <v/>
      </c>
    </row>
    <row r="697">
      <c r="F697" s="8" t="n"/>
      <c r="G697" s="8">
        <f>IF(E697="","",E697*F697)</f>
        <v/>
      </c>
      <c r="H697" s="8">
        <f>IF(G697="","",G697-I697)</f>
        <v/>
      </c>
      <c r="I697" s="8">
        <f>IF(D697="","",VLOOKUP(D697, RECETTES!B:G, 6, FALSE)*E697)</f>
        <v/>
      </c>
      <c r="J697" s="8">
        <f>IF(G697="","",G697*0.20)</f>
        <v/>
      </c>
      <c r="K697" s="8">
        <f>IF(G697="","",G697+J697)</f>
        <v/>
      </c>
    </row>
    <row r="698">
      <c r="F698" s="8" t="n"/>
      <c r="G698" s="8">
        <f>IF(E698="","",E698*F698)</f>
        <v/>
      </c>
      <c r="H698" s="8">
        <f>IF(G698="","",G698-I698)</f>
        <v/>
      </c>
      <c r="I698" s="8">
        <f>IF(D698="","",VLOOKUP(D698, RECETTES!B:G, 6, FALSE)*E698)</f>
        <v/>
      </c>
      <c r="J698" s="8">
        <f>IF(G698="","",G698*0.20)</f>
        <v/>
      </c>
      <c r="K698" s="8">
        <f>IF(G698="","",G698+J698)</f>
        <v/>
      </c>
    </row>
    <row r="699">
      <c r="F699" s="8" t="n"/>
      <c r="G699" s="8">
        <f>IF(E699="","",E699*F699)</f>
        <v/>
      </c>
      <c r="H699" s="8">
        <f>IF(G699="","",G699-I699)</f>
        <v/>
      </c>
      <c r="I699" s="8">
        <f>IF(D699="","",VLOOKUP(D699, RECETTES!B:G, 6, FALSE)*E699)</f>
        <v/>
      </c>
      <c r="J699" s="8">
        <f>IF(G699="","",G699*0.20)</f>
        <v/>
      </c>
      <c r="K699" s="8">
        <f>IF(G699="","",G699+J699)</f>
        <v/>
      </c>
    </row>
    <row r="700">
      <c r="F700" s="8" t="n"/>
      <c r="G700" s="8">
        <f>IF(E700="","",E700*F700)</f>
        <v/>
      </c>
      <c r="H700" s="8">
        <f>IF(G700="","",G700-I700)</f>
        <v/>
      </c>
      <c r="I700" s="8">
        <f>IF(D700="","",VLOOKUP(D700, RECETTES!B:G, 6, FALSE)*E700)</f>
        <v/>
      </c>
      <c r="J700" s="8">
        <f>IF(G700="","",G700*0.20)</f>
        <v/>
      </c>
      <c r="K700" s="8">
        <f>IF(G700="","",G700+J700)</f>
        <v/>
      </c>
    </row>
    <row r="701">
      <c r="F701" s="8" t="n"/>
      <c r="G701" s="8">
        <f>IF(E701="","",E701*F701)</f>
        <v/>
      </c>
      <c r="H701" s="8">
        <f>IF(G701="","",G701-I701)</f>
        <v/>
      </c>
      <c r="I701" s="8">
        <f>IF(D701="","",VLOOKUP(D701, RECETTES!B:G, 6, FALSE)*E701)</f>
        <v/>
      </c>
      <c r="J701" s="8">
        <f>IF(G701="","",G701*0.20)</f>
        <v/>
      </c>
      <c r="K701" s="8">
        <f>IF(G701="","",G701+J701)</f>
        <v/>
      </c>
    </row>
    <row r="702">
      <c r="F702" s="8" t="n"/>
      <c r="G702" s="8">
        <f>IF(E702="","",E702*F702)</f>
        <v/>
      </c>
      <c r="H702" s="8">
        <f>IF(G702="","",G702-I702)</f>
        <v/>
      </c>
      <c r="I702" s="8">
        <f>IF(D702="","",VLOOKUP(D702, RECETTES!B:G, 6, FALSE)*E702)</f>
        <v/>
      </c>
      <c r="J702" s="8">
        <f>IF(G702="","",G702*0.20)</f>
        <v/>
      </c>
      <c r="K702" s="8">
        <f>IF(G702="","",G702+J702)</f>
        <v/>
      </c>
    </row>
    <row r="703">
      <c r="F703" s="8" t="n"/>
      <c r="G703" s="8">
        <f>IF(E703="","",E703*F703)</f>
        <v/>
      </c>
      <c r="H703" s="8">
        <f>IF(G703="","",G703-I703)</f>
        <v/>
      </c>
      <c r="I703" s="8">
        <f>IF(D703="","",VLOOKUP(D703, RECETTES!B:G, 6, FALSE)*E703)</f>
        <v/>
      </c>
      <c r="J703" s="8">
        <f>IF(G703="","",G703*0.20)</f>
        <v/>
      </c>
      <c r="K703" s="8">
        <f>IF(G703="","",G703+J703)</f>
        <v/>
      </c>
    </row>
    <row r="704">
      <c r="F704" s="8" t="n"/>
      <c r="G704" s="8">
        <f>IF(E704="","",E704*F704)</f>
        <v/>
      </c>
      <c r="H704" s="8">
        <f>IF(G704="","",G704-I704)</f>
        <v/>
      </c>
      <c r="I704" s="8">
        <f>IF(D704="","",VLOOKUP(D704, RECETTES!B:G, 6, FALSE)*E704)</f>
        <v/>
      </c>
      <c r="J704" s="8">
        <f>IF(G704="","",G704*0.20)</f>
        <v/>
      </c>
      <c r="K704" s="8">
        <f>IF(G704="","",G704+J704)</f>
        <v/>
      </c>
    </row>
    <row r="705">
      <c r="F705" s="8" t="n"/>
      <c r="G705" s="8">
        <f>IF(E705="","",E705*F705)</f>
        <v/>
      </c>
      <c r="H705" s="8">
        <f>IF(G705="","",G705-I705)</f>
        <v/>
      </c>
      <c r="I705" s="8">
        <f>IF(D705="","",VLOOKUP(D705, RECETTES!B:G, 6, FALSE)*E705)</f>
        <v/>
      </c>
      <c r="J705" s="8">
        <f>IF(G705="","",G705*0.20)</f>
        <v/>
      </c>
      <c r="K705" s="8">
        <f>IF(G705="","",G705+J705)</f>
        <v/>
      </c>
    </row>
    <row r="706">
      <c r="F706" s="8" t="n"/>
      <c r="G706" s="8">
        <f>IF(E706="","",E706*F706)</f>
        <v/>
      </c>
      <c r="H706" s="8">
        <f>IF(G706="","",G706-I706)</f>
        <v/>
      </c>
      <c r="I706" s="8">
        <f>IF(D706="","",VLOOKUP(D706, RECETTES!B:G, 6, FALSE)*E706)</f>
        <v/>
      </c>
      <c r="J706" s="8">
        <f>IF(G706="","",G706*0.20)</f>
        <v/>
      </c>
      <c r="K706" s="8">
        <f>IF(G706="","",G706+J706)</f>
        <v/>
      </c>
    </row>
    <row r="707">
      <c r="F707" s="8" t="n"/>
      <c r="G707" s="8">
        <f>IF(E707="","",E707*F707)</f>
        <v/>
      </c>
      <c r="H707" s="8">
        <f>IF(G707="","",G707-I707)</f>
        <v/>
      </c>
      <c r="I707" s="8">
        <f>IF(D707="","",VLOOKUP(D707, RECETTES!B:G, 6, FALSE)*E707)</f>
        <v/>
      </c>
      <c r="J707" s="8">
        <f>IF(G707="","",G707*0.20)</f>
        <v/>
      </c>
      <c r="K707" s="8">
        <f>IF(G707="","",G707+J707)</f>
        <v/>
      </c>
    </row>
    <row r="708">
      <c r="F708" s="8" t="n"/>
      <c r="G708" s="8">
        <f>IF(E708="","",E708*F708)</f>
        <v/>
      </c>
      <c r="H708" s="8">
        <f>IF(G708="","",G708-I708)</f>
        <v/>
      </c>
      <c r="I708" s="8">
        <f>IF(D708="","",VLOOKUP(D708, RECETTES!B:G, 6, FALSE)*E708)</f>
        <v/>
      </c>
      <c r="J708" s="8">
        <f>IF(G708="","",G708*0.20)</f>
        <v/>
      </c>
      <c r="K708" s="8">
        <f>IF(G708="","",G708+J708)</f>
        <v/>
      </c>
    </row>
    <row r="709">
      <c r="F709" s="8" t="n"/>
      <c r="G709" s="8">
        <f>IF(E709="","",E709*F709)</f>
        <v/>
      </c>
      <c r="H709" s="8">
        <f>IF(G709="","",G709-I709)</f>
        <v/>
      </c>
      <c r="I709" s="8">
        <f>IF(D709="","",VLOOKUP(D709, RECETTES!B:G, 6, FALSE)*E709)</f>
        <v/>
      </c>
      <c r="J709" s="8">
        <f>IF(G709="","",G709*0.20)</f>
        <v/>
      </c>
      <c r="K709" s="8">
        <f>IF(G709="","",G709+J709)</f>
        <v/>
      </c>
    </row>
    <row r="710">
      <c r="F710" s="8" t="n"/>
      <c r="G710" s="8">
        <f>IF(E710="","",E710*F710)</f>
        <v/>
      </c>
      <c r="H710" s="8">
        <f>IF(G710="","",G710-I710)</f>
        <v/>
      </c>
      <c r="I710" s="8">
        <f>IF(D710="","",VLOOKUP(D710, RECETTES!B:G, 6, FALSE)*E710)</f>
        <v/>
      </c>
      <c r="J710" s="8">
        <f>IF(G710="","",G710*0.20)</f>
        <v/>
      </c>
      <c r="K710" s="8">
        <f>IF(G710="","",G710+J710)</f>
        <v/>
      </c>
    </row>
    <row r="711">
      <c r="F711" s="8" t="n"/>
      <c r="G711" s="8">
        <f>IF(E711="","",E711*F711)</f>
        <v/>
      </c>
      <c r="H711" s="8">
        <f>IF(G711="","",G711-I711)</f>
        <v/>
      </c>
      <c r="I711" s="8">
        <f>IF(D711="","",VLOOKUP(D711, RECETTES!B:G, 6, FALSE)*E711)</f>
        <v/>
      </c>
      <c r="J711" s="8">
        <f>IF(G711="","",G711*0.20)</f>
        <v/>
      </c>
      <c r="K711" s="8">
        <f>IF(G711="","",G711+J711)</f>
        <v/>
      </c>
    </row>
    <row r="712">
      <c r="F712" s="8" t="n"/>
      <c r="G712" s="8">
        <f>IF(E712="","",E712*F712)</f>
        <v/>
      </c>
      <c r="H712" s="8">
        <f>IF(G712="","",G712-I712)</f>
        <v/>
      </c>
      <c r="I712" s="8">
        <f>IF(D712="","",VLOOKUP(D712, RECETTES!B:G, 6, FALSE)*E712)</f>
        <v/>
      </c>
      <c r="J712" s="8">
        <f>IF(G712="","",G712*0.20)</f>
        <v/>
      </c>
      <c r="K712" s="8">
        <f>IF(G712="","",G712+J712)</f>
        <v/>
      </c>
    </row>
    <row r="713">
      <c r="F713" s="8" t="n"/>
      <c r="G713" s="8">
        <f>IF(E713="","",E713*F713)</f>
        <v/>
      </c>
      <c r="H713" s="8">
        <f>IF(G713="","",G713-I713)</f>
        <v/>
      </c>
      <c r="I713" s="8">
        <f>IF(D713="","",VLOOKUP(D713, RECETTES!B:G, 6, FALSE)*E713)</f>
        <v/>
      </c>
      <c r="J713" s="8">
        <f>IF(G713="","",G713*0.20)</f>
        <v/>
      </c>
      <c r="K713" s="8">
        <f>IF(G713="","",G713+J713)</f>
        <v/>
      </c>
    </row>
    <row r="714">
      <c r="F714" s="8" t="n"/>
      <c r="G714" s="8">
        <f>IF(E714="","",E714*F714)</f>
        <v/>
      </c>
      <c r="H714" s="8">
        <f>IF(G714="","",G714-I714)</f>
        <v/>
      </c>
      <c r="I714" s="8">
        <f>IF(D714="","",VLOOKUP(D714, RECETTES!B:G, 6, FALSE)*E714)</f>
        <v/>
      </c>
      <c r="J714" s="8">
        <f>IF(G714="","",G714*0.20)</f>
        <v/>
      </c>
      <c r="K714" s="8">
        <f>IF(G714="","",G714+J714)</f>
        <v/>
      </c>
    </row>
    <row r="715">
      <c r="F715" s="8" t="n"/>
      <c r="G715" s="8">
        <f>IF(E715="","",E715*F715)</f>
        <v/>
      </c>
      <c r="H715" s="8">
        <f>IF(G715="","",G715-I715)</f>
        <v/>
      </c>
      <c r="I715" s="8">
        <f>IF(D715="","",VLOOKUP(D715, RECETTES!B:G, 6, FALSE)*E715)</f>
        <v/>
      </c>
      <c r="J715" s="8">
        <f>IF(G715="","",G715*0.20)</f>
        <v/>
      </c>
      <c r="K715" s="8">
        <f>IF(G715="","",G715+J715)</f>
        <v/>
      </c>
    </row>
    <row r="716">
      <c r="F716" s="8" t="n"/>
      <c r="G716" s="8">
        <f>IF(E716="","",E716*F716)</f>
        <v/>
      </c>
      <c r="H716" s="8">
        <f>IF(G716="","",G716-I716)</f>
        <v/>
      </c>
      <c r="I716" s="8">
        <f>IF(D716="","",VLOOKUP(D716, RECETTES!B:G, 6, FALSE)*E716)</f>
        <v/>
      </c>
      <c r="J716" s="8">
        <f>IF(G716="","",G716*0.20)</f>
        <v/>
      </c>
      <c r="K716" s="8">
        <f>IF(G716="","",G716+J716)</f>
        <v/>
      </c>
    </row>
    <row r="717">
      <c r="F717" s="8" t="n"/>
      <c r="G717" s="8">
        <f>IF(E717="","",E717*F717)</f>
        <v/>
      </c>
      <c r="H717" s="8">
        <f>IF(G717="","",G717-I717)</f>
        <v/>
      </c>
      <c r="I717" s="8">
        <f>IF(D717="","",VLOOKUP(D717, RECETTES!B:G, 6, FALSE)*E717)</f>
        <v/>
      </c>
      <c r="J717" s="8">
        <f>IF(G717="","",G717*0.20)</f>
        <v/>
      </c>
      <c r="K717" s="8">
        <f>IF(G717="","",G717+J717)</f>
        <v/>
      </c>
    </row>
    <row r="718">
      <c r="F718" s="8" t="n"/>
      <c r="G718" s="8">
        <f>IF(E718="","",E718*F718)</f>
        <v/>
      </c>
      <c r="H718" s="8">
        <f>IF(G718="","",G718-I718)</f>
        <v/>
      </c>
      <c r="I718" s="8">
        <f>IF(D718="","",VLOOKUP(D718, RECETTES!B:G, 6, FALSE)*E718)</f>
        <v/>
      </c>
      <c r="J718" s="8">
        <f>IF(G718="","",G718*0.20)</f>
        <v/>
      </c>
      <c r="K718" s="8">
        <f>IF(G718="","",G718+J718)</f>
        <v/>
      </c>
    </row>
    <row r="719">
      <c r="F719" s="8" t="n"/>
      <c r="G719" s="8">
        <f>IF(E719="","",E719*F719)</f>
        <v/>
      </c>
      <c r="H719" s="8">
        <f>IF(G719="","",G719-I719)</f>
        <v/>
      </c>
      <c r="I719" s="8">
        <f>IF(D719="","",VLOOKUP(D719, RECETTES!B:G, 6, FALSE)*E719)</f>
        <v/>
      </c>
      <c r="J719" s="8">
        <f>IF(G719="","",G719*0.20)</f>
        <v/>
      </c>
      <c r="K719" s="8">
        <f>IF(G719="","",G719+J719)</f>
        <v/>
      </c>
    </row>
    <row r="720">
      <c r="F720" s="8" t="n"/>
      <c r="G720" s="8">
        <f>IF(E720="","",E720*F720)</f>
        <v/>
      </c>
      <c r="H720" s="8">
        <f>IF(G720="","",G720-I720)</f>
        <v/>
      </c>
      <c r="I720" s="8">
        <f>IF(D720="","",VLOOKUP(D720, RECETTES!B:G, 6, FALSE)*E720)</f>
        <v/>
      </c>
      <c r="J720" s="8">
        <f>IF(G720="","",G720*0.20)</f>
        <v/>
      </c>
      <c r="K720" s="8">
        <f>IF(G720="","",G720+J720)</f>
        <v/>
      </c>
    </row>
    <row r="721">
      <c r="F721" s="8" t="n"/>
      <c r="G721" s="8">
        <f>IF(E721="","",E721*F721)</f>
        <v/>
      </c>
      <c r="H721" s="8">
        <f>IF(G721="","",G721-I721)</f>
        <v/>
      </c>
      <c r="I721" s="8">
        <f>IF(D721="","",VLOOKUP(D721, RECETTES!B:G, 6, FALSE)*E721)</f>
        <v/>
      </c>
      <c r="J721" s="8">
        <f>IF(G721="","",G721*0.20)</f>
        <v/>
      </c>
      <c r="K721" s="8">
        <f>IF(G721="","",G721+J721)</f>
        <v/>
      </c>
    </row>
    <row r="722">
      <c r="F722" s="8" t="n"/>
      <c r="G722" s="8">
        <f>IF(E722="","",E722*F722)</f>
        <v/>
      </c>
      <c r="H722" s="8">
        <f>IF(G722="","",G722-I722)</f>
        <v/>
      </c>
      <c r="I722" s="8">
        <f>IF(D722="","",VLOOKUP(D722, RECETTES!B:G, 6, FALSE)*E722)</f>
        <v/>
      </c>
      <c r="J722" s="8">
        <f>IF(G722="","",G722*0.20)</f>
        <v/>
      </c>
      <c r="K722" s="8">
        <f>IF(G722="","",G722+J722)</f>
        <v/>
      </c>
    </row>
    <row r="723">
      <c r="F723" s="8" t="n"/>
      <c r="G723" s="8">
        <f>IF(E723="","",E723*F723)</f>
        <v/>
      </c>
      <c r="H723" s="8">
        <f>IF(G723="","",G723-I723)</f>
        <v/>
      </c>
      <c r="I723" s="8">
        <f>IF(D723="","",VLOOKUP(D723, RECETTES!B:G, 6, FALSE)*E723)</f>
        <v/>
      </c>
      <c r="J723" s="8">
        <f>IF(G723="","",G723*0.20)</f>
        <v/>
      </c>
      <c r="K723" s="8">
        <f>IF(G723="","",G723+J723)</f>
        <v/>
      </c>
    </row>
    <row r="724">
      <c r="F724" s="8" t="n"/>
      <c r="G724" s="8">
        <f>IF(E724="","",E724*F724)</f>
        <v/>
      </c>
      <c r="H724" s="8">
        <f>IF(G724="","",G724-I724)</f>
        <v/>
      </c>
      <c r="I724" s="8">
        <f>IF(D724="","",VLOOKUP(D724, RECETTES!B:G, 6, FALSE)*E724)</f>
        <v/>
      </c>
      <c r="J724" s="8">
        <f>IF(G724="","",G724*0.20)</f>
        <v/>
      </c>
      <c r="K724" s="8">
        <f>IF(G724="","",G724+J724)</f>
        <v/>
      </c>
    </row>
    <row r="725">
      <c r="F725" s="8" t="n"/>
      <c r="G725" s="8">
        <f>IF(E725="","",E725*F725)</f>
        <v/>
      </c>
      <c r="H725" s="8">
        <f>IF(G725="","",G725-I725)</f>
        <v/>
      </c>
      <c r="I725" s="8">
        <f>IF(D725="","",VLOOKUP(D725, RECETTES!B:G, 6, FALSE)*E725)</f>
        <v/>
      </c>
      <c r="J725" s="8">
        <f>IF(G725="","",G725*0.20)</f>
        <v/>
      </c>
      <c r="K725" s="8">
        <f>IF(G725="","",G725+J725)</f>
        <v/>
      </c>
    </row>
    <row r="726">
      <c r="F726" s="8" t="n"/>
      <c r="G726" s="8">
        <f>IF(E726="","",E726*F726)</f>
        <v/>
      </c>
      <c r="H726" s="8">
        <f>IF(G726="","",G726-I726)</f>
        <v/>
      </c>
      <c r="I726" s="8">
        <f>IF(D726="","",VLOOKUP(D726, RECETTES!B:G, 6, FALSE)*E726)</f>
        <v/>
      </c>
      <c r="J726" s="8">
        <f>IF(G726="","",G726*0.20)</f>
        <v/>
      </c>
      <c r="K726" s="8">
        <f>IF(G726="","",G726+J726)</f>
        <v/>
      </c>
    </row>
    <row r="727">
      <c r="F727" s="8" t="n"/>
      <c r="G727" s="8">
        <f>IF(E727="","",E727*F727)</f>
        <v/>
      </c>
      <c r="H727" s="8">
        <f>IF(G727="","",G727-I727)</f>
        <v/>
      </c>
      <c r="I727" s="8">
        <f>IF(D727="","",VLOOKUP(D727, RECETTES!B:G, 6, FALSE)*E727)</f>
        <v/>
      </c>
      <c r="J727" s="8">
        <f>IF(G727="","",G727*0.20)</f>
        <v/>
      </c>
      <c r="K727" s="8">
        <f>IF(G727="","",G727+J727)</f>
        <v/>
      </c>
    </row>
    <row r="728">
      <c r="F728" s="8" t="n"/>
      <c r="G728" s="8">
        <f>IF(E728="","",E728*F728)</f>
        <v/>
      </c>
      <c r="H728" s="8">
        <f>IF(G728="","",G728-I728)</f>
        <v/>
      </c>
      <c r="I728" s="8">
        <f>IF(D728="","",VLOOKUP(D728, RECETTES!B:G, 6, FALSE)*E728)</f>
        <v/>
      </c>
      <c r="J728" s="8">
        <f>IF(G728="","",G728*0.20)</f>
        <v/>
      </c>
      <c r="K728" s="8">
        <f>IF(G728="","",G728+J728)</f>
        <v/>
      </c>
    </row>
    <row r="729">
      <c r="F729" s="8" t="n"/>
      <c r="G729" s="8">
        <f>IF(E729="","",E729*F729)</f>
        <v/>
      </c>
      <c r="H729" s="8">
        <f>IF(G729="","",G729-I729)</f>
        <v/>
      </c>
      <c r="I729" s="8">
        <f>IF(D729="","",VLOOKUP(D729, RECETTES!B:G, 6, FALSE)*E729)</f>
        <v/>
      </c>
      <c r="J729" s="8">
        <f>IF(G729="","",G729*0.20)</f>
        <v/>
      </c>
      <c r="K729" s="8">
        <f>IF(G729="","",G729+J729)</f>
        <v/>
      </c>
    </row>
    <row r="730">
      <c r="F730" s="8" t="n"/>
      <c r="G730" s="8">
        <f>IF(E730="","",E730*F730)</f>
        <v/>
      </c>
      <c r="H730" s="8">
        <f>IF(G730="","",G730-I730)</f>
        <v/>
      </c>
      <c r="I730" s="8">
        <f>IF(D730="","",VLOOKUP(D730, RECETTES!B:G, 6, FALSE)*E730)</f>
        <v/>
      </c>
      <c r="J730" s="8">
        <f>IF(G730="","",G730*0.20)</f>
        <v/>
      </c>
      <c r="K730" s="8">
        <f>IF(G730="","",G730+J730)</f>
        <v/>
      </c>
    </row>
    <row r="731">
      <c r="F731" s="8" t="n"/>
      <c r="G731" s="8">
        <f>IF(E731="","",E731*F731)</f>
        <v/>
      </c>
      <c r="H731" s="8">
        <f>IF(G731="","",G731-I731)</f>
        <v/>
      </c>
      <c r="I731" s="8">
        <f>IF(D731="","",VLOOKUP(D731, RECETTES!B:G, 6, FALSE)*E731)</f>
        <v/>
      </c>
      <c r="J731" s="8">
        <f>IF(G731="","",G731*0.20)</f>
        <v/>
      </c>
      <c r="K731" s="8">
        <f>IF(G731="","",G731+J731)</f>
        <v/>
      </c>
    </row>
    <row r="732">
      <c r="F732" s="8" t="n"/>
      <c r="G732" s="8">
        <f>IF(E732="","",E732*F732)</f>
        <v/>
      </c>
      <c r="H732" s="8">
        <f>IF(G732="","",G732-I732)</f>
        <v/>
      </c>
      <c r="I732" s="8">
        <f>IF(D732="","",VLOOKUP(D732, RECETTES!B:G, 6, FALSE)*E732)</f>
        <v/>
      </c>
      <c r="J732" s="8">
        <f>IF(G732="","",G732*0.20)</f>
        <v/>
      </c>
      <c r="K732" s="8">
        <f>IF(G732="","",G732+J732)</f>
        <v/>
      </c>
    </row>
    <row r="733">
      <c r="F733" s="8" t="n"/>
      <c r="G733" s="8">
        <f>IF(E733="","",E733*F733)</f>
        <v/>
      </c>
      <c r="H733" s="8">
        <f>IF(G733="","",G733-I733)</f>
        <v/>
      </c>
      <c r="I733" s="8">
        <f>IF(D733="","",VLOOKUP(D733, RECETTES!B:G, 6, FALSE)*E733)</f>
        <v/>
      </c>
      <c r="J733" s="8">
        <f>IF(G733="","",G733*0.20)</f>
        <v/>
      </c>
      <c r="K733" s="8">
        <f>IF(G733="","",G733+J733)</f>
        <v/>
      </c>
    </row>
    <row r="734">
      <c r="F734" s="8" t="n"/>
      <c r="G734" s="8">
        <f>IF(E734="","",E734*F734)</f>
        <v/>
      </c>
      <c r="H734" s="8">
        <f>IF(G734="","",G734-I734)</f>
        <v/>
      </c>
      <c r="I734" s="8">
        <f>IF(D734="","",VLOOKUP(D734, RECETTES!B:G, 6, FALSE)*E734)</f>
        <v/>
      </c>
      <c r="J734" s="8">
        <f>IF(G734="","",G734*0.20)</f>
        <v/>
      </c>
      <c r="K734" s="8">
        <f>IF(G734="","",G734+J734)</f>
        <v/>
      </c>
    </row>
    <row r="735">
      <c r="F735" s="8" t="n"/>
      <c r="G735" s="8">
        <f>IF(E735="","",E735*F735)</f>
        <v/>
      </c>
      <c r="H735" s="8">
        <f>IF(G735="","",G735-I735)</f>
        <v/>
      </c>
      <c r="I735" s="8">
        <f>IF(D735="","",VLOOKUP(D735, RECETTES!B:G, 6, FALSE)*E735)</f>
        <v/>
      </c>
      <c r="J735" s="8">
        <f>IF(G735="","",G735*0.20)</f>
        <v/>
      </c>
      <c r="K735" s="8">
        <f>IF(G735="","",G735+J735)</f>
        <v/>
      </c>
    </row>
    <row r="736">
      <c r="F736" s="8" t="n"/>
      <c r="G736" s="8">
        <f>IF(E736="","",E736*F736)</f>
        <v/>
      </c>
      <c r="H736" s="8">
        <f>IF(G736="","",G736-I736)</f>
        <v/>
      </c>
      <c r="I736" s="8">
        <f>IF(D736="","",VLOOKUP(D736, RECETTES!B:G, 6, FALSE)*E736)</f>
        <v/>
      </c>
      <c r="J736" s="8">
        <f>IF(G736="","",G736*0.20)</f>
        <v/>
      </c>
      <c r="K736" s="8">
        <f>IF(G736="","",G736+J736)</f>
        <v/>
      </c>
    </row>
    <row r="737">
      <c r="F737" s="8" t="n"/>
      <c r="G737" s="8">
        <f>IF(E737="","",E737*F737)</f>
        <v/>
      </c>
      <c r="H737" s="8">
        <f>IF(G737="","",G737-I737)</f>
        <v/>
      </c>
      <c r="I737" s="8">
        <f>IF(D737="","",VLOOKUP(D737, RECETTES!B:G, 6, FALSE)*E737)</f>
        <v/>
      </c>
      <c r="J737" s="8">
        <f>IF(G737="","",G737*0.20)</f>
        <v/>
      </c>
      <c r="K737" s="8">
        <f>IF(G737="","",G737+J737)</f>
        <v/>
      </c>
    </row>
    <row r="738">
      <c r="F738" s="8" t="n"/>
      <c r="G738" s="8">
        <f>IF(E738="","",E738*F738)</f>
        <v/>
      </c>
      <c r="H738" s="8">
        <f>IF(G738="","",G738-I738)</f>
        <v/>
      </c>
      <c r="I738" s="8">
        <f>IF(D738="","",VLOOKUP(D738, RECETTES!B:G, 6, FALSE)*E738)</f>
        <v/>
      </c>
      <c r="J738" s="8">
        <f>IF(G738="","",G738*0.20)</f>
        <v/>
      </c>
      <c r="K738" s="8">
        <f>IF(G738="","",G738+J738)</f>
        <v/>
      </c>
    </row>
    <row r="739">
      <c r="F739" s="8" t="n"/>
      <c r="G739" s="8">
        <f>IF(E739="","",E739*F739)</f>
        <v/>
      </c>
      <c r="H739" s="8">
        <f>IF(G739="","",G739-I739)</f>
        <v/>
      </c>
      <c r="I739" s="8">
        <f>IF(D739="","",VLOOKUP(D739, RECETTES!B:G, 6, FALSE)*E739)</f>
        <v/>
      </c>
      <c r="J739" s="8">
        <f>IF(G739="","",G739*0.20)</f>
        <v/>
      </c>
      <c r="K739" s="8">
        <f>IF(G739="","",G739+J739)</f>
        <v/>
      </c>
    </row>
    <row r="740">
      <c r="F740" s="8" t="n"/>
      <c r="G740" s="8">
        <f>IF(E740="","",E740*F740)</f>
        <v/>
      </c>
      <c r="H740" s="8">
        <f>IF(G740="","",G740-I740)</f>
        <v/>
      </c>
      <c r="I740" s="8">
        <f>IF(D740="","",VLOOKUP(D740, RECETTES!B:G, 6, FALSE)*E740)</f>
        <v/>
      </c>
      <c r="J740" s="8">
        <f>IF(G740="","",G740*0.20)</f>
        <v/>
      </c>
      <c r="K740" s="8">
        <f>IF(G740="","",G740+J740)</f>
        <v/>
      </c>
    </row>
    <row r="741">
      <c r="F741" s="8" t="n"/>
      <c r="G741" s="8">
        <f>IF(E741="","",E741*F741)</f>
        <v/>
      </c>
      <c r="H741" s="8">
        <f>IF(G741="","",G741-I741)</f>
        <v/>
      </c>
      <c r="I741" s="8">
        <f>IF(D741="","",VLOOKUP(D741, RECETTES!B:G, 6, FALSE)*E741)</f>
        <v/>
      </c>
      <c r="J741" s="8">
        <f>IF(G741="","",G741*0.20)</f>
        <v/>
      </c>
      <c r="K741" s="8">
        <f>IF(G741="","",G741+J741)</f>
        <v/>
      </c>
    </row>
    <row r="742">
      <c r="F742" s="8" t="n"/>
      <c r="G742" s="8">
        <f>IF(E742="","",E742*F742)</f>
        <v/>
      </c>
      <c r="H742" s="8">
        <f>IF(G742="","",G742-I742)</f>
        <v/>
      </c>
      <c r="I742" s="8">
        <f>IF(D742="","",VLOOKUP(D742, RECETTES!B:G, 6, FALSE)*E742)</f>
        <v/>
      </c>
      <c r="J742" s="8">
        <f>IF(G742="","",G742*0.20)</f>
        <v/>
      </c>
      <c r="K742" s="8">
        <f>IF(G742="","",G742+J742)</f>
        <v/>
      </c>
    </row>
    <row r="743">
      <c r="F743" s="8" t="n"/>
      <c r="G743" s="8">
        <f>IF(E743="","",E743*F743)</f>
        <v/>
      </c>
      <c r="H743" s="8">
        <f>IF(G743="","",G743-I743)</f>
        <v/>
      </c>
      <c r="I743" s="8">
        <f>IF(D743="","",VLOOKUP(D743, RECETTES!B:G, 6, FALSE)*E743)</f>
        <v/>
      </c>
      <c r="J743" s="8">
        <f>IF(G743="","",G743*0.20)</f>
        <v/>
      </c>
      <c r="K743" s="8">
        <f>IF(G743="","",G743+J743)</f>
        <v/>
      </c>
    </row>
    <row r="744">
      <c r="F744" s="8" t="n"/>
      <c r="G744" s="8">
        <f>IF(E744="","",E744*F744)</f>
        <v/>
      </c>
      <c r="H744" s="8">
        <f>IF(G744="","",G744-I744)</f>
        <v/>
      </c>
      <c r="I744" s="8">
        <f>IF(D744="","",VLOOKUP(D744, RECETTES!B:G, 6, FALSE)*E744)</f>
        <v/>
      </c>
      <c r="J744" s="8">
        <f>IF(G744="","",G744*0.20)</f>
        <v/>
      </c>
      <c r="K744" s="8">
        <f>IF(G744="","",G744+J744)</f>
        <v/>
      </c>
    </row>
    <row r="745">
      <c r="F745" s="8" t="n"/>
      <c r="G745" s="8">
        <f>IF(E745="","",E745*F745)</f>
        <v/>
      </c>
      <c r="H745" s="8">
        <f>IF(G745="","",G745-I745)</f>
        <v/>
      </c>
      <c r="I745" s="8">
        <f>IF(D745="","",VLOOKUP(D745, RECETTES!B:G, 6, FALSE)*E745)</f>
        <v/>
      </c>
      <c r="J745" s="8">
        <f>IF(G745="","",G745*0.20)</f>
        <v/>
      </c>
      <c r="K745" s="8">
        <f>IF(G745="","",G745+J745)</f>
        <v/>
      </c>
    </row>
    <row r="746">
      <c r="F746" s="8" t="n"/>
      <c r="G746" s="8">
        <f>IF(E746="","",E746*F746)</f>
        <v/>
      </c>
      <c r="H746" s="8">
        <f>IF(G746="","",G746-I746)</f>
        <v/>
      </c>
      <c r="I746" s="8">
        <f>IF(D746="","",VLOOKUP(D746, RECETTES!B:G, 6, FALSE)*E746)</f>
        <v/>
      </c>
      <c r="J746" s="8">
        <f>IF(G746="","",G746*0.20)</f>
        <v/>
      </c>
      <c r="K746" s="8">
        <f>IF(G746="","",G746+J746)</f>
        <v/>
      </c>
    </row>
    <row r="747">
      <c r="F747" s="8" t="n"/>
      <c r="G747" s="8">
        <f>IF(E747="","",E747*F747)</f>
        <v/>
      </c>
      <c r="H747" s="8">
        <f>IF(G747="","",G747-I747)</f>
        <v/>
      </c>
      <c r="I747" s="8">
        <f>IF(D747="","",VLOOKUP(D747, RECETTES!B:G, 6, FALSE)*E747)</f>
        <v/>
      </c>
      <c r="J747" s="8">
        <f>IF(G747="","",G747*0.20)</f>
        <v/>
      </c>
      <c r="K747" s="8">
        <f>IF(G747="","",G747+J747)</f>
        <v/>
      </c>
    </row>
    <row r="748">
      <c r="F748" s="8" t="n"/>
      <c r="G748" s="8">
        <f>IF(E748="","",E748*F748)</f>
        <v/>
      </c>
      <c r="H748" s="8">
        <f>IF(G748="","",G748-I748)</f>
        <v/>
      </c>
      <c r="I748" s="8">
        <f>IF(D748="","",VLOOKUP(D748, RECETTES!B:G, 6, FALSE)*E748)</f>
        <v/>
      </c>
      <c r="J748" s="8">
        <f>IF(G748="","",G748*0.20)</f>
        <v/>
      </c>
      <c r="K748" s="8">
        <f>IF(G748="","",G748+J748)</f>
        <v/>
      </c>
    </row>
    <row r="749">
      <c r="F749" s="8" t="n"/>
      <c r="G749" s="8">
        <f>IF(E749="","",E749*F749)</f>
        <v/>
      </c>
      <c r="H749" s="8">
        <f>IF(G749="","",G749-I749)</f>
        <v/>
      </c>
      <c r="I749" s="8">
        <f>IF(D749="","",VLOOKUP(D749, RECETTES!B:G, 6, FALSE)*E749)</f>
        <v/>
      </c>
      <c r="J749" s="8">
        <f>IF(G749="","",G749*0.20)</f>
        <v/>
      </c>
      <c r="K749" s="8">
        <f>IF(G749="","",G749+J749)</f>
        <v/>
      </c>
    </row>
    <row r="750">
      <c r="F750" s="8" t="n"/>
      <c r="G750" s="8">
        <f>IF(E750="","",E750*F750)</f>
        <v/>
      </c>
      <c r="H750" s="8">
        <f>IF(G750="","",G750-I750)</f>
        <v/>
      </c>
      <c r="I750" s="8">
        <f>IF(D750="","",VLOOKUP(D750, RECETTES!B:G, 6, FALSE)*E750)</f>
        <v/>
      </c>
      <c r="J750" s="8">
        <f>IF(G750="","",G750*0.20)</f>
        <v/>
      </c>
      <c r="K750" s="8">
        <f>IF(G750="","",G750+J750)</f>
        <v/>
      </c>
    </row>
    <row r="751">
      <c r="F751" s="8" t="n"/>
      <c r="G751" s="8">
        <f>IF(E751="","",E751*F751)</f>
        <v/>
      </c>
      <c r="H751" s="8">
        <f>IF(G751="","",G751-I751)</f>
        <v/>
      </c>
      <c r="I751" s="8">
        <f>IF(D751="","",VLOOKUP(D751, RECETTES!B:G, 6, FALSE)*E751)</f>
        <v/>
      </c>
      <c r="J751" s="8">
        <f>IF(G751="","",G751*0.20)</f>
        <v/>
      </c>
      <c r="K751" s="8">
        <f>IF(G751="","",G751+J751)</f>
        <v/>
      </c>
    </row>
    <row r="752">
      <c r="F752" s="8" t="n"/>
      <c r="G752" s="8">
        <f>IF(E752="","",E752*F752)</f>
        <v/>
      </c>
      <c r="H752" s="8">
        <f>IF(G752="","",G752-I752)</f>
        <v/>
      </c>
      <c r="I752" s="8">
        <f>IF(D752="","",VLOOKUP(D752, RECETTES!B:G, 6, FALSE)*E752)</f>
        <v/>
      </c>
      <c r="J752" s="8">
        <f>IF(G752="","",G752*0.20)</f>
        <v/>
      </c>
      <c r="K752" s="8">
        <f>IF(G752="","",G752+J752)</f>
        <v/>
      </c>
    </row>
    <row r="753">
      <c r="F753" s="8" t="n"/>
      <c r="G753" s="8">
        <f>IF(E753="","",E753*F753)</f>
        <v/>
      </c>
      <c r="H753" s="8">
        <f>IF(G753="","",G753-I753)</f>
        <v/>
      </c>
      <c r="I753" s="8">
        <f>IF(D753="","",VLOOKUP(D753, RECETTES!B:G, 6, FALSE)*E753)</f>
        <v/>
      </c>
      <c r="J753" s="8">
        <f>IF(G753="","",G753*0.20)</f>
        <v/>
      </c>
      <c r="K753" s="8">
        <f>IF(G753="","",G753+J753)</f>
        <v/>
      </c>
    </row>
    <row r="754">
      <c r="F754" s="8" t="n"/>
      <c r="G754" s="8">
        <f>IF(E754="","",E754*F754)</f>
        <v/>
      </c>
      <c r="H754" s="8">
        <f>IF(G754="","",G754-I754)</f>
        <v/>
      </c>
      <c r="I754" s="8">
        <f>IF(D754="","",VLOOKUP(D754, RECETTES!B:G, 6, FALSE)*E754)</f>
        <v/>
      </c>
      <c r="J754" s="8">
        <f>IF(G754="","",G754*0.20)</f>
        <v/>
      </c>
      <c r="K754" s="8">
        <f>IF(G754="","",G754+J754)</f>
        <v/>
      </c>
    </row>
    <row r="755">
      <c r="F755" s="8" t="n"/>
      <c r="G755" s="8">
        <f>IF(E755="","",E755*F755)</f>
        <v/>
      </c>
      <c r="H755" s="8">
        <f>IF(G755="","",G755-I755)</f>
        <v/>
      </c>
      <c r="I755" s="8">
        <f>IF(D755="","",VLOOKUP(D755, RECETTES!B:G, 6, FALSE)*E755)</f>
        <v/>
      </c>
      <c r="J755" s="8">
        <f>IF(G755="","",G755*0.20)</f>
        <v/>
      </c>
      <c r="K755" s="8">
        <f>IF(G755="","",G755+J755)</f>
        <v/>
      </c>
    </row>
    <row r="756">
      <c r="F756" s="8" t="n"/>
      <c r="G756" s="8">
        <f>IF(E756="","",E756*F756)</f>
        <v/>
      </c>
      <c r="H756" s="8">
        <f>IF(G756="","",G756-I756)</f>
        <v/>
      </c>
      <c r="I756" s="8">
        <f>IF(D756="","",VLOOKUP(D756, RECETTES!B:G, 6, FALSE)*E756)</f>
        <v/>
      </c>
      <c r="J756" s="8">
        <f>IF(G756="","",G756*0.20)</f>
        <v/>
      </c>
      <c r="K756" s="8">
        <f>IF(G756="","",G756+J756)</f>
        <v/>
      </c>
    </row>
    <row r="757">
      <c r="F757" s="8" t="n"/>
      <c r="G757" s="8">
        <f>IF(E757="","",E757*F757)</f>
        <v/>
      </c>
      <c r="H757" s="8">
        <f>IF(G757="","",G757-I757)</f>
        <v/>
      </c>
      <c r="I757" s="8">
        <f>IF(D757="","",VLOOKUP(D757, RECETTES!B:G, 6, FALSE)*E757)</f>
        <v/>
      </c>
      <c r="J757" s="8">
        <f>IF(G757="","",G757*0.20)</f>
        <v/>
      </c>
      <c r="K757" s="8">
        <f>IF(G757="","",G757+J757)</f>
        <v/>
      </c>
    </row>
    <row r="758">
      <c r="F758" s="8" t="n"/>
      <c r="G758" s="8">
        <f>IF(E758="","",E758*F758)</f>
        <v/>
      </c>
      <c r="H758" s="8">
        <f>IF(G758="","",G758-I758)</f>
        <v/>
      </c>
      <c r="I758" s="8">
        <f>IF(D758="","",VLOOKUP(D758, RECETTES!B:G, 6, FALSE)*E758)</f>
        <v/>
      </c>
      <c r="J758" s="8">
        <f>IF(G758="","",G758*0.20)</f>
        <v/>
      </c>
      <c r="K758" s="8">
        <f>IF(G758="","",G758+J758)</f>
        <v/>
      </c>
    </row>
    <row r="759">
      <c r="F759" s="8" t="n"/>
      <c r="G759" s="8">
        <f>IF(E759="","",E759*F759)</f>
        <v/>
      </c>
      <c r="H759" s="8">
        <f>IF(G759="","",G759-I759)</f>
        <v/>
      </c>
      <c r="I759" s="8">
        <f>IF(D759="","",VLOOKUP(D759, RECETTES!B:G, 6, FALSE)*E759)</f>
        <v/>
      </c>
      <c r="J759" s="8">
        <f>IF(G759="","",G759*0.20)</f>
        <v/>
      </c>
      <c r="K759" s="8">
        <f>IF(G759="","",G759+J759)</f>
        <v/>
      </c>
    </row>
    <row r="760">
      <c r="F760" s="8" t="n"/>
      <c r="G760" s="8">
        <f>IF(E760="","",E760*F760)</f>
        <v/>
      </c>
      <c r="H760" s="8">
        <f>IF(G760="","",G760-I760)</f>
        <v/>
      </c>
      <c r="I760" s="8">
        <f>IF(D760="","",VLOOKUP(D760, RECETTES!B:G, 6, FALSE)*E760)</f>
        <v/>
      </c>
      <c r="J760" s="8">
        <f>IF(G760="","",G760*0.20)</f>
        <v/>
      </c>
      <c r="K760" s="8">
        <f>IF(G760="","",G760+J760)</f>
        <v/>
      </c>
    </row>
    <row r="761">
      <c r="F761" s="8" t="n"/>
      <c r="G761" s="8">
        <f>IF(E761="","",E761*F761)</f>
        <v/>
      </c>
      <c r="H761" s="8">
        <f>IF(G761="","",G761-I761)</f>
        <v/>
      </c>
      <c r="I761" s="8">
        <f>IF(D761="","",VLOOKUP(D761, RECETTES!B:G, 6, FALSE)*E761)</f>
        <v/>
      </c>
      <c r="J761" s="8">
        <f>IF(G761="","",G761*0.20)</f>
        <v/>
      </c>
      <c r="K761" s="8">
        <f>IF(G761="","",G761+J761)</f>
        <v/>
      </c>
    </row>
    <row r="762">
      <c r="F762" s="8" t="n"/>
      <c r="G762" s="8">
        <f>IF(E762="","",E762*F762)</f>
        <v/>
      </c>
      <c r="H762" s="8">
        <f>IF(G762="","",G762-I762)</f>
        <v/>
      </c>
      <c r="I762" s="8">
        <f>IF(D762="","",VLOOKUP(D762, RECETTES!B:G, 6, FALSE)*E762)</f>
        <v/>
      </c>
      <c r="J762" s="8">
        <f>IF(G762="","",G762*0.20)</f>
        <v/>
      </c>
      <c r="K762" s="8">
        <f>IF(G762="","",G762+J762)</f>
        <v/>
      </c>
    </row>
    <row r="763">
      <c r="F763" s="8" t="n"/>
      <c r="G763" s="8">
        <f>IF(E763="","",E763*F763)</f>
        <v/>
      </c>
      <c r="H763" s="8">
        <f>IF(G763="","",G763-I763)</f>
        <v/>
      </c>
      <c r="I763" s="8">
        <f>IF(D763="","",VLOOKUP(D763, RECETTES!B:G, 6, FALSE)*E763)</f>
        <v/>
      </c>
      <c r="J763" s="8">
        <f>IF(G763="","",G763*0.20)</f>
        <v/>
      </c>
      <c r="K763" s="8">
        <f>IF(G763="","",G763+J763)</f>
        <v/>
      </c>
    </row>
    <row r="764">
      <c r="F764" s="8" t="n"/>
      <c r="G764" s="8">
        <f>IF(E764="","",E764*F764)</f>
        <v/>
      </c>
      <c r="H764" s="8">
        <f>IF(G764="","",G764-I764)</f>
        <v/>
      </c>
      <c r="I764" s="8">
        <f>IF(D764="","",VLOOKUP(D764, RECETTES!B:G, 6, FALSE)*E764)</f>
        <v/>
      </c>
      <c r="J764" s="8">
        <f>IF(G764="","",G764*0.20)</f>
        <v/>
      </c>
      <c r="K764" s="8">
        <f>IF(G764="","",G764+J764)</f>
        <v/>
      </c>
    </row>
    <row r="765">
      <c r="F765" s="8" t="n"/>
      <c r="G765" s="8">
        <f>IF(E765="","",E765*F765)</f>
        <v/>
      </c>
      <c r="H765" s="8">
        <f>IF(G765="","",G765-I765)</f>
        <v/>
      </c>
      <c r="I765" s="8">
        <f>IF(D765="","",VLOOKUP(D765, RECETTES!B:G, 6, FALSE)*E765)</f>
        <v/>
      </c>
      <c r="J765" s="8">
        <f>IF(G765="","",G765*0.20)</f>
        <v/>
      </c>
      <c r="K765" s="8">
        <f>IF(G765="","",G765+J765)</f>
        <v/>
      </c>
    </row>
    <row r="766">
      <c r="F766" s="8" t="n"/>
      <c r="G766" s="8">
        <f>IF(E766="","",E766*F766)</f>
        <v/>
      </c>
      <c r="H766" s="8">
        <f>IF(G766="","",G766-I766)</f>
        <v/>
      </c>
      <c r="I766" s="8">
        <f>IF(D766="","",VLOOKUP(D766, RECETTES!B:G, 6, FALSE)*E766)</f>
        <v/>
      </c>
      <c r="J766" s="8">
        <f>IF(G766="","",G766*0.20)</f>
        <v/>
      </c>
      <c r="K766" s="8">
        <f>IF(G766="","",G766+J766)</f>
        <v/>
      </c>
    </row>
    <row r="767">
      <c r="F767" s="8" t="n"/>
      <c r="G767" s="8">
        <f>IF(E767="","",E767*F767)</f>
        <v/>
      </c>
      <c r="H767" s="8">
        <f>IF(G767="","",G767-I767)</f>
        <v/>
      </c>
      <c r="I767" s="8">
        <f>IF(D767="","",VLOOKUP(D767, RECETTES!B:G, 6, FALSE)*E767)</f>
        <v/>
      </c>
      <c r="J767" s="8">
        <f>IF(G767="","",G767*0.20)</f>
        <v/>
      </c>
      <c r="K767" s="8">
        <f>IF(G767="","",G767+J767)</f>
        <v/>
      </c>
    </row>
    <row r="768">
      <c r="F768" s="8" t="n"/>
      <c r="G768" s="8">
        <f>IF(E768="","",E768*F768)</f>
        <v/>
      </c>
      <c r="H768" s="8">
        <f>IF(G768="","",G768-I768)</f>
        <v/>
      </c>
      <c r="I768" s="8">
        <f>IF(D768="","",VLOOKUP(D768, RECETTES!B:G, 6, FALSE)*E768)</f>
        <v/>
      </c>
      <c r="J768" s="8">
        <f>IF(G768="","",G768*0.20)</f>
        <v/>
      </c>
      <c r="K768" s="8">
        <f>IF(G768="","",G768+J768)</f>
        <v/>
      </c>
    </row>
    <row r="769">
      <c r="F769" s="8" t="n"/>
      <c r="G769" s="8">
        <f>IF(E769="","",E769*F769)</f>
        <v/>
      </c>
      <c r="H769" s="8">
        <f>IF(G769="","",G769-I769)</f>
        <v/>
      </c>
      <c r="I769" s="8">
        <f>IF(D769="","",VLOOKUP(D769, RECETTES!B:G, 6, FALSE)*E769)</f>
        <v/>
      </c>
      <c r="J769" s="8">
        <f>IF(G769="","",G769*0.20)</f>
        <v/>
      </c>
      <c r="K769" s="8">
        <f>IF(G769="","",G769+J769)</f>
        <v/>
      </c>
    </row>
    <row r="770">
      <c r="F770" s="8" t="n"/>
      <c r="G770" s="8">
        <f>IF(E770="","",E770*F770)</f>
        <v/>
      </c>
      <c r="H770" s="8">
        <f>IF(G770="","",G770-I770)</f>
        <v/>
      </c>
      <c r="I770" s="8">
        <f>IF(D770="","",VLOOKUP(D770, RECETTES!B:G, 6, FALSE)*E770)</f>
        <v/>
      </c>
      <c r="J770" s="8">
        <f>IF(G770="","",G770*0.20)</f>
        <v/>
      </c>
      <c r="K770" s="8">
        <f>IF(G770="","",G770+J770)</f>
        <v/>
      </c>
    </row>
    <row r="771">
      <c r="F771" s="8" t="n"/>
      <c r="G771" s="8">
        <f>IF(E771="","",E771*F771)</f>
        <v/>
      </c>
      <c r="H771" s="8">
        <f>IF(G771="","",G771-I771)</f>
        <v/>
      </c>
      <c r="I771" s="8">
        <f>IF(D771="","",VLOOKUP(D771, RECETTES!B:G, 6, FALSE)*E771)</f>
        <v/>
      </c>
      <c r="J771" s="8">
        <f>IF(G771="","",G771*0.20)</f>
        <v/>
      </c>
      <c r="K771" s="8">
        <f>IF(G771="","",G771+J771)</f>
        <v/>
      </c>
    </row>
    <row r="772">
      <c r="F772" s="8" t="n"/>
      <c r="G772" s="8">
        <f>IF(E772="","",E772*F772)</f>
        <v/>
      </c>
      <c r="H772" s="8">
        <f>IF(G772="","",G772-I772)</f>
        <v/>
      </c>
      <c r="I772" s="8">
        <f>IF(D772="","",VLOOKUP(D772, RECETTES!B:G, 6, FALSE)*E772)</f>
        <v/>
      </c>
      <c r="J772" s="8">
        <f>IF(G772="","",G772*0.20)</f>
        <v/>
      </c>
      <c r="K772" s="8">
        <f>IF(G772="","",G772+J772)</f>
        <v/>
      </c>
    </row>
    <row r="773">
      <c r="F773" s="8" t="n"/>
      <c r="G773" s="8">
        <f>IF(E773="","",E773*F773)</f>
        <v/>
      </c>
      <c r="H773" s="8">
        <f>IF(G773="","",G773-I773)</f>
        <v/>
      </c>
      <c r="I773" s="8">
        <f>IF(D773="","",VLOOKUP(D773, RECETTES!B:G, 6, FALSE)*E773)</f>
        <v/>
      </c>
      <c r="J773" s="8">
        <f>IF(G773="","",G773*0.20)</f>
        <v/>
      </c>
      <c r="K773" s="8">
        <f>IF(G773="","",G773+J773)</f>
        <v/>
      </c>
    </row>
    <row r="774">
      <c r="F774" s="8" t="n"/>
      <c r="G774" s="8">
        <f>IF(E774="","",E774*F774)</f>
        <v/>
      </c>
      <c r="H774" s="8">
        <f>IF(G774="","",G774-I774)</f>
        <v/>
      </c>
      <c r="I774" s="8">
        <f>IF(D774="","",VLOOKUP(D774, RECETTES!B:G, 6, FALSE)*E774)</f>
        <v/>
      </c>
      <c r="J774" s="8">
        <f>IF(G774="","",G774*0.20)</f>
        <v/>
      </c>
      <c r="K774" s="8">
        <f>IF(G774="","",G774+J774)</f>
        <v/>
      </c>
    </row>
    <row r="775">
      <c r="F775" s="8" t="n"/>
      <c r="G775" s="8">
        <f>IF(E775="","",E775*F775)</f>
        <v/>
      </c>
      <c r="H775" s="8">
        <f>IF(G775="","",G775-I775)</f>
        <v/>
      </c>
      <c r="I775" s="8">
        <f>IF(D775="","",VLOOKUP(D775, RECETTES!B:G, 6, FALSE)*E775)</f>
        <v/>
      </c>
      <c r="J775" s="8">
        <f>IF(G775="","",G775*0.20)</f>
        <v/>
      </c>
      <c r="K775" s="8">
        <f>IF(G775="","",G775+J775)</f>
        <v/>
      </c>
    </row>
    <row r="776">
      <c r="F776" s="8" t="n"/>
      <c r="G776" s="8">
        <f>IF(E776="","",E776*F776)</f>
        <v/>
      </c>
      <c r="H776" s="8">
        <f>IF(G776="","",G776-I776)</f>
        <v/>
      </c>
      <c r="I776" s="8">
        <f>IF(D776="","",VLOOKUP(D776, RECETTES!B:G, 6, FALSE)*E776)</f>
        <v/>
      </c>
      <c r="J776" s="8">
        <f>IF(G776="","",G776*0.20)</f>
        <v/>
      </c>
      <c r="K776" s="8">
        <f>IF(G776="","",G776+J776)</f>
        <v/>
      </c>
    </row>
    <row r="777">
      <c r="F777" s="8" t="n"/>
      <c r="G777" s="8">
        <f>IF(E777="","",E777*F777)</f>
        <v/>
      </c>
      <c r="H777" s="8">
        <f>IF(G777="","",G777-I777)</f>
        <v/>
      </c>
      <c r="I777" s="8">
        <f>IF(D777="","",VLOOKUP(D777, RECETTES!B:G, 6, FALSE)*E777)</f>
        <v/>
      </c>
      <c r="J777" s="8">
        <f>IF(G777="","",G777*0.20)</f>
        <v/>
      </c>
      <c r="K777" s="8">
        <f>IF(G777="","",G777+J777)</f>
        <v/>
      </c>
    </row>
    <row r="778">
      <c r="F778" s="8" t="n"/>
      <c r="G778" s="8">
        <f>IF(E778="","",E778*F778)</f>
        <v/>
      </c>
      <c r="H778" s="8">
        <f>IF(G778="","",G778-I778)</f>
        <v/>
      </c>
      <c r="I778" s="8">
        <f>IF(D778="","",VLOOKUP(D778, RECETTES!B:G, 6, FALSE)*E778)</f>
        <v/>
      </c>
      <c r="J778" s="8">
        <f>IF(G778="","",G778*0.20)</f>
        <v/>
      </c>
      <c r="K778" s="8">
        <f>IF(G778="","",G778+J778)</f>
        <v/>
      </c>
    </row>
    <row r="779">
      <c r="F779" s="8" t="n"/>
      <c r="G779" s="8">
        <f>IF(E779="","",E779*F779)</f>
        <v/>
      </c>
      <c r="H779" s="8">
        <f>IF(G779="","",G779-I779)</f>
        <v/>
      </c>
      <c r="I779" s="8">
        <f>IF(D779="","",VLOOKUP(D779, RECETTES!B:G, 6, FALSE)*E779)</f>
        <v/>
      </c>
      <c r="J779" s="8">
        <f>IF(G779="","",G779*0.20)</f>
        <v/>
      </c>
      <c r="K779" s="8">
        <f>IF(G779="","",G779+J779)</f>
        <v/>
      </c>
    </row>
    <row r="780">
      <c r="F780" s="8" t="n"/>
      <c r="G780" s="8">
        <f>IF(E780="","",E780*F780)</f>
        <v/>
      </c>
      <c r="H780" s="8">
        <f>IF(G780="","",G780-I780)</f>
        <v/>
      </c>
      <c r="I780" s="8">
        <f>IF(D780="","",VLOOKUP(D780, RECETTES!B:G, 6, FALSE)*E780)</f>
        <v/>
      </c>
      <c r="J780" s="8">
        <f>IF(G780="","",G780*0.20)</f>
        <v/>
      </c>
      <c r="K780" s="8">
        <f>IF(G780="","",G780+J780)</f>
        <v/>
      </c>
    </row>
    <row r="781">
      <c r="F781" s="8" t="n"/>
      <c r="G781" s="8">
        <f>IF(E781="","",E781*F781)</f>
        <v/>
      </c>
      <c r="H781" s="8">
        <f>IF(G781="","",G781-I781)</f>
        <v/>
      </c>
      <c r="I781" s="8">
        <f>IF(D781="","",VLOOKUP(D781, RECETTES!B:G, 6, FALSE)*E781)</f>
        <v/>
      </c>
      <c r="J781" s="8">
        <f>IF(G781="","",G781*0.20)</f>
        <v/>
      </c>
      <c r="K781" s="8">
        <f>IF(G781="","",G781+J781)</f>
        <v/>
      </c>
    </row>
    <row r="782">
      <c r="F782" s="8" t="n"/>
      <c r="G782" s="8">
        <f>IF(E782="","",E782*F782)</f>
        <v/>
      </c>
      <c r="H782" s="8">
        <f>IF(G782="","",G782-I782)</f>
        <v/>
      </c>
      <c r="I782" s="8">
        <f>IF(D782="","",VLOOKUP(D782, RECETTES!B:G, 6, FALSE)*E782)</f>
        <v/>
      </c>
      <c r="J782" s="8">
        <f>IF(G782="","",G782*0.20)</f>
        <v/>
      </c>
      <c r="K782" s="8">
        <f>IF(G782="","",G782+J782)</f>
        <v/>
      </c>
    </row>
    <row r="783">
      <c r="F783" s="8" t="n"/>
      <c r="G783" s="8">
        <f>IF(E783="","",E783*F783)</f>
        <v/>
      </c>
      <c r="H783" s="8">
        <f>IF(G783="","",G783-I783)</f>
        <v/>
      </c>
      <c r="I783" s="8">
        <f>IF(D783="","",VLOOKUP(D783, RECETTES!B:G, 6, FALSE)*E783)</f>
        <v/>
      </c>
      <c r="J783" s="8">
        <f>IF(G783="","",G783*0.20)</f>
        <v/>
      </c>
      <c r="K783" s="8">
        <f>IF(G783="","",G783+J783)</f>
        <v/>
      </c>
    </row>
    <row r="784">
      <c r="F784" s="8" t="n"/>
      <c r="G784" s="8">
        <f>IF(E784="","",E784*F784)</f>
        <v/>
      </c>
      <c r="H784" s="8">
        <f>IF(G784="","",G784-I784)</f>
        <v/>
      </c>
      <c r="I784" s="8">
        <f>IF(D784="","",VLOOKUP(D784, RECETTES!B:G, 6, FALSE)*E784)</f>
        <v/>
      </c>
      <c r="J784" s="8">
        <f>IF(G784="","",G784*0.20)</f>
        <v/>
      </c>
      <c r="K784" s="8">
        <f>IF(G784="","",G784+J784)</f>
        <v/>
      </c>
    </row>
    <row r="785">
      <c r="F785" s="8" t="n"/>
      <c r="G785" s="8">
        <f>IF(E785="","",E785*F785)</f>
        <v/>
      </c>
      <c r="H785" s="8">
        <f>IF(G785="","",G785-I785)</f>
        <v/>
      </c>
      <c r="I785" s="8">
        <f>IF(D785="","",VLOOKUP(D785, RECETTES!B:G, 6, FALSE)*E785)</f>
        <v/>
      </c>
      <c r="J785" s="8">
        <f>IF(G785="","",G785*0.20)</f>
        <v/>
      </c>
      <c r="K785" s="8">
        <f>IF(G785="","",G785+J785)</f>
        <v/>
      </c>
    </row>
    <row r="786">
      <c r="F786" s="8" t="n"/>
      <c r="G786" s="8">
        <f>IF(E786="","",E786*F786)</f>
        <v/>
      </c>
      <c r="H786" s="8">
        <f>IF(G786="","",G786-I786)</f>
        <v/>
      </c>
      <c r="I786" s="8">
        <f>IF(D786="","",VLOOKUP(D786, RECETTES!B:G, 6, FALSE)*E786)</f>
        <v/>
      </c>
      <c r="J786" s="8">
        <f>IF(G786="","",G786*0.20)</f>
        <v/>
      </c>
      <c r="K786" s="8">
        <f>IF(G786="","",G786+J786)</f>
        <v/>
      </c>
    </row>
    <row r="787">
      <c r="F787" s="8" t="n"/>
      <c r="G787" s="8">
        <f>IF(E787="","",E787*F787)</f>
        <v/>
      </c>
      <c r="H787" s="8">
        <f>IF(G787="","",G787-I787)</f>
        <v/>
      </c>
      <c r="I787" s="8">
        <f>IF(D787="","",VLOOKUP(D787, RECETTES!B:G, 6, FALSE)*E787)</f>
        <v/>
      </c>
      <c r="J787" s="8">
        <f>IF(G787="","",G787*0.20)</f>
        <v/>
      </c>
      <c r="K787" s="8">
        <f>IF(G787="","",G787+J787)</f>
        <v/>
      </c>
    </row>
    <row r="788">
      <c r="F788" s="8" t="n"/>
      <c r="G788" s="8">
        <f>IF(E788="","",E788*F788)</f>
        <v/>
      </c>
      <c r="H788" s="8">
        <f>IF(G788="","",G788-I788)</f>
        <v/>
      </c>
      <c r="I788" s="8">
        <f>IF(D788="","",VLOOKUP(D788, RECETTES!B:G, 6, FALSE)*E788)</f>
        <v/>
      </c>
      <c r="J788" s="8">
        <f>IF(G788="","",G788*0.20)</f>
        <v/>
      </c>
      <c r="K788" s="8">
        <f>IF(G788="","",G788+J788)</f>
        <v/>
      </c>
    </row>
    <row r="789">
      <c r="F789" s="8" t="n"/>
      <c r="G789" s="8">
        <f>IF(E789="","",E789*F789)</f>
        <v/>
      </c>
      <c r="H789" s="8">
        <f>IF(G789="","",G789-I789)</f>
        <v/>
      </c>
      <c r="I789" s="8">
        <f>IF(D789="","",VLOOKUP(D789, RECETTES!B:G, 6, FALSE)*E789)</f>
        <v/>
      </c>
      <c r="J789" s="8">
        <f>IF(G789="","",G789*0.20)</f>
        <v/>
      </c>
      <c r="K789" s="8">
        <f>IF(G789="","",G789+J789)</f>
        <v/>
      </c>
    </row>
    <row r="790">
      <c r="F790" s="8" t="n"/>
      <c r="G790" s="8">
        <f>IF(E790="","",E790*F790)</f>
        <v/>
      </c>
      <c r="H790" s="8">
        <f>IF(G790="","",G790-I790)</f>
        <v/>
      </c>
      <c r="I790" s="8">
        <f>IF(D790="","",VLOOKUP(D790, RECETTES!B:G, 6, FALSE)*E790)</f>
        <v/>
      </c>
      <c r="J790" s="8">
        <f>IF(G790="","",G790*0.20)</f>
        <v/>
      </c>
      <c r="K790" s="8">
        <f>IF(G790="","",G790+J790)</f>
        <v/>
      </c>
    </row>
    <row r="791">
      <c r="F791" s="8" t="n"/>
      <c r="G791" s="8">
        <f>IF(E791="","",E791*F791)</f>
        <v/>
      </c>
      <c r="H791" s="8">
        <f>IF(G791="","",G791-I791)</f>
        <v/>
      </c>
      <c r="I791" s="8">
        <f>IF(D791="","",VLOOKUP(D791, RECETTES!B:G, 6, FALSE)*E791)</f>
        <v/>
      </c>
      <c r="J791" s="8">
        <f>IF(G791="","",G791*0.20)</f>
        <v/>
      </c>
      <c r="K791" s="8">
        <f>IF(G791="","",G791+J791)</f>
        <v/>
      </c>
    </row>
    <row r="792">
      <c r="F792" s="8" t="n"/>
      <c r="G792" s="8">
        <f>IF(E792="","",E792*F792)</f>
        <v/>
      </c>
      <c r="H792" s="8">
        <f>IF(G792="","",G792-I792)</f>
        <v/>
      </c>
      <c r="I792" s="8">
        <f>IF(D792="","",VLOOKUP(D792, RECETTES!B:G, 6, FALSE)*E792)</f>
        <v/>
      </c>
      <c r="J792" s="8">
        <f>IF(G792="","",G792*0.20)</f>
        <v/>
      </c>
      <c r="K792" s="8">
        <f>IF(G792="","",G792+J792)</f>
        <v/>
      </c>
    </row>
    <row r="793">
      <c r="F793" s="8" t="n"/>
      <c r="G793" s="8">
        <f>IF(E793="","",E793*F793)</f>
        <v/>
      </c>
      <c r="H793" s="8">
        <f>IF(G793="","",G793-I793)</f>
        <v/>
      </c>
      <c r="I793" s="8">
        <f>IF(D793="","",VLOOKUP(D793, RECETTES!B:G, 6, FALSE)*E793)</f>
        <v/>
      </c>
      <c r="J793" s="8">
        <f>IF(G793="","",G793*0.20)</f>
        <v/>
      </c>
      <c r="K793" s="8">
        <f>IF(G793="","",G793+J793)</f>
        <v/>
      </c>
    </row>
    <row r="794">
      <c r="F794" s="8" t="n"/>
      <c r="G794" s="8">
        <f>IF(E794="","",E794*F794)</f>
        <v/>
      </c>
      <c r="H794" s="8">
        <f>IF(G794="","",G794-I794)</f>
        <v/>
      </c>
      <c r="I794" s="8">
        <f>IF(D794="","",VLOOKUP(D794, RECETTES!B:G, 6, FALSE)*E794)</f>
        <v/>
      </c>
      <c r="J794" s="8">
        <f>IF(G794="","",G794*0.20)</f>
        <v/>
      </c>
      <c r="K794" s="8">
        <f>IF(G794="","",G794+J794)</f>
        <v/>
      </c>
    </row>
    <row r="795">
      <c r="F795" s="8" t="n"/>
      <c r="G795" s="8">
        <f>IF(E795="","",E795*F795)</f>
        <v/>
      </c>
      <c r="H795" s="8">
        <f>IF(G795="","",G795-I795)</f>
        <v/>
      </c>
      <c r="I795" s="8">
        <f>IF(D795="","",VLOOKUP(D795, RECETTES!B:G, 6, FALSE)*E795)</f>
        <v/>
      </c>
      <c r="J795" s="8">
        <f>IF(G795="","",G795*0.20)</f>
        <v/>
      </c>
      <c r="K795" s="8">
        <f>IF(G795="","",G795+J795)</f>
        <v/>
      </c>
    </row>
    <row r="796">
      <c r="F796" s="8" t="n"/>
      <c r="G796" s="8">
        <f>IF(E796="","",E796*F796)</f>
        <v/>
      </c>
      <c r="H796" s="8">
        <f>IF(G796="","",G796-I796)</f>
        <v/>
      </c>
      <c r="I796" s="8">
        <f>IF(D796="","",VLOOKUP(D796, RECETTES!B:G, 6, FALSE)*E796)</f>
        <v/>
      </c>
      <c r="J796" s="8">
        <f>IF(G796="","",G796*0.20)</f>
        <v/>
      </c>
      <c r="K796" s="8">
        <f>IF(G796="","",G796+J796)</f>
        <v/>
      </c>
    </row>
    <row r="797">
      <c r="F797" s="8" t="n"/>
      <c r="G797" s="8">
        <f>IF(E797="","",E797*F797)</f>
        <v/>
      </c>
      <c r="H797" s="8">
        <f>IF(G797="","",G797-I797)</f>
        <v/>
      </c>
      <c r="I797" s="8">
        <f>IF(D797="","",VLOOKUP(D797, RECETTES!B:G, 6, FALSE)*E797)</f>
        <v/>
      </c>
      <c r="J797" s="8">
        <f>IF(G797="","",G797*0.20)</f>
        <v/>
      </c>
      <c r="K797" s="8">
        <f>IF(G797="","",G797+J797)</f>
        <v/>
      </c>
    </row>
    <row r="798">
      <c r="F798" s="8" t="n"/>
      <c r="G798" s="8">
        <f>IF(E798="","",E798*F798)</f>
        <v/>
      </c>
      <c r="H798" s="8">
        <f>IF(G798="","",G798-I798)</f>
        <v/>
      </c>
      <c r="I798" s="8">
        <f>IF(D798="","",VLOOKUP(D798, RECETTES!B:G, 6, FALSE)*E798)</f>
        <v/>
      </c>
      <c r="J798" s="8">
        <f>IF(G798="","",G798*0.20)</f>
        <v/>
      </c>
      <c r="K798" s="8">
        <f>IF(G798="","",G798+J798)</f>
        <v/>
      </c>
    </row>
    <row r="799">
      <c r="F799" s="8" t="n"/>
      <c r="G799" s="8">
        <f>IF(E799="","",E799*F799)</f>
        <v/>
      </c>
      <c r="H799" s="8">
        <f>IF(G799="","",G799-I799)</f>
        <v/>
      </c>
      <c r="I799" s="8">
        <f>IF(D799="","",VLOOKUP(D799, RECETTES!B:G, 6, FALSE)*E799)</f>
        <v/>
      </c>
      <c r="J799" s="8">
        <f>IF(G799="","",G799*0.20)</f>
        <v/>
      </c>
      <c r="K799" s="8">
        <f>IF(G799="","",G799+J799)</f>
        <v/>
      </c>
    </row>
    <row r="800">
      <c r="F800" s="8" t="n"/>
      <c r="G800" s="8">
        <f>IF(E800="","",E800*F800)</f>
        <v/>
      </c>
      <c r="H800" s="8">
        <f>IF(G800="","",G800-I800)</f>
        <v/>
      </c>
      <c r="I800" s="8">
        <f>IF(D800="","",VLOOKUP(D800, RECETTES!B:G, 6, FALSE)*E800)</f>
        <v/>
      </c>
      <c r="J800" s="8">
        <f>IF(G800="","",G800*0.20)</f>
        <v/>
      </c>
      <c r="K800" s="8">
        <f>IF(G800="","",G800+J800)</f>
        <v/>
      </c>
    </row>
    <row r="801">
      <c r="F801" s="8" t="n"/>
      <c r="G801" s="8">
        <f>IF(E801="","",E801*F801)</f>
        <v/>
      </c>
      <c r="H801" s="8">
        <f>IF(G801="","",G801-I801)</f>
        <v/>
      </c>
      <c r="I801" s="8">
        <f>IF(D801="","",VLOOKUP(D801, RECETTES!B:G, 6, FALSE)*E801)</f>
        <v/>
      </c>
      <c r="J801" s="8">
        <f>IF(G801="","",G801*0.20)</f>
        <v/>
      </c>
      <c r="K801" s="8">
        <f>IF(G801="","",G801+J801)</f>
        <v/>
      </c>
    </row>
    <row r="802">
      <c r="F802" s="8" t="n"/>
      <c r="G802" s="8">
        <f>IF(E802="","",E802*F802)</f>
        <v/>
      </c>
      <c r="H802" s="8">
        <f>IF(G802="","",G802-I802)</f>
        <v/>
      </c>
      <c r="I802" s="8">
        <f>IF(D802="","",VLOOKUP(D802, RECETTES!B:G, 6, FALSE)*E802)</f>
        <v/>
      </c>
      <c r="J802" s="8">
        <f>IF(G802="","",G802*0.20)</f>
        <v/>
      </c>
      <c r="K802" s="8">
        <f>IF(G802="","",G802+J802)</f>
        <v/>
      </c>
    </row>
    <row r="803">
      <c r="F803" s="8" t="n"/>
      <c r="G803" s="8">
        <f>IF(E803="","",E803*F803)</f>
        <v/>
      </c>
      <c r="H803" s="8">
        <f>IF(G803="","",G803-I803)</f>
        <v/>
      </c>
      <c r="I803" s="8">
        <f>IF(D803="","",VLOOKUP(D803, RECETTES!B:G, 6, FALSE)*E803)</f>
        <v/>
      </c>
      <c r="J803" s="8">
        <f>IF(G803="","",G803*0.20)</f>
        <v/>
      </c>
      <c r="K803" s="8">
        <f>IF(G803="","",G803+J803)</f>
        <v/>
      </c>
    </row>
    <row r="804">
      <c r="F804" s="8" t="n"/>
      <c r="G804" s="8">
        <f>IF(E804="","",E804*F804)</f>
        <v/>
      </c>
      <c r="H804" s="8">
        <f>IF(G804="","",G804-I804)</f>
        <v/>
      </c>
      <c r="I804" s="8">
        <f>IF(D804="","",VLOOKUP(D804, RECETTES!B:G, 6, FALSE)*E804)</f>
        <v/>
      </c>
      <c r="J804" s="8">
        <f>IF(G804="","",G804*0.20)</f>
        <v/>
      </c>
      <c r="K804" s="8">
        <f>IF(G804="","",G804+J804)</f>
        <v/>
      </c>
    </row>
    <row r="805">
      <c r="F805" s="8" t="n"/>
      <c r="G805" s="8">
        <f>IF(E805="","",E805*F805)</f>
        <v/>
      </c>
      <c r="H805" s="8">
        <f>IF(G805="","",G805-I805)</f>
        <v/>
      </c>
      <c r="I805" s="8">
        <f>IF(D805="","",VLOOKUP(D805, RECETTES!B:G, 6, FALSE)*E805)</f>
        <v/>
      </c>
      <c r="J805" s="8">
        <f>IF(G805="","",G805*0.20)</f>
        <v/>
      </c>
      <c r="K805" s="8">
        <f>IF(G805="","",G805+J805)</f>
        <v/>
      </c>
    </row>
    <row r="806">
      <c r="F806" s="8" t="n"/>
      <c r="G806" s="8">
        <f>IF(E806="","",E806*F806)</f>
        <v/>
      </c>
      <c r="H806" s="8">
        <f>IF(G806="","",G806-I806)</f>
        <v/>
      </c>
      <c r="I806" s="8">
        <f>IF(D806="","",VLOOKUP(D806, RECETTES!B:G, 6, FALSE)*E806)</f>
        <v/>
      </c>
      <c r="J806" s="8">
        <f>IF(G806="","",G806*0.20)</f>
        <v/>
      </c>
      <c r="K806" s="8">
        <f>IF(G806="","",G806+J806)</f>
        <v/>
      </c>
    </row>
    <row r="807">
      <c r="F807" s="8" t="n"/>
      <c r="G807" s="8">
        <f>IF(E807="","",E807*F807)</f>
        <v/>
      </c>
      <c r="H807" s="8">
        <f>IF(G807="","",G807-I807)</f>
        <v/>
      </c>
      <c r="I807" s="8">
        <f>IF(D807="","",VLOOKUP(D807, RECETTES!B:G, 6, FALSE)*E807)</f>
        <v/>
      </c>
      <c r="J807" s="8">
        <f>IF(G807="","",G807*0.20)</f>
        <v/>
      </c>
      <c r="K807" s="8">
        <f>IF(G807="","",G807+J807)</f>
        <v/>
      </c>
    </row>
    <row r="808">
      <c r="F808" s="8" t="n"/>
      <c r="G808" s="8">
        <f>IF(E808="","",E808*F808)</f>
        <v/>
      </c>
      <c r="H808" s="8">
        <f>IF(G808="","",G808-I808)</f>
        <v/>
      </c>
      <c r="I808" s="8">
        <f>IF(D808="","",VLOOKUP(D808, RECETTES!B:G, 6, FALSE)*E808)</f>
        <v/>
      </c>
      <c r="J808" s="8">
        <f>IF(G808="","",G808*0.20)</f>
        <v/>
      </c>
      <c r="K808" s="8">
        <f>IF(G808="","",G808+J808)</f>
        <v/>
      </c>
    </row>
    <row r="809">
      <c r="F809" s="8" t="n"/>
      <c r="G809" s="8">
        <f>IF(E809="","",E809*F809)</f>
        <v/>
      </c>
      <c r="H809" s="8">
        <f>IF(G809="","",G809-I809)</f>
        <v/>
      </c>
      <c r="I809" s="8">
        <f>IF(D809="","",VLOOKUP(D809, RECETTES!B:G, 6, FALSE)*E809)</f>
        <v/>
      </c>
      <c r="J809" s="8">
        <f>IF(G809="","",G809*0.20)</f>
        <v/>
      </c>
      <c r="K809" s="8">
        <f>IF(G809="","",G809+J809)</f>
        <v/>
      </c>
    </row>
    <row r="810">
      <c r="F810" s="8" t="n"/>
      <c r="G810" s="8">
        <f>IF(E810="","",E810*F810)</f>
        <v/>
      </c>
      <c r="H810" s="8">
        <f>IF(G810="","",G810-I810)</f>
        <v/>
      </c>
      <c r="I810" s="8">
        <f>IF(D810="","",VLOOKUP(D810, RECETTES!B:G, 6, FALSE)*E810)</f>
        <v/>
      </c>
      <c r="J810" s="8">
        <f>IF(G810="","",G810*0.20)</f>
        <v/>
      </c>
      <c r="K810" s="8">
        <f>IF(G810="","",G810+J810)</f>
        <v/>
      </c>
    </row>
    <row r="811">
      <c r="F811" s="8" t="n"/>
      <c r="G811" s="8">
        <f>IF(E811="","",E811*F811)</f>
        <v/>
      </c>
      <c r="H811" s="8">
        <f>IF(G811="","",G811-I811)</f>
        <v/>
      </c>
      <c r="I811" s="8">
        <f>IF(D811="","",VLOOKUP(D811, RECETTES!B:G, 6, FALSE)*E811)</f>
        <v/>
      </c>
      <c r="J811" s="8">
        <f>IF(G811="","",G811*0.20)</f>
        <v/>
      </c>
      <c r="K811" s="8">
        <f>IF(G811="","",G811+J811)</f>
        <v/>
      </c>
    </row>
    <row r="812">
      <c r="F812" s="8" t="n"/>
      <c r="G812" s="8">
        <f>IF(E812="","",E812*F812)</f>
        <v/>
      </c>
      <c r="H812" s="8">
        <f>IF(G812="","",G812-I812)</f>
        <v/>
      </c>
      <c r="I812" s="8">
        <f>IF(D812="","",VLOOKUP(D812, RECETTES!B:G, 6, FALSE)*E812)</f>
        <v/>
      </c>
      <c r="J812" s="8">
        <f>IF(G812="","",G812*0.20)</f>
        <v/>
      </c>
      <c r="K812" s="8">
        <f>IF(G812="","",G812+J812)</f>
        <v/>
      </c>
    </row>
    <row r="813">
      <c r="F813" s="8" t="n"/>
      <c r="G813" s="8">
        <f>IF(E813="","",E813*F813)</f>
        <v/>
      </c>
      <c r="H813" s="8">
        <f>IF(G813="","",G813-I813)</f>
        <v/>
      </c>
      <c r="I813" s="8">
        <f>IF(D813="","",VLOOKUP(D813, RECETTES!B:G, 6, FALSE)*E813)</f>
        <v/>
      </c>
      <c r="J813" s="8">
        <f>IF(G813="","",G813*0.20)</f>
        <v/>
      </c>
      <c r="K813" s="8">
        <f>IF(G813="","",G813+J813)</f>
        <v/>
      </c>
    </row>
    <row r="814">
      <c r="F814" s="8" t="n"/>
      <c r="G814" s="8">
        <f>IF(E814="","",E814*F814)</f>
        <v/>
      </c>
      <c r="H814" s="8">
        <f>IF(G814="","",G814-I814)</f>
        <v/>
      </c>
      <c r="I814" s="8">
        <f>IF(D814="","",VLOOKUP(D814, RECETTES!B:G, 6, FALSE)*E814)</f>
        <v/>
      </c>
      <c r="J814" s="8">
        <f>IF(G814="","",G814*0.20)</f>
        <v/>
      </c>
      <c r="K814" s="8">
        <f>IF(G814="","",G814+J814)</f>
        <v/>
      </c>
    </row>
    <row r="815">
      <c r="F815" s="8" t="n"/>
      <c r="G815" s="8">
        <f>IF(E815="","",E815*F815)</f>
        <v/>
      </c>
      <c r="H815" s="8">
        <f>IF(G815="","",G815-I815)</f>
        <v/>
      </c>
      <c r="I815" s="8">
        <f>IF(D815="","",VLOOKUP(D815, RECETTES!B:G, 6, FALSE)*E815)</f>
        <v/>
      </c>
      <c r="J815" s="8">
        <f>IF(G815="","",G815*0.20)</f>
        <v/>
      </c>
      <c r="K815" s="8">
        <f>IF(G815="","",G815+J815)</f>
        <v/>
      </c>
    </row>
    <row r="816">
      <c r="F816" s="8" t="n"/>
      <c r="G816" s="8">
        <f>IF(E816="","",E816*F816)</f>
        <v/>
      </c>
      <c r="H816" s="8">
        <f>IF(G816="","",G816-I816)</f>
        <v/>
      </c>
      <c r="I816" s="8">
        <f>IF(D816="","",VLOOKUP(D816, RECETTES!B:G, 6, FALSE)*E816)</f>
        <v/>
      </c>
      <c r="J816" s="8">
        <f>IF(G816="","",G816*0.20)</f>
        <v/>
      </c>
      <c r="K816" s="8">
        <f>IF(G816="","",G816+J816)</f>
        <v/>
      </c>
    </row>
    <row r="817">
      <c r="F817" s="8" t="n"/>
      <c r="G817" s="8">
        <f>IF(E817="","",E817*F817)</f>
        <v/>
      </c>
      <c r="H817" s="8">
        <f>IF(G817="","",G817-I817)</f>
        <v/>
      </c>
      <c r="I817" s="8">
        <f>IF(D817="","",VLOOKUP(D817, RECETTES!B:G, 6, FALSE)*E817)</f>
        <v/>
      </c>
      <c r="J817" s="8">
        <f>IF(G817="","",G817*0.20)</f>
        <v/>
      </c>
      <c r="K817" s="8">
        <f>IF(G817="","",G817+J817)</f>
        <v/>
      </c>
    </row>
    <row r="818">
      <c r="F818" s="8" t="n"/>
      <c r="G818" s="8">
        <f>IF(E818="","",E818*F818)</f>
        <v/>
      </c>
      <c r="H818" s="8">
        <f>IF(G818="","",G818-I818)</f>
        <v/>
      </c>
      <c r="I818" s="8">
        <f>IF(D818="","",VLOOKUP(D818, RECETTES!B:G, 6, FALSE)*E818)</f>
        <v/>
      </c>
      <c r="J818" s="8">
        <f>IF(G818="","",G818*0.20)</f>
        <v/>
      </c>
      <c r="K818" s="8">
        <f>IF(G818="","",G818+J818)</f>
        <v/>
      </c>
    </row>
    <row r="819">
      <c r="F819" s="8" t="n"/>
      <c r="G819" s="8">
        <f>IF(E819="","",E819*F819)</f>
        <v/>
      </c>
      <c r="H819" s="8">
        <f>IF(G819="","",G819-I819)</f>
        <v/>
      </c>
      <c r="I819" s="8">
        <f>IF(D819="","",VLOOKUP(D819, RECETTES!B:G, 6, FALSE)*E819)</f>
        <v/>
      </c>
      <c r="J819" s="8">
        <f>IF(G819="","",G819*0.20)</f>
        <v/>
      </c>
      <c r="K819" s="8">
        <f>IF(G819="","",G819+J819)</f>
        <v/>
      </c>
    </row>
    <row r="820">
      <c r="F820" s="8" t="n"/>
      <c r="G820" s="8">
        <f>IF(E820="","",E820*F820)</f>
        <v/>
      </c>
      <c r="H820" s="8">
        <f>IF(G820="","",G820-I820)</f>
        <v/>
      </c>
      <c r="I820" s="8">
        <f>IF(D820="","",VLOOKUP(D820, RECETTES!B:G, 6, FALSE)*E820)</f>
        <v/>
      </c>
      <c r="J820" s="8">
        <f>IF(G820="","",G820*0.20)</f>
        <v/>
      </c>
      <c r="K820" s="8">
        <f>IF(G820="","",G820+J820)</f>
        <v/>
      </c>
    </row>
    <row r="821">
      <c r="F821" s="8" t="n"/>
      <c r="G821" s="8">
        <f>IF(E821="","",E821*F821)</f>
        <v/>
      </c>
      <c r="H821" s="8">
        <f>IF(G821="","",G821-I821)</f>
        <v/>
      </c>
      <c r="I821" s="8">
        <f>IF(D821="","",VLOOKUP(D821, RECETTES!B:G, 6, FALSE)*E821)</f>
        <v/>
      </c>
      <c r="J821" s="8">
        <f>IF(G821="","",G821*0.20)</f>
        <v/>
      </c>
      <c r="K821" s="8">
        <f>IF(G821="","",G821+J821)</f>
        <v/>
      </c>
    </row>
    <row r="822">
      <c r="F822" s="8" t="n"/>
      <c r="G822" s="8">
        <f>IF(E822="","",E822*F822)</f>
        <v/>
      </c>
      <c r="H822" s="8">
        <f>IF(G822="","",G822-I822)</f>
        <v/>
      </c>
      <c r="I822" s="8">
        <f>IF(D822="","",VLOOKUP(D822, RECETTES!B:G, 6, FALSE)*E822)</f>
        <v/>
      </c>
      <c r="J822" s="8">
        <f>IF(G822="","",G822*0.20)</f>
        <v/>
      </c>
      <c r="K822" s="8">
        <f>IF(G822="","",G822+J822)</f>
        <v/>
      </c>
    </row>
    <row r="823">
      <c r="F823" s="8" t="n"/>
      <c r="G823" s="8">
        <f>IF(E823="","",E823*F823)</f>
        <v/>
      </c>
      <c r="H823" s="8">
        <f>IF(G823="","",G823-I823)</f>
        <v/>
      </c>
      <c r="I823" s="8">
        <f>IF(D823="","",VLOOKUP(D823, RECETTES!B:G, 6, FALSE)*E823)</f>
        <v/>
      </c>
      <c r="J823" s="8">
        <f>IF(G823="","",G823*0.20)</f>
        <v/>
      </c>
      <c r="K823" s="8">
        <f>IF(G823="","",G823+J823)</f>
        <v/>
      </c>
    </row>
    <row r="824">
      <c r="F824" s="8" t="n"/>
      <c r="G824" s="8">
        <f>IF(E824="","",E824*F824)</f>
        <v/>
      </c>
      <c r="H824" s="8">
        <f>IF(G824="","",G824-I824)</f>
        <v/>
      </c>
      <c r="I824" s="8">
        <f>IF(D824="","",VLOOKUP(D824, RECETTES!B:G, 6, FALSE)*E824)</f>
        <v/>
      </c>
      <c r="J824" s="8">
        <f>IF(G824="","",G824*0.20)</f>
        <v/>
      </c>
      <c r="K824" s="8">
        <f>IF(G824="","",G824+J824)</f>
        <v/>
      </c>
    </row>
    <row r="825">
      <c r="F825" s="8" t="n"/>
      <c r="G825" s="8">
        <f>IF(E825="","",E825*F825)</f>
        <v/>
      </c>
      <c r="H825" s="8">
        <f>IF(G825="","",G825-I825)</f>
        <v/>
      </c>
      <c r="I825" s="8">
        <f>IF(D825="","",VLOOKUP(D825, RECETTES!B:G, 6, FALSE)*E825)</f>
        <v/>
      </c>
      <c r="J825" s="8">
        <f>IF(G825="","",G825*0.20)</f>
        <v/>
      </c>
      <c r="K825" s="8">
        <f>IF(G825="","",G825+J825)</f>
        <v/>
      </c>
    </row>
    <row r="826">
      <c r="F826" s="8" t="n"/>
      <c r="G826" s="8">
        <f>IF(E826="","",E826*F826)</f>
        <v/>
      </c>
      <c r="H826" s="8">
        <f>IF(G826="","",G826-I826)</f>
        <v/>
      </c>
      <c r="I826" s="8">
        <f>IF(D826="","",VLOOKUP(D826, RECETTES!B:G, 6, FALSE)*E826)</f>
        <v/>
      </c>
      <c r="J826" s="8">
        <f>IF(G826="","",G826*0.20)</f>
        <v/>
      </c>
      <c r="K826" s="8">
        <f>IF(G826="","",G826+J826)</f>
        <v/>
      </c>
    </row>
    <row r="827">
      <c r="F827" s="8" t="n"/>
      <c r="G827" s="8">
        <f>IF(E827="","",E827*F827)</f>
        <v/>
      </c>
      <c r="H827" s="8">
        <f>IF(G827="","",G827-I827)</f>
        <v/>
      </c>
      <c r="I827" s="8">
        <f>IF(D827="","",VLOOKUP(D827, RECETTES!B:G, 6, FALSE)*E827)</f>
        <v/>
      </c>
      <c r="J827" s="8">
        <f>IF(G827="","",G827*0.20)</f>
        <v/>
      </c>
      <c r="K827" s="8">
        <f>IF(G827="","",G827+J827)</f>
        <v/>
      </c>
    </row>
    <row r="828">
      <c r="F828" s="8" t="n"/>
      <c r="G828" s="8">
        <f>IF(E828="","",E828*F828)</f>
        <v/>
      </c>
      <c r="H828" s="8">
        <f>IF(G828="","",G828-I828)</f>
        <v/>
      </c>
      <c r="I828" s="8">
        <f>IF(D828="","",VLOOKUP(D828, RECETTES!B:G, 6, FALSE)*E828)</f>
        <v/>
      </c>
      <c r="J828" s="8">
        <f>IF(G828="","",G828*0.20)</f>
        <v/>
      </c>
      <c r="K828" s="8">
        <f>IF(G828="","",G828+J828)</f>
        <v/>
      </c>
    </row>
    <row r="829">
      <c r="F829" s="8" t="n"/>
      <c r="G829" s="8">
        <f>IF(E829="","",E829*F829)</f>
        <v/>
      </c>
      <c r="H829" s="8">
        <f>IF(G829="","",G829-I829)</f>
        <v/>
      </c>
      <c r="I829" s="8">
        <f>IF(D829="","",VLOOKUP(D829, RECETTES!B:G, 6, FALSE)*E829)</f>
        <v/>
      </c>
      <c r="J829" s="8">
        <f>IF(G829="","",G829*0.20)</f>
        <v/>
      </c>
      <c r="K829" s="8">
        <f>IF(G829="","",G829+J829)</f>
        <v/>
      </c>
    </row>
    <row r="830">
      <c r="F830" s="8" t="n"/>
      <c r="G830" s="8">
        <f>IF(E830="","",E830*F830)</f>
        <v/>
      </c>
      <c r="H830" s="8">
        <f>IF(G830="","",G830-I830)</f>
        <v/>
      </c>
      <c r="I830" s="8">
        <f>IF(D830="","",VLOOKUP(D830, RECETTES!B:G, 6, FALSE)*E830)</f>
        <v/>
      </c>
      <c r="J830" s="8">
        <f>IF(G830="","",G830*0.20)</f>
        <v/>
      </c>
      <c r="K830" s="8">
        <f>IF(G830="","",G830+J830)</f>
        <v/>
      </c>
    </row>
    <row r="831">
      <c r="F831" s="8" t="n"/>
      <c r="G831" s="8">
        <f>IF(E831="","",E831*F831)</f>
        <v/>
      </c>
      <c r="H831" s="8">
        <f>IF(G831="","",G831-I831)</f>
        <v/>
      </c>
      <c r="I831" s="8">
        <f>IF(D831="","",VLOOKUP(D831, RECETTES!B:G, 6, FALSE)*E831)</f>
        <v/>
      </c>
      <c r="J831" s="8">
        <f>IF(G831="","",G831*0.20)</f>
        <v/>
      </c>
      <c r="K831" s="8">
        <f>IF(G831="","",G831+J831)</f>
        <v/>
      </c>
    </row>
    <row r="832">
      <c r="F832" s="8" t="n"/>
      <c r="G832" s="8">
        <f>IF(E832="","",E832*F832)</f>
        <v/>
      </c>
      <c r="H832" s="8">
        <f>IF(G832="","",G832-I832)</f>
        <v/>
      </c>
      <c r="I832" s="8">
        <f>IF(D832="","",VLOOKUP(D832, RECETTES!B:G, 6, FALSE)*E832)</f>
        <v/>
      </c>
      <c r="J832" s="8">
        <f>IF(G832="","",G832*0.20)</f>
        <v/>
      </c>
      <c r="K832" s="8">
        <f>IF(G832="","",G832+J832)</f>
        <v/>
      </c>
    </row>
    <row r="833">
      <c r="F833" s="8" t="n"/>
      <c r="G833" s="8">
        <f>IF(E833="","",E833*F833)</f>
        <v/>
      </c>
      <c r="H833" s="8">
        <f>IF(G833="","",G833-I833)</f>
        <v/>
      </c>
      <c r="I833" s="8">
        <f>IF(D833="","",VLOOKUP(D833, RECETTES!B:G, 6, FALSE)*E833)</f>
        <v/>
      </c>
      <c r="J833" s="8">
        <f>IF(G833="","",G833*0.20)</f>
        <v/>
      </c>
      <c r="K833" s="8">
        <f>IF(G833="","",G833+J833)</f>
        <v/>
      </c>
    </row>
    <row r="834">
      <c r="F834" s="8" t="n"/>
      <c r="G834" s="8">
        <f>IF(E834="","",E834*F834)</f>
        <v/>
      </c>
      <c r="H834" s="8">
        <f>IF(G834="","",G834-I834)</f>
        <v/>
      </c>
      <c r="I834" s="8">
        <f>IF(D834="","",VLOOKUP(D834, RECETTES!B:G, 6, FALSE)*E834)</f>
        <v/>
      </c>
      <c r="J834" s="8">
        <f>IF(G834="","",G834*0.20)</f>
        <v/>
      </c>
      <c r="K834" s="8">
        <f>IF(G834="","",G834+J834)</f>
        <v/>
      </c>
    </row>
    <row r="835">
      <c r="F835" s="8" t="n"/>
      <c r="G835" s="8">
        <f>IF(E835="","",E835*F835)</f>
        <v/>
      </c>
      <c r="H835" s="8">
        <f>IF(G835="","",G835-I835)</f>
        <v/>
      </c>
      <c r="I835" s="8">
        <f>IF(D835="","",VLOOKUP(D835, RECETTES!B:G, 6, FALSE)*E835)</f>
        <v/>
      </c>
      <c r="J835" s="8">
        <f>IF(G835="","",G835*0.20)</f>
        <v/>
      </c>
      <c r="K835" s="8">
        <f>IF(G835="","",G835+J835)</f>
        <v/>
      </c>
    </row>
    <row r="836">
      <c r="F836" s="8" t="n"/>
      <c r="G836" s="8">
        <f>IF(E836="","",E836*F836)</f>
        <v/>
      </c>
      <c r="H836" s="8">
        <f>IF(G836="","",G836-I836)</f>
        <v/>
      </c>
      <c r="I836" s="8">
        <f>IF(D836="","",VLOOKUP(D836, RECETTES!B:G, 6, FALSE)*E836)</f>
        <v/>
      </c>
      <c r="J836" s="8">
        <f>IF(G836="","",G836*0.20)</f>
        <v/>
      </c>
      <c r="K836" s="8">
        <f>IF(G836="","",G836+J836)</f>
        <v/>
      </c>
    </row>
    <row r="837">
      <c r="F837" s="8" t="n"/>
      <c r="G837" s="8">
        <f>IF(E837="","",E837*F837)</f>
        <v/>
      </c>
      <c r="H837" s="8">
        <f>IF(G837="","",G837-I837)</f>
        <v/>
      </c>
      <c r="I837" s="8">
        <f>IF(D837="","",VLOOKUP(D837, RECETTES!B:G, 6, FALSE)*E837)</f>
        <v/>
      </c>
      <c r="J837" s="8">
        <f>IF(G837="","",G837*0.20)</f>
        <v/>
      </c>
      <c r="K837" s="8">
        <f>IF(G837="","",G837+J837)</f>
        <v/>
      </c>
    </row>
    <row r="838">
      <c r="F838" s="8" t="n"/>
      <c r="G838" s="8">
        <f>IF(E838="","",E838*F838)</f>
        <v/>
      </c>
      <c r="H838" s="8">
        <f>IF(G838="","",G838-I838)</f>
        <v/>
      </c>
      <c r="I838" s="8">
        <f>IF(D838="","",VLOOKUP(D838, RECETTES!B:G, 6, FALSE)*E838)</f>
        <v/>
      </c>
      <c r="J838" s="8">
        <f>IF(G838="","",G838*0.20)</f>
        <v/>
      </c>
      <c r="K838" s="8">
        <f>IF(G838="","",G838+J838)</f>
        <v/>
      </c>
    </row>
    <row r="839">
      <c r="F839" s="8" t="n"/>
      <c r="G839" s="8">
        <f>IF(E839="","",E839*F839)</f>
        <v/>
      </c>
      <c r="H839" s="8">
        <f>IF(G839="","",G839-I839)</f>
        <v/>
      </c>
      <c r="I839" s="8">
        <f>IF(D839="","",VLOOKUP(D839, RECETTES!B:G, 6, FALSE)*E839)</f>
        <v/>
      </c>
      <c r="J839" s="8">
        <f>IF(G839="","",G839*0.20)</f>
        <v/>
      </c>
      <c r="K839" s="8">
        <f>IF(G839="","",G839+J839)</f>
        <v/>
      </c>
    </row>
    <row r="840">
      <c r="F840" s="8" t="n"/>
      <c r="G840" s="8">
        <f>IF(E840="","",E840*F840)</f>
        <v/>
      </c>
      <c r="H840" s="8">
        <f>IF(G840="","",G840-I840)</f>
        <v/>
      </c>
      <c r="I840" s="8">
        <f>IF(D840="","",VLOOKUP(D840, RECETTES!B:G, 6, FALSE)*E840)</f>
        <v/>
      </c>
      <c r="J840" s="8">
        <f>IF(G840="","",G840*0.20)</f>
        <v/>
      </c>
      <c r="K840" s="8">
        <f>IF(G840="","",G840+J840)</f>
        <v/>
      </c>
    </row>
    <row r="841">
      <c r="F841" s="8" t="n"/>
      <c r="G841" s="8">
        <f>IF(E841="","",E841*F841)</f>
        <v/>
      </c>
      <c r="H841" s="8">
        <f>IF(G841="","",G841-I841)</f>
        <v/>
      </c>
      <c r="I841" s="8">
        <f>IF(D841="","",VLOOKUP(D841, RECETTES!B:G, 6, FALSE)*E841)</f>
        <v/>
      </c>
      <c r="J841" s="8">
        <f>IF(G841="","",G841*0.20)</f>
        <v/>
      </c>
      <c r="K841" s="8">
        <f>IF(G841="","",G841+J841)</f>
        <v/>
      </c>
    </row>
    <row r="842">
      <c r="F842" s="8" t="n"/>
      <c r="G842" s="8">
        <f>IF(E842="","",E842*F842)</f>
        <v/>
      </c>
      <c r="H842" s="8">
        <f>IF(G842="","",G842-I842)</f>
        <v/>
      </c>
      <c r="I842" s="8">
        <f>IF(D842="","",VLOOKUP(D842, RECETTES!B:G, 6, FALSE)*E842)</f>
        <v/>
      </c>
      <c r="J842" s="8">
        <f>IF(G842="","",G842*0.20)</f>
        <v/>
      </c>
      <c r="K842" s="8">
        <f>IF(G842="","",G842+J842)</f>
        <v/>
      </c>
    </row>
    <row r="843">
      <c r="F843" s="8" t="n"/>
      <c r="G843" s="8">
        <f>IF(E843="","",E843*F843)</f>
        <v/>
      </c>
      <c r="H843" s="8">
        <f>IF(G843="","",G843-I843)</f>
        <v/>
      </c>
      <c r="I843" s="8">
        <f>IF(D843="","",VLOOKUP(D843, RECETTES!B:G, 6, FALSE)*E843)</f>
        <v/>
      </c>
      <c r="J843" s="8">
        <f>IF(G843="","",G843*0.20)</f>
        <v/>
      </c>
      <c r="K843" s="8">
        <f>IF(G843="","",G843+J843)</f>
        <v/>
      </c>
    </row>
    <row r="844">
      <c r="F844" s="8" t="n"/>
      <c r="G844" s="8">
        <f>IF(E844="","",E844*F844)</f>
        <v/>
      </c>
      <c r="H844" s="8">
        <f>IF(G844="","",G844-I844)</f>
        <v/>
      </c>
      <c r="I844" s="8">
        <f>IF(D844="","",VLOOKUP(D844, RECETTES!B:G, 6, FALSE)*E844)</f>
        <v/>
      </c>
      <c r="J844" s="8">
        <f>IF(G844="","",G844*0.20)</f>
        <v/>
      </c>
      <c r="K844" s="8">
        <f>IF(G844="","",G844+J844)</f>
        <v/>
      </c>
    </row>
    <row r="845">
      <c r="F845" s="8" t="n"/>
      <c r="G845" s="8">
        <f>IF(E845="","",E845*F845)</f>
        <v/>
      </c>
      <c r="H845" s="8">
        <f>IF(G845="","",G845-I845)</f>
        <v/>
      </c>
      <c r="I845" s="8">
        <f>IF(D845="","",VLOOKUP(D845, RECETTES!B:G, 6, FALSE)*E845)</f>
        <v/>
      </c>
      <c r="J845" s="8">
        <f>IF(G845="","",G845*0.20)</f>
        <v/>
      </c>
      <c r="K845" s="8">
        <f>IF(G845="","",G845+J845)</f>
        <v/>
      </c>
    </row>
    <row r="846">
      <c r="F846" s="8" t="n"/>
      <c r="G846" s="8">
        <f>IF(E846="","",E846*F846)</f>
        <v/>
      </c>
      <c r="H846" s="8">
        <f>IF(G846="","",G846-I846)</f>
        <v/>
      </c>
      <c r="I846" s="8">
        <f>IF(D846="","",VLOOKUP(D846, RECETTES!B:G, 6, FALSE)*E846)</f>
        <v/>
      </c>
      <c r="J846" s="8">
        <f>IF(G846="","",G846*0.20)</f>
        <v/>
      </c>
      <c r="K846" s="8">
        <f>IF(G846="","",G846+J846)</f>
        <v/>
      </c>
    </row>
    <row r="847">
      <c r="F847" s="8" t="n"/>
      <c r="G847" s="8">
        <f>IF(E847="","",E847*F847)</f>
        <v/>
      </c>
      <c r="H847" s="8">
        <f>IF(G847="","",G847-I847)</f>
        <v/>
      </c>
      <c r="I847" s="8">
        <f>IF(D847="","",VLOOKUP(D847, RECETTES!B:G, 6, FALSE)*E847)</f>
        <v/>
      </c>
      <c r="J847" s="8">
        <f>IF(G847="","",G847*0.20)</f>
        <v/>
      </c>
      <c r="K847" s="8">
        <f>IF(G847="","",G847+J847)</f>
        <v/>
      </c>
    </row>
    <row r="848">
      <c r="F848" s="8" t="n"/>
      <c r="G848" s="8">
        <f>IF(E848="","",E848*F848)</f>
        <v/>
      </c>
      <c r="H848" s="8">
        <f>IF(G848="","",G848-I848)</f>
        <v/>
      </c>
      <c r="I848" s="8">
        <f>IF(D848="","",VLOOKUP(D848, RECETTES!B:G, 6, FALSE)*E848)</f>
        <v/>
      </c>
      <c r="J848" s="8">
        <f>IF(G848="","",G848*0.20)</f>
        <v/>
      </c>
      <c r="K848" s="8">
        <f>IF(G848="","",G848+J848)</f>
        <v/>
      </c>
    </row>
    <row r="849">
      <c r="F849" s="8" t="n"/>
      <c r="G849" s="8">
        <f>IF(E849="","",E849*F849)</f>
        <v/>
      </c>
      <c r="H849" s="8">
        <f>IF(G849="","",G849-I849)</f>
        <v/>
      </c>
      <c r="I849" s="8">
        <f>IF(D849="","",VLOOKUP(D849, RECETTES!B:G, 6, FALSE)*E849)</f>
        <v/>
      </c>
      <c r="J849" s="8">
        <f>IF(G849="","",G849*0.20)</f>
        <v/>
      </c>
      <c r="K849" s="8">
        <f>IF(G849="","",G849+J849)</f>
        <v/>
      </c>
    </row>
    <row r="850">
      <c r="F850" s="8" t="n"/>
      <c r="G850" s="8">
        <f>IF(E850="","",E850*F850)</f>
        <v/>
      </c>
      <c r="H850" s="8">
        <f>IF(G850="","",G850-I850)</f>
        <v/>
      </c>
      <c r="I850" s="8">
        <f>IF(D850="","",VLOOKUP(D850, RECETTES!B:G, 6, FALSE)*E850)</f>
        <v/>
      </c>
      <c r="J850" s="8">
        <f>IF(G850="","",G850*0.20)</f>
        <v/>
      </c>
      <c r="K850" s="8">
        <f>IF(G850="","",G850+J850)</f>
        <v/>
      </c>
    </row>
    <row r="851">
      <c r="F851" s="8" t="n"/>
      <c r="G851" s="8">
        <f>IF(E851="","",E851*F851)</f>
        <v/>
      </c>
      <c r="H851" s="8">
        <f>IF(G851="","",G851-I851)</f>
        <v/>
      </c>
      <c r="I851" s="8">
        <f>IF(D851="","",VLOOKUP(D851, RECETTES!B:G, 6, FALSE)*E851)</f>
        <v/>
      </c>
      <c r="J851" s="8">
        <f>IF(G851="","",G851*0.20)</f>
        <v/>
      </c>
      <c r="K851" s="8">
        <f>IF(G851="","",G851+J851)</f>
        <v/>
      </c>
    </row>
    <row r="852">
      <c r="F852" s="8" t="n"/>
      <c r="G852" s="8">
        <f>IF(E852="","",E852*F852)</f>
        <v/>
      </c>
      <c r="H852" s="8">
        <f>IF(G852="","",G852-I852)</f>
        <v/>
      </c>
      <c r="I852" s="8">
        <f>IF(D852="","",VLOOKUP(D852, RECETTES!B:G, 6, FALSE)*E852)</f>
        <v/>
      </c>
      <c r="J852" s="8">
        <f>IF(G852="","",G852*0.20)</f>
        <v/>
      </c>
      <c r="K852" s="8">
        <f>IF(G852="","",G852+J852)</f>
        <v/>
      </c>
    </row>
    <row r="853">
      <c r="F853" s="8" t="n"/>
      <c r="G853" s="8">
        <f>IF(E853="","",E853*F853)</f>
        <v/>
      </c>
      <c r="H853" s="8">
        <f>IF(G853="","",G853-I853)</f>
        <v/>
      </c>
      <c r="I853" s="8">
        <f>IF(D853="","",VLOOKUP(D853, RECETTES!B:G, 6, FALSE)*E853)</f>
        <v/>
      </c>
      <c r="J853" s="8">
        <f>IF(G853="","",G853*0.20)</f>
        <v/>
      </c>
      <c r="K853" s="8">
        <f>IF(G853="","",G853+J853)</f>
        <v/>
      </c>
    </row>
    <row r="854">
      <c r="F854" s="8" t="n"/>
      <c r="G854" s="8">
        <f>IF(E854="","",E854*F854)</f>
        <v/>
      </c>
      <c r="H854" s="8">
        <f>IF(G854="","",G854-I854)</f>
        <v/>
      </c>
      <c r="I854" s="8">
        <f>IF(D854="","",VLOOKUP(D854, RECETTES!B:G, 6, FALSE)*E854)</f>
        <v/>
      </c>
      <c r="J854" s="8">
        <f>IF(G854="","",G854*0.20)</f>
        <v/>
      </c>
      <c r="K854" s="8">
        <f>IF(G854="","",G854+J854)</f>
        <v/>
      </c>
    </row>
    <row r="855">
      <c r="F855" s="8" t="n"/>
      <c r="G855" s="8">
        <f>IF(E855="","",E855*F855)</f>
        <v/>
      </c>
      <c r="H855" s="8">
        <f>IF(G855="","",G855-I855)</f>
        <v/>
      </c>
      <c r="I855" s="8">
        <f>IF(D855="","",VLOOKUP(D855, RECETTES!B:G, 6, FALSE)*E855)</f>
        <v/>
      </c>
      <c r="J855" s="8">
        <f>IF(G855="","",G855*0.20)</f>
        <v/>
      </c>
      <c r="K855" s="8">
        <f>IF(G855="","",G855+J855)</f>
        <v/>
      </c>
    </row>
    <row r="856">
      <c r="F856" s="8" t="n"/>
      <c r="G856" s="8">
        <f>IF(E856="","",E856*F856)</f>
        <v/>
      </c>
      <c r="H856" s="8">
        <f>IF(G856="","",G856-I856)</f>
        <v/>
      </c>
      <c r="I856" s="8">
        <f>IF(D856="","",VLOOKUP(D856, RECETTES!B:G, 6, FALSE)*E856)</f>
        <v/>
      </c>
      <c r="J856" s="8">
        <f>IF(G856="","",G856*0.20)</f>
        <v/>
      </c>
      <c r="K856" s="8">
        <f>IF(G856="","",G856+J856)</f>
        <v/>
      </c>
    </row>
    <row r="857">
      <c r="F857" s="8" t="n"/>
      <c r="G857" s="8">
        <f>IF(E857="","",E857*F857)</f>
        <v/>
      </c>
      <c r="H857" s="8">
        <f>IF(G857="","",G857-I857)</f>
        <v/>
      </c>
      <c r="I857" s="8">
        <f>IF(D857="","",VLOOKUP(D857, RECETTES!B:G, 6, FALSE)*E857)</f>
        <v/>
      </c>
      <c r="J857" s="8">
        <f>IF(G857="","",G857*0.20)</f>
        <v/>
      </c>
      <c r="K857" s="8">
        <f>IF(G857="","",G857+J857)</f>
        <v/>
      </c>
    </row>
    <row r="858">
      <c r="F858" s="8" t="n"/>
      <c r="G858" s="8">
        <f>IF(E858="","",E858*F858)</f>
        <v/>
      </c>
      <c r="H858" s="8">
        <f>IF(G858="","",G858-I858)</f>
        <v/>
      </c>
      <c r="I858" s="8">
        <f>IF(D858="","",VLOOKUP(D858, RECETTES!B:G, 6, FALSE)*E858)</f>
        <v/>
      </c>
      <c r="J858" s="8">
        <f>IF(G858="","",G858*0.20)</f>
        <v/>
      </c>
      <c r="K858" s="8">
        <f>IF(G858="","",G858+J858)</f>
        <v/>
      </c>
    </row>
    <row r="859">
      <c r="F859" s="8" t="n"/>
      <c r="G859" s="8">
        <f>IF(E859="","",E859*F859)</f>
        <v/>
      </c>
      <c r="H859" s="8">
        <f>IF(G859="","",G859-I859)</f>
        <v/>
      </c>
      <c r="I859" s="8">
        <f>IF(D859="","",VLOOKUP(D859, RECETTES!B:G, 6, FALSE)*E859)</f>
        <v/>
      </c>
      <c r="J859" s="8">
        <f>IF(G859="","",G859*0.20)</f>
        <v/>
      </c>
      <c r="K859" s="8">
        <f>IF(G859="","",G859+J859)</f>
        <v/>
      </c>
    </row>
    <row r="860">
      <c r="F860" s="8" t="n"/>
      <c r="G860" s="8">
        <f>IF(E860="","",E860*F860)</f>
        <v/>
      </c>
      <c r="H860" s="8">
        <f>IF(G860="","",G860-I860)</f>
        <v/>
      </c>
      <c r="I860" s="8">
        <f>IF(D860="","",VLOOKUP(D860, RECETTES!B:G, 6, FALSE)*E860)</f>
        <v/>
      </c>
      <c r="J860" s="8">
        <f>IF(G860="","",G860*0.20)</f>
        <v/>
      </c>
      <c r="K860" s="8">
        <f>IF(G860="","",G860+J860)</f>
        <v/>
      </c>
    </row>
    <row r="861">
      <c r="F861" s="8" t="n"/>
      <c r="G861" s="8">
        <f>IF(E861="","",E861*F861)</f>
        <v/>
      </c>
      <c r="H861" s="8">
        <f>IF(G861="","",G861-I861)</f>
        <v/>
      </c>
      <c r="I861" s="8">
        <f>IF(D861="","",VLOOKUP(D861, RECETTES!B:G, 6, FALSE)*E861)</f>
        <v/>
      </c>
      <c r="J861" s="8">
        <f>IF(G861="","",G861*0.20)</f>
        <v/>
      </c>
      <c r="K861" s="8">
        <f>IF(G861="","",G861+J861)</f>
        <v/>
      </c>
    </row>
    <row r="862">
      <c r="F862" s="8" t="n"/>
      <c r="G862" s="8">
        <f>IF(E862="","",E862*F862)</f>
        <v/>
      </c>
      <c r="H862" s="8">
        <f>IF(G862="","",G862-I862)</f>
        <v/>
      </c>
      <c r="I862" s="8">
        <f>IF(D862="","",VLOOKUP(D862, RECETTES!B:G, 6, FALSE)*E862)</f>
        <v/>
      </c>
      <c r="J862" s="8">
        <f>IF(G862="","",G862*0.20)</f>
        <v/>
      </c>
      <c r="K862" s="8">
        <f>IF(G862="","",G862+J862)</f>
        <v/>
      </c>
    </row>
    <row r="863">
      <c r="F863" s="8" t="n"/>
      <c r="G863" s="8">
        <f>IF(E863="","",E863*F863)</f>
        <v/>
      </c>
      <c r="H863" s="8">
        <f>IF(G863="","",G863-I863)</f>
        <v/>
      </c>
      <c r="I863" s="8">
        <f>IF(D863="","",VLOOKUP(D863, RECETTES!B:G, 6, FALSE)*E863)</f>
        <v/>
      </c>
      <c r="J863" s="8">
        <f>IF(G863="","",G863*0.20)</f>
        <v/>
      </c>
      <c r="K863" s="8">
        <f>IF(G863="","",G863+J863)</f>
        <v/>
      </c>
    </row>
    <row r="864">
      <c r="F864" s="8" t="n"/>
      <c r="G864" s="8">
        <f>IF(E864="","",E864*F864)</f>
        <v/>
      </c>
      <c r="H864" s="8">
        <f>IF(G864="","",G864-I864)</f>
        <v/>
      </c>
      <c r="I864" s="8">
        <f>IF(D864="","",VLOOKUP(D864, RECETTES!B:G, 6, FALSE)*E864)</f>
        <v/>
      </c>
      <c r="J864" s="8">
        <f>IF(G864="","",G864*0.20)</f>
        <v/>
      </c>
      <c r="K864" s="8">
        <f>IF(G864="","",G864+J864)</f>
        <v/>
      </c>
    </row>
    <row r="865">
      <c r="F865" s="8" t="n"/>
      <c r="G865" s="8">
        <f>IF(E865="","",E865*F865)</f>
        <v/>
      </c>
      <c r="H865" s="8">
        <f>IF(G865="","",G865-I865)</f>
        <v/>
      </c>
      <c r="I865" s="8">
        <f>IF(D865="","",VLOOKUP(D865, RECETTES!B:G, 6, FALSE)*E865)</f>
        <v/>
      </c>
      <c r="J865" s="8">
        <f>IF(G865="","",G865*0.20)</f>
        <v/>
      </c>
      <c r="K865" s="8">
        <f>IF(G865="","",G865+J865)</f>
        <v/>
      </c>
    </row>
    <row r="866">
      <c r="F866" s="8" t="n"/>
      <c r="G866" s="8">
        <f>IF(E866="","",E866*F866)</f>
        <v/>
      </c>
      <c r="H866" s="8">
        <f>IF(G866="","",G866-I866)</f>
        <v/>
      </c>
      <c r="I866" s="8">
        <f>IF(D866="","",VLOOKUP(D866, RECETTES!B:G, 6, FALSE)*E866)</f>
        <v/>
      </c>
      <c r="J866" s="8">
        <f>IF(G866="","",G866*0.20)</f>
        <v/>
      </c>
      <c r="K866" s="8">
        <f>IF(G866="","",G866+J866)</f>
        <v/>
      </c>
    </row>
    <row r="867">
      <c r="F867" s="8" t="n"/>
      <c r="G867" s="8">
        <f>IF(E867="","",E867*F867)</f>
        <v/>
      </c>
      <c r="H867" s="8">
        <f>IF(G867="","",G867-I867)</f>
        <v/>
      </c>
      <c r="I867" s="8">
        <f>IF(D867="","",VLOOKUP(D867, RECETTES!B:G, 6, FALSE)*E867)</f>
        <v/>
      </c>
      <c r="J867" s="8">
        <f>IF(G867="","",G867*0.20)</f>
        <v/>
      </c>
      <c r="K867" s="8">
        <f>IF(G867="","",G867+J867)</f>
        <v/>
      </c>
    </row>
    <row r="868">
      <c r="F868" s="8" t="n"/>
      <c r="G868" s="8">
        <f>IF(E868="","",E868*F868)</f>
        <v/>
      </c>
      <c r="H868" s="8">
        <f>IF(G868="","",G868-I868)</f>
        <v/>
      </c>
      <c r="I868" s="8">
        <f>IF(D868="","",VLOOKUP(D868, RECETTES!B:G, 6, FALSE)*E868)</f>
        <v/>
      </c>
      <c r="J868" s="8">
        <f>IF(G868="","",G868*0.20)</f>
        <v/>
      </c>
      <c r="K868" s="8">
        <f>IF(G868="","",G868+J868)</f>
        <v/>
      </c>
    </row>
    <row r="869">
      <c r="F869" s="8" t="n"/>
      <c r="G869" s="8">
        <f>IF(E869="","",E869*F869)</f>
        <v/>
      </c>
      <c r="H869" s="8">
        <f>IF(G869="","",G869-I869)</f>
        <v/>
      </c>
      <c r="I869" s="8">
        <f>IF(D869="","",VLOOKUP(D869, RECETTES!B:G, 6, FALSE)*E869)</f>
        <v/>
      </c>
      <c r="J869" s="8">
        <f>IF(G869="","",G869*0.20)</f>
        <v/>
      </c>
      <c r="K869" s="8">
        <f>IF(G869="","",G869+J869)</f>
        <v/>
      </c>
    </row>
    <row r="870">
      <c r="F870" s="8" t="n"/>
      <c r="G870" s="8">
        <f>IF(E870="","",E870*F870)</f>
        <v/>
      </c>
      <c r="H870" s="8">
        <f>IF(G870="","",G870-I870)</f>
        <v/>
      </c>
      <c r="I870" s="8">
        <f>IF(D870="","",VLOOKUP(D870, RECETTES!B:G, 6, FALSE)*E870)</f>
        <v/>
      </c>
      <c r="J870" s="8">
        <f>IF(G870="","",G870*0.20)</f>
        <v/>
      </c>
      <c r="K870" s="8">
        <f>IF(G870="","",G870+J870)</f>
        <v/>
      </c>
    </row>
    <row r="871">
      <c r="F871" s="8" t="n"/>
      <c r="G871" s="8">
        <f>IF(E871="","",E871*F871)</f>
        <v/>
      </c>
      <c r="H871" s="8">
        <f>IF(G871="","",G871-I871)</f>
        <v/>
      </c>
      <c r="I871" s="8">
        <f>IF(D871="","",VLOOKUP(D871, RECETTES!B:G, 6, FALSE)*E871)</f>
        <v/>
      </c>
      <c r="J871" s="8">
        <f>IF(G871="","",G871*0.20)</f>
        <v/>
      </c>
      <c r="K871" s="8">
        <f>IF(G871="","",G871+J871)</f>
        <v/>
      </c>
    </row>
    <row r="872">
      <c r="F872" s="8" t="n"/>
      <c r="G872" s="8">
        <f>IF(E872="","",E872*F872)</f>
        <v/>
      </c>
      <c r="H872" s="8">
        <f>IF(G872="","",G872-I872)</f>
        <v/>
      </c>
      <c r="I872" s="8">
        <f>IF(D872="","",VLOOKUP(D872, RECETTES!B:G, 6, FALSE)*E872)</f>
        <v/>
      </c>
      <c r="J872" s="8">
        <f>IF(G872="","",G872*0.20)</f>
        <v/>
      </c>
      <c r="K872" s="8">
        <f>IF(G872="","",G872+J872)</f>
        <v/>
      </c>
    </row>
    <row r="873">
      <c r="F873" s="8" t="n"/>
      <c r="G873" s="8">
        <f>IF(E873="","",E873*F873)</f>
        <v/>
      </c>
      <c r="H873" s="8">
        <f>IF(G873="","",G873-I873)</f>
        <v/>
      </c>
      <c r="I873" s="8">
        <f>IF(D873="","",VLOOKUP(D873, RECETTES!B:G, 6, FALSE)*E873)</f>
        <v/>
      </c>
      <c r="J873" s="8">
        <f>IF(G873="","",G873*0.20)</f>
        <v/>
      </c>
      <c r="K873" s="8">
        <f>IF(G873="","",G873+J873)</f>
        <v/>
      </c>
    </row>
    <row r="874">
      <c r="F874" s="8" t="n"/>
      <c r="G874" s="8">
        <f>IF(E874="","",E874*F874)</f>
        <v/>
      </c>
      <c r="H874" s="8">
        <f>IF(G874="","",G874-I874)</f>
        <v/>
      </c>
      <c r="I874" s="8">
        <f>IF(D874="","",VLOOKUP(D874, RECETTES!B:G, 6, FALSE)*E874)</f>
        <v/>
      </c>
      <c r="J874" s="8">
        <f>IF(G874="","",G874*0.20)</f>
        <v/>
      </c>
      <c r="K874" s="8">
        <f>IF(G874="","",G874+J874)</f>
        <v/>
      </c>
    </row>
    <row r="875">
      <c r="F875" s="8" t="n"/>
      <c r="G875" s="8">
        <f>IF(E875="","",E875*F875)</f>
        <v/>
      </c>
      <c r="H875" s="8">
        <f>IF(G875="","",G875-I875)</f>
        <v/>
      </c>
      <c r="I875" s="8">
        <f>IF(D875="","",VLOOKUP(D875, RECETTES!B:G, 6, FALSE)*E875)</f>
        <v/>
      </c>
      <c r="J875" s="8">
        <f>IF(G875="","",G875*0.20)</f>
        <v/>
      </c>
      <c r="K875" s="8">
        <f>IF(G875="","",G875+J875)</f>
        <v/>
      </c>
    </row>
    <row r="876">
      <c r="F876" s="8" t="n"/>
      <c r="G876" s="8">
        <f>IF(E876="","",E876*F876)</f>
        <v/>
      </c>
      <c r="H876" s="8">
        <f>IF(G876="","",G876-I876)</f>
        <v/>
      </c>
      <c r="I876" s="8">
        <f>IF(D876="","",VLOOKUP(D876, RECETTES!B:G, 6, FALSE)*E876)</f>
        <v/>
      </c>
      <c r="J876" s="8">
        <f>IF(G876="","",G876*0.20)</f>
        <v/>
      </c>
      <c r="K876" s="8">
        <f>IF(G876="","",G876+J876)</f>
        <v/>
      </c>
    </row>
    <row r="877">
      <c r="F877" s="8" t="n"/>
      <c r="G877" s="8">
        <f>IF(E877="","",E877*F877)</f>
        <v/>
      </c>
      <c r="H877" s="8">
        <f>IF(G877="","",G877-I877)</f>
        <v/>
      </c>
      <c r="I877" s="8">
        <f>IF(D877="","",VLOOKUP(D877, RECETTES!B:G, 6, FALSE)*E877)</f>
        <v/>
      </c>
      <c r="J877" s="8">
        <f>IF(G877="","",G877*0.20)</f>
        <v/>
      </c>
      <c r="K877" s="8">
        <f>IF(G877="","",G877+J877)</f>
        <v/>
      </c>
    </row>
    <row r="878">
      <c r="F878" s="8" t="n"/>
      <c r="G878" s="8">
        <f>IF(E878="","",E878*F878)</f>
        <v/>
      </c>
      <c r="H878" s="8">
        <f>IF(G878="","",G878-I878)</f>
        <v/>
      </c>
      <c r="I878" s="8">
        <f>IF(D878="","",VLOOKUP(D878, RECETTES!B:G, 6, FALSE)*E878)</f>
        <v/>
      </c>
      <c r="J878" s="8">
        <f>IF(G878="","",G878*0.20)</f>
        <v/>
      </c>
      <c r="K878" s="8">
        <f>IF(G878="","",G878+J878)</f>
        <v/>
      </c>
    </row>
    <row r="879">
      <c r="F879" s="8" t="n"/>
      <c r="G879" s="8">
        <f>IF(E879="","",E879*F879)</f>
        <v/>
      </c>
      <c r="H879" s="8">
        <f>IF(G879="","",G879-I879)</f>
        <v/>
      </c>
      <c r="I879" s="8">
        <f>IF(D879="","",VLOOKUP(D879, RECETTES!B:G, 6, FALSE)*E879)</f>
        <v/>
      </c>
      <c r="J879" s="8">
        <f>IF(G879="","",G879*0.20)</f>
        <v/>
      </c>
      <c r="K879" s="8">
        <f>IF(G879="","",G879+J879)</f>
        <v/>
      </c>
    </row>
    <row r="880">
      <c r="F880" s="8" t="n"/>
      <c r="G880" s="8">
        <f>IF(E880="","",E880*F880)</f>
        <v/>
      </c>
      <c r="H880" s="8">
        <f>IF(G880="","",G880-I880)</f>
        <v/>
      </c>
      <c r="I880" s="8">
        <f>IF(D880="","",VLOOKUP(D880, RECETTES!B:G, 6, FALSE)*E880)</f>
        <v/>
      </c>
      <c r="J880" s="8">
        <f>IF(G880="","",G880*0.20)</f>
        <v/>
      </c>
      <c r="K880" s="8">
        <f>IF(G880="","",G880+J880)</f>
        <v/>
      </c>
    </row>
    <row r="881">
      <c r="F881" s="8" t="n"/>
      <c r="G881" s="8">
        <f>IF(E881="","",E881*F881)</f>
        <v/>
      </c>
      <c r="H881" s="8">
        <f>IF(G881="","",G881-I881)</f>
        <v/>
      </c>
      <c r="I881" s="8">
        <f>IF(D881="","",VLOOKUP(D881, RECETTES!B:G, 6, FALSE)*E881)</f>
        <v/>
      </c>
      <c r="J881" s="8">
        <f>IF(G881="","",G881*0.20)</f>
        <v/>
      </c>
      <c r="K881" s="8">
        <f>IF(G881="","",G881+J881)</f>
        <v/>
      </c>
    </row>
    <row r="882">
      <c r="F882" s="8" t="n"/>
      <c r="G882" s="8">
        <f>IF(E882="","",E882*F882)</f>
        <v/>
      </c>
      <c r="H882" s="8">
        <f>IF(G882="","",G882-I882)</f>
        <v/>
      </c>
      <c r="I882" s="8">
        <f>IF(D882="","",VLOOKUP(D882, RECETTES!B:G, 6, FALSE)*E882)</f>
        <v/>
      </c>
      <c r="J882" s="8">
        <f>IF(G882="","",G882*0.20)</f>
        <v/>
      </c>
      <c r="K882" s="8">
        <f>IF(G882="","",G882+J882)</f>
        <v/>
      </c>
    </row>
    <row r="883">
      <c r="F883" s="8" t="n"/>
      <c r="G883" s="8">
        <f>IF(E883="","",E883*F883)</f>
        <v/>
      </c>
      <c r="H883" s="8">
        <f>IF(G883="","",G883-I883)</f>
        <v/>
      </c>
      <c r="I883" s="8">
        <f>IF(D883="","",VLOOKUP(D883, RECETTES!B:G, 6, FALSE)*E883)</f>
        <v/>
      </c>
      <c r="J883" s="8">
        <f>IF(G883="","",G883*0.20)</f>
        <v/>
      </c>
      <c r="K883" s="8">
        <f>IF(G883="","",G883+J883)</f>
        <v/>
      </c>
    </row>
    <row r="884">
      <c r="F884" s="8" t="n"/>
      <c r="G884" s="8">
        <f>IF(E884="","",E884*F884)</f>
        <v/>
      </c>
      <c r="H884" s="8">
        <f>IF(G884="","",G884-I884)</f>
        <v/>
      </c>
      <c r="I884" s="8">
        <f>IF(D884="","",VLOOKUP(D884, RECETTES!B:G, 6, FALSE)*E884)</f>
        <v/>
      </c>
      <c r="J884" s="8">
        <f>IF(G884="","",G884*0.20)</f>
        <v/>
      </c>
      <c r="K884" s="8">
        <f>IF(G884="","",G884+J884)</f>
        <v/>
      </c>
    </row>
    <row r="885">
      <c r="F885" s="8" t="n"/>
      <c r="G885" s="8">
        <f>IF(E885="","",E885*F885)</f>
        <v/>
      </c>
      <c r="H885" s="8">
        <f>IF(G885="","",G885-I885)</f>
        <v/>
      </c>
      <c r="I885" s="8">
        <f>IF(D885="","",VLOOKUP(D885, RECETTES!B:G, 6, FALSE)*E885)</f>
        <v/>
      </c>
      <c r="J885" s="8">
        <f>IF(G885="","",G885*0.20)</f>
        <v/>
      </c>
      <c r="K885" s="8">
        <f>IF(G885="","",G885+J885)</f>
        <v/>
      </c>
    </row>
    <row r="886">
      <c r="F886" s="8" t="n"/>
      <c r="G886" s="8">
        <f>IF(E886="","",E886*F886)</f>
        <v/>
      </c>
      <c r="H886" s="8">
        <f>IF(G886="","",G886-I886)</f>
        <v/>
      </c>
      <c r="I886" s="8">
        <f>IF(D886="","",VLOOKUP(D886, RECETTES!B:G, 6, FALSE)*E886)</f>
        <v/>
      </c>
      <c r="J886" s="8">
        <f>IF(G886="","",G886*0.20)</f>
        <v/>
      </c>
      <c r="K886" s="8">
        <f>IF(G886="","",G886+J886)</f>
        <v/>
      </c>
    </row>
    <row r="887">
      <c r="F887" s="8" t="n"/>
      <c r="G887" s="8">
        <f>IF(E887="","",E887*F887)</f>
        <v/>
      </c>
      <c r="H887" s="8">
        <f>IF(G887="","",G887-I887)</f>
        <v/>
      </c>
      <c r="I887" s="8">
        <f>IF(D887="","",VLOOKUP(D887, RECETTES!B:G, 6, FALSE)*E887)</f>
        <v/>
      </c>
      <c r="J887" s="8">
        <f>IF(G887="","",G887*0.20)</f>
        <v/>
      </c>
      <c r="K887" s="8">
        <f>IF(G887="","",G887+J887)</f>
        <v/>
      </c>
    </row>
    <row r="888">
      <c r="F888" s="8" t="n"/>
      <c r="G888" s="8">
        <f>IF(E888="","",E888*F888)</f>
        <v/>
      </c>
      <c r="H888" s="8">
        <f>IF(G888="","",G888-I888)</f>
        <v/>
      </c>
      <c r="I888" s="8">
        <f>IF(D888="","",VLOOKUP(D888, RECETTES!B:G, 6, FALSE)*E888)</f>
        <v/>
      </c>
      <c r="J888" s="8">
        <f>IF(G888="","",G888*0.20)</f>
        <v/>
      </c>
      <c r="K888" s="8">
        <f>IF(G888="","",G888+J888)</f>
        <v/>
      </c>
    </row>
    <row r="889">
      <c r="F889" s="8" t="n"/>
      <c r="G889" s="8">
        <f>IF(E889="","",E889*F889)</f>
        <v/>
      </c>
      <c r="H889" s="8">
        <f>IF(G889="","",G889-I889)</f>
        <v/>
      </c>
      <c r="I889" s="8">
        <f>IF(D889="","",VLOOKUP(D889, RECETTES!B:G, 6, FALSE)*E889)</f>
        <v/>
      </c>
      <c r="J889" s="8">
        <f>IF(G889="","",G889*0.20)</f>
        <v/>
      </c>
      <c r="K889" s="8">
        <f>IF(G889="","",G889+J889)</f>
        <v/>
      </c>
    </row>
    <row r="890">
      <c r="F890" s="8" t="n"/>
      <c r="G890" s="8">
        <f>IF(E890="","",E890*F890)</f>
        <v/>
      </c>
      <c r="H890" s="8">
        <f>IF(G890="","",G890-I890)</f>
        <v/>
      </c>
      <c r="I890" s="8">
        <f>IF(D890="","",VLOOKUP(D890, RECETTES!B:G, 6, FALSE)*E890)</f>
        <v/>
      </c>
      <c r="J890" s="8">
        <f>IF(G890="","",G890*0.20)</f>
        <v/>
      </c>
      <c r="K890" s="8">
        <f>IF(G890="","",G890+J890)</f>
        <v/>
      </c>
    </row>
    <row r="891">
      <c r="F891" s="8" t="n"/>
      <c r="G891" s="8">
        <f>IF(E891="","",E891*F891)</f>
        <v/>
      </c>
      <c r="H891" s="8">
        <f>IF(G891="","",G891-I891)</f>
        <v/>
      </c>
      <c r="I891" s="8">
        <f>IF(D891="","",VLOOKUP(D891, RECETTES!B:G, 6, FALSE)*E891)</f>
        <v/>
      </c>
      <c r="J891" s="8">
        <f>IF(G891="","",G891*0.20)</f>
        <v/>
      </c>
      <c r="K891" s="8">
        <f>IF(G891="","",G891+J891)</f>
        <v/>
      </c>
    </row>
    <row r="892">
      <c r="F892" s="8" t="n"/>
      <c r="G892" s="8">
        <f>IF(E892="","",E892*F892)</f>
        <v/>
      </c>
      <c r="H892" s="8">
        <f>IF(G892="","",G892-I892)</f>
        <v/>
      </c>
      <c r="I892" s="8">
        <f>IF(D892="","",VLOOKUP(D892, RECETTES!B:G, 6, FALSE)*E892)</f>
        <v/>
      </c>
      <c r="J892" s="8">
        <f>IF(G892="","",G892*0.20)</f>
        <v/>
      </c>
      <c r="K892" s="8">
        <f>IF(G892="","",G892+J892)</f>
        <v/>
      </c>
    </row>
    <row r="893">
      <c r="F893" s="8" t="n"/>
      <c r="G893" s="8">
        <f>IF(E893="","",E893*F893)</f>
        <v/>
      </c>
      <c r="H893" s="8">
        <f>IF(G893="","",G893-I893)</f>
        <v/>
      </c>
      <c r="I893" s="8">
        <f>IF(D893="","",VLOOKUP(D893, RECETTES!B:G, 6, FALSE)*E893)</f>
        <v/>
      </c>
      <c r="J893" s="8">
        <f>IF(G893="","",G893*0.20)</f>
        <v/>
      </c>
      <c r="K893" s="8">
        <f>IF(G893="","",G893+J893)</f>
        <v/>
      </c>
    </row>
    <row r="894">
      <c r="F894" s="8" t="n"/>
      <c r="G894" s="8">
        <f>IF(E894="","",E894*F894)</f>
        <v/>
      </c>
      <c r="H894" s="8">
        <f>IF(G894="","",G894-I894)</f>
        <v/>
      </c>
      <c r="I894" s="8">
        <f>IF(D894="","",VLOOKUP(D894, RECETTES!B:G, 6, FALSE)*E894)</f>
        <v/>
      </c>
      <c r="J894" s="8">
        <f>IF(G894="","",G894*0.20)</f>
        <v/>
      </c>
      <c r="K894" s="8">
        <f>IF(G894="","",G894+J894)</f>
        <v/>
      </c>
    </row>
    <row r="895">
      <c r="F895" s="8" t="n"/>
      <c r="G895" s="8">
        <f>IF(E895="","",E895*F895)</f>
        <v/>
      </c>
      <c r="H895" s="8">
        <f>IF(G895="","",G895-I895)</f>
        <v/>
      </c>
      <c r="I895" s="8">
        <f>IF(D895="","",VLOOKUP(D895, RECETTES!B:G, 6, FALSE)*E895)</f>
        <v/>
      </c>
      <c r="J895" s="8">
        <f>IF(G895="","",G895*0.20)</f>
        <v/>
      </c>
      <c r="K895" s="8">
        <f>IF(G895="","",G895+J895)</f>
        <v/>
      </c>
    </row>
    <row r="896">
      <c r="F896" s="8" t="n"/>
      <c r="G896" s="8">
        <f>IF(E896="","",E896*F896)</f>
        <v/>
      </c>
      <c r="H896" s="8">
        <f>IF(G896="","",G896-I896)</f>
        <v/>
      </c>
      <c r="I896" s="8">
        <f>IF(D896="","",VLOOKUP(D896, RECETTES!B:G, 6, FALSE)*E896)</f>
        <v/>
      </c>
      <c r="J896" s="8">
        <f>IF(G896="","",G896*0.20)</f>
        <v/>
      </c>
      <c r="K896" s="8">
        <f>IF(G896="","",G896+J896)</f>
        <v/>
      </c>
    </row>
    <row r="897">
      <c r="F897" s="8" t="n"/>
      <c r="G897" s="8">
        <f>IF(E897="","",E897*F897)</f>
        <v/>
      </c>
      <c r="H897" s="8">
        <f>IF(G897="","",G897-I897)</f>
        <v/>
      </c>
      <c r="I897" s="8">
        <f>IF(D897="","",VLOOKUP(D897, RECETTES!B:G, 6, FALSE)*E897)</f>
        <v/>
      </c>
      <c r="J897" s="8">
        <f>IF(G897="","",G897*0.20)</f>
        <v/>
      </c>
      <c r="K897" s="8">
        <f>IF(G897="","",G897+J897)</f>
        <v/>
      </c>
    </row>
    <row r="898">
      <c r="F898" s="8" t="n"/>
      <c r="G898" s="8">
        <f>IF(E898="","",E898*F898)</f>
        <v/>
      </c>
      <c r="H898" s="8">
        <f>IF(G898="","",G898-I898)</f>
        <v/>
      </c>
      <c r="I898" s="8">
        <f>IF(D898="","",VLOOKUP(D898, RECETTES!B:G, 6, FALSE)*E898)</f>
        <v/>
      </c>
      <c r="J898" s="8">
        <f>IF(G898="","",G898*0.20)</f>
        <v/>
      </c>
      <c r="K898" s="8">
        <f>IF(G898="","",G898+J898)</f>
        <v/>
      </c>
    </row>
    <row r="899">
      <c r="F899" s="8" t="n"/>
      <c r="G899" s="8">
        <f>IF(E899="","",E899*F899)</f>
        <v/>
      </c>
      <c r="H899" s="8">
        <f>IF(G899="","",G899-I899)</f>
        <v/>
      </c>
      <c r="I899" s="8">
        <f>IF(D899="","",VLOOKUP(D899, RECETTES!B:G, 6, FALSE)*E899)</f>
        <v/>
      </c>
      <c r="J899" s="8">
        <f>IF(G899="","",G899*0.20)</f>
        <v/>
      </c>
      <c r="K899" s="8">
        <f>IF(G899="","",G899+J899)</f>
        <v/>
      </c>
    </row>
    <row r="900">
      <c r="F900" s="8" t="n"/>
      <c r="G900" s="8">
        <f>IF(E900="","",E900*F900)</f>
        <v/>
      </c>
      <c r="H900" s="8">
        <f>IF(G900="","",G900-I900)</f>
        <v/>
      </c>
      <c r="I900" s="8">
        <f>IF(D900="","",VLOOKUP(D900, RECETTES!B:G, 6, FALSE)*E900)</f>
        <v/>
      </c>
      <c r="J900" s="8">
        <f>IF(G900="","",G900*0.20)</f>
        <v/>
      </c>
      <c r="K900" s="8">
        <f>IF(G900="","",G900+J900)</f>
        <v/>
      </c>
    </row>
    <row r="901">
      <c r="F901" s="8" t="n"/>
      <c r="G901" s="8">
        <f>IF(E901="","",E901*F901)</f>
        <v/>
      </c>
      <c r="H901" s="8">
        <f>IF(G901="","",G901-I901)</f>
        <v/>
      </c>
      <c r="I901" s="8">
        <f>IF(D901="","",VLOOKUP(D901, RECETTES!B:G, 6, FALSE)*E901)</f>
        <v/>
      </c>
      <c r="J901" s="8">
        <f>IF(G901="","",G901*0.20)</f>
        <v/>
      </c>
      <c r="K901" s="8">
        <f>IF(G901="","",G901+J901)</f>
        <v/>
      </c>
    </row>
    <row r="902">
      <c r="F902" s="8" t="n"/>
      <c r="G902" s="8">
        <f>IF(E902="","",E902*F902)</f>
        <v/>
      </c>
      <c r="H902" s="8">
        <f>IF(G902="","",G902-I902)</f>
        <v/>
      </c>
      <c r="I902" s="8">
        <f>IF(D902="","",VLOOKUP(D902, RECETTES!B:G, 6, FALSE)*E902)</f>
        <v/>
      </c>
      <c r="J902" s="8">
        <f>IF(G902="","",G902*0.20)</f>
        <v/>
      </c>
      <c r="K902" s="8">
        <f>IF(G902="","",G902+J902)</f>
        <v/>
      </c>
    </row>
    <row r="903">
      <c r="F903" s="8" t="n"/>
      <c r="G903" s="8">
        <f>IF(E903="","",E903*F903)</f>
        <v/>
      </c>
      <c r="H903" s="8">
        <f>IF(G903="","",G903-I903)</f>
        <v/>
      </c>
      <c r="I903" s="8">
        <f>IF(D903="","",VLOOKUP(D903, RECETTES!B:G, 6, FALSE)*E903)</f>
        <v/>
      </c>
      <c r="J903" s="8">
        <f>IF(G903="","",G903*0.20)</f>
        <v/>
      </c>
      <c r="K903" s="8">
        <f>IF(G903="","",G903+J903)</f>
        <v/>
      </c>
    </row>
    <row r="904">
      <c r="F904" s="8" t="n"/>
      <c r="G904" s="8">
        <f>IF(E904="","",E904*F904)</f>
        <v/>
      </c>
      <c r="H904" s="8">
        <f>IF(G904="","",G904-I904)</f>
        <v/>
      </c>
      <c r="I904" s="8">
        <f>IF(D904="","",VLOOKUP(D904, RECETTES!B:G, 6, FALSE)*E904)</f>
        <v/>
      </c>
      <c r="J904" s="8">
        <f>IF(G904="","",G904*0.20)</f>
        <v/>
      </c>
      <c r="K904" s="8">
        <f>IF(G904="","",G904+J904)</f>
        <v/>
      </c>
    </row>
    <row r="905">
      <c r="F905" s="8" t="n"/>
      <c r="G905" s="8">
        <f>IF(E905="","",E905*F905)</f>
        <v/>
      </c>
      <c r="H905" s="8">
        <f>IF(G905="","",G905-I905)</f>
        <v/>
      </c>
      <c r="I905" s="8">
        <f>IF(D905="","",VLOOKUP(D905, RECETTES!B:G, 6, FALSE)*E905)</f>
        <v/>
      </c>
      <c r="J905" s="8">
        <f>IF(G905="","",G905*0.20)</f>
        <v/>
      </c>
      <c r="K905" s="8">
        <f>IF(G905="","",G905+J905)</f>
        <v/>
      </c>
    </row>
    <row r="906">
      <c r="F906" s="8" t="n"/>
      <c r="G906" s="8">
        <f>IF(E906="","",E906*F906)</f>
        <v/>
      </c>
      <c r="H906" s="8">
        <f>IF(G906="","",G906-I906)</f>
        <v/>
      </c>
      <c r="I906" s="8">
        <f>IF(D906="","",VLOOKUP(D906, RECETTES!B:G, 6, FALSE)*E906)</f>
        <v/>
      </c>
      <c r="J906" s="8">
        <f>IF(G906="","",G906*0.20)</f>
        <v/>
      </c>
      <c r="K906" s="8">
        <f>IF(G906="","",G906+J906)</f>
        <v/>
      </c>
    </row>
    <row r="907">
      <c r="F907" s="8" t="n"/>
      <c r="G907" s="8">
        <f>IF(E907="","",E907*F907)</f>
        <v/>
      </c>
      <c r="H907" s="8">
        <f>IF(G907="","",G907-I907)</f>
        <v/>
      </c>
      <c r="I907" s="8">
        <f>IF(D907="","",VLOOKUP(D907, RECETTES!B:G, 6, FALSE)*E907)</f>
        <v/>
      </c>
      <c r="J907" s="8">
        <f>IF(G907="","",G907*0.20)</f>
        <v/>
      </c>
      <c r="K907" s="8">
        <f>IF(G907="","",G907+J907)</f>
        <v/>
      </c>
    </row>
    <row r="908">
      <c r="F908" s="8" t="n"/>
      <c r="G908" s="8">
        <f>IF(E908="","",E908*F908)</f>
        <v/>
      </c>
      <c r="H908" s="8">
        <f>IF(G908="","",G908-I908)</f>
        <v/>
      </c>
      <c r="I908" s="8">
        <f>IF(D908="","",VLOOKUP(D908, RECETTES!B:G, 6, FALSE)*E908)</f>
        <v/>
      </c>
      <c r="J908" s="8">
        <f>IF(G908="","",G908*0.20)</f>
        <v/>
      </c>
      <c r="K908" s="8">
        <f>IF(G908="","",G908+J908)</f>
        <v/>
      </c>
    </row>
    <row r="909">
      <c r="F909" s="8" t="n"/>
      <c r="G909" s="8">
        <f>IF(E909="","",E909*F909)</f>
        <v/>
      </c>
      <c r="H909" s="8">
        <f>IF(G909="","",G909-I909)</f>
        <v/>
      </c>
      <c r="I909" s="8">
        <f>IF(D909="","",VLOOKUP(D909, RECETTES!B:G, 6, FALSE)*E909)</f>
        <v/>
      </c>
      <c r="J909" s="8">
        <f>IF(G909="","",G909*0.20)</f>
        <v/>
      </c>
      <c r="K909" s="8">
        <f>IF(G909="","",G909+J909)</f>
        <v/>
      </c>
    </row>
    <row r="910">
      <c r="F910" s="8" t="n"/>
      <c r="G910" s="8">
        <f>IF(E910="","",E910*F910)</f>
        <v/>
      </c>
      <c r="H910" s="8">
        <f>IF(G910="","",G910-I910)</f>
        <v/>
      </c>
      <c r="I910" s="8">
        <f>IF(D910="","",VLOOKUP(D910, RECETTES!B:G, 6, FALSE)*E910)</f>
        <v/>
      </c>
      <c r="J910" s="8">
        <f>IF(G910="","",G910*0.20)</f>
        <v/>
      </c>
      <c r="K910" s="8">
        <f>IF(G910="","",G910+J910)</f>
        <v/>
      </c>
    </row>
    <row r="911">
      <c r="F911" s="8" t="n"/>
      <c r="G911" s="8">
        <f>IF(E911="","",E911*F911)</f>
        <v/>
      </c>
      <c r="H911" s="8">
        <f>IF(G911="","",G911-I911)</f>
        <v/>
      </c>
      <c r="I911" s="8">
        <f>IF(D911="","",VLOOKUP(D911, RECETTES!B:G, 6, FALSE)*E911)</f>
        <v/>
      </c>
      <c r="J911" s="8">
        <f>IF(G911="","",G911*0.20)</f>
        <v/>
      </c>
      <c r="K911" s="8">
        <f>IF(G911="","",G911+J911)</f>
        <v/>
      </c>
    </row>
    <row r="912">
      <c r="F912" s="8" t="n"/>
      <c r="G912" s="8">
        <f>IF(E912="","",E912*F912)</f>
        <v/>
      </c>
      <c r="H912" s="8">
        <f>IF(G912="","",G912-I912)</f>
        <v/>
      </c>
      <c r="I912" s="8">
        <f>IF(D912="","",VLOOKUP(D912, RECETTES!B:G, 6, FALSE)*E912)</f>
        <v/>
      </c>
      <c r="J912" s="8">
        <f>IF(G912="","",G912*0.20)</f>
        <v/>
      </c>
      <c r="K912" s="8">
        <f>IF(G912="","",G912+J912)</f>
        <v/>
      </c>
    </row>
    <row r="913">
      <c r="F913" s="8" t="n"/>
      <c r="G913" s="8">
        <f>IF(E913="","",E913*F913)</f>
        <v/>
      </c>
      <c r="H913" s="8">
        <f>IF(G913="","",G913-I913)</f>
        <v/>
      </c>
      <c r="I913" s="8">
        <f>IF(D913="","",VLOOKUP(D913, RECETTES!B:G, 6, FALSE)*E913)</f>
        <v/>
      </c>
      <c r="J913" s="8">
        <f>IF(G913="","",G913*0.20)</f>
        <v/>
      </c>
      <c r="K913" s="8">
        <f>IF(G913="","",G913+J913)</f>
        <v/>
      </c>
    </row>
    <row r="914">
      <c r="F914" s="8" t="n"/>
      <c r="G914" s="8">
        <f>IF(E914="","",E914*F914)</f>
        <v/>
      </c>
      <c r="H914" s="8">
        <f>IF(G914="","",G914-I914)</f>
        <v/>
      </c>
      <c r="I914" s="8">
        <f>IF(D914="","",VLOOKUP(D914, RECETTES!B:G, 6, FALSE)*E914)</f>
        <v/>
      </c>
      <c r="J914" s="8">
        <f>IF(G914="","",G914*0.20)</f>
        <v/>
      </c>
      <c r="K914" s="8">
        <f>IF(G914="","",G914+J914)</f>
        <v/>
      </c>
    </row>
    <row r="915">
      <c r="F915" s="8" t="n"/>
      <c r="G915" s="8">
        <f>IF(E915="","",E915*F915)</f>
        <v/>
      </c>
      <c r="H915" s="8">
        <f>IF(G915="","",G915-I915)</f>
        <v/>
      </c>
      <c r="I915" s="8">
        <f>IF(D915="","",VLOOKUP(D915, RECETTES!B:G, 6, FALSE)*E915)</f>
        <v/>
      </c>
      <c r="J915" s="8">
        <f>IF(G915="","",G915*0.20)</f>
        <v/>
      </c>
      <c r="K915" s="8">
        <f>IF(G915="","",G915+J915)</f>
        <v/>
      </c>
    </row>
    <row r="916">
      <c r="F916" s="8" t="n"/>
      <c r="G916" s="8">
        <f>IF(E916="","",E916*F916)</f>
        <v/>
      </c>
      <c r="H916" s="8">
        <f>IF(G916="","",G916-I916)</f>
        <v/>
      </c>
      <c r="I916" s="8">
        <f>IF(D916="","",VLOOKUP(D916, RECETTES!B:G, 6, FALSE)*E916)</f>
        <v/>
      </c>
      <c r="J916" s="8">
        <f>IF(G916="","",G916*0.20)</f>
        <v/>
      </c>
      <c r="K916" s="8">
        <f>IF(G916="","",G916+J916)</f>
        <v/>
      </c>
    </row>
    <row r="917">
      <c r="F917" s="8" t="n"/>
      <c r="G917" s="8">
        <f>IF(E917="","",E917*F917)</f>
        <v/>
      </c>
      <c r="H917" s="8">
        <f>IF(G917="","",G917-I917)</f>
        <v/>
      </c>
      <c r="I917" s="8">
        <f>IF(D917="","",VLOOKUP(D917, RECETTES!B:G, 6, FALSE)*E917)</f>
        <v/>
      </c>
      <c r="J917" s="8">
        <f>IF(G917="","",G917*0.20)</f>
        <v/>
      </c>
      <c r="K917" s="8">
        <f>IF(G917="","",G917+J917)</f>
        <v/>
      </c>
    </row>
    <row r="918">
      <c r="F918" s="8" t="n"/>
      <c r="G918" s="8">
        <f>IF(E918="","",E918*F918)</f>
        <v/>
      </c>
      <c r="H918" s="8">
        <f>IF(G918="","",G918-I918)</f>
        <v/>
      </c>
      <c r="I918" s="8">
        <f>IF(D918="","",VLOOKUP(D918, RECETTES!B:G, 6, FALSE)*E918)</f>
        <v/>
      </c>
      <c r="J918" s="8">
        <f>IF(G918="","",G918*0.20)</f>
        <v/>
      </c>
      <c r="K918" s="8">
        <f>IF(G918="","",G918+J918)</f>
        <v/>
      </c>
    </row>
    <row r="919">
      <c r="F919" s="8" t="n"/>
      <c r="G919" s="8">
        <f>IF(E919="","",E919*F919)</f>
        <v/>
      </c>
      <c r="H919" s="8">
        <f>IF(G919="","",G919-I919)</f>
        <v/>
      </c>
      <c r="I919" s="8">
        <f>IF(D919="","",VLOOKUP(D919, RECETTES!B:G, 6, FALSE)*E919)</f>
        <v/>
      </c>
      <c r="J919" s="8">
        <f>IF(G919="","",G919*0.20)</f>
        <v/>
      </c>
      <c r="K919" s="8">
        <f>IF(G919="","",G919+J919)</f>
        <v/>
      </c>
    </row>
    <row r="920">
      <c r="F920" s="8" t="n"/>
      <c r="G920" s="8">
        <f>IF(E920="","",E920*F920)</f>
        <v/>
      </c>
      <c r="H920" s="8">
        <f>IF(G920="","",G920-I920)</f>
        <v/>
      </c>
      <c r="I920" s="8">
        <f>IF(D920="","",VLOOKUP(D920, RECETTES!B:G, 6, FALSE)*E920)</f>
        <v/>
      </c>
      <c r="J920" s="8">
        <f>IF(G920="","",G920*0.20)</f>
        <v/>
      </c>
      <c r="K920" s="8">
        <f>IF(G920="","",G920+J920)</f>
        <v/>
      </c>
    </row>
    <row r="921">
      <c r="F921" s="8" t="n"/>
      <c r="G921" s="8">
        <f>IF(E921="","",E921*F921)</f>
        <v/>
      </c>
      <c r="H921" s="8">
        <f>IF(G921="","",G921-I921)</f>
        <v/>
      </c>
      <c r="I921" s="8">
        <f>IF(D921="","",VLOOKUP(D921, RECETTES!B:G, 6, FALSE)*E921)</f>
        <v/>
      </c>
      <c r="J921" s="8">
        <f>IF(G921="","",G921*0.20)</f>
        <v/>
      </c>
      <c r="K921" s="8">
        <f>IF(G921="","",G921+J921)</f>
        <v/>
      </c>
    </row>
    <row r="922">
      <c r="F922" s="8" t="n"/>
      <c r="G922" s="8">
        <f>IF(E922="","",E922*F922)</f>
        <v/>
      </c>
      <c r="H922" s="8">
        <f>IF(G922="","",G922-I922)</f>
        <v/>
      </c>
      <c r="I922" s="8">
        <f>IF(D922="","",VLOOKUP(D922, RECETTES!B:G, 6, FALSE)*E922)</f>
        <v/>
      </c>
      <c r="J922" s="8">
        <f>IF(G922="","",G922*0.20)</f>
        <v/>
      </c>
      <c r="K922" s="8">
        <f>IF(G922="","",G922+J922)</f>
        <v/>
      </c>
    </row>
    <row r="923">
      <c r="F923" s="8" t="n"/>
      <c r="G923" s="8">
        <f>IF(E923="","",E923*F923)</f>
        <v/>
      </c>
      <c r="H923" s="8">
        <f>IF(G923="","",G923-I923)</f>
        <v/>
      </c>
      <c r="I923" s="8">
        <f>IF(D923="","",VLOOKUP(D923, RECETTES!B:G, 6, FALSE)*E923)</f>
        <v/>
      </c>
      <c r="J923" s="8">
        <f>IF(G923="","",G923*0.20)</f>
        <v/>
      </c>
      <c r="K923" s="8">
        <f>IF(G923="","",G923+J923)</f>
        <v/>
      </c>
    </row>
    <row r="924">
      <c r="F924" s="8" t="n"/>
      <c r="G924" s="8">
        <f>IF(E924="","",E924*F924)</f>
        <v/>
      </c>
      <c r="H924" s="8">
        <f>IF(G924="","",G924-I924)</f>
        <v/>
      </c>
      <c r="I924" s="8">
        <f>IF(D924="","",VLOOKUP(D924, RECETTES!B:G, 6, FALSE)*E924)</f>
        <v/>
      </c>
      <c r="J924" s="8">
        <f>IF(G924="","",G924*0.20)</f>
        <v/>
      </c>
      <c r="K924" s="8">
        <f>IF(G924="","",G924+J924)</f>
        <v/>
      </c>
    </row>
    <row r="925">
      <c r="F925" s="8" t="n"/>
      <c r="G925" s="8">
        <f>IF(E925="","",E925*F925)</f>
        <v/>
      </c>
      <c r="H925" s="8">
        <f>IF(G925="","",G925-I925)</f>
        <v/>
      </c>
      <c r="I925" s="8">
        <f>IF(D925="","",VLOOKUP(D925, RECETTES!B:G, 6, FALSE)*E925)</f>
        <v/>
      </c>
      <c r="J925" s="8">
        <f>IF(G925="","",G925*0.20)</f>
        <v/>
      </c>
      <c r="K925" s="8">
        <f>IF(G925="","",G925+J925)</f>
        <v/>
      </c>
    </row>
    <row r="926">
      <c r="F926" s="8" t="n"/>
      <c r="G926" s="8">
        <f>IF(E926="","",E926*F926)</f>
        <v/>
      </c>
      <c r="H926" s="8">
        <f>IF(G926="","",G926-I926)</f>
        <v/>
      </c>
      <c r="I926" s="8">
        <f>IF(D926="","",VLOOKUP(D926, RECETTES!B:G, 6, FALSE)*E926)</f>
        <v/>
      </c>
      <c r="J926" s="8">
        <f>IF(G926="","",G926*0.20)</f>
        <v/>
      </c>
      <c r="K926" s="8">
        <f>IF(G926="","",G926+J926)</f>
        <v/>
      </c>
    </row>
    <row r="927">
      <c r="F927" s="8" t="n"/>
      <c r="G927" s="8">
        <f>IF(E927="","",E927*F927)</f>
        <v/>
      </c>
      <c r="H927" s="8">
        <f>IF(G927="","",G927-I927)</f>
        <v/>
      </c>
      <c r="I927" s="8">
        <f>IF(D927="","",VLOOKUP(D927, RECETTES!B:G, 6, FALSE)*E927)</f>
        <v/>
      </c>
      <c r="J927" s="8">
        <f>IF(G927="","",G927*0.20)</f>
        <v/>
      </c>
      <c r="K927" s="8">
        <f>IF(G927="","",G927+J927)</f>
        <v/>
      </c>
    </row>
    <row r="928">
      <c r="F928" s="8" t="n"/>
      <c r="G928" s="8">
        <f>IF(E928="","",E928*F928)</f>
        <v/>
      </c>
      <c r="H928" s="8">
        <f>IF(G928="","",G928-I928)</f>
        <v/>
      </c>
      <c r="I928" s="8">
        <f>IF(D928="","",VLOOKUP(D928, RECETTES!B:G, 6, FALSE)*E928)</f>
        <v/>
      </c>
      <c r="J928" s="8">
        <f>IF(G928="","",G928*0.20)</f>
        <v/>
      </c>
      <c r="K928" s="8">
        <f>IF(G928="","",G928+J928)</f>
        <v/>
      </c>
    </row>
    <row r="929">
      <c r="F929" s="8" t="n"/>
      <c r="G929" s="8">
        <f>IF(E929="","",E929*F929)</f>
        <v/>
      </c>
      <c r="H929" s="8">
        <f>IF(G929="","",G929-I929)</f>
        <v/>
      </c>
      <c r="I929" s="8">
        <f>IF(D929="","",VLOOKUP(D929, RECETTES!B:G, 6, FALSE)*E929)</f>
        <v/>
      </c>
      <c r="J929" s="8">
        <f>IF(G929="","",G929*0.20)</f>
        <v/>
      </c>
      <c r="K929" s="8">
        <f>IF(G929="","",G929+J929)</f>
        <v/>
      </c>
    </row>
    <row r="930">
      <c r="F930" s="8" t="n"/>
      <c r="G930" s="8">
        <f>IF(E930="","",E930*F930)</f>
        <v/>
      </c>
      <c r="H930" s="8">
        <f>IF(G930="","",G930-I930)</f>
        <v/>
      </c>
      <c r="I930" s="8">
        <f>IF(D930="","",VLOOKUP(D930, RECETTES!B:G, 6, FALSE)*E930)</f>
        <v/>
      </c>
      <c r="J930" s="8">
        <f>IF(G930="","",G930*0.20)</f>
        <v/>
      </c>
      <c r="K930" s="8">
        <f>IF(G930="","",G930+J930)</f>
        <v/>
      </c>
    </row>
    <row r="931">
      <c r="F931" s="8" t="n"/>
      <c r="G931" s="8">
        <f>IF(E931="","",E931*F931)</f>
        <v/>
      </c>
      <c r="H931" s="8">
        <f>IF(G931="","",G931-I931)</f>
        <v/>
      </c>
      <c r="I931" s="8">
        <f>IF(D931="","",VLOOKUP(D931, RECETTES!B:G, 6, FALSE)*E931)</f>
        <v/>
      </c>
      <c r="J931" s="8">
        <f>IF(G931="","",G931*0.20)</f>
        <v/>
      </c>
      <c r="K931" s="8">
        <f>IF(G931="","",G931+J931)</f>
        <v/>
      </c>
    </row>
    <row r="932">
      <c r="F932" s="8" t="n"/>
      <c r="G932" s="8">
        <f>IF(E932="","",E932*F932)</f>
        <v/>
      </c>
      <c r="H932" s="8">
        <f>IF(G932="","",G932-I932)</f>
        <v/>
      </c>
      <c r="I932" s="8">
        <f>IF(D932="","",VLOOKUP(D932, RECETTES!B:G, 6, FALSE)*E932)</f>
        <v/>
      </c>
      <c r="J932" s="8">
        <f>IF(G932="","",G932*0.20)</f>
        <v/>
      </c>
      <c r="K932" s="8">
        <f>IF(G932="","",G932+J932)</f>
        <v/>
      </c>
    </row>
    <row r="933">
      <c r="F933" s="8" t="n"/>
      <c r="G933" s="8">
        <f>IF(E933="","",E933*F933)</f>
        <v/>
      </c>
      <c r="H933" s="8">
        <f>IF(G933="","",G933-I933)</f>
        <v/>
      </c>
      <c r="I933" s="8">
        <f>IF(D933="","",VLOOKUP(D933, RECETTES!B:G, 6, FALSE)*E933)</f>
        <v/>
      </c>
      <c r="J933" s="8">
        <f>IF(G933="","",G933*0.20)</f>
        <v/>
      </c>
      <c r="K933" s="8">
        <f>IF(G933="","",G933+J933)</f>
        <v/>
      </c>
    </row>
    <row r="934">
      <c r="F934" s="8" t="n"/>
      <c r="G934" s="8">
        <f>IF(E934="","",E934*F934)</f>
        <v/>
      </c>
      <c r="H934" s="8">
        <f>IF(G934="","",G934-I934)</f>
        <v/>
      </c>
      <c r="I934" s="8">
        <f>IF(D934="","",VLOOKUP(D934, RECETTES!B:G, 6, FALSE)*E934)</f>
        <v/>
      </c>
      <c r="J934" s="8">
        <f>IF(G934="","",G934*0.20)</f>
        <v/>
      </c>
      <c r="K934" s="8">
        <f>IF(G934="","",G934+J934)</f>
        <v/>
      </c>
    </row>
    <row r="935">
      <c r="F935" s="8" t="n"/>
      <c r="G935" s="8">
        <f>IF(E935="","",E935*F935)</f>
        <v/>
      </c>
      <c r="H935" s="8">
        <f>IF(G935="","",G935-I935)</f>
        <v/>
      </c>
      <c r="I935" s="8">
        <f>IF(D935="","",VLOOKUP(D935, RECETTES!B:G, 6, FALSE)*E935)</f>
        <v/>
      </c>
      <c r="J935" s="8">
        <f>IF(G935="","",G935*0.20)</f>
        <v/>
      </c>
      <c r="K935" s="8">
        <f>IF(G935="","",G935+J935)</f>
        <v/>
      </c>
    </row>
    <row r="936">
      <c r="F936" s="8" t="n"/>
      <c r="G936" s="8">
        <f>IF(E936="","",E936*F936)</f>
        <v/>
      </c>
      <c r="H936" s="8">
        <f>IF(G936="","",G936-I936)</f>
        <v/>
      </c>
      <c r="I936" s="8">
        <f>IF(D936="","",VLOOKUP(D936, RECETTES!B:G, 6, FALSE)*E936)</f>
        <v/>
      </c>
      <c r="J936" s="8">
        <f>IF(G936="","",G936*0.20)</f>
        <v/>
      </c>
      <c r="K936" s="8">
        <f>IF(G936="","",G936+J936)</f>
        <v/>
      </c>
    </row>
    <row r="937">
      <c r="F937" s="8" t="n"/>
      <c r="G937" s="8">
        <f>IF(E937="","",E937*F937)</f>
        <v/>
      </c>
      <c r="H937" s="8">
        <f>IF(G937="","",G937-I937)</f>
        <v/>
      </c>
      <c r="I937" s="8">
        <f>IF(D937="","",VLOOKUP(D937, RECETTES!B:G, 6, FALSE)*E937)</f>
        <v/>
      </c>
      <c r="J937" s="8">
        <f>IF(G937="","",G937*0.20)</f>
        <v/>
      </c>
      <c r="K937" s="8">
        <f>IF(G937="","",G937+J937)</f>
        <v/>
      </c>
    </row>
    <row r="938">
      <c r="F938" s="8" t="n"/>
      <c r="G938" s="8">
        <f>IF(E938="","",E938*F938)</f>
        <v/>
      </c>
      <c r="H938" s="8">
        <f>IF(G938="","",G938-I938)</f>
        <v/>
      </c>
      <c r="I938" s="8">
        <f>IF(D938="","",VLOOKUP(D938, RECETTES!B:G, 6, FALSE)*E938)</f>
        <v/>
      </c>
      <c r="J938" s="8">
        <f>IF(G938="","",G938*0.20)</f>
        <v/>
      </c>
      <c r="K938" s="8">
        <f>IF(G938="","",G938+J938)</f>
        <v/>
      </c>
    </row>
    <row r="939">
      <c r="F939" s="8" t="n"/>
      <c r="G939" s="8">
        <f>IF(E939="","",E939*F939)</f>
        <v/>
      </c>
      <c r="H939" s="8">
        <f>IF(G939="","",G939-I939)</f>
        <v/>
      </c>
      <c r="I939" s="8">
        <f>IF(D939="","",VLOOKUP(D939, RECETTES!B:G, 6, FALSE)*E939)</f>
        <v/>
      </c>
      <c r="J939" s="8">
        <f>IF(G939="","",G939*0.20)</f>
        <v/>
      </c>
      <c r="K939" s="8">
        <f>IF(G939="","",G939+J939)</f>
        <v/>
      </c>
    </row>
    <row r="940">
      <c r="F940" s="8" t="n"/>
      <c r="G940" s="8">
        <f>IF(E940="","",E940*F940)</f>
        <v/>
      </c>
      <c r="H940" s="8">
        <f>IF(G940="","",G940-I940)</f>
        <v/>
      </c>
      <c r="I940" s="8">
        <f>IF(D940="","",VLOOKUP(D940, RECETTES!B:G, 6, FALSE)*E940)</f>
        <v/>
      </c>
      <c r="J940" s="8">
        <f>IF(G940="","",G940*0.20)</f>
        <v/>
      </c>
      <c r="K940" s="8">
        <f>IF(G940="","",G940+J940)</f>
        <v/>
      </c>
    </row>
    <row r="941">
      <c r="F941" s="8" t="n"/>
      <c r="G941" s="8">
        <f>IF(E941="","",E941*F941)</f>
        <v/>
      </c>
      <c r="H941" s="8">
        <f>IF(G941="","",G941-I941)</f>
        <v/>
      </c>
      <c r="I941" s="8">
        <f>IF(D941="","",VLOOKUP(D941, RECETTES!B:G, 6, FALSE)*E941)</f>
        <v/>
      </c>
      <c r="J941" s="8">
        <f>IF(G941="","",G941*0.20)</f>
        <v/>
      </c>
      <c r="K941" s="8">
        <f>IF(G941="","",G941+J941)</f>
        <v/>
      </c>
    </row>
    <row r="942">
      <c r="F942" s="8" t="n"/>
      <c r="G942" s="8">
        <f>IF(E942="","",E942*F942)</f>
        <v/>
      </c>
      <c r="H942" s="8">
        <f>IF(G942="","",G942-I942)</f>
        <v/>
      </c>
      <c r="I942" s="8">
        <f>IF(D942="","",VLOOKUP(D942, RECETTES!B:G, 6, FALSE)*E942)</f>
        <v/>
      </c>
      <c r="J942" s="8">
        <f>IF(G942="","",G942*0.20)</f>
        <v/>
      </c>
      <c r="K942" s="8">
        <f>IF(G942="","",G942+J942)</f>
        <v/>
      </c>
    </row>
    <row r="943">
      <c r="F943" s="8" t="n"/>
      <c r="G943" s="8">
        <f>IF(E943="","",E943*F943)</f>
        <v/>
      </c>
      <c r="H943" s="8">
        <f>IF(G943="","",G943-I943)</f>
        <v/>
      </c>
      <c r="I943" s="8">
        <f>IF(D943="","",VLOOKUP(D943, RECETTES!B:G, 6, FALSE)*E943)</f>
        <v/>
      </c>
      <c r="J943" s="8">
        <f>IF(G943="","",G943*0.20)</f>
        <v/>
      </c>
      <c r="K943" s="8">
        <f>IF(G943="","",G943+J943)</f>
        <v/>
      </c>
    </row>
    <row r="944">
      <c r="F944" s="8" t="n"/>
      <c r="G944" s="8">
        <f>IF(E944="","",E944*F944)</f>
        <v/>
      </c>
      <c r="H944" s="8">
        <f>IF(G944="","",G944-I944)</f>
        <v/>
      </c>
      <c r="I944" s="8">
        <f>IF(D944="","",VLOOKUP(D944, RECETTES!B:G, 6, FALSE)*E944)</f>
        <v/>
      </c>
      <c r="J944" s="8">
        <f>IF(G944="","",G944*0.20)</f>
        <v/>
      </c>
      <c r="K944" s="8">
        <f>IF(G944="","",G944+J944)</f>
        <v/>
      </c>
    </row>
    <row r="945">
      <c r="F945" s="8" t="n"/>
      <c r="G945" s="8">
        <f>IF(E945="","",E945*F945)</f>
        <v/>
      </c>
      <c r="H945" s="8">
        <f>IF(G945="","",G945-I945)</f>
        <v/>
      </c>
      <c r="I945" s="8">
        <f>IF(D945="","",VLOOKUP(D945, RECETTES!B:G, 6, FALSE)*E945)</f>
        <v/>
      </c>
      <c r="J945" s="8">
        <f>IF(G945="","",G945*0.20)</f>
        <v/>
      </c>
      <c r="K945" s="8">
        <f>IF(G945="","",G945+J945)</f>
        <v/>
      </c>
    </row>
    <row r="946">
      <c r="F946" s="8" t="n"/>
      <c r="G946" s="8">
        <f>IF(E946="","",E946*F946)</f>
        <v/>
      </c>
      <c r="H946" s="8">
        <f>IF(G946="","",G946-I946)</f>
        <v/>
      </c>
      <c r="I946" s="8">
        <f>IF(D946="","",VLOOKUP(D946, RECETTES!B:G, 6, FALSE)*E946)</f>
        <v/>
      </c>
      <c r="J946" s="8">
        <f>IF(G946="","",G946*0.20)</f>
        <v/>
      </c>
      <c r="K946" s="8">
        <f>IF(G946="","",G946+J946)</f>
        <v/>
      </c>
    </row>
    <row r="947">
      <c r="F947" s="8" t="n"/>
      <c r="G947" s="8">
        <f>IF(E947="","",E947*F947)</f>
        <v/>
      </c>
      <c r="H947" s="8">
        <f>IF(G947="","",G947-I947)</f>
        <v/>
      </c>
      <c r="I947" s="8">
        <f>IF(D947="","",VLOOKUP(D947, RECETTES!B:G, 6, FALSE)*E947)</f>
        <v/>
      </c>
      <c r="J947" s="8">
        <f>IF(G947="","",G947*0.20)</f>
        <v/>
      </c>
      <c r="K947" s="8">
        <f>IF(G947="","",G947+J947)</f>
        <v/>
      </c>
    </row>
    <row r="948">
      <c r="F948" s="8" t="n"/>
      <c r="G948" s="8">
        <f>IF(E948="","",E948*F948)</f>
        <v/>
      </c>
      <c r="H948" s="8">
        <f>IF(G948="","",G948-I948)</f>
        <v/>
      </c>
      <c r="I948" s="8">
        <f>IF(D948="","",VLOOKUP(D948, RECETTES!B:G, 6, FALSE)*E948)</f>
        <v/>
      </c>
      <c r="J948" s="8">
        <f>IF(G948="","",G948*0.20)</f>
        <v/>
      </c>
      <c r="K948" s="8">
        <f>IF(G948="","",G948+J948)</f>
        <v/>
      </c>
    </row>
    <row r="949">
      <c r="F949" s="8" t="n"/>
      <c r="G949" s="8">
        <f>IF(E949="","",E949*F949)</f>
        <v/>
      </c>
      <c r="H949" s="8">
        <f>IF(G949="","",G949-I949)</f>
        <v/>
      </c>
      <c r="I949" s="8">
        <f>IF(D949="","",VLOOKUP(D949, RECETTES!B:G, 6, FALSE)*E949)</f>
        <v/>
      </c>
      <c r="J949" s="8">
        <f>IF(G949="","",G949*0.20)</f>
        <v/>
      </c>
      <c r="K949" s="8">
        <f>IF(G949="","",G949+J949)</f>
        <v/>
      </c>
    </row>
    <row r="950">
      <c r="F950" s="8" t="n"/>
      <c r="G950" s="8">
        <f>IF(E950="","",E950*F950)</f>
        <v/>
      </c>
      <c r="H950" s="8">
        <f>IF(G950="","",G950-I950)</f>
        <v/>
      </c>
      <c r="I950" s="8">
        <f>IF(D950="","",VLOOKUP(D950, RECETTES!B:G, 6, FALSE)*E950)</f>
        <v/>
      </c>
      <c r="J950" s="8">
        <f>IF(G950="","",G950*0.20)</f>
        <v/>
      </c>
      <c r="K950" s="8">
        <f>IF(G950="","",G950+J950)</f>
        <v/>
      </c>
    </row>
    <row r="951">
      <c r="F951" s="8" t="n"/>
      <c r="G951" s="8">
        <f>IF(E951="","",E951*F951)</f>
        <v/>
      </c>
      <c r="H951" s="8">
        <f>IF(G951="","",G951-I951)</f>
        <v/>
      </c>
      <c r="I951" s="8">
        <f>IF(D951="","",VLOOKUP(D951, RECETTES!B:G, 6, FALSE)*E951)</f>
        <v/>
      </c>
      <c r="J951" s="8">
        <f>IF(G951="","",G951*0.20)</f>
        <v/>
      </c>
      <c r="K951" s="8">
        <f>IF(G951="","",G951+J951)</f>
        <v/>
      </c>
    </row>
    <row r="952">
      <c r="F952" s="8" t="n"/>
      <c r="G952" s="8">
        <f>IF(E952="","",E952*F952)</f>
        <v/>
      </c>
      <c r="H952" s="8">
        <f>IF(G952="","",G952-I952)</f>
        <v/>
      </c>
      <c r="I952" s="8">
        <f>IF(D952="","",VLOOKUP(D952, RECETTES!B:G, 6, FALSE)*E952)</f>
        <v/>
      </c>
      <c r="J952" s="8">
        <f>IF(G952="","",G952*0.20)</f>
        <v/>
      </c>
      <c r="K952" s="8">
        <f>IF(G952="","",G952+J952)</f>
        <v/>
      </c>
    </row>
    <row r="953">
      <c r="F953" s="8" t="n"/>
      <c r="G953" s="8">
        <f>IF(E953="","",E953*F953)</f>
        <v/>
      </c>
      <c r="H953" s="8">
        <f>IF(G953="","",G953-I953)</f>
        <v/>
      </c>
      <c r="I953" s="8">
        <f>IF(D953="","",VLOOKUP(D953, RECETTES!B:G, 6, FALSE)*E953)</f>
        <v/>
      </c>
      <c r="J953" s="8">
        <f>IF(G953="","",G953*0.20)</f>
        <v/>
      </c>
      <c r="K953" s="8">
        <f>IF(G953="","",G953+J953)</f>
        <v/>
      </c>
    </row>
    <row r="954">
      <c r="F954" s="8" t="n"/>
      <c r="G954" s="8">
        <f>IF(E954="","",E954*F954)</f>
        <v/>
      </c>
      <c r="H954" s="8">
        <f>IF(G954="","",G954-I954)</f>
        <v/>
      </c>
      <c r="I954" s="8">
        <f>IF(D954="","",VLOOKUP(D954, RECETTES!B:G, 6, FALSE)*E954)</f>
        <v/>
      </c>
      <c r="J954" s="8">
        <f>IF(G954="","",G954*0.20)</f>
        <v/>
      </c>
      <c r="K954" s="8">
        <f>IF(G954="","",G954+J954)</f>
        <v/>
      </c>
    </row>
    <row r="955">
      <c r="F955" s="8" t="n"/>
      <c r="G955" s="8">
        <f>IF(E955="","",E955*F955)</f>
        <v/>
      </c>
      <c r="H955" s="8">
        <f>IF(G955="","",G955-I955)</f>
        <v/>
      </c>
      <c r="I955" s="8">
        <f>IF(D955="","",VLOOKUP(D955, RECETTES!B:G, 6, FALSE)*E955)</f>
        <v/>
      </c>
      <c r="J955" s="8">
        <f>IF(G955="","",G955*0.20)</f>
        <v/>
      </c>
      <c r="K955" s="8">
        <f>IF(G955="","",G955+J955)</f>
        <v/>
      </c>
    </row>
    <row r="956">
      <c r="F956" s="8" t="n"/>
      <c r="G956" s="8">
        <f>IF(E956="","",E956*F956)</f>
        <v/>
      </c>
      <c r="H956" s="8">
        <f>IF(G956="","",G956-I956)</f>
        <v/>
      </c>
      <c r="I956" s="8">
        <f>IF(D956="","",VLOOKUP(D956, RECETTES!B:G, 6, FALSE)*E956)</f>
        <v/>
      </c>
      <c r="J956" s="8">
        <f>IF(G956="","",G956*0.20)</f>
        <v/>
      </c>
      <c r="K956" s="8">
        <f>IF(G956="","",G956+J956)</f>
        <v/>
      </c>
    </row>
    <row r="957">
      <c r="F957" s="8" t="n"/>
      <c r="G957" s="8">
        <f>IF(E957="","",E957*F957)</f>
        <v/>
      </c>
      <c r="H957" s="8">
        <f>IF(G957="","",G957-I957)</f>
        <v/>
      </c>
      <c r="I957" s="8">
        <f>IF(D957="","",VLOOKUP(D957, RECETTES!B:G, 6, FALSE)*E957)</f>
        <v/>
      </c>
      <c r="J957" s="8">
        <f>IF(G957="","",G957*0.20)</f>
        <v/>
      </c>
      <c r="K957" s="8">
        <f>IF(G957="","",G957+J957)</f>
        <v/>
      </c>
    </row>
    <row r="958">
      <c r="F958" s="8" t="n"/>
      <c r="G958" s="8">
        <f>IF(E958="","",E958*F958)</f>
        <v/>
      </c>
      <c r="H958" s="8">
        <f>IF(G958="","",G958-I958)</f>
        <v/>
      </c>
      <c r="I958" s="8">
        <f>IF(D958="","",VLOOKUP(D958, RECETTES!B:G, 6, FALSE)*E958)</f>
        <v/>
      </c>
      <c r="J958" s="8">
        <f>IF(G958="","",G958*0.20)</f>
        <v/>
      </c>
      <c r="K958" s="8">
        <f>IF(G958="","",G958+J958)</f>
        <v/>
      </c>
    </row>
    <row r="959">
      <c r="F959" s="8" t="n"/>
      <c r="G959" s="8">
        <f>IF(E959="","",E959*F959)</f>
        <v/>
      </c>
      <c r="H959" s="8">
        <f>IF(G959="","",G959-I959)</f>
        <v/>
      </c>
      <c r="I959" s="8">
        <f>IF(D959="","",VLOOKUP(D959, RECETTES!B:G, 6, FALSE)*E959)</f>
        <v/>
      </c>
      <c r="J959" s="8">
        <f>IF(G959="","",G959*0.20)</f>
        <v/>
      </c>
      <c r="K959" s="8">
        <f>IF(G959="","",G959+J959)</f>
        <v/>
      </c>
    </row>
    <row r="960">
      <c r="F960" s="8" t="n"/>
      <c r="G960" s="8">
        <f>IF(E960="","",E960*F960)</f>
        <v/>
      </c>
      <c r="H960" s="8">
        <f>IF(G960="","",G960-I960)</f>
        <v/>
      </c>
      <c r="I960" s="8">
        <f>IF(D960="","",VLOOKUP(D960, RECETTES!B:G, 6, FALSE)*E960)</f>
        <v/>
      </c>
      <c r="J960" s="8">
        <f>IF(G960="","",G960*0.20)</f>
        <v/>
      </c>
      <c r="K960" s="8">
        <f>IF(G960="","",G960+J960)</f>
        <v/>
      </c>
    </row>
    <row r="961">
      <c r="F961" s="8" t="n"/>
      <c r="G961" s="8">
        <f>IF(E961="","",E961*F961)</f>
        <v/>
      </c>
      <c r="H961" s="8">
        <f>IF(G961="","",G961-I961)</f>
        <v/>
      </c>
      <c r="I961" s="8">
        <f>IF(D961="","",VLOOKUP(D961, RECETTES!B:G, 6, FALSE)*E961)</f>
        <v/>
      </c>
      <c r="J961" s="8">
        <f>IF(G961="","",G961*0.20)</f>
        <v/>
      </c>
      <c r="K961" s="8">
        <f>IF(G961="","",G961+J961)</f>
        <v/>
      </c>
    </row>
    <row r="962">
      <c r="F962" s="8" t="n"/>
      <c r="G962" s="8">
        <f>IF(E962="","",E962*F962)</f>
        <v/>
      </c>
      <c r="H962" s="8">
        <f>IF(G962="","",G962-I962)</f>
        <v/>
      </c>
      <c r="I962" s="8">
        <f>IF(D962="","",VLOOKUP(D962, RECETTES!B:G, 6, FALSE)*E962)</f>
        <v/>
      </c>
      <c r="J962" s="8">
        <f>IF(G962="","",G962*0.20)</f>
        <v/>
      </c>
      <c r="K962" s="8">
        <f>IF(G962="","",G962+J962)</f>
        <v/>
      </c>
    </row>
    <row r="963">
      <c r="F963" s="8" t="n"/>
      <c r="G963" s="8">
        <f>IF(E963="","",E963*F963)</f>
        <v/>
      </c>
      <c r="H963" s="8">
        <f>IF(G963="","",G963-I963)</f>
        <v/>
      </c>
      <c r="I963" s="8">
        <f>IF(D963="","",VLOOKUP(D963, RECETTES!B:G, 6, FALSE)*E963)</f>
        <v/>
      </c>
      <c r="J963" s="8">
        <f>IF(G963="","",G963*0.20)</f>
        <v/>
      </c>
      <c r="K963" s="8">
        <f>IF(G963="","",G963+J963)</f>
        <v/>
      </c>
    </row>
    <row r="964">
      <c r="F964" s="8" t="n"/>
      <c r="G964" s="8">
        <f>IF(E964="","",E964*F964)</f>
        <v/>
      </c>
      <c r="H964" s="8">
        <f>IF(G964="","",G964-I964)</f>
        <v/>
      </c>
      <c r="I964" s="8">
        <f>IF(D964="","",VLOOKUP(D964, RECETTES!B:G, 6, FALSE)*E964)</f>
        <v/>
      </c>
      <c r="J964" s="8">
        <f>IF(G964="","",G964*0.20)</f>
        <v/>
      </c>
      <c r="K964" s="8">
        <f>IF(G964="","",G964+J964)</f>
        <v/>
      </c>
    </row>
    <row r="965">
      <c r="F965" s="8" t="n"/>
      <c r="G965" s="8">
        <f>IF(E965="","",E965*F965)</f>
        <v/>
      </c>
      <c r="H965" s="8">
        <f>IF(G965="","",G965-I965)</f>
        <v/>
      </c>
      <c r="I965" s="8">
        <f>IF(D965="","",VLOOKUP(D965, RECETTES!B:G, 6, FALSE)*E965)</f>
        <v/>
      </c>
      <c r="J965" s="8">
        <f>IF(G965="","",G965*0.20)</f>
        <v/>
      </c>
      <c r="K965" s="8">
        <f>IF(G965="","",G965+J965)</f>
        <v/>
      </c>
    </row>
    <row r="966">
      <c r="F966" s="8" t="n"/>
      <c r="G966" s="8">
        <f>IF(E966="","",E966*F966)</f>
        <v/>
      </c>
      <c r="H966" s="8">
        <f>IF(G966="","",G966-I966)</f>
        <v/>
      </c>
      <c r="I966" s="8">
        <f>IF(D966="","",VLOOKUP(D966, RECETTES!B:G, 6, FALSE)*E966)</f>
        <v/>
      </c>
      <c r="J966" s="8">
        <f>IF(G966="","",G966*0.20)</f>
        <v/>
      </c>
      <c r="K966" s="8">
        <f>IF(G966="","",G966+J966)</f>
        <v/>
      </c>
    </row>
    <row r="967">
      <c r="F967" s="8" t="n"/>
      <c r="G967" s="8">
        <f>IF(E967="","",E967*F967)</f>
        <v/>
      </c>
      <c r="H967" s="8">
        <f>IF(G967="","",G967-I967)</f>
        <v/>
      </c>
      <c r="I967" s="8">
        <f>IF(D967="","",VLOOKUP(D967, RECETTES!B:G, 6, FALSE)*E967)</f>
        <v/>
      </c>
      <c r="J967" s="8">
        <f>IF(G967="","",G967*0.20)</f>
        <v/>
      </c>
      <c r="K967" s="8">
        <f>IF(G967="","",G967+J967)</f>
        <v/>
      </c>
    </row>
    <row r="968">
      <c r="F968" s="8" t="n"/>
      <c r="G968" s="8">
        <f>IF(E968="","",E968*F968)</f>
        <v/>
      </c>
      <c r="H968" s="8">
        <f>IF(G968="","",G968-I968)</f>
        <v/>
      </c>
      <c r="I968" s="8">
        <f>IF(D968="","",VLOOKUP(D968, RECETTES!B:G, 6, FALSE)*E968)</f>
        <v/>
      </c>
      <c r="J968" s="8">
        <f>IF(G968="","",G968*0.20)</f>
        <v/>
      </c>
      <c r="K968" s="8">
        <f>IF(G968="","",G968+J968)</f>
        <v/>
      </c>
    </row>
    <row r="969">
      <c r="F969" s="8" t="n"/>
      <c r="G969" s="8">
        <f>IF(E969="","",E969*F969)</f>
        <v/>
      </c>
      <c r="H969" s="8">
        <f>IF(G969="","",G969-I969)</f>
        <v/>
      </c>
      <c r="I969" s="8">
        <f>IF(D969="","",VLOOKUP(D969, RECETTES!B:G, 6, FALSE)*E969)</f>
        <v/>
      </c>
      <c r="J969" s="8">
        <f>IF(G969="","",G969*0.20)</f>
        <v/>
      </c>
      <c r="K969" s="8">
        <f>IF(G969="","",G969+J969)</f>
        <v/>
      </c>
    </row>
    <row r="970">
      <c r="F970" s="8" t="n"/>
      <c r="G970" s="8">
        <f>IF(E970="","",E970*F970)</f>
        <v/>
      </c>
      <c r="H970" s="8">
        <f>IF(G970="","",G970-I970)</f>
        <v/>
      </c>
      <c r="I970" s="8">
        <f>IF(D970="","",VLOOKUP(D970, RECETTES!B:G, 6, FALSE)*E970)</f>
        <v/>
      </c>
      <c r="J970" s="8">
        <f>IF(G970="","",G970*0.20)</f>
        <v/>
      </c>
      <c r="K970" s="8">
        <f>IF(G970="","",G970+J970)</f>
        <v/>
      </c>
    </row>
    <row r="971">
      <c r="F971" s="8" t="n"/>
      <c r="G971" s="8">
        <f>IF(E971="","",E971*F971)</f>
        <v/>
      </c>
      <c r="H971" s="8">
        <f>IF(G971="","",G971-I971)</f>
        <v/>
      </c>
      <c r="I971" s="8">
        <f>IF(D971="","",VLOOKUP(D971, RECETTES!B:G, 6, FALSE)*E971)</f>
        <v/>
      </c>
      <c r="J971" s="8">
        <f>IF(G971="","",G971*0.20)</f>
        <v/>
      </c>
      <c r="K971" s="8">
        <f>IF(G971="","",G971+J971)</f>
        <v/>
      </c>
    </row>
    <row r="972">
      <c r="F972" s="8" t="n"/>
      <c r="G972" s="8">
        <f>IF(E972="","",E972*F972)</f>
        <v/>
      </c>
      <c r="H972" s="8">
        <f>IF(G972="","",G972-I972)</f>
        <v/>
      </c>
      <c r="I972" s="8">
        <f>IF(D972="","",VLOOKUP(D972, RECETTES!B:G, 6, FALSE)*E972)</f>
        <v/>
      </c>
      <c r="J972" s="8">
        <f>IF(G972="","",G972*0.20)</f>
        <v/>
      </c>
      <c r="K972" s="8">
        <f>IF(G972="","",G972+J972)</f>
        <v/>
      </c>
    </row>
    <row r="973">
      <c r="F973" s="8" t="n"/>
      <c r="G973" s="8">
        <f>IF(E973="","",E973*F973)</f>
        <v/>
      </c>
      <c r="H973" s="8">
        <f>IF(G973="","",G973-I973)</f>
        <v/>
      </c>
      <c r="I973" s="8">
        <f>IF(D973="","",VLOOKUP(D973, RECETTES!B:G, 6, FALSE)*E973)</f>
        <v/>
      </c>
      <c r="J973" s="8">
        <f>IF(G973="","",G973*0.20)</f>
        <v/>
      </c>
      <c r="K973" s="8">
        <f>IF(G973="","",G973+J973)</f>
        <v/>
      </c>
    </row>
    <row r="974">
      <c r="F974" s="8" t="n"/>
      <c r="G974" s="8">
        <f>IF(E974="","",E974*F974)</f>
        <v/>
      </c>
      <c r="H974" s="8">
        <f>IF(G974="","",G974-I974)</f>
        <v/>
      </c>
      <c r="I974" s="8">
        <f>IF(D974="","",VLOOKUP(D974, RECETTES!B:G, 6, FALSE)*E974)</f>
        <v/>
      </c>
      <c r="J974" s="8">
        <f>IF(G974="","",G974*0.20)</f>
        <v/>
      </c>
      <c r="K974" s="8">
        <f>IF(G974="","",G974+J974)</f>
        <v/>
      </c>
    </row>
    <row r="975">
      <c r="F975" s="8" t="n"/>
      <c r="G975" s="8">
        <f>IF(E975="","",E975*F975)</f>
        <v/>
      </c>
      <c r="H975" s="8">
        <f>IF(G975="","",G975-I975)</f>
        <v/>
      </c>
      <c r="I975" s="8">
        <f>IF(D975="","",VLOOKUP(D975, RECETTES!B:G, 6, FALSE)*E975)</f>
        <v/>
      </c>
      <c r="J975" s="8">
        <f>IF(G975="","",G975*0.20)</f>
        <v/>
      </c>
      <c r="K975" s="8">
        <f>IF(G975="","",G975+J975)</f>
        <v/>
      </c>
    </row>
    <row r="976">
      <c r="F976" s="8" t="n"/>
      <c r="G976" s="8">
        <f>IF(E976="","",E976*F976)</f>
        <v/>
      </c>
      <c r="H976" s="8">
        <f>IF(G976="","",G976-I976)</f>
        <v/>
      </c>
      <c r="I976" s="8">
        <f>IF(D976="","",VLOOKUP(D976, RECETTES!B:G, 6, FALSE)*E976)</f>
        <v/>
      </c>
      <c r="J976" s="8">
        <f>IF(G976="","",G976*0.20)</f>
        <v/>
      </c>
      <c r="K976" s="8">
        <f>IF(G976="","",G976+J976)</f>
        <v/>
      </c>
    </row>
    <row r="977">
      <c r="F977" s="8" t="n"/>
      <c r="G977" s="8">
        <f>IF(E977="","",E977*F977)</f>
        <v/>
      </c>
      <c r="H977" s="8">
        <f>IF(G977="","",G977-I977)</f>
        <v/>
      </c>
      <c r="I977" s="8">
        <f>IF(D977="","",VLOOKUP(D977, RECETTES!B:G, 6, FALSE)*E977)</f>
        <v/>
      </c>
      <c r="J977" s="8">
        <f>IF(G977="","",G977*0.20)</f>
        <v/>
      </c>
      <c r="K977" s="8">
        <f>IF(G977="","",G977+J977)</f>
        <v/>
      </c>
    </row>
    <row r="978">
      <c r="F978" s="8" t="n"/>
      <c r="G978" s="8">
        <f>IF(E978="","",E978*F978)</f>
        <v/>
      </c>
      <c r="H978" s="8">
        <f>IF(G978="","",G978-I978)</f>
        <v/>
      </c>
      <c r="I978" s="8">
        <f>IF(D978="","",VLOOKUP(D978, RECETTES!B:G, 6, FALSE)*E978)</f>
        <v/>
      </c>
      <c r="J978" s="8">
        <f>IF(G978="","",G978*0.20)</f>
        <v/>
      </c>
      <c r="K978" s="8">
        <f>IF(G978="","",G978+J978)</f>
        <v/>
      </c>
    </row>
    <row r="979">
      <c r="F979" s="8" t="n"/>
      <c r="G979" s="8">
        <f>IF(E979="","",E979*F979)</f>
        <v/>
      </c>
      <c r="H979" s="8">
        <f>IF(G979="","",G979-I979)</f>
        <v/>
      </c>
      <c r="I979" s="8">
        <f>IF(D979="","",VLOOKUP(D979, RECETTES!B:G, 6, FALSE)*E979)</f>
        <v/>
      </c>
      <c r="J979" s="8">
        <f>IF(G979="","",G979*0.20)</f>
        <v/>
      </c>
      <c r="K979" s="8">
        <f>IF(G979="","",G979+J979)</f>
        <v/>
      </c>
    </row>
    <row r="980">
      <c r="F980" s="8" t="n"/>
      <c r="G980" s="8">
        <f>IF(E980="","",E980*F980)</f>
        <v/>
      </c>
      <c r="H980" s="8">
        <f>IF(G980="","",G980-I980)</f>
        <v/>
      </c>
      <c r="I980" s="8">
        <f>IF(D980="","",VLOOKUP(D980, RECETTES!B:G, 6, FALSE)*E980)</f>
        <v/>
      </c>
      <c r="J980" s="8">
        <f>IF(G980="","",G980*0.20)</f>
        <v/>
      </c>
      <c r="K980" s="8">
        <f>IF(G980="","",G980+J980)</f>
        <v/>
      </c>
    </row>
    <row r="981">
      <c r="F981" s="8" t="n"/>
      <c r="G981" s="8">
        <f>IF(E981="","",E981*F981)</f>
        <v/>
      </c>
      <c r="H981" s="8">
        <f>IF(G981="","",G981-I981)</f>
        <v/>
      </c>
      <c r="I981" s="8">
        <f>IF(D981="","",VLOOKUP(D981, RECETTES!B:G, 6, FALSE)*E981)</f>
        <v/>
      </c>
      <c r="J981" s="8">
        <f>IF(G981="","",G981*0.20)</f>
        <v/>
      </c>
      <c r="K981" s="8">
        <f>IF(G981="","",G981+J981)</f>
        <v/>
      </c>
    </row>
    <row r="982">
      <c r="F982" s="8" t="n"/>
      <c r="G982" s="8">
        <f>IF(E982="","",E982*F982)</f>
        <v/>
      </c>
      <c r="H982" s="8">
        <f>IF(G982="","",G982-I982)</f>
        <v/>
      </c>
      <c r="I982" s="8">
        <f>IF(D982="","",VLOOKUP(D982, RECETTES!B:G, 6, FALSE)*E982)</f>
        <v/>
      </c>
      <c r="J982" s="8">
        <f>IF(G982="","",G982*0.20)</f>
        <v/>
      </c>
      <c r="K982" s="8">
        <f>IF(G982="","",G982+J982)</f>
        <v/>
      </c>
    </row>
    <row r="983">
      <c r="F983" s="8" t="n"/>
      <c r="G983" s="8">
        <f>IF(E983="","",E983*F983)</f>
        <v/>
      </c>
      <c r="H983" s="8">
        <f>IF(G983="","",G983-I983)</f>
        <v/>
      </c>
      <c r="I983" s="8">
        <f>IF(D983="","",VLOOKUP(D983, RECETTES!B:G, 6, FALSE)*E983)</f>
        <v/>
      </c>
      <c r="J983" s="8">
        <f>IF(G983="","",G983*0.20)</f>
        <v/>
      </c>
      <c r="K983" s="8">
        <f>IF(G983="","",G983+J983)</f>
        <v/>
      </c>
    </row>
    <row r="984">
      <c r="F984" s="8" t="n"/>
      <c r="G984" s="8">
        <f>IF(E984="","",E984*F984)</f>
        <v/>
      </c>
      <c r="H984" s="8">
        <f>IF(G984="","",G984-I984)</f>
        <v/>
      </c>
      <c r="I984" s="8">
        <f>IF(D984="","",VLOOKUP(D984, RECETTES!B:G, 6, FALSE)*E984)</f>
        <v/>
      </c>
      <c r="J984" s="8">
        <f>IF(G984="","",G984*0.20)</f>
        <v/>
      </c>
      <c r="K984" s="8">
        <f>IF(G984="","",G984+J984)</f>
        <v/>
      </c>
    </row>
    <row r="985">
      <c r="F985" s="8" t="n"/>
      <c r="G985" s="8">
        <f>IF(E985="","",E985*F985)</f>
        <v/>
      </c>
      <c r="H985" s="8">
        <f>IF(G985="","",G985-I985)</f>
        <v/>
      </c>
      <c r="I985" s="8">
        <f>IF(D985="","",VLOOKUP(D985, RECETTES!B:G, 6, FALSE)*E985)</f>
        <v/>
      </c>
      <c r="J985" s="8">
        <f>IF(G985="","",G985*0.20)</f>
        <v/>
      </c>
      <c r="K985" s="8">
        <f>IF(G985="","",G985+J985)</f>
        <v/>
      </c>
    </row>
    <row r="986">
      <c r="F986" s="8" t="n"/>
      <c r="G986" s="8">
        <f>IF(E986="","",E986*F986)</f>
        <v/>
      </c>
      <c r="H986" s="8">
        <f>IF(G986="","",G986-I986)</f>
        <v/>
      </c>
      <c r="I986" s="8">
        <f>IF(D986="","",VLOOKUP(D986, RECETTES!B:G, 6, FALSE)*E986)</f>
        <v/>
      </c>
      <c r="J986" s="8">
        <f>IF(G986="","",G986*0.20)</f>
        <v/>
      </c>
      <c r="K986" s="8">
        <f>IF(G986="","",G986+J986)</f>
        <v/>
      </c>
    </row>
    <row r="987">
      <c r="F987" s="8" t="n"/>
      <c r="G987" s="8">
        <f>IF(E987="","",E987*F987)</f>
        <v/>
      </c>
      <c r="H987" s="8">
        <f>IF(G987="","",G987-I987)</f>
        <v/>
      </c>
      <c r="I987" s="8">
        <f>IF(D987="","",VLOOKUP(D987, RECETTES!B:G, 6, FALSE)*E987)</f>
        <v/>
      </c>
      <c r="J987" s="8">
        <f>IF(G987="","",G987*0.20)</f>
        <v/>
      </c>
      <c r="K987" s="8">
        <f>IF(G987="","",G987+J987)</f>
        <v/>
      </c>
    </row>
    <row r="988">
      <c r="F988" s="8" t="n"/>
      <c r="G988" s="8">
        <f>IF(E988="","",E988*F988)</f>
        <v/>
      </c>
      <c r="H988" s="8">
        <f>IF(G988="","",G988-I988)</f>
        <v/>
      </c>
      <c r="I988" s="8">
        <f>IF(D988="","",VLOOKUP(D988, RECETTES!B:G, 6, FALSE)*E988)</f>
        <v/>
      </c>
      <c r="J988" s="8">
        <f>IF(G988="","",G988*0.20)</f>
        <v/>
      </c>
      <c r="K988" s="8">
        <f>IF(G988="","",G988+J988)</f>
        <v/>
      </c>
    </row>
    <row r="989">
      <c r="F989" s="8" t="n"/>
      <c r="G989" s="8">
        <f>IF(E989="","",E989*F989)</f>
        <v/>
      </c>
      <c r="H989" s="8">
        <f>IF(G989="","",G989-I989)</f>
        <v/>
      </c>
      <c r="I989" s="8">
        <f>IF(D989="","",VLOOKUP(D989, RECETTES!B:G, 6, FALSE)*E989)</f>
        <v/>
      </c>
      <c r="J989" s="8">
        <f>IF(G989="","",G989*0.20)</f>
        <v/>
      </c>
      <c r="K989" s="8">
        <f>IF(G989="","",G989+J989)</f>
        <v/>
      </c>
    </row>
    <row r="990">
      <c r="F990" s="8" t="n"/>
      <c r="G990" s="8">
        <f>IF(E990="","",E990*F990)</f>
        <v/>
      </c>
      <c r="H990" s="8">
        <f>IF(G990="","",G990-I990)</f>
        <v/>
      </c>
      <c r="I990" s="8">
        <f>IF(D990="","",VLOOKUP(D990, RECETTES!B:G, 6, FALSE)*E990)</f>
        <v/>
      </c>
      <c r="J990" s="8">
        <f>IF(G990="","",G990*0.20)</f>
        <v/>
      </c>
      <c r="K990" s="8">
        <f>IF(G990="","",G990+J990)</f>
        <v/>
      </c>
    </row>
    <row r="991">
      <c r="F991" s="8" t="n"/>
      <c r="G991" s="8">
        <f>IF(E991="","",E991*F991)</f>
        <v/>
      </c>
      <c r="H991" s="8">
        <f>IF(G991="","",G991-I991)</f>
        <v/>
      </c>
      <c r="I991" s="8">
        <f>IF(D991="","",VLOOKUP(D991, RECETTES!B:G, 6, FALSE)*E991)</f>
        <v/>
      </c>
      <c r="J991" s="8">
        <f>IF(G991="","",G991*0.20)</f>
        <v/>
      </c>
      <c r="K991" s="8">
        <f>IF(G991="","",G991+J991)</f>
        <v/>
      </c>
    </row>
    <row r="992">
      <c r="F992" s="8" t="n"/>
      <c r="G992" s="8">
        <f>IF(E992="","",E992*F992)</f>
        <v/>
      </c>
      <c r="H992" s="8">
        <f>IF(G992="","",G992-I992)</f>
        <v/>
      </c>
      <c r="I992" s="8">
        <f>IF(D992="","",VLOOKUP(D992, RECETTES!B:G, 6, FALSE)*E992)</f>
        <v/>
      </c>
      <c r="J992" s="8">
        <f>IF(G992="","",G992*0.20)</f>
        <v/>
      </c>
      <c r="K992" s="8">
        <f>IF(G992="","",G992+J992)</f>
        <v/>
      </c>
    </row>
    <row r="993">
      <c r="F993" s="8" t="n"/>
      <c r="G993" s="8">
        <f>IF(E993="","",E993*F993)</f>
        <v/>
      </c>
      <c r="H993" s="8">
        <f>IF(G993="","",G993-I993)</f>
        <v/>
      </c>
      <c r="I993" s="8">
        <f>IF(D993="","",VLOOKUP(D993, RECETTES!B:G, 6, FALSE)*E993)</f>
        <v/>
      </c>
      <c r="J993" s="8">
        <f>IF(G993="","",G993*0.20)</f>
        <v/>
      </c>
      <c r="K993" s="8">
        <f>IF(G993="","",G993+J993)</f>
        <v/>
      </c>
    </row>
    <row r="994">
      <c r="F994" s="8" t="n"/>
      <c r="G994" s="8">
        <f>IF(E994="","",E994*F994)</f>
        <v/>
      </c>
      <c r="H994" s="8">
        <f>IF(G994="","",G994-I994)</f>
        <v/>
      </c>
      <c r="I994" s="8">
        <f>IF(D994="","",VLOOKUP(D994, RECETTES!B:G, 6, FALSE)*E994)</f>
        <v/>
      </c>
      <c r="J994" s="8">
        <f>IF(G994="","",G994*0.20)</f>
        <v/>
      </c>
      <c r="K994" s="8">
        <f>IF(G994="","",G994+J994)</f>
        <v/>
      </c>
    </row>
    <row r="995">
      <c r="F995" s="8" t="n"/>
      <c r="G995" s="8">
        <f>IF(E995="","",E995*F995)</f>
        <v/>
      </c>
      <c r="H995" s="8">
        <f>IF(G995="","",G995-I995)</f>
        <v/>
      </c>
      <c r="I995" s="8">
        <f>IF(D995="","",VLOOKUP(D995, RECETTES!B:G, 6, FALSE)*E995)</f>
        <v/>
      </c>
      <c r="J995" s="8">
        <f>IF(G995="","",G995*0.20)</f>
        <v/>
      </c>
      <c r="K995" s="8">
        <f>IF(G995="","",G995+J995)</f>
        <v/>
      </c>
    </row>
    <row r="996">
      <c r="F996" s="8" t="n"/>
      <c r="G996" s="8">
        <f>IF(E996="","",E996*F996)</f>
        <v/>
      </c>
      <c r="H996" s="8">
        <f>IF(G996="","",G996-I996)</f>
        <v/>
      </c>
      <c r="I996" s="8">
        <f>IF(D996="","",VLOOKUP(D996, RECETTES!B:G, 6, FALSE)*E996)</f>
        <v/>
      </c>
      <c r="J996" s="8">
        <f>IF(G996="","",G996*0.20)</f>
        <v/>
      </c>
      <c r="K996" s="8">
        <f>IF(G996="","",G996+J996)</f>
        <v/>
      </c>
    </row>
    <row r="997">
      <c r="F997" s="8" t="n"/>
      <c r="G997" s="8">
        <f>IF(E997="","",E997*F997)</f>
        <v/>
      </c>
      <c r="H997" s="8">
        <f>IF(G997="","",G997-I997)</f>
        <v/>
      </c>
      <c r="I997" s="8">
        <f>IF(D997="","",VLOOKUP(D997, RECETTES!B:G, 6, FALSE)*E997)</f>
        <v/>
      </c>
      <c r="J997" s="8">
        <f>IF(G997="","",G997*0.20)</f>
        <v/>
      </c>
      <c r="K997" s="8">
        <f>IF(G997="","",G997+J997)</f>
        <v/>
      </c>
    </row>
    <row r="998">
      <c r="F998" s="8" t="n"/>
      <c r="G998" s="8">
        <f>IF(E998="","",E998*F998)</f>
        <v/>
      </c>
      <c r="H998" s="8">
        <f>IF(G998="","",G998-I998)</f>
        <v/>
      </c>
      <c r="I998" s="8">
        <f>IF(D998="","",VLOOKUP(D998, RECETTES!B:G, 6, FALSE)*E998)</f>
        <v/>
      </c>
      <c r="J998" s="8">
        <f>IF(G998="","",G998*0.20)</f>
        <v/>
      </c>
      <c r="K998" s="8">
        <f>IF(G998="","",G998+J998)</f>
        <v/>
      </c>
    </row>
    <row r="999">
      <c r="F999" s="8" t="n"/>
      <c r="G999" s="8">
        <f>IF(E999="","",E999*F999)</f>
        <v/>
      </c>
      <c r="H999" s="8">
        <f>IF(G999="","",G999-I999)</f>
        <v/>
      </c>
      <c r="I999" s="8">
        <f>IF(D999="","",VLOOKUP(D999, RECETTES!B:G, 6, FALSE)*E999)</f>
        <v/>
      </c>
      <c r="J999" s="8">
        <f>IF(G999="","",G999*0.20)</f>
        <v/>
      </c>
      <c r="K999" s="8">
        <f>IF(G999="","",G999+J999)</f>
        <v/>
      </c>
    </row>
    <row r="1000">
      <c r="F1000" s="8" t="n"/>
      <c r="G1000" s="8">
        <f>IF(E1000="","",E1000*F1000)</f>
        <v/>
      </c>
      <c r="H1000" s="8">
        <f>IF(G1000="","",G1000-I1000)</f>
        <v/>
      </c>
      <c r="I1000" s="8">
        <f>IF(D1000="","",VLOOKUP(D1000, RECETTES!B:G, 6, FALSE)*E1000)</f>
        <v/>
      </c>
      <c r="J1000" s="8">
        <f>IF(G1000="","",G1000*0.20)</f>
        <v/>
      </c>
      <c r="K1000" s="8">
        <f>IF(G1000="","",G1000+J1000)</f>
        <v/>
      </c>
    </row>
    <row r="1001">
      <c r="F1001" s="8" t="n"/>
      <c r="G1001" s="8">
        <f>IF(E1001="","",E1001*F1001)</f>
        <v/>
      </c>
      <c r="H1001" s="8">
        <f>IF(G1001="","",G1001-I1001)</f>
        <v/>
      </c>
      <c r="I1001" s="8">
        <f>IF(D1001="","",VLOOKUP(D1001, RECETTES!B:G, 6, FALSE)*E1001)</f>
        <v/>
      </c>
      <c r="J1001" s="8">
        <f>IF(G1001="","",G1001*0.20)</f>
        <v/>
      </c>
      <c r="K1001" s="8">
        <f>IF(G1001="","",G1001+J1001)</f>
        <v/>
      </c>
    </row>
    <row r="1002">
      <c r="F1002" s="8" t="n"/>
      <c r="G1002" s="8">
        <f>IF(E1002="","",E1002*F1002)</f>
        <v/>
      </c>
      <c r="H1002" s="8">
        <f>IF(G1002="","",G1002-I1002)</f>
        <v/>
      </c>
      <c r="I1002" s="8">
        <f>IF(D1002="","",VLOOKUP(D1002, RECETTES!B:G, 6, FALSE)*E1002)</f>
        <v/>
      </c>
      <c r="J1002" s="8">
        <f>IF(G1002="","",G1002*0.20)</f>
        <v/>
      </c>
      <c r="K1002" s="8">
        <f>IF(G1002="","",G1002+J1002)</f>
        <v/>
      </c>
    </row>
    <row r="1003">
      <c r="F1003" s="8" t="n"/>
      <c r="G1003" s="8">
        <f>IF(E1003="","",E1003*F1003)</f>
        <v/>
      </c>
      <c r="H1003" s="8">
        <f>IF(G1003="","",G1003-I1003)</f>
        <v/>
      </c>
      <c r="I1003" s="8">
        <f>IF(D1003="","",VLOOKUP(D1003, RECETTES!B:G, 6, FALSE)*E1003)</f>
        <v/>
      </c>
      <c r="J1003" s="8">
        <f>IF(G1003="","",G1003*0.20)</f>
        <v/>
      </c>
      <c r="K1003" s="8">
        <f>IF(G1003="","",G1003+J1003)</f>
        <v/>
      </c>
    </row>
    <row r="1004">
      <c r="F1004" s="8" t="n"/>
      <c r="G1004" s="8">
        <f>IF(E1004="","",E1004*F1004)</f>
        <v/>
      </c>
      <c r="H1004" s="8">
        <f>IF(G1004="","",G1004-I1004)</f>
        <v/>
      </c>
      <c r="I1004" s="8">
        <f>IF(D1004="","",VLOOKUP(D1004, RECETTES!B:G, 6, FALSE)*E1004)</f>
        <v/>
      </c>
      <c r="J1004" s="8">
        <f>IF(G1004="","",G1004*0.20)</f>
        <v/>
      </c>
      <c r="K1004" s="8">
        <f>IF(G1004="","",G1004+J1004)</f>
        <v/>
      </c>
    </row>
    <row r="1005">
      <c r="F1005" s="8" t="n"/>
      <c r="G1005" s="8">
        <f>IF(E1005="","",E1005*F1005)</f>
        <v/>
      </c>
      <c r="H1005" s="8">
        <f>IF(G1005="","",G1005-I1005)</f>
        <v/>
      </c>
      <c r="I1005" s="8">
        <f>IF(D1005="","",VLOOKUP(D1005, RECETTES!B:G, 6, FALSE)*E1005)</f>
        <v/>
      </c>
      <c r="J1005" s="8">
        <f>IF(G1005="","",G1005*0.20)</f>
        <v/>
      </c>
      <c r="K1005" s="8">
        <f>IF(G1005="","",G1005+J1005)</f>
        <v/>
      </c>
    </row>
    <row r="1006">
      <c r="F1006" s="8" t="n"/>
      <c r="G1006" s="8">
        <f>IF(E1006="","",E1006*F1006)</f>
        <v/>
      </c>
      <c r="H1006" s="8">
        <f>IF(G1006="","",G1006-I1006)</f>
        <v/>
      </c>
      <c r="I1006" s="8">
        <f>IF(D1006="","",VLOOKUP(D1006, RECETTES!B:G, 6, FALSE)*E1006)</f>
        <v/>
      </c>
      <c r="J1006" s="8">
        <f>IF(G1006="","",G1006*0.20)</f>
        <v/>
      </c>
      <c r="K1006" s="8">
        <f>IF(G1006="","",G1006+J1006)</f>
        <v/>
      </c>
    </row>
    <row r="1007">
      <c r="F1007" s="8" t="n"/>
      <c r="G1007" s="8">
        <f>IF(E1007="","",E1007*F1007)</f>
        <v/>
      </c>
      <c r="H1007" s="8">
        <f>IF(G1007="","",G1007-I1007)</f>
        <v/>
      </c>
      <c r="I1007" s="8">
        <f>IF(D1007="","",VLOOKUP(D1007, RECETTES!B:G, 6, FALSE)*E1007)</f>
        <v/>
      </c>
      <c r="J1007" s="8">
        <f>IF(G1007="","",G1007*0.20)</f>
        <v/>
      </c>
      <c r="K1007" s="8">
        <f>IF(G1007="","",G1007+J1007)</f>
        <v/>
      </c>
    </row>
    <row r="1008">
      <c r="F1008" s="8" t="n"/>
      <c r="G1008" s="8">
        <f>IF(E1008="","",E1008*F1008)</f>
        <v/>
      </c>
      <c r="H1008" s="8">
        <f>IF(G1008="","",G1008-I1008)</f>
        <v/>
      </c>
      <c r="I1008" s="8">
        <f>IF(D1008="","",VLOOKUP(D1008, RECETTES!B:G, 6, FALSE)*E1008)</f>
        <v/>
      </c>
      <c r="J1008" s="8">
        <f>IF(G1008="","",G1008*0.20)</f>
        <v/>
      </c>
      <c r="K1008" s="8">
        <f>IF(G1008="","",G1008+J1008)</f>
        <v/>
      </c>
    </row>
    <row r="1009">
      <c r="F1009" s="8" t="n"/>
      <c r="G1009" s="8">
        <f>IF(E1009="","",E1009*F1009)</f>
        <v/>
      </c>
      <c r="H1009" s="8">
        <f>IF(G1009="","",G1009-I1009)</f>
        <v/>
      </c>
      <c r="I1009" s="8">
        <f>IF(D1009="","",VLOOKUP(D1009, RECETTES!B:G, 6, FALSE)*E1009)</f>
        <v/>
      </c>
      <c r="J1009" s="8">
        <f>IF(G1009="","",G1009*0.20)</f>
        <v/>
      </c>
      <c r="K1009" s="8">
        <f>IF(G1009="","",G1009+J1009)</f>
        <v/>
      </c>
    </row>
    <row r="1010">
      <c r="F1010" s="8" t="n"/>
      <c r="G1010" s="8">
        <f>IF(E1010="","",E1010*F1010)</f>
        <v/>
      </c>
      <c r="H1010" s="8">
        <f>IF(G1010="","",G1010-I1010)</f>
        <v/>
      </c>
      <c r="I1010" s="8">
        <f>IF(D1010="","",VLOOKUP(D1010, RECETTES!B:G, 6, FALSE)*E1010)</f>
        <v/>
      </c>
      <c r="J1010" s="8">
        <f>IF(G1010="","",G1010*0.20)</f>
        <v/>
      </c>
      <c r="K1010" s="8">
        <f>IF(G1010="","",G1010+J1010)</f>
        <v/>
      </c>
    </row>
    <row r="1011">
      <c r="F1011" s="8" t="n"/>
      <c r="G1011" s="8">
        <f>IF(E1011="","",E1011*F1011)</f>
        <v/>
      </c>
      <c r="H1011" s="8">
        <f>IF(G1011="","",G1011-I1011)</f>
        <v/>
      </c>
      <c r="I1011" s="8">
        <f>IF(D1011="","",VLOOKUP(D1011, RECETTES!B:G, 6, FALSE)*E1011)</f>
        <v/>
      </c>
      <c r="J1011" s="8">
        <f>IF(G1011="","",G1011*0.20)</f>
        <v/>
      </c>
      <c r="K1011" s="8">
        <f>IF(G1011="","",G1011+J1011)</f>
        <v/>
      </c>
    </row>
    <row r="1012">
      <c r="F1012" s="8" t="n"/>
      <c r="G1012" s="8">
        <f>IF(E1012="","",E1012*F1012)</f>
        <v/>
      </c>
      <c r="H1012" s="8">
        <f>IF(G1012="","",G1012-I1012)</f>
        <v/>
      </c>
      <c r="I1012" s="8">
        <f>IF(D1012="","",VLOOKUP(D1012, RECETTES!B:G, 6, FALSE)*E1012)</f>
        <v/>
      </c>
      <c r="J1012" s="8">
        <f>IF(G1012="","",G1012*0.20)</f>
        <v/>
      </c>
      <c r="K1012" s="8">
        <f>IF(G1012="","",G1012+J1012)</f>
        <v/>
      </c>
    </row>
    <row r="1013">
      <c r="F1013" s="8" t="n"/>
      <c r="G1013" s="8">
        <f>IF(E1013="","",E1013*F1013)</f>
        <v/>
      </c>
      <c r="H1013" s="8">
        <f>IF(G1013="","",G1013-I1013)</f>
        <v/>
      </c>
      <c r="I1013" s="8">
        <f>IF(D1013="","",VLOOKUP(D1013, RECETTES!B:G, 6, FALSE)*E1013)</f>
        <v/>
      </c>
      <c r="J1013" s="8">
        <f>IF(G1013="","",G1013*0.20)</f>
        <v/>
      </c>
      <c r="K1013" s="8">
        <f>IF(G1013="","",G1013+J1013)</f>
        <v/>
      </c>
    </row>
    <row r="1014">
      <c r="F1014" s="8" t="n"/>
      <c r="G1014" s="8">
        <f>IF(E1014="","",E1014*F1014)</f>
        <v/>
      </c>
      <c r="H1014" s="8">
        <f>IF(G1014="","",G1014-I1014)</f>
        <v/>
      </c>
      <c r="I1014" s="8">
        <f>IF(D1014="","",VLOOKUP(D1014, RECETTES!B:G, 6, FALSE)*E1014)</f>
        <v/>
      </c>
      <c r="J1014" s="8">
        <f>IF(G1014="","",G1014*0.20)</f>
        <v/>
      </c>
      <c r="K1014" s="8">
        <f>IF(G1014="","",G1014+J1014)</f>
        <v/>
      </c>
    </row>
    <row r="1015">
      <c r="F1015" s="8" t="n"/>
      <c r="G1015" s="8">
        <f>IF(E1015="","",E1015*F1015)</f>
        <v/>
      </c>
      <c r="H1015" s="8">
        <f>IF(G1015="","",G1015-I1015)</f>
        <v/>
      </c>
      <c r="I1015" s="8">
        <f>IF(D1015="","",VLOOKUP(D1015, RECETTES!B:G, 6, FALSE)*E1015)</f>
        <v/>
      </c>
      <c r="J1015" s="8">
        <f>IF(G1015="","",G1015*0.20)</f>
        <v/>
      </c>
      <c r="K1015" s="8">
        <f>IF(G1015="","",G1015+J1015)</f>
        <v/>
      </c>
    </row>
    <row r="1016">
      <c r="F1016" s="8" t="n"/>
      <c r="G1016" s="8">
        <f>IF(E1016="","",E1016*F1016)</f>
        <v/>
      </c>
      <c r="H1016" s="8">
        <f>IF(G1016="","",G1016-I1016)</f>
        <v/>
      </c>
      <c r="I1016" s="8">
        <f>IF(D1016="","",VLOOKUP(D1016, RECETTES!B:G, 6, FALSE)*E1016)</f>
        <v/>
      </c>
      <c r="J1016" s="8">
        <f>IF(G1016="","",G1016*0.20)</f>
        <v/>
      </c>
      <c r="K1016" s="8">
        <f>IF(G1016="","",G1016+J1016)</f>
        <v/>
      </c>
    </row>
    <row r="1017">
      <c r="F1017" s="8" t="n"/>
      <c r="G1017" s="8">
        <f>IF(E1017="","",E1017*F1017)</f>
        <v/>
      </c>
      <c r="H1017" s="8">
        <f>IF(G1017="","",G1017-I1017)</f>
        <v/>
      </c>
      <c r="I1017" s="8">
        <f>IF(D1017="","",VLOOKUP(D1017, RECETTES!B:G, 6, FALSE)*E1017)</f>
        <v/>
      </c>
      <c r="J1017" s="8">
        <f>IF(G1017="","",G1017*0.20)</f>
        <v/>
      </c>
      <c r="K1017" s="8">
        <f>IF(G1017="","",G1017+J1017)</f>
        <v/>
      </c>
    </row>
    <row r="1018">
      <c r="F1018" s="8" t="n"/>
      <c r="G1018" s="8">
        <f>IF(E1018="","",E1018*F1018)</f>
        <v/>
      </c>
      <c r="H1018" s="8">
        <f>IF(G1018="","",G1018-I1018)</f>
        <v/>
      </c>
      <c r="I1018" s="8">
        <f>IF(D1018="","",VLOOKUP(D1018, RECETTES!B:G, 6, FALSE)*E1018)</f>
        <v/>
      </c>
      <c r="J1018" s="8">
        <f>IF(G1018="","",G1018*0.20)</f>
        <v/>
      </c>
      <c r="K1018" s="8">
        <f>IF(G1018="","",G1018+J1018)</f>
        <v/>
      </c>
    </row>
    <row r="1019">
      <c r="F1019" s="8" t="n"/>
      <c r="G1019" s="8">
        <f>IF(E1019="","",E1019*F1019)</f>
        <v/>
      </c>
      <c r="H1019" s="8">
        <f>IF(G1019="","",G1019-I1019)</f>
        <v/>
      </c>
      <c r="I1019" s="8">
        <f>IF(D1019="","",VLOOKUP(D1019, RECETTES!B:G, 6, FALSE)*E1019)</f>
        <v/>
      </c>
      <c r="J1019" s="8">
        <f>IF(G1019="","",G1019*0.20)</f>
        <v/>
      </c>
      <c r="K1019" s="8">
        <f>IF(G1019="","",G1019+J1019)</f>
        <v/>
      </c>
    </row>
    <row r="1020">
      <c r="F1020" s="8" t="n"/>
      <c r="G1020" s="8">
        <f>IF(E1020="","",E1020*F1020)</f>
        <v/>
      </c>
      <c r="H1020" s="8">
        <f>IF(G1020="","",G1020-I1020)</f>
        <v/>
      </c>
      <c r="I1020" s="8">
        <f>IF(D1020="","",VLOOKUP(D1020, RECETTES!B:G, 6, FALSE)*E1020)</f>
        <v/>
      </c>
      <c r="J1020" s="8">
        <f>IF(G1020="","",G1020*0.20)</f>
        <v/>
      </c>
      <c r="K1020" s="8">
        <f>IF(G1020="","",G1020+J1020)</f>
        <v/>
      </c>
    </row>
    <row r="1021">
      <c r="F1021" s="8" t="n"/>
      <c r="G1021" s="8">
        <f>IF(E1021="","",E1021*F1021)</f>
        <v/>
      </c>
      <c r="H1021" s="8">
        <f>IF(G1021="","",G1021-I1021)</f>
        <v/>
      </c>
      <c r="I1021" s="8">
        <f>IF(D1021="","",VLOOKUP(D1021, RECETTES!B:G, 6, FALSE)*E1021)</f>
        <v/>
      </c>
      <c r="J1021" s="8">
        <f>IF(G1021="","",G1021*0.20)</f>
        <v/>
      </c>
      <c r="K1021" s="8">
        <f>IF(G1021="","",G1021+J1021)</f>
        <v/>
      </c>
    </row>
    <row r="1022">
      <c r="F1022" s="8" t="n"/>
      <c r="G1022" s="8">
        <f>IF(E1022="","",E1022*F1022)</f>
        <v/>
      </c>
      <c r="H1022" s="8">
        <f>IF(G1022="","",G1022-I1022)</f>
        <v/>
      </c>
      <c r="I1022" s="8">
        <f>IF(D1022="","",VLOOKUP(D1022, RECETTES!B:G, 6, FALSE)*E1022)</f>
        <v/>
      </c>
      <c r="J1022" s="8">
        <f>IF(G1022="","",G1022*0.20)</f>
        <v/>
      </c>
      <c r="K1022" s="8">
        <f>IF(G1022="","",G1022+J1022)</f>
        <v/>
      </c>
    </row>
    <row r="1023">
      <c r="F1023" s="8" t="n"/>
      <c r="G1023" s="8">
        <f>IF(E1023="","",E1023*F1023)</f>
        <v/>
      </c>
      <c r="H1023" s="8">
        <f>IF(G1023="","",G1023-I1023)</f>
        <v/>
      </c>
      <c r="I1023" s="8">
        <f>IF(D1023="","",VLOOKUP(D1023, RECETTES!B:G, 6, FALSE)*E1023)</f>
        <v/>
      </c>
      <c r="J1023" s="8">
        <f>IF(G1023="","",G1023*0.20)</f>
        <v/>
      </c>
      <c r="K1023" s="8">
        <f>IF(G1023="","",G1023+J1023)</f>
        <v/>
      </c>
    </row>
    <row r="1024">
      <c r="F1024" s="8" t="n"/>
      <c r="G1024" s="8">
        <f>IF(E1024="","",E1024*F1024)</f>
        <v/>
      </c>
      <c r="H1024" s="8">
        <f>IF(G1024="","",G1024-I1024)</f>
        <v/>
      </c>
      <c r="I1024" s="8">
        <f>IF(D1024="","",VLOOKUP(D1024, RECETTES!B:G, 6, FALSE)*E1024)</f>
        <v/>
      </c>
      <c r="J1024" s="8">
        <f>IF(G1024="","",G1024*0.20)</f>
        <v/>
      </c>
      <c r="K1024" s="8">
        <f>IF(G1024="","",G1024+J1024)</f>
        <v/>
      </c>
    </row>
    <row r="1025">
      <c r="F1025" s="8" t="n"/>
      <c r="G1025" s="8">
        <f>IF(E1025="","",E1025*F1025)</f>
        <v/>
      </c>
      <c r="H1025" s="8">
        <f>IF(G1025="","",G1025-I1025)</f>
        <v/>
      </c>
      <c r="I1025" s="8">
        <f>IF(D1025="","",VLOOKUP(D1025, RECETTES!B:G, 6, FALSE)*E1025)</f>
        <v/>
      </c>
      <c r="J1025" s="8">
        <f>IF(G1025="","",G1025*0.20)</f>
        <v/>
      </c>
      <c r="K1025" s="8">
        <f>IF(G1025="","",G1025+J1025)</f>
        <v/>
      </c>
    </row>
    <row r="1026">
      <c r="F1026" s="8" t="n"/>
      <c r="G1026" s="8">
        <f>IF(E1026="","",E1026*F1026)</f>
        <v/>
      </c>
      <c r="H1026" s="8">
        <f>IF(G1026="","",G1026-I1026)</f>
        <v/>
      </c>
      <c r="I1026" s="8">
        <f>IF(D1026="","",VLOOKUP(D1026, RECETTES!B:G, 6, FALSE)*E1026)</f>
        <v/>
      </c>
      <c r="J1026" s="8">
        <f>IF(G1026="","",G1026*0.20)</f>
        <v/>
      </c>
      <c r="K1026" s="8">
        <f>IF(G1026="","",G1026+J1026)</f>
        <v/>
      </c>
    </row>
    <row r="1027">
      <c r="F1027" s="8" t="n"/>
      <c r="G1027" s="8">
        <f>IF(E1027="","",E1027*F1027)</f>
        <v/>
      </c>
      <c r="H1027" s="8">
        <f>IF(G1027="","",G1027-I1027)</f>
        <v/>
      </c>
      <c r="I1027" s="8">
        <f>IF(D1027="","",VLOOKUP(D1027, RECETTES!B:G, 6, FALSE)*E1027)</f>
        <v/>
      </c>
      <c r="J1027" s="8">
        <f>IF(G1027="","",G1027*0.20)</f>
        <v/>
      </c>
      <c r="K1027" s="8">
        <f>IF(G1027="","",G1027+J1027)</f>
        <v/>
      </c>
    </row>
    <row r="1028">
      <c r="F1028" s="8" t="n"/>
      <c r="G1028" s="8">
        <f>IF(E1028="","",E1028*F1028)</f>
        <v/>
      </c>
      <c r="H1028" s="8">
        <f>IF(G1028="","",G1028-I1028)</f>
        <v/>
      </c>
      <c r="I1028" s="8">
        <f>IF(D1028="","",VLOOKUP(D1028, RECETTES!B:G, 6, FALSE)*E1028)</f>
        <v/>
      </c>
      <c r="J1028" s="8">
        <f>IF(G1028="","",G1028*0.20)</f>
        <v/>
      </c>
      <c r="K1028" s="8">
        <f>IF(G1028="","",G1028+J1028)</f>
        <v/>
      </c>
    </row>
    <row r="1029">
      <c r="F1029" s="8" t="n"/>
      <c r="G1029" s="8">
        <f>IF(E1029="","",E1029*F1029)</f>
        <v/>
      </c>
      <c r="H1029" s="8">
        <f>IF(G1029="","",G1029-I1029)</f>
        <v/>
      </c>
      <c r="I1029" s="8">
        <f>IF(D1029="","",VLOOKUP(D1029, RECETTES!B:G, 6, FALSE)*E1029)</f>
        <v/>
      </c>
      <c r="J1029" s="8">
        <f>IF(G1029="","",G1029*0.20)</f>
        <v/>
      </c>
      <c r="K1029" s="8">
        <f>IF(G1029="","",G1029+J1029)</f>
        <v/>
      </c>
    </row>
    <row r="1030">
      <c r="F1030" s="8" t="n"/>
      <c r="G1030" s="8">
        <f>IF(E1030="","",E1030*F1030)</f>
        <v/>
      </c>
      <c r="H1030" s="8">
        <f>IF(G1030="","",G1030-I1030)</f>
        <v/>
      </c>
      <c r="I1030" s="8">
        <f>IF(D1030="","",VLOOKUP(D1030, RECETTES!B:G, 6, FALSE)*E1030)</f>
        <v/>
      </c>
      <c r="J1030" s="8">
        <f>IF(G1030="","",G1030*0.20)</f>
        <v/>
      </c>
      <c r="K1030" s="8">
        <f>IF(G1030="","",G1030+J1030)</f>
        <v/>
      </c>
    </row>
    <row r="1031">
      <c r="F1031" s="8" t="n"/>
      <c r="G1031" s="8">
        <f>IF(E1031="","",E1031*F1031)</f>
        <v/>
      </c>
      <c r="H1031" s="8">
        <f>IF(G1031="","",G1031-I1031)</f>
        <v/>
      </c>
      <c r="I1031" s="8">
        <f>IF(D1031="","",VLOOKUP(D1031, RECETTES!B:G, 6, FALSE)*E1031)</f>
        <v/>
      </c>
      <c r="J1031" s="8">
        <f>IF(G1031="","",G1031*0.20)</f>
        <v/>
      </c>
      <c r="K1031" s="8">
        <f>IF(G1031="","",G1031+J1031)</f>
        <v/>
      </c>
    </row>
    <row r="1032">
      <c r="F1032" s="8" t="n"/>
      <c r="G1032" s="8">
        <f>IF(E1032="","",E1032*F1032)</f>
        <v/>
      </c>
      <c r="H1032" s="8">
        <f>IF(G1032="","",G1032-I1032)</f>
        <v/>
      </c>
      <c r="I1032" s="8">
        <f>IF(D1032="","",VLOOKUP(D1032, RECETTES!B:G, 6, FALSE)*E1032)</f>
        <v/>
      </c>
      <c r="J1032" s="8">
        <f>IF(G1032="","",G1032*0.20)</f>
        <v/>
      </c>
      <c r="K1032" s="8">
        <f>IF(G1032="","",G1032+J1032)</f>
        <v/>
      </c>
    </row>
    <row r="1033">
      <c r="F1033" s="8" t="n"/>
      <c r="G1033" s="8">
        <f>IF(E1033="","",E1033*F1033)</f>
        <v/>
      </c>
      <c r="H1033" s="8">
        <f>IF(G1033="","",G1033-I1033)</f>
        <v/>
      </c>
      <c r="I1033" s="8">
        <f>IF(D1033="","",VLOOKUP(D1033, RECETTES!B:G, 6, FALSE)*E1033)</f>
        <v/>
      </c>
      <c r="J1033" s="8">
        <f>IF(G1033="","",G1033*0.20)</f>
        <v/>
      </c>
      <c r="K1033" s="8">
        <f>IF(G1033="","",G1033+J1033)</f>
        <v/>
      </c>
    </row>
    <row r="1034">
      <c r="F1034" s="8" t="n"/>
      <c r="G1034" s="8">
        <f>IF(E1034="","",E1034*F1034)</f>
        <v/>
      </c>
      <c r="H1034" s="8">
        <f>IF(G1034="","",G1034-I1034)</f>
        <v/>
      </c>
      <c r="I1034" s="8">
        <f>IF(D1034="","",VLOOKUP(D1034, RECETTES!B:G, 6, FALSE)*E1034)</f>
        <v/>
      </c>
      <c r="J1034" s="8">
        <f>IF(G1034="","",G1034*0.20)</f>
        <v/>
      </c>
      <c r="K1034" s="8">
        <f>IF(G1034="","",G1034+J1034)</f>
        <v/>
      </c>
    </row>
    <row r="1035">
      <c r="F1035" s="8" t="n"/>
      <c r="G1035" s="8">
        <f>IF(E1035="","",E1035*F1035)</f>
        <v/>
      </c>
      <c r="H1035" s="8">
        <f>IF(G1035="","",G1035-I1035)</f>
        <v/>
      </c>
      <c r="I1035" s="8">
        <f>IF(D1035="","",VLOOKUP(D1035, RECETTES!B:G, 6, FALSE)*E1035)</f>
        <v/>
      </c>
      <c r="J1035" s="8">
        <f>IF(G1035="","",G1035*0.20)</f>
        <v/>
      </c>
      <c r="K1035" s="8">
        <f>IF(G1035="","",G1035+J1035)</f>
        <v/>
      </c>
    </row>
    <row r="1036">
      <c r="F1036" s="8" t="n"/>
      <c r="G1036" s="8">
        <f>IF(E1036="","",E1036*F1036)</f>
        <v/>
      </c>
      <c r="H1036" s="8">
        <f>IF(G1036="","",G1036-I1036)</f>
        <v/>
      </c>
      <c r="I1036" s="8">
        <f>IF(D1036="","",VLOOKUP(D1036, RECETTES!B:G, 6, FALSE)*E1036)</f>
        <v/>
      </c>
      <c r="J1036" s="8">
        <f>IF(G1036="","",G1036*0.20)</f>
        <v/>
      </c>
      <c r="K1036" s="8">
        <f>IF(G1036="","",G1036+J1036)</f>
        <v/>
      </c>
    </row>
    <row r="1037">
      <c r="F1037" s="8" t="n"/>
      <c r="G1037" s="8">
        <f>IF(E1037="","",E1037*F1037)</f>
        <v/>
      </c>
      <c r="H1037" s="8">
        <f>IF(G1037="","",G1037-I1037)</f>
        <v/>
      </c>
      <c r="I1037" s="8">
        <f>IF(D1037="","",VLOOKUP(D1037, RECETTES!B:G, 6, FALSE)*E1037)</f>
        <v/>
      </c>
      <c r="J1037" s="8">
        <f>IF(G1037="","",G1037*0.20)</f>
        <v/>
      </c>
      <c r="K1037" s="8">
        <f>IF(G1037="","",G1037+J1037)</f>
        <v/>
      </c>
    </row>
    <row r="1038">
      <c r="F1038" s="8" t="n"/>
      <c r="G1038" s="8">
        <f>IF(E1038="","",E1038*F1038)</f>
        <v/>
      </c>
      <c r="H1038" s="8">
        <f>IF(G1038="","",G1038-I1038)</f>
        <v/>
      </c>
      <c r="I1038" s="8">
        <f>IF(D1038="","",VLOOKUP(D1038, RECETTES!B:G, 6, FALSE)*E1038)</f>
        <v/>
      </c>
      <c r="J1038" s="8">
        <f>IF(G1038="","",G1038*0.20)</f>
        <v/>
      </c>
      <c r="K1038" s="8">
        <f>IF(G1038="","",G1038+J1038)</f>
        <v/>
      </c>
    </row>
    <row r="1039">
      <c r="F1039" s="8" t="n"/>
      <c r="G1039" s="8">
        <f>IF(E1039="","",E1039*F1039)</f>
        <v/>
      </c>
      <c r="H1039" s="8">
        <f>IF(G1039="","",G1039-I1039)</f>
        <v/>
      </c>
      <c r="I1039" s="8">
        <f>IF(D1039="","",VLOOKUP(D1039, RECETTES!B:G, 6, FALSE)*E1039)</f>
        <v/>
      </c>
      <c r="J1039" s="8">
        <f>IF(G1039="","",G1039*0.20)</f>
        <v/>
      </c>
      <c r="K1039" s="8">
        <f>IF(G1039="","",G1039+J1039)</f>
        <v/>
      </c>
    </row>
    <row r="1040">
      <c r="F1040" s="8" t="n"/>
      <c r="G1040" s="8">
        <f>IF(E1040="","",E1040*F1040)</f>
        <v/>
      </c>
      <c r="H1040" s="8">
        <f>IF(G1040="","",G1040-I1040)</f>
        <v/>
      </c>
      <c r="I1040" s="8">
        <f>IF(D1040="","",VLOOKUP(D1040, RECETTES!B:G, 6, FALSE)*E1040)</f>
        <v/>
      </c>
      <c r="J1040" s="8">
        <f>IF(G1040="","",G1040*0.20)</f>
        <v/>
      </c>
      <c r="K1040" s="8">
        <f>IF(G1040="","",G1040+J1040)</f>
        <v/>
      </c>
    </row>
    <row r="1041">
      <c r="F1041" s="8" t="n"/>
      <c r="G1041" s="8">
        <f>IF(E1041="","",E1041*F1041)</f>
        <v/>
      </c>
      <c r="H1041" s="8">
        <f>IF(G1041="","",G1041-I1041)</f>
        <v/>
      </c>
      <c r="I1041" s="8">
        <f>IF(D1041="","",VLOOKUP(D1041, RECETTES!B:G, 6, FALSE)*E1041)</f>
        <v/>
      </c>
      <c r="J1041" s="8">
        <f>IF(G1041="","",G1041*0.20)</f>
        <v/>
      </c>
      <c r="K1041" s="8">
        <f>IF(G1041="","",G1041+J1041)</f>
        <v/>
      </c>
    </row>
    <row r="1042">
      <c r="F1042" s="8" t="n"/>
      <c r="G1042" s="8">
        <f>IF(E1042="","",E1042*F1042)</f>
        <v/>
      </c>
      <c r="H1042" s="8">
        <f>IF(G1042="","",G1042-I1042)</f>
        <v/>
      </c>
      <c r="I1042" s="8">
        <f>IF(D1042="","",VLOOKUP(D1042, RECETTES!B:G, 6, FALSE)*E1042)</f>
        <v/>
      </c>
      <c r="J1042" s="8">
        <f>IF(G1042="","",G1042*0.20)</f>
        <v/>
      </c>
      <c r="K1042" s="8">
        <f>IF(G1042="","",G1042+J1042)</f>
        <v/>
      </c>
    </row>
    <row r="1043">
      <c r="F1043" s="8" t="n"/>
      <c r="G1043" s="8">
        <f>IF(E1043="","",E1043*F1043)</f>
        <v/>
      </c>
      <c r="H1043" s="8">
        <f>IF(G1043="","",G1043-I1043)</f>
        <v/>
      </c>
      <c r="I1043" s="8">
        <f>IF(D1043="","",VLOOKUP(D1043, RECETTES!B:G, 6, FALSE)*E1043)</f>
        <v/>
      </c>
      <c r="J1043" s="8">
        <f>IF(G1043="","",G1043*0.20)</f>
        <v/>
      </c>
      <c r="K1043" s="8">
        <f>IF(G1043="","",G1043+J1043)</f>
        <v/>
      </c>
    </row>
    <row r="1044">
      <c r="F1044" s="8" t="n"/>
      <c r="G1044" s="8">
        <f>IF(E1044="","",E1044*F1044)</f>
        <v/>
      </c>
      <c r="H1044" s="8">
        <f>IF(G1044="","",G1044-I1044)</f>
        <v/>
      </c>
      <c r="I1044" s="8">
        <f>IF(D1044="","",VLOOKUP(D1044, RECETTES!B:G, 6, FALSE)*E1044)</f>
        <v/>
      </c>
      <c r="J1044" s="8">
        <f>IF(G1044="","",G1044*0.20)</f>
        <v/>
      </c>
      <c r="K1044" s="8">
        <f>IF(G1044="","",G1044+J1044)</f>
        <v/>
      </c>
    </row>
    <row r="1045">
      <c r="F1045" s="8" t="n"/>
      <c r="G1045" s="8">
        <f>IF(E1045="","",E1045*F1045)</f>
        <v/>
      </c>
      <c r="H1045" s="8">
        <f>IF(G1045="","",G1045-I1045)</f>
        <v/>
      </c>
      <c r="I1045" s="8">
        <f>IF(D1045="","",VLOOKUP(D1045, RECETTES!B:G, 6, FALSE)*E1045)</f>
        <v/>
      </c>
      <c r="J1045" s="8">
        <f>IF(G1045="","",G1045*0.20)</f>
        <v/>
      </c>
      <c r="K1045" s="8">
        <f>IF(G1045="","",G1045+J1045)</f>
        <v/>
      </c>
    </row>
    <row r="1046">
      <c r="F1046" s="8" t="n"/>
      <c r="G1046" s="8">
        <f>IF(E1046="","",E1046*F1046)</f>
        <v/>
      </c>
      <c r="H1046" s="8">
        <f>IF(G1046="","",G1046-I1046)</f>
        <v/>
      </c>
      <c r="I1046" s="8">
        <f>IF(D1046="","",VLOOKUP(D1046, RECETTES!B:G, 6, FALSE)*E1046)</f>
        <v/>
      </c>
      <c r="J1046" s="8">
        <f>IF(G1046="","",G1046*0.20)</f>
        <v/>
      </c>
      <c r="K1046" s="8">
        <f>IF(G1046="","",G1046+J1046)</f>
        <v/>
      </c>
    </row>
    <row r="1047">
      <c r="F1047" s="8" t="n"/>
      <c r="G1047" s="8">
        <f>IF(E1047="","",E1047*F1047)</f>
        <v/>
      </c>
      <c r="H1047" s="8">
        <f>IF(G1047="","",G1047-I1047)</f>
        <v/>
      </c>
      <c r="I1047" s="8">
        <f>IF(D1047="","",VLOOKUP(D1047, RECETTES!B:G, 6, FALSE)*E1047)</f>
        <v/>
      </c>
      <c r="J1047" s="8">
        <f>IF(G1047="","",G1047*0.20)</f>
        <v/>
      </c>
      <c r="K1047" s="8">
        <f>IF(G1047="","",G1047+J1047)</f>
        <v/>
      </c>
    </row>
    <row r="1048">
      <c r="F1048" s="8" t="n"/>
      <c r="G1048" s="8">
        <f>IF(E1048="","",E1048*F1048)</f>
        <v/>
      </c>
      <c r="H1048" s="8">
        <f>IF(G1048="","",G1048-I1048)</f>
        <v/>
      </c>
      <c r="I1048" s="8">
        <f>IF(D1048="","",VLOOKUP(D1048, RECETTES!B:G, 6, FALSE)*E1048)</f>
        <v/>
      </c>
      <c r="J1048" s="8">
        <f>IF(G1048="","",G1048*0.20)</f>
        <v/>
      </c>
      <c r="K1048" s="8">
        <f>IF(G1048="","",G1048+J1048)</f>
        <v/>
      </c>
    </row>
    <row r="1049">
      <c r="F1049" s="8" t="n"/>
      <c r="G1049" s="8">
        <f>IF(E1049="","",E1049*F1049)</f>
        <v/>
      </c>
      <c r="H1049" s="8">
        <f>IF(G1049="","",G1049-I1049)</f>
        <v/>
      </c>
      <c r="I1049" s="8">
        <f>IF(D1049="","",VLOOKUP(D1049, RECETTES!B:G, 6, FALSE)*E1049)</f>
        <v/>
      </c>
      <c r="J1049" s="8">
        <f>IF(G1049="","",G1049*0.20)</f>
        <v/>
      </c>
      <c r="K1049" s="8">
        <f>IF(G1049="","",G1049+J1049)</f>
        <v/>
      </c>
    </row>
    <row r="1050">
      <c r="F1050" s="8" t="n"/>
      <c r="G1050" s="8">
        <f>IF(E1050="","",E1050*F1050)</f>
        <v/>
      </c>
      <c r="H1050" s="8">
        <f>IF(G1050="","",G1050-I1050)</f>
        <v/>
      </c>
      <c r="I1050" s="8">
        <f>IF(D1050="","",VLOOKUP(D1050, RECETTES!B:G, 6, FALSE)*E1050)</f>
        <v/>
      </c>
      <c r="J1050" s="8">
        <f>IF(G1050="","",G1050*0.20)</f>
        <v/>
      </c>
      <c r="K1050" s="8">
        <f>IF(G1050="","",G1050+J1050)</f>
        <v/>
      </c>
    </row>
    <row r="1051">
      <c r="F1051" s="8" t="n"/>
      <c r="G1051" s="8">
        <f>IF(E1051="","",E1051*F1051)</f>
        <v/>
      </c>
      <c r="H1051" s="8">
        <f>IF(G1051="","",G1051-I1051)</f>
        <v/>
      </c>
      <c r="I1051" s="8">
        <f>IF(D1051="","",VLOOKUP(D1051, RECETTES!B:G, 6, FALSE)*E1051)</f>
        <v/>
      </c>
      <c r="J1051" s="8">
        <f>IF(G1051="","",G1051*0.20)</f>
        <v/>
      </c>
      <c r="K1051" s="8">
        <f>IF(G1051="","",G1051+J1051)</f>
        <v/>
      </c>
    </row>
    <row r="1052">
      <c r="F1052" s="8" t="n"/>
      <c r="G1052" s="8">
        <f>IF(E1052="","",E1052*F1052)</f>
        <v/>
      </c>
      <c r="H1052" s="8">
        <f>IF(G1052="","",G1052-I1052)</f>
        <v/>
      </c>
      <c r="I1052" s="8">
        <f>IF(D1052="","",VLOOKUP(D1052, RECETTES!B:G, 6, FALSE)*E1052)</f>
        <v/>
      </c>
      <c r="J1052" s="8">
        <f>IF(G1052="","",G1052*0.20)</f>
        <v/>
      </c>
      <c r="K1052" s="8">
        <f>IF(G1052="","",G1052+J1052)</f>
        <v/>
      </c>
    </row>
    <row r="1053">
      <c r="F1053" s="8" t="n"/>
      <c r="G1053" s="8">
        <f>IF(E1053="","",E1053*F1053)</f>
        <v/>
      </c>
      <c r="H1053" s="8">
        <f>IF(G1053="","",G1053-I1053)</f>
        <v/>
      </c>
      <c r="I1053" s="8">
        <f>IF(D1053="","",VLOOKUP(D1053, RECETTES!B:G, 6, FALSE)*E1053)</f>
        <v/>
      </c>
      <c r="J1053" s="8">
        <f>IF(G1053="","",G1053*0.20)</f>
        <v/>
      </c>
      <c r="K1053" s="8">
        <f>IF(G1053="","",G1053+J1053)</f>
        <v/>
      </c>
    </row>
    <row r="1054">
      <c r="F1054" s="8" t="n"/>
      <c r="G1054" s="8">
        <f>IF(E1054="","",E1054*F1054)</f>
        <v/>
      </c>
      <c r="H1054" s="8">
        <f>IF(G1054="","",G1054-I1054)</f>
        <v/>
      </c>
      <c r="I1054" s="8">
        <f>IF(D1054="","",VLOOKUP(D1054, RECETTES!B:G, 6, FALSE)*E1054)</f>
        <v/>
      </c>
      <c r="J1054" s="8">
        <f>IF(G1054="","",G1054*0.20)</f>
        <v/>
      </c>
      <c r="K1054" s="8">
        <f>IF(G1054="","",G1054+J1054)</f>
        <v/>
      </c>
    </row>
    <row r="1055">
      <c r="F1055" s="8" t="n"/>
      <c r="G1055" s="8">
        <f>IF(E1055="","",E1055*F1055)</f>
        <v/>
      </c>
      <c r="H1055" s="8">
        <f>IF(G1055="","",G1055-I1055)</f>
        <v/>
      </c>
      <c r="I1055" s="8">
        <f>IF(D1055="","",VLOOKUP(D1055, RECETTES!B:G, 6, FALSE)*E1055)</f>
        <v/>
      </c>
      <c r="J1055" s="8">
        <f>IF(G1055="","",G1055*0.20)</f>
        <v/>
      </c>
      <c r="K1055" s="8">
        <f>IF(G1055="","",G1055+J1055)</f>
        <v/>
      </c>
    </row>
    <row r="1056">
      <c r="F1056" s="8" t="n"/>
      <c r="G1056" s="8">
        <f>IF(E1056="","",E1056*F1056)</f>
        <v/>
      </c>
      <c r="H1056" s="8">
        <f>IF(G1056="","",G1056-I1056)</f>
        <v/>
      </c>
      <c r="I1056" s="8">
        <f>IF(D1056="","",VLOOKUP(D1056, RECETTES!B:G, 6, FALSE)*E1056)</f>
        <v/>
      </c>
      <c r="J1056" s="8">
        <f>IF(G1056="","",G1056*0.20)</f>
        <v/>
      </c>
      <c r="K1056" s="8">
        <f>IF(G1056="","",G1056+J1056)</f>
        <v/>
      </c>
    </row>
    <row r="1057">
      <c r="F1057" s="8" t="n"/>
      <c r="G1057" s="8">
        <f>IF(E1057="","",E1057*F1057)</f>
        <v/>
      </c>
      <c r="H1057" s="8">
        <f>IF(G1057="","",G1057-I1057)</f>
        <v/>
      </c>
      <c r="I1057" s="8">
        <f>IF(D1057="","",VLOOKUP(D1057, RECETTES!B:G, 6, FALSE)*E1057)</f>
        <v/>
      </c>
      <c r="J1057" s="8">
        <f>IF(G1057="","",G1057*0.20)</f>
        <v/>
      </c>
      <c r="K1057" s="8">
        <f>IF(G1057="","",G1057+J1057)</f>
        <v/>
      </c>
    </row>
    <row r="1058">
      <c r="F1058" s="8" t="n"/>
      <c r="G1058" s="8">
        <f>IF(E1058="","",E1058*F1058)</f>
        <v/>
      </c>
      <c r="H1058" s="8">
        <f>IF(G1058="","",G1058-I1058)</f>
        <v/>
      </c>
      <c r="I1058" s="8">
        <f>IF(D1058="","",VLOOKUP(D1058, RECETTES!B:G, 6, FALSE)*E1058)</f>
        <v/>
      </c>
      <c r="J1058" s="8">
        <f>IF(G1058="","",G1058*0.20)</f>
        <v/>
      </c>
      <c r="K1058" s="8">
        <f>IF(G1058="","",G1058+J1058)</f>
        <v/>
      </c>
    </row>
    <row r="1059">
      <c r="F1059" s="8" t="n"/>
      <c r="G1059" s="8">
        <f>IF(E1059="","",E1059*F1059)</f>
        <v/>
      </c>
      <c r="H1059" s="8">
        <f>IF(G1059="","",G1059-I1059)</f>
        <v/>
      </c>
      <c r="I1059" s="8">
        <f>IF(D1059="","",VLOOKUP(D1059, RECETTES!B:G, 6, FALSE)*E1059)</f>
        <v/>
      </c>
      <c r="J1059" s="8">
        <f>IF(G1059="","",G1059*0.20)</f>
        <v/>
      </c>
      <c r="K1059" s="8">
        <f>IF(G1059="","",G1059+J1059)</f>
        <v/>
      </c>
    </row>
    <row r="1060">
      <c r="F1060" s="8" t="n"/>
      <c r="G1060" s="8">
        <f>IF(E1060="","",E1060*F1060)</f>
        <v/>
      </c>
      <c r="H1060" s="8">
        <f>IF(G1060="","",G1060-I1060)</f>
        <v/>
      </c>
      <c r="I1060" s="8">
        <f>IF(D1060="","",VLOOKUP(D1060, RECETTES!B:G, 6, FALSE)*E1060)</f>
        <v/>
      </c>
      <c r="J1060" s="8">
        <f>IF(G1060="","",G1060*0.20)</f>
        <v/>
      </c>
      <c r="K1060" s="8">
        <f>IF(G1060="","",G1060+J1060)</f>
        <v/>
      </c>
    </row>
    <row r="1061">
      <c r="F1061" s="8" t="n"/>
      <c r="G1061" s="8">
        <f>IF(E1061="","",E1061*F1061)</f>
        <v/>
      </c>
      <c r="H1061" s="8">
        <f>IF(G1061="","",G1061-I1061)</f>
        <v/>
      </c>
      <c r="I1061" s="8">
        <f>IF(D1061="","",VLOOKUP(D1061, RECETTES!B:G, 6, FALSE)*E1061)</f>
        <v/>
      </c>
      <c r="J1061" s="8">
        <f>IF(G1061="","",G1061*0.20)</f>
        <v/>
      </c>
      <c r="K1061" s="8">
        <f>IF(G1061="","",G1061+J1061)</f>
        <v/>
      </c>
    </row>
    <row r="1062">
      <c r="F1062" s="8" t="n"/>
      <c r="G1062" s="8">
        <f>IF(E1062="","",E1062*F1062)</f>
        <v/>
      </c>
      <c r="H1062" s="8">
        <f>IF(G1062="","",G1062-I1062)</f>
        <v/>
      </c>
      <c r="I1062" s="8">
        <f>IF(D1062="","",VLOOKUP(D1062, RECETTES!B:G, 6, FALSE)*E1062)</f>
        <v/>
      </c>
      <c r="J1062" s="8">
        <f>IF(G1062="","",G1062*0.20)</f>
        <v/>
      </c>
      <c r="K1062" s="8">
        <f>IF(G1062="","",G1062+J1062)</f>
        <v/>
      </c>
    </row>
    <row r="1063">
      <c r="F1063" s="8" t="n"/>
      <c r="G1063" s="8">
        <f>IF(E1063="","",E1063*F1063)</f>
        <v/>
      </c>
      <c r="H1063" s="8">
        <f>IF(G1063="","",G1063-I1063)</f>
        <v/>
      </c>
      <c r="I1063" s="8">
        <f>IF(D1063="","",VLOOKUP(D1063, RECETTES!B:G, 6, FALSE)*E1063)</f>
        <v/>
      </c>
      <c r="J1063" s="8">
        <f>IF(G1063="","",G1063*0.20)</f>
        <v/>
      </c>
      <c r="K1063" s="8">
        <f>IF(G1063="","",G1063+J1063)</f>
        <v/>
      </c>
    </row>
    <row r="1064">
      <c r="F1064" s="8" t="n"/>
      <c r="G1064" s="8">
        <f>IF(E1064="","",E1064*F1064)</f>
        <v/>
      </c>
      <c r="H1064" s="8">
        <f>IF(G1064="","",G1064-I1064)</f>
        <v/>
      </c>
      <c r="I1064" s="8">
        <f>IF(D1064="","",VLOOKUP(D1064, RECETTES!B:G, 6, FALSE)*E1064)</f>
        <v/>
      </c>
      <c r="J1064" s="8">
        <f>IF(G1064="","",G1064*0.20)</f>
        <v/>
      </c>
      <c r="K1064" s="8">
        <f>IF(G1064="","",G1064+J1064)</f>
        <v/>
      </c>
    </row>
    <row r="1065">
      <c r="F1065" s="8" t="n"/>
      <c r="G1065" s="8">
        <f>IF(E1065="","",E1065*F1065)</f>
        <v/>
      </c>
      <c r="H1065" s="8">
        <f>IF(G1065="","",G1065-I1065)</f>
        <v/>
      </c>
      <c r="I1065" s="8">
        <f>IF(D1065="","",VLOOKUP(D1065, RECETTES!B:G, 6, FALSE)*E1065)</f>
        <v/>
      </c>
      <c r="J1065" s="8">
        <f>IF(G1065="","",G1065*0.20)</f>
        <v/>
      </c>
      <c r="K1065" s="8">
        <f>IF(G1065="","",G1065+J1065)</f>
        <v/>
      </c>
    </row>
    <row r="1066">
      <c r="F1066" s="8" t="n"/>
      <c r="G1066" s="8">
        <f>IF(E1066="","",E1066*F1066)</f>
        <v/>
      </c>
      <c r="H1066" s="8">
        <f>IF(G1066="","",G1066-I1066)</f>
        <v/>
      </c>
      <c r="I1066" s="8">
        <f>IF(D1066="","",VLOOKUP(D1066, RECETTES!B:G, 6, FALSE)*E1066)</f>
        <v/>
      </c>
      <c r="J1066" s="8">
        <f>IF(G1066="","",G1066*0.20)</f>
        <v/>
      </c>
      <c r="K1066" s="8">
        <f>IF(G1066="","",G1066+J1066)</f>
        <v/>
      </c>
    </row>
    <row r="1067">
      <c r="F1067" s="8" t="n"/>
      <c r="G1067" s="8">
        <f>IF(E1067="","",E1067*F1067)</f>
        <v/>
      </c>
      <c r="H1067" s="8">
        <f>IF(G1067="","",G1067-I1067)</f>
        <v/>
      </c>
      <c r="I1067" s="8">
        <f>IF(D1067="","",VLOOKUP(D1067, RECETTES!B:G, 6, FALSE)*E1067)</f>
        <v/>
      </c>
      <c r="J1067" s="8">
        <f>IF(G1067="","",G1067*0.20)</f>
        <v/>
      </c>
      <c r="K1067" s="8">
        <f>IF(G1067="","",G1067+J1067)</f>
        <v/>
      </c>
    </row>
    <row r="1068">
      <c r="F1068" s="8" t="n"/>
      <c r="G1068" s="8">
        <f>IF(E1068="","",E1068*F1068)</f>
        <v/>
      </c>
      <c r="H1068" s="8">
        <f>IF(G1068="","",G1068-I1068)</f>
        <v/>
      </c>
      <c r="I1068" s="8">
        <f>IF(D1068="","",VLOOKUP(D1068, RECETTES!B:G, 6, FALSE)*E1068)</f>
        <v/>
      </c>
      <c r="J1068" s="8">
        <f>IF(G1068="","",G1068*0.20)</f>
        <v/>
      </c>
      <c r="K1068" s="8">
        <f>IF(G1068="","",G1068+J1068)</f>
        <v/>
      </c>
    </row>
    <row r="1069">
      <c r="F1069" s="8" t="n"/>
      <c r="G1069" s="8">
        <f>IF(E1069="","",E1069*F1069)</f>
        <v/>
      </c>
      <c r="H1069" s="8">
        <f>IF(G1069="","",G1069-I1069)</f>
        <v/>
      </c>
      <c r="I1069" s="8">
        <f>IF(D1069="","",VLOOKUP(D1069, RECETTES!B:G, 6, FALSE)*E1069)</f>
        <v/>
      </c>
      <c r="J1069" s="8">
        <f>IF(G1069="","",G1069*0.20)</f>
        <v/>
      </c>
      <c r="K1069" s="8">
        <f>IF(G1069="","",G1069+J1069)</f>
        <v/>
      </c>
    </row>
    <row r="1070">
      <c r="F1070" s="8" t="n"/>
      <c r="G1070" s="8">
        <f>IF(E1070="","",E1070*F1070)</f>
        <v/>
      </c>
      <c r="H1070" s="8">
        <f>IF(G1070="","",G1070-I1070)</f>
        <v/>
      </c>
      <c r="I1070" s="8">
        <f>IF(D1070="","",VLOOKUP(D1070, RECETTES!B:G, 6, FALSE)*E1070)</f>
        <v/>
      </c>
      <c r="J1070" s="8">
        <f>IF(G1070="","",G1070*0.20)</f>
        <v/>
      </c>
      <c r="K1070" s="8">
        <f>IF(G1070="","",G1070+J1070)</f>
        <v/>
      </c>
    </row>
    <row r="1071">
      <c r="F1071" s="8" t="n"/>
      <c r="G1071" s="8">
        <f>IF(E1071="","",E1071*F1071)</f>
        <v/>
      </c>
      <c r="H1071" s="8">
        <f>IF(G1071="","",G1071-I1071)</f>
        <v/>
      </c>
      <c r="I1071" s="8">
        <f>IF(D1071="","",VLOOKUP(D1071, RECETTES!B:G, 6, FALSE)*E1071)</f>
        <v/>
      </c>
      <c r="J1071" s="8">
        <f>IF(G1071="","",G1071*0.20)</f>
        <v/>
      </c>
      <c r="K1071" s="8">
        <f>IF(G1071="","",G1071+J1071)</f>
        <v/>
      </c>
    </row>
    <row r="1072">
      <c r="F1072" s="8" t="n"/>
      <c r="G1072" s="8">
        <f>IF(E1072="","",E1072*F1072)</f>
        <v/>
      </c>
      <c r="H1072" s="8">
        <f>IF(G1072="","",G1072-I1072)</f>
        <v/>
      </c>
      <c r="I1072" s="8">
        <f>IF(D1072="","",VLOOKUP(D1072, RECETTES!B:G, 6, FALSE)*E1072)</f>
        <v/>
      </c>
      <c r="J1072" s="8">
        <f>IF(G1072="","",G1072*0.20)</f>
        <v/>
      </c>
      <c r="K1072" s="8">
        <f>IF(G1072="","",G1072+J1072)</f>
        <v/>
      </c>
    </row>
    <row r="1073">
      <c r="F1073" s="8" t="n"/>
      <c r="G1073" s="8">
        <f>IF(E1073="","",E1073*F1073)</f>
        <v/>
      </c>
      <c r="H1073" s="8">
        <f>IF(G1073="","",G1073-I1073)</f>
        <v/>
      </c>
      <c r="I1073" s="8">
        <f>IF(D1073="","",VLOOKUP(D1073, RECETTES!B:G, 6, FALSE)*E1073)</f>
        <v/>
      </c>
      <c r="J1073" s="8">
        <f>IF(G1073="","",G1073*0.20)</f>
        <v/>
      </c>
      <c r="K1073" s="8">
        <f>IF(G1073="","",G1073+J1073)</f>
        <v/>
      </c>
    </row>
    <row r="1074">
      <c r="F1074" s="8" t="n"/>
      <c r="G1074" s="8">
        <f>IF(E1074="","",E1074*F1074)</f>
        <v/>
      </c>
      <c r="H1074" s="8">
        <f>IF(G1074="","",G1074-I1074)</f>
        <v/>
      </c>
      <c r="I1074" s="8">
        <f>IF(D1074="","",VLOOKUP(D1074, RECETTES!B:G, 6, FALSE)*E1074)</f>
        <v/>
      </c>
      <c r="J1074" s="8">
        <f>IF(G1074="","",G1074*0.20)</f>
        <v/>
      </c>
      <c r="K1074" s="8">
        <f>IF(G1074="","",G1074+J1074)</f>
        <v/>
      </c>
    </row>
    <row r="1075">
      <c r="F1075" s="8" t="n"/>
      <c r="G1075" s="8">
        <f>IF(E1075="","",E1075*F1075)</f>
        <v/>
      </c>
      <c r="H1075" s="8">
        <f>IF(G1075="","",G1075-I1075)</f>
        <v/>
      </c>
      <c r="I1075" s="8">
        <f>IF(D1075="","",VLOOKUP(D1075, RECETTES!B:G, 6, FALSE)*E1075)</f>
        <v/>
      </c>
      <c r="J1075" s="8">
        <f>IF(G1075="","",G1075*0.20)</f>
        <v/>
      </c>
      <c r="K1075" s="8">
        <f>IF(G1075="","",G1075+J1075)</f>
        <v/>
      </c>
    </row>
    <row r="1076">
      <c r="F1076" s="8" t="n"/>
      <c r="G1076" s="8">
        <f>IF(E1076="","",E1076*F1076)</f>
        <v/>
      </c>
      <c r="H1076" s="8">
        <f>IF(G1076="","",G1076-I1076)</f>
        <v/>
      </c>
      <c r="I1076" s="8">
        <f>IF(D1076="","",VLOOKUP(D1076, RECETTES!B:G, 6, FALSE)*E1076)</f>
        <v/>
      </c>
      <c r="J1076" s="8">
        <f>IF(G1076="","",G1076*0.20)</f>
        <v/>
      </c>
      <c r="K1076" s="8">
        <f>IF(G1076="","",G1076+J1076)</f>
        <v/>
      </c>
    </row>
    <row r="1077">
      <c r="F1077" s="8" t="n"/>
      <c r="G1077" s="8">
        <f>IF(E1077="","",E1077*F1077)</f>
        <v/>
      </c>
      <c r="H1077" s="8">
        <f>IF(G1077="","",G1077-I1077)</f>
        <v/>
      </c>
      <c r="I1077" s="8">
        <f>IF(D1077="","",VLOOKUP(D1077, RECETTES!B:G, 6, FALSE)*E1077)</f>
        <v/>
      </c>
      <c r="J1077" s="8">
        <f>IF(G1077="","",G1077*0.20)</f>
        <v/>
      </c>
      <c r="K1077" s="8">
        <f>IF(G1077="","",G1077+J1077)</f>
        <v/>
      </c>
    </row>
    <row r="1078">
      <c r="F1078" s="8" t="n"/>
      <c r="G1078" s="8">
        <f>IF(E1078="","",E1078*F1078)</f>
        <v/>
      </c>
      <c r="H1078" s="8">
        <f>IF(G1078="","",G1078-I1078)</f>
        <v/>
      </c>
      <c r="I1078" s="8">
        <f>IF(D1078="","",VLOOKUP(D1078, RECETTES!B:G, 6, FALSE)*E1078)</f>
        <v/>
      </c>
      <c r="J1078" s="8">
        <f>IF(G1078="","",G1078*0.20)</f>
        <v/>
      </c>
      <c r="K1078" s="8">
        <f>IF(G1078="","",G1078+J1078)</f>
        <v/>
      </c>
    </row>
    <row r="1079">
      <c r="F1079" s="8" t="n"/>
      <c r="G1079" s="8">
        <f>IF(E1079="","",E1079*F1079)</f>
        <v/>
      </c>
      <c r="H1079" s="8">
        <f>IF(G1079="","",G1079-I1079)</f>
        <v/>
      </c>
      <c r="I1079" s="8">
        <f>IF(D1079="","",VLOOKUP(D1079, RECETTES!B:G, 6, FALSE)*E1079)</f>
        <v/>
      </c>
      <c r="J1079" s="8">
        <f>IF(G1079="","",G1079*0.20)</f>
        <v/>
      </c>
      <c r="K1079" s="8">
        <f>IF(G1079="","",G1079+J1079)</f>
        <v/>
      </c>
    </row>
    <row r="1080">
      <c r="F1080" s="8" t="n"/>
      <c r="G1080" s="8">
        <f>IF(E1080="","",E1080*F1080)</f>
        <v/>
      </c>
      <c r="H1080" s="8">
        <f>IF(G1080="","",G1080-I1080)</f>
        <v/>
      </c>
      <c r="I1080" s="8">
        <f>IF(D1080="","",VLOOKUP(D1080, RECETTES!B:G, 6, FALSE)*E1080)</f>
        <v/>
      </c>
      <c r="J1080" s="8">
        <f>IF(G1080="","",G1080*0.20)</f>
        <v/>
      </c>
      <c r="K1080" s="8">
        <f>IF(G1080="","",G1080+J1080)</f>
        <v/>
      </c>
    </row>
    <row r="1081">
      <c r="F1081" s="8" t="n"/>
      <c r="G1081" s="8">
        <f>IF(E1081="","",E1081*F1081)</f>
        <v/>
      </c>
      <c r="H1081" s="8">
        <f>IF(G1081="","",G1081-I1081)</f>
        <v/>
      </c>
      <c r="I1081" s="8">
        <f>IF(D1081="","",VLOOKUP(D1081, RECETTES!B:G, 6, FALSE)*E1081)</f>
        <v/>
      </c>
      <c r="J1081" s="8">
        <f>IF(G1081="","",G1081*0.20)</f>
        <v/>
      </c>
      <c r="K1081" s="8">
        <f>IF(G1081="","",G1081+J1081)</f>
        <v/>
      </c>
    </row>
    <row r="1082">
      <c r="F1082" s="8" t="n"/>
      <c r="G1082" s="8">
        <f>IF(E1082="","",E1082*F1082)</f>
        <v/>
      </c>
      <c r="H1082" s="8">
        <f>IF(G1082="","",G1082-I1082)</f>
        <v/>
      </c>
      <c r="I1082" s="8">
        <f>IF(D1082="","",VLOOKUP(D1082, RECETTES!B:G, 6, FALSE)*E1082)</f>
        <v/>
      </c>
      <c r="J1082" s="8">
        <f>IF(G1082="","",G1082*0.20)</f>
        <v/>
      </c>
      <c r="K1082" s="8">
        <f>IF(G1082="","",G1082+J1082)</f>
        <v/>
      </c>
    </row>
    <row r="1083">
      <c r="F1083" s="8" t="n"/>
      <c r="G1083" s="8">
        <f>IF(E1083="","",E1083*F1083)</f>
        <v/>
      </c>
      <c r="H1083" s="8">
        <f>IF(G1083="","",G1083-I1083)</f>
        <v/>
      </c>
      <c r="I1083" s="8">
        <f>IF(D1083="","",VLOOKUP(D1083, RECETTES!B:G, 6, FALSE)*E1083)</f>
        <v/>
      </c>
      <c r="J1083" s="8">
        <f>IF(G1083="","",G1083*0.20)</f>
        <v/>
      </c>
      <c r="K1083" s="8">
        <f>IF(G1083="","",G1083+J1083)</f>
        <v/>
      </c>
    </row>
    <row r="1084">
      <c r="F1084" s="8" t="n"/>
      <c r="G1084" s="8">
        <f>IF(E1084="","",E1084*F1084)</f>
        <v/>
      </c>
      <c r="H1084" s="8">
        <f>IF(G1084="","",G1084-I1084)</f>
        <v/>
      </c>
      <c r="I1084" s="8">
        <f>IF(D1084="","",VLOOKUP(D1084, RECETTES!B:G, 6, FALSE)*E1084)</f>
        <v/>
      </c>
      <c r="J1084" s="8">
        <f>IF(G1084="","",G1084*0.20)</f>
        <v/>
      </c>
      <c r="K1084" s="8">
        <f>IF(G1084="","",G1084+J1084)</f>
        <v/>
      </c>
    </row>
    <row r="1085">
      <c r="F1085" s="8" t="n"/>
      <c r="G1085" s="8">
        <f>IF(E1085="","",E1085*F1085)</f>
        <v/>
      </c>
      <c r="H1085" s="8">
        <f>IF(G1085="","",G1085-I1085)</f>
        <v/>
      </c>
      <c r="I1085" s="8">
        <f>IF(D1085="","",VLOOKUP(D1085, RECETTES!B:G, 6, FALSE)*E1085)</f>
        <v/>
      </c>
      <c r="J1085" s="8">
        <f>IF(G1085="","",G1085*0.20)</f>
        <v/>
      </c>
      <c r="K1085" s="8">
        <f>IF(G1085="","",G1085+J1085)</f>
        <v/>
      </c>
    </row>
    <row r="1086">
      <c r="F1086" s="8" t="n"/>
      <c r="G1086" s="8">
        <f>IF(E1086="","",E1086*F1086)</f>
        <v/>
      </c>
      <c r="H1086" s="8">
        <f>IF(G1086="","",G1086-I1086)</f>
        <v/>
      </c>
      <c r="I1086" s="8">
        <f>IF(D1086="","",VLOOKUP(D1086, RECETTES!B:G, 6, FALSE)*E1086)</f>
        <v/>
      </c>
      <c r="J1086" s="8">
        <f>IF(G1086="","",G1086*0.20)</f>
        <v/>
      </c>
      <c r="K1086" s="8">
        <f>IF(G1086="","",G1086+J1086)</f>
        <v/>
      </c>
    </row>
    <row r="1087">
      <c r="F1087" s="8" t="n"/>
      <c r="G1087" s="8">
        <f>IF(E1087="","",E1087*F1087)</f>
        <v/>
      </c>
      <c r="H1087" s="8">
        <f>IF(G1087="","",G1087-I1087)</f>
        <v/>
      </c>
      <c r="I1087" s="8">
        <f>IF(D1087="","",VLOOKUP(D1087, RECETTES!B:G, 6, FALSE)*E1087)</f>
        <v/>
      </c>
      <c r="J1087" s="8">
        <f>IF(G1087="","",G1087*0.20)</f>
        <v/>
      </c>
      <c r="K1087" s="8">
        <f>IF(G1087="","",G1087+J1087)</f>
        <v/>
      </c>
    </row>
    <row r="1088">
      <c r="F1088" s="8" t="n"/>
      <c r="G1088" s="8">
        <f>IF(E1088="","",E1088*F1088)</f>
        <v/>
      </c>
      <c r="H1088" s="8">
        <f>IF(G1088="","",G1088-I1088)</f>
        <v/>
      </c>
      <c r="I1088" s="8">
        <f>IF(D1088="","",VLOOKUP(D1088, RECETTES!B:G, 6, FALSE)*E1088)</f>
        <v/>
      </c>
      <c r="J1088" s="8">
        <f>IF(G1088="","",G1088*0.20)</f>
        <v/>
      </c>
      <c r="K1088" s="8">
        <f>IF(G1088="","",G1088+J1088)</f>
        <v/>
      </c>
    </row>
    <row r="1089">
      <c r="F1089" s="8" t="n"/>
      <c r="G1089" s="8">
        <f>IF(E1089="","",E1089*F1089)</f>
        <v/>
      </c>
      <c r="H1089" s="8">
        <f>IF(G1089="","",G1089-I1089)</f>
        <v/>
      </c>
      <c r="I1089" s="8">
        <f>IF(D1089="","",VLOOKUP(D1089, RECETTES!B:G, 6, FALSE)*E1089)</f>
        <v/>
      </c>
      <c r="J1089" s="8">
        <f>IF(G1089="","",G1089*0.20)</f>
        <v/>
      </c>
      <c r="K1089" s="8">
        <f>IF(G1089="","",G1089+J1089)</f>
        <v/>
      </c>
    </row>
    <row r="1090">
      <c r="F1090" s="8" t="n"/>
      <c r="G1090" s="8">
        <f>IF(E1090="","",E1090*F1090)</f>
        <v/>
      </c>
      <c r="H1090" s="8">
        <f>IF(G1090="","",G1090-I1090)</f>
        <v/>
      </c>
      <c r="I1090" s="8">
        <f>IF(D1090="","",VLOOKUP(D1090, RECETTES!B:G, 6, FALSE)*E1090)</f>
        <v/>
      </c>
      <c r="J1090" s="8">
        <f>IF(G1090="","",G1090*0.20)</f>
        <v/>
      </c>
      <c r="K1090" s="8">
        <f>IF(G1090="","",G1090+J1090)</f>
        <v/>
      </c>
    </row>
    <row r="1091">
      <c r="F1091" s="8" t="n"/>
      <c r="G1091" s="8">
        <f>IF(E1091="","",E1091*F1091)</f>
        <v/>
      </c>
      <c r="H1091" s="8">
        <f>IF(G1091="","",G1091-I1091)</f>
        <v/>
      </c>
      <c r="I1091" s="8">
        <f>IF(D1091="","",VLOOKUP(D1091, RECETTES!B:G, 6, FALSE)*E1091)</f>
        <v/>
      </c>
      <c r="J1091" s="8">
        <f>IF(G1091="","",G1091*0.20)</f>
        <v/>
      </c>
      <c r="K1091" s="8">
        <f>IF(G1091="","",G1091+J1091)</f>
        <v/>
      </c>
    </row>
    <row r="1092">
      <c r="F1092" s="8" t="n"/>
      <c r="G1092" s="8">
        <f>IF(E1092="","",E1092*F1092)</f>
        <v/>
      </c>
      <c r="H1092" s="8">
        <f>IF(G1092="","",G1092-I1092)</f>
        <v/>
      </c>
      <c r="I1092" s="8">
        <f>IF(D1092="","",VLOOKUP(D1092, RECETTES!B:G, 6, FALSE)*E1092)</f>
        <v/>
      </c>
      <c r="J1092" s="8">
        <f>IF(G1092="","",G1092*0.20)</f>
        <v/>
      </c>
      <c r="K1092" s="8">
        <f>IF(G1092="","",G1092+J1092)</f>
        <v/>
      </c>
    </row>
    <row r="1093">
      <c r="F1093" s="8" t="n"/>
      <c r="G1093" s="8">
        <f>IF(E1093="","",E1093*F1093)</f>
        <v/>
      </c>
      <c r="H1093" s="8">
        <f>IF(G1093="","",G1093-I1093)</f>
        <v/>
      </c>
      <c r="I1093" s="8">
        <f>IF(D1093="","",VLOOKUP(D1093, RECETTES!B:G, 6, FALSE)*E1093)</f>
        <v/>
      </c>
      <c r="J1093" s="8">
        <f>IF(G1093="","",G1093*0.20)</f>
        <v/>
      </c>
      <c r="K1093" s="8">
        <f>IF(G1093="","",G1093+J1093)</f>
        <v/>
      </c>
    </row>
    <row r="1094">
      <c r="F1094" s="8" t="n"/>
      <c r="G1094" s="8">
        <f>IF(E1094="","",E1094*F1094)</f>
        <v/>
      </c>
      <c r="H1094" s="8">
        <f>IF(G1094="","",G1094-I1094)</f>
        <v/>
      </c>
      <c r="I1094" s="8">
        <f>IF(D1094="","",VLOOKUP(D1094, RECETTES!B:G, 6, FALSE)*E1094)</f>
        <v/>
      </c>
      <c r="J1094" s="8">
        <f>IF(G1094="","",G1094*0.20)</f>
        <v/>
      </c>
      <c r="K1094" s="8">
        <f>IF(G1094="","",G1094+J1094)</f>
        <v/>
      </c>
    </row>
    <row r="1095">
      <c r="F1095" s="8" t="n"/>
      <c r="G1095" s="8">
        <f>IF(E1095="","",E1095*F1095)</f>
        <v/>
      </c>
      <c r="H1095" s="8">
        <f>IF(G1095="","",G1095-I1095)</f>
        <v/>
      </c>
      <c r="I1095" s="8">
        <f>IF(D1095="","",VLOOKUP(D1095, RECETTES!B:G, 6, FALSE)*E1095)</f>
        <v/>
      </c>
      <c r="J1095" s="8">
        <f>IF(G1095="","",G1095*0.20)</f>
        <v/>
      </c>
      <c r="K1095" s="8">
        <f>IF(G1095="","",G1095+J1095)</f>
        <v/>
      </c>
    </row>
    <row r="1096">
      <c r="F1096" s="8" t="n"/>
      <c r="G1096" s="8">
        <f>IF(E1096="","",E1096*F1096)</f>
        <v/>
      </c>
      <c r="H1096" s="8">
        <f>IF(G1096="","",G1096-I1096)</f>
        <v/>
      </c>
      <c r="I1096" s="8">
        <f>IF(D1096="","",VLOOKUP(D1096, RECETTES!B:G, 6, FALSE)*E1096)</f>
        <v/>
      </c>
      <c r="J1096" s="8">
        <f>IF(G1096="","",G1096*0.20)</f>
        <v/>
      </c>
      <c r="K1096" s="8">
        <f>IF(G1096="","",G1096+J1096)</f>
        <v/>
      </c>
    </row>
    <row r="1097">
      <c r="F1097" s="8" t="n"/>
      <c r="G1097" s="8">
        <f>IF(E1097="","",E1097*F1097)</f>
        <v/>
      </c>
      <c r="H1097" s="8">
        <f>IF(G1097="","",G1097-I1097)</f>
        <v/>
      </c>
      <c r="I1097" s="8">
        <f>IF(D1097="","",VLOOKUP(D1097, RECETTES!B:G, 6, FALSE)*E1097)</f>
        <v/>
      </c>
      <c r="J1097" s="8">
        <f>IF(G1097="","",G1097*0.20)</f>
        <v/>
      </c>
      <c r="K1097" s="8">
        <f>IF(G1097="","",G1097+J1097)</f>
        <v/>
      </c>
    </row>
    <row r="1098">
      <c r="F1098" s="8" t="n"/>
      <c r="G1098" s="8">
        <f>IF(E1098="","",E1098*F1098)</f>
        <v/>
      </c>
      <c r="H1098" s="8">
        <f>IF(G1098="","",G1098-I1098)</f>
        <v/>
      </c>
      <c r="I1098" s="8">
        <f>IF(D1098="","",VLOOKUP(D1098, RECETTES!B:G, 6, FALSE)*E1098)</f>
        <v/>
      </c>
      <c r="J1098" s="8">
        <f>IF(G1098="","",G1098*0.20)</f>
        <v/>
      </c>
      <c r="K1098" s="8">
        <f>IF(G1098="","",G1098+J1098)</f>
        <v/>
      </c>
    </row>
    <row r="1099">
      <c r="F1099" s="8" t="n"/>
      <c r="G1099" s="8">
        <f>IF(E1099="","",E1099*F1099)</f>
        <v/>
      </c>
      <c r="H1099" s="8">
        <f>IF(G1099="","",G1099-I1099)</f>
        <v/>
      </c>
      <c r="I1099" s="8">
        <f>IF(D1099="","",VLOOKUP(D1099, RECETTES!B:G, 6, FALSE)*E1099)</f>
        <v/>
      </c>
      <c r="J1099" s="8">
        <f>IF(G1099="","",G1099*0.20)</f>
        <v/>
      </c>
      <c r="K1099" s="8">
        <f>IF(G1099="","",G1099+J1099)</f>
        <v/>
      </c>
    </row>
    <row r="1100">
      <c r="F1100" s="8" t="n"/>
      <c r="G1100" s="8">
        <f>IF(E1100="","",E1100*F1100)</f>
        <v/>
      </c>
      <c r="H1100" s="8">
        <f>IF(G1100="","",G1100-I1100)</f>
        <v/>
      </c>
      <c r="I1100" s="8">
        <f>IF(D1100="","",VLOOKUP(D1100, RECETTES!B:G, 6, FALSE)*E1100)</f>
        <v/>
      </c>
      <c r="J1100" s="8">
        <f>IF(G1100="","",G1100*0.20)</f>
        <v/>
      </c>
      <c r="K1100" s="8">
        <f>IF(G1100="","",G1100+J1100)</f>
        <v/>
      </c>
    </row>
    <row r="1101">
      <c r="F1101" s="8" t="n"/>
      <c r="G1101" s="8">
        <f>IF(E1101="","",E1101*F1101)</f>
        <v/>
      </c>
      <c r="H1101" s="8">
        <f>IF(G1101="","",G1101-I1101)</f>
        <v/>
      </c>
      <c r="I1101" s="8">
        <f>IF(D1101="","",VLOOKUP(D1101, RECETTES!B:G, 6, FALSE)*E1101)</f>
        <v/>
      </c>
      <c r="J1101" s="8">
        <f>IF(G1101="","",G1101*0.20)</f>
        <v/>
      </c>
      <c r="K1101" s="8">
        <f>IF(G1101="","",G1101+J1101)</f>
        <v/>
      </c>
    </row>
    <row r="1102">
      <c r="F1102" s="8" t="n"/>
      <c r="G1102" s="8">
        <f>IF(E1102="","",E1102*F1102)</f>
        <v/>
      </c>
      <c r="H1102" s="8">
        <f>IF(G1102="","",G1102-I1102)</f>
        <v/>
      </c>
      <c r="I1102" s="8">
        <f>IF(D1102="","",VLOOKUP(D1102, RECETTES!B:G, 6, FALSE)*E1102)</f>
        <v/>
      </c>
      <c r="J1102" s="8">
        <f>IF(G1102="","",G1102*0.20)</f>
        <v/>
      </c>
      <c r="K1102" s="8">
        <f>IF(G1102="","",G1102+J1102)</f>
        <v/>
      </c>
    </row>
    <row r="1103">
      <c r="F1103" s="8" t="n"/>
      <c r="G1103" s="8">
        <f>IF(E1103="","",E1103*F1103)</f>
        <v/>
      </c>
      <c r="H1103" s="8">
        <f>IF(G1103="","",G1103-I1103)</f>
        <v/>
      </c>
      <c r="I1103" s="8">
        <f>IF(D1103="","",VLOOKUP(D1103, RECETTES!B:G, 6, FALSE)*E1103)</f>
        <v/>
      </c>
      <c r="J1103" s="8">
        <f>IF(G1103="","",G1103*0.20)</f>
        <v/>
      </c>
      <c r="K1103" s="8">
        <f>IF(G1103="","",G1103+J1103)</f>
        <v/>
      </c>
    </row>
    <row r="1104">
      <c r="F1104" s="8" t="n"/>
      <c r="G1104" s="8">
        <f>IF(E1104="","",E1104*F1104)</f>
        <v/>
      </c>
      <c r="H1104" s="8">
        <f>IF(G1104="","",G1104-I1104)</f>
        <v/>
      </c>
      <c r="I1104" s="8">
        <f>IF(D1104="","",VLOOKUP(D1104, RECETTES!B:G, 6, FALSE)*E1104)</f>
        <v/>
      </c>
      <c r="J1104" s="8">
        <f>IF(G1104="","",G1104*0.20)</f>
        <v/>
      </c>
      <c r="K1104" s="8">
        <f>IF(G1104="","",G1104+J1104)</f>
        <v/>
      </c>
    </row>
    <row r="1105">
      <c r="F1105" s="8" t="n"/>
      <c r="G1105" s="8">
        <f>IF(E1105="","",E1105*F1105)</f>
        <v/>
      </c>
      <c r="H1105" s="8">
        <f>IF(G1105="","",G1105-I1105)</f>
        <v/>
      </c>
      <c r="I1105" s="8">
        <f>IF(D1105="","",VLOOKUP(D1105, RECETTES!B:G, 6, FALSE)*E1105)</f>
        <v/>
      </c>
      <c r="J1105" s="8">
        <f>IF(G1105="","",G1105*0.20)</f>
        <v/>
      </c>
      <c r="K1105" s="8">
        <f>IF(G1105="","",G1105+J1105)</f>
        <v/>
      </c>
    </row>
    <row r="1106">
      <c r="F1106" s="8" t="n"/>
      <c r="G1106" s="8">
        <f>IF(E1106="","",E1106*F1106)</f>
        <v/>
      </c>
      <c r="H1106" s="8">
        <f>IF(G1106="","",G1106-I1106)</f>
        <v/>
      </c>
      <c r="I1106" s="8">
        <f>IF(D1106="","",VLOOKUP(D1106, RECETTES!B:G, 6, FALSE)*E1106)</f>
        <v/>
      </c>
      <c r="J1106" s="8">
        <f>IF(G1106="","",G1106*0.20)</f>
        <v/>
      </c>
      <c r="K1106" s="8">
        <f>IF(G1106="","",G1106+J1106)</f>
        <v/>
      </c>
    </row>
    <row r="1107">
      <c r="F1107" s="8" t="n"/>
      <c r="G1107" s="8">
        <f>IF(E1107="","",E1107*F1107)</f>
        <v/>
      </c>
      <c r="H1107" s="8">
        <f>IF(G1107="","",G1107-I1107)</f>
        <v/>
      </c>
      <c r="I1107" s="8">
        <f>IF(D1107="","",VLOOKUP(D1107, RECETTES!B:G, 6, FALSE)*E1107)</f>
        <v/>
      </c>
      <c r="J1107" s="8">
        <f>IF(G1107="","",G1107*0.20)</f>
        <v/>
      </c>
      <c r="K1107" s="8">
        <f>IF(G1107="","",G1107+J1107)</f>
        <v/>
      </c>
    </row>
    <row r="1108">
      <c r="F1108" s="8" t="n"/>
      <c r="G1108" s="8">
        <f>IF(E1108="","",E1108*F1108)</f>
        <v/>
      </c>
      <c r="H1108" s="8">
        <f>IF(G1108="","",G1108-I1108)</f>
        <v/>
      </c>
      <c r="I1108" s="8">
        <f>IF(D1108="","",VLOOKUP(D1108, RECETTES!B:G, 6, FALSE)*E1108)</f>
        <v/>
      </c>
      <c r="J1108" s="8">
        <f>IF(G1108="","",G1108*0.20)</f>
        <v/>
      </c>
      <c r="K1108" s="8">
        <f>IF(G1108="","",G1108+J1108)</f>
        <v/>
      </c>
    </row>
    <row r="1109">
      <c r="F1109" s="8" t="n"/>
      <c r="G1109" s="8">
        <f>IF(E1109="","",E1109*F1109)</f>
        <v/>
      </c>
      <c r="H1109" s="8">
        <f>IF(G1109="","",G1109-I1109)</f>
        <v/>
      </c>
      <c r="I1109" s="8">
        <f>IF(D1109="","",VLOOKUP(D1109, RECETTES!B:G, 6, FALSE)*E1109)</f>
        <v/>
      </c>
      <c r="J1109" s="8">
        <f>IF(G1109="","",G1109*0.20)</f>
        <v/>
      </c>
      <c r="K1109" s="8">
        <f>IF(G1109="","",G1109+J1109)</f>
        <v/>
      </c>
    </row>
    <row r="1110">
      <c r="F1110" s="8" t="n"/>
      <c r="G1110" s="8">
        <f>IF(E1110="","",E1110*F1110)</f>
        <v/>
      </c>
      <c r="H1110" s="8">
        <f>IF(G1110="","",G1110-I1110)</f>
        <v/>
      </c>
      <c r="I1110" s="8">
        <f>IF(D1110="","",VLOOKUP(D1110, RECETTES!B:G, 6, FALSE)*E1110)</f>
        <v/>
      </c>
      <c r="J1110" s="8">
        <f>IF(G1110="","",G1110*0.20)</f>
        <v/>
      </c>
      <c r="K1110" s="8">
        <f>IF(G1110="","",G1110+J1110)</f>
        <v/>
      </c>
    </row>
    <row r="1111">
      <c r="F1111" s="8" t="n"/>
      <c r="G1111" s="8">
        <f>IF(E1111="","",E1111*F1111)</f>
        <v/>
      </c>
      <c r="H1111" s="8">
        <f>IF(G1111="","",G1111-I1111)</f>
        <v/>
      </c>
      <c r="I1111" s="8">
        <f>IF(D1111="","",VLOOKUP(D1111, RECETTES!B:G, 6, FALSE)*E1111)</f>
        <v/>
      </c>
      <c r="J1111" s="8">
        <f>IF(G1111="","",G1111*0.20)</f>
        <v/>
      </c>
      <c r="K1111" s="8">
        <f>IF(G1111="","",G1111+J1111)</f>
        <v/>
      </c>
    </row>
    <row r="1112">
      <c r="F1112" s="8" t="n"/>
      <c r="G1112" s="8">
        <f>IF(E1112="","",E1112*F1112)</f>
        <v/>
      </c>
      <c r="H1112" s="8">
        <f>IF(G1112="","",G1112-I1112)</f>
        <v/>
      </c>
      <c r="I1112" s="8">
        <f>IF(D1112="","",VLOOKUP(D1112, RECETTES!B:G, 6, FALSE)*E1112)</f>
        <v/>
      </c>
      <c r="J1112" s="8">
        <f>IF(G1112="","",G1112*0.20)</f>
        <v/>
      </c>
      <c r="K1112" s="8">
        <f>IF(G1112="","",G1112+J1112)</f>
        <v/>
      </c>
    </row>
    <row r="1113">
      <c r="F1113" s="8" t="n"/>
      <c r="G1113" s="8">
        <f>IF(E1113="","",E1113*F1113)</f>
        <v/>
      </c>
      <c r="H1113" s="8">
        <f>IF(G1113="","",G1113-I1113)</f>
        <v/>
      </c>
      <c r="I1113" s="8">
        <f>IF(D1113="","",VLOOKUP(D1113, RECETTES!B:G, 6, FALSE)*E1113)</f>
        <v/>
      </c>
      <c r="J1113" s="8">
        <f>IF(G1113="","",G1113*0.20)</f>
        <v/>
      </c>
      <c r="K1113" s="8">
        <f>IF(G1113="","",G1113+J1113)</f>
        <v/>
      </c>
    </row>
    <row r="1114">
      <c r="F1114" s="8" t="n"/>
      <c r="G1114" s="8">
        <f>IF(E1114="","",E1114*F1114)</f>
        <v/>
      </c>
      <c r="H1114" s="8">
        <f>IF(G1114="","",G1114-I1114)</f>
        <v/>
      </c>
      <c r="I1114" s="8">
        <f>IF(D1114="","",VLOOKUP(D1114, RECETTES!B:G, 6, FALSE)*E1114)</f>
        <v/>
      </c>
      <c r="J1114" s="8">
        <f>IF(G1114="","",G1114*0.20)</f>
        <v/>
      </c>
      <c r="K1114" s="8">
        <f>IF(G1114="","",G1114+J1114)</f>
        <v/>
      </c>
    </row>
    <row r="1115">
      <c r="F1115" s="8" t="n"/>
      <c r="G1115" s="8">
        <f>IF(E1115="","",E1115*F1115)</f>
        <v/>
      </c>
      <c r="H1115" s="8">
        <f>IF(G1115="","",G1115-I1115)</f>
        <v/>
      </c>
      <c r="I1115" s="8">
        <f>IF(D1115="","",VLOOKUP(D1115, RECETTES!B:G, 6, FALSE)*E1115)</f>
        <v/>
      </c>
      <c r="J1115" s="8">
        <f>IF(G1115="","",G1115*0.20)</f>
        <v/>
      </c>
      <c r="K1115" s="8">
        <f>IF(G1115="","",G1115+J1115)</f>
        <v/>
      </c>
    </row>
    <row r="1116">
      <c r="F1116" s="8" t="n"/>
      <c r="G1116" s="8">
        <f>IF(E1116="","",E1116*F1116)</f>
        <v/>
      </c>
      <c r="H1116" s="8">
        <f>IF(G1116="","",G1116-I1116)</f>
        <v/>
      </c>
      <c r="I1116" s="8">
        <f>IF(D1116="","",VLOOKUP(D1116, RECETTES!B:G, 6, FALSE)*E1116)</f>
        <v/>
      </c>
      <c r="J1116" s="8">
        <f>IF(G1116="","",G1116*0.20)</f>
        <v/>
      </c>
      <c r="K1116" s="8">
        <f>IF(G1116="","",G1116+J1116)</f>
        <v/>
      </c>
    </row>
    <row r="1117">
      <c r="F1117" s="8" t="n"/>
      <c r="G1117" s="8">
        <f>IF(E1117="","",E1117*F1117)</f>
        <v/>
      </c>
      <c r="H1117" s="8">
        <f>IF(G1117="","",G1117-I1117)</f>
        <v/>
      </c>
      <c r="I1117" s="8">
        <f>IF(D1117="","",VLOOKUP(D1117, RECETTES!B:G, 6, FALSE)*E1117)</f>
        <v/>
      </c>
      <c r="J1117" s="8">
        <f>IF(G1117="","",G1117*0.20)</f>
        <v/>
      </c>
      <c r="K1117" s="8">
        <f>IF(G1117="","",G1117+J1117)</f>
        <v/>
      </c>
    </row>
    <row r="1118">
      <c r="F1118" s="8" t="n"/>
      <c r="G1118" s="8">
        <f>IF(E1118="","",E1118*F1118)</f>
        <v/>
      </c>
      <c r="H1118" s="8">
        <f>IF(G1118="","",G1118-I1118)</f>
        <v/>
      </c>
      <c r="I1118" s="8">
        <f>IF(D1118="","",VLOOKUP(D1118, RECETTES!B:G, 6, FALSE)*E1118)</f>
        <v/>
      </c>
      <c r="J1118" s="8">
        <f>IF(G1118="","",G1118*0.20)</f>
        <v/>
      </c>
      <c r="K1118" s="8">
        <f>IF(G1118="","",G1118+J1118)</f>
        <v/>
      </c>
    </row>
    <row r="1119">
      <c r="F1119" s="8" t="n"/>
      <c r="G1119" s="8">
        <f>IF(E1119="","",E1119*F1119)</f>
        <v/>
      </c>
      <c r="H1119" s="8">
        <f>IF(G1119="","",G1119-I1119)</f>
        <v/>
      </c>
      <c r="I1119" s="8">
        <f>IF(D1119="","",VLOOKUP(D1119, RECETTES!B:G, 6, FALSE)*E1119)</f>
        <v/>
      </c>
      <c r="J1119" s="8">
        <f>IF(G1119="","",G1119*0.20)</f>
        <v/>
      </c>
      <c r="K1119" s="8">
        <f>IF(G1119="","",G1119+J1119)</f>
        <v/>
      </c>
    </row>
    <row r="1120">
      <c r="F1120" s="8" t="n"/>
      <c r="G1120" s="8">
        <f>IF(E1120="","",E1120*F1120)</f>
        <v/>
      </c>
      <c r="H1120" s="8">
        <f>IF(G1120="","",G1120-I1120)</f>
        <v/>
      </c>
      <c r="I1120" s="8">
        <f>IF(D1120="","",VLOOKUP(D1120, RECETTES!B:G, 6, FALSE)*E1120)</f>
        <v/>
      </c>
      <c r="J1120" s="8">
        <f>IF(G1120="","",G1120*0.20)</f>
        <v/>
      </c>
      <c r="K1120" s="8">
        <f>IF(G1120="","",G1120+J1120)</f>
        <v/>
      </c>
    </row>
    <row r="1121">
      <c r="F1121" s="8" t="n"/>
      <c r="G1121" s="8">
        <f>IF(E1121="","",E1121*F1121)</f>
        <v/>
      </c>
      <c r="H1121" s="8">
        <f>IF(G1121="","",G1121-I1121)</f>
        <v/>
      </c>
      <c r="I1121" s="8">
        <f>IF(D1121="","",VLOOKUP(D1121, RECETTES!B:G, 6, FALSE)*E1121)</f>
        <v/>
      </c>
      <c r="J1121" s="8">
        <f>IF(G1121="","",G1121*0.20)</f>
        <v/>
      </c>
      <c r="K1121" s="8">
        <f>IF(G1121="","",G1121+J1121)</f>
        <v/>
      </c>
    </row>
    <row r="1122">
      <c r="F1122" s="8" t="n"/>
      <c r="G1122" s="8">
        <f>IF(E1122="","",E1122*F1122)</f>
        <v/>
      </c>
      <c r="H1122" s="8">
        <f>IF(G1122="","",G1122-I1122)</f>
        <v/>
      </c>
      <c r="I1122" s="8">
        <f>IF(D1122="","",VLOOKUP(D1122, RECETTES!B:G, 6, FALSE)*E1122)</f>
        <v/>
      </c>
      <c r="J1122" s="8">
        <f>IF(G1122="","",G1122*0.20)</f>
        <v/>
      </c>
      <c r="K1122" s="8">
        <f>IF(G1122="","",G1122+J1122)</f>
        <v/>
      </c>
    </row>
    <row r="1123">
      <c r="F1123" s="8" t="n"/>
      <c r="G1123" s="8">
        <f>IF(E1123="","",E1123*F1123)</f>
        <v/>
      </c>
      <c r="H1123" s="8">
        <f>IF(G1123="","",G1123-I1123)</f>
        <v/>
      </c>
      <c r="I1123" s="8">
        <f>IF(D1123="","",VLOOKUP(D1123, RECETTES!B:G, 6, FALSE)*E1123)</f>
        <v/>
      </c>
      <c r="J1123" s="8">
        <f>IF(G1123="","",G1123*0.20)</f>
        <v/>
      </c>
      <c r="K1123" s="8">
        <f>IF(G1123="","",G1123+J1123)</f>
        <v/>
      </c>
    </row>
    <row r="1124">
      <c r="F1124" s="8" t="n"/>
      <c r="G1124" s="8">
        <f>IF(E1124="","",E1124*F1124)</f>
        <v/>
      </c>
      <c r="H1124" s="8">
        <f>IF(G1124="","",G1124-I1124)</f>
        <v/>
      </c>
      <c r="I1124" s="8">
        <f>IF(D1124="","",VLOOKUP(D1124, RECETTES!B:G, 6, FALSE)*E1124)</f>
        <v/>
      </c>
      <c r="J1124" s="8">
        <f>IF(G1124="","",G1124*0.20)</f>
        <v/>
      </c>
      <c r="K1124" s="8">
        <f>IF(G1124="","",G1124+J1124)</f>
        <v/>
      </c>
    </row>
    <row r="1125">
      <c r="F1125" s="8" t="n"/>
      <c r="G1125" s="8">
        <f>IF(E1125="","",E1125*F1125)</f>
        <v/>
      </c>
      <c r="H1125" s="8">
        <f>IF(G1125="","",G1125-I1125)</f>
        <v/>
      </c>
      <c r="I1125" s="8">
        <f>IF(D1125="","",VLOOKUP(D1125, RECETTES!B:G, 6, FALSE)*E1125)</f>
        <v/>
      </c>
      <c r="J1125" s="8">
        <f>IF(G1125="","",G1125*0.20)</f>
        <v/>
      </c>
      <c r="K1125" s="8">
        <f>IF(G1125="","",G1125+J1125)</f>
        <v/>
      </c>
    </row>
    <row r="1126">
      <c r="F1126" s="8" t="n"/>
      <c r="G1126" s="8">
        <f>IF(E1126="","",E1126*F1126)</f>
        <v/>
      </c>
      <c r="H1126" s="8">
        <f>IF(G1126="","",G1126-I1126)</f>
        <v/>
      </c>
      <c r="I1126" s="8">
        <f>IF(D1126="","",VLOOKUP(D1126, RECETTES!B:G, 6, FALSE)*E1126)</f>
        <v/>
      </c>
      <c r="J1126" s="8">
        <f>IF(G1126="","",G1126*0.20)</f>
        <v/>
      </c>
      <c r="K1126" s="8">
        <f>IF(G1126="","",G1126+J1126)</f>
        <v/>
      </c>
    </row>
    <row r="1127">
      <c r="F1127" s="8" t="n"/>
      <c r="G1127" s="8">
        <f>IF(E1127="","",E1127*F1127)</f>
        <v/>
      </c>
      <c r="H1127" s="8">
        <f>IF(G1127="","",G1127-I1127)</f>
        <v/>
      </c>
      <c r="I1127" s="8">
        <f>IF(D1127="","",VLOOKUP(D1127, RECETTES!B:G, 6, FALSE)*E1127)</f>
        <v/>
      </c>
      <c r="J1127" s="8">
        <f>IF(G1127="","",G1127*0.20)</f>
        <v/>
      </c>
      <c r="K1127" s="8">
        <f>IF(G1127="","",G1127+J1127)</f>
        <v/>
      </c>
    </row>
    <row r="1128">
      <c r="F1128" s="8" t="n"/>
      <c r="G1128" s="8">
        <f>IF(E1128="","",E1128*F1128)</f>
        <v/>
      </c>
      <c r="H1128" s="8">
        <f>IF(G1128="","",G1128-I1128)</f>
        <v/>
      </c>
      <c r="I1128" s="8">
        <f>IF(D1128="","",VLOOKUP(D1128, RECETTES!B:G, 6, FALSE)*E1128)</f>
        <v/>
      </c>
      <c r="J1128" s="8">
        <f>IF(G1128="","",G1128*0.20)</f>
        <v/>
      </c>
      <c r="K1128" s="8">
        <f>IF(G1128="","",G1128+J1128)</f>
        <v/>
      </c>
    </row>
    <row r="1129">
      <c r="F1129" s="8" t="n"/>
      <c r="G1129" s="8">
        <f>IF(E1129="","",E1129*F1129)</f>
        <v/>
      </c>
      <c r="H1129" s="8">
        <f>IF(G1129="","",G1129-I1129)</f>
        <v/>
      </c>
      <c r="I1129" s="8">
        <f>IF(D1129="","",VLOOKUP(D1129, RECETTES!B:G, 6, FALSE)*E1129)</f>
        <v/>
      </c>
      <c r="J1129" s="8">
        <f>IF(G1129="","",G1129*0.20)</f>
        <v/>
      </c>
      <c r="K1129" s="8">
        <f>IF(G1129="","",G1129+J1129)</f>
        <v/>
      </c>
    </row>
    <row r="1130">
      <c r="F1130" s="8" t="n"/>
      <c r="G1130" s="8">
        <f>IF(E1130="","",E1130*F1130)</f>
        <v/>
      </c>
      <c r="H1130" s="8">
        <f>IF(G1130="","",G1130-I1130)</f>
        <v/>
      </c>
      <c r="I1130" s="8">
        <f>IF(D1130="","",VLOOKUP(D1130, RECETTES!B:G, 6, FALSE)*E1130)</f>
        <v/>
      </c>
      <c r="J1130" s="8">
        <f>IF(G1130="","",G1130*0.20)</f>
        <v/>
      </c>
      <c r="K1130" s="8">
        <f>IF(G1130="","",G1130+J1130)</f>
        <v/>
      </c>
    </row>
    <row r="1131">
      <c r="F1131" s="8" t="n"/>
      <c r="G1131" s="8">
        <f>IF(E1131="","",E1131*F1131)</f>
        <v/>
      </c>
      <c r="H1131" s="8">
        <f>IF(G1131="","",G1131-I1131)</f>
        <v/>
      </c>
      <c r="I1131" s="8">
        <f>IF(D1131="","",VLOOKUP(D1131, RECETTES!B:G, 6, FALSE)*E1131)</f>
        <v/>
      </c>
      <c r="J1131" s="8">
        <f>IF(G1131="","",G1131*0.20)</f>
        <v/>
      </c>
      <c r="K1131" s="8">
        <f>IF(G1131="","",G1131+J1131)</f>
        <v/>
      </c>
    </row>
    <row r="1132">
      <c r="F1132" s="8" t="n"/>
      <c r="G1132" s="8">
        <f>IF(E1132="","",E1132*F1132)</f>
        <v/>
      </c>
      <c r="H1132" s="8">
        <f>IF(G1132="","",G1132-I1132)</f>
        <v/>
      </c>
      <c r="I1132" s="8">
        <f>IF(D1132="","",VLOOKUP(D1132, RECETTES!B:G, 6, FALSE)*E1132)</f>
        <v/>
      </c>
      <c r="J1132" s="8">
        <f>IF(G1132="","",G1132*0.20)</f>
        <v/>
      </c>
      <c r="K1132" s="8">
        <f>IF(G1132="","",G1132+J1132)</f>
        <v/>
      </c>
    </row>
    <row r="1133">
      <c r="F1133" s="8" t="n"/>
      <c r="G1133" s="8">
        <f>IF(E1133="","",E1133*F1133)</f>
        <v/>
      </c>
      <c r="H1133" s="8">
        <f>IF(G1133="","",G1133-I1133)</f>
        <v/>
      </c>
      <c r="I1133" s="8">
        <f>IF(D1133="","",VLOOKUP(D1133, RECETTES!B:G, 6, FALSE)*E1133)</f>
        <v/>
      </c>
      <c r="J1133" s="8">
        <f>IF(G1133="","",G1133*0.20)</f>
        <v/>
      </c>
      <c r="K1133" s="8">
        <f>IF(G1133="","",G1133+J1133)</f>
        <v/>
      </c>
    </row>
    <row r="1134">
      <c r="F1134" s="8" t="n"/>
      <c r="G1134" s="8">
        <f>IF(E1134="","",E1134*F1134)</f>
        <v/>
      </c>
      <c r="H1134" s="8">
        <f>IF(G1134="","",G1134-I1134)</f>
        <v/>
      </c>
      <c r="I1134" s="8">
        <f>IF(D1134="","",VLOOKUP(D1134, RECETTES!B:G, 6, FALSE)*E1134)</f>
        <v/>
      </c>
      <c r="J1134" s="8">
        <f>IF(G1134="","",G1134*0.20)</f>
        <v/>
      </c>
      <c r="K1134" s="8">
        <f>IF(G1134="","",G1134+J1134)</f>
        <v/>
      </c>
    </row>
    <row r="1135">
      <c r="F1135" s="8" t="n"/>
      <c r="G1135" s="8">
        <f>IF(E1135="","",E1135*F1135)</f>
        <v/>
      </c>
      <c r="H1135" s="8">
        <f>IF(G1135="","",G1135-I1135)</f>
        <v/>
      </c>
      <c r="I1135" s="8">
        <f>IF(D1135="","",VLOOKUP(D1135, RECETTES!B:G, 6, FALSE)*E1135)</f>
        <v/>
      </c>
      <c r="J1135" s="8">
        <f>IF(G1135="","",G1135*0.20)</f>
        <v/>
      </c>
      <c r="K1135" s="8">
        <f>IF(G1135="","",G1135+J1135)</f>
        <v/>
      </c>
    </row>
    <row r="1136">
      <c r="F1136" s="8" t="n"/>
      <c r="G1136" s="8">
        <f>IF(E1136="","",E1136*F1136)</f>
        <v/>
      </c>
      <c r="H1136" s="8">
        <f>IF(G1136="","",G1136-I1136)</f>
        <v/>
      </c>
      <c r="I1136" s="8">
        <f>IF(D1136="","",VLOOKUP(D1136, RECETTES!B:G, 6, FALSE)*E1136)</f>
        <v/>
      </c>
      <c r="J1136" s="8">
        <f>IF(G1136="","",G1136*0.20)</f>
        <v/>
      </c>
      <c r="K1136" s="8">
        <f>IF(G1136="","",G1136+J1136)</f>
        <v/>
      </c>
    </row>
    <row r="1137">
      <c r="F1137" s="8" t="n"/>
      <c r="G1137" s="8">
        <f>IF(E1137="","",E1137*F1137)</f>
        <v/>
      </c>
      <c r="H1137" s="8">
        <f>IF(G1137="","",G1137-I1137)</f>
        <v/>
      </c>
      <c r="I1137" s="8">
        <f>IF(D1137="","",VLOOKUP(D1137, RECETTES!B:G, 6, FALSE)*E1137)</f>
        <v/>
      </c>
      <c r="J1137" s="8">
        <f>IF(G1137="","",G1137*0.20)</f>
        <v/>
      </c>
      <c r="K1137" s="8">
        <f>IF(G1137="","",G1137+J1137)</f>
        <v/>
      </c>
    </row>
    <row r="1138">
      <c r="F1138" s="8" t="n"/>
      <c r="G1138" s="8">
        <f>IF(E1138="","",E1138*F1138)</f>
        <v/>
      </c>
      <c r="H1138" s="8">
        <f>IF(G1138="","",G1138-I1138)</f>
        <v/>
      </c>
      <c r="I1138" s="8">
        <f>IF(D1138="","",VLOOKUP(D1138, RECETTES!B:G, 6, FALSE)*E1138)</f>
        <v/>
      </c>
      <c r="J1138" s="8">
        <f>IF(G1138="","",G1138*0.20)</f>
        <v/>
      </c>
      <c r="K1138" s="8">
        <f>IF(G1138="","",G1138+J1138)</f>
        <v/>
      </c>
    </row>
    <row r="1139">
      <c r="F1139" s="8" t="n"/>
      <c r="G1139" s="8">
        <f>IF(E1139="","",E1139*F1139)</f>
        <v/>
      </c>
      <c r="H1139" s="8">
        <f>IF(G1139="","",G1139-I1139)</f>
        <v/>
      </c>
      <c r="I1139" s="8">
        <f>IF(D1139="","",VLOOKUP(D1139, RECETTES!B:G, 6, FALSE)*E1139)</f>
        <v/>
      </c>
      <c r="J1139" s="8">
        <f>IF(G1139="","",G1139*0.20)</f>
        <v/>
      </c>
      <c r="K1139" s="8">
        <f>IF(G1139="","",G1139+J1139)</f>
        <v/>
      </c>
    </row>
    <row r="1140">
      <c r="F1140" s="8" t="n"/>
      <c r="G1140" s="8">
        <f>IF(E1140="","",E1140*F1140)</f>
        <v/>
      </c>
      <c r="H1140" s="8">
        <f>IF(G1140="","",G1140-I1140)</f>
        <v/>
      </c>
      <c r="I1140" s="8">
        <f>IF(D1140="","",VLOOKUP(D1140, RECETTES!B:G, 6, FALSE)*E1140)</f>
        <v/>
      </c>
      <c r="J1140" s="8">
        <f>IF(G1140="","",G1140*0.20)</f>
        <v/>
      </c>
      <c r="K1140" s="8">
        <f>IF(G1140="","",G1140+J1140)</f>
        <v/>
      </c>
    </row>
    <row r="1141">
      <c r="F1141" s="8" t="n"/>
      <c r="G1141" s="8">
        <f>IF(E1141="","",E1141*F1141)</f>
        <v/>
      </c>
      <c r="H1141" s="8">
        <f>IF(G1141="","",G1141-I1141)</f>
        <v/>
      </c>
      <c r="I1141" s="8">
        <f>IF(D1141="","",VLOOKUP(D1141, RECETTES!B:G, 6, FALSE)*E1141)</f>
        <v/>
      </c>
      <c r="J1141" s="8">
        <f>IF(G1141="","",G1141*0.20)</f>
        <v/>
      </c>
      <c r="K1141" s="8">
        <f>IF(G1141="","",G1141+J1141)</f>
        <v/>
      </c>
    </row>
    <row r="1142">
      <c r="F1142" s="8" t="n"/>
      <c r="G1142" s="8">
        <f>IF(E1142="","",E1142*F1142)</f>
        <v/>
      </c>
      <c r="H1142" s="8">
        <f>IF(G1142="","",G1142-I1142)</f>
        <v/>
      </c>
      <c r="I1142" s="8">
        <f>IF(D1142="","",VLOOKUP(D1142, RECETTES!B:G, 6, FALSE)*E1142)</f>
        <v/>
      </c>
      <c r="J1142" s="8">
        <f>IF(G1142="","",G1142*0.20)</f>
        <v/>
      </c>
      <c r="K1142" s="8">
        <f>IF(G1142="","",G1142+J1142)</f>
        <v/>
      </c>
    </row>
    <row r="1143">
      <c r="F1143" s="8" t="n"/>
      <c r="G1143" s="8">
        <f>IF(E1143="","",E1143*F1143)</f>
        <v/>
      </c>
      <c r="H1143" s="8">
        <f>IF(G1143="","",G1143-I1143)</f>
        <v/>
      </c>
      <c r="I1143" s="8">
        <f>IF(D1143="","",VLOOKUP(D1143, RECETTES!B:G, 6, FALSE)*E1143)</f>
        <v/>
      </c>
      <c r="J1143" s="8">
        <f>IF(G1143="","",G1143*0.20)</f>
        <v/>
      </c>
      <c r="K1143" s="8">
        <f>IF(G1143="","",G1143+J1143)</f>
        <v/>
      </c>
    </row>
    <row r="1144">
      <c r="F1144" s="8" t="n"/>
      <c r="G1144" s="8">
        <f>IF(E1144="","",E1144*F1144)</f>
        <v/>
      </c>
      <c r="H1144" s="8">
        <f>IF(G1144="","",G1144-I1144)</f>
        <v/>
      </c>
      <c r="I1144" s="8">
        <f>IF(D1144="","",VLOOKUP(D1144, RECETTES!B:G, 6, FALSE)*E1144)</f>
        <v/>
      </c>
      <c r="J1144" s="8">
        <f>IF(G1144="","",G1144*0.20)</f>
        <v/>
      </c>
      <c r="K1144" s="8">
        <f>IF(G1144="","",G1144+J1144)</f>
        <v/>
      </c>
    </row>
    <row r="1145">
      <c r="F1145" s="8" t="n"/>
      <c r="G1145" s="8">
        <f>IF(E1145="","",E1145*F1145)</f>
        <v/>
      </c>
      <c r="H1145" s="8">
        <f>IF(G1145="","",G1145-I1145)</f>
        <v/>
      </c>
      <c r="I1145" s="8">
        <f>IF(D1145="","",VLOOKUP(D1145, RECETTES!B:G, 6, FALSE)*E1145)</f>
        <v/>
      </c>
      <c r="J1145" s="8">
        <f>IF(G1145="","",G1145*0.20)</f>
        <v/>
      </c>
      <c r="K1145" s="8">
        <f>IF(G1145="","",G1145+J1145)</f>
        <v/>
      </c>
    </row>
    <row r="1146">
      <c r="F1146" s="8" t="n"/>
      <c r="G1146" s="8">
        <f>IF(E1146="","",E1146*F1146)</f>
        <v/>
      </c>
      <c r="H1146" s="8">
        <f>IF(G1146="","",G1146-I1146)</f>
        <v/>
      </c>
      <c r="I1146" s="8">
        <f>IF(D1146="","",VLOOKUP(D1146, RECETTES!B:G, 6, FALSE)*E1146)</f>
        <v/>
      </c>
      <c r="J1146" s="8">
        <f>IF(G1146="","",G1146*0.20)</f>
        <v/>
      </c>
      <c r="K1146" s="8">
        <f>IF(G1146="","",G1146+J1146)</f>
        <v/>
      </c>
    </row>
    <row r="1147">
      <c r="F1147" s="8" t="n"/>
      <c r="G1147" s="8">
        <f>IF(E1147="","",E1147*F1147)</f>
        <v/>
      </c>
      <c r="H1147" s="8">
        <f>IF(G1147="","",G1147-I1147)</f>
        <v/>
      </c>
      <c r="I1147" s="8">
        <f>IF(D1147="","",VLOOKUP(D1147, RECETTES!B:G, 6, FALSE)*E1147)</f>
        <v/>
      </c>
      <c r="J1147" s="8">
        <f>IF(G1147="","",G1147*0.20)</f>
        <v/>
      </c>
      <c r="K1147" s="8">
        <f>IF(G1147="","",G1147+J1147)</f>
        <v/>
      </c>
    </row>
    <row r="1148">
      <c r="F1148" s="8" t="n"/>
      <c r="G1148" s="8">
        <f>IF(E1148="","",E1148*F1148)</f>
        <v/>
      </c>
      <c r="H1148" s="8">
        <f>IF(G1148="","",G1148-I1148)</f>
        <v/>
      </c>
      <c r="I1148" s="8">
        <f>IF(D1148="","",VLOOKUP(D1148, RECETTES!B:G, 6, FALSE)*E1148)</f>
        <v/>
      </c>
      <c r="J1148" s="8">
        <f>IF(G1148="","",G1148*0.20)</f>
        <v/>
      </c>
      <c r="K1148" s="8">
        <f>IF(G1148="","",G1148+J1148)</f>
        <v/>
      </c>
    </row>
    <row r="1149">
      <c r="F1149" s="8" t="n"/>
      <c r="G1149" s="8">
        <f>IF(E1149="","",E1149*F1149)</f>
        <v/>
      </c>
      <c r="H1149" s="8">
        <f>IF(G1149="","",G1149-I1149)</f>
        <v/>
      </c>
      <c r="I1149" s="8">
        <f>IF(D1149="","",VLOOKUP(D1149, RECETTES!B:G, 6, FALSE)*E1149)</f>
        <v/>
      </c>
      <c r="J1149" s="8">
        <f>IF(G1149="","",G1149*0.20)</f>
        <v/>
      </c>
      <c r="K1149" s="8">
        <f>IF(G1149="","",G1149+J1149)</f>
        <v/>
      </c>
    </row>
    <row r="1150">
      <c r="F1150" s="8" t="n"/>
      <c r="G1150" s="8">
        <f>IF(E1150="","",E1150*F1150)</f>
        <v/>
      </c>
      <c r="H1150" s="8">
        <f>IF(G1150="","",G1150-I1150)</f>
        <v/>
      </c>
      <c r="I1150" s="8">
        <f>IF(D1150="","",VLOOKUP(D1150, RECETTES!B:G, 6, FALSE)*E1150)</f>
        <v/>
      </c>
      <c r="J1150" s="8">
        <f>IF(G1150="","",G1150*0.20)</f>
        <v/>
      </c>
      <c r="K1150" s="8">
        <f>IF(G1150="","",G1150+J1150)</f>
        <v/>
      </c>
    </row>
    <row r="1151">
      <c r="F1151" s="8" t="n"/>
      <c r="G1151" s="8">
        <f>IF(E1151="","",E1151*F1151)</f>
        <v/>
      </c>
      <c r="H1151" s="8">
        <f>IF(G1151="","",G1151-I1151)</f>
        <v/>
      </c>
      <c r="I1151" s="8">
        <f>IF(D1151="","",VLOOKUP(D1151, RECETTES!B:G, 6, FALSE)*E1151)</f>
        <v/>
      </c>
      <c r="J1151" s="8">
        <f>IF(G1151="","",G1151*0.20)</f>
        <v/>
      </c>
      <c r="K1151" s="8">
        <f>IF(G1151="","",G1151+J1151)</f>
        <v/>
      </c>
    </row>
    <row r="1152">
      <c r="F1152" s="8" t="n"/>
      <c r="G1152" s="8">
        <f>IF(E1152="","",E1152*F1152)</f>
        <v/>
      </c>
      <c r="H1152" s="8">
        <f>IF(G1152="","",G1152-I1152)</f>
        <v/>
      </c>
      <c r="I1152" s="8">
        <f>IF(D1152="","",VLOOKUP(D1152, RECETTES!B:G, 6, FALSE)*E1152)</f>
        <v/>
      </c>
      <c r="J1152" s="8">
        <f>IF(G1152="","",G1152*0.20)</f>
        <v/>
      </c>
      <c r="K1152" s="8">
        <f>IF(G1152="","",G1152+J1152)</f>
        <v/>
      </c>
    </row>
    <row r="1153">
      <c r="F1153" s="8" t="n"/>
      <c r="G1153" s="8">
        <f>IF(E1153="","",E1153*F1153)</f>
        <v/>
      </c>
      <c r="H1153" s="8">
        <f>IF(G1153="","",G1153-I1153)</f>
        <v/>
      </c>
      <c r="I1153" s="8">
        <f>IF(D1153="","",VLOOKUP(D1153, RECETTES!B:G, 6, FALSE)*E1153)</f>
        <v/>
      </c>
      <c r="J1153" s="8">
        <f>IF(G1153="","",G1153*0.20)</f>
        <v/>
      </c>
      <c r="K1153" s="8">
        <f>IF(G1153="","",G1153+J1153)</f>
        <v/>
      </c>
    </row>
    <row r="1154">
      <c r="F1154" s="8" t="n"/>
      <c r="G1154" s="8">
        <f>IF(E1154="","",E1154*F1154)</f>
        <v/>
      </c>
      <c r="H1154" s="8">
        <f>IF(G1154="","",G1154-I1154)</f>
        <v/>
      </c>
      <c r="I1154" s="8">
        <f>IF(D1154="","",VLOOKUP(D1154, RECETTES!B:G, 6, FALSE)*E1154)</f>
        <v/>
      </c>
      <c r="J1154" s="8">
        <f>IF(G1154="","",G1154*0.20)</f>
        <v/>
      </c>
      <c r="K1154" s="8">
        <f>IF(G1154="","",G1154+J1154)</f>
        <v/>
      </c>
    </row>
    <row r="1155">
      <c r="F1155" s="8" t="n"/>
      <c r="G1155" s="8">
        <f>IF(E1155="","",E1155*F1155)</f>
        <v/>
      </c>
      <c r="H1155" s="8">
        <f>IF(G1155="","",G1155-I1155)</f>
        <v/>
      </c>
      <c r="I1155" s="8">
        <f>IF(D1155="","",VLOOKUP(D1155, RECETTES!B:G, 6, FALSE)*E1155)</f>
        <v/>
      </c>
      <c r="J1155" s="8">
        <f>IF(G1155="","",G1155*0.20)</f>
        <v/>
      </c>
      <c r="K1155" s="8">
        <f>IF(G1155="","",G1155+J1155)</f>
        <v/>
      </c>
    </row>
    <row r="1156">
      <c r="F1156" s="8" t="n"/>
      <c r="G1156" s="8">
        <f>IF(E1156="","",E1156*F1156)</f>
        <v/>
      </c>
      <c r="H1156" s="8">
        <f>IF(G1156="","",G1156-I1156)</f>
        <v/>
      </c>
      <c r="I1156" s="8">
        <f>IF(D1156="","",VLOOKUP(D1156, RECETTES!B:G, 6, FALSE)*E1156)</f>
        <v/>
      </c>
      <c r="J1156" s="8">
        <f>IF(G1156="","",G1156*0.20)</f>
        <v/>
      </c>
      <c r="K1156" s="8">
        <f>IF(G1156="","",G1156+J1156)</f>
        <v/>
      </c>
    </row>
    <row r="1157">
      <c r="F1157" s="8" t="n"/>
      <c r="G1157" s="8">
        <f>IF(E1157="","",E1157*F1157)</f>
        <v/>
      </c>
      <c r="H1157" s="8">
        <f>IF(G1157="","",G1157-I1157)</f>
        <v/>
      </c>
      <c r="I1157" s="8">
        <f>IF(D1157="","",VLOOKUP(D1157, RECETTES!B:G, 6, FALSE)*E1157)</f>
        <v/>
      </c>
      <c r="J1157" s="8">
        <f>IF(G1157="","",G1157*0.20)</f>
        <v/>
      </c>
      <c r="K1157" s="8">
        <f>IF(G1157="","",G1157+J1157)</f>
        <v/>
      </c>
    </row>
    <row r="1158">
      <c r="F1158" s="8" t="n"/>
      <c r="G1158" s="8">
        <f>IF(E1158="","",E1158*F1158)</f>
        <v/>
      </c>
      <c r="H1158" s="8">
        <f>IF(G1158="","",G1158-I1158)</f>
        <v/>
      </c>
      <c r="I1158" s="8">
        <f>IF(D1158="","",VLOOKUP(D1158, RECETTES!B:G, 6, FALSE)*E1158)</f>
        <v/>
      </c>
      <c r="J1158" s="8">
        <f>IF(G1158="","",G1158*0.20)</f>
        <v/>
      </c>
      <c r="K1158" s="8">
        <f>IF(G1158="","",G1158+J1158)</f>
        <v/>
      </c>
    </row>
    <row r="1159">
      <c r="F1159" s="8" t="n"/>
      <c r="G1159" s="8">
        <f>IF(E1159="","",E1159*F1159)</f>
        <v/>
      </c>
      <c r="H1159" s="8">
        <f>IF(G1159="","",G1159-I1159)</f>
        <v/>
      </c>
      <c r="I1159" s="8">
        <f>IF(D1159="","",VLOOKUP(D1159, RECETTES!B:G, 6, FALSE)*E1159)</f>
        <v/>
      </c>
      <c r="J1159" s="8">
        <f>IF(G1159="","",G1159*0.20)</f>
        <v/>
      </c>
      <c r="K1159" s="8">
        <f>IF(G1159="","",G1159+J1159)</f>
        <v/>
      </c>
    </row>
    <row r="1160">
      <c r="F1160" s="8" t="n"/>
      <c r="G1160" s="8">
        <f>IF(E1160="","",E1160*F1160)</f>
        <v/>
      </c>
      <c r="H1160" s="8">
        <f>IF(G1160="","",G1160-I1160)</f>
        <v/>
      </c>
      <c r="I1160" s="8">
        <f>IF(D1160="","",VLOOKUP(D1160, RECETTES!B:G, 6, FALSE)*E1160)</f>
        <v/>
      </c>
      <c r="J1160" s="8">
        <f>IF(G1160="","",G1160*0.20)</f>
        <v/>
      </c>
      <c r="K1160" s="8">
        <f>IF(G1160="","",G1160+J1160)</f>
        <v/>
      </c>
    </row>
    <row r="1161">
      <c r="F1161" s="8" t="n"/>
      <c r="G1161" s="8">
        <f>IF(E1161="","",E1161*F1161)</f>
        <v/>
      </c>
      <c r="H1161" s="8">
        <f>IF(G1161="","",G1161-I1161)</f>
        <v/>
      </c>
      <c r="I1161" s="8">
        <f>IF(D1161="","",VLOOKUP(D1161, RECETTES!B:G, 6, FALSE)*E1161)</f>
        <v/>
      </c>
      <c r="J1161" s="8">
        <f>IF(G1161="","",G1161*0.20)</f>
        <v/>
      </c>
      <c r="K1161" s="8">
        <f>IF(G1161="","",G1161+J1161)</f>
        <v/>
      </c>
    </row>
    <row r="1162">
      <c r="F1162" s="8" t="n"/>
      <c r="G1162" s="8">
        <f>IF(E1162="","",E1162*F1162)</f>
        <v/>
      </c>
      <c r="H1162" s="8">
        <f>IF(G1162="","",G1162-I1162)</f>
        <v/>
      </c>
      <c r="I1162" s="8">
        <f>IF(D1162="","",VLOOKUP(D1162, RECETTES!B:G, 6, FALSE)*E1162)</f>
        <v/>
      </c>
      <c r="J1162" s="8">
        <f>IF(G1162="","",G1162*0.20)</f>
        <v/>
      </c>
      <c r="K1162" s="8">
        <f>IF(G1162="","",G1162+J1162)</f>
        <v/>
      </c>
    </row>
    <row r="1163">
      <c r="F1163" s="8" t="n"/>
      <c r="G1163" s="8">
        <f>IF(E1163="","",E1163*F1163)</f>
        <v/>
      </c>
      <c r="H1163" s="8">
        <f>IF(G1163="","",G1163-I1163)</f>
        <v/>
      </c>
      <c r="I1163" s="8">
        <f>IF(D1163="","",VLOOKUP(D1163, RECETTES!B:G, 6, FALSE)*E1163)</f>
        <v/>
      </c>
      <c r="J1163" s="8">
        <f>IF(G1163="","",G1163*0.20)</f>
        <v/>
      </c>
      <c r="K1163" s="8">
        <f>IF(G1163="","",G1163+J1163)</f>
        <v/>
      </c>
    </row>
    <row r="1164">
      <c r="F1164" s="8" t="n"/>
      <c r="G1164" s="8">
        <f>IF(E1164="","",E1164*F1164)</f>
        <v/>
      </c>
      <c r="H1164" s="8">
        <f>IF(G1164="","",G1164-I1164)</f>
        <v/>
      </c>
      <c r="I1164" s="8">
        <f>IF(D1164="","",VLOOKUP(D1164, RECETTES!B:G, 6, FALSE)*E1164)</f>
        <v/>
      </c>
      <c r="J1164" s="8">
        <f>IF(G1164="","",G1164*0.20)</f>
        <v/>
      </c>
      <c r="K1164" s="8">
        <f>IF(G1164="","",G1164+J1164)</f>
        <v/>
      </c>
    </row>
    <row r="1165">
      <c r="F1165" s="8" t="n"/>
      <c r="G1165" s="8">
        <f>IF(E1165="","",E1165*F1165)</f>
        <v/>
      </c>
      <c r="H1165" s="8">
        <f>IF(G1165="","",G1165-I1165)</f>
        <v/>
      </c>
      <c r="I1165" s="8">
        <f>IF(D1165="","",VLOOKUP(D1165, RECETTES!B:G, 6, FALSE)*E1165)</f>
        <v/>
      </c>
      <c r="J1165" s="8">
        <f>IF(G1165="","",G1165*0.20)</f>
        <v/>
      </c>
      <c r="K1165" s="8">
        <f>IF(G1165="","",G1165+J1165)</f>
        <v/>
      </c>
    </row>
    <row r="1166">
      <c r="F1166" s="8" t="n"/>
      <c r="G1166" s="8">
        <f>IF(E1166="","",E1166*F1166)</f>
        <v/>
      </c>
      <c r="H1166" s="8">
        <f>IF(G1166="","",G1166-I1166)</f>
        <v/>
      </c>
      <c r="I1166" s="8">
        <f>IF(D1166="","",VLOOKUP(D1166, RECETTES!B:G, 6, FALSE)*E1166)</f>
        <v/>
      </c>
      <c r="J1166" s="8">
        <f>IF(G1166="","",G1166*0.20)</f>
        <v/>
      </c>
      <c r="K1166" s="8">
        <f>IF(G1166="","",G1166+J1166)</f>
        <v/>
      </c>
    </row>
    <row r="1167">
      <c r="F1167" s="8" t="n"/>
      <c r="G1167" s="8">
        <f>IF(E1167="","",E1167*F1167)</f>
        <v/>
      </c>
      <c r="H1167" s="8">
        <f>IF(G1167="","",G1167-I1167)</f>
        <v/>
      </c>
      <c r="I1167" s="8">
        <f>IF(D1167="","",VLOOKUP(D1167, RECETTES!B:G, 6, FALSE)*E1167)</f>
        <v/>
      </c>
      <c r="J1167" s="8">
        <f>IF(G1167="","",G1167*0.20)</f>
        <v/>
      </c>
      <c r="K1167" s="8">
        <f>IF(G1167="","",G1167+J1167)</f>
        <v/>
      </c>
    </row>
    <row r="1168">
      <c r="F1168" s="8" t="n"/>
      <c r="G1168" s="8">
        <f>IF(E1168="","",E1168*F1168)</f>
        <v/>
      </c>
      <c r="H1168" s="8">
        <f>IF(G1168="","",G1168-I1168)</f>
        <v/>
      </c>
      <c r="I1168" s="8">
        <f>IF(D1168="","",VLOOKUP(D1168, RECETTES!B:G, 6, FALSE)*E1168)</f>
        <v/>
      </c>
      <c r="J1168" s="8">
        <f>IF(G1168="","",G1168*0.20)</f>
        <v/>
      </c>
      <c r="K1168" s="8">
        <f>IF(G1168="","",G1168+J1168)</f>
        <v/>
      </c>
    </row>
    <row r="1169">
      <c r="F1169" s="8" t="n"/>
      <c r="G1169" s="8">
        <f>IF(E1169="","",E1169*F1169)</f>
        <v/>
      </c>
      <c r="H1169" s="8">
        <f>IF(G1169="","",G1169-I1169)</f>
        <v/>
      </c>
      <c r="I1169" s="8">
        <f>IF(D1169="","",VLOOKUP(D1169, RECETTES!B:G, 6, FALSE)*E1169)</f>
        <v/>
      </c>
      <c r="J1169" s="8">
        <f>IF(G1169="","",G1169*0.20)</f>
        <v/>
      </c>
      <c r="K1169" s="8">
        <f>IF(G1169="","",G1169+J1169)</f>
        <v/>
      </c>
    </row>
    <row r="1170">
      <c r="F1170" s="8" t="n"/>
      <c r="G1170" s="8">
        <f>IF(E1170="","",E1170*F1170)</f>
        <v/>
      </c>
      <c r="H1170" s="8">
        <f>IF(G1170="","",G1170-I1170)</f>
        <v/>
      </c>
      <c r="I1170" s="8">
        <f>IF(D1170="","",VLOOKUP(D1170, RECETTES!B:G, 6, FALSE)*E1170)</f>
        <v/>
      </c>
      <c r="J1170" s="8">
        <f>IF(G1170="","",G1170*0.20)</f>
        <v/>
      </c>
      <c r="K1170" s="8">
        <f>IF(G1170="","",G1170+J1170)</f>
        <v/>
      </c>
    </row>
    <row r="1171">
      <c r="F1171" s="8" t="n"/>
      <c r="G1171" s="8">
        <f>IF(E1171="","",E1171*F1171)</f>
        <v/>
      </c>
      <c r="H1171" s="8">
        <f>IF(G1171="","",G1171-I1171)</f>
        <v/>
      </c>
      <c r="I1171" s="8">
        <f>IF(D1171="","",VLOOKUP(D1171, RECETTES!B:G, 6, FALSE)*E1171)</f>
        <v/>
      </c>
      <c r="J1171" s="8">
        <f>IF(G1171="","",G1171*0.20)</f>
        <v/>
      </c>
      <c r="K1171" s="8">
        <f>IF(G1171="","",G1171+J1171)</f>
        <v/>
      </c>
    </row>
    <row r="1172">
      <c r="F1172" s="8" t="n"/>
      <c r="G1172" s="8">
        <f>IF(E1172="","",E1172*F1172)</f>
        <v/>
      </c>
      <c r="H1172" s="8">
        <f>IF(G1172="","",G1172-I1172)</f>
        <v/>
      </c>
      <c r="I1172" s="8">
        <f>IF(D1172="","",VLOOKUP(D1172, RECETTES!B:G, 6, FALSE)*E1172)</f>
        <v/>
      </c>
      <c r="J1172" s="8">
        <f>IF(G1172="","",G1172*0.20)</f>
        <v/>
      </c>
      <c r="K1172" s="8">
        <f>IF(G1172="","",G1172+J1172)</f>
        <v/>
      </c>
    </row>
    <row r="1173">
      <c r="F1173" s="8" t="n"/>
      <c r="G1173" s="8">
        <f>IF(E1173="","",E1173*F1173)</f>
        <v/>
      </c>
      <c r="H1173" s="8">
        <f>IF(G1173="","",G1173-I1173)</f>
        <v/>
      </c>
      <c r="I1173" s="8">
        <f>IF(D1173="","",VLOOKUP(D1173, RECETTES!B:G, 6, FALSE)*E1173)</f>
        <v/>
      </c>
      <c r="J1173" s="8">
        <f>IF(G1173="","",G1173*0.20)</f>
        <v/>
      </c>
      <c r="K1173" s="8">
        <f>IF(G1173="","",G1173+J1173)</f>
        <v/>
      </c>
    </row>
    <row r="1174">
      <c r="F1174" s="8" t="n"/>
      <c r="G1174" s="8">
        <f>IF(E1174="","",E1174*F1174)</f>
        <v/>
      </c>
      <c r="H1174" s="8">
        <f>IF(G1174="","",G1174-I1174)</f>
        <v/>
      </c>
      <c r="I1174" s="8">
        <f>IF(D1174="","",VLOOKUP(D1174, RECETTES!B:G, 6, FALSE)*E1174)</f>
        <v/>
      </c>
      <c r="J1174" s="8">
        <f>IF(G1174="","",G1174*0.20)</f>
        <v/>
      </c>
      <c r="K1174" s="8">
        <f>IF(G1174="","",G1174+J1174)</f>
        <v/>
      </c>
    </row>
    <row r="1175">
      <c r="F1175" s="8" t="n"/>
      <c r="G1175" s="8">
        <f>IF(E1175="","",E1175*F1175)</f>
        <v/>
      </c>
      <c r="H1175" s="8">
        <f>IF(G1175="","",G1175-I1175)</f>
        <v/>
      </c>
      <c r="I1175" s="8">
        <f>IF(D1175="","",VLOOKUP(D1175, RECETTES!B:G, 6, FALSE)*E1175)</f>
        <v/>
      </c>
      <c r="J1175" s="8">
        <f>IF(G1175="","",G1175*0.20)</f>
        <v/>
      </c>
      <c r="K1175" s="8">
        <f>IF(G1175="","",G1175+J1175)</f>
        <v/>
      </c>
    </row>
    <row r="1176">
      <c r="F1176" s="8" t="n"/>
      <c r="G1176" s="8">
        <f>IF(E1176="","",E1176*F1176)</f>
        <v/>
      </c>
      <c r="H1176" s="8">
        <f>IF(G1176="","",G1176-I1176)</f>
        <v/>
      </c>
      <c r="I1176" s="8">
        <f>IF(D1176="","",VLOOKUP(D1176, RECETTES!B:G, 6, FALSE)*E1176)</f>
        <v/>
      </c>
      <c r="J1176" s="8">
        <f>IF(G1176="","",G1176*0.20)</f>
        <v/>
      </c>
      <c r="K1176" s="8">
        <f>IF(G1176="","",G1176+J1176)</f>
        <v/>
      </c>
    </row>
    <row r="1177">
      <c r="F1177" s="8" t="n"/>
      <c r="G1177" s="8">
        <f>IF(E1177="","",E1177*F1177)</f>
        <v/>
      </c>
      <c r="H1177" s="8">
        <f>IF(G1177="","",G1177-I1177)</f>
        <v/>
      </c>
      <c r="I1177" s="8">
        <f>IF(D1177="","",VLOOKUP(D1177, RECETTES!B:G, 6, FALSE)*E1177)</f>
        <v/>
      </c>
      <c r="J1177" s="8">
        <f>IF(G1177="","",G1177*0.20)</f>
        <v/>
      </c>
      <c r="K1177" s="8">
        <f>IF(G1177="","",G1177+J1177)</f>
        <v/>
      </c>
    </row>
    <row r="1178">
      <c r="F1178" s="8" t="n"/>
      <c r="G1178" s="8">
        <f>IF(E1178="","",E1178*F1178)</f>
        <v/>
      </c>
      <c r="H1178" s="8">
        <f>IF(G1178="","",G1178-I1178)</f>
        <v/>
      </c>
      <c r="I1178" s="8">
        <f>IF(D1178="","",VLOOKUP(D1178, RECETTES!B:G, 6, FALSE)*E1178)</f>
        <v/>
      </c>
      <c r="J1178" s="8">
        <f>IF(G1178="","",G1178*0.20)</f>
        <v/>
      </c>
      <c r="K1178" s="8">
        <f>IF(G1178="","",G1178+J1178)</f>
        <v/>
      </c>
    </row>
    <row r="1179">
      <c r="F1179" s="8" t="n"/>
      <c r="G1179" s="8">
        <f>IF(E1179="","",E1179*F1179)</f>
        <v/>
      </c>
      <c r="H1179" s="8">
        <f>IF(G1179="","",G1179-I1179)</f>
        <v/>
      </c>
      <c r="I1179" s="8">
        <f>IF(D1179="","",VLOOKUP(D1179, RECETTES!B:G, 6, FALSE)*E1179)</f>
        <v/>
      </c>
      <c r="J1179" s="8">
        <f>IF(G1179="","",G1179*0.20)</f>
        <v/>
      </c>
      <c r="K1179" s="8">
        <f>IF(G1179="","",G1179+J1179)</f>
        <v/>
      </c>
    </row>
    <row r="1180">
      <c r="F1180" s="8" t="n"/>
      <c r="G1180" s="8">
        <f>IF(E1180="","",E1180*F1180)</f>
        <v/>
      </c>
      <c r="H1180" s="8">
        <f>IF(G1180="","",G1180-I1180)</f>
        <v/>
      </c>
      <c r="I1180" s="8">
        <f>IF(D1180="","",VLOOKUP(D1180, RECETTES!B:G, 6, FALSE)*E1180)</f>
        <v/>
      </c>
      <c r="J1180" s="8">
        <f>IF(G1180="","",G1180*0.20)</f>
        <v/>
      </c>
      <c r="K1180" s="8">
        <f>IF(G1180="","",G1180+J1180)</f>
        <v/>
      </c>
    </row>
    <row r="1181">
      <c r="F1181" s="8" t="n"/>
      <c r="G1181" s="8">
        <f>IF(E1181="","",E1181*F1181)</f>
        <v/>
      </c>
      <c r="H1181" s="8">
        <f>IF(G1181="","",G1181-I1181)</f>
        <v/>
      </c>
      <c r="I1181" s="8">
        <f>IF(D1181="","",VLOOKUP(D1181, RECETTES!B:G, 6, FALSE)*E1181)</f>
        <v/>
      </c>
      <c r="J1181" s="8">
        <f>IF(G1181="","",G1181*0.20)</f>
        <v/>
      </c>
      <c r="K1181" s="8">
        <f>IF(G1181="","",G1181+J1181)</f>
        <v/>
      </c>
    </row>
    <row r="1182">
      <c r="F1182" s="8" t="n"/>
      <c r="G1182" s="8">
        <f>IF(E1182="","",E1182*F1182)</f>
        <v/>
      </c>
      <c r="H1182" s="8">
        <f>IF(G1182="","",G1182-I1182)</f>
        <v/>
      </c>
      <c r="I1182" s="8">
        <f>IF(D1182="","",VLOOKUP(D1182, RECETTES!B:G, 6, FALSE)*E1182)</f>
        <v/>
      </c>
      <c r="J1182" s="8">
        <f>IF(G1182="","",G1182*0.20)</f>
        <v/>
      </c>
      <c r="K1182" s="8">
        <f>IF(G1182="","",G1182+J1182)</f>
        <v/>
      </c>
    </row>
    <row r="1183">
      <c r="F1183" s="8" t="n"/>
      <c r="G1183" s="8">
        <f>IF(E1183="","",E1183*F1183)</f>
        <v/>
      </c>
      <c r="H1183" s="8">
        <f>IF(G1183="","",G1183-I1183)</f>
        <v/>
      </c>
      <c r="I1183" s="8">
        <f>IF(D1183="","",VLOOKUP(D1183, RECETTES!B:G, 6, FALSE)*E1183)</f>
        <v/>
      </c>
      <c r="J1183" s="8">
        <f>IF(G1183="","",G1183*0.20)</f>
        <v/>
      </c>
      <c r="K1183" s="8">
        <f>IF(G1183="","",G1183+J1183)</f>
        <v/>
      </c>
    </row>
    <row r="1184">
      <c r="F1184" s="8" t="n"/>
      <c r="G1184" s="8">
        <f>IF(E1184="","",E1184*F1184)</f>
        <v/>
      </c>
      <c r="H1184" s="8">
        <f>IF(G1184="","",G1184-I1184)</f>
        <v/>
      </c>
      <c r="I1184" s="8">
        <f>IF(D1184="","",VLOOKUP(D1184, RECETTES!B:G, 6, FALSE)*E1184)</f>
        <v/>
      </c>
      <c r="J1184" s="8">
        <f>IF(G1184="","",G1184*0.20)</f>
        <v/>
      </c>
      <c r="K1184" s="8">
        <f>IF(G1184="","",G1184+J1184)</f>
        <v/>
      </c>
    </row>
    <row r="1185">
      <c r="F1185" s="8" t="n"/>
      <c r="G1185" s="8">
        <f>IF(E1185="","",E1185*F1185)</f>
        <v/>
      </c>
      <c r="H1185" s="8">
        <f>IF(G1185="","",G1185-I1185)</f>
        <v/>
      </c>
      <c r="I1185" s="8">
        <f>IF(D1185="","",VLOOKUP(D1185, RECETTES!B:G, 6, FALSE)*E1185)</f>
        <v/>
      </c>
      <c r="J1185" s="8">
        <f>IF(G1185="","",G1185*0.20)</f>
        <v/>
      </c>
      <c r="K1185" s="8">
        <f>IF(G1185="","",G1185+J1185)</f>
        <v/>
      </c>
    </row>
    <row r="1186">
      <c r="F1186" s="8" t="n"/>
      <c r="G1186" s="8">
        <f>IF(E1186="","",E1186*F1186)</f>
        <v/>
      </c>
      <c r="H1186" s="8">
        <f>IF(G1186="","",G1186-I1186)</f>
        <v/>
      </c>
      <c r="I1186" s="8">
        <f>IF(D1186="","",VLOOKUP(D1186, RECETTES!B:G, 6, FALSE)*E1186)</f>
        <v/>
      </c>
      <c r="J1186" s="8">
        <f>IF(G1186="","",G1186*0.20)</f>
        <v/>
      </c>
      <c r="K1186" s="8">
        <f>IF(G1186="","",G1186+J1186)</f>
        <v/>
      </c>
    </row>
    <row r="1187">
      <c r="F1187" s="8" t="n"/>
      <c r="G1187" s="8">
        <f>IF(E1187="","",E1187*F1187)</f>
        <v/>
      </c>
      <c r="H1187" s="8">
        <f>IF(G1187="","",G1187-I1187)</f>
        <v/>
      </c>
      <c r="I1187" s="8">
        <f>IF(D1187="","",VLOOKUP(D1187, RECETTES!B:G, 6, FALSE)*E1187)</f>
        <v/>
      </c>
      <c r="J1187" s="8">
        <f>IF(G1187="","",G1187*0.20)</f>
        <v/>
      </c>
      <c r="K1187" s="8">
        <f>IF(G1187="","",G1187+J1187)</f>
        <v/>
      </c>
    </row>
    <row r="1188">
      <c r="F1188" s="8" t="n"/>
      <c r="G1188" s="8">
        <f>IF(E1188="","",E1188*F1188)</f>
        <v/>
      </c>
      <c r="H1188" s="8">
        <f>IF(G1188="","",G1188-I1188)</f>
        <v/>
      </c>
      <c r="I1188" s="8">
        <f>IF(D1188="","",VLOOKUP(D1188, RECETTES!B:G, 6, FALSE)*E1188)</f>
        <v/>
      </c>
      <c r="J1188" s="8">
        <f>IF(G1188="","",G1188*0.20)</f>
        <v/>
      </c>
      <c r="K1188" s="8">
        <f>IF(G1188="","",G1188+J1188)</f>
        <v/>
      </c>
    </row>
    <row r="1189">
      <c r="F1189" s="8" t="n"/>
      <c r="G1189" s="8">
        <f>IF(E1189="","",E1189*F1189)</f>
        <v/>
      </c>
      <c r="H1189" s="8">
        <f>IF(G1189="","",G1189-I1189)</f>
        <v/>
      </c>
      <c r="I1189" s="8">
        <f>IF(D1189="","",VLOOKUP(D1189, RECETTES!B:G, 6, FALSE)*E1189)</f>
        <v/>
      </c>
      <c r="J1189" s="8">
        <f>IF(G1189="","",G1189*0.20)</f>
        <v/>
      </c>
      <c r="K1189" s="8">
        <f>IF(G1189="","",G1189+J1189)</f>
        <v/>
      </c>
    </row>
    <row r="1190">
      <c r="F1190" s="8" t="n"/>
      <c r="G1190" s="8">
        <f>IF(E1190="","",E1190*F1190)</f>
        <v/>
      </c>
      <c r="H1190" s="8">
        <f>IF(G1190="","",G1190-I1190)</f>
        <v/>
      </c>
      <c r="I1190" s="8">
        <f>IF(D1190="","",VLOOKUP(D1190, RECETTES!B:G, 6, FALSE)*E1190)</f>
        <v/>
      </c>
      <c r="J1190" s="8">
        <f>IF(G1190="","",G1190*0.20)</f>
        <v/>
      </c>
      <c r="K1190" s="8">
        <f>IF(G1190="","",G1190+J1190)</f>
        <v/>
      </c>
    </row>
    <row r="1191">
      <c r="F1191" s="8" t="n"/>
      <c r="G1191" s="8">
        <f>IF(E1191="","",E1191*F1191)</f>
        <v/>
      </c>
      <c r="H1191" s="8">
        <f>IF(G1191="","",G1191-I1191)</f>
        <v/>
      </c>
      <c r="I1191" s="8">
        <f>IF(D1191="","",VLOOKUP(D1191, RECETTES!B:G, 6, FALSE)*E1191)</f>
        <v/>
      </c>
      <c r="J1191" s="8">
        <f>IF(G1191="","",G1191*0.20)</f>
        <v/>
      </c>
      <c r="K1191" s="8">
        <f>IF(G1191="","",G1191+J1191)</f>
        <v/>
      </c>
    </row>
    <row r="1192">
      <c r="F1192" s="8" t="n"/>
      <c r="G1192" s="8">
        <f>IF(E1192="","",E1192*F1192)</f>
        <v/>
      </c>
      <c r="H1192" s="8">
        <f>IF(G1192="","",G1192-I1192)</f>
        <v/>
      </c>
      <c r="I1192" s="8">
        <f>IF(D1192="","",VLOOKUP(D1192, RECETTES!B:G, 6, FALSE)*E1192)</f>
        <v/>
      </c>
      <c r="J1192" s="8">
        <f>IF(G1192="","",G1192*0.20)</f>
        <v/>
      </c>
      <c r="K1192" s="8">
        <f>IF(G1192="","",G1192+J1192)</f>
        <v/>
      </c>
    </row>
    <row r="1193">
      <c r="F1193" s="8" t="n"/>
      <c r="G1193" s="8">
        <f>IF(E1193="","",E1193*F1193)</f>
        <v/>
      </c>
      <c r="H1193" s="8">
        <f>IF(G1193="","",G1193-I1193)</f>
        <v/>
      </c>
      <c r="I1193" s="8">
        <f>IF(D1193="","",VLOOKUP(D1193, RECETTES!B:G, 6, FALSE)*E1193)</f>
        <v/>
      </c>
      <c r="J1193" s="8">
        <f>IF(G1193="","",G1193*0.20)</f>
        <v/>
      </c>
      <c r="K1193" s="8">
        <f>IF(G1193="","",G1193+J1193)</f>
        <v/>
      </c>
    </row>
    <row r="1194">
      <c r="F1194" s="8" t="n"/>
      <c r="G1194" s="8">
        <f>IF(E1194="","",E1194*F1194)</f>
        <v/>
      </c>
      <c r="H1194" s="8">
        <f>IF(G1194="","",G1194-I1194)</f>
        <v/>
      </c>
      <c r="I1194" s="8">
        <f>IF(D1194="","",VLOOKUP(D1194, RECETTES!B:G, 6, FALSE)*E1194)</f>
        <v/>
      </c>
      <c r="J1194" s="8">
        <f>IF(G1194="","",G1194*0.20)</f>
        <v/>
      </c>
      <c r="K1194" s="8">
        <f>IF(G1194="","",G1194+J1194)</f>
        <v/>
      </c>
    </row>
    <row r="1195">
      <c r="F1195" s="8" t="n"/>
      <c r="G1195" s="8">
        <f>IF(E1195="","",E1195*F1195)</f>
        <v/>
      </c>
      <c r="H1195" s="8">
        <f>IF(G1195="","",G1195-I1195)</f>
        <v/>
      </c>
      <c r="I1195" s="8">
        <f>IF(D1195="","",VLOOKUP(D1195, RECETTES!B:G, 6, FALSE)*E1195)</f>
        <v/>
      </c>
      <c r="J1195" s="8">
        <f>IF(G1195="","",G1195*0.20)</f>
        <v/>
      </c>
      <c r="K1195" s="8">
        <f>IF(G1195="","",G1195+J1195)</f>
        <v/>
      </c>
    </row>
    <row r="1196">
      <c r="F1196" s="8" t="n"/>
      <c r="G1196" s="8">
        <f>IF(E1196="","",E1196*F1196)</f>
        <v/>
      </c>
      <c r="H1196" s="8">
        <f>IF(G1196="","",G1196-I1196)</f>
        <v/>
      </c>
      <c r="I1196" s="8">
        <f>IF(D1196="","",VLOOKUP(D1196, RECETTES!B:G, 6, FALSE)*E1196)</f>
        <v/>
      </c>
      <c r="J1196" s="8">
        <f>IF(G1196="","",G1196*0.20)</f>
        <v/>
      </c>
      <c r="K1196" s="8">
        <f>IF(G1196="","",G1196+J1196)</f>
        <v/>
      </c>
    </row>
    <row r="1197">
      <c r="F1197" s="8" t="n"/>
      <c r="G1197" s="8">
        <f>IF(E1197="","",E1197*F1197)</f>
        <v/>
      </c>
      <c r="H1197" s="8">
        <f>IF(G1197="","",G1197-I1197)</f>
        <v/>
      </c>
      <c r="I1197" s="8">
        <f>IF(D1197="","",VLOOKUP(D1197, RECETTES!B:G, 6, FALSE)*E1197)</f>
        <v/>
      </c>
      <c r="J1197" s="8">
        <f>IF(G1197="","",G1197*0.20)</f>
        <v/>
      </c>
      <c r="K1197" s="8">
        <f>IF(G1197="","",G1197+J1197)</f>
        <v/>
      </c>
    </row>
    <row r="1198">
      <c r="F1198" s="8" t="n"/>
      <c r="G1198" s="8">
        <f>IF(E1198="","",E1198*F1198)</f>
        <v/>
      </c>
      <c r="H1198" s="8">
        <f>IF(G1198="","",G1198-I1198)</f>
        <v/>
      </c>
      <c r="I1198" s="8">
        <f>IF(D1198="","",VLOOKUP(D1198, RECETTES!B:G, 6, FALSE)*E1198)</f>
        <v/>
      </c>
      <c r="J1198" s="8">
        <f>IF(G1198="","",G1198*0.20)</f>
        <v/>
      </c>
      <c r="K1198" s="8">
        <f>IF(G1198="","",G1198+J1198)</f>
        <v/>
      </c>
    </row>
    <row r="1199">
      <c r="F1199" s="8" t="n"/>
      <c r="G1199" s="8">
        <f>IF(E1199="","",E1199*F1199)</f>
        <v/>
      </c>
      <c r="H1199" s="8">
        <f>IF(G1199="","",G1199-I1199)</f>
        <v/>
      </c>
      <c r="I1199" s="8">
        <f>IF(D1199="","",VLOOKUP(D1199, RECETTES!B:G, 6, FALSE)*E1199)</f>
        <v/>
      </c>
      <c r="J1199" s="8">
        <f>IF(G1199="","",G1199*0.20)</f>
        <v/>
      </c>
      <c r="K1199" s="8">
        <f>IF(G1199="","",G1199+J1199)</f>
        <v/>
      </c>
    </row>
    <row r="1200">
      <c r="F1200" s="8" t="n"/>
      <c r="G1200" s="8">
        <f>IF(E1200="","",E1200*F1200)</f>
        <v/>
      </c>
      <c r="H1200" s="8">
        <f>IF(G1200="","",G1200-I1200)</f>
        <v/>
      </c>
      <c r="I1200" s="8">
        <f>IF(D1200="","",VLOOKUP(D1200, RECETTES!B:G, 6, FALSE)*E1200)</f>
        <v/>
      </c>
      <c r="J1200" s="8">
        <f>IF(G1200="","",G1200*0.20)</f>
        <v/>
      </c>
      <c r="K1200" s="8">
        <f>IF(G1200="","",G1200+J1200)</f>
        <v/>
      </c>
    </row>
    <row r="1201">
      <c r="F1201" s="8" t="n"/>
      <c r="G1201" s="8">
        <f>IF(E1201="","",E1201*F1201)</f>
        <v/>
      </c>
      <c r="H1201" s="8">
        <f>IF(G1201="","",G1201-I1201)</f>
        <v/>
      </c>
      <c r="I1201" s="8">
        <f>IF(D1201="","",VLOOKUP(D1201, RECETTES!B:G, 6, FALSE)*E1201)</f>
        <v/>
      </c>
      <c r="J1201" s="8">
        <f>IF(G1201="","",G1201*0.20)</f>
        <v/>
      </c>
      <c r="K1201" s="8">
        <f>IF(G1201="","",G1201+J1201)</f>
        <v/>
      </c>
    </row>
    <row r="1202">
      <c r="F1202" s="8" t="n"/>
      <c r="G1202" s="8">
        <f>IF(E1202="","",E1202*F1202)</f>
        <v/>
      </c>
      <c r="H1202" s="8">
        <f>IF(G1202="","",G1202-I1202)</f>
        <v/>
      </c>
      <c r="I1202" s="8">
        <f>IF(D1202="","",VLOOKUP(D1202, RECETTES!B:G, 6, FALSE)*E1202)</f>
        <v/>
      </c>
      <c r="J1202" s="8">
        <f>IF(G1202="","",G1202*0.20)</f>
        <v/>
      </c>
      <c r="K1202" s="8">
        <f>IF(G1202="","",G1202+J1202)</f>
        <v/>
      </c>
    </row>
    <row r="1203">
      <c r="F1203" s="8" t="n"/>
      <c r="G1203" s="8">
        <f>IF(E1203="","",E1203*F1203)</f>
        <v/>
      </c>
      <c r="H1203" s="8">
        <f>IF(G1203="","",G1203-I1203)</f>
        <v/>
      </c>
      <c r="I1203" s="8">
        <f>IF(D1203="","",VLOOKUP(D1203, RECETTES!B:G, 6, FALSE)*E1203)</f>
        <v/>
      </c>
      <c r="J1203" s="8">
        <f>IF(G1203="","",G1203*0.20)</f>
        <v/>
      </c>
      <c r="K1203" s="8">
        <f>IF(G1203="","",G1203+J1203)</f>
        <v/>
      </c>
    </row>
    <row r="1204">
      <c r="F1204" s="8" t="n"/>
      <c r="G1204" s="8">
        <f>IF(E1204="","",E1204*F1204)</f>
        <v/>
      </c>
      <c r="H1204" s="8">
        <f>IF(G1204="","",G1204-I1204)</f>
        <v/>
      </c>
      <c r="I1204" s="8">
        <f>IF(D1204="","",VLOOKUP(D1204, RECETTES!B:G, 6, FALSE)*E1204)</f>
        <v/>
      </c>
      <c r="J1204" s="8">
        <f>IF(G1204="","",G1204*0.20)</f>
        <v/>
      </c>
      <c r="K1204" s="8">
        <f>IF(G1204="","",G1204+J1204)</f>
        <v/>
      </c>
    </row>
    <row r="1205">
      <c r="F1205" s="8" t="n"/>
      <c r="G1205" s="8">
        <f>IF(E1205="","",E1205*F1205)</f>
        <v/>
      </c>
      <c r="H1205" s="8">
        <f>IF(G1205="","",G1205-I1205)</f>
        <v/>
      </c>
      <c r="I1205" s="8">
        <f>IF(D1205="","",VLOOKUP(D1205, RECETTES!B:G, 6, FALSE)*E1205)</f>
        <v/>
      </c>
      <c r="J1205" s="8">
        <f>IF(G1205="","",G1205*0.20)</f>
        <v/>
      </c>
      <c r="K1205" s="8">
        <f>IF(G1205="","",G1205+J1205)</f>
        <v/>
      </c>
    </row>
    <row r="1206">
      <c r="F1206" s="8" t="n"/>
      <c r="G1206" s="8">
        <f>IF(E1206="","",E1206*F1206)</f>
        <v/>
      </c>
      <c r="H1206" s="8">
        <f>IF(G1206="","",G1206-I1206)</f>
        <v/>
      </c>
      <c r="I1206" s="8">
        <f>IF(D1206="","",VLOOKUP(D1206, RECETTES!B:G, 6, FALSE)*E1206)</f>
        <v/>
      </c>
      <c r="J1206" s="8">
        <f>IF(G1206="","",G1206*0.20)</f>
        <v/>
      </c>
      <c r="K1206" s="8">
        <f>IF(G1206="","",G1206+J1206)</f>
        <v/>
      </c>
    </row>
    <row r="1207">
      <c r="F1207" s="8" t="n"/>
      <c r="G1207" s="8">
        <f>IF(E1207="","",E1207*F1207)</f>
        <v/>
      </c>
      <c r="H1207" s="8">
        <f>IF(G1207="","",G1207-I1207)</f>
        <v/>
      </c>
      <c r="I1207" s="8">
        <f>IF(D1207="","",VLOOKUP(D1207, RECETTES!B:G, 6, FALSE)*E1207)</f>
        <v/>
      </c>
      <c r="J1207" s="8">
        <f>IF(G1207="","",G1207*0.20)</f>
        <v/>
      </c>
      <c r="K1207" s="8">
        <f>IF(G1207="","",G1207+J1207)</f>
        <v/>
      </c>
    </row>
    <row r="1208">
      <c r="F1208" s="8" t="n"/>
      <c r="G1208" s="8">
        <f>IF(E1208="","",E1208*F1208)</f>
        <v/>
      </c>
      <c r="H1208" s="8">
        <f>IF(G1208="","",G1208-I1208)</f>
        <v/>
      </c>
      <c r="I1208" s="8">
        <f>IF(D1208="","",VLOOKUP(D1208, RECETTES!B:G, 6, FALSE)*E1208)</f>
        <v/>
      </c>
      <c r="J1208" s="8">
        <f>IF(G1208="","",G1208*0.20)</f>
        <v/>
      </c>
      <c r="K1208" s="8">
        <f>IF(G1208="","",G1208+J1208)</f>
        <v/>
      </c>
    </row>
    <row r="1209">
      <c r="F1209" s="8" t="n"/>
      <c r="G1209" s="8">
        <f>IF(E1209="","",E1209*F1209)</f>
        <v/>
      </c>
      <c r="H1209" s="8">
        <f>IF(G1209="","",G1209-I1209)</f>
        <v/>
      </c>
      <c r="I1209" s="8">
        <f>IF(D1209="","",VLOOKUP(D1209, RECETTES!B:G, 6, FALSE)*E1209)</f>
        <v/>
      </c>
      <c r="J1209" s="8">
        <f>IF(G1209="","",G1209*0.20)</f>
        <v/>
      </c>
      <c r="K1209" s="8">
        <f>IF(G1209="","",G1209+J1209)</f>
        <v/>
      </c>
    </row>
    <row r="1210">
      <c r="F1210" s="8" t="n"/>
      <c r="G1210" s="8">
        <f>IF(E1210="","",E1210*F1210)</f>
        <v/>
      </c>
      <c r="H1210" s="8">
        <f>IF(G1210="","",G1210-I1210)</f>
        <v/>
      </c>
      <c r="I1210" s="8">
        <f>IF(D1210="","",VLOOKUP(D1210, RECETTES!B:G, 6, FALSE)*E1210)</f>
        <v/>
      </c>
      <c r="J1210" s="8">
        <f>IF(G1210="","",G1210*0.20)</f>
        <v/>
      </c>
      <c r="K1210" s="8">
        <f>IF(G1210="","",G1210+J1210)</f>
        <v/>
      </c>
    </row>
    <row r="1211">
      <c r="F1211" s="8" t="n"/>
      <c r="G1211" s="8">
        <f>IF(E1211="","",E1211*F1211)</f>
        <v/>
      </c>
      <c r="H1211" s="8">
        <f>IF(G1211="","",G1211-I1211)</f>
        <v/>
      </c>
      <c r="I1211" s="8">
        <f>IF(D1211="","",VLOOKUP(D1211, RECETTES!B:G, 6, FALSE)*E1211)</f>
        <v/>
      </c>
      <c r="J1211" s="8">
        <f>IF(G1211="","",G1211*0.20)</f>
        <v/>
      </c>
      <c r="K1211" s="8">
        <f>IF(G1211="","",G1211+J1211)</f>
        <v/>
      </c>
    </row>
    <row r="1212">
      <c r="F1212" s="8" t="n"/>
      <c r="G1212" s="8">
        <f>IF(E1212="","",E1212*F1212)</f>
        <v/>
      </c>
      <c r="H1212" s="8">
        <f>IF(G1212="","",G1212-I1212)</f>
        <v/>
      </c>
      <c r="I1212" s="8">
        <f>IF(D1212="","",VLOOKUP(D1212, RECETTES!B:G, 6, FALSE)*E1212)</f>
        <v/>
      </c>
      <c r="J1212" s="8">
        <f>IF(G1212="","",G1212*0.20)</f>
        <v/>
      </c>
      <c r="K1212" s="8">
        <f>IF(G1212="","",G1212+J1212)</f>
        <v/>
      </c>
    </row>
    <row r="1213">
      <c r="F1213" s="8" t="n"/>
      <c r="G1213" s="8">
        <f>IF(E1213="","",E1213*F1213)</f>
        <v/>
      </c>
      <c r="H1213" s="8">
        <f>IF(G1213="","",G1213-I1213)</f>
        <v/>
      </c>
      <c r="I1213" s="8">
        <f>IF(D1213="","",VLOOKUP(D1213, RECETTES!B:G, 6, FALSE)*E1213)</f>
        <v/>
      </c>
      <c r="J1213" s="8">
        <f>IF(G1213="","",G1213*0.20)</f>
        <v/>
      </c>
      <c r="K1213" s="8">
        <f>IF(G1213="","",G1213+J1213)</f>
        <v/>
      </c>
    </row>
    <row r="1214">
      <c r="F1214" s="8" t="n"/>
      <c r="G1214" s="8">
        <f>IF(E1214="","",E1214*F1214)</f>
        <v/>
      </c>
      <c r="H1214" s="8">
        <f>IF(G1214="","",G1214-I1214)</f>
        <v/>
      </c>
      <c r="I1214" s="8">
        <f>IF(D1214="","",VLOOKUP(D1214, RECETTES!B:G, 6, FALSE)*E1214)</f>
        <v/>
      </c>
      <c r="J1214" s="8">
        <f>IF(G1214="","",G1214*0.20)</f>
        <v/>
      </c>
      <c r="K1214" s="8">
        <f>IF(G1214="","",G1214+J1214)</f>
        <v/>
      </c>
    </row>
    <row r="1215">
      <c r="F1215" s="8" t="n"/>
      <c r="G1215" s="8">
        <f>IF(E1215="","",E1215*F1215)</f>
        <v/>
      </c>
      <c r="H1215" s="8">
        <f>IF(G1215="","",G1215-I1215)</f>
        <v/>
      </c>
      <c r="I1215" s="8">
        <f>IF(D1215="","",VLOOKUP(D1215, RECETTES!B:G, 6, FALSE)*E1215)</f>
        <v/>
      </c>
      <c r="J1215" s="8">
        <f>IF(G1215="","",G1215*0.20)</f>
        <v/>
      </c>
      <c r="K1215" s="8">
        <f>IF(G1215="","",G1215+J1215)</f>
        <v/>
      </c>
    </row>
    <row r="1216">
      <c r="F1216" s="8" t="n"/>
      <c r="G1216" s="8">
        <f>IF(E1216="","",E1216*F1216)</f>
        <v/>
      </c>
      <c r="H1216" s="8">
        <f>IF(G1216="","",G1216-I1216)</f>
        <v/>
      </c>
      <c r="I1216" s="8">
        <f>IF(D1216="","",VLOOKUP(D1216, RECETTES!B:G, 6, FALSE)*E1216)</f>
        <v/>
      </c>
      <c r="J1216" s="8">
        <f>IF(G1216="","",G1216*0.20)</f>
        <v/>
      </c>
      <c r="K1216" s="8">
        <f>IF(G1216="","",G1216+J1216)</f>
        <v/>
      </c>
    </row>
    <row r="1217">
      <c r="F1217" s="8" t="n"/>
      <c r="G1217" s="8">
        <f>IF(E1217="","",E1217*F1217)</f>
        <v/>
      </c>
      <c r="H1217" s="8">
        <f>IF(G1217="","",G1217-I1217)</f>
        <v/>
      </c>
      <c r="I1217" s="8">
        <f>IF(D1217="","",VLOOKUP(D1217, RECETTES!B:G, 6, FALSE)*E1217)</f>
        <v/>
      </c>
      <c r="J1217" s="8">
        <f>IF(G1217="","",G1217*0.20)</f>
        <v/>
      </c>
      <c r="K1217" s="8">
        <f>IF(G1217="","",G1217+J1217)</f>
        <v/>
      </c>
    </row>
    <row r="1218">
      <c r="F1218" s="8" t="n"/>
      <c r="G1218" s="8">
        <f>IF(E1218="","",E1218*F1218)</f>
        <v/>
      </c>
      <c r="H1218" s="8">
        <f>IF(G1218="","",G1218-I1218)</f>
        <v/>
      </c>
      <c r="I1218" s="8">
        <f>IF(D1218="","",VLOOKUP(D1218, RECETTES!B:G, 6, FALSE)*E1218)</f>
        <v/>
      </c>
      <c r="J1218" s="8">
        <f>IF(G1218="","",G1218*0.20)</f>
        <v/>
      </c>
      <c r="K1218" s="8">
        <f>IF(G1218="","",G1218+J1218)</f>
        <v/>
      </c>
    </row>
    <row r="1219">
      <c r="F1219" s="8" t="n"/>
      <c r="G1219" s="8">
        <f>IF(E1219="","",E1219*F1219)</f>
        <v/>
      </c>
      <c r="H1219" s="8">
        <f>IF(G1219="","",G1219-I1219)</f>
        <v/>
      </c>
      <c r="I1219" s="8">
        <f>IF(D1219="","",VLOOKUP(D1219, RECETTES!B:G, 6, FALSE)*E1219)</f>
        <v/>
      </c>
      <c r="J1219" s="8">
        <f>IF(G1219="","",G1219*0.20)</f>
        <v/>
      </c>
      <c r="K1219" s="8">
        <f>IF(G1219="","",G1219+J1219)</f>
        <v/>
      </c>
    </row>
    <row r="1220">
      <c r="F1220" s="8" t="n"/>
      <c r="G1220" s="8">
        <f>IF(E1220="","",E1220*F1220)</f>
        <v/>
      </c>
      <c r="H1220" s="8">
        <f>IF(G1220="","",G1220-I1220)</f>
        <v/>
      </c>
      <c r="I1220" s="8">
        <f>IF(D1220="","",VLOOKUP(D1220, RECETTES!B:G, 6, FALSE)*E1220)</f>
        <v/>
      </c>
      <c r="J1220" s="8">
        <f>IF(G1220="","",G1220*0.20)</f>
        <v/>
      </c>
      <c r="K1220" s="8">
        <f>IF(G1220="","",G1220+J1220)</f>
        <v/>
      </c>
    </row>
    <row r="1221">
      <c r="F1221" s="8" t="n"/>
      <c r="G1221" s="8">
        <f>IF(E1221="","",E1221*F1221)</f>
        <v/>
      </c>
      <c r="H1221" s="8">
        <f>IF(G1221="","",G1221-I1221)</f>
        <v/>
      </c>
      <c r="I1221" s="8">
        <f>IF(D1221="","",VLOOKUP(D1221, RECETTES!B:G, 6, FALSE)*E1221)</f>
        <v/>
      </c>
      <c r="J1221" s="8">
        <f>IF(G1221="","",G1221*0.20)</f>
        <v/>
      </c>
      <c r="K1221" s="8">
        <f>IF(G1221="","",G1221+J1221)</f>
        <v/>
      </c>
    </row>
    <row r="1222">
      <c r="F1222" s="8" t="n"/>
      <c r="G1222" s="8">
        <f>IF(E1222="","",E1222*F1222)</f>
        <v/>
      </c>
      <c r="H1222" s="8">
        <f>IF(G1222="","",G1222-I1222)</f>
        <v/>
      </c>
      <c r="I1222" s="8">
        <f>IF(D1222="","",VLOOKUP(D1222, RECETTES!B:G, 6, FALSE)*E1222)</f>
        <v/>
      </c>
      <c r="J1222" s="8">
        <f>IF(G1222="","",G1222*0.20)</f>
        <v/>
      </c>
      <c r="K1222" s="8">
        <f>IF(G1222="","",G1222+J1222)</f>
        <v/>
      </c>
    </row>
    <row r="1223">
      <c r="F1223" s="8" t="n"/>
      <c r="G1223" s="8">
        <f>IF(E1223="","",E1223*F1223)</f>
        <v/>
      </c>
      <c r="H1223" s="8">
        <f>IF(G1223="","",G1223-I1223)</f>
        <v/>
      </c>
      <c r="I1223" s="8">
        <f>IF(D1223="","",VLOOKUP(D1223, RECETTES!B:G, 6, FALSE)*E1223)</f>
        <v/>
      </c>
      <c r="J1223" s="8">
        <f>IF(G1223="","",G1223*0.20)</f>
        <v/>
      </c>
      <c r="K1223" s="8">
        <f>IF(G1223="","",G1223+J1223)</f>
        <v/>
      </c>
    </row>
    <row r="1224">
      <c r="F1224" s="8" t="n"/>
      <c r="G1224" s="8">
        <f>IF(E1224="","",E1224*F1224)</f>
        <v/>
      </c>
      <c r="H1224" s="8">
        <f>IF(G1224="","",G1224-I1224)</f>
        <v/>
      </c>
      <c r="I1224" s="8">
        <f>IF(D1224="","",VLOOKUP(D1224, RECETTES!B:G, 6, FALSE)*E1224)</f>
        <v/>
      </c>
      <c r="J1224" s="8">
        <f>IF(G1224="","",G1224*0.20)</f>
        <v/>
      </c>
      <c r="K1224" s="8">
        <f>IF(G1224="","",G1224+J1224)</f>
        <v/>
      </c>
    </row>
    <row r="1225">
      <c r="F1225" s="8" t="n"/>
      <c r="G1225" s="8">
        <f>IF(E1225="","",E1225*F1225)</f>
        <v/>
      </c>
      <c r="H1225" s="8">
        <f>IF(G1225="","",G1225-I1225)</f>
        <v/>
      </c>
      <c r="I1225" s="8">
        <f>IF(D1225="","",VLOOKUP(D1225, RECETTES!B:G, 6, FALSE)*E1225)</f>
        <v/>
      </c>
      <c r="J1225" s="8">
        <f>IF(G1225="","",G1225*0.20)</f>
        <v/>
      </c>
      <c r="K1225" s="8">
        <f>IF(G1225="","",G1225+J1225)</f>
        <v/>
      </c>
    </row>
    <row r="1226">
      <c r="F1226" s="8" t="n"/>
      <c r="G1226" s="8">
        <f>IF(E1226="","",E1226*F1226)</f>
        <v/>
      </c>
      <c r="H1226" s="8">
        <f>IF(G1226="","",G1226-I1226)</f>
        <v/>
      </c>
      <c r="I1226" s="8">
        <f>IF(D1226="","",VLOOKUP(D1226, RECETTES!B:G, 6, FALSE)*E1226)</f>
        <v/>
      </c>
      <c r="J1226" s="8">
        <f>IF(G1226="","",G1226*0.20)</f>
        <v/>
      </c>
      <c r="K1226" s="8">
        <f>IF(G1226="","",G1226+J1226)</f>
        <v/>
      </c>
    </row>
    <row r="1227">
      <c r="F1227" s="8" t="n"/>
      <c r="G1227" s="8">
        <f>IF(E1227="","",E1227*F1227)</f>
        <v/>
      </c>
      <c r="H1227" s="8">
        <f>IF(G1227="","",G1227-I1227)</f>
        <v/>
      </c>
      <c r="I1227" s="8">
        <f>IF(D1227="","",VLOOKUP(D1227, RECETTES!B:G, 6, FALSE)*E1227)</f>
        <v/>
      </c>
      <c r="J1227" s="8">
        <f>IF(G1227="","",G1227*0.20)</f>
        <v/>
      </c>
      <c r="K1227" s="8">
        <f>IF(G1227="","",G1227+J1227)</f>
        <v/>
      </c>
    </row>
    <row r="1228">
      <c r="F1228" s="8" t="n"/>
      <c r="G1228" s="8">
        <f>IF(E1228="","",E1228*F1228)</f>
        <v/>
      </c>
      <c r="H1228" s="8">
        <f>IF(G1228="","",G1228-I1228)</f>
        <v/>
      </c>
      <c r="I1228" s="8">
        <f>IF(D1228="","",VLOOKUP(D1228, RECETTES!B:G, 6, FALSE)*E1228)</f>
        <v/>
      </c>
      <c r="J1228" s="8">
        <f>IF(G1228="","",G1228*0.20)</f>
        <v/>
      </c>
      <c r="K1228" s="8">
        <f>IF(G1228="","",G1228+J1228)</f>
        <v/>
      </c>
    </row>
    <row r="1229">
      <c r="F1229" s="8" t="n"/>
      <c r="G1229" s="8">
        <f>IF(E1229="","",E1229*F1229)</f>
        <v/>
      </c>
      <c r="H1229" s="8">
        <f>IF(G1229="","",G1229-I1229)</f>
        <v/>
      </c>
      <c r="I1229" s="8">
        <f>IF(D1229="","",VLOOKUP(D1229, RECETTES!B:G, 6, FALSE)*E1229)</f>
        <v/>
      </c>
      <c r="J1229" s="8">
        <f>IF(G1229="","",G1229*0.20)</f>
        <v/>
      </c>
      <c r="K1229" s="8">
        <f>IF(G1229="","",G1229+J1229)</f>
        <v/>
      </c>
    </row>
    <row r="1230">
      <c r="F1230" s="8" t="n"/>
      <c r="G1230" s="8">
        <f>IF(E1230="","",E1230*F1230)</f>
        <v/>
      </c>
      <c r="H1230" s="8">
        <f>IF(G1230="","",G1230-I1230)</f>
        <v/>
      </c>
      <c r="I1230" s="8">
        <f>IF(D1230="","",VLOOKUP(D1230, RECETTES!B:G, 6, FALSE)*E1230)</f>
        <v/>
      </c>
      <c r="J1230" s="8">
        <f>IF(G1230="","",G1230*0.20)</f>
        <v/>
      </c>
      <c r="K1230" s="8">
        <f>IF(G1230="","",G1230+J1230)</f>
        <v/>
      </c>
    </row>
    <row r="1231">
      <c r="F1231" s="8" t="n"/>
      <c r="G1231" s="8">
        <f>IF(E1231="","",E1231*F1231)</f>
        <v/>
      </c>
      <c r="H1231" s="8">
        <f>IF(G1231="","",G1231-I1231)</f>
        <v/>
      </c>
      <c r="I1231" s="8">
        <f>IF(D1231="","",VLOOKUP(D1231, RECETTES!B:G, 6, FALSE)*E1231)</f>
        <v/>
      </c>
      <c r="J1231" s="8">
        <f>IF(G1231="","",G1231*0.20)</f>
        <v/>
      </c>
      <c r="K1231" s="8">
        <f>IF(G1231="","",G1231+J1231)</f>
        <v/>
      </c>
    </row>
    <row r="1232">
      <c r="F1232" s="8" t="n"/>
      <c r="G1232" s="8">
        <f>IF(E1232="","",E1232*F1232)</f>
        <v/>
      </c>
      <c r="H1232" s="8">
        <f>IF(G1232="","",G1232-I1232)</f>
        <v/>
      </c>
      <c r="I1232" s="8">
        <f>IF(D1232="","",VLOOKUP(D1232, RECETTES!B:G, 6, FALSE)*E1232)</f>
        <v/>
      </c>
      <c r="J1232" s="8">
        <f>IF(G1232="","",G1232*0.20)</f>
        <v/>
      </c>
      <c r="K1232" s="8">
        <f>IF(G1232="","",G1232+J1232)</f>
        <v/>
      </c>
    </row>
    <row r="1233">
      <c r="F1233" s="8" t="n"/>
      <c r="G1233" s="8">
        <f>IF(E1233="","",E1233*F1233)</f>
        <v/>
      </c>
      <c r="H1233" s="8">
        <f>IF(G1233="","",G1233-I1233)</f>
        <v/>
      </c>
      <c r="I1233" s="8">
        <f>IF(D1233="","",VLOOKUP(D1233, RECETTES!B:G, 6, FALSE)*E1233)</f>
        <v/>
      </c>
      <c r="J1233" s="8">
        <f>IF(G1233="","",G1233*0.20)</f>
        <v/>
      </c>
      <c r="K1233" s="8">
        <f>IF(G1233="","",G1233+J1233)</f>
        <v/>
      </c>
    </row>
    <row r="1234">
      <c r="F1234" s="8" t="n"/>
      <c r="G1234" s="8">
        <f>IF(E1234="","",E1234*F1234)</f>
        <v/>
      </c>
      <c r="H1234" s="8">
        <f>IF(G1234="","",G1234-I1234)</f>
        <v/>
      </c>
      <c r="I1234" s="8">
        <f>IF(D1234="","",VLOOKUP(D1234, RECETTES!B:G, 6, FALSE)*E1234)</f>
        <v/>
      </c>
      <c r="J1234" s="8">
        <f>IF(G1234="","",G1234*0.20)</f>
        <v/>
      </c>
      <c r="K1234" s="8">
        <f>IF(G1234="","",G1234+J1234)</f>
        <v/>
      </c>
    </row>
    <row r="1235">
      <c r="F1235" s="8" t="n"/>
      <c r="G1235" s="8">
        <f>IF(E1235="","",E1235*F1235)</f>
        <v/>
      </c>
      <c r="H1235" s="8">
        <f>IF(G1235="","",G1235-I1235)</f>
        <v/>
      </c>
      <c r="I1235" s="8">
        <f>IF(D1235="","",VLOOKUP(D1235, RECETTES!B:G, 6, FALSE)*E1235)</f>
        <v/>
      </c>
      <c r="J1235" s="8">
        <f>IF(G1235="","",G1235*0.20)</f>
        <v/>
      </c>
      <c r="K1235" s="8">
        <f>IF(G1235="","",G1235+J1235)</f>
        <v/>
      </c>
    </row>
    <row r="1236">
      <c r="F1236" s="8" t="n"/>
      <c r="G1236" s="8">
        <f>IF(E1236="","",E1236*F1236)</f>
        <v/>
      </c>
      <c r="H1236" s="8">
        <f>IF(G1236="","",G1236-I1236)</f>
        <v/>
      </c>
      <c r="I1236" s="8">
        <f>IF(D1236="","",VLOOKUP(D1236, RECETTES!B:G, 6, FALSE)*E1236)</f>
        <v/>
      </c>
      <c r="J1236" s="8">
        <f>IF(G1236="","",G1236*0.20)</f>
        <v/>
      </c>
      <c r="K1236" s="8">
        <f>IF(G1236="","",G1236+J1236)</f>
        <v/>
      </c>
    </row>
    <row r="1237">
      <c r="F1237" s="8" t="n"/>
      <c r="G1237" s="8">
        <f>IF(E1237="","",E1237*F1237)</f>
        <v/>
      </c>
      <c r="H1237" s="8">
        <f>IF(G1237="","",G1237-I1237)</f>
        <v/>
      </c>
      <c r="I1237" s="8">
        <f>IF(D1237="","",VLOOKUP(D1237, RECETTES!B:G, 6, FALSE)*E1237)</f>
        <v/>
      </c>
      <c r="J1237" s="8">
        <f>IF(G1237="","",G1237*0.20)</f>
        <v/>
      </c>
      <c r="K1237" s="8">
        <f>IF(G1237="","",G1237+J1237)</f>
        <v/>
      </c>
    </row>
    <row r="1238">
      <c r="F1238" s="8" t="n"/>
      <c r="G1238" s="8">
        <f>IF(E1238="","",E1238*F1238)</f>
        <v/>
      </c>
      <c r="H1238" s="8">
        <f>IF(G1238="","",G1238-I1238)</f>
        <v/>
      </c>
      <c r="I1238" s="8">
        <f>IF(D1238="","",VLOOKUP(D1238, RECETTES!B:G, 6, FALSE)*E1238)</f>
        <v/>
      </c>
      <c r="J1238" s="8">
        <f>IF(G1238="","",G1238*0.20)</f>
        <v/>
      </c>
      <c r="K1238" s="8">
        <f>IF(G1238="","",G1238+J1238)</f>
        <v/>
      </c>
    </row>
    <row r="1239">
      <c r="F1239" s="8" t="n"/>
      <c r="G1239" s="8">
        <f>IF(E1239="","",E1239*F1239)</f>
        <v/>
      </c>
      <c r="H1239" s="8">
        <f>IF(G1239="","",G1239-I1239)</f>
        <v/>
      </c>
      <c r="I1239" s="8">
        <f>IF(D1239="","",VLOOKUP(D1239, RECETTES!B:G, 6, FALSE)*E1239)</f>
        <v/>
      </c>
      <c r="J1239" s="8">
        <f>IF(G1239="","",G1239*0.20)</f>
        <v/>
      </c>
      <c r="K1239" s="8">
        <f>IF(G1239="","",G1239+J1239)</f>
        <v/>
      </c>
    </row>
    <row r="1240">
      <c r="F1240" s="8" t="n"/>
      <c r="G1240" s="8">
        <f>IF(E1240="","",E1240*F1240)</f>
        <v/>
      </c>
      <c r="H1240" s="8">
        <f>IF(G1240="","",G1240-I1240)</f>
        <v/>
      </c>
      <c r="I1240" s="8">
        <f>IF(D1240="","",VLOOKUP(D1240, RECETTES!B:G, 6, FALSE)*E1240)</f>
        <v/>
      </c>
      <c r="J1240" s="8">
        <f>IF(G1240="","",G1240*0.20)</f>
        <v/>
      </c>
      <c r="K1240" s="8">
        <f>IF(G1240="","",G1240+J1240)</f>
        <v/>
      </c>
    </row>
    <row r="1241">
      <c r="F1241" s="8" t="n"/>
      <c r="G1241" s="8">
        <f>IF(E1241="","",E1241*F1241)</f>
        <v/>
      </c>
      <c r="H1241" s="8">
        <f>IF(G1241="","",G1241-I1241)</f>
        <v/>
      </c>
      <c r="I1241" s="8">
        <f>IF(D1241="","",VLOOKUP(D1241, RECETTES!B:G, 6, FALSE)*E1241)</f>
        <v/>
      </c>
      <c r="J1241" s="8">
        <f>IF(G1241="","",G1241*0.20)</f>
        <v/>
      </c>
      <c r="K1241" s="8">
        <f>IF(G1241="","",G1241+J1241)</f>
        <v/>
      </c>
    </row>
    <row r="1242">
      <c r="F1242" s="8" t="n"/>
      <c r="G1242" s="8">
        <f>IF(E1242="","",E1242*F1242)</f>
        <v/>
      </c>
      <c r="H1242" s="8">
        <f>IF(G1242="","",G1242-I1242)</f>
        <v/>
      </c>
      <c r="I1242" s="8">
        <f>IF(D1242="","",VLOOKUP(D1242, RECETTES!B:G, 6, FALSE)*E1242)</f>
        <v/>
      </c>
      <c r="J1242" s="8">
        <f>IF(G1242="","",G1242*0.20)</f>
        <v/>
      </c>
      <c r="K1242" s="8">
        <f>IF(G1242="","",G1242+J1242)</f>
        <v/>
      </c>
    </row>
    <row r="1243">
      <c r="F1243" s="8" t="n"/>
      <c r="G1243" s="8">
        <f>IF(E1243="","",E1243*F1243)</f>
        <v/>
      </c>
      <c r="H1243" s="8">
        <f>IF(G1243="","",G1243-I1243)</f>
        <v/>
      </c>
      <c r="I1243" s="8">
        <f>IF(D1243="","",VLOOKUP(D1243, RECETTES!B:G, 6, FALSE)*E1243)</f>
        <v/>
      </c>
      <c r="J1243" s="8">
        <f>IF(G1243="","",G1243*0.20)</f>
        <v/>
      </c>
      <c r="K1243" s="8">
        <f>IF(G1243="","",G1243+J1243)</f>
        <v/>
      </c>
    </row>
    <row r="1244">
      <c r="F1244" s="8" t="n"/>
      <c r="G1244" s="8">
        <f>IF(E1244="","",E1244*F1244)</f>
        <v/>
      </c>
      <c r="H1244" s="8">
        <f>IF(G1244="","",G1244-I1244)</f>
        <v/>
      </c>
      <c r="I1244" s="8">
        <f>IF(D1244="","",VLOOKUP(D1244, RECETTES!B:G, 6, FALSE)*E1244)</f>
        <v/>
      </c>
      <c r="J1244" s="8">
        <f>IF(G1244="","",G1244*0.20)</f>
        <v/>
      </c>
      <c r="K1244" s="8">
        <f>IF(G1244="","",G1244+J1244)</f>
        <v/>
      </c>
    </row>
    <row r="1245">
      <c r="F1245" s="8" t="n"/>
      <c r="G1245" s="8">
        <f>IF(E1245="","",E1245*F1245)</f>
        <v/>
      </c>
      <c r="H1245" s="8">
        <f>IF(G1245="","",G1245-I1245)</f>
        <v/>
      </c>
      <c r="I1245" s="8">
        <f>IF(D1245="","",VLOOKUP(D1245, RECETTES!B:G, 6, FALSE)*E1245)</f>
        <v/>
      </c>
      <c r="J1245" s="8">
        <f>IF(G1245="","",G1245*0.20)</f>
        <v/>
      </c>
      <c r="K1245" s="8">
        <f>IF(G1245="","",G1245+J1245)</f>
        <v/>
      </c>
    </row>
    <row r="1246">
      <c r="F1246" s="8" t="n"/>
      <c r="G1246" s="8">
        <f>IF(E1246="","",E1246*F1246)</f>
        <v/>
      </c>
      <c r="H1246" s="8">
        <f>IF(G1246="","",G1246-I1246)</f>
        <v/>
      </c>
      <c r="I1246" s="8">
        <f>IF(D1246="","",VLOOKUP(D1246, RECETTES!B:G, 6, FALSE)*E1246)</f>
        <v/>
      </c>
      <c r="J1246" s="8">
        <f>IF(G1246="","",G1246*0.20)</f>
        <v/>
      </c>
      <c r="K1246" s="8">
        <f>IF(G1246="","",G1246+J1246)</f>
        <v/>
      </c>
    </row>
    <row r="1247">
      <c r="F1247" s="8" t="n"/>
      <c r="G1247" s="8">
        <f>IF(E1247="","",E1247*F1247)</f>
        <v/>
      </c>
      <c r="H1247" s="8">
        <f>IF(G1247="","",G1247-I1247)</f>
        <v/>
      </c>
      <c r="I1247" s="8">
        <f>IF(D1247="","",VLOOKUP(D1247, RECETTES!B:G, 6, FALSE)*E1247)</f>
        <v/>
      </c>
      <c r="J1247" s="8">
        <f>IF(G1247="","",G1247*0.20)</f>
        <v/>
      </c>
      <c r="K1247" s="8">
        <f>IF(G1247="","",G1247+J1247)</f>
        <v/>
      </c>
    </row>
    <row r="1248">
      <c r="F1248" s="8" t="n"/>
      <c r="G1248" s="8">
        <f>IF(E1248="","",E1248*F1248)</f>
        <v/>
      </c>
      <c r="H1248" s="8">
        <f>IF(G1248="","",G1248-I1248)</f>
        <v/>
      </c>
      <c r="I1248" s="8">
        <f>IF(D1248="","",VLOOKUP(D1248, RECETTES!B:G, 6, FALSE)*E1248)</f>
        <v/>
      </c>
      <c r="J1248" s="8">
        <f>IF(G1248="","",G1248*0.20)</f>
        <v/>
      </c>
      <c r="K1248" s="8">
        <f>IF(G1248="","",G1248+J1248)</f>
        <v/>
      </c>
    </row>
    <row r="1249">
      <c r="F1249" s="8" t="n"/>
      <c r="G1249" s="8">
        <f>IF(E1249="","",E1249*F1249)</f>
        <v/>
      </c>
      <c r="H1249" s="8">
        <f>IF(G1249="","",G1249-I1249)</f>
        <v/>
      </c>
      <c r="I1249" s="8">
        <f>IF(D1249="","",VLOOKUP(D1249, RECETTES!B:G, 6, FALSE)*E1249)</f>
        <v/>
      </c>
      <c r="J1249" s="8">
        <f>IF(G1249="","",G1249*0.20)</f>
        <v/>
      </c>
      <c r="K1249" s="8">
        <f>IF(G1249="","",G1249+J1249)</f>
        <v/>
      </c>
    </row>
    <row r="1250">
      <c r="F1250" s="8" t="n"/>
      <c r="G1250" s="8">
        <f>IF(E1250="","",E1250*F1250)</f>
        <v/>
      </c>
      <c r="H1250" s="8">
        <f>IF(G1250="","",G1250-I1250)</f>
        <v/>
      </c>
      <c r="I1250" s="8">
        <f>IF(D1250="","",VLOOKUP(D1250, RECETTES!B:G, 6, FALSE)*E1250)</f>
        <v/>
      </c>
      <c r="J1250" s="8">
        <f>IF(G1250="","",G1250*0.20)</f>
        <v/>
      </c>
      <c r="K1250" s="8">
        <f>IF(G1250="","",G1250+J1250)</f>
        <v/>
      </c>
    </row>
    <row r="1251">
      <c r="F1251" s="8" t="n"/>
      <c r="G1251" s="8">
        <f>IF(E1251="","",E1251*F1251)</f>
        <v/>
      </c>
      <c r="H1251" s="8">
        <f>IF(G1251="","",G1251-I1251)</f>
        <v/>
      </c>
      <c r="I1251" s="8">
        <f>IF(D1251="","",VLOOKUP(D1251, RECETTES!B:G, 6, FALSE)*E1251)</f>
        <v/>
      </c>
      <c r="J1251" s="8">
        <f>IF(G1251="","",G1251*0.20)</f>
        <v/>
      </c>
      <c r="K1251" s="8">
        <f>IF(G1251="","",G1251+J1251)</f>
        <v/>
      </c>
    </row>
    <row r="1252">
      <c r="F1252" s="8" t="n"/>
      <c r="G1252" s="8">
        <f>IF(E1252="","",E1252*F1252)</f>
        <v/>
      </c>
      <c r="H1252" s="8">
        <f>IF(G1252="","",G1252-I1252)</f>
        <v/>
      </c>
      <c r="I1252" s="8">
        <f>IF(D1252="","",VLOOKUP(D1252, RECETTES!B:G, 6, FALSE)*E1252)</f>
        <v/>
      </c>
      <c r="J1252" s="8">
        <f>IF(G1252="","",G1252*0.20)</f>
        <v/>
      </c>
      <c r="K1252" s="8">
        <f>IF(G1252="","",G1252+J1252)</f>
        <v/>
      </c>
    </row>
    <row r="1253">
      <c r="F1253" s="8" t="n"/>
      <c r="G1253" s="8">
        <f>IF(E1253="","",E1253*F1253)</f>
        <v/>
      </c>
      <c r="H1253" s="8">
        <f>IF(G1253="","",G1253-I1253)</f>
        <v/>
      </c>
      <c r="I1253" s="8">
        <f>IF(D1253="","",VLOOKUP(D1253, RECETTES!B:G, 6, FALSE)*E1253)</f>
        <v/>
      </c>
      <c r="J1253" s="8">
        <f>IF(G1253="","",G1253*0.20)</f>
        <v/>
      </c>
      <c r="K1253" s="8">
        <f>IF(G1253="","",G1253+J1253)</f>
        <v/>
      </c>
    </row>
    <row r="1254">
      <c r="F1254" s="8" t="n"/>
      <c r="G1254" s="8">
        <f>IF(E1254="","",E1254*F1254)</f>
        <v/>
      </c>
      <c r="H1254" s="8">
        <f>IF(G1254="","",G1254-I1254)</f>
        <v/>
      </c>
      <c r="I1254" s="8">
        <f>IF(D1254="","",VLOOKUP(D1254, RECETTES!B:G, 6, FALSE)*E1254)</f>
        <v/>
      </c>
      <c r="J1254" s="8">
        <f>IF(G1254="","",G1254*0.20)</f>
        <v/>
      </c>
      <c r="K1254" s="8">
        <f>IF(G1254="","",G1254+J1254)</f>
        <v/>
      </c>
    </row>
    <row r="1255">
      <c r="F1255" s="8" t="n"/>
      <c r="G1255" s="8">
        <f>IF(E1255="","",E1255*F1255)</f>
        <v/>
      </c>
      <c r="H1255" s="8">
        <f>IF(G1255="","",G1255-I1255)</f>
        <v/>
      </c>
      <c r="I1255" s="8">
        <f>IF(D1255="","",VLOOKUP(D1255, RECETTES!B:G, 6, FALSE)*E1255)</f>
        <v/>
      </c>
      <c r="J1255" s="8">
        <f>IF(G1255="","",G1255*0.20)</f>
        <v/>
      </c>
      <c r="K1255" s="8">
        <f>IF(G1255="","",G1255+J1255)</f>
        <v/>
      </c>
    </row>
    <row r="1256">
      <c r="F1256" s="8" t="n"/>
      <c r="G1256" s="8">
        <f>IF(E1256="","",E1256*F1256)</f>
        <v/>
      </c>
      <c r="H1256" s="8">
        <f>IF(G1256="","",G1256-I1256)</f>
        <v/>
      </c>
      <c r="I1256" s="8">
        <f>IF(D1256="","",VLOOKUP(D1256, RECETTES!B:G, 6, FALSE)*E1256)</f>
        <v/>
      </c>
      <c r="J1256" s="8">
        <f>IF(G1256="","",G1256*0.20)</f>
        <v/>
      </c>
      <c r="K1256" s="8">
        <f>IF(G1256="","",G1256+J1256)</f>
        <v/>
      </c>
    </row>
    <row r="1257">
      <c r="F1257" s="8" t="n"/>
      <c r="G1257" s="8">
        <f>IF(E1257="","",E1257*F1257)</f>
        <v/>
      </c>
      <c r="H1257" s="8">
        <f>IF(G1257="","",G1257-I1257)</f>
        <v/>
      </c>
      <c r="I1257" s="8">
        <f>IF(D1257="","",VLOOKUP(D1257, RECETTES!B:G, 6, FALSE)*E1257)</f>
        <v/>
      </c>
      <c r="J1257" s="8">
        <f>IF(G1257="","",G1257*0.20)</f>
        <v/>
      </c>
      <c r="K1257" s="8">
        <f>IF(G1257="","",G1257+J1257)</f>
        <v/>
      </c>
    </row>
    <row r="1258">
      <c r="F1258" s="8" t="n"/>
      <c r="G1258" s="8">
        <f>IF(E1258="","",E1258*F1258)</f>
        <v/>
      </c>
      <c r="H1258" s="8">
        <f>IF(G1258="","",G1258-I1258)</f>
        <v/>
      </c>
      <c r="I1258" s="8">
        <f>IF(D1258="","",VLOOKUP(D1258, RECETTES!B:G, 6, FALSE)*E1258)</f>
        <v/>
      </c>
      <c r="J1258" s="8">
        <f>IF(G1258="","",G1258*0.20)</f>
        <v/>
      </c>
      <c r="K1258" s="8">
        <f>IF(G1258="","",G1258+J1258)</f>
        <v/>
      </c>
    </row>
    <row r="1259">
      <c r="F1259" s="8" t="n"/>
      <c r="G1259" s="8">
        <f>IF(E1259="","",E1259*F1259)</f>
        <v/>
      </c>
      <c r="H1259" s="8">
        <f>IF(G1259="","",G1259-I1259)</f>
        <v/>
      </c>
      <c r="I1259" s="8">
        <f>IF(D1259="","",VLOOKUP(D1259, RECETTES!B:G, 6, FALSE)*E1259)</f>
        <v/>
      </c>
      <c r="J1259" s="8">
        <f>IF(G1259="","",G1259*0.20)</f>
        <v/>
      </c>
      <c r="K1259" s="8">
        <f>IF(G1259="","",G1259+J1259)</f>
        <v/>
      </c>
    </row>
    <row r="1260">
      <c r="F1260" s="8" t="n"/>
      <c r="G1260" s="8">
        <f>IF(E1260="","",E1260*F1260)</f>
        <v/>
      </c>
      <c r="H1260" s="8">
        <f>IF(G1260="","",G1260-I1260)</f>
        <v/>
      </c>
      <c r="I1260" s="8">
        <f>IF(D1260="","",VLOOKUP(D1260, RECETTES!B:G, 6, FALSE)*E1260)</f>
        <v/>
      </c>
      <c r="J1260" s="8">
        <f>IF(G1260="","",G1260*0.20)</f>
        <v/>
      </c>
      <c r="K1260" s="8">
        <f>IF(G1260="","",G1260+J1260)</f>
        <v/>
      </c>
    </row>
    <row r="1261">
      <c r="F1261" s="8" t="n"/>
      <c r="G1261" s="8">
        <f>IF(E1261="","",E1261*F1261)</f>
        <v/>
      </c>
      <c r="H1261" s="8">
        <f>IF(G1261="","",G1261-I1261)</f>
        <v/>
      </c>
      <c r="I1261" s="8">
        <f>IF(D1261="","",VLOOKUP(D1261, RECETTES!B:G, 6, FALSE)*E1261)</f>
        <v/>
      </c>
      <c r="J1261" s="8">
        <f>IF(G1261="","",G1261*0.20)</f>
        <v/>
      </c>
      <c r="K1261" s="8">
        <f>IF(G1261="","",G1261+J1261)</f>
        <v/>
      </c>
    </row>
    <row r="1262">
      <c r="F1262" s="8" t="n"/>
      <c r="G1262" s="8">
        <f>IF(E1262="","",E1262*F1262)</f>
        <v/>
      </c>
      <c r="H1262" s="8">
        <f>IF(G1262="","",G1262-I1262)</f>
        <v/>
      </c>
      <c r="I1262" s="8">
        <f>IF(D1262="","",VLOOKUP(D1262, RECETTES!B:G, 6, FALSE)*E1262)</f>
        <v/>
      </c>
      <c r="J1262" s="8">
        <f>IF(G1262="","",G1262*0.20)</f>
        <v/>
      </c>
      <c r="K1262" s="8">
        <f>IF(G1262="","",G1262+J1262)</f>
        <v/>
      </c>
    </row>
    <row r="1263">
      <c r="F1263" s="8" t="n"/>
      <c r="G1263" s="8">
        <f>IF(E1263="","",E1263*F1263)</f>
        <v/>
      </c>
      <c r="H1263" s="8">
        <f>IF(G1263="","",G1263-I1263)</f>
        <v/>
      </c>
      <c r="I1263" s="8">
        <f>IF(D1263="","",VLOOKUP(D1263, RECETTES!B:G, 6, FALSE)*E1263)</f>
        <v/>
      </c>
      <c r="J1263" s="8">
        <f>IF(G1263="","",G1263*0.20)</f>
        <v/>
      </c>
      <c r="K1263" s="8">
        <f>IF(G1263="","",G1263+J1263)</f>
        <v/>
      </c>
    </row>
    <row r="1264">
      <c r="F1264" s="8" t="n"/>
      <c r="G1264" s="8">
        <f>IF(E1264="","",E1264*F1264)</f>
        <v/>
      </c>
      <c r="H1264" s="8">
        <f>IF(G1264="","",G1264-I1264)</f>
        <v/>
      </c>
      <c r="I1264" s="8">
        <f>IF(D1264="","",VLOOKUP(D1264, RECETTES!B:G, 6, FALSE)*E1264)</f>
        <v/>
      </c>
      <c r="J1264" s="8">
        <f>IF(G1264="","",G1264*0.20)</f>
        <v/>
      </c>
      <c r="K1264" s="8">
        <f>IF(G1264="","",G1264+J1264)</f>
        <v/>
      </c>
    </row>
    <row r="1265">
      <c r="F1265" s="8" t="n"/>
      <c r="G1265" s="8">
        <f>IF(E1265="","",E1265*F1265)</f>
        <v/>
      </c>
      <c r="H1265" s="8">
        <f>IF(G1265="","",G1265-I1265)</f>
        <v/>
      </c>
      <c r="I1265" s="8">
        <f>IF(D1265="","",VLOOKUP(D1265, RECETTES!B:G, 6, FALSE)*E1265)</f>
        <v/>
      </c>
      <c r="J1265" s="8">
        <f>IF(G1265="","",G1265*0.20)</f>
        <v/>
      </c>
      <c r="K1265" s="8">
        <f>IF(G1265="","",G1265+J1265)</f>
        <v/>
      </c>
    </row>
    <row r="1266">
      <c r="F1266" s="8" t="n"/>
      <c r="G1266" s="8">
        <f>IF(E1266="","",E1266*F1266)</f>
        <v/>
      </c>
      <c r="H1266" s="8">
        <f>IF(G1266="","",G1266-I1266)</f>
        <v/>
      </c>
      <c r="I1266" s="8">
        <f>IF(D1266="","",VLOOKUP(D1266, RECETTES!B:G, 6, FALSE)*E1266)</f>
        <v/>
      </c>
      <c r="J1266" s="8">
        <f>IF(G1266="","",G1266*0.20)</f>
        <v/>
      </c>
      <c r="K1266" s="8">
        <f>IF(G1266="","",G1266+J1266)</f>
        <v/>
      </c>
    </row>
    <row r="1267">
      <c r="F1267" s="8" t="n"/>
      <c r="G1267" s="8">
        <f>IF(E1267="","",E1267*F1267)</f>
        <v/>
      </c>
      <c r="H1267" s="8">
        <f>IF(G1267="","",G1267-I1267)</f>
        <v/>
      </c>
      <c r="I1267" s="8">
        <f>IF(D1267="","",VLOOKUP(D1267, RECETTES!B:G, 6, FALSE)*E1267)</f>
        <v/>
      </c>
      <c r="J1267" s="8">
        <f>IF(G1267="","",G1267*0.20)</f>
        <v/>
      </c>
      <c r="K1267" s="8">
        <f>IF(G1267="","",G1267+J1267)</f>
        <v/>
      </c>
    </row>
    <row r="1268">
      <c r="F1268" s="8" t="n"/>
      <c r="G1268" s="8">
        <f>IF(E1268="","",E1268*F1268)</f>
        <v/>
      </c>
      <c r="H1268" s="8">
        <f>IF(G1268="","",G1268-I1268)</f>
        <v/>
      </c>
      <c r="I1268" s="8">
        <f>IF(D1268="","",VLOOKUP(D1268, RECETTES!B:G, 6, FALSE)*E1268)</f>
        <v/>
      </c>
      <c r="J1268" s="8">
        <f>IF(G1268="","",G1268*0.20)</f>
        <v/>
      </c>
      <c r="K1268" s="8">
        <f>IF(G1268="","",G1268+J1268)</f>
        <v/>
      </c>
    </row>
    <row r="1269">
      <c r="F1269" s="8" t="n"/>
      <c r="G1269" s="8">
        <f>IF(E1269="","",E1269*F1269)</f>
        <v/>
      </c>
      <c r="H1269" s="8">
        <f>IF(G1269="","",G1269-I1269)</f>
        <v/>
      </c>
      <c r="I1269" s="8">
        <f>IF(D1269="","",VLOOKUP(D1269, RECETTES!B:G, 6, FALSE)*E1269)</f>
        <v/>
      </c>
      <c r="J1269" s="8">
        <f>IF(G1269="","",G1269*0.20)</f>
        <v/>
      </c>
      <c r="K1269" s="8">
        <f>IF(G1269="","",G1269+J1269)</f>
        <v/>
      </c>
    </row>
    <row r="1270">
      <c r="F1270" s="8" t="n"/>
      <c r="G1270" s="8">
        <f>IF(E1270="","",E1270*F1270)</f>
        <v/>
      </c>
      <c r="H1270" s="8">
        <f>IF(G1270="","",G1270-I1270)</f>
        <v/>
      </c>
      <c r="I1270" s="8">
        <f>IF(D1270="","",VLOOKUP(D1270, RECETTES!B:G, 6, FALSE)*E1270)</f>
        <v/>
      </c>
      <c r="J1270" s="8">
        <f>IF(G1270="","",G1270*0.20)</f>
        <v/>
      </c>
      <c r="K1270" s="8">
        <f>IF(G1270="","",G1270+J1270)</f>
        <v/>
      </c>
    </row>
    <row r="1271">
      <c r="F1271" s="8" t="n"/>
      <c r="G1271" s="8">
        <f>IF(E1271="","",E1271*F1271)</f>
        <v/>
      </c>
      <c r="H1271" s="8">
        <f>IF(G1271="","",G1271-I1271)</f>
        <v/>
      </c>
      <c r="I1271" s="8">
        <f>IF(D1271="","",VLOOKUP(D1271, RECETTES!B:G, 6, FALSE)*E1271)</f>
        <v/>
      </c>
      <c r="J1271" s="8">
        <f>IF(G1271="","",G1271*0.20)</f>
        <v/>
      </c>
      <c r="K1271" s="8">
        <f>IF(G1271="","",G1271+J1271)</f>
        <v/>
      </c>
    </row>
    <row r="1272">
      <c r="F1272" s="8" t="n"/>
      <c r="G1272" s="8">
        <f>IF(E1272="","",E1272*F1272)</f>
        <v/>
      </c>
      <c r="H1272" s="8">
        <f>IF(G1272="","",G1272-I1272)</f>
        <v/>
      </c>
      <c r="I1272" s="8">
        <f>IF(D1272="","",VLOOKUP(D1272, RECETTES!B:G, 6, FALSE)*E1272)</f>
        <v/>
      </c>
      <c r="J1272" s="8">
        <f>IF(G1272="","",G1272*0.20)</f>
        <v/>
      </c>
      <c r="K1272" s="8">
        <f>IF(G1272="","",G1272+J1272)</f>
        <v/>
      </c>
    </row>
    <row r="1273">
      <c r="F1273" s="8" t="n"/>
      <c r="G1273" s="8">
        <f>IF(E1273="","",E1273*F1273)</f>
        <v/>
      </c>
      <c r="H1273" s="8">
        <f>IF(G1273="","",G1273-I1273)</f>
        <v/>
      </c>
      <c r="I1273" s="8">
        <f>IF(D1273="","",VLOOKUP(D1273, RECETTES!B:G, 6, FALSE)*E1273)</f>
        <v/>
      </c>
      <c r="J1273" s="8">
        <f>IF(G1273="","",G1273*0.20)</f>
        <v/>
      </c>
      <c r="K1273" s="8">
        <f>IF(G1273="","",G1273+J1273)</f>
        <v/>
      </c>
    </row>
    <row r="1274">
      <c r="F1274" s="8" t="n"/>
      <c r="G1274" s="8">
        <f>IF(E1274="","",E1274*F1274)</f>
        <v/>
      </c>
      <c r="H1274" s="8">
        <f>IF(G1274="","",G1274-I1274)</f>
        <v/>
      </c>
      <c r="I1274" s="8">
        <f>IF(D1274="","",VLOOKUP(D1274, RECETTES!B:G, 6, FALSE)*E1274)</f>
        <v/>
      </c>
      <c r="J1274" s="8">
        <f>IF(G1274="","",G1274*0.20)</f>
        <v/>
      </c>
      <c r="K1274" s="8">
        <f>IF(G1274="","",G1274+J1274)</f>
        <v/>
      </c>
    </row>
    <row r="1275">
      <c r="F1275" s="8" t="n"/>
      <c r="G1275" s="8">
        <f>IF(E1275="","",E1275*F1275)</f>
        <v/>
      </c>
      <c r="H1275" s="8">
        <f>IF(G1275="","",G1275-I1275)</f>
        <v/>
      </c>
      <c r="I1275" s="8">
        <f>IF(D1275="","",VLOOKUP(D1275, RECETTES!B:G, 6, FALSE)*E1275)</f>
        <v/>
      </c>
      <c r="J1275" s="8">
        <f>IF(G1275="","",G1275*0.20)</f>
        <v/>
      </c>
      <c r="K1275" s="8">
        <f>IF(G1275="","",G1275+J1275)</f>
        <v/>
      </c>
    </row>
    <row r="1276">
      <c r="F1276" s="8" t="n"/>
      <c r="G1276" s="8">
        <f>IF(E1276="","",E1276*F1276)</f>
        <v/>
      </c>
      <c r="H1276" s="8">
        <f>IF(G1276="","",G1276-I1276)</f>
        <v/>
      </c>
      <c r="I1276" s="8">
        <f>IF(D1276="","",VLOOKUP(D1276, RECETTES!B:G, 6, FALSE)*E1276)</f>
        <v/>
      </c>
      <c r="J1276" s="8">
        <f>IF(G1276="","",G1276*0.20)</f>
        <v/>
      </c>
      <c r="K1276" s="8">
        <f>IF(G1276="","",G1276+J1276)</f>
        <v/>
      </c>
    </row>
    <row r="1277">
      <c r="F1277" s="8" t="n"/>
      <c r="G1277" s="8">
        <f>IF(E1277="","",E1277*F1277)</f>
        <v/>
      </c>
      <c r="H1277" s="8">
        <f>IF(G1277="","",G1277-I1277)</f>
        <v/>
      </c>
      <c r="I1277" s="8">
        <f>IF(D1277="","",VLOOKUP(D1277, RECETTES!B:G, 6, FALSE)*E1277)</f>
        <v/>
      </c>
      <c r="J1277" s="8">
        <f>IF(G1277="","",G1277*0.20)</f>
        <v/>
      </c>
      <c r="K1277" s="8">
        <f>IF(G1277="","",G1277+J1277)</f>
        <v/>
      </c>
    </row>
    <row r="1278">
      <c r="F1278" s="8" t="n"/>
      <c r="G1278" s="8">
        <f>IF(E1278="","",E1278*F1278)</f>
        <v/>
      </c>
      <c r="H1278" s="8">
        <f>IF(G1278="","",G1278-I1278)</f>
        <v/>
      </c>
      <c r="I1278" s="8">
        <f>IF(D1278="","",VLOOKUP(D1278, RECETTES!B:G, 6, FALSE)*E1278)</f>
        <v/>
      </c>
      <c r="J1278" s="8">
        <f>IF(G1278="","",G1278*0.20)</f>
        <v/>
      </c>
      <c r="K1278" s="8">
        <f>IF(G1278="","",G1278+J1278)</f>
        <v/>
      </c>
    </row>
    <row r="1279">
      <c r="F1279" s="8" t="n"/>
      <c r="G1279" s="8">
        <f>IF(E1279="","",E1279*F1279)</f>
        <v/>
      </c>
      <c r="H1279" s="8">
        <f>IF(G1279="","",G1279-I1279)</f>
        <v/>
      </c>
      <c r="I1279" s="8">
        <f>IF(D1279="","",VLOOKUP(D1279, RECETTES!B:G, 6, FALSE)*E1279)</f>
        <v/>
      </c>
      <c r="J1279" s="8">
        <f>IF(G1279="","",G1279*0.20)</f>
        <v/>
      </c>
      <c r="K1279" s="8">
        <f>IF(G1279="","",G1279+J1279)</f>
        <v/>
      </c>
    </row>
    <row r="1280">
      <c r="F1280" s="8" t="n"/>
      <c r="G1280" s="8">
        <f>IF(E1280="","",E1280*F1280)</f>
        <v/>
      </c>
      <c r="H1280" s="8">
        <f>IF(G1280="","",G1280-I1280)</f>
        <v/>
      </c>
      <c r="I1280" s="8">
        <f>IF(D1280="","",VLOOKUP(D1280, RECETTES!B:G, 6, FALSE)*E1280)</f>
        <v/>
      </c>
      <c r="J1280" s="8">
        <f>IF(G1280="","",G1280*0.20)</f>
        <v/>
      </c>
      <c r="K1280" s="8">
        <f>IF(G1280="","",G1280+J1280)</f>
        <v/>
      </c>
    </row>
    <row r="1281">
      <c r="F1281" s="8" t="n"/>
      <c r="G1281" s="8">
        <f>IF(E1281="","",E1281*F1281)</f>
        <v/>
      </c>
      <c r="H1281" s="8">
        <f>IF(G1281="","",G1281-I1281)</f>
        <v/>
      </c>
      <c r="I1281" s="8">
        <f>IF(D1281="","",VLOOKUP(D1281, RECETTES!B:G, 6, FALSE)*E1281)</f>
        <v/>
      </c>
      <c r="J1281" s="8">
        <f>IF(G1281="","",G1281*0.20)</f>
        <v/>
      </c>
      <c r="K1281" s="8">
        <f>IF(G1281="","",G1281+J1281)</f>
        <v/>
      </c>
    </row>
    <row r="1282">
      <c r="F1282" s="8" t="n"/>
      <c r="G1282" s="8">
        <f>IF(E1282="","",E1282*F1282)</f>
        <v/>
      </c>
      <c r="H1282" s="8">
        <f>IF(G1282="","",G1282-I1282)</f>
        <v/>
      </c>
      <c r="I1282" s="8">
        <f>IF(D1282="","",VLOOKUP(D1282, RECETTES!B:G, 6, FALSE)*E1282)</f>
        <v/>
      </c>
      <c r="J1282" s="8">
        <f>IF(G1282="","",G1282*0.20)</f>
        <v/>
      </c>
      <c r="K1282" s="8">
        <f>IF(G1282="","",G1282+J1282)</f>
        <v/>
      </c>
    </row>
    <row r="1283">
      <c r="F1283" s="8" t="n"/>
      <c r="G1283" s="8">
        <f>IF(E1283="","",E1283*F1283)</f>
        <v/>
      </c>
      <c r="H1283" s="8">
        <f>IF(G1283="","",G1283-I1283)</f>
        <v/>
      </c>
      <c r="I1283" s="8">
        <f>IF(D1283="","",VLOOKUP(D1283, RECETTES!B:G, 6, FALSE)*E1283)</f>
        <v/>
      </c>
      <c r="J1283" s="8">
        <f>IF(G1283="","",G1283*0.20)</f>
        <v/>
      </c>
      <c r="K1283" s="8">
        <f>IF(G1283="","",G1283+J1283)</f>
        <v/>
      </c>
    </row>
    <row r="1284">
      <c r="F1284" s="8" t="n"/>
      <c r="G1284" s="8">
        <f>IF(E1284="","",E1284*F1284)</f>
        <v/>
      </c>
      <c r="H1284" s="8">
        <f>IF(G1284="","",G1284-I1284)</f>
        <v/>
      </c>
      <c r="I1284" s="8">
        <f>IF(D1284="","",VLOOKUP(D1284, RECETTES!B:G, 6, FALSE)*E1284)</f>
        <v/>
      </c>
      <c r="J1284" s="8">
        <f>IF(G1284="","",G1284*0.20)</f>
        <v/>
      </c>
      <c r="K1284" s="8">
        <f>IF(G1284="","",G1284+J1284)</f>
        <v/>
      </c>
    </row>
    <row r="1285">
      <c r="F1285" s="8" t="n"/>
      <c r="G1285" s="8">
        <f>IF(E1285="","",E1285*F1285)</f>
        <v/>
      </c>
      <c r="H1285" s="8">
        <f>IF(G1285="","",G1285-I1285)</f>
        <v/>
      </c>
      <c r="I1285" s="8">
        <f>IF(D1285="","",VLOOKUP(D1285, RECETTES!B:G, 6, FALSE)*E1285)</f>
        <v/>
      </c>
      <c r="J1285" s="8">
        <f>IF(G1285="","",G1285*0.20)</f>
        <v/>
      </c>
      <c r="K1285" s="8">
        <f>IF(G1285="","",G1285+J1285)</f>
        <v/>
      </c>
    </row>
    <row r="1286">
      <c r="F1286" s="8" t="n"/>
      <c r="G1286" s="8">
        <f>IF(E1286="","",E1286*F1286)</f>
        <v/>
      </c>
      <c r="H1286" s="8">
        <f>IF(G1286="","",G1286-I1286)</f>
        <v/>
      </c>
      <c r="I1286" s="8">
        <f>IF(D1286="","",VLOOKUP(D1286, RECETTES!B:G, 6, FALSE)*E1286)</f>
        <v/>
      </c>
      <c r="J1286" s="8">
        <f>IF(G1286="","",G1286*0.20)</f>
        <v/>
      </c>
      <c r="K1286" s="8">
        <f>IF(G1286="","",G1286+J1286)</f>
        <v/>
      </c>
    </row>
    <row r="1287">
      <c r="F1287" s="8" t="n"/>
      <c r="G1287" s="8">
        <f>IF(E1287="","",E1287*F1287)</f>
        <v/>
      </c>
      <c r="H1287" s="8">
        <f>IF(G1287="","",G1287-I1287)</f>
        <v/>
      </c>
      <c r="I1287" s="8">
        <f>IF(D1287="","",VLOOKUP(D1287, RECETTES!B:G, 6, FALSE)*E1287)</f>
        <v/>
      </c>
      <c r="J1287" s="8">
        <f>IF(G1287="","",G1287*0.20)</f>
        <v/>
      </c>
      <c r="K1287" s="8">
        <f>IF(G1287="","",G1287+J1287)</f>
        <v/>
      </c>
    </row>
    <row r="1288">
      <c r="F1288" s="8" t="n"/>
      <c r="G1288" s="8">
        <f>IF(E1288="","",E1288*F1288)</f>
        <v/>
      </c>
      <c r="H1288" s="8">
        <f>IF(G1288="","",G1288-I1288)</f>
        <v/>
      </c>
      <c r="I1288" s="8">
        <f>IF(D1288="","",VLOOKUP(D1288, RECETTES!B:G, 6, FALSE)*E1288)</f>
        <v/>
      </c>
      <c r="J1288" s="8">
        <f>IF(G1288="","",G1288*0.20)</f>
        <v/>
      </c>
      <c r="K1288" s="8">
        <f>IF(G1288="","",G1288+J1288)</f>
        <v/>
      </c>
    </row>
    <row r="1289">
      <c r="F1289" s="8" t="n"/>
      <c r="G1289" s="8">
        <f>IF(E1289="","",E1289*F1289)</f>
        <v/>
      </c>
      <c r="H1289" s="8">
        <f>IF(G1289="","",G1289-I1289)</f>
        <v/>
      </c>
      <c r="I1289" s="8">
        <f>IF(D1289="","",VLOOKUP(D1289, RECETTES!B:G, 6, FALSE)*E1289)</f>
        <v/>
      </c>
      <c r="J1289" s="8">
        <f>IF(G1289="","",G1289*0.20)</f>
        <v/>
      </c>
      <c r="K1289" s="8">
        <f>IF(G1289="","",G1289+J1289)</f>
        <v/>
      </c>
    </row>
    <row r="1290">
      <c r="F1290" s="8" t="n"/>
      <c r="G1290" s="8">
        <f>IF(E1290="","",E1290*F1290)</f>
        <v/>
      </c>
      <c r="H1290" s="8">
        <f>IF(G1290="","",G1290-I1290)</f>
        <v/>
      </c>
      <c r="I1290" s="8">
        <f>IF(D1290="","",VLOOKUP(D1290, RECETTES!B:G, 6, FALSE)*E1290)</f>
        <v/>
      </c>
      <c r="J1290" s="8">
        <f>IF(G1290="","",G1290*0.20)</f>
        <v/>
      </c>
      <c r="K1290" s="8">
        <f>IF(G1290="","",G1290+J1290)</f>
        <v/>
      </c>
    </row>
    <row r="1291">
      <c r="F1291" s="8" t="n"/>
      <c r="G1291" s="8">
        <f>IF(E1291="","",E1291*F1291)</f>
        <v/>
      </c>
      <c r="H1291" s="8">
        <f>IF(G1291="","",G1291-I1291)</f>
        <v/>
      </c>
      <c r="I1291" s="8">
        <f>IF(D1291="","",VLOOKUP(D1291, RECETTES!B:G, 6, FALSE)*E1291)</f>
        <v/>
      </c>
      <c r="J1291" s="8">
        <f>IF(G1291="","",G1291*0.20)</f>
        <v/>
      </c>
      <c r="K1291" s="8">
        <f>IF(G1291="","",G1291+J1291)</f>
        <v/>
      </c>
    </row>
    <row r="1292">
      <c r="F1292" s="8" t="n"/>
      <c r="G1292" s="8">
        <f>IF(E1292="","",E1292*F1292)</f>
        <v/>
      </c>
      <c r="H1292" s="8">
        <f>IF(G1292="","",G1292-I1292)</f>
        <v/>
      </c>
      <c r="I1292" s="8">
        <f>IF(D1292="","",VLOOKUP(D1292, RECETTES!B:G, 6, FALSE)*E1292)</f>
        <v/>
      </c>
      <c r="J1292" s="8">
        <f>IF(G1292="","",G1292*0.20)</f>
        <v/>
      </c>
      <c r="K1292" s="8">
        <f>IF(G1292="","",G1292+J1292)</f>
        <v/>
      </c>
    </row>
    <row r="1293">
      <c r="F1293" s="8" t="n"/>
      <c r="G1293" s="8">
        <f>IF(E1293="","",E1293*F1293)</f>
        <v/>
      </c>
      <c r="H1293" s="8">
        <f>IF(G1293="","",G1293-I1293)</f>
        <v/>
      </c>
      <c r="I1293" s="8">
        <f>IF(D1293="","",VLOOKUP(D1293, RECETTES!B:G, 6, FALSE)*E1293)</f>
        <v/>
      </c>
      <c r="J1293" s="8">
        <f>IF(G1293="","",G1293*0.20)</f>
        <v/>
      </c>
      <c r="K1293" s="8">
        <f>IF(G1293="","",G1293+J1293)</f>
        <v/>
      </c>
    </row>
    <row r="1294">
      <c r="F1294" s="8" t="n"/>
      <c r="G1294" s="8">
        <f>IF(E1294="","",E1294*F1294)</f>
        <v/>
      </c>
      <c r="H1294" s="8">
        <f>IF(G1294="","",G1294-I1294)</f>
        <v/>
      </c>
      <c r="I1294" s="8">
        <f>IF(D1294="","",VLOOKUP(D1294, RECETTES!B:G, 6, FALSE)*E1294)</f>
        <v/>
      </c>
      <c r="J1294" s="8">
        <f>IF(G1294="","",G1294*0.20)</f>
        <v/>
      </c>
      <c r="K1294" s="8">
        <f>IF(G1294="","",G1294+J1294)</f>
        <v/>
      </c>
    </row>
    <row r="1295">
      <c r="F1295" s="8" t="n"/>
      <c r="G1295" s="8">
        <f>IF(E1295="","",E1295*F1295)</f>
        <v/>
      </c>
      <c r="H1295" s="8">
        <f>IF(G1295="","",G1295-I1295)</f>
        <v/>
      </c>
      <c r="I1295" s="8">
        <f>IF(D1295="","",VLOOKUP(D1295, RECETTES!B:G, 6, FALSE)*E1295)</f>
        <v/>
      </c>
      <c r="J1295" s="8">
        <f>IF(G1295="","",G1295*0.20)</f>
        <v/>
      </c>
      <c r="K1295" s="8">
        <f>IF(G1295="","",G1295+J1295)</f>
        <v/>
      </c>
    </row>
    <row r="1296">
      <c r="F1296" s="8" t="n"/>
      <c r="G1296" s="8">
        <f>IF(E1296="","",E1296*F1296)</f>
        <v/>
      </c>
      <c r="H1296" s="8">
        <f>IF(G1296="","",G1296-I1296)</f>
        <v/>
      </c>
      <c r="I1296" s="8">
        <f>IF(D1296="","",VLOOKUP(D1296, RECETTES!B:G, 6, FALSE)*E1296)</f>
        <v/>
      </c>
      <c r="J1296" s="8">
        <f>IF(G1296="","",G1296*0.20)</f>
        <v/>
      </c>
      <c r="K1296" s="8">
        <f>IF(G1296="","",G1296+J1296)</f>
        <v/>
      </c>
    </row>
    <row r="1297">
      <c r="F1297" s="8" t="n"/>
      <c r="G1297" s="8">
        <f>IF(E1297="","",E1297*F1297)</f>
        <v/>
      </c>
      <c r="H1297" s="8">
        <f>IF(G1297="","",G1297-I1297)</f>
        <v/>
      </c>
      <c r="I1297" s="8">
        <f>IF(D1297="","",VLOOKUP(D1297, RECETTES!B:G, 6, FALSE)*E1297)</f>
        <v/>
      </c>
      <c r="J1297" s="8">
        <f>IF(G1297="","",G1297*0.20)</f>
        <v/>
      </c>
      <c r="K1297" s="8">
        <f>IF(G1297="","",G1297+J1297)</f>
        <v/>
      </c>
    </row>
    <row r="1298">
      <c r="F1298" s="8" t="n"/>
      <c r="G1298" s="8">
        <f>IF(E1298="","",E1298*F1298)</f>
        <v/>
      </c>
      <c r="H1298" s="8">
        <f>IF(G1298="","",G1298-I1298)</f>
        <v/>
      </c>
      <c r="I1298" s="8">
        <f>IF(D1298="","",VLOOKUP(D1298, RECETTES!B:G, 6, FALSE)*E1298)</f>
        <v/>
      </c>
      <c r="J1298" s="8">
        <f>IF(G1298="","",G1298*0.20)</f>
        <v/>
      </c>
      <c r="K1298" s="8">
        <f>IF(G1298="","",G1298+J1298)</f>
        <v/>
      </c>
    </row>
    <row r="1299">
      <c r="F1299" s="8" t="n"/>
      <c r="G1299" s="8">
        <f>IF(E1299="","",E1299*F1299)</f>
        <v/>
      </c>
      <c r="H1299" s="8">
        <f>IF(G1299="","",G1299-I1299)</f>
        <v/>
      </c>
      <c r="I1299" s="8">
        <f>IF(D1299="","",VLOOKUP(D1299, RECETTES!B:G, 6, FALSE)*E1299)</f>
        <v/>
      </c>
      <c r="J1299" s="8">
        <f>IF(G1299="","",G1299*0.20)</f>
        <v/>
      </c>
      <c r="K1299" s="8">
        <f>IF(G1299="","",G1299+J1299)</f>
        <v/>
      </c>
    </row>
    <row r="1300">
      <c r="F1300" s="8" t="n"/>
      <c r="G1300" s="8">
        <f>IF(E1300="","",E1300*F1300)</f>
        <v/>
      </c>
      <c r="H1300" s="8">
        <f>IF(G1300="","",G1300-I1300)</f>
        <v/>
      </c>
      <c r="I1300" s="8">
        <f>IF(D1300="","",VLOOKUP(D1300, RECETTES!B:G, 6, FALSE)*E1300)</f>
        <v/>
      </c>
      <c r="J1300" s="8">
        <f>IF(G1300="","",G1300*0.20)</f>
        <v/>
      </c>
      <c r="K1300" s="8">
        <f>IF(G1300="","",G1300+J1300)</f>
        <v/>
      </c>
    </row>
    <row r="1301">
      <c r="F1301" s="8" t="n"/>
      <c r="G1301" s="8">
        <f>IF(E1301="","",E1301*F1301)</f>
        <v/>
      </c>
      <c r="H1301" s="8">
        <f>IF(G1301="","",G1301-I1301)</f>
        <v/>
      </c>
      <c r="I1301" s="8">
        <f>IF(D1301="","",VLOOKUP(D1301, RECETTES!B:G, 6, FALSE)*E1301)</f>
        <v/>
      </c>
      <c r="J1301" s="8">
        <f>IF(G1301="","",G1301*0.20)</f>
        <v/>
      </c>
      <c r="K1301" s="8">
        <f>IF(G1301="","",G1301+J1301)</f>
        <v/>
      </c>
    </row>
    <row r="1302">
      <c r="F1302" s="8" t="n"/>
      <c r="G1302" s="8">
        <f>IF(E1302="","",E1302*F1302)</f>
        <v/>
      </c>
      <c r="H1302" s="8">
        <f>IF(G1302="","",G1302-I1302)</f>
        <v/>
      </c>
      <c r="I1302" s="8">
        <f>IF(D1302="","",VLOOKUP(D1302, RECETTES!B:G, 6, FALSE)*E1302)</f>
        <v/>
      </c>
      <c r="J1302" s="8">
        <f>IF(G1302="","",G1302*0.20)</f>
        <v/>
      </c>
      <c r="K1302" s="8">
        <f>IF(G1302="","",G1302+J1302)</f>
        <v/>
      </c>
    </row>
    <row r="1303">
      <c r="F1303" s="8" t="n"/>
      <c r="G1303" s="8">
        <f>IF(E1303="","",E1303*F1303)</f>
        <v/>
      </c>
      <c r="H1303" s="8">
        <f>IF(G1303="","",G1303-I1303)</f>
        <v/>
      </c>
      <c r="I1303" s="8">
        <f>IF(D1303="","",VLOOKUP(D1303, RECETTES!B:G, 6, FALSE)*E1303)</f>
        <v/>
      </c>
      <c r="J1303" s="8">
        <f>IF(G1303="","",G1303*0.20)</f>
        <v/>
      </c>
      <c r="K1303" s="8">
        <f>IF(G1303="","",G1303+J1303)</f>
        <v/>
      </c>
    </row>
    <row r="1304">
      <c r="F1304" s="8" t="n"/>
      <c r="G1304" s="8">
        <f>IF(E1304="","",E1304*F1304)</f>
        <v/>
      </c>
      <c r="H1304" s="8">
        <f>IF(G1304="","",G1304-I1304)</f>
        <v/>
      </c>
      <c r="I1304" s="8">
        <f>IF(D1304="","",VLOOKUP(D1304, RECETTES!B:G, 6, FALSE)*E1304)</f>
        <v/>
      </c>
      <c r="J1304" s="8">
        <f>IF(G1304="","",G1304*0.20)</f>
        <v/>
      </c>
      <c r="K1304" s="8">
        <f>IF(G1304="","",G1304+J1304)</f>
        <v/>
      </c>
    </row>
    <row r="1305">
      <c r="F1305" s="8" t="n"/>
      <c r="G1305" s="8">
        <f>IF(E1305="","",E1305*F1305)</f>
        <v/>
      </c>
      <c r="H1305" s="8">
        <f>IF(G1305="","",G1305-I1305)</f>
        <v/>
      </c>
      <c r="I1305" s="8">
        <f>IF(D1305="","",VLOOKUP(D1305, RECETTES!B:G, 6, FALSE)*E1305)</f>
        <v/>
      </c>
      <c r="J1305" s="8">
        <f>IF(G1305="","",G1305*0.20)</f>
        <v/>
      </c>
      <c r="K1305" s="8">
        <f>IF(G1305="","",G1305+J1305)</f>
        <v/>
      </c>
    </row>
    <row r="1306">
      <c r="F1306" s="8" t="n"/>
      <c r="G1306" s="8">
        <f>IF(E1306="","",E1306*F1306)</f>
        <v/>
      </c>
      <c r="H1306" s="8">
        <f>IF(G1306="","",G1306-I1306)</f>
        <v/>
      </c>
      <c r="I1306" s="8">
        <f>IF(D1306="","",VLOOKUP(D1306, RECETTES!B:G, 6, FALSE)*E1306)</f>
        <v/>
      </c>
      <c r="J1306" s="8">
        <f>IF(G1306="","",G1306*0.20)</f>
        <v/>
      </c>
      <c r="K1306" s="8">
        <f>IF(G1306="","",G1306+J1306)</f>
        <v/>
      </c>
    </row>
    <row r="1307">
      <c r="F1307" s="8" t="n"/>
      <c r="G1307" s="8">
        <f>IF(E1307="","",E1307*F1307)</f>
        <v/>
      </c>
      <c r="H1307" s="8">
        <f>IF(G1307="","",G1307-I1307)</f>
        <v/>
      </c>
      <c r="I1307" s="8">
        <f>IF(D1307="","",VLOOKUP(D1307, RECETTES!B:G, 6, FALSE)*E1307)</f>
        <v/>
      </c>
      <c r="J1307" s="8">
        <f>IF(G1307="","",G1307*0.20)</f>
        <v/>
      </c>
      <c r="K1307" s="8">
        <f>IF(G1307="","",G1307+J1307)</f>
        <v/>
      </c>
    </row>
    <row r="1308">
      <c r="F1308" s="8" t="n"/>
      <c r="G1308" s="8">
        <f>IF(E1308="","",E1308*F1308)</f>
        <v/>
      </c>
      <c r="H1308" s="8">
        <f>IF(G1308="","",G1308-I1308)</f>
        <v/>
      </c>
      <c r="I1308" s="8">
        <f>IF(D1308="","",VLOOKUP(D1308, RECETTES!B:G, 6, FALSE)*E1308)</f>
        <v/>
      </c>
      <c r="J1308" s="8">
        <f>IF(G1308="","",G1308*0.20)</f>
        <v/>
      </c>
      <c r="K1308" s="8">
        <f>IF(G1308="","",G1308+J1308)</f>
        <v/>
      </c>
    </row>
    <row r="1309">
      <c r="F1309" s="8" t="n"/>
      <c r="G1309" s="8">
        <f>IF(E1309="","",E1309*F1309)</f>
        <v/>
      </c>
      <c r="H1309" s="8">
        <f>IF(G1309="","",G1309-I1309)</f>
        <v/>
      </c>
      <c r="I1309" s="8">
        <f>IF(D1309="","",VLOOKUP(D1309, RECETTES!B:G, 6, FALSE)*E1309)</f>
        <v/>
      </c>
      <c r="J1309" s="8">
        <f>IF(G1309="","",G1309*0.20)</f>
        <v/>
      </c>
      <c r="K1309" s="8">
        <f>IF(G1309="","",G1309+J1309)</f>
        <v/>
      </c>
    </row>
    <row r="1310">
      <c r="F1310" s="8" t="n"/>
      <c r="G1310" s="8">
        <f>IF(E1310="","",E1310*F1310)</f>
        <v/>
      </c>
      <c r="H1310" s="8">
        <f>IF(G1310="","",G1310-I1310)</f>
        <v/>
      </c>
      <c r="I1310" s="8">
        <f>IF(D1310="","",VLOOKUP(D1310, RECETTES!B:G, 6, FALSE)*E1310)</f>
        <v/>
      </c>
      <c r="J1310" s="8">
        <f>IF(G1310="","",G1310*0.20)</f>
        <v/>
      </c>
      <c r="K1310" s="8">
        <f>IF(G1310="","",G1310+J1310)</f>
        <v/>
      </c>
    </row>
    <row r="1311">
      <c r="F1311" s="8" t="n"/>
      <c r="G1311" s="8">
        <f>IF(E1311="","",E1311*F1311)</f>
        <v/>
      </c>
      <c r="H1311" s="8">
        <f>IF(G1311="","",G1311-I1311)</f>
        <v/>
      </c>
      <c r="I1311" s="8">
        <f>IF(D1311="","",VLOOKUP(D1311, RECETTES!B:G, 6, FALSE)*E1311)</f>
        <v/>
      </c>
      <c r="J1311" s="8">
        <f>IF(G1311="","",G1311*0.20)</f>
        <v/>
      </c>
      <c r="K1311" s="8">
        <f>IF(G1311="","",G1311+J1311)</f>
        <v/>
      </c>
    </row>
    <row r="1312">
      <c r="F1312" s="8" t="n"/>
      <c r="G1312" s="8">
        <f>IF(E1312="","",E1312*F1312)</f>
        <v/>
      </c>
      <c r="H1312" s="8">
        <f>IF(G1312="","",G1312-I1312)</f>
        <v/>
      </c>
      <c r="I1312" s="8">
        <f>IF(D1312="","",VLOOKUP(D1312, RECETTES!B:G, 6, FALSE)*E1312)</f>
        <v/>
      </c>
      <c r="J1312" s="8">
        <f>IF(G1312="","",G1312*0.20)</f>
        <v/>
      </c>
      <c r="K1312" s="8">
        <f>IF(G1312="","",G1312+J1312)</f>
        <v/>
      </c>
    </row>
    <row r="1313">
      <c r="F1313" s="8" t="n"/>
      <c r="G1313" s="8">
        <f>IF(E1313="","",E1313*F1313)</f>
        <v/>
      </c>
      <c r="H1313" s="8">
        <f>IF(G1313="","",G1313-I1313)</f>
        <v/>
      </c>
      <c r="I1313" s="8">
        <f>IF(D1313="","",VLOOKUP(D1313, RECETTES!B:G, 6, FALSE)*E1313)</f>
        <v/>
      </c>
      <c r="J1313" s="8">
        <f>IF(G1313="","",G1313*0.20)</f>
        <v/>
      </c>
      <c r="K1313" s="8">
        <f>IF(G1313="","",G1313+J1313)</f>
        <v/>
      </c>
    </row>
    <row r="1314">
      <c r="F1314" s="8" t="n"/>
      <c r="G1314" s="8">
        <f>IF(E1314="","",E1314*F1314)</f>
        <v/>
      </c>
      <c r="H1314" s="8">
        <f>IF(G1314="","",G1314-I1314)</f>
        <v/>
      </c>
      <c r="I1314" s="8">
        <f>IF(D1314="","",VLOOKUP(D1314, RECETTES!B:G, 6, FALSE)*E1314)</f>
        <v/>
      </c>
      <c r="J1314" s="8">
        <f>IF(G1314="","",G1314*0.20)</f>
        <v/>
      </c>
      <c r="K1314" s="8">
        <f>IF(G1314="","",G1314+J1314)</f>
        <v/>
      </c>
    </row>
    <row r="1315">
      <c r="F1315" s="8" t="n"/>
      <c r="G1315" s="8">
        <f>IF(E1315="","",E1315*F1315)</f>
        <v/>
      </c>
      <c r="H1315" s="8">
        <f>IF(G1315="","",G1315-I1315)</f>
        <v/>
      </c>
      <c r="I1315" s="8">
        <f>IF(D1315="","",VLOOKUP(D1315, RECETTES!B:G, 6, FALSE)*E1315)</f>
        <v/>
      </c>
      <c r="J1315" s="8">
        <f>IF(G1315="","",G1315*0.20)</f>
        <v/>
      </c>
      <c r="K1315" s="8">
        <f>IF(G1315="","",G1315+J1315)</f>
        <v/>
      </c>
    </row>
    <row r="1316">
      <c r="F1316" s="8" t="n"/>
      <c r="G1316" s="8">
        <f>IF(E1316="","",E1316*F1316)</f>
        <v/>
      </c>
      <c r="H1316" s="8">
        <f>IF(G1316="","",G1316-I1316)</f>
        <v/>
      </c>
      <c r="I1316" s="8">
        <f>IF(D1316="","",VLOOKUP(D1316, RECETTES!B:G, 6, FALSE)*E1316)</f>
        <v/>
      </c>
      <c r="J1316" s="8">
        <f>IF(G1316="","",G1316*0.20)</f>
        <v/>
      </c>
      <c r="K1316" s="8">
        <f>IF(G1316="","",G1316+J1316)</f>
        <v/>
      </c>
    </row>
    <row r="1317">
      <c r="F1317" s="8" t="n"/>
      <c r="G1317" s="8">
        <f>IF(E1317="","",E1317*F1317)</f>
        <v/>
      </c>
      <c r="H1317" s="8">
        <f>IF(G1317="","",G1317-I1317)</f>
        <v/>
      </c>
      <c r="I1317" s="8">
        <f>IF(D1317="","",VLOOKUP(D1317, RECETTES!B:G, 6, FALSE)*E1317)</f>
        <v/>
      </c>
      <c r="J1317" s="8">
        <f>IF(G1317="","",G1317*0.20)</f>
        <v/>
      </c>
      <c r="K1317" s="8">
        <f>IF(G1317="","",G1317+J1317)</f>
        <v/>
      </c>
    </row>
    <row r="1318">
      <c r="F1318" s="8" t="n"/>
      <c r="G1318" s="8">
        <f>IF(E1318="","",E1318*F1318)</f>
        <v/>
      </c>
      <c r="H1318" s="8">
        <f>IF(G1318="","",G1318-I1318)</f>
        <v/>
      </c>
      <c r="I1318" s="8">
        <f>IF(D1318="","",VLOOKUP(D1318, RECETTES!B:G, 6, FALSE)*E1318)</f>
        <v/>
      </c>
      <c r="J1318" s="8">
        <f>IF(G1318="","",G1318*0.20)</f>
        <v/>
      </c>
      <c r="K1318" s="8">
        <f>IF(G1318="","",G1318+J1318)</f>
        <v/>
      </c>
    </row>
    <row r="1319">
      <c r="F1319" s="8" t="n"/>
      <c r="G1319" s="8">
        <f>IF(E1319="","",E1319*F1319)</f>
        <v/>
      </c>
      <c r="H1319" s="8">
        <f>IF(G1319="","",G1319-I1319)</f>
        <v/>
      </c>
      <c r="I1319" s="8">
        <f>IF(D1319="","",VLOOKUP(D1319, RECETTES!B:G, 6, FALSE)*E1319)</f>
        <v/>
      </c>
      <c r="J1319" s="8">
        <f>IF(G1319="","",G1319*0.20)</f>
        <v/>
      </c>
      <c r="K1319" s="8">
        <f>IF(G1319="","",G1319+J1319)</f>
        <v/>
      </c>
    </row>
    <row r="1320">
      <c r="F1320" s="8" t="n"/>
      <c r="G1320" s="8">
        <f>IF(E1320="","",E1320*F1320)</f>
        <v/>
      </c>
      <c r="H1320" s="8">
        <f>IF(G1320="","",G1320-I1320)</f>
        <v/>
      </c>
      <c r="I1320" s="8">
        <f>IF(D1320="","",VLOOKUP(D1320, RECETTES!B:G, 6, FALSE)*E1320)</f>
        <v/>
      </c>
      <c r="J1320" s="8">
        <f>IF(G1320="","",G1320*0.20)</f>
        <v/>
      </c>
      <c r="K1320" s="8">
        <f>IF(G1320="","",G1320+J1320)</f>
        <v/>
      </c>
    </row>
    <row r="1321">
      <c r="F1321" s="8" t="n"/>
      <c r="G1321" s="8">
        <f>IF(E1321="","",E1321*F1321)</f>
        <v/>
      </c>
      <c r="H1321" s="8">
        <f>IF(G1321="","",G1321-I1321)</f>
        <v/>
      </c>
      <c r="I1321" s="8">
        <f>IF(D1321="","",VLOOKUP(D1321, RECETTES!B:G, 6, FALSE)*E1321)</f>
        <v/>
      </c>
      <c r="J1321" s="8">
        <f>IF(G1321="","",G1321*0.20)</f>
        <v/>
      </c>
      <c r="K1321" s="8">
        <f>IF(G1321="","",G1321+J1321)</f>
        <v/>
      </c>
    </row>
    <row r="1322">
      <c r="F1322" s="8" t="n"/>
      <c r="G1322" s="8">
        <f>IF(E1322="","",E1322*F1322)</f>
        <v/>
      </c>
      <c r="H1322" s="8">
        <f>IF(G1322="","",G1322-I1322)</f>
        <v/>
      </c>
      <c r="I1322" s="8">
        <f>IF(D1322="","",VLOOKUP(D1322, RECETTES!B:G, 6, FALSE)*E1322)</f>
        <v/>
      </c>
      <c r="J1322" s="8">
        <f>IF(G1322="","",G1322*0.20)</f>
        <v/>
      </c>
      <c r="K1322" s="8">
        <f>IF(G1322="","",G1322+J1322)</f>
        <v/>
      </c>
    </row>
    <row r="1323">
      <c r="F1323" s="8" t="n"/>
      <c r="G1323" s="8">
        <f>IF(E1323="","",E1323*F1323)</f>
        <v/>
      </c>
      <c r="H1323" s="8">
        <f>IF(G1323="","",G1323-I1323)</f>
        <v/>
      </c>
      <c r="I1323" s="8">
        <f>IF(D1323="","",VLOOKUP(D1323, RECETTES!B:G, 6, FALSE)*E1323)</f>
        <v/>
      </c>
      <c r="J1323" s="8">
        <f>IF(G1323="","",G1323*0.20)</f>
        <v/>
      </c>
      <c r="K1323" s="8">
        <f>IF(G1323="","",G1323+J1323)</f>
        <v/>
      </c>
    </row>
    <row r="1324">
      <c r="F1324" s="8" t="n"/>
      <c r="G1324" s="8">
        <f>IF(E1324="","",E1324*F1324)</f>
        <v/>
      </c>
      <c r="H1324" s="8">
        <f>IF(G1324="","",G1324-I1324)</f>
        <v/>
      </c>
      <c r="I1324" s="8">
        <f>IF(D1324="","",VLOOKUP(D1324, RECETTES!B:G, 6, FALSE)*E1324)</f>
        <v/>
      </c>
      <c r="J1324" s="8">
        <f>IF(G1324="","",G1324*0.20)</f>
        <v/>
      </c>
      <c r="K1324" s="8">
        <f>IF(G1324="","",G1324+J1324)</f>
        <v/>
      </c>
    </row>
    <row r="1325">
      <c r="F1325" s="8" t="n"/>
      <c r="G1325" s="8">
        <f>IF(E1325="","",E1325*F1325)</f>
        <v/>
      </c>
      <c r="H1325" s="8">
        <f>IF(G1325="","",G1325-I1325)</f>
        <v/>
      </c>
      <c r="I1325" s="8">
        <f>IF(D1325="","",VLOOKUP(D1325, RECETTES!B:G, 6, FALSE)*E1325)</f>
        <v/>
      </c>
      <c r="J1325" s="8">
        <f>IF(G1325="","",G1325*0.20)</f>
        <v/>
      </c>
      <c r="K1325" s="8">
        <f>IF(G1325="","",G1325+J1325)</f>
        <v/>
      </c>
    </row>
    <row r="1326">
      <c r="F1326" s="8" t="n"/>
      <c r="G1326" s="8">
        <f>IF(E1326="","",E1326*F1326)</f>
        <v/>
      </c>
      <c r="H1326" s="8">
        <f>IF(G1326="","",G1326-I1326)</f>
        <v/>
      </c>
      <c r="I1326" s="8">
        <f>IF(D1326="","",VLOOKUP(D1326, RECETTES!B:G, 6, FALSE)*E1326)</f>
        <v/>
      </c>
      <c r="J1326" s="8">
        <f>IF(G1326="","",G1326*0.20)</f>
        <v/>
      </c>
      <c r="K1326" s="8">
        <f>IF(G1326="","",G1326+J1326)</f>
        <v/>
      </c>
    </row>
    <row r="1327">
      <c r="F1327" s="8" t="n"/>
      <c r="G1327" s="8">
        <f>IF(E1327="","",E1327*F1327)</f>
        <v/>
      </c>
      <c r="H1327" s="8">
        <f>IF(G1327="","",G1327-I1327)</f>
        <v/>
      </c>
      <c r="I1327" s="8">
        <f>IF(D1327="","",VLOOKUP(D1327, RECETTES!B:G, 6, FALSE)*E1327)</f>
        <v/>
      </c>
      <c r="J1327" s="8">
        <f>IF(G1327="","",G1327*0.20)</f>
        <v/>
      </c>
      <c r="K1327" s="8">
        <f>IF(G1327="","",G1327+J1327)</f>
        <v/>
      </c>
    </row>
    <row r="1328">
      <c r="F1328" s="8" t="n"/>
      <c r="G1328" s="8">
        <f>IF(E1328="","",E1328*F1328)</f>
        <v/>
      </c>
      <c r="H1328" s="8">
        <f>IF(G1328="","",G1328-I1328)</f>
        <v/>
      </c>
      <c r="I1328" s="8">
        <f>IF(D1328="","",VLOOKUP(D1328, RECETTES!B:G, 6, FALSE)*E1328)</f>
        <v/>
      </c>
      <c r="J1328" s="8">
        <f>IF(G1328="","",G1328*0.20)</f>
        <v/>
      </c>
      <c r="K1328" s="8">
        <f>IF(G1328="","",G1328+J1328)</f>
        <v/>
      </c>
    </row>
    <row r="1329">
      <c r="F1329" s="8" t="n"/>
      <c r="G1329" s="8">
        <f>IF(E1329="","",E1329*F1329)</f>
        <v/>
      </c>
      <c r="H1329" s="8">
        <f>IF(G1329="","",G1329-I1329)</f>
        <v/>
      </c>
      <c r="I1329" s="8">
        <f>IF(D1329="","",VLOOKUP(D1329, RECETTES!B:G, 6, FALSE)*E1329)</f>
        <v/>
      </c>
      <c r="J1329" s="8">
        <f>IF(G1329="","",G1329*0.20)</f>
        <v/>
      </c>
      <c r="K1329" s="8">
        <f>IF(G1329="","",G1329+J1329)</f>
        <v/>
      </c>
    </row>
    <row r="1330">
      <c r="F1330" s="8" t="n"/>
      <c r="G1330" s="8">
        <f>IF(E1330="","",E1330*F1330)</f>
        <v/>
      </c>
      <c r="H1330" s="8">
        <f>IF(G1330="","",G1330-I1330)</f>
        <v/>
      </c>
      <c r="I1330" s="8">
        <f>IF(D1330="","",VLOOKUP(D1330, RECETTES!B:G, 6, FALSE)*E1330)</f>
        <v/>
      </c>
      <c r="J1330" s="8">
        <f>IF(G1330="","",G1330*0.20)</f>
        <v/>
      </c>
      <c r="K1330" s="8">
        <f>IF(G1330="","",G1330+J1330)</f>
        <v/>
      </c>
    </row>
    <row r="1331">
      <c r="F1331" s="8" t="n"/>
      <c r="G1331" s="8">
        <f>IF(E1331="","",E1331*F1331)</f>
        <v/>
      </c>
      <c r="H1331" s="8">
        <f>IF(G1331="","",G1331-I1331)</f>
        <v/>
      </c>
      <c r="I1331" s="8">
        <f>IF(D1331="","",VLOOKUP(D1331, RECETTES!B:G, 6, FALSE)*E1331)</f>
        <v/>
      </c>
      <c r="J1331" s="8">
        <f>IF(G1331="","",G1331*0.20)</f>
        <v/>
      </c>
      <c r="K1331" s="8">
        <f>IF(G1331="","",G1331+J1331)</f>
        <v/>
      </c>
    </row>
    <row r="1332">
      <c r="F1332" s="8" t="n"/>
      <c r="G1332" s="8">
        <f>IF(E1332="","",E1332*F1332)</f>
        <v/>
      </c>
      <c r="H1332" s="8">
        <f>IF(G1332="","",G1332-I1332)</f>
        <v/>
      </c>
      <c r="I1332" s="8">
        <f>IF(D1332="","",VLOOKUP(D1332, RECETTES!B:G, 6, FALSE)*E1332)</f>
        <v/>
      </c>
      <c r="J1332" s="8">
        <f>IF(G1332="","",G1332*0.20)</f>
        <v/>
      </c>
      <c r="K1332" s="8">
        <f>IF(G1332="","",G1332+J1332)</f>
        <v/>
      </c>
    </row>
    <row r="1333">
      <c r="F1333" s="8" t="n"/>
      <c r="G1333" s="8">
        <f>IF(E1333="","",E1333*F1333)</f>
        <v/>
      </c>
      <c r="H1333" s="8">
        <f>IF(G1333="","",G1333-I1333)</f>
        <v/>
      </c>
      <c r="I1333" s="8">
        <f>IF(D1333="","",VLOOKUP(D1333, RECETTES!B:G, 6, FALSE)*E1333)</f>
        <v/>
      </c>
      <c r="J1333" s="8">
        <f>IF(G1333="","",G1333*0.20)</f>
        <v/>
      </c>
      <c r="K1333" s="8">
        <f>IF(G1333="","",G1333+J1333)</f>
        <v/>
      </c>
    </row>
    <row r="1334">
      <c r="F1334" s="8" t="n"/>
      <c r="G1334" s="8">
        <f>IF(E1334="","",E1334*F1334)</f>
        <v/>
      </c>
      <c r="H1334" s="8">
        <f>IF(G1334="","",G1334-I1334)</f>
        <v/>
      </c>
      <c r="I1334" s="8">
        <f>IF(D1334="","",VLOOKUP(D1334, RECETTES!B:G, 6, FALSE)*E1334)</f>
        <v/>
      </c>
      <c r="J1334" s="8">
        <f>IF(G1334="","",G1334*0.20)</f>
        <v/>
      </c>
      <c r="K1334" s="8">
        <f>IF(G1334="","",G1334+J1334)</f>
        <v/>
      </c>
    </row>
    <row r="1335">
      <c r="F1335" s="8" t="n"/>
      <c r="G1335" s="8">
        <f>IF(E1335="","",E1335*F1335)</f>
        <v/>
      </c>
      <c r="H1335" s="8">
        <f>IF(G1335="","",G1335-I1335)</f>
        <v/>
      </c>
      <c r="I1335" s="8">
        <f>IF(D1335="","",VLOOKUP(D1335, RECETTES!B:G, 6, FALSE)*E1335)</f>
        <v/>
      </c>
      <c r="J1335" s="8">
        <f>IF(G1335="","",G1335*0.20)</f>
        <v/>
      </c>
      <c r="K1335" s="8">
        <f>IF(G1335="","",G1335+J1335)</f>
        <v/>
      </c>
    </row>
    <row r="1336">
      <c r="F1336" s="8" t="n"/>
      <c r="G1336" s="8">
        <f>IF(E1336="","",E1336*F1336)</f>
        <v/>
      </c>
      <c r="H1336" s="8">
        <f>IF(G1336="","",G1336-I1336)</f>
        <v/>
      </c>
      <c r="I1336" s="8">
        <f>IF(D1336="","",VLOOKUP(D1336, RECETTES!B:G, 6, FALSE)*E1336)</f>
        <v/>
      </c>
      <c r="J1336" s="8">
        <f>IF(G1336="","",G1336*0.20)</f>
        <v/>
      </c>
      <c r="K1336" s="8">
        <f>IF(G1336="","",G1336+J1336)</f>
        <v/>
      </c>
    </row>
    <row r="1337">
      <c r="F1337" s="8" t="n"/>
      <c r="G1337" s="8">
        <f>IF(E1337="","",E1337*F1337)</f>
        <v/>
      </c>
      <c r="H1337" s="8">
        <f>IF(G1337="","",G1337-I1337)</f>
        <v/>
      </c>
      <c r="I1337" s="8">
        <f>IF(D1337="","",VLOOKUP(D1337, RECETTES!B:G, 6, FALSE)*E1337)</f>
        <v/>
      </c>
      <c r="J1337" s="8">
        <f>IF(G1337="","",G1337*0.20)</f>
        <v/>
      </c>
      <c r="K1337" s="8">
        <f>IF(G1337="","",G1337+J1337)</f>
        <v/>
      </c>
    </row>
    <row r="1338">
      <c r="F1338" s="8" t="n"/>
      <c r="G1338" s="8">
        <f>IF(E1338="","",E1338*F1338)</f>
        <v/>
      </c>
      <c r="H1338" s="8">
        <f>IF(G1338="","",G1338-I1338)</f>
        <v/>
      </c>
      <c r="I1338" s="8">
        <f>IF(D1338="","",VLOOKUP(D1338, RECETTES!B:G, 6, FALSE)*E1338)</f>
        <v/>
      </c>
      <c r="J1338" s="8">
        <f>IF(G1338="","",G1338*0.20)</f>
        <v/>
      </c>
      <c r="K1338" s="8">
        <f>IF(G1338="","",G1338+J1338)</f>
        <v/>
      </c>
    </row>
    <row r="1339">
      <c r="F1339" s="8" t="n"/>
      <c r="G1339" s="8">
        <f>IF(E1339="","",E1339*F1339)</f>
        <v/>
      </c>
      <c r="H1339" s="8">
        <f>IF(G1339="","",G1339-I1339)</f>
        <v/>
      </c>
      <c r="I1339" s="8">
        <f>IF(D1339="","",VLOOKUP(D1339, RECETTES!B:G, 6, FALSE)*E1339)</f>
        <v/>
      </c>
      <c r="J1339" s="8">
        <f>IF(G1339="","",G1339*0.20)</f>
        <v/>
      </c>
      <c r="K1339" s="8">
        <f>IF(G1339="","",G1339+J1339)</f>
        <v/>
      </c>
    </row>
    <row r="1340">
      <c r="F1340" s="8" t="n"/>
      <c r="G1340" s="8">
        <f>IF(E1340="","",E1340*F1340)</f>
        <v/>
      </c>
      <c r="H1340" s="8">
        <f>IF(G1340="","",G1340-I1340)</f>
        <v/>
      </c>
      <c r="I1340" s="8">
        <f>IF(D1340="","",VLOOKUP(D1340, RECETTES!B:G, 6, FALSE)*E1340)</f>
        <v/>
      </c>
      <c r="J1340" s="8">
        <f>IF(G1340="","",G1340*0.20)</f>
        <v/>
      </c>
      <c r="K1340" s="8">
        <f>IF(G1340="","",G1340+J1340)</f>
        <v/>
      </c>
    </row>
    <row r="1341">
      <c r="F1341" s="8" t="n"/>
      <c r="G1341" s="8">
        <f>IF(E1341="","",E1341*F1341)</f>
        <v/>
      </c>
      <c r="H1341" s="8">
        <f>IF(G1341="","",G1341-I1341)</f>
        <v/>
      </c>
      <c r="I1341" s="8">
        <f>IF(D1341="","",VLOOKUP(D1341, RECETTES!B:G, 6, FALSE)*E1341)</f>
        <v/>
      </c>
      <c r="J1341" s="8">
        <f>IF(G1341="","",G1341*0.20)</f>
        <v/>
      </c>
      <c r="K1341" s="8">
        <f>IF(G1341="","",G1341+J1341)</f>
        <v/>
      </c>
    </row>
    <row r="1342">
      <c r="F1342" s="8" t="n"/>
      <c r="G1342" s="8">
        <f>IF(E1342="","",E1342*F1342)</f>
        <v/>
      </c>
      <c r="H1342" s="8">
        <f>IF(G1342="","",G1342-I1342)</f>
        <v/>
      </c>
      <c r="I1342" s="8">
        <f>IF(D1342="","",VLOOKUP(D1342, RECETTES!B:G, 6, FALSE)*E1342)</f>
        <v/>
      </c>
      <c r="J1342" s="8">
        <f>IF(G1342="","",G1342*0.20)</f>
        <v/>
      </c>
      <c r="K1342" s="8">
        <f>IF(G1342="","",G1342+J1342)</f>
        <v/>
      </c>
    </row>
    <row r="1343">
      <c r="F1343" s="8" t="n"/>
      <c r="G1343" s="8">
        <f>IF(E1343="","",E1343*F1343)</f>
        <v/>
      </c>
      <c r="H1343" s="8">
        <f>IF(G1343="","",G1343-I1343)</f>
        <v/>
      </c>
      <c r="I1343" s="8">
        <f>IF(D1343="","",VLOOKUP(D1343, RECETTES!B:G, 6, FALSE)*E1343)</f>
        <v/>
      </c>
      <c r="J1343" s="8">
        <f>IF(G1343="","",G1343*0.20)</f>
        <v/>
      </c>
      <c r="K1343" s="8">
        <f>IF(G1343="","",G1343+J1343)</f>
        <v/>
      </c>
    </row>
    <row r="1344">
      <c r="F1344" s="8" t="n"/>
      <c r="G1344" s="8">
        <f>IF(E1344="","",E1344*F1344)</f>
        <v/>
      </c>
      <c r="H1344" s="8">
        <f>IF(G1344="","",G1344-I1344)</f>
        <v/>
      </c>
      <c r="I1344" s="8">
        <f>IF(D1344="","",VLOOKUP(D1344, RECETTES!B:G, 6, FALSE)*E1344)</f>
        <v/>
      </c>
      <c r="J1344" s="8">
        <f>IF(G1344="","",G1344*0.20)</f>
        <v/>
      </c>
      <c r="K1344" s="8">
        <f>IF(G1344="","",G1344+J1344)</f>
        <v/>
      </c>
    </row>
    <row r="1345">
      <c r="F1345" s="8" t="n"/>
      <c r="G1345" s="8">
        <f>IF(E1345="","",E1345*F1345)</f>
        <v/>
      </c>
      <c r="H1345" s="8">
        <f>IF(G1345="","",G1345-I1345)</f>
        <v/>
      </c>
      <c r="I1345" s="8">
        <f>IF(D1345="","",VLOOKUP(D1345, RECETTES!B:G, 6, FALSE)*E1345)</f>
        <v/>
      </c>
      <c r="J1345" s="8">
        <f>IF(G1345="","",G1345*0.20)</f>
        <v/>
      </c>
      <c r="K1345" s="8">
        <f>IF(G1345="","",G1345+J1345)</f>
        <v/>
      </c>
    </row>
    <row r="1346">
      <c r="F1346" s="8" t="n"/>
      <c r="G1346" s="8">
        <f>IF(E1346="","",E1346*F1346)</f>
        <v/>
      </c>
      <c r="H1346" s="8">
        <f>IF(G1346="","",G1346-I1346)</f>
        <v/>
      </c>
      <c r="I1346" s="8">
        <f>IF(D1346="","",VLOOKUP(D1346, RECETTES!B:G, 6, FALSE)*E1346)</f>
        <v/>
      </c>
      <c r="J1346" s="8">
        <f>IF(G1346="","",G1346*0.20)</f>
        <v/>
      </c>
      <c r="K1346" s="8">
        <f>IF(G1346="","",G1346+J1346)</f>
        <v/>
      </c>
    </row>
    <row r="1347">
      <c r="F1347" s="8" t="n"/>
      <c r="G1347" s="8">
        <f>IF(E1347="","",E1347*F1347)</f>
        <v/>
      </c>
      <c r="H1347" s="8">
        <f>IF(G1347="","",G1347-I1347)</f>
        <v/>
      </c>
      <c r="I1347" s="8">
        <f>IF(D1347="","",VLOOKUP(D1347, RECETTES!B:G, 6, FALSE)*E1347)</f>
        <v/>
      </c>
      <c r="J1347" s="8">
        <f>IF(G1347="","",G1347*0.20)</f>
        <v/>
      </c>
      <c r="K1347" s="8">
        <f>IF(G1347="","",G1347+J1347)</f>
        <v/>
      </c>
    </row>
    <row r="1348">
      <c r="F1348" s="8" t="n"/>
      <c r="G1348" s="8">
        <f>IF(E1348="","",E1348*F1348)</f>
        <v/>
      </c>
      <c r="H1348" s="8">
        <f>IF(G1348="","",G1348-I1348)</f>
        <v/>
      </c>
      <c r="I1348" s="8">
        <f>IF(D1348="","",VLOOKUP(D1348, RECETTES!B:G, 6, FALSE)*E1348)</f>
        <v/>
      </c>
      <c r="J1348" s="8">
        <f>IF(G1348="","",G1348*0.20)</f>
        <v/>
      </c>
      <c r="K1348" s="8">
        <f>IF(G1348="","",G1348+J1348)</f>
        <v/>
      </c>
    </row>
    <row r="1349">
      <c r="F1349" s="8" t="n"/>
      <c r="G1349" s="8">
        <f>IF(E1349="","",E1349*F1349)</f>
        <v/>
      </c>
      <c r="H1349" s="8">
        <f>IF(G1349="","",G1349-I1349)</f>
        <v/>
      </c>
      <c r="I1349" s="8">
        <f>IF(D1349="","",VLOOKUP(D1349, RECETTES!B:G, 6, FALSE)*E1349)</f>
        <v/>
      </c>
      <c r="J1349" s="8">
        <f>IF(G1349="","",G1349*0.20)</f>
        <v/>
      </c>
      <c r="K1349" s="8">
        <f>IF(G1349="","",G1349+J1349)</f>
        <v/>
      </c>
    </row>
    <row r="1350">
      <c r="F1350" s="8" t="n"/>
      <c r="G1350" s="8">
        <f>IF(E1350="","",E1350*F1350)</f>
        <v/>
      </c>
      <c r="H1350" s="8">
        <f>IF(G1350="","",G1350-I1350)</f>
        <v/>
      </c>
      <c r="I1350" s="8">
        <f>IF(D1350="","",VLOOKUP(D1350, RECETTES!B:G, 6, FALSE)*E1350)</f>
        <v/>
      </c>
      <c r="J1350" s="8">
        <f>IF(G1350="","",G1350*0.20)</f>
        <v/>
      </c>
      <c r="K1350" s="8">
        <f>IF(G1350="","",G1350+J1350)</f>
        <v/>
      </c>
    </row>
    <row r="1351">
      <c r="F1351" s="8" t="n"/>
      <c r="G1351" s="8">
        <f>IF(E1351="","",E1351*F1351)</f>
        <v/>
      </c>
      <c r="H1351" s="8">
        <f>IF(G1351="","",G1351-I1351)</f>
        <v/>
      </c>
      <c r="I1351" s="8">
        <f>IF(D1351="","",VLOOKUP(D1351, RECETTES!B:G, 6, FALSE)*E1351)</f>
        <v/>
      </c>
      <c r="J1351" s="8">
        <f>IF(G1351="","",G1351*0.20)</f>
        <v/>
      </c>
      <c r="K1351" s="8">
        <f>IF(G1351="","",G1351+J1351)</f>
        <v/>
      </c>
    </row>
    <row r="1352">
      <c r="F1352" s="8" t="n"/>
      <c r="G1352" s="8">
        <f>IF(E1352="","",E1352*F1352)</f>
        <v/>
      </c>
      <c r="H1352" s="8">
        <f>IF(G1352="","",G1352-I1352)</f>
        <v/>
      </c>
      <c r="I1352" s="8">
        <f>IF(D1352="","",VLOOKUP(D1352, RECETTES!B:G, 6, FALSE)*E1352)</f>
        <v/>
      </c>
      <c r="J1352" s="8">
        <f>IF(G1352="","",G1352*0.20)</f>
        <v/>
      </c>
      <c r="K1352" s="8">
        <f>IF(G1352="","",G1352+J1352)</f>
        <v/>
      </c>
    </row>
    <row r="1353">
      <c r="F1353" s="8" t="n"/>
      <c r="G1353" s="8">
        <f>IF(E1353="","",E1353*F1353)</f>
        <v/>
      </c>
      <c r="H1353" s="8">
        <f>IF(G1353="","",G1353-I1353)</f>
        <v/>
      </c>
      <c r="I1353" s="8">
        <f>IF(D1353="","",VLOOKUP(D1353, RECETTES!B:G, 6, FALSE)*E1353)</f>
        <v/>
      </c>
      <c r="J1353" s="8">
        <f>IF(G1353="","",G1353*0.20)</f>
        <v/>
      </c>
      <c r="K1353" s="8">
        <f>IF(G1353="","",G1353+J1353)</f>
        <v/>
      </c>
    </row>
    <row r="1354">
      <c r="F1354" s="8" t="n"/>
      <c r="G1354" s="8">
        <f>IF(E1354="","",E1354*F1354)</f>
        <v/>
      </c>
      <c r="H1354" s="8">
        <f>IF(G1354="","",G1354-I1354)</f>
        <v/>
      </c>
      <c r="I1354" s="8">
        <f>IF(D1354="","",VLOOKUP(D1354, RECETTES!B:G, 6, FALSE)*E1354)</f>
        <v/>
      </c>
      <c r="J1354" s="8">
        <f>IF(G1354="","",G1354*0.20)</f>
        <v/>
      </c>
      <c r="K1354" s="8">
        <f>IF(G1354="","",G1354+J1354)</f>
        <v/>
      </c>
    </row>
    <row r="1355">
      <c r="F1355" s="8" t="n"/>
      <c r="G1355" s="8">
        <f>IF(E1355="","",E1355*F1355)</f>
        <v/>
      </c>
      <c r="H1355" s="8">
        <f>IF(G1355="","",G1355-I1355)</f>
        <v/>
      </c>
      <c r="I1355" s="8">
        <f>IF(D1355="","",VLOOKUP(D1355, RECETTES!B:G, 6, FALSE)*E1355)</f>
        <v/>
      </c>
      <c r="J1355" s="8">
        <f>IF(G1355="","",G1355*0.20)</f>
        <v/>
      </c>
      <c r="K1355" s="8">
        <f>IF(G1355="","",G1355+J1355)</f>
        <v/>
      </c>
    </row>
    <row r="1356">
      <c r="F1356" s="8" t="n"/>
      <c r="G1356" s="8">
        <f>IF(E1356="","",E1356*F1356)</f>
        <v/>
      </c>
      <c r="H1356" s="8">
        <f>IF(G1356="","",G1356-I1356)</f>
        <v/>
      </c>
      <c r="I1356" s="8">
        <f>IF(D1356="","",VLOOKUP(D1356, RECETTES!B:G, 6, FALSE)*E1356)</f>
        <v/>
      </c>
      <c r="J1356" s="8">
        <f>IF(G1356="","",G1356*0.20)</f>
        <v/>
      </c>
      <c r="K1356" s="8">
        <f>IF(G1356="","",G1356+J1356)</f>
        <v/>
      </c>
    </row>
    <row r="1357">
      <c r="F1357" s="8" t="n"/>
      <c r="G1357" s="8">
        <f>IF(E1357="","",E1357*F1357)</f>
        <v/>
      </c>
      <c r="H1357" s="8">
        <f>IF(G1357="","",G1357-I1357)</f>
        <v/>
      </c>
      <c r="I1357" s="8">
        <f>IF(D1357="","",VLOOKUP(D1357, RECETTES!B:G, 6, FALSE)*E1357)</f>
        <v/>
      </c>
      <c r="J1357" s="8">
        <f>IF(G1357="","",G1357*0.20)</f>
        <v/>
      </c>
      <c r="K1357" s="8">
        <f>IF(G1357="","",G1357+J1357)</f>
        <v/>
      </c>
    </row>
    <row r="1358">
      <c r="F1358" s="8" t="n"/>
      <c r="G1358" s="8">
        <f>IF(E1358="","",E1358*F1358)</f>
        <v/>
      </c>
      <c r="H1358" s="8">
        <f>IF(G1358="","",G1358-I1358)</f>
        <v/>
      </c>
      <c r="I1358" s="8">
        <f>IF(D1358="","",VLOOKUP(D1358, RECETTES!B:G, 6, FALSE)*E1358)</f>
        <v/>
      </c>
      <c r="J1358" s="8">
        <f>IF(G1358="","",G1358*0.20)</f>
        <v/>
      </c>
      <c r="K1358" s="8">
        <f>IF(G1358="","",G1358+J1358)</f>
        <v/>
      </c>
    </row>
    <row r="1359">
      <c r="F1359" s="8" t="n"/>
      <c r="G1359" s="8">
        <f>IF(E1359="","",E1359*F1359)</f>
        <v/>
      </c>
      <c r="H1359" s="8">
        <f>IF(G1359="","",G1359-I1359)</f>
        <v/>
      </c>
      <c r="I1359" s="8">
        <f>IF(D1359="","",VLOOKUP(D1359, RECETTES!B:G, 6, FALSE)*E1359)</f>
        <v/>
      </c>
      <c r="J1359" s="8">
        <f>IF(G1359="","",G1359*0.20)</f>
        <v/>
      </c>
      <c r="K1359" s="8">
        <f>IF(G1359="","",G1359+J1359)</f>
        <v/>
      </c>
    </row>
    <row r="1360">
      <c r="F1360" s="8" t="n"/>
      <c r="G1360" s="8">
        <f>IF(E1360="","",E1360*F1360)</f>
        <v/>
      </c>
      <c r="H1360" s="8">
        <f>IF(G1360="","",G1360-I1360)</f>
        <v/>
      </c>
      <c r="I1360" s="8">
        <f>IF(D1360="","",VLOOKUP(D1360, RECETTES!B:G, 6, FALSE)*E1360)</f>
        <v/>
      </c>
      <c r="J1360" s="8">
        <f>IF(G1360="","",G1360*0.20)</f>
        <v/>
      </c>
      <c r="K1360" s="8">
        <f>IF(G1360="","",G1360+J1360)</f>
        <v/>
      </c>
    </row>
    <row r="1361">
      <c r="F1361" s="8" t="n"/>
      <c r="G1361" s="8">
        <f>IF(E1361="","",E1361*F1361)</f>
        <v/>
      </c>
      <c r="H1361" s="8">
        <f>IF(G1361="","",G1361-I1361)</f>
        <v/>
      </c>
      <c r="I1361" s="8">
        <f>IF(D1361="","",VLOOKUP(D1361, RECETTES!B:G, 6, FALSE)*E1361)</f>
        <v/>
      </c>
      <c r="J1361" s="8">
        <f>IF(G1361="","",G1361*0.20)</f>
        <v/>
      </c>
      <c r="K1361" s="8">
        <f>IF(G1361="","",G1361+J1361)</f>
        <v/>
      </c>
    </row>
    <row r="1362">
      <c r="F1362" s="8" t="n"/>
      <c r="G1362" s="8">
        <f>IF(E1362="","",E1362*F1362)</f>
        <v/>
      </c>
      <c r="H1362" s="8">
        <f>IF(G1362="","",G1362-I1362)</f>
        <v/>
      </c>
      <c r="I1362" s="8">
        <f>IF(D1362="","",VLOOKUP(D1362, RECETTES!B:G, 6, FALSE)*E1362)</f>
        <v/>
      </c>
      <c r="J1362" s="8">
        <f>IF(G1362="","",G1362*0.20)</f>
        <v/>
      </c>
      <c r="K1362" s="8">
        <f>IF(G1362="","",G1362+J1362)</f>
        <v/>
      </c>
    </row>
    <row r="1363">
      <c r="F1363" s="8" t="n"/>
      <c r="G1363" s="8">
        <f>IF(E1363="","",E1363*F1363)</f>
        <v/>
      </c>
      <c r="H1363" s="8">
        <f>IF(G1363="","",G1363-I1363)</f>
        <v/>
      </c>
      <c r="I1363" s="8">
        <f>IF(D1363="","",VLOOKUP(D1363, RECETTES!B:G, 6, FALSE)*E1363)</f>
        <v/>
      </c>
      <c r="J1363" s="8">
        <f>IF(G1363="","",G1363*0.20)</f>
        <v/>
      </c>
      <c r="K1363" s="8">
        <f>IF(G1363="","",G1363+J1363)</f>
        <v/>
      </c>
    </row>
    <row r="1364">
      <c r="F1364" s="8" t="n"/>
      <c r="G1364" s="8">
        <f>IF(E1364="","",E1364*F1364)</f>
        <v/>
      </c>
      <c r="H1364" s="8">
        <f>IF(G1364="","",G1364-I1364)</f>
        <v/>
      </c>
      <c r="I1364" s="8">
        <f>IF(D1364="","",VLOOKUP(D1364, RECETTES!B:G, 6, FALSE)*E1364)</f>
        <v/>
      </c>
      <c r="J1364" s="8">
        <f>IF(G1364="","",G1364*0.20)</f>
        <v/>
      </c>
      <c r="K1364" s="8">
        <f>IF(G1364="","",G1364+J1364)</f>
        <v/>
      </c>
    </row>
    <row r="1365">
      <c r="F1365" s="8" t="n"/>
      <c r="G1365" s="8">
        <f>IF(E1365="","",E1365*F1365)</f>
        <v/>
      </c>
      <c r="H1365" s="8">
        <f>IF(G1365="","",G1365-I1365)</f>
        <v/>
      </c>
      <c r="I1365" s="8">
        <f>IF(D1365="","",VLOOKUP(D1365, RECETTES!B:G, 6, FALSE)*E1365)</f>
        <v/>
      </c>
      <c r="J1365" s="8">
        <f>IF(G1365="","",G1365*0.20)</f>
        <v/>
      </c>
      <c r="K1365" s="8">
        <f>IF(G1365="","",G1365+J1365)</f>
        <v/>
      </c>
    </row>
    <row r="1366">
      <c r="F1366" s="8" t="n"/>
      <c r="G1366" s="8">
        <f>IF(E1366="","",E1366*F1366)</f>
        <v/>
      </c>
      <c r="H1366" s="8">
        <f>IF(G1366="","",G1366-I1366)</f>
        <v/>
      </c>
      <c r="I1366" s="8">
        <f>IF(D1366="","",VLOOKUP(D1366, RECETTES!B:G, 6, FALSE)*E1366)</f>
        <v/>
      </c>
      <c r="J1366" s="8">
        <f>IF(G1366="","",G1366*0.20)</f>
        <v/>
      </c>
      <c r="K1366" s="8">
        <f>IF(G1366="","",G1366+J1366)</f>
        <v/>
      </c>
    </row>
    <row r="1367">
      <c r="F1367" s="8" t="n"/>
      <c r="G1367" s="8">
        <f>IF(E1367="","",E1367*F1367)</f>
        <v/>
      </c>
      <c r="H1367" s="8">
        <f>IF(G1367="","",G1367-I1367)</f>
        <v/>
      </c>
      <c r="I1367" s="8">
        <f>IF(D1367="","",VLOOKUP(D1367, RECETTES!B:G, 6, FALSE)*E1367)</f>
        <v/>
      </c>
      <c r="J1367" s="8">
        <f>IF(G1367="","",G1367*0.20)</f>
        <v/>
      </c>
      <c r="K1367" s="8">
        <f>IF(G1367="","",G1367+J1367)</f>
        <v/>
      </c>
    </row>
    <row r="1368">
      <c r="F1368" s="8" t="n"/>
      <c r="G1368" s="8">
        <f>IF(E1368="","",E1368*F1368)</f>
        <v/>
      </c>
      <c r="H1368" s="8">
        <f>IF(G1368="","",G1368-I1368)</f>
        <v/>
      </c>
      <c r="I1368" s="8">
        <f>IF(D1368="","",VLOOKUP(D1368, RECETTES!B:G, 6, FALSE)*E1368)</f>
        <v/>
      </c>
      <c r="J1368" s="8">
        <f>IF(G1368="","",G1368*0.20)</f>
        <v/>
      </c>
      <c r="K1368" s="8">
        <f>IF(G1368="","",G1368+J1368)</f>
        <v/>
      </c>
    </row>
    <row r="1369">
      <c r="F1369" s="8" t="n"/>
      <c r="G1369" s="8">
        <f>IF(E1369="","",E1369*F1369)</f>
        <v/>
      </c>
      <c r="H1369" s="8">
        <f>IF(G1369="","",G1369-I1369)</f>
        <v/>
      </c>
      <c r="I1369" s="8">
        <f>IF(D1369="","",VLOOKUP(D1369, RECETTES!B:G, 6, FALSE)*E1369)</f>
        <v/>
      </c>
      <c r="J1369" s="8">
        <f>IF(G1369="","",G1369*0.20)</f>
        <v/>
      </c>
      <c r="K1369" s="8">
        <f>IF(G1369="","",G1369+J1369)</f>
        <v/>
      </c>
    </row>
    <row r="1370">
      <c r="F1370" s="8" t="n"/>
      <c r="G1370" s="8">
        <f>IF(E1370="","",E1370*F1370)</f>
        <v/>
      </c>
      <c r="H1370" s="8">
        <f>IF(G1370="","",G1370-I1370)</f>
        <v/>
      </c>
      <c r="I1370" s="8">
        <f>IF(D1370="","",VLOOKUP(D1370, RECETTES!B:G, 6, FALSE)*E1370)</f>
        <v/>
      </c>
      <c r="J1370" s="8">
        <f>IF(G1370="","",G1370*0.20)</f>
        <v/>
      </c>
      <c r="K1370" s="8">
        <f>IF(G1370="","",G1370+J1370)</f>
        <v/>
      </c>
    </row>
    <row r="1371">
      <c r="F1371" s="8" t="n"/>
      <c r="G1371" s="8">
        <f>IF(E1371="","",E1371*F1371)</f>
        <v/>
      </c>
      <c r="H1371" s="8">
        <f>IF(G1371="","",G1371-I1371)</f>
        <v/>
      </c>
      <c r="I1371" s="8">
        <f>IF(D1371="","",VLOOKUP(D1371, RECETTES!B:G, 6, FALSE)*E1371)</f>
        <v/>
      </c>
      <c r="J1371" s="8">
        <f>IF(G1371="","",G1371*0.20)</f>
        <v/>
      </c>
      <c r="K1371" s="8">
        <f>IF(G1371="","",G1371+J1371)</f>
        <v/>
      </c>
    </row>
    <row r="1372">
      <c r="F1372" s="8" t="n"/>
      <c r="G1372" s="8">
        <f>IF(E1372="","",E1372*F1372)</f>
        <v/>
      </c>
      <c r="H1372" s="8">
        <f>IF(G1372="","",G1372-I1372)</f>
        <v/>
      </c>
      <c r="I1372" s="8">
        <f>IF(D1372="","",VLOOKUP(D1372, RECETTES!B:G, 6, FALSE)*E1372)</f>
        <v/>
      </c>
      <c r="J1372" s="8">
        <f>IF(G1372="","",G1372*0.20)</f>
        <v/>
      </c>
      <c r="K1372" s="8">
        <f>IF(G1372="","",G1372+J1372)</f>
        <v/>
      </c>
    </row>
    <row r="1373">
      <c r="F1373" s="8" t="n"/>
      <c r="G1373" s="8">
        <f>IF(E1373="","",E1373*F1373)</f>
        <v/>
      </c>
      <c r="H1373" s="8">
        <f>IF(G1373="","",G1373-I1373)</f>
        <v/>
      </c>
      <c r="I1373" s="8">
        <f>IF(D1373="","",VLOOKUP(D1373, RECETTES!B:G, 6, FALSE)*E1373)</f>
        <v/>
      </c>
      <c r="J1373" s="8">
        <f>IF(G1373="","",G1373*0.20)</f>
        <v/>
      </c>
      <c r="K1373" s="8">
        <f>IF(G1373="","",G1373+J1373)</f>
        <v/>
      </c>
    </row>
    <row r="1374">
      <c r="F1374" s="8" t="n"/>
      <c r="G1374" s="8">
        <f>IF(E1374="","",E1374*F1374)</f>
        <v/>
      </c>
      <c r="H1374" s="8">
        <f>IF(G1374="","",G1374-I1374)</f>
        <v/>
      </c>
      <c r="I1374" s="8">
        <f>IF(D1374="","",VLOOKUP(D1374, RECETTES!B:G, 6, FALSE)*E1374)</f>
        <v/>
      </c>
      <c r="J1374" s="8">
        <f>IF(G1374="","",G1374*0.20)</f>
        <v/>
      </c>
      <c r="K1374" s="8">
        <f>IF(G1374="","",G1374+J1374)</f>
        <v/>
      </c>
    </row>
    <row r="1375">
      <c r="F1375" s="8" t="n"/>
      <c r="G1375" s="8">
        <f>IF(E1375="","",E1375*F1375)</f>
        <v/>
      </c>
      <c r="H1375" s="8">
        <f>IF(G1375="","",G1375-I1375)</f>
        <v/>
      </c>
      <c r="I1375" s="8">
        <f>IF(D1375="","",VLOOKUP(D1375, RECETTES!B:G, 6, FALSE)*E1375)</f>
        <v/>
      </c>
      <c r="J1375" s="8">
        <f>IF(G1375="","",G1375*0.20)</f>
        <v/>
      </c>
      <c r="K1375" s="8">
        <f>IF(G1375="","",G1375+J1375)</f>
        <v/>
      </c>
    </row>
    <row r="1376">
      <c r="F1376" s="8" t="n"/>
      <c r="G1376" s="8">
        <f>IF(E1376="","",E1376*F1376)</f>
        <v/>
      </c>
      <c r="H1376" s="8">
        <f>IF(G1376="","",G1376-I1376)</f>
        <v/>
      </c>
      <c r="I1376" s="8">
        <f>IF(D1376="","",VLOOKUP(D1376, RECETTES!B:G, 6, FALSE)*E1376)</f>
        <v/>
      </c>
      <c r="J1376" s="8">
        <f>IF(G1376="","",G1376*0.20)</f>
        <v/>
      </c>
      <c r="K1376" s="8">
        <f>IF(G1376="","",G1376+J1376)</f>
        <v/>
      </c>
    </row>
    <row r="1377">
      <c r="F1377" s="8" t="n"/>
      <c r="G1377" s="8">
        <f>IF(E1377="","",E1377*F1377)</f>
        <v/>
      </c>
      <c r="H1377" s="8">
        <f>IF(G1377="","",G1377-I1377)</f>
        <v/>
      </c>
      <c r="I1377" s="8">
        <f>IF(D1377="","",VLOOKUP(D1377, RECETTES!B:G, 6, FALSE)*E1377)</f>
        <v/>
      </c>
      <c r="J1377" s="8">
        <f>IF(G1377="","",G1377*0.20)</f>
        <v/>
      </c>
      <c r="K1377" s="8">
        <f>IF(G1377="","",G1377+J1377)</f>
        <v/>
      </c>
    </row>
    <row r="1378">
      <c r="F1378" s="8" t="n"/>
      <c r="G1378" s="8">
        <f>IF(E1378="","",E1378*F1378)</f>
        <v/>
      </c>
      <c r="H1378" s="8">
        <f>IF(G1378="","",G1378-I1378)</f>
        <v/>
      </c>
      <c r="I1378" s="8">
        <f>IF(D1378="","",VLOOKUP(D1378, RECETTES!B:G, 6, FALSE)*E1378)</f>
        <v/>
      </c>
      <c r="J1378" s="8">
        <f>IF(G1378="","",G1378*0.20)</f>
        <v/>
      </c>
      <c r="K1378" s="8">
        <f>IF(G1378="","",G1378+J1378)</f>
        <v/>
      </c>
    </row>
    <row r="1379">
      <c r="F1379" s="8" t="n"/>
      <c r="G1379" s="8">
        <f>IF(E1379="","",E1379*F1379)</f>
        <v/>
      </c>
      <c r="H1379" s="8">
        <f>IF(G1379="","",G1379-I1379)</f>
        <v/>
      </c>
      <c r="I1379" s="8">
        <f>IF(D1379="","",VLOOKUP(D1379, RECETTES!B:G, 6, FALSE)*E1379)</f>
        <v/>
      </c>
      <c r="J1379" s="8">
        <f>IF(G1379="","",G1379*0.20)</f>
        <v/>
      </c>
      <c r="K1379" s="8">
        <f>IF(G1379="","",G1379+J1379)</f>
        <v/>
      </c>
    </row>
    <row r="1380">
      <c r="F1380" s="8" t="n"/>
      <c r="G1380" s="8">
        <f>IF(E1380="","",E1380*F1380)</f>
        <v/>
      </c>
      <c r="H1380" s="8">
        <f>IF(G1380="","",G1380-I1380)</f>
        <v/>
      </c>
      <c r="I1380" s="8">
        <f>IF(D1380="","",VLOOKUP(D1380, RECETTES!B:G, 6, FALSE)*E1380)</f>
        <v/>
      </c>
      <c r="J1380" s="8">
        <f>IF(G1380="","",G1380*0.20)</f>
        <v/>
      </c>
      <c r="K1380" s="8">
        <f>IF(G1380="","",G1380+J1380)</f>
        <v/>
      </c>
    </row>
    <row r="1381">
      <c r="F1381" s="8" t="n"/>
      <c r="G1381" s="8">
        <f>IF(E1381="","",E1381*F1381)</f>
        <v/>
      </c>
      <c r="H1381" s="8">
        <f>IF(G1381="","",G1381-I1381)</f>
        <v/>
      </c>
      <c r="I1381" s="8">
        <f>IF(D1381="","",VLOOKUP(D1381, RECETTES!B:G, 6, FALSE)*E1381)</f>
        <v/>
      </c>
      <c r="J1381" s="8">
        <f>IF(G1381="","",G1381*0.20)</f>
        <v/>
      </c>
      <c r="K1381" s="8">
        <f>IF(G1381="","",G1381+J1381)</f>
        <v/>
      </c>
    </row>
    <row r="1382">
      <c r="F1382" s="8" t="n"/>
      <c r="G1382" s="8">
        <f>IF(E1382="","",E1382*F1382)</f>
        <v/>
      </c>
      <c r="H1382" s="8">
        <f>IF(G1382="","",G1382-I1382)</f>
        <v/>
      </c>
      <c r="I1382" s="8">
        <f>IF(D1382="","",VLOOKUP(D1382, RECETTES!B:G, 6, FALSE)*E1382)</f>
        <v/>
      </c>
      <c r="J1382" s="8">
        <f>IF(G1382="","",G1382*0.20)</f>
        <v/>
      </c>
      <c r="K1382" s="8">
        <f>IF(G1382="","",G1382+J1382)</f>
        <v/>
      </c>
    </row>
    <row r="1383">
      <c r="F1383" s="8" t="n"/>
      <c r="G1383" s="8">
        <f>IF(E1383="","",E1383*F1383)</f>
        <v/>
      </c>
      <c r="H1383" s="8">
        <f>IF(G1383="","",G1383-I1383)</f>
        <v/>
      </c>
      <c r="I1383" s="8">
        <f>IF(D1383="","",VLOOKUP(D1383, RECETTES!B:G, 6, FALSE)*E1383)</f>
        <v/>
      </c>
      <c r="J1383" s="8">
        <f>IF(G1383="","",G1383*0.20)</f>
        <v/>
      </c>
      <c r="K1383" s="8">
        <f>IF(G1383="","",G1383+J1383)</f>
        <v/>
      </c>
    </row>
    <row r="1384">
      <c r="F1384" s="8" t="n"/>
      <c r="G1384" s="8">
        <f>IF(E1384="","",E1384*F1384)</f>
        <v/>
      </c>
      <c r="H1384" s="8">
        <f>IF(G1384="","",G1384-I1384)</f>
        <v/>
      </c>
      <c r="I1384" s="8">
        <f>IF(D1384="","",VLOOKUP(D1384, RECETTES!B:G, 6, FALSE)*E1384)</f>
        <v/>
      </c>
      <c r="J1384" s="8">
        <f>IF(G1384="","",G1384*0.20)</f>
        <v/>
      </c>
      <c r="K1384" s="8">
        <f>IF(G1384="","",G1384+J1384)</f>
        <v/>
      </c>
    </row>
    <row r="1385">
      <c r="F1385" s="8" t="n"/>
      <c r="G1385" s="8">
        <f>IF(E1385="","",E1385*F1385)</f>
        <v/>
      </c>
      <c r="H1385" s="8">
        <f>IF(G1385="","",G1385-I1385)</f>
        <v/>
      </c>
      <c r="I1385" s="8">
        <f>IF(D1385="","",VLOOKUP(D1385, RECETTES!B:G, 6, FALSE)*E1385)</f>
        <v/>
      </c>
      <c r="J1385" s="8">
        <f>IF(G1385="","",G1385*0.20)</f>
        <v/>
      </c>
      <c r="K1385" s="8">
        <f>IF(G1385="","",G1385+J1385)</f>
        <v/>
      </c>
    </row>
    <row r="1386">
      <c r="F1386" s="8" t="n"/>
      <c r="G1386" s="8">
        <f>IF(E1386="","",E1386*F1386)</f>
        <v/>
      </c>
      <c r="H1386" s="8">
        <f>IF(G1386="","",G1386-I1386)</f>
        <v/>
      </c>
      <c r="I1386" s="8">
        <f>IF(D1386="","",VLOOKUP(D1386, RECETTES!B:G, 6, FALSE)*E1386)</f>
        <v/>
      </c>
      <c r="J1386" s="8">
        <f>IF(G1386="","",G1386*0.20)</f>
        <v/>
      </c>
      <c r="K1386" s="8">
        <f>IF(G1386="","",G1386+J1386)</f>
        <v/>
      </c>
    </row>
    <row r="1387">
      <c r="F1387" s="8" t="n"/>
      <c r="G1387" s="8">
        <f>IF(E1387="","",E1387*F1387)</f>
        <v/>
      </c>
      <c r="H1387" s="8">
        <f>IF(G1387="","",G1387-I1387)</f>
        <v/>
      </c>
      <c r="I1387" s="8">
        <f>IF(D1387="","",VLOOKUP(D1387, RECETTES!B:G, 6, FALSE)*E1387)</f>
        <v/>
      </c>
      <c r="J1387" s="8">
        <f>IF(G1387="","",G1387*0.20)</f>
        <v/>
      </c>
      <c r="K1387" s="8">
        <f>IF(G1387="","",G1387+J1387)</f>
        <v/>
      </c>
    </row>
    <row r="1388">
      <c r="F1388" s="8" t="n"/>
      <c r="G1388" s="8">
        <f>IF(E1388="","",E1388*F1388)</f>
        <v/>
      </c>
      <c r="H1388" s="8">
        <f>IF(G1388="","",G1388-I1388)</f>
        <v/>
      </c>
      <c r="I1388" s="8">
        <f>IF(D1388="","",VLOOKUP(D1388, RECETTES!B:G, 6, FALSE)*E1388)</f>
        <v/>
      </c>
      <c r="J1388" s="8">
        <f>IF(G1388="","",G1388*0.20)</f>
        <v/>
      </c>
      <c r="K1388" s="8">
        <f>IF(G1388="","",G1388+J1388)</f>
        <v/>
      </c>
    </row>
    <row r="1389">
      <c r="F1389" s="8" t="n"/>
      <c r="G1389" s="8">
        <f>IF(E1389="","",E1389*F1389)</f>
        <v/>
      </c>
      <c r="H1389" s="8">
        <f>IF(G1389="","",G1389-I1389)</f>
        <v/>
      </c>
      <c r="I1389" s="8">
        <f>IF(D1389="","",VLOOKUP(D1389, RECETTES!B:G, 6, FALSE)*E1389)</f>
        <v/>
      </c>
      <c r="J1389" s="8">
        <f>IF(G1389="","",G1389*0.20)</f>
        <v/>
      </c>
      <c r="K1389" s="8">
        <f>IF(G1389="","",G1389+J1389)</f>
        <v/>
      </c>
    </row>
    <row r="1390">
      <c r="F1390" s="8" t="n"/>
      <c r="G1390" s="8">
        <f>IF(E1390="","",E1390*F1390)</f>
        <v/>
      </c>
      <c r="H1390" s="8">
        <f>IF(G1390="","",G1390-I1390)</f>
        <v/>
      </c>
      <c r="I1390" s="8">
        <f>IF(D1390="","",VLOOKUP(D1390, RECETTES!B:G, 6, FALSE)*E1390)</f>
        <v/>
      </c>
      <c r="J1390" s="8">
        <f>IF(G1390="","",G1390*0.20)</f>
        <v/>
      </c>
      <c r="K1390" s="8">
        <f>IF(G1390="","",G1390+J1390)</f>
        <v/>
      </c>
    </row>
    <row r="1391">
      <c r="F1391" s="8" t="n"/>
      <c r="G1391" s="8">
        <f>IF(E1391="","",E1391*F1391)</f>
        <v/>
      </c>
      <c r="H1391" s="8">
        <f>IF(G1391="","",G1391-I1391)</f>
        <v/>
      </c>
      <c r="I1391" s="8">
        <f>IF(D1391="","",VLOOKUP(D1391, RECETTES!B:G, 6, FALSE)*E1391)</f>
        <v/>
      </c>
      <c r="J1391" s="8">
        <f>IF(G1391="","",G1391*0.20)</f>
        <v/>
      </c>
      <c r="K1391" s="8">
        <f>IF(G1391="","",G1391+J1391)</f>
        <v/>
      </c>
    </row>
    <row r="1392">
      <c r="F1392" s="8" t="n"/>
      <c r="G1392" s="8">
        <f>IF(E1392="","",E1392*F1392)</f>
        <v/>
      </c>
      <c r="H1392" s="8">
        <f>IF(G1392="","",G1392-I1392)</f>
        <v/>
      </c>
      <c r="I1392" s="8">
        <f>IF(D1392="","",VLOOKUP(D1392, RECETTES!B:G, 6, FALSE)*E1392)</f>
        <v/>
      </c>
      <c r="J1392" s="8">
        <f>IF(G1392="","",G1392*0.20)</f>
        <v/>
      </c>
      <c r="K1392" s="8">
        <f>IF(G1392="","",G1392+J1392)</f>
        <v/>
      </c>
    </row>
    <row r="1393">
      <c r="F1393" s="8" t="n"/>
      <c r="G1393" s="8">
        <f>IF(E1393="","",E1393*F1393)</f>
        <v/>
      </c>
      <c r="H1393" s="8">
        <f>IF(G1393="","",G1393-I1393)</f>
        <v/>
      </c>
      <c r="I1393" s="8">
        <f>IF(D1393="","",VLOOKUP(D1393, RECETTES!B:G, 6, FALSE)*E1393)</f>
        <v/>
      </c>
      <c r="J1393" s="8">
        <f>IF(G1393="","",G1393*0.20)</f>
        <v/>
      </c>
      <c r="K1393" s="8">
        <f>IF(G1393="","",G1393+J1393)</f>
        <v/>
      </c>
    </row>
    <row r="1394">
      <c r="F1394" s="8" t="n"/>
      <c r="G1394" s="8">
        <f>IF(E1394="","",E1394*F1394)</f>
        <v/>
      </c>
      <c r="H1394" s="8">
        <f>IF(G1394="","",G1394-I1394)</f>
        <v/>
      </c>
      <c r="I1394" s="8">
        <f>IF(D1394="","",VLOOKUP(D1394, RECETTES!B:G, 6, FALSE)*E1394)</f>
        <v/>
      </c>
      <c r="J1394" s="8">
        <f>IF(G1394="","",G1394*0.20)</f>
        <v/>
      </c>
      <c r="K1394" s="8">
        <f>IF(G1394="","",G1394+J1394)</f>
        <v/>
      </c>
    </row>
    <row r="1395">
      <c r="F1395" s="8" t="n"/>
      <c r="G1395" s="8">
        <f>IF(E1395="","",E1395*F1395)</f>
        <v/>
      </c>
      <c r="H1395" s="8">
        <f>IF(G1395="","",G1395-I1395)</f>
        <v/>
      </c>
      <c r="I1395" s="8">
        <f>IF(D1395="","",VLOOKUP(D1395, RECETTES!B:G, 6, FALSE)*E1395)</f>
        <v/>
      </c>
      <c r="J1395" s="8">
        <f>IF(G1395="","",G1395*0.20)</f>
        <v/>
      </c>
      <c r="K1395" s="8">
        <f>IF(G1395="","",G1395+J1395)</f>
        <v/>
      </c>
    </row>
    <row r="1396">
      <c r="F1396" s="8" t="n"/>
      <c r="G1396" s="8">
        <f>IF(E1396="","",E1396*F1396)</f>
        <v/>
      </c>
      <c r="H1396" s="8">
        <f>IF(G1396="","",G1396-I1396)</f>
        <v/>
      </c>
      <c r="I1396" s="8">
        <f>IF(D1396="","",VLOOKUP(D1396, RECETTES!B:G, 6, FALSE)*E1396)</f>
        <v/>
      </c>
      <c r="J1396" s="8">
        <f>IF(G1396="","",G1396*0.20)</f>
        <v/>
      </c>
      <c r="K1396" s="8">
        <f>IF(G1396="","",G1396+J1396)</f>
        <v/>
      </c>
    </row>
    <row r="1397">
      <c r="F1397" s="8" t="n"/>
      <c r="G1397" s="8">
        <f>IF(E1397="","",E1397*F1397)</f>
        <v/>
      </c>
      <c r="H1397" s="8">
        <f>IF(G1397="","",G1397-I1397)</f>
        <v/>
      </c>
      <c r="I1397" s="8">
        <f>IF(D1397="","",VLOOKUP(D1397, RECETTES!B:G, 6, FALSE)*E1397)</f>
        <v/>
      </c>
      <c r="J1397" s="8">
        <f>IF(G1397="","",G1397*0.20)</f>
        <v/>
      </c>
      <c r="K1397" s="8">
        <f>IF(G1397="","",G1397+J1397)</f>
        <v/>
      </c>
    </row>
    <row r="1398">
      <c r="F1398" s="8" t="n"/>
      <c r="G1398" s="8">
        <f>IF(E1398="","",E1398*F1398)</f>
        <v/>
      </c>
      <c r="H1398" s="8">
        <f>IF(G1398="","",G1398-I1398)</f>
        <v/>
      </c>
      <c r="I1398" s="8">
        <f>IF(D1398="","",VLOOKUP(D1398, RECETTES!B:G, 6, FALSE)*E1398)</f>
        <v/>
      </c>
      <c r="J1398" s="8">
        <f>IF(G1398="","",G1398*0.20)</f>
        <v/>
      </c>
      <c r="K1398" s="8">
        <f>IF(G1398="","",G1398+J1398)</f>
        <v/>
      </c>
    </row>
    <row r="1399">
      <c r="F1399" s="8" t="n"/>
      <c r="G1399" s="8">
        <f>IF(E1399="","",E1399*F1399)</f>
        <v/>
      </c>
      <c r="H1399" s="8">
        <f>IF(G1399="","",G1399-I1399)</f>
        <v/>
      </c>
      <c r="I1399" s="8">
        <f>IF(D1399="","",VLOOKUP(D1399, RECETTES!B:G, 6, FALSE)*E1399)</f>
        <v/>
      </c>
      <c r="J1399" s="8">
        <f>IF(G1399="","",G1399*0.20)</f>
        <v/>
      </c>
      <c r="K1399" s="8">
        <f>IF(G1399="","",G1399+J1399)</f>
        <v/>
      </c>
    </row>
    <row r="1400">
      <c r="F1400" s="8" t="n"/>
      <c r="G1400" s="8">
        <f>IF(E1400="","",E1400*F1400)</f>
        <v/>
      </c>
      <c r="H1400" s="8">
        <f>IF(G1400="","",G1400-I1400)</f>
        <v/>
      </c>
      <c r="I1400" s="8">
        <f>IF(D1400="","",VLOOKUP(D1400, RECETTES!B:G, 6, FALSE)*E1400)</f>
        <v/>
      </c>
      <c r="J1400" s="8">
        <f>IF(G1400="","",G1400*0.20)</f>
        <v/>
      </c>
      <c r="K1400" s="8">
        <f>IF(G1400="","",G1400+J1400)</f>
        <v/>
      </c>
    </row>
    <row r="1401">
      <c r="F1401" s="8" t="n"/>
      <c r="G1401" s="8">
        <f>IF(E1401="","",E1401*F1401)</f>
        <v/>
      </c>
      <c r="H1401" s="8">
        <f>IF(G1401="","",G1401-I1401)</f>
        <v/>
      </c>
      <c r="I1401" s="8">
        <f>IF(D1401="","",VLOOKUP(D1401, RECETTES!B:G, 6, FALSE)*E1401)</f>
        <v/>
      </c>
      <c r="J1401" s="8">
        <f>IF(G1401="","",G1401*0.20)</f>
        <v/>
      </c>
      <c r="K1401" s="8">
        <f>IF(G1401="","",G1401+J1401)</f>
        <v/>
      </c>
    </row>
    <row r="1402">
      <c r="F1402" s="8" t="n"/>
      <c r="G1402" s="8">
        <f>IF(E1402="","",E1402*F1402)</f>
        <v/>
      </c>
      <c r="H1402" s="8">
        <f>IF(G1402="","",G1402-I1402)</f>
        <v/>
      </c>
      <c r="I1402" s="8">
        <f>IF(D1402="","",VLOOKUP(D1402, RECETTES!B:G, 6, FALSE)*E1402)</f>
        <v/>
      </c>
      <c r="J1402" s="8">
        <f>IF(G1402="","",G1402*0.20)</f>
        <v/>
      </c>
      <c r="K1402" s="8">
        <f>IF(G1402="","",G1402+J1402)</f>
        <v/>
      </c>
    </row>
    <row r="1403">
      <c r="F1403" s="8" t="n"/>
      <c r="G1403" s="8">
        <f>IF(E1403="","",E1403*F1403)</f>
        <v/>
      </c>
      <c r="H1403" s="8">
        <f>IF(G1403="","",G1403-I1403)</f>
        <v/>
      </c>
      <c r="I1403" s="8">
        <f>IF(D1403="","",VLOOKUP(D1403, RECETTES!B:G, 6, FALSE)*E1403)</f>
        <v/>
      </c>
      <c r="J1403" s="8">
        <f>IF(G1403="","",G1403*0.20)</f>
        <v/>
      </c>
      <c r="K1403" s="8">
        <f>IF(G1403="","",G1403+J1403)</f>
        <v/>
      </c>
    </row>
    <row r="1404">
      <c r="F1404" s="8" t="n"/>
      <c r="G1404" s="8">
        <f>IF(E1404="","",E1404*F1404)</f>
        <v/>
      </c>
      <c r="H1404" s="8">
        <f>IF(G1404="","",G1404-I1404)</f>
        <v/>
      </c>
      <c r="I1404" s="8">
        <f>IF(D1404="","",VLOOKUP(D1404, RECETTES!B:G, 6, FALSE)*E1404)</f>
        <v/>
      </c>
      <c r="J1404" s="8">
        <f>IF(G1404="","",G1404*0.20)</f>
        <v/>
      </c>
      <c r="K1404" s="8">
        <f>IF(G1404="","",G1404+J1404)</f>
        <v/>
      </c>
    </row>
    <row r="1405">
      <c r="F1405" s="8" t="n"/>
      <c r="G1405" s="8">
        <f>IF(E1405="","",E1405*F1405)</f>
        <v/>
      </c>
      <c r="H1405" s="8">
        <f>IF(G1405="","",G1405-I1405)</f>
        <v/>
      </c>
      <c r="I1405" s="8">
        <f>IF(D1405="","",VLOOKUP(D1405, RECETTES!B:G, 6, FALSE)*E1405)</f>
        <v/>
      </c>
      <c r="J1405" s="8">
        <f>IF(G1405="","",G1405*0.20)</f>
        <v/>
      </c>
      <c r="K1405" s="8">
        <f>IF(G1405="","",G1405+J1405)</f>
        <v/>
      </c>
    </row>
    <row r="1406">
      <c r="F1406" s="8" t="n"/>
      <c r="G1406" s="8">
        <f>IF(E1406="","",E1406*F1406)</f>
        <v/>
      </c>
      <c r="H1406" s="8">
        <f>IF(G1406="","",G1406-I1406)</f>
        <v/>
      </c>
      <c r="I1406" s="8">
        <f>IF(D1406="","",VLOOKUP(D1406, RECETTES!B:G, 6, FALSE)*E1406)</f>
        <v/>
      </c>
      <c r="J1406" s="8">
        <f>IF(G1406="","",G1406*0.20)</f>
        <v/>
      </c>
      <c r="K1406" s="8">
        <f>IF(G1406="","",G1406+J1406)</f>
        <v/>
      </c>
    </row>
    <row r="1407">
      <c r="F1407" s="8" t="n"/>
      <c r="G1407" s="8">
        <f>IF(E1407="","",E1407*F1407)</f>
        <v/>
      </c>
      <c r="H1407" s="8">
        <f>IF(G1407="","",G1407-I1407)</f>
        <v/>
      </c>
      <c r="I1407" s="8">
        <f>IF(D1407="","",VLOOKUP(D1407, RECETTES!B:G, 6, FALSE)*E1407)</f>
        <v/>
      </c>
      <c r="J1407" s="8">
        <f>IF(G1407="","",G1407*0.20)</f>
        <v/>
      </c>
      <c r="K1407" s="8">
        <f>IF(G1407="","",G1407+J1407)</f>
        <v/>
      </c>
    </row>
    <row r="1408">
      <c r="F1408" s="8" t="n"/>
      <c r="G1408" s="8">
        <f>IF(E1408="","",E1408*F1408)</f>
        <v/>
      </c>
      <c r="H1408" s="8">
        <f>IF(G1408="","",G1408-I1408)</f>
        <v/>
      </c>
      <c r="I1408" s="8">
        <f>IF(D1408="","",VLOOKUP(D1408, RECETTES!B:G, 6, FALSE)*E1408)</f>
        <v/>
      </c>
      <c r="J1408" s="8">
        <f>IF(G1408="","",G1408*0.20)</f>
        <v/>
      </c>
      <c r="K1408" s="8">
        <f>IF(G1408="","",G1408+J1408)</f>
        <v/>
      </c>
    </row>
    <row r="1409">
      <c r="F1409" s="8" t="n"/>
      <c r="G1409" s="8">
        <f>IF(E1409="","",E1409*F1409)</f>
        <v/>
      </c>
      <c r="H1409" s="8">
        <f>IF(G1409="","",G1409-I1409)</f>
        <v/>
      </c>
      <c r="I1409" s="8">
        <f>IF(D1409="","",VLOOKUP(D1409, RECETTES!B:G, 6, FALSE)*E1409)</f>
        <v/>
      </c>
      <c r="J1409" s="8">
        <f>IF(G1409="","",G1409*0.20)</f>
        <v/>
      </c>
      <c r="K1409" s="8">
        <f>IF(G1409="","",G1409+J1409)</f>
        <v/>
      </c>
    </row>
    <row r="1410">
      <c r="F1410" s="8" t="n"/>
      <c r="G1410" s="8">
        <f>IF(E1410="","",E1410*F1410)</f>
        <v/>
      </c>
      <c r="H1410" s="8">
        <f>IF(G1410="","",G1410-I1410)</f>
        <v/>
      </c>
      <c r="I1410" s="8">
        <f>IF(D1410="","",VLOOKUP(D1410, RECETTES!B:G, 6, FALSE)*E1410)</f>
        <v/>
      </c>
      <c r="J1410" s="8">
        <f>IF(G1410="","",G1410*0.20)</f>
        <v/>
      </c>
      <c r="K1410" s="8">
        <f>IF(G1410="","",G1410+J1410)</f>
        <v/>
      </c>
    </row>
    <row r="1411">
      <c r="F1411" s="8" t="n"/>
      <c r="G1411" s="8">
        <f>IF(E1411="","",E1411*F1411)</f>
        <v/>
      </c>
      <c r="H1411" s="8">
        <f>IF(G1411="","",G1411-I1411)</f>
        <v/>
      </c>
      <c r="I1411" s="8">
        <f>IF(D1411="","",VLOOKUP(D1411, RECETTES!B:G, 6, FALSE)*E1411)</f>
        <v/>
      </c>
      <c r="J1411" s="8">
        <f>IF(G1411="","",G1411*0.20)</f>
        <v/>
      </c>
      <c r="K1411" s="8">
        <f>IF(G1411="","",G1411+J1411)</f>
        <v/>
      </c>
    </row>
    <row r="1412">
      <c r="F1412" s="8" t="n"/>
      <c r="G1412" s="8">
        <f>IF(E1412="","",E1412*F1412)</f>
        <v/>
      </c>
      <c r="H1412" s="8">
        <f>IF(G1412="","",G1412-I1412)</f>
        <v/>
      </c>
      <c r="I1412" s="8">
        <f>IF(D1412="","",VLOOKUP(D1412, RECETTES!B:G, 6, FALSE)*E1412)</f>
        <v/>
      </c>
      <c r="J1412" s="8">
        <f>IF(G1412="","",G1412*0.20)</f>
        <v/>
      </c>
      <c r="K1412" s="8">
        <f>IF(G1412="","",G1412+J1412)</f>
        <v/>
      </c>
    </row>
    <row r="1413">
      <c r="F1413" s="8" t="n"/>
      <c r="G1413" s="8">
        <f>IF(E1413="","",E1413*F1413)</f>
        <v/>
      </c>
      <c r="H1413" s="8">
        <f>IF(G1413="","",G1413-I1413)</f>
        <v/>
      </c>
      <c r="I1413" s="8">
        <f>IF(D1413="","",VLOOKUP(D1413, RECETTES!B:G, 6, FALSE)*E1413)</f>
        <v/>
      </c>
      <c r="J1413" s="8">
        <f>IF(G1413="","",G1413*0.20)</f>
        <v/>
      </c>
      <c r="K1413" s="8">
        <f>IF(G1413="","",G1413+J1413)</f>
        <v/>
      </c>
    </row>
    <row r="1414">
      <c r="F1414" s="8" t="n"/>
      <c r="G1414" s="8">
        <f>IF(E1414="","",E1414*F1414)</f>
        <v/>
      </c>
      <c r="H1414" s="8">
        <f>IF(G1414="","",G1414-I1414)</f>
        <v/>
      </c>
      <c r="I1414" s="8">
        <f>IF(D1414="","",VLOOKUP(D1414, RECETTES!B:G, 6, FALSE)*E1414)</f>
        <v/>
      </c>
      <c r="J1414" s="8">
        <f>IF(G1414="","",G1414*0.20)</f>
        <v/>
      </c>
      <c r="K1414" s="8">
        <f>IF(G1414="","",G1414+J1414)</f>
        <v/>
      </c>
    </row>
    <row r="1415">
      <c r="F1415" s="8" t="n"/>
      <c r="G1415" s="8">
        <f>IF(E1415="","",E1415*F1415)</f>
        <v/>
      </c>
      <c r="H1415" s="8">
        <f>IF(G1415="","",G1415-I1415)</f>
        <v/>
      </c>
      <c r="I1415" s="8">
        <f>IF(D1415="","",VLOOKUP(D1415, RECETTES!B:G, 6, FALSE)*E1415)</f>
        <v/>
      </c>
      <c r="J1415" s="8">
        <f>IF(G1415="","",G1415*0.20)</f>
        <v/>
      </c>
      <c r="K1415" s="8">
        <f>IF(G1415="","",G1415+J1415)</f>
        <v/>
      </c>
    </row>
    <row r="1416">
      <c r="F1416" s="8" t="n"/>
      <c r="G1416" s="8">
        <f>IF(E1416="","",E1416*F1416)</f>
        <v/>
      </c>
      <c r="H1416" s="8">
        <f>IF(G1416="","",G1416-I1416)</f>
        <v/>
      </c>
      <c r="I1416" s="8">
        <f>IF(D1416="","",VLOOKUP(D1416, RECETTES!B:G, 6, FALSE)*E1416)</f>
        <v/>
      </c>
      <c r="J1416" s="8">
        <f>IF(G1416="","",G1416*0.20)</f>
        <v/>
      </c>
      <c r="K1416" s="8">
        <f>IF(G1416="","",G1416+J1416)</f>
        <v/>
      </c>
    </row>
    <row r="1417">
      <c r="F1417" s="8" t="n"/>
      <c r="G1417" s="8">
        <f>IF(E1417="","",E1417*F1417)</f>
        <v/>
      </c>
      <c r="H1417" s="8">
        <f>IF(G1417="","",G1417-I1417)</f>
        <v/>
      </c>
      <c r="I1417" s="8">
        <f>IF(D1417="","",VLOOKUP(D1417, RECETTES!B:G, 6, FALSE)*E1417)</f>
        <v/>
      </c>
      <c r="J1417" s="8">
        <f>IF(G1417="","",G1417*0.20)</f>
        <v/>
      </c>
      <c r="K1417" s="8">
        <f>IF(G1417="","",G1417+J1417)</f>
        <v/>
      </c>
    </row>
    <row r="1418">
      <c r="F1418" s="8" t="n"/>
      <c r="G1418" s="8">
        <f>IF(E1418="","",E1418*F1418)</f>
        <v/>
      </c>
      <c r="H1418" s="8">
        <f>IF(G1418="","",G1418-I1418)</f>
        <v/>
      </c>
      <c r="I1418" s="8">
        <f>IF(D1418="","",VLOOKUP(D1418, RECETTES!B:G, 6, FALSE)*E1418)</f>
        <v/>
      </c>
      <c r="J1418" s="8">
        <f>IF(G1418="","",G1418*0.20)</f>
        <v/>
      </c>
      <c r="K1418" s="8">
        <f>IF(G1418="","",G1418+J1418)</f>
        <v/>
      </c>
    </row>
    <row r="1419">
      <c r="F1419" s="8" t="n"/>
      <c r="G1419" s="8">
        <f>IF(E1419="","",E1419*F1419)</f>
        <v/>
      </c>
      <c r="H1419" s="8">
        <f>IF(G1419="","",G1419-I1419)</f>
        <v/>
      </c>
      <c r="I1419" s="8">
        <f>IF(D1419="","",VLOOKUP(D1419, RECETTES!B:G, 6, FALSE)*E1419)</f>
        <v/>
      </c>
      <c r="J1419" s="8">
        <f>IF(G1419="","",G1419*0.20)</f>
        <v/>
      </c>
      <c r="K1419" s="8">
        <f>IF(G1419="","",G1419+J1419)</f>
        <v/>
      </c>
    </row>
    <row r="1420">
      <c r="F1420" s="8" t="n"/>
      <c r="G1420" s="8">
        <f>IF(E1420="","",E1420*F1420)</f>
        <v/>
      </c>
      <c r="H1420" s="8">
        <f>IF(G1420="","",G1420-I1420)</f>
        <v/>
      </c>
      <c r="I1420" s="8">
        <f>IF(D1420="","",VLOOKUP(D1420, RECETTES!B:G, 6, FALSE)*E1420)</f>
        <v/>
      </c>
      <c r="J1420" s="8">
        <f>IF(G1420="","",G1420*0.20)</f>
        <v/>
      </c>
      <c r="K1420" s="8">
        <f>IF(G1420="","",G1420+J1420)</f>
        <v/>
      </c>
    </row>
    <row r="1421">
      <c r="F1421" s="8" t="n"/>
      <c r="G1421" s="8">
        <f>IF(E1421="","",E1421*F1421)</f>
        <v/>
      </c>
      <c r="H1421" s="8">
        <f>IF(G1421="","",G1421-I1421)</f>
        <v/>
      </c>
      <c r="I1421" s="8">
        <f>IF(D1421="","",VLOOKUP(D1421, RECETTES!B:G, 6, FALSE)*E1421)</f>
        <v/>
      </c>
      <c r="J1421" s="8">
        <f>IF(G1421="","",G1421*0.20)</f>
        <v/>
      </c>
      <c r="K1421" s="8">
        <f>IF(G1421="","",G1421+J1421)</f>
        <v/>
      </c>
    </row>
    <row r="1422">
      <c r="F1422" s="8" t="n"/>
      <c r="G1422" s="8">
        <f>IF(E1422="","",E1422*F1422)</f>
        <v/>
      </c>
      <c r="H1422" s="8">
        <f>IF(G1422="","",G1422-I1422)</f>
        <v/>
      </c>
      <c r="I1422" s="8">
        <f>IF(D1422="","",VLOOKUP(D1422, RECETTES!B:G, 6, FALSE)*E1422)</f>
        <v/>
      </c>
      <c r="J1422" s="8">
        <f>IF(G1422="","",G1422*0.20)</f>
        <v/>
      </c>
      <c r="K1422" s="8">
        <f>IF(G1422="","",G1422+J1422)</f>
        <v/>
      </c>
    </row>
    <row r="1423">
      <c r="F1423" s="8" t="n"/>
      <c r="G1423" s="8">
        <f>IF(E1423="","",E1423*F1423)</f>
        <v/>
      </c>
      <c r="H1423" s="8">
        <f>IF(G1423="","",G1423-I1423)</f>
        <v/>
      </c>
      <c r="I1423" s="8">
        <f>IF(D1423="","",VLOOKUP(D1423, RECETTES!B:G, 6, FALSE)*E1423)</f>
        <v/>
      </c>
      <c r="J1423" s="8">
        <f>IF(G1423="","",G1423*0.20)</f>
        <v/>
      </c>
      <c r="K1423" s="8">
        <f>IF(G1423="","",G1423+J1423)</f>
        <v/>
      </c>
    </row>
    <row r="1424">
      <c r="F1424" s="8" t="n"/>
      <c r="G1424" s="8">
        <f>IF(E1424="","",E1424*F1424)</f>
        <v/>
      </c>
      <c r="H1424" s="8">
        <f>IF(G1424="","",G1424-I1424)</f>
        <v/>
      </c>
      <c r="I1424" s="8">
        <f>IF(D1424="","",VLOOKUP(D1424, RECETTES!B:G, 6, FALSE)*E1424)</f>
        <v/>
      </c>
      <c r="J1424" s="8">
        <f>IF(G1424="","",G1424*0.20)</f>
        <v/>
      </c>
      <c r="K1424" s="8">
        <f>IF(G1424="","",G1424+J1424)</f>
        <v/>
      </c>
    </row>
    <row r="1425">
      <c r="F1425" s="8" t="n"/>
      <c r="G1425" s="8">
        <f>IF(E1425="","",E1425*F1425)</f>
        <v/>
      </c>
      <c r="H1425" s="8">
        <f>IF(G1425="","",G1425-I1425)</f>
        <v/>
      </c>
      <c r="I1425" s="8">
        <f>IF(D1425="","",VLOOKUP(D1425, RECETTES!B:G, 6, FALSE)*E1425)</f>
        <v/>
      </c>
      <c r="J1425" s="8">
        <f>IF(G1425="","",G1425*0.20)</f>
        <v/>
      </c>
      <c r="K1425" s="8">
        <f>IF(G1425="","",G1425+J1425)</f>
        <v/>
      </c>
    </row>
    <row r="1426">
      <c r="F1426" s="8" t="n"/>
      <c r="G1426" s="8">
        <f>IF(E1426="","",E1426*F1426)</f>
        <v/>
      </c>
      <c r="H1426" s="8">
        <f>IF(G1426="","",G1426-I1426)</f>
        <v/>
      </c>
      <c r="I1426" s="8">
        <f>IF(D1426="","",VLOOKUP(D1426, RECETTES!B:G, 6, FALSE)*E1426)</f>
        <v/>
      </c>
      <c r="J1426" s="8">
        <f>IF(G1426="","",G1426*0.20)</f>
        <v/>
      </c>
      <c r="K1426" s="8">
        <f>IF(G1426="","",G1426+J1426)</f>
        <v/>
      </c>
    </row>
    <row r="1427">
      <c r="F1427" s="8" t="n"/>
      <c r="G1427" s="8">
        <f>IF(E1427="","",E1427*F1427)</f>
        <v/>
      </c>
      <c r="H1427" s="8">
        <f>IF(G1427="","",G1427-I1427)</f>
        <v/>
      </c>
      <c r="I1427" s="8">
        <f>IF(D1427="","",VLOOKUP(D1427, RECETTES!B:G, 6, FALSE)*E1427)</f>
        <v/>
      </c>
      <c r="J1427" s="8">
        <f>IF(G1427="","",G1427*0.20)</f>
        <v/>
      </c>
      <c r="K1427" s="8">
        <f>IF(G1427="","",G1427+J1427)</f>
        <v/>
      </c>
    </row>
    <row r="1428">
      <c r="F1428" s="8" t="n"/>
      <c r="G1428" s="8">
        <f>IF(E1428="","",E1428*F1428)</f>
        <v/>
      </c>
      <c r="H1428" s="8">
        <f>IF(G1428="","",G1428-I1428)</f>
        <v/>
      </c>
      <c r="I1428" s="8">
        <f>IF(D1428="","",VLOOKUP(D1428, RECETTES!B:G, 6, FALSE)*E1428)</f>
        <v/>
      </c>
      <c r="J1428" s="8">
        <f>IF(G1428="","",G1428*0.20)</f>
        <v/>
      </c>
      <c r="K1428" s="8">
        <f>IF(G1428="","",G1428+J1428)</f>
        <v/>
      </c>
    </row>
    <row r="1429">
      <c r="F1429" s="8" t="n"/>
      <c r="G1429" s="8">
        <f>IF(E1429="","",E1429*F1429)</f>
        <v/>
      </c>
      <c r="H1429" s="8">
        <f>IF(G1429="","",G1429-I1429)</f>
        <v/>
      </c>
      <c r="I1429" s="8">
        <f>IF(D1429="","",VLOOKUP(D1429, RECETTES!B:G, 6, FALSE)*E1429)</f>
        <v/>
      </c>
      <c r="J1429" s="8">
        <f>IF(G1429="","",G1429*0.20)</f>
        <v/>
      </c>
      <c r="K1429" s="8">
        <f>IF(G1429="","",G1429+J1429)</f>
        <v/>
      </c>
    </row>
    <row r="1430">
      <c r="F1430" s="8" t="n"/>
      <c r="G1430" s="8">
        <f>IF(E1430="","",E1430*F1430)</f>
        <v/>
      </c>
      <c r="H1430" s="8">
        <f>IF(G1430="","",G1430-I1430)</f>
        <v/>
      </c>
      <c r="I1430" s="8">
        <f>IF(D1430="","",VLOOKUP(D1430, RECETTES!B:G, 6, FALSE)*E1430)</f>
        <v/>
      </c>
      <c r="J1430" s="8">
        <f>IF(G1430="","",G1430*0.20)</f>
        <v/>
      </c>
      <c r="K1430" s="8">
        <f>IF(G1430="","",G1430+J1430)</f>
        <v/>
      </c>
    </row>
    <row r="1431">
      <c r="F1431" s="8" t="n"/>
      <c r="G1431" s="8">
        <f>IF(E1431="","",E1431*F1431)</f>
        <v/>
      </c>
      <c r="H1431" s="8">
        <f>IF(G1431="","",G1431-I1431)</f>
        <v/>
      </c>
      <c r="I1431" s="8">
        <f>IF(D1431="","",VLOOKUP(D1431, RECETTES!B:G, 6, FALSE)*E1431)</f>
        <v/>
      </c>
      <c r="J1431" s="8">
        <f>IF(G1431="","",G1431*0.20)</f>
        <v/>
      </c>
      <c r="K1431" s="8">
        <f>IF(G1431="","",G1431+J1431)</f>
        <v/>
      </c>
    </row>
    <row r="1432">
      <c r="F1432" s="8" t="n"/>
      <c r="G1432" s="8">
        <f>IF(E1432="","",E1432*F1432)</f>
        <v/>
      </c>
      <c r="H1432" s="8">
        <f>IF(G1432="","",G1432-I1432)</f>
        <v/>
      </c>
      <c r="I1432" s="8">
        <f>IF(D1432="","",VLOOKUP(D1432, RECETTES!B:G, 6, FALSE)*E1432)</f>
        <v/>
      </c>
      <c r="J1432" s="8">
        <f>IF(G1432="","",G1432*0.20)</f>
        <v/>
      </c>
      <c r="K1432" s="8">
        <f>IF(G1432="","",G1432+J1432)</f>
        <v/>
      </c>
    </row>
    <row r="1433">
      <c r="F1433" s="8" t="n"/>
      <c r="G1433" s="8">
        <f>IF(E1433="","",E1433*F1433)</f>
        <v/>
      </c>
      <c r="H1433" s="8">
        <f>IF(G1433="","",G1433-I1433)</f>
        <v/>
      </c>
      <c r="I1433" s="8">
        <f>IF(D1433="","",VLOOKUP(D1433, RECETTES!B:G, 6, FALSE)*E1433)</f>
        <v/>
      </c>
      <c r="J1433" s="8">
        <f>IF(G1433="","",G1433*0.20)</f>
        <v/>
      </c>
      <c r="K1433" s="8">
        <f>IF(G1433="","",G1433+J1433)</f>
        <v/>
      </c>
    </row>
    <row r="1434">
      <c r="F1434" s="8" t="n"/>
      <c r="G1434" s="8">
        <f>IF(E1434="","",E1434*F1434)</f>
        <v/>
      </c>
      <c r="H1434" s="8">
        <f>IF(G1434="","",G1434-I1434)</f>
        <v/>
      </c>
      <c r="I1434" s="8">
        <f>IF(D1434="","",VLOOKUP(D1434, RECETTES!B:G, 6, FALSE)*E1434)</f>
        <v/>
      </c>
      <c r="J1434" s="8">
        <f>IF(G1434="","",G1434*0.20)</f>
        <v/>
      </c>
      <c r="K1434" s="8">
        <f>IF(G1434="","",G1434+J1434)</f>
        <v/>
      </c>
    </row>
    <row r="1435">
      <c r="F1435" s="8" t="n"/>
      <c r="G1435" s="8">
        <f>IF(E1435="","",E1435*F1435)</f>
        <v/>
      </c>
      <c r="H1435" s="8">
        <f>IF(G1435="","",G1435-I1435)</f>
        <v/>
      </c>
      <c r="I1435" s="8">
        <f>IF(D1435="","",VLOOKUP(D1435, RECETTES!B:G, 6, FALSE)*E1435)</f>
        <v/>
      </c>
      <c r="J1435" s="8">
        <f>IF(G1435="","",G1435*0.20)</f>
        <v/>
      </c>
      <c r="K1435" s="8">
        <f>IF(G1435="","",G1435+J1435)</f>
        <v/>
      </c>
    </row>
    <row r="1436">
      <c r="F1436" s="8" t="n"/>
      <c r="G1436" s="8">
        <f>IF(E1436="","",E1436*F1436)</f>
        <v/>
      </c>
      <c r="H1436" s="8">
        <f>IF(G1436="","",G1436-I1436)</f>
        <v/>
      </c>
      <c r="I1436" s="8">
        <f>IF(D1436="","",VLOOKUP(D1436, RECETTES!B:G, 6, FALSE)*E1436)</f>
        <v/>
      </c>
      <c r="J1436" s="8">
        <f>IF(G1436="","",G1436*0.20)</f>
        <v/>
      </c>
      <c r="K1436" s="8">
        <f>IF(G1436="","",G1436+J1436)</f>
        <v/>
      </c>
    </row>
    <row r="1437">
      <c r="F1437" s="8" t="n"/>
      <c r="G1437" s="8">
        <f>IF(E1437="","",E1437*F1437)</f>
        <v/>
      </c>
      <c r="H1437" s="8">
        <f>IF(G1437="","",G1437-I1437)</f>
        <v/>
      </c>
      <c r="I1437" s="8">
        <f>IF(D1437="","",VLOOKUP(D1437, RECETTES!B:G, 6, FALSE)*E1437)</f>
        <v/>
      </c>
      <c r="J1437" s="8">
        <f>IF(G1437="","",G1437*0.20)</f>
        <v/>
      </c>
      <c r="K1437" s="8">
        <f>IF(G1437="","",G1437+J1437)</f>
        <v/>
      </c>
    </row>
    <row r="1438">
      <c r="F1438" s="8" t="n"/>
      <c r="G1438" s="8">
        <f>IF(E1438="","",E1438*F1438)</f>
        <v/>
      </c>
      <c r="H1438" s="8">
        <f>IF(G1438="","",G1438-I1438)</f>
        <v/>
      </c>
      <c r="I1438" s="8">
        <f>IF(D1438="","",VLOOKUP(D1438, RECETTES!B:G, 6, FALSE)*E1438)</f>
        <v/>
      </c>
      <c r="J1438" s="8">
        <f>IF(G1438="","",G1438*0.20)</f>
        <v/>
      </c>
      <c r="K1438" s="8">
        <f>IF(G1438="","",G1438+J1438)</f>
        <v/>
      </c>
    </row>
    <row r="1439">
      <c r="F1439" s="8" t="n"/>
      <c r="G1439" s="8">
        <f>IF(E1439="","",E1439*F1439)</f>
        <v/>
      </c>
      <c r="H1439" s="8">
        <f>IF(G1439="","",G1439-I1439)</f>
        <v/>
      </c>
      <c r="I1439" s="8">
        <f>IF(D1439="","",VLOOKUP(D1439, RECETTES!B:G, 6, FALSE)*E1439)</f>
        <v/>
      </c>
      <c r="J1439" s="8">
        <f>IF(G1439="","",G1439*0.20)</f>
        <v/>
      </c>
      <c r="K1439" s="8">
        <f>IF(G1439="","",G1439+J1439)</f>
        <v/>
      </c>
    </row>
    <row r="1440">
      <c r="F1440" s="8" t="n"/>
      <c r="G1440" s="8">
        <f>IF(E1440="","",E1440*F1440)</f>
        <v/>
      </c>
      <c r="H1440" s="8">
        <f>IF(G1440="","",G1440-I1440)</f>
        <v/>
      </c>
      <c r="I1440" s="8">
        <f>IF(D1440="","",VLOOKUP(D1440, RECETTES!B:G, 6, FALSE)*E1440)</f>
        <v/>
      </c>
      <c r="J1440" s="8">
        <f>IF(G1440="","",G1440*0.20)</f>
        <v/>
      </c>
      <c r="K1440" s="8">
        <f>IF(G1440="","",G1440+J1440)</f>
        <v/>
      </c>
    </row>
    <row r="1441">
      <c r="F1441" s="8" t="n"/>
      <c r="G1441" s="8">
        <f>IF(E1441="","",E1441*F1441)</f>
        <v/>
      </c>
      <c r="H1441" s="8">
        <f>IF(G1441="","",G1441-I1441)</f>
        <v/>
      </c>
      <c r="I1441" s="8">
        <f>IF(D1441="","",VLOOKUP(D1441, RECETTES!B:G, 6, FALSE)*E1441)</f>
        <v/>
      </c>
      <c r="J1441" s="8">
        <f>IF(G1441="","",G1441*0.20)</f>
        <v/>
      </c>
      <c r="K1441" s="8">
        <f>IF(G1441="","",G1441+J1441)</f>
        <v/>
      </c>
    </row>
    <row r="1442">
      <c r="F1442" s="8" t="n"/>
      <c r="G1442" s="8">
        <f>IF(E1442="","",E1442*F1442)</f>
        <v/>
      </c>
      <c r="H1442" s="8">
        <f>IF(G1442="","",G1442-I1442)</f>
        <v/>
      </c>
      <c r="I1442" s="8">
        <f>IF(D1442="","",VLOOKUP(D1442, RECETTES!B:G, 6, FALSE)*E1442)</f>
        <v/>
      </c>
      <c r="J1442" s="8">
        <f>IF(G1442="","",G1442*0.20)</f>
        <v/>
      </c>
      <c r="K1442" s="8">
        <f>IF(G1442="","",G1442+J1442)</f>
        <v/>
      </c>
    </row>
    <row r="1443">
      <c r="F1443" s="8" t="n"/>
      <c r="G1443" s="8">
        <f>IF(E1443="","",E1443*F1443)</f>
        <v/>
      </c>
      <c r="H1443" s="8">
        <f>IF(G1443="","",G1443-I1443)</f>
        <v/>
      </c>
      <c r="I1443" s="8">
        <f>IF(D1443="","",VLOOKUP(D1443, RECETTES!B:G, 6, FALSE)*E1443)</f>
        <v/>
      </c>
      <c r="J1443" s="8">
        <f>IF(G1443="","",G1443*0.20)</f>
        <v/>
      </c>
      <c r="K1443" s="8">
        <f>IF(G1443="","",G1443+J1443)</f>
        <v/>
      </c>
    </row>
    <row r="1444">
      <c r="F1444" s="8" t="n"/>
      <c r="G1444" s="8">
        <f>IF(E1444="","",E1444*F1444)</f>
        <v/>
      </c>
      <c r="H1444" s="8">
        <f>IF(G1444="","",G1444-I1444)</f>
        <v/>
      </c>
      <c r="I1444" s="8">
        <f>IF(D1444="","",VLOOKUP(D1444, RECETTES!B:G, 6, FALSE)*E1444)</f>
        <v/>
      </c>
      <c r="J1444" s="8">
        <f>IF(G1444="","",G1444*0.20)</f>
        <v/>
      </c>
      <c r="K1444" s="8">
        <f>IF(G1444="","",G1444+J1444)</f>
        <v/>
      </c>
    </row>
    <row r="1445">
      <c r="F1445" s="8" t="n"/>
      <c r="G1445" s="8">
        <f>IF(E1445="","",E1445*F1445)</f>
        <v/>
      </c>
      <c r="H1445" s="8">
        <f>IF(G1445="","",G1445-I1445)</f>
        <v/>
      </c>
      <c r="I1445" s="8">
        <f>IF(D1445="","",VLOOKUP(D1445, RECETTES!B:G, 6, FALSE)*E1445)</f>
        <v/>
      </c>
      <c r="J1445" s="8">
        <f>IF(G1445="","",G1445*0.20)</f>
        <v/>
      </c>
      <c r="K1445" s="8">
        <f>IF(G1445="","",G1445+J1445)</f>
        <v/>
      </c>
    </row>
    <row r="1446">
      <c r="F1446" s="8" t="n"/>
      <c r="G1446" s="8">
        <f>IF(E1446="","",E1446*F1446)</f>
        <v/>
      </c>
      <c r="H1446" s="8">
        <f>IF(G1446="","",G1446-I1446)</f>
        <v/>
      </c>
      <c r="I1446" s="8">
        <f>IF(D1446="","",VLOOKUP(D1446, RECETTES!B:G, 6, FALSE)*E1446)</f>
        <v/>
      </c>
      <c r="J1446" s="8">
        <f>IF(G1446="","",G1446*0.20)</f>
        <v/>
      </c>
      <c r="K1446" s="8">
        <f>IF(G1446="","",G1446+J1446)</f>
        <v/>
      </c>
    </row>
    <row r="1447">
      <c r="F1447" s="8" t="n"/>
      <c r="G1447" s="8">
        <f>IF(E1447="","",E1447*F1447)</f>
        <v/>
      </c>
      <c r="H1447" s="8">
        <f>IF(G1447="","",G1447-I1447)</f>
        <v/>
      </c>
      <c r="I1447" s="8">
        <f>IF(D1447="","",VLOOKUP(D1447, RECETTES!B:G, 6, FALSE)*E1447)</f>
        <v/>
      </c>
      <c r="J1447" s="8">
        <f>IF(G1447="","",G1447*0.20)</f>
        <v/>
      </c>
      <c r="K1447" s="8">
        <f>IF(G1447="","",G1447+J1447)</f>
        <v/>
      </c>
    </row>
    <row r="1448">
      <c r="F1448" s="8" t="n"/>
      <c r="G1448" s="8">
        <f>IF(E1448="","",E1448*F1448)</f>
        <v/>
      </c>
      <c r="H1448" s="8">
        <f>IF(G1448="","",G1448-I1448)</f>
        <v/>
      </c>
      <c r="I1448" s="8">
        <f>IF(D1448="","",VLOOKUP(D1448, RECETTES!B:G, 6, FALSE)*E1448)</f>
        <v/>
      </c>
      <c r="J1448" s="8">
        <f>IF(G1448="","",G1448*0.20)</f>
        <v/>
      </c>
      <c r="K1448" s="8">
        <f>IF(G1448="","",G1448+J1448)</f>
        <v/>
      </c>
    </row>
    <row r="1449">
      <c r="F1449" s="8" t="n"/>
      <c r="G1449" s="8">
        <f>IF(E1449="","",E1449*F1449)</f>
        <v/>
      </c>
      <c r="H1449" s="8">
        <f>IF(G1449="","",G1449-I1449)</f>
        <v/>
      </c>
      <c r="I1449" s="8">
        <f>IF(D1449="","",VLOOKUP(D1449, RECETTES!B:G, 6, FALSE)*E1449)</f>
        <v/>
      </c>
      <c r="J1449" s="8">
        <f>IF(G1449="","",G1449*0.20)</f>
        <v/>
      </c>
      <c r="K1449" s="8">
        <f>IF(G1449="","",G1449+J1449)</f>
        <v/>
      </c>
    </row>
    <row r="1450">
      <c r="F1450" s="8" t="n"/>
      <c r="G1450" s="8">
        <f>IF(E1450="","",E1450*F1450)</f>
        <v/>
      </c>
      <c r="H1450" s="8">
        <f>IF(G1450="","",G1450-I1450)</f>
        <v/>
      </c>
      <c r="I1450" s="8">
        <f>IF(D1450="","",VLOOKUP(D1450, RECETTES!B:G, 6, FALSE)*E1450)</f>
        <v/>
      </c>
      <c r="J1450" s="8">
        <f>IF(G1450="","",G1450*0.20)</f>
        <v/>
      </c>
      <c r="K1450" s="8">
        <f>IF(G1450="","",G1450+J1450)</f>
        <v/>
      </c>
    </row>
    <row r="1451">
      <c r="F1451" s="8" t="n"/>
      <c r="G1451" s="8">
        <f>IF(E1451="","",E1451*F1451)</f>
        <v/>
      </c>
      <c r="H1451" s="8">
        <f>IF(G1451="","",G1451-I1451)</f>
        <v/>
      </c>
      <c r="I1451" s="8">
        <f>IF(D1451="","",VLOOKUP(D1451, RECETTES!B:G, 6, FALSE)*E1451)</f>
        <v/>
      </c>
      <c r="J1451" s="8">
        <f>IF(G1451="","",G1451*0.20)</f>
        <v/>
      </c>
      <c r="K1451" s="8">
        <f>IF(G1451="","",G1451+J1451)</f>
        <v/>
      </c>
    </row>
    <row r="1452">
      <c r="F1452" s="8" t="n"/>
      <c r="G1452" s="8">
        <f>IF(E1452="","",E1452*F1452)</f>
        <v/>
      </c>
      <c r="H1452" s="8">
        <f>IF(G1452="","",G1452-I1452)</f>
        <v/>
      </c>
      <c r="I1452" s="8">
        <f>IF(D1452="","",VLOOKUP(D1452, RECETTES!B:G, 6, FALSE)*E1452)</f>
        <v/>
      </c>
      <c r="J1452" s="8">
        <f>IF(G1452="","",G1452*0.20)</f>
        <v/>
      </c>
      <c r="K1452" s="8">
        <f>IF(G1452="","",G1452+J1452)</f>
        <v/>
      </c>
    </row>
    <row r="1453">
      <c r="F1453" s="8" t="n"/>
      <c r="G1453" s="8">
        <f>IF(E1453="","",E1453*F1453)</f>
        <v/>
      </c>
      <c r="H1453" s="8">
        <f>IF(G1453="","",G1453-I1453)</f>
        <v/>
      </c>
      <c r="I1453" s="8">
        <f>IF(D1453="","",VLOOKUP(D1453, RECETTES!B:G, 6, FALSE)*E1453)</f>
        <v/>
      </c>
      <c r="J1453" s="8">
        <f>IF(G1453="","",G1453*0.20)</f>
        <v/>
      </c>
      <c r="K1453" s="8">
        <f>IF(G1453="","",G1453+J1453)</f>
        <v/>
      </c>
    </row>
    <row r="1454">
      <c r="F1454" s="8" t="n"/>
      <c r="G1454" s="8">
        <f>IF(E1454="","",E1454*F1454)</f>
        <v/>
      </c>
      <c r="H1454" s="8">
        <f>IF(G1454="","",G1454-I1454)</f>
        <v/>
      </c>
      <c r="I1454" s="8">
        <f>IF(D1454="","",VLOOKUP(D1454, RECETTES!B:G, 6, FALSE)*E1454)</f>
        <v/>
      </c>
      <c r="J1454" s="8">
        <f>IF(G1454="","",G1454*0.20)</f>
        <v/>
      </c>
      <c r="K1454" s="8">
        <f>IF(G1454="","",G1454+J1454)</f>
        <v/>
      </c>
    </row>
    <row r="1455">
      <c r="F1455" s="8" t="n"/>
      <c r="G1455" s="8">
        <f>IF(E1455="","",E1455*F1455)</f>
        <v/>
      </c>
      <c r="H1455" s="8">
        <f>IF(G1455="","",G1455-I1455)</f>
        <v/>
      </c>
      <c r="I1455" s="8">
        <f>IF(D1455="","",VLOOKUP(D1455, RECETTES!B:G, 6, FALSE)*E1455)</f>
        <v/>
      </c>
      <c r="J1455" s="8">
        <f>IF(G1455="","",G1455*0.20)</f>
        <v/>
      </c>
      <c r="K1455" s="8">
        <f>IF(G1455="","",G1455+J1455)</f>
        <v/>
      </c>
    </row>
    <row r="1456">
      <c r="F1456" s="8" t="n"/>
      <c r="G1456" s="8">
        <f>IF(E1456="","",E1456*F1456)</f>
        <v/>
      </c>
      <c r="H1456" s="8">
        <f>IF(G1456="","",G1456-I1456)</f>
        <v/>
      </c>
      <c r="I1456" s="8">
        <f>IF(D1456="","",VLOOKUP(D1456, RECETTES!B:G, 6, FALSE)*E1456)</f>
        <v/>
      </c>
      <c r="J1456" s="8">
        <f>IF(G1456="","",G1456*0.20)</f>
        <v/>
      </c>
      <c r="K1456" s="8">
        <f>IF(G1456="","",G1456+J1456)</f>
        <v/>
      </c>
    </row>
    <row r="1457">
      <c r="F1457" s="8" t="n"/>
      <c r="G1457" s="8">
        <f>IF(E1457="","",E1457*F1457)</f>
        <v/>
      </c>
      <c r="H1457" s="8">
        <f>IF(G1457="","",G1457-I1457)</f>
        <v/>
      </c>
      <c r="I1457" s="8">
        <f>IF(D1457="","",VLOOKUP(D1457, RECETTES!B:G, 6, FALSE)*E1457)</f>
        <v/>
      </c>
      <c r="J1457" s="8">
        <f>IF(G1457="","",G1457*0.20)</f>
        <v/>
      </c>
      <c r="K1457" s="8">
        <f>IF(G1457="","",G1457+J1457)</f>
        <v/>
      </c>
    </row>
    <row r="1458">
      <c r="F1458" s="8" t="n"/>
      <c r="G1458" s="8">
        <f>IF(E1458="","",E1458*F1458)</f>
        <v/>
      </c>
      <c r="H1458" s="8">
        <f>IF(G1458="","",G1458-I1458)</f>
        <v/>
      </c>
      <c r="I1458" s="8">
        <f>IF(D1458="","",VLOOKUP(D1458, RECETTES!B:G, 6, FALSE)*E1458)</f>
        <v/>
      </c>
      <c r="J1458" s="8">
        <f>IF(G1458="","",G1458*0.20)</f>
        <v/>
      </c>
      <c r="K1458" s="8">
        <f>IF(G1458="","",G1458+J1458)</f>
        <v/>
      </c>
    </row>
    <row r="1459">
      <c r="F1459" s="8" t="n"/>
      <c r="G1459" s="8">
        <f>IF(E1459="","",E1459*F1459)</f>
        <v/>
      </c>
      <c r="H1459" s="8">
        <f>IF(G1459="","",G1459-I1459)</f>
        <v/>
      </c>
      <c r="I1459" s="8">
        <f>IF(D1459="","",VLOOKUP(D1459, RECETTES!B:G, 6, FALSE)*E1459)</f>
        <v/>
      </c>
      <c r="J1459" s="8">
        <f>IF(G1459="","",G1459*0.20)</f>
        <v/>
      </c>
      <c r="K1459" s="8">
        <f>IF(G1459="","",G1459+J1459)</f>
        <v/>
      </c>
    </row>
    <row r="1460">
      <c r="F1460" s="8" t="n"/>
      <c r="G1460" s="8">
        <f>IF(E1460="","",E1460*F1460)</f>
        <v/>
      </c>
      <c r="H1460" s="8">
        <f>IF(G1460="","",G1460-I1460)</f>
        <v/>
      </c>
      <c r="I1460" s="8">
        <f>IF(D1460="","",VLOOKUP(D1460, RECETTES!B:G, 6, FALSE)*E1460)</f>
        <v/>
      </c>
      <c r="J1460" s="8">
        <f>IF(G1460="","",G1460*0.20)</f>
        <v/>
      </c>
      <c r="K1460" s="8">
        <f>IF(G1460="","",G1460+J1460)</f>
        <v/>
      </c>
    </row>
    <row r="1461">
      <c r="F1461" s="8" t="n"/>
      <c r="G1461" s="8">
        <f>IF(E1461="","",E1461*F1461)</f>
        <v/>
      </c>
      <c r="H1461" s="8">
        <f>IF(G1461="","",G1461-I1461)</f>
        <v/>
      </c>
      <c r="I1461" s="8">
        <f>IF(D1461="","",VLOOKUP(D1461, RECETTES!B:G, 6, FALSE)*E1461)</f>
        <v/>
      </c>
      <c r="J1461" s="8">
        <f>IF(G1461="","",G1461*0.20)</f>
        <v/>
      </c>
      <c r="K1461" s="8">
        <f>IF(G1461="","",G1461+J1461)</f>
        <v/>
      </c>
    </row>
    <row r="1462">
      <c r="F1462" s="8" t="n"/>
      <c r="G1462" s="8">
        <f>IF(E1462="","",E1462*F1462)</f>
        <v/>
      </c>
      <c r="H1462" s="8">
        <f>IF(G1462="","",G1462-I1462)</f>
        <v/>
      </c>
      <c r="I1462" s="8">
        <f>IF(D1462="","",VLOOKUP(D1462, RECETTES!B:G, 6, FALSE)*E1462)</f>
        <v/>
      </c>
      <c r="J1462" s="8">
        <f>IF(G1462="","",G1462*0.20)</f>
        <v/>
      </c>
      <c r="K1462" s="8">
        <f>IF(G1462="","",G1462+J1462)</f>
        <v/>
      </c>
    </row>
    <row r="1463">
      <c r="F1463" s="8" t="n"/>
      <c r="G1463" s="8">
        <f>IF(E1463="","",E1463*F1463)</f>
        <v/>
      </c>
      <c r="H1463" s="8">
        <f>IF(G1463="","",G1463-I1463)</f>
        <v/>
      </c>
      <c r="I1463" s="8">
        <f>IF(D1463="","",VLOOKUP(D1463, RECETTES!B:G, 6, FALSE)*E1463)</f>
        <v/>
      </c>
      <c r="J1463" s="8">
        <f>IF(G1463="","",G1463*0.20)</f>
        <v/>
      </c>
      <c r="K1463" s="8">
        <f>IF(G1463="","",G1463+J1463)</f>
        <v/>
      </c>
    </row>
    <row r="1464">
      <c r="F1464" s="8" t="n"/>
      <c r="G1464" s="8">
        <f>IF(E1464="","",E1464*F1464)</f>
        <v/>
      </c>
      <c r="H1464" s="8">
        <f>IF(G1464="","",G1464-I1464)</f>
        <v/>
      </c>
      <c r="I1464" s="8">
        <f>IF(D1464="","",VLOOKUP(D1464, RECETTES!B:G, 6, FALSE)*E1464)</f>
        <v/>
      </c>
      <c r="J1464" s="8">
        <f>IF(G1464="","",G1464*0.20)</f>
        <v/>
      </c>
      <c r="K1464" s="8">
        <f>IF(G1464="","",G1464+J1464)</f>
        <v/>
      </c>
    </row>
    <row r="1465">
      <c r="F1465" s="8" t="n"/>
      <c r="G1465" s="8">
        <f>IF(E1465="","",E1465*F1465)</f>
        <v/>
      </c>
      <c r="H1465" s="8">
        <f>IF(G1465="","",G1465-I1465)</f>
        <v/>
      </c>
      <c r="I1465" s="8">
        <f>IF(D1465="","",VLOOKUP(D1465, RECETTES!B:G, 6, FALSE)*E1465)</f>
        <v/>
      </c>
      <c r="J1465" s="8">
        <f>IF(G1465="","",G1465*0.20)</f>
        <v/>
      </c>
      <c r="K1465" s="8">
        <f>IF(G1465="","",G1465+J1465)</f>
        <v/>
      </c>
    </row>
    <row r="1466">
      <c r="F1466" s="8" t="n"/>
      <c r="G1466" s="8">
        <f>IF(E1466="","",E1466*F1466)</f>
        <v/>
      </c>
      <c r="H1466" s="8">
        <f>IF(G1466="","",G1466-I1466)</f>
        <v/>
      </c>
      <c r="I1466" s="8">
        <f>IF(D1466="","",VLOOKUP(D1466, RECETTES!B:G, 6, FALSE)*E1466)</f>
        <v/>
      </c>
      <c r="J1466" s="8">
        <f>IF(G1466="","",G1466*0.20)</f>
        <v/>
      </c>
      <c r="K1466" s="8">
        <f>IF(G1466="","",G1466+J1466)</f>
        <v/>
      </c>
    </row>
    <row r="1467">
      <c r="F1467" s="8" t="n"/>
      <c r="G1467" s="8">
        <f>IF(E1467="","",E1467*F1467)</f>
        <v/>
      </c>
      <c r="H1467" s="8">
        <f>IF(G1467="","",G1467-I1467)</f>
        <v/>
      </c>
      <c r="I1467" s="8">
        <f>IF(D1467="","",VLOOKUP(D1467, RECETTES!B:G, 6, FALSE)*E1467)</f>
        <v/>
      </c>
      <c r="J1467" s="8">
        <f>IF(G1467="","",G1467*0.20)</f>
        <v/>
      </c>
      <c r="K1467" s="8">
        <f>IF(G1467="","",G1467+J1467)</f>
        <v/>
      </c>
    </row>
    <row r="1468">
      <c r="F1468" s="8" t="n"/>
      <c r="G1468" s="8">
        <f>IF(E1468="","",E1468*F1468)</f>
        <v/>
      </c>
      <c r="H1468" s="8">
        <f>IF(G1468="","",G1468-I1468)</f>
        <v/>
      </c>
      <c r="I1468" s="8">
        <f>IF(D1468="","",VLOOKUP(D1468, RECETTES!B:G, 6, FALSE)*E1468)</f>
        <v/>
      </c>
      <c r="J1468" s="8">
        <f>IF(G1468="","",G1468*0.20)</f>
        <v/>
      </c>
      <c r="K1468" s="8">
        <f>IF(G1468="","",G1468+J1468)</f>
        <v/>
      </c>
    </row>
    <row r="1469">
      <c r="F1469" s="8" t="n"/>
      <c r="G1469" s="8">
        <f>IF(E1469="","",E1469*F1469)</f>
        <v/>
      </c>
      <c r="H1469" s="8">
        <f>IF(G1469="","",G1469-I1469)</f>
        <v/>
      </c>
      <c r="I1469" s="8">
        <f>IF(D1469="","",VLOOKUP(D1469, RECETTES!B:G, 6, FALSE)*E1469)</f>
        <v/>
      </c>
      <c r="J1469" s="8">
        <f>IF(G1469="","",G1469*0.20)</f>
        <v/>
      </c>
      <c r="K1469" s="8">
        <f>IF(G1469="","",G1469+J1469)</f>
        <v/>
      </c>
    </row>
    <row r="1470">
      <c r="F1470" s="8" t="n"/>
      <c r="G1470" s="8">
        <f>IF(E1470="","",E1470*F1470)</f>
        <v/>
      </c>
      <c r="H1470" s="8">
        <f>IF(G1470="","",G1470-I1470)</f>
        <v/>
      </c>
      <c r="I1470" s="8">
        <f>IF(D1470="","",VLOOKUP(D1470, RECETTES!B:G, 6, FALSE)*E1470)</f>
        <v/>
      </c>
      <c r="J1470" s="8">
        <f>IF(G1470="","",G1470*0.20)</f>
        <v/>
      </c>
      <c r="K1470" s="8">
        <f>IF(G1470="","",G1470+J1470)</f>
        <v/>
      </c>
    </row>
    <row r="1471">
      <c r="F1471" s="8" t="n"/>
      <c r="G1471" s="8">
        <f>IF(E1471="","",E1471*F1471)</f>
        <v/>
      </c>
      <c r="H1471" s="8">
        <f>IF(G1471="","",G1471-I1471)</f>
        <v/>
      </c>
      <c r="I1471" s="8">
        <f>IF(D1471="","",VLOOKUP(D1471, RECETTES!B:G, 6, FALSE)*E1471)</f>
        <v/>
      </c>
      <c r="J1471" s="8">
        <f>IF(G1471="","",G1471*0.20)</f>
        <v/>
      </c>
      <c r="K1471" s="8">
        <f>IF(G1471="","",G1471+J1471)</f>
        <v/>
      </c>
    </row>
    <row r="1472">
      <c r="F1472" s="8" t="n"/>
      <c r="G1472" s="8">
        <f>IF(E1472="","",E1472*F1472)</f>
        <v/>
      </c>
      <c r="H1472" s="8">
        <f>IF(G1472="","",G1472-I1472)</f>
        <v/>
      </c>
      <c r="I1472" s="8">
        <f>IF(D1472="","",VLOOKUP(D1472, RECETTES!B:G, 6, FALSE)*E1472)</f>
        <v/>
      </c>
      <c r="J1472" s="8">
        <f>IF(G1472="","",G1472*0.20)</f>
        <v/>
      </c>
      <c r="K1472" s="8">
        <f>IF(G1472="","",G1472+J1472)</f>
        <v/>
      </c>
    </row>
    <row r="1473">
      <c r="F1473" s="8" t="n"/>
      <c r="G1473" s="8">
        <f>IF(E1473="","",E1473*F1473)</f>
        <v/>
      </c>
      <c r="H1473" s="8">
        <f>IF(G1473="","",G1473-I1473)</f>
        <v/>
      </c>
      <c r="I1473" s="8">
        <f>IF(D1473="","",VLOOKUP(D1473, RECETTES!B:G, 6, FALSE)*E1473)</f>
        <v/>
      </c>
      <c r="J1473" s="8">
        <f>IF(G1473="","",G1473*0.20)</f>
        <v/>
      </c>
      <c r="K1473" s="8">
        <f>IF(G1473="","",G1473+J1473)</f>
        <v/>
      </c>
    </row>
    <row r="1474">
      <c r="F1474" s="8" t="n"/>
      <c r="G1474" s="8">
        <f>IF(E1474="","",E1474*F1474)</f>
        <v/>
      </c>
      <c r="H1474" s="8">
        <f>IF(G1474="","",G1474-I1474)</f>
        <v/>
      </c>
      <c r="I1474" s="8">
        <f>IF(D1474="","",VLOOKUP(D1474, RECETTES!B:G, 6, FALSE)*E1474)</f>
        <v/>
      </c>
      <c r="J1474" s="8">
        <f>IF(G1474="","",G1474*0.20)</f>
        <v/>
      </c>
      <c r="K1474" s="8">
        <f>IF(G1474="","",G1474+J1474)</f>
        <v/>
      </c>
    </row>
    <row r="1475">
      <c r="F1475" s="8" t="n"/>
      <c r="G1475" s="8">
        <f>IF(E1475="","",E1475*F1475)</f>
        <v/>
      </c>
      <c r="H1475" s="8">
        <f>IF(G1475="","",G1475-I1475)</f>
        <v/>
      </c>
      <c r="I1475" s="8">
        <f>IF(D1475="","",VLOOKUP(D1475, RECETTES!B:G, 6, FALSE)*E1475)</f>
        <v/>
      </c>
      <c r="J1475" s="8">
        <f>IF(G1475="","",G1475*0.20)</f>
        <v/>
      </c>
      <c r="K1475" s="8">
        <f>IF(G1475="","",G1475+J1475)</f>
        <v/>
      </c>
    </row>
    <row r="1476">
      <c r="F1476" s="8" t="n"/>
      <c r="G1476" s="8">
        <f>IF(E1476="","",E1476*F1476)</f>
        <v/>
      </c>
      <c r="H1476" s="8">
        <f>IF(G1476="","",G1476-I1476)</f>
        <v/>
      </c>
      <c r="I1476" s="8">
        <f>IF(D1476="","",VLOOKUP(D1476, RECETTES!B:G, 6, FALSE)*E1476)</f>
        <v/>
      </c>
      <c r="J1476" s="8">
        <f>IF(G1476="","",G1476*0.20)</f>
        <v/>
      </c>
      <c r="K1476" s="8">
        <f>IF(G1476="","",G1476+J1476)</f>
        <v/>
      </c>
    </row>
    <row r="1477">
      <c r="F1477" s="8" t="n"/>
      <c r="G1477" s="8">
        <f>IF(E1477="","",E1477*F1477)</f>
        <v/>
      </c>
      <c r="H1477" s="8">
        <f>IF(G1477="","",G1477-I1477)</f>
        <v/>
      </c>
      <c r="I1477" s="8">
        <f>IF(D1477="","",VLOOKUP(D1477, RECETTES!B:G, 6, FALSE)*E1477)</f>
        <v/>
      </c>
      <c r="J1477" s="8">
        <f>IF(G1477="","",G1477*0.20)</f>
        <v/>
      </c>
      <c r="K1477" s="8">
        <f>IF(G1477="","",G1477+J1477)</f>
        <v/>
      </c>
    </row>
    <row r="1478">
      <c r="F1478" s="8" t="n"/>
      <c r="G1478" s="8">
        <f>IF(E1478="","",E1478*F1478)</f>
        <v/>
      </c>
      <c r="H1478" s="8">
        <f>IF(G1478="","",G1478-I1478)</f>
        <v/>
      </c>
      <c r="I1478" s="8">
        <f>IF(D1478="","",VLOOKUP(D1478, RECETTES!B:G, 6, FALSE)*E1478)</f>
        <v/>
      </c>
      <c r="J1478" s="8">
        <f>IF(G1478="","",G1478*0.20)</f>
        <v/>
      </c>
      <c r="K1478" s="8">
        <f>IF(G1478="","",G1478+J1478)</f>
        <v/>
      </c>
    </row>
    <row r="1479">
      <c r="F1479" s="8" t="n"/>
      <c r="G1479" s="8">
        <f>IF(E1479="","",E1479*F1479)</f>
        <v/>
      </c>
      <c r="H1479" s="8">
        <f>IF(G1479="","",G1479-I1479)</f>
        <v/>
      </c>
      <c r="I1479" s="8">
        <f>IF(D1479="","",VLOOKUP(D1479, RECETTES!B:G, 6, FALSE)*E1479)</f>
        <v/>
      </c>
      <c r="J1479" s="8">
        <f>IF(G1479="","",G1479*0.20)</f>
        <v/>
      </c>
      <c r="K1479" s="8">
        <f>IF(G1479="","",G1479+J1479)</f>
        <v/>
      </c>
    </row>
    <row r="1480">
      <c r="F1480" s="8" t="n"/>
      <c r="G1480" s="8">
        <f>IF(E1480="","",E1480*F1480)</f>
        <v/>
      </c>
      <c r="H1480" s="8">
        <f>IF(G1480="","",G1480-I1480)</f>
        <v/>
      </c>
      <c r="I1480" s="8">
        <f>IF(D1480="","",VLOOKUP(D1480, RECETTES!B:G, 6, FALSE)*E1480)</f>
        <v/>
      </c>
      <c r="J1480" s="8">
        <f>IF(G1480="","",G1480*0.20)</f>
        <v/>
      </c>
      <c r="K1480" s="8">
        <f>IF(G1480="","",G1480+J1480)</f>
        <v/>
      </c>
    </row>
    <row r="1481">
      <c r="F1481" s="8" t="n"/>
      <c r="G1481" s="8">
        <f>IF(E1481="","",E1481*F1481)</f>
        <v/>
      </c>
      <c r="H1481" s="8">
        <f>IF(G1481="","",G1481-I1481)</f>
        <v/>
      </c>
      <c r="I1481" s="8">
        <f>IF(D1481="","",VLOOKUP(D1481, RECETTES!B:G, 6, FALSE)*E1481)</f>
        <v/>
      </c>
      <c r="J1481" s="8">
        <f>IF(G1481="","",G1481*0.20)</f>
        <v/>
      </c>
      <c r="K1481" s="8">
        <f>IF(G1481="","",G1481+J1481)</f>
        <v/>
      </c>
    </row>
    <row r="1482">
      <c r="F1482" s="8" t="n"/>
      <c r="G1482" s="8">
        <f>IF(E1482="","",E1482*F1482)</f>
        <v/>
      </c>
      <c r="H1482" s="8">
        <f>IF(G1482="","",G1482-I1482)</f>
        <v/>
      </c>
      <c r="I1482" s="8">
        <f>IF(D1482="","",VLOOKUP(D1482, RECETTES!B:G, 6, FALSE)*E1482)</f>
        <v/>
      </c>
      <c r="J1482" s="8">
        <f>IF(G1482="","",G1482*0.20)</f>
        <v/>
      </c>
      <c r="K1482" s="8">
        <f>IF(G1482="","",G1482+J1482)</f>
        <v/>
      </c>
    </row>
    <row r="1483">
      <c r="F1483" s="8" t="n"/>
      <c r="G1483" s="8">
        <f>IF(E1483="","",E1483*F1483)</f>
        <v/>
      </c>
      <c r="H1483" s="8">
        <f>IF(G1483="","",G1483-I1483)</f>
        <v/>
      </c>
      <c r="I1483" s="8">
        <f>IF(D1483="","",VLOOKUP(D1483, RECETTES!B:G, 6, FALSE)*E1483)</f>
        <v/>
      </c>
      <c r="J1483" s="8">
        <f>IF(G1483="","",G1483*0.20)</f>
        <v/>
      </c>
      <c r="K1483" s="8">
        <f>IF(G1483="","",G1483+J1483)</f>
        <v/>
      </c>
    </row>
    <row r="1484">
      <c r="F1484" s="8" t="n"/>
      <c r="G1484" s="8">
        <f>IF(E1484="","",E1484*F1484)</f>
        <v/>
      </c>
      <c r="H1484" s="8">
        <f>IF(G1484="","",G1484-I1484)</f>
        <v/>
      </c>
      <c r="I1484" s="8">
        <f>IF(D1484="","",VLOOKUP(D1484, RECETTES!B:G, 6, FALSE)*E1484)</f>
        <v/>
      </c>
      <c r="J1484" s="8">
        <f>IF(G1484="","",G1484*0.20)</f>
        <v/>
      </c>
      <c r="K1484" s="8">
        <f>IF(G1484="","",G1484+J1484)</f>
        <v/>
      </c>
    </row>
    <row r="1485">
      <c r="F1485" s="8" t="n"/>
      <c r="G1485" s="8">
        <f>IF(E1485="","",E1485*F1485)</f>
        <v/>
      </c>
      <c r="H1485" s="8">
        <f>IF(G1485="","",G1485-I1485)</f>
        <v/>
      </c>
      <c r="I1485" s="8">
        <f>IF(D1485="","",VLOOKUP(D1485, RECETTES!B:G, 6, FALSE)*E1485)</f>
        <v/>
      </c>
      <c r="J1485" s="8">
        <f>IF(G1485="","",G1485*0.20)</f>
        <v/>
      </c>
      <c r="K1485" s="8">
        <f>IF(G1485="","",G1485+J1485)</f>
        <v/>
      </c>
    </row>
    <row r="1486">
      <c r="F1486" s="8" t="n"/>
      <c r="G1486" s="8">
        <f>IF(E1486="","",E1486*F1486)</f>
        <v/>
      </c>
      <c r="H1486" s="8">
        <f>IF(G1486="","",G1486-I1486)</f>
        <v/>
      </c>
      <c r="I1486" s="8">
        <f>IF(D1486="","",VLOOKUP(D1486, RECETTES!B:G, 6, FALSE)*E1486)</f>
        <v/>
      </c>
      <c r="J1486" s="8">
        <f>IF(G1486="","",G1486*0.20)</f>
        <v/>
      </c>
      <c r="K1486" s="8">
        <f>IF(G1486="","",G1486+J1486)</f>
        <v/>
      </c>
    </row>
    <row r="1487">
      <c r="F1487" s="8" t="n"/>
      <c r="G1487" s="8">
        <f>IF(E1487="","",E1487*F1487)</f>
        <v/>
      </c>
      <c r="H1487" s="8">
        <f>IF(G1487="","",G1487-I1487)</f>
        <v/>
      </c>
      <c r="I1487" s="8">
        <f>IF(D1487="","",VLOOKUP(D1487, RECETTES!B:G, 6, FALSE)*E1487)</f>
        <v/>
      </c>
      <c r="J1487" s="8">
        <f>IF(G1487="","",G1487*0.20)</f>
        <v/>
      </c>
      <c r="K1487" s="8">
        <f>IF(G1487="","",G1487+J1487)</f>
        <v/>
      </c>
    </row>
    <row r="1488">
      <c r="F1488" s="8" t="n"/>
      <c r="G1488" s="8">
        <f>IF(E1488="","",E1488*F1488)</f>
        <v/>
      </c>
      <c r="H1488" s="8">
        <f>IF(G1488="","",G1488-I1488)</f>
        <v/>
      </c>
      <c r="I1488" s="8">
        <f>IF(D1488="","",VLOOKUP(D1488, RECETTES!B:G, 6, FALSE)*E1488)</f>
        <v/>
      </c>
      <c r="J1488" s="8">
        <f>IF(G1488="","",G1488*0.20)</f>
        <v/>
      </c>
      <c r="K1488" s="8">
        <f>IF(G1488="","",G1488+J1488)</f>
        <v/>
      </c>
    </row>
    <row r="1489">
      <c r="F1489" s="8" t="n"/>
      <c r="G1489" s="8">
        <f>IF(E1489="","",E1489*F1489)</f>
        <v/>
      </c>
      <c r="H1489" s="8">
        <f>IF(G1489="","",G1489-I1489)</f>
        <v/>
      </c>
      <c r="I1489" s="8">
        <f>IF(D1489="","",VLOOKUP(D1489, RECETTES!B:G, 6, FALSE)*E1489)</f>
        <v/>
      </c>
      <c r="J1489" s="8">
        <f>IF(G1489="","",G1489*0.20)</f>
        <v/>
      </c>
      <c r="K1489" s="8">
        <f>IF(G1489="","",G1489+J1489)</f>
        <v/>
      </c>
    </row>
    <row r="1490">
      <c r="F1490" s="8" t="n"/>
      <c r="G1490" s="8">
        <f>IF(E1490="","",E1490*F1490)</f>
        <v/>
      </c>
      <c r="H1490" s="8">
        <f>IF(G1490="","",G1490-I1490)</f>
        <v/>
      </c>
      <c r="I1490" s="8">
        <f>IF(D1490="","",VLOOKUP(D1490, RECETTES!B:G, 6, FALSE)*E1490)</f>
        <v/>
      </c>
      <c r="J1490" s="8">
        <f>IF(G1490="","",G1490*0.20)</f>
        <v/>
      </c>
      <c r="K1490" s="8">
        <f>IF(G1490="","",G1490+J1490)</f>
        <v/>
      </c>
    </row>
    <row r="1491">
      <c r="F1491" s="8" t="n"/>
      <c r="G1491" s="8">
        <f>IF(E1491="","",E1491*F1491)</f>
        <v/>
      </c>
      <c r="H1491" s="8">
        <f>IF(G1491="","",G1491-I1491)</f>
        <v/>
      </c>
      <c r="I1491" s="8">
        <f>IF(D1491="","",VLOOKUP(D1491, RECETTES!B:G, 6, FALSE)*E1491)</f>
        <v/>
      </c>
      <c r="J1491" s="8">
        <f>IF(G1491="","",G1491*0.20)</f>
        <v/>
      </c>
      <c r="K1491" s="8">
        <f>IF(G1491="","",G1491+J1491)</f>
        <v/>
      </c>
    </row>
    <row r="1492">
      <c r="F1492" s="8" t="n"/>
      <c r="G1492" s="8">
        <f>IF(E1492="","",E1492*F1492)</f>
        <v/>
      </c>
      <c r="H1492" s="8">
        <f>IF(G1492="","",G1492-I1492)</f>
        <v/>
      </c>
      <c r="I1492" s="8">
        <f>IF(D1492="","",VLOOKUP(D1492, RECETTES!B:G, 6, FALSE)*E1492)</f>
        <v/>
      </c>
      <c r="J1492" s="8">
        <f>IF(G1492="","",G1492*0.20)</f>
        <v/>
      </c>
      <c r="K1492" s="8">
        <f>IF(G1492="","",G1492+J1492)</f>
        <v/>
      </c>
    </row>
    <row r="1493">
      <c r="F1493" s="8" t="n"/>
      <c r="G1493" s="8">
        <f>IF(E1493="","",E1493*F1493)</f>
        <v/>
      </c>
      <c r="H1493" s="8">
        <f>IF(G1493="","",G1493-I1493)</f>
        <v/>
      </c>
      <c r="I1493" s="8">
        <f>IF(D1493="","",VLOOKUP(D1493, RECETTES!B:G, 6, FALSE)*E1493)</f>
        <v/>
      </c>
      <c r="J1493" s="8">
        <f>IF(G1493="","",G1493*0.20)</f>
        <v/>
      </c>
      <c r="K1493" s="8">
        <f>IF(G1493="","",G1493+J1493)</f>
        <v/>
      </c>
    </row>
    <row r="1494">
      <c r="F1494" s="8" t="n"/>
      <c r="G1494" s="8">
        <f>IF(E1494="","",E1494*F1494)</f>
        <v/>
      </c>
      <c r="H1494" s="8">
        <f>IF(G1494="","",G1494-I1494)</f>
        <v/>
      </c>
      <c r="I1494" s="8">
        <f>IF(D1494="","",VLOOKUP(D1494, RECETTES!B:G, 6, FALSE)*E1494)</f>
        <v/>
      </c>
      <c r="J1494" s="8">
        <f>IF(G1494="","",G1494*0.20)</f>
        <v/>
      </c>
      <c r="K1494" s="8">
        <f>IF(G1494="","",G1494+J1494)</f>
        <v/>
      </c>
    </row>
    <row r="1495">
      <c r="F1495" s="8" t="n"/>
      <c r="G1495" s="8">
        <f>IF(E1495="","",E1495*F1495)</f>
        <v/>
      </c>
      <c r="H1495" s="8">
        <f>IF(G1495="","",G1495-I1495)</f>
        <v/>
      </c>
      <c r="I1495" s="8">
        <f>IF(D1495="","",VLOOKUP(D1495, RECETTES!B:G, 6, FALSE)*E1495)</f>
        <v/>
      </c>
      <c r="J1495" s="8">
        <f>IF(G1495="","",G1495*0.20)</f>
        <v/>
      </c>
      <c r="K1495" s="8">
        <f>IF(G1495="","",G1495+J1495)</f>
        <v/>
      </c>
    </row>
    <row r="1496">
      <c r="F1496" s="8" t="n"/>
      <c r="G1496" s="8">
        <f>IF(E1496="","",E1496*F1496)</f>
        <v/>
      </c>
      <c r="H1496" s="8">
        <f>IF(G1496="","",G1496-I1496)</f>
        <v/>
      </c>
      <c r="I1496" s="8">
        <f>IF(D1496="","",VLOOKUP(D1496, RECETTES!B:G, 6, FALSE)*E1496)</f>
        <v/>
      </c>
      <c r="J1496" s="8">
        <f>IF(G1496="","",G1496*0.20)</f>
        <v/>
      </c>
      <c r="K1496" s="8">
        <f>IF(G1496="","",G1496+J1496)</f>
        <v/>
      </c>
    </row>
    <row r="1497">
      <c r="F1497" s="8" t="n"/>
      <c r="G1497" s="8">
        <f>IF(E1497="","",E1497*F1497)</f>
        <v/>
      </c>
      <c r="H1497" s="8">
        <f>IF(G1497="","",G1497-I1497)</f>
        <v/>
      </c>
      <c r="I1497" s="8">
        <f>IF(D1497="","",VLOOKUP(D1497, RECETTES!B:G, 6, FALSE)*E1497)</f>
        <v/>
      </c>
      <c r="J1497" s="8">
        <f>IF(G1497="","",G1497*0.20)</f>
        <v/>
      </c>
      <c r="K1497" s="8">
        <f>IF(G1497="","",G1497+J1497)</f>
        <v/>
      </c>
    </row>
    <row r="1498">
      <c r="F1498" s="8" t="n"/>
      <c r="G1498" s="8">
        <f>IF(E1498="","",E1498*F1498)</f>
        <v/>
      </c>
      <c r="H1498" s="8">
        <f>IF(G1498="","",G1498-I1498)</f>
        <v/>
      </c>
      <c r="I1498" s="8">
        <f>IF(D1498="","",VLOOKUP(D1498, RECETTES!B:G, 6, FALSE)*E1498)</f>
        <v/>
      </c>
      <c r="J1498" s="8">
        <f>IF(G1498="","",G1498*0.20)</f>
        <v/>
      </c>
      <c r="K1498" s="8">
        <f>IF(G1498="","",G1498+J1498)</f>
        <v/>
      </c>
    </row>
    <row r="1499">
      <c r="F1499" s="8" t="n"/>
      <c r="G1499" s="8">
        <f>IF(E1499="","",E1499*F1499)</f>
        <v/>
      </c>
      <c r="H1499" s="8">
        <f>IF(G1499="","",G1499-I1499)</f>
        <v/>
      </c>
      <c r="I1499" s="8">
        <f>IF(D1499="","",VLOOKUP(D1499, RECETTES!B:G, 6, FALSE)*E1499)</f>
        <v/>
      </c>
      <c r="J1499" s="8">
        <f>IF(G1499="","",G1499*0.20)</f>
        <v/>
      </c>
      <c r="K1499" s="8">
        <f>IF(G1499="","",G1499+J1499)</f>
        <v/>
      </c>
    </row>
    <row r="1500">
      <c r="F1500" s="8" t="n"/>
      <c r="G1500" s="8">
        <f>IF(E1500="","",E1500*F1500)</f>
        <v/>
      </c>
      <c r="H1500" s="8">
        <f>IF(G1500="","",G1500-I1500)</f>
        <v/>
      </c>
      <c r="I1500" s="8">
        <f>IF(D1500="","",VLOOKUP(D1500, RECETTES!B:G, 6, FALSE)*E1500)</f>
        <v/>
      </c>
      <c r="J1500" s="8">
        <f>IF(G1500="","",G1500*0.20)</f>
        <v/>
      </c>
      <c r="K1500" s="8">
        <f>IF(G1500="","",G1500+J1500)</f>
        <v/>
      </c>
    </row>
    <row r="1501">
      <c r="F1501" s="8" t="n"/>
      <c r="G1501" s="8">
        <f>IF(E1501="","",E1501*F1501)</f>
        <v/>
      </c>
      <c r="H1501" s="8">
        <f>IF(G1501="","",G1501-I1501)</f>
        <v/>
      </c>
      <c r="I1501" s="8">
        <f>IF(D1501="","",VLOOKUP(D1501, RECETTES!B:G, 6, FALSE)*E1501)</f>
        <v/>
      </c>
      <c r="J1501" s="8">
        <f>IF(G1501="","",G1501*0.20)</f>
        <v/>
      </c>
      <c r="K1501" s="8">
        <f>IF(G1501="","",G1501+J1501)</f>
        <v/>
      </c>
    </row>
    <row r="1502">
      <c r="F1502" s="8" t="n"/>
      <c r="G1502" s="8">
        <f>IF(E1502="","",E1502*F1502)</f>
        <v/>
      </c>
      <c r="H1502" s="8">
        <f>IF(G1502="","",G1502-I1502)</f>
        <v/>
      </c>
      <c r="I1502" s="8">
        <f>IF(D1502="","",VLOOKUP(D1502, RECETTES!B:G, 6, FALSE)*E1502)</f>
        <v/>
      </c>
      <c r="J1502" s="8">
        <f>IF(G1502="","",G1502*0.20)</f>
        <v/>
      </c>
      <c r="K1502" s="8">
        <f>IF(G1502="","",G1502+J1502)</f>
        <v/>
      </c>
    </row>
    <row r="1503">
      <c r="F1503" s="8" t="n"/>
      <c r="G1503" s="8">
        <f>IF(E1503="","",E1503*F1503)</f>
        <v/>
      </c>
      <c r="H1503" s="8">
        <f>IF(G1503="","",G1503-I1503)</f>
        <v/>
      </c>
      <c r="I1503" s="8">
        <f>IF(D1503="","",VLOOKUP(D1503, RECETTES!B:G, 6, FALSE)*E1503)</f>
        <v/>
      </c>
      <c r="J1503" s="8">
        <f>IF(G1503="","",G1503*0.20)</f>
        <v/>
      </c>
      <c r="K1503" s="8">
        <f>IF(G1503="","",G1503+J1503)</f>
        <v/>
      </c>
    </row>
    <row r="1504">
      <c r="F1504" s="8" t="n"/>
      <c r="G1504" s="8">
        <f>IF(E1504="","",E1504*F1504)</f>
        <v/>
      </c>
      <c r="H1504" s="8">
        <f>IF(G1504="","",G1504-I1504)</f>
        <v/>
      </c>
      <c r="I1504" s="8">
        <f>IF(D1504="","",VLOOKUP(D1504, RECETTES!B:G, 6, FALSE)*E1504)</f>
        <v/>
      </c>
      <c r="J1504" s="8">
        <f>IF(G1504="","",G1504*0.20)</f>
        <v/>
      </c>
      <c r="K1504" s="8">
        <f>IF(G1504="","",G1504+J1504)</f>
        <v/>
      </c>
    </row>
    <row r="1505">
      <c r="F1505" s="8" t="n"/>
      <c r="G1505" s="8">
        <f>IF(E1505="","",E1505*F1505)</f>
        <v/>
      </c>
      <c r="H1505" s="8">
        <f>IF(G1505="","",G1505-I1505)</f>
        <v/>
      </c>
      <c r="I1505" s="8">
        <f>IF(D1505="","",VLOOKUP(D1505, RECETTES!B:G, 6, FALSE)*E1505)</f>
        <v/>
      </c>
      <c r="J1505" s="8">
        <f>IF(G1505="","",G1505*0.20)</f>
        <v/>
      </c>
      <c r="K1505" s="8">
        <f>IF(G1505="","",G1505+J1505)</f>
        <v/>
      </c>
    </row>
    <row r="1506">
      <c r="F1506" s="8" t="n"/>
      <c r="G1506" s="8">
        <f>IF(E1506="","",E1506*F1506)</f>
        <v/>
      </c>
      <c r="H1506" s="8">
        <f>IF(G1506="","",G1506-I1506)</f>
        <v/>
      </c>
      <c r="I1506" s="8">
        <f>IF(D1506="","",VLOOKUP(D1506, RECETTES!B:G, 6, FALSE)*E1506)</f>
        <v/>
      </c>
      <c r="J1506" s="8">
        <f>IF(G1506="","",G1506*0.20)</f>
        <v/>
      </c>
      <c r="K1506" s="8">
        <f>IF(G1506="","",G1506+J1506)</f>
        <v/>
      </c>
    </row>
    <row r="1507">
      <c r="F1507" s="8" t="n"/>
      <c r="G1507" s="8">
        <f>IF(E1507="","",E1507*F1507)</f>
        <v/>
      </c>
      <c r="H1507" s="8">
        <f>IF(G1507="","",G1507-I1507)</f>
        <v/>
      </c>
      <c r="I1507" s="8">
        <f>IF(D1507="","",VLOOKUP(D1507, RECETTES!B:G, 6, FALSE)*E1507)</f>
        <v/>
      </c>
      <c r="J1507" s="8">
        <f>IF(G1507="","",G1507*0.20)</f>
        <v/>
      </c>
      <c r="K1507" s="8">
        <f>IF(G1507="","",G1507+J1507)</f>
        <v/>
      </c>
    </row>
    <row r="1508">
      <c r="F1508" s="8" t="n"/>
      <c r="G1508" s="8">
        <f>IF(E1508="","",E1508*F1508)</f>
        <v/>
      </c>
      <c r="H1508" s="8">
        <f>IF(G1508="","",G1508-I1508)</f>
        <v/>
      </c>
      <c r="I1508" s="8">
        <f>IF(D1508="","",VLOOKUP(D1508, RECETTES!B:G, 6, FALSE)*E1508)</f>
        <v/>
      </c>
      <c r="J1508" s="8">
        <f>IF(G1508="","",G1508*0.20)</f>
        <v/>
      </c>
      <c r="K1508" s="8">
        <f>IF(G1508="","",G1508+J1508)</f>
        <v/>
      </c>
    </row>
    <row r="1509">
      <c r="F1509" s="8" t="n"/>
      <c r="G1509" s="8">
        <f>IF(E1509="","",E1509*F1509)</f>
        <v/>
      </c>
      <c r="H1509" s="8">
        <f>IF(G1509="","",G1509-I1509)</f>
        <v/>
      </c>
      <c r="I1509" s="8">
        <f>IF(D1509="","",VLOOKUP(D1509, RECETTES!B:G, 6, FALSE)*E1509)</f>
        <v/>
      </c>
      <c r="J1509" s="8">
        <f>IF(G1509="","",G1509*0.20)</f>
        <v/>
      </c>
      <c r="K1509" s="8">
        <f>IF(G1509="","",G1509+J1509)</f>
        <v/>
      </c>
    </row>
    <row r="1510">
      <c r="F1510" s="8" t="n"/>
      <c r="G1510" s="8">
        <f>IF(E1510="","",E1510*F1510)</f>
        <v/>
      </c>
      <c r="H1510" s="8">
        <f>IF(G1510="","",G1510-I1510)</f>
        <v/>
      </c>
      <c r="I1510" s="8">
        <f>IF(D1510="","",VLOOKUP(D1510, RECETTES!B:G, 6, FALSE)*E1510)</f>
        <v/>
      </c>
      <c r="J1510" s="8">
        <f>IF(G1510="","",G1510*0.20)</f>
        <v/>
      </c>
      <c r="K1510" s="8">
        <f>IF(G1510="","",G1510+J1510)</f>
        <v/>
      </c>
    </row>
    <row r="1511">
      <c r="F1511" s="8" t="n"/>
      <c r="G1511" s="8">
        <f>IF(E1511="","",E1511*F1511)</f>
        <v/>
      </c>
      <c r="H1511" s="8">
        <f>IF(G1511="","",G1511-I1511)</f>
        <v/>
      </c>
      <c r="I1511" s="8">
        <f>IF(D1511="","",VLOOKUP(D1511, RECETTES!B:G, 6, FALSE)*E1511)</f>
        <v/>
      </c>
      <c r="J1511" s="8">
        <f>IF(G1511="","",G1511*0.20)</f>
        <v/>
      </c>
      <c r="K1511" s="8">
        <f>IF(G1511="","",G1511+J1511)</f>
        <v/>
      </c>
    </row>
    <row r="1512">
      <c r="F1512" s="8" t="n"/>
      <c r="G1512" s="8">
        <f>IF(E1512="","",E1512*F1512)</f>
        <v/>
      </c>
      <c r="H1512" s="8">
        <f>IF(G1512="","",G1512-I1512)</f>
        <v/>
      </c>
      <c r="I1512" s="8">
        <f>IF(D1512="","",VLOOKUP(D1512, RECETTES!B:G, 6, FALSE)*E1512)</f>
        <v/>
      </c>
      <c r="J1512" s="8">
        <f>IF(G1512="","",G1512*0.20)</f>
        <v/>
      </c>
      <c r="K1512" s="8">
        <f>IF(G1512="","",G1512+J1512)</f>
        <v/>
      </c>
    </row>
    <row r="1513">
      <c r="F1513" s="8" t="n"/>
      <c r="G1513" s="8">
        <f>IF(E1513="","",E1513*F1513)</f>
        <v/>
      </c>
      <c r="H1513" s="8">
        <f>IF(G1513="","",G1513-I1513)</f>
        <v/>
      </c>
      <c r="I1513" s="8">
        <f>IF(D1513="","",VLOOKUP(D1513, RECETTES!B:G, 6, FALSE)*E1513)</f>
        <v/>
      </c>
      <c r="J1513" s="8">
        <f>IF(G1513="","",G1513*0.20)</f>
        <v/>
      </c>
      <c r="K1513" s="8">
        <f>IF(G1513="","",G1513+J1513)</f>
        <v/>
      </c>
    </row>
    <row r="1514">
      <c r="F1514" s="8" t="n"/>
      <c r="G1514" s="8">
        <f>IF(E1514="","",E1514*F1514)</f>
        <v/>
      </c>
      <c r="H1514" s="8">
        <f>IF(G1514="","",G1514-I1514)</f>
        <v/>
      </c>
      <c r="I1514" s="8">
        <f>IF(D1514="","",VLOOKUP(D1514, RECETTES!B:G, 6, FALSE)*E1514)</f>
        <v/>
      </c>
      <c r="J1514" s="8">
        <f>IF(G1514="","",G1514*0.20)</f>
        <v/>
      </c>
      <c r="K1514" s="8">
        <f>IF(G1514="","",G1514+J1514)</f>
        <v/>
      </c>
    </row>
    <row r="1515">
      <c r="F1515" s="8" t="n"/>
      <c r="G1515" s="8">
        <f>IF(E1515="","",E1515*F1515)</f>
        <v/>
      </c>
      <c r="H1515" s="8">
        <f>IF(G1515="","",G1515-I1515)</f>
        <v/>
      </c>
      <c r="I1515" s="8">
        <f>IF(D1515="","",VLOOKUP(D1515, RECETTES!B:G, 6, FALSE)*E1515)</f>
        <v/>
      </c>
      <c r="J1515" s="8">
        <f>IF(G1515="","",G1515*0.20)</f>
        <v/>
      </c>
      <c r="K1515" s="8">
        <f>IF(G1515="","",G1515+J1515)</f>
        <v/>
      </c>
    </row>
    <row r="1516">
      <c r="F1516" s="8" t="n"/>
      <c r="G1516" s="8">
        <f>IF(E1516="","",E1516*F1516)</f>
        <v/>
      </c>
      <c r="H1516" s="8">
        <f>IF(G1516="","",G1516-I1516)</f>
        <v/>
      </c>
      <c r="I1516" s="8">
        <f>IF(D1516="","",VLOOKUP(D1516, RECETTES!B:G, 6, FALSE)*E1516)</f>
        <v/>
      </c>
      <c r="J1516" s="8">
        <f>IF(G1516="","",G1516*0.20)</f>
        <v/>
      </c>
      <c r="K1516" s="8">
        <f>IF(G1516="","",G1516+J1516)</f>
        <v/>
      </c>
    </row>
    <row r="1517">
      <c r="F1517" s="8" t="n"/>
      <c r="G1517" s="8">
        <f>IF(E1517="","",E1517*F1517)</f>
        <v/>
      </c>
      <c r="H1517" s="8">
        <f>IF(G1517="","",G1517-I1517)</f>
        <v/>
      </c>
      <c r="I1517" s="8">
        <f>IF(D1517="","",VLOOKUP(D1517, RECETTES!B:G, 6, FALSE)*E1517)</f>
        <v/>
      </c>
      <c r="J1517" s="8">
        <f>IF(G1517="","",G1517*0.20)</f>
        <v/>
      </c>
      <c r="K1517" s="8">
        <f>IF(G1517="","",G1517+J1517)</f>
        <v/>
      </c>
    </row>
    <row r="1518">
      <c r="F1518" s="8" t="n"/>
      <c r="G1518" s="8">
        <f>IF(E1518="","",E1518*F1518)</f>
        <v/>
      </c>
      <c r="H1518" s="8">
        <f>IF(G1518="","",G1518-I1518)</f>
        <v/>
      </c>
      <c r="I1518" s="8">
        <f>IF(D1518="","",VLOOKUP(D1518, RECETTES!B:G, 6, FALSE)*E1518)</f>
        <v/>
      </c>
      <c r="J1518" s="8">
        <f>IF(G1518="","",G1518*0.20)</f>
        <v/>
      </c>
      <c r="K1518" s="8">
        <f>IF(G1518="","",G1518+J1518)</f>
        <v/>
      </c>
    </row>
    <row r="1519">
      <c r="F1519" s="8" t="n"/>
      <c r="G1519" s="8">
        <f>IF(E1519="","",E1519*F1519)</f>
        <v/>
      </c>
      <c r="H1519" s="8">
        <f>IF(G1519="","",G1519-I1519)</f>
        <v/>
      </c>
      <c r="I1519" s="8">
        <f>IF(D1519="","",VLOOKUP(D1519, RECETTES!B:G, 6, FALSE)*E1519)</f>
        <v/>
      </c>
      <c r="J1519" s="8">
        <f>IF(G1519="","",G1519*0.20)</f>
        <v/>
      </c>
      <c r="K1519" s="8">
        <f>IF(G1519="","",G1519+J1519)</f>
        <v/>
      </c>
    </row>
    <row r="1520">
      <c r="F1520" s="8" t="n"/>
      <c r="G1520" s="8">
        <f>IF(E1520="","",E1520*F1520)</f>
        <v/>
      </c>
      <c r="H1520" s="8">
        <f>IF(G1520="","",G1520-I1520)</f>
        <v/>
      </c>
      <c r="I1520" s="8">
        <f>IF(D1520="","",VLOOKUP(D1520, RECETTES!B:G, 6, FALSE)*E1520)</f>
        <v/>
      </c>
      <c r="J1520" s="8">
        <f>IF(G1520="","",G1520*0.20)</f>
        <v/>
      </c>
      <c r="K1520" s="8">
        <f>IF(G1520="","",G1520+J1520)</f>
        <v/>
      </c>
    </row>
    <row r="1521">
      <c r="F1521" s="8" t="n"/>
      <c r="G1521" s="8">
        <f>IF(E1521="","",E1521*F1521)</f>
        <v/>
      </c>
      <c r="H1521" s="8">
        <f>IF(G1521="","",G1521-I1521)</f>
        <v/>
      </c>
      <c r="I1521" s="8">
        <f>IF(D1521="","",VLOOKUP(D1521, RECETTES!B:G, 6, FALSE)*E1521)</f>
        <v/>
      </c>
      <c r="J1521" s="8">
        <f>IF(G1521="","",G1521*0.20)</f>
        <v/>
      </c>
      <c r="K1521" s="8">
        <f>IF(G1521="","",G1521+J1521)</f>
        <v/>
      </c>
    </row>
    <row r="1522">
      <c r="F1522" s="8" t="n"/>
      <c r="G1522" s="8">
        <f>IF(E1522="","",E1522*F1522)</f>
        <v/>
      </c>
      <c r="H1522" s="8">
        <f>IF(G1522="","",G1522-I1522)</f>
        <v/>
      </c>
      <c r="I1522" s="8">
        <f>IF(D1522="","",VLOOKUP(D1522, RECETTES!B:G, 6, FALSE)*E1522)</f>
        <v/>
      </c>
      <c r="J1522" s="8">
        <f>IF(G1522="","",G1522*0.20)</f>
        <v/>
      </c>
      <c r="K1522" s="8">
        <f>IF(G1522="","",G1522+J1522)</f>
        <v/>
      </c>
    </row>
    <row r="1523">
      <c r="F1523" s="8" t="n"/>
      <c r="G1523" s="8">
        <f>IF(E1523="","",E1523*F1523)</f>
        <v/>
      </c>
      <c r="H1523" s="8">
        <f>IF(G1523="","",G1523-I1523)</f>
        <v/>
      </c>
      <c r="I1523" s="8">
        <f>IF(D1523="","",VLOOKUP(D1523, RECETTES!B:G, 6, FALSE)*E1523)</f>
        <v/>
      </c>
      <c r="J1523" s="8">
        <f>IF(G1523="","",G1523*0.20)</f>
        <v/>
      </c>
      <c r="K1523" s="8">
        <f>IF(G1523="","",G1523+J1523)</f>
        <v/>
      </c>
    </row>
    <row r="1524">
      <c r="F1524" s="8" t="n"/>
      <c r="G1524" s="8">
        <f>IF(E1524="","",E1524*F1524)</f>
        <v/>
      </c>
      <c r="H1524" s="8">
        <f>IF(G1524="","",G1524-I1524)</f>
        <v/>
      </c>
      <c r="I1524" s="8">
        <f>IF(D1524="","",VLOOKUP(D1524, RECETTES!B:G, 6, FALSE)*E1524)</f>
        <v/>
      </c>
      <c r="J1524" s="8">
        <f>IF(G1524="","",G1524*0.20)</f>
        <v/>
      </c>
      <c r="K1524" s="8">
        <f>IF(G1524="","",G1524+J1524)</f>
        <v/>
      </c>
    </row>
    <row r="1525">
      <c r="F1525" s="8" t="n"/>
      <c r="G1525" s="8">
        <f>IF(E1525="","",E1525*F1525)</f>
        <v/>
      </c>
      <c r="H1525" s="8">
        <f>IF(G1525="","",G1525-I1525)</f>
        <v/>
      </c>
      <c r="I1525" s="8">
        <f>IF(D1525="","",VLOOKUP(D1525, RECETTES!B:G, 6, FALSE)*E1525)</f>
        <v/>
      </c>
      <c r="J1525" s="8">
        <f>IF(G1525="","",G1525*0.20)</f>
        <v/>
      </c>
      <c r="K1525" s="8">
        <f>IF(G1525="","",G1525+J1525)</f>
        <v/>
      </c>
    </row>
    <row r="1526">
      <c r="F1526" s="8" t="n"/>
      <c r="G1526" s="8">
        <f>IF(E1526="","",E1526*F1526)</f>
        <v/>
      </c>
      <c r="H1526" s="8">
        <f>IF(G1526="","",G1526-I1526)</f>
        <v/>
      </c>
      <c r="I1526" s="8">
        <f>IF(D1526="","",VLOOKUP(D1526, RECETTES!B:G, 6, FALSE)*E1526)</f>
        <v/>
      </c>
      <c r="J1526" s="8">
        <f>IF(G1526="","",G1526*0.20)</f>
        <v/>
      </c>
      <c r="K1526" s="8">
        <f>IF(G1526="","",G1526+J1526)</f>
        <v/>
      </c>
    </row>
    <row r="1527">
      <c r="F1527" s="8" t="n"/>
      <c r="G1527" s="8">
        <f>IF(E1527="","",E1527*F1527)</f>
        <v/>
      </c>
      <c r="H1527" s="8">
        <f>IF(G1527="","",G1527-I1527)</f>
        <v/>
      </c>
      <c r="I1527" s="8">
        <f>IF(D1527="","",VLOOKUP(D1527, RECETTES!B:G, 6, FALSE)*E1527)</f>
        <v/>
      </c>
      <c r="J1527" s="8">
        <f>IF(G1527="","",G1527*0.20)</f>
        <v/>
      </c>
      <c r="K1527" s="8">
        <f>IF(G1527="","",G1527+J1527)</f>
        <v/>
      </c>
    </row>
    <row r="1528">
      <c r="F1528" s="8" t="n"/>
      <c r="G1528" s="8">
        <f>IF(E1528="","",E1528*F1528)</f>
        <v/>
      </c>
      <c r="H1528" s="8">
        <f>IF(G1528="","",G1528-I1528)</f>
        <v/>
      </c>
      <c r="I1528" s="8">
        <f>IF(D1528="","",VLOOKUP(D1528, RECETTES!B:G, 6, FALSE)*E1528)</f>
        <v/>
      </c>
      <c r="J1528" s="8">
        <f>IF(G1528="","",G1528*0.20)</f>
        <v/>
      </c>
      <c r="K1528" s="8">
        <f>IF(G1528="","",G1528+J1528)</f>
        <v/>
      </c>
    </row>
    <row r="1529">
      <c r="F1529" s="8" t="n"/>
      <c r="G1529" s="8">
        <f>IF(E1529="","",E1529*F1529)</f>
        <v/>
      </c>
      <c r="H1529" s="8">
        <f>IF(G1529="","",G1529-I1529)</f>
        <v/>
      </c>
      <c r="I1529" s="8">
        <f>IF(D1529="","",VLOOKUP(D1529, RECETTES!B:G, 6, FALSE)*E1529)</f>
        <v/>
      </c>
      <c r="J1529" s="8">
        <f>IF(G1529="","",G1529*0.20)</f>
        <v/>
      </c>
      <c r="K1529" s="8">
        <f>IF(G1529="","",G1529+J1529)</f>
        <v/>
      </c>
    </row>
    <row r="1530">
      <c r="F1530" s="8" t="n"/>
      <c r="G1530" s="8">
        <f>IF(E1530="","",E1530*F1530)</f>
        <v/>
      </c>
      <c r="H1530" s="8">
        <f>IF(G1530="","",G1530-I1530)</f>
        <v/>
      </c>
      <c r="I1530" s="8">
        <f>IF(D1530="","",VLOOKUP(D1530, RECETTES!B:G, 6, FALSE)*E1530)</f>
        <v/>
      </c>
      <c r="J1530" s="8">
        <f>IF(G1530="","",G1530*0.20)</f>
        <v/>
      </c>
      <c r="K1530" s="8">
        <f>IF(G1530="","",G1530+J1530)</f>
        <v/>
      </c>
    </row>
    <row r="1531">
      <c r="F1531" s="8" t="n"/>
      <c r="G1531" s="8">
        <f>IF(E1531="","",E1531*F1531)</f>
        <v/>
      </c>
      <c r="H1531" s="8">
        <f>IF(G1531="","",G1531-I1531)</f>
        <v/>
      </c>
      <c r="I1531" s="8">
        <f>IF(D1531="","",VLOOKUP(D1531, RECETTES!B:G, 6, FALSE)*E1531)</f>
        <v/>
      </c>
      <c r="J1531" s="8">
        <f>IF(G1531="","",G1531*0.20)</f>
        <v/>
      </c>
      <c r="K1531" s="8">
        <f>IF(G1531="","",G1531+J1531)</f>
        <v/>
      </c>
    </row>
    <row r="1532">
      <c r="F1532" s="8" t="n"/>
      <c r="G1532" s="8">
        <f>IF(E1532="","",E1532*F1532)</f>
        <v/>
      </c>
      <c r="H1532" s="8">
        <f>IF(G1532="","",G1532-I1532)</f>
        <v/>
      </c>
      <c r="I1532" s="8">
        <f>IF(D1532="","",VLOOKUP(D1532, RECETTES!B:G, 6, FALSE)*E1532)</f>
        <v/>
      </c>
      <c r="J1532" s="8">
        <f>IF(G1532="","",G1532*0.20)</f>
        <v/>
      </c>
      <c r="K1532" s="8">
        <f>IF(G1532="","",G1532+J1532)</f>
        <v/>
      </c>
    </row>
    <row r="1533">
      <c r="F1533" s="8" t="n"/>
      <c r="G1533" s="8">
        <f>IF(E1533="","",E1533*F1533)</f>
        <v/>
      </c>
      <c r="H1533" s="8">
        <f>IF(G1533="","",G1533-I1533)</f>
        <v/>
      </c>
      <c r="I1533" s="8">
        <f>IF(D1533="","",VLOOKUP(D1533, RECETTES!B:G, 6, FALSE)*E1533)</f>
        <v/>
      </c>
      <c r="J1533" s="8">
        <f>IF(G1533="","",G1533*0.20)</f>
        <v/>
      </c>
      <c r="K1533" s="8">
        <f>IF(G1533="","",G1533+J1533)</f>
        <v/>
      </c>
    </row>
    <row r="1534">
      <c r="F1534" s="8" t="n"/>
      <c r="G1534" s="8">
        <f>IF(E1534="","",E1534*F1534)</f>
        <v/>
      </c>
      <c r="H1534" s="8">
        <f>IF(G1534="","",G1534-I1534)</f>
        <v/>
      </c>
      <c r="I1534" s="8">
        <f>IF(D1534="","",VLOOKUP(D1534, RECETTES!B:G, 6, FALSE)*E1534)</f>
        <v/>
      </c>
      <c r="J1534" s="8">
        <f>IF(G1534="","",G1534*0.20)</f>
        <v/>
      </c>
      <c r="K1534" s="8">
        <f>IF(G1534="","",G1534+J1534)</f>
        <v/>
      </c>
    </row>
    <row r="1535">
      <c r="F1535" s="8" t="n"/>
      <c r="G1535" s="8">
        <f>IF(E1535="","",E1535*F1535)</f>
        <v/>
      </c>
      <c r="H1535" s="8">
        <f>IF(G1535="","",G1535-I1535)</f>
        <v/>
      </c>
      <c r="I1535" s="8">
        <f>IF(D1535="","",VLOOKUP(D1535, RECETTES!B:G, 6, FALSE)*E1535)</f>
        <v/>
      </c>
      <c r="J1535" s="8">
        <f>IF(G1535="","",G1535*0.20)</f>
        <v/>
      </c>
      <c r="K1535" s="8">
        <f>IF(G1535="","",G1535+J1535)</f>
        <v/>
      </c>
    </row>
    <row r="1536">
      <c r="F1536" s="8" t="n"/>
      <c r="G1536" s="8">
        <f>IF(E1536="","",E1536*F1536)</f>
        <v/>
      </c>
      <c r="H1536" s="8">
        <f>IF(G1536="","",G1536-I1536)</f>
        <v/>
      </c>
      <c r="I1536" s="8">
        <f>IF(D1536="","",VLOOKUP(D1536, RECETTES!B:G, 6, FALSE)*E1536)</f>
        <v/>
      </c>
      <c r="J1536" s="8">
        <f>IF(G1536="","",G1536*0.20)</f>
        <v/>
      </c>
      <c r="K1536" s="8">
        <f>IF(G1536="","",G1536+J1536)</f>
        <v/>
      </c>
    </row>
    <row r="1537">
      <c r="F1537" s="8" t="n"/>
      <c r="G1537" s="8">
        <f>IF(E1537="","",E1537*F1537)</f>
        <v/>
      </c>
      <c r="H1537" s="8">
        <f>IF(G1537="","",G1537-I1537)</f>
        <v/>
      </c>
      <c r="I1537" s="8">
        <f>IF(D1537="","",VLOOKUP(D1537, RECETTES!B:G, 6, FALSE)*E1537)</f>
        <v/>
      </c>
      <c r="J1537" s="8">
        <f>IF(G1537="","",G1537*0.20)</f>
        <v/>
      </c>
      <c r="K1537" s="8">
        <f>IF(G1537="","",G1537+J1537)</f>
        <v/>
      </c>
    </row>
    <row r="1538">
      <c r="F1538" s="8" t="n"/>
      <c r="G1538" s="8">
        <f>IF(E1538="","",E1538*F1538)</f>
        <v/>
      </c>
      <c r="H1538" s="8">
        <f>IF(G1538="","",G1538-I1538)</f>
        <v/>
      </c>
      <c r="I1538" s="8">
        <f>IF(D1538="","",VLOOKUP(D1538, RECETTES!B:G, 6, FALSE)*E1538)</f>
        <v/>
      </c>
      <c r="J1538" s="8">
        <f>IF(G1538="","",G1538*0.20)</f>
        <v/>
      </c>
      <c r="K1538" s="8">
        <f>IF(G1538="","",G1538+J1538)</f>
        <v/>
      </c>
    </row>
    <row r="1539">
      <c r="F1539" s="8" t="n"/>
      <c r="G1539" s="8">
        <f>IF(E1539="","",E1539*F1539)</f>
        <v/>
      </c>
      <c r="H1539" s="8">
        <f>IF(G1539="","",G1539-I1539)</f>
        <v/>
      </c>
      <c r="I1539" s="8">
        <f>IF(D1539="","",VLOOKUP(D1539, RECETTES!B:G, 6, FALSE)*E1539)</f>
        <v/>
      </c>
      <c r="J1539" s="8">
        <f>IF(G1539="","",G1539*0.20)</f>
        <v/>
      </c>
      <c r="K1539" s="8">
        <f>IF(G1539="","",G1539+J1539)</f>
        <v/>
      </c>
    </row>
    <row r="1540">
      <c r="F1540" s="8" t="n"/>
      <c r="G1540" s="8">
        <f>IF(E1540="","",E1540*F1540)</f>
        <v/>
      </c>
      <c r="H1540" s="8">
        <f>IF(G1540="","",G1540-I1540)</f>
        <v/>
      </c>
      <c r="I1540" s="8">
        <f>IF(D1540="","",VLOOKUP(D1540, RECETTES!B:G, 6, FALSE)*E1540)</f>
        <v/>
      </c>
      <c r="J1540" s="8">
        <f>IF(G1540="","",G1540*0.20)</f>
        <v/>
      </c>
      <c r="K1540" s="8">
        <f>IF(G1540="","",G1540+J1540)</f>
        <v/>
      </c>
    </row>
    <row r="1541">
      <c r="F1541" s="8" t="n"/>
      <c r="G1541" s="8">
        <f>IF(E1541="","",E1541*F1541)</f>
        <v/>
      </c>
      <c r="H1541" s="8">
        <f>IF(G1541="","",G1541-I1541)</f>
        <v/>
      </c>
      <c r="I1541" s="8">
        <f>IF(D1541="","",VLOOKUP(D1541, RECETTES!B:G, 6, FALSE)*E1541)</f>
        <v/>
      </c>
      <c r="J1541" s="8">
        <f>IF(G1541="","",G1541*0.20)</f>
        <v/>
      </c>
      <c r="K1541" s="8">
        <f>IF(G1541="","",G1541+J1541)</f>
        <v/>
      </c>
    </row>
    <row r="1542">
      <c r="F1542" s="8" t="n"/>
      <c r="G1542" s="8">
        <f>IF(E1542="","",E1542*F1542)</f>
        <v/>
      </c>
      <c r="H1542" s="8">
        <f>IF(G1542="","",G1542-I1542)</f>
        <v/>
      </c>
      <c r="I1542" s="8">
        <f>IF(D1542="","",VLOOKUP(D1542, RECETTES!B:G, 6, FALSE)*E1542)</f>
        <v/>
      </c>
      <c r="J1542" s="8">
        <f>IF(G1542="","",G1542*0.20)</f>
        <v/>
      </c>
      <c r="K1542" s="8">
        <f>IF(G1542="","",G1542+J1542)</f>
        <v/>
      </c>
    </row>
    <row r="1543">
      <c r="F1543" s="8" t="n"/>
      <c r="G1543" s="8">
        <f>IF(E1543="","",E1543*F1543)</f>
        <v/>
      </c>
      <c r="H1543" s="8">
        <f>IF(G1543="","",G1543-I1543)</f>
        <v/>
      </c>
      <c r="I1543" s="8">
        <f>IF(D1543="","",VLOOKUP(D1543, RECETTES!B:G, 6, FALSE)*E1543)</f>
        <v/>
      </c>
      <c r="J1543" s="8">
        <f>IF(G1543="","",G1543*0.20)</f>
        <v/>
      </c>
      <c r="K1543" s="8">
        <f>IF(G1543="","",G1543+J1543)</f>
        <v/>
      </c>
    </row>
    <row r="1544">
      <c r="F1544" s="8" t="n"/>
      <c r="G1544" s="8">
        <f>IF(E1544="","",E1544*F1544)</f>
        <v/>
      </c>
      <c r="H1544" s="8">
        <f>IF(G1544="","",G1544-I1544)</f>
        <v/>
      </c>
      <c r="I1544" s="8">
        <f>IF(D1544="","",VLOOKUP(D1544, RECETTES!B:G, 6, FALSE)*E1544)</f>
        <v/>
      </c>
      <c r="J1544" s="8">
        <f>IF(G1544="","",G1544*0.20)</f>
        <v/>
      </c>
      <c r="K1544" s="8">
        <f>IF(G1544="","",G1544+J1544)</f>
        <v/>
      </c>
    </row>
    <row r="1545">
      <c r="F1545" s="8" t="n"/>
      <c r="G1545" s="8">
        <f>IF(E1545="","",E1545*F1545)</f>
        <v/>
      </c>
      <c r="H1545" s="8">
        <f>IF(G1545="","",G1545-I1545)</f>
        <v/>
      </c>
      <c r="I1545" s="8">
        <f>IF(D1545="","",VLOOKUP(D1545, RECETTES!B:G, 6, FALSE)*E1545)</f>
        <v/>
      </c>
      <c r="J1545" s="8">
        <f>IF(G1545="","",G1545*0.20)</f>
        <v/>
      </c>
      <c r="K1545" s="8">
        <f>IF(G1545="","",G1545+J1545)</f>
        <v/>
      </c>
    </row>
    <row r="1546">
      <c r="F1546" s="8" t="n"/>
      <c r="G1546" s="8">
        <f>IF(E1546="","",E1546*F1546)</f>
        <v/>
      </c>
      <c r="H1546" s="8">
        <f>IF(G1546="","",G1546-I1546)</f>
        <v/>
      </c>
      <c r="I1546" s="8">
        <f>IF(D1546="","",VLOOKUP(D1546, RECETTES!B:G, 6, FALSE)*E1546)</f>
        <v/>
      </c>
      <c r="J1546" s="8">
        <f>IF(G1546="","",G1546*0.20)</f>
        <v/>
      </c>
      <c r="K1546" s="8">
        <f>IF(G1546="","",G1546+J1546)</f>
        <v/>
      </c>
    </row>
    <row r="1547">
      <c r="F1547" s="8" t="n"/>
      <c r="G1547" s="8">
        <f>IF(E1547="","",E1547*F1547)</f>
        <v/>
      </c>
      <c r="H1547" s="8">
        <f>IF(G1547="","",G1547-I1547)</f>
        <v/>
      </c>
      <c r="I1547" s="8">
        <f>IF(D1547="","",VLOOKUP(D1547, RECETTES!B:G, 6, FALSE)*E1547)</f>
        <v/>
      </c>
      <c r="J1547" s="8">
        <f>IF(G1547="","",G1547*0.20)</f>
        <v/>
      </c>
      <c r="K1547" s="8">
        <f>IF(G1547="","",G1547+J1547)</f>
        <v/>
      </c>
    </row>
    <row r="1548">
      <c r="F1548" s="8" t="n"/>
      <c r="G1548" s="8">
        <f>IF(E1548="","",E1548*F1548)</f>
        <v/>
      </c>
      <c r="H1548" s="8">
        <f>IF(G1548="","",G1548-I1548)</f>
        <v/>
      </c>
      <c r="I1548" s="8">
        <f>IF(D1548="","",VLOOKUP(D1548, RECETTES!B:G, 6, FALSE)*E1548)</f>
        <v/>
      </c>
      <c r="J1548" s="8">
        <f>IF(G1548="","",G1548*0.20)</f>
        <v/>
      </c>
      <c r="K1548" s="8">
        <f>IF(G1548="","",G1548+J1548)</f>
        <v/>
      </c>
    </row>
    <row r="1549">
      <c r="F1549" s="8" t="n"/>
      <c r="G1549" s="8">
        <f>IF(E1549="","",E1549*F1549)</f>
        <v/>
      </c>
      <c r="H1549" s="8">
        <f>IF(G1549="","",G1549-I1549)</f>
        <v/>
      </c>
      <c r="I1549" s="8">
        <f>IF(D1549="","",VLOOKUP(D1549, RECETTES!B:G, 6, FALSE)*E1549)</f>
        <v/>
      </c>
      <c r="J1549" s="8">
        <f>IF(G1549="","",G1549*0.20)</f>
        <v/>
      </c>
      <c r="K1549" s="8">
        <f>IF(G1549="","",G1549+J1549)</f>
        <v/>
      </c>
    </row>
    <row r="1550">
      <c r="F1550" s="8" t="n"/>
      <c r="G1550" s="8">
        <f>IF(E1550="","",E1550*F1550)</f>
        <v/>
      </c>
      <c r="H1550" s="8">
        <f>IF(G1550="","",G1550-I1550)</f>
        <v/>
      </c>
      <c r="I1550" s="8">
        <f>IF(D1550="","",VLOOKUP(D1550, RECETTES!B:G, 6, FALSE)*E1550)</f>
        <v/>
      </c>
      <c r="J1550" s="8">
        <f>IF(G1550="","",G1550*0.20)</f>
        <v/>
      </c>
      <c r="K1550" s="8">
        <f>IF(G1550="","",G1550+J1550)</f>
        <v/>
      </c>
    </row>
    <row r="1551">
      <c r="F1551" s="8" t="n"/>
      <c r="G1551" s="8">
        <f>IF(E1551="","",E1551*F1551)</f>
        <v/>
      </c>
      <c r="H1551" s="8">
        <f>IF(G1551="","",G1551-I1551)</f>
        <v/>
      </c>
      <c r="I1551" s="8">
        <f>IF(D1551="","",VLOOKUP(D1551, RECETTES!B:G, 6, FALSE)*E1551)</f>
        <v/>
      </c>
      <c r="J1551" s="8">
        <f>IF(G1551="","",G1551*0.20)</f>
        <v/>
      </c>
      <c r="K1551" s="8">
        <f>IF(G1551="","",G1551+J1551)</f>
        <v/>
      </c>
    </row>
    <row r="1552">
      <c r="F1552" s="8" t="n"/>
      <c r="G1552" s="8">
        <f>IF(E1552="","",E1552*F1552)</f>
        <v/>
      </c>
      <c r="H1552" s="8">
        <f>IF(G1552="","",G1552-I1552)</f>
        <v/>
      </c>
      <c r="I1552" s="8">
        <f>IF(D1552="","",VLOOKUP(D1552, RECETTES!B:G, 6, FALSE)*E1552)</f>
        <v/>
      </c>
      <c r="J1552" s="8">
        <f>IF(G1552="","",G1552*0.20)</f>
        <v/>
      </c>
      <c r="K1552" s="8">
        <f>IF(G1552="","",G1552+J1552)</f>
        <v/>
      </c>
    </row>
    <row r="1553">
      <c r="F1553" s="8" t="n"/>
      <c r="G1553" s="8">
        <f>IF(E1553="","",E1553*F1553)</f>
        <v/>
      </c>
      <c r="H1553" s="8">
        <f>IF(G1553="","",G1553-I1553)</f>
        <v/>
      </c>
      <c r="I1553" s="8">
        <f>IF(D1553="","",VLOOKUP(D1553, RECETTES!B:G, 6, FALSE)*E1553)</f>
        <v/>
      </c>
      <c r="J1553" s="8">
        <f>IF(G1553="","",G1553*0.20)</f>
        <v/>
      </c>
      <c r="K1553" s="8">
        <f>IF(G1553="","",G1553+J1553)</f>
        <v/>
      </c>
    </row>
    <row r="1554">
      <c r="F1554" s="8" t="n"/>
      <c r="G1554" s="8">
        <f>IF(E1554="","",E1554*F1554)</f>
        <v/>
      </c>
      <c r="H1554" s="8">
        <f>IF(G1554="","",G1554-I1554)</f>
        <v/>
      </c>
      <c r="I1554" s="8">
        <f>IF(D1554="","",VLOOKUP(D1554, RECETTES!B:G, 6, FALSE)*E1554)</f>
        <v/>
      </c>
      <c r="J1554" s="8">
        <f>IF(G1554="","",G1554*0.20)</f>
        <v/>
      </c>
      <c r="K1554" s="8">
        <f>IF(G1554="","",G1554+J1554)</f>
        <v/>
      </c>
    </row>
    <row r="1555">
      <c r="F1555" s="8" t="n"/>
      <c r="G1555" s="8">
        <f>IF(E1555="","",E1555*F1555)</f>
        <v/>
      </c>
      <c r="H1555" s="8">
        <f>IF(G1555="","",G1555-I1555)</f>
        <v/>
      </c>
      <c r="I1555" s="8">
        <f>IF(D1555="","",VLOOKUP(D1555, RECETTES!B:G, 6, FALSE)*E1555)</f>
        <v/>
      </c>
      <c r="J1555" s="8">
        <f>IF(G1555="","",G1555*0.20)</f>
        <v/>
      </c>
      <c r="K1555" s="8">
        <f>IF(G1555="","",G1555+J1555)</f>
        <v/>
      </c>
    </row>
    <row r="1556">
      <c r="F1556" s="8" t="n"/>
      <c r="G1556" s="8">
        <f>IF(E1556="","",E1556*F1556)</f>
        <v/>
      </c>
      <c r="H1556" s="8">
        <f>IF(G1556="","",G1556-I1556)</f>
        <v/>
      </c>
      <c r="I1556" s="8">
        <f>IF(D1556="","",VLOOKUP(D1556, RECETTES!B:G, 6, FALSE)*E1556)</f>
        <v/>
      </c>
      <c r="J1556" s="8">
        <f>IF(G1556="","",G1556*0.20)</f>
        <v/>
      </c>
      <c r="K1556" s="8">
        <f>IF(G1556="","",G1556+J1556)</f>
        <v/>
      </c>
    </row>
    <row r="1557">
      <c r="F1557" s="8" t="n"/>
      <c r="G1557" s="8">
        <f>IF(E1557="","",E1557*F1557)</f>
        <v/>
      </c>
      <c r="H1557" s="8">
        <f>IF(G1557="","",G1557-I1557)</f>
        <v/>
      </c>
      <c r="I1557" s="8">
        <f>IF(D1557="","",VLOOKUP(D1557, RECETTES!B:G, 6, FALSE)*E1557)</f>
        <v/>
      </c>
      <c r="J1557" s="8">
        <f>IF(G1557="","",G1557*0.20)</f>
        <v/>
      </c>
      <c r="K1557" s="8">
        <f>IF(G1557="","",G1557+J1557)</f>
        <v/>
      </c>
    </row>
    <row r="1558">
      <c r="F1558" s="8" t="n"/>
      <c r="G1558" s="8">
        <f>IF(E1558="","",E1558*F1558)</f>
        <v/>
      </c>
      <c r="H1558" s="8">
        <f>IF(G1558="","",G1558-I1558)</f>
        <v/>
      </c>
      <c r="I1558" s="8">
        <f>IF(D1558="","",VLOOKUP(D1558, RECETTES!B:G, 6, FALSE)*E1558)</f>
        <v/>
      </c>
      <c r="J1558" s="8">
        <f>IF(G1558="","",G1558*0.20)</f>
        <v/>
      </c>
      <c r="K1558" s="8">
        <f>IF(G1558="","",G1558+J1558)</f>
        <v/>
      </c>
    </row>
    <row r="1559">
      <c r="F1559" s="8" t="n"/>
      <c r="G1559" s="8">
        <f>IF(E1559="","",E1559*F1559)</f>
        <v/>
      </c>
      <c r="H1559" s="8">
        <f>IF(G1559="","",G1559-I1559)</f>
        <v/>
      </c>
      <c r="I1559" s="8">
        <f>IF(D1559="","",VLOOKUP(D1559, RECETTES!B:G, 6, FALSE)*E1559)</f>
        <v/>
      </c>
      <c r="J1559" s="8">
        <f>IF(G1559="","",G1559*0.20)</f>
        <v/>
      </c>
      <c r="K1559" s="8">
        <f>IF(G1559="","",G1559+J1559)</f>
        <v/>
      </c>
    </row>
    <row r="1560">
      <c r="F1560" s="8" t="n"/>
      <c r="G1560" s="8">
        <f>IF(E1560="","",E1560*F1560)</f>
        <v/>
      </c>
      <c r="H1560" s="8">
        <f>IF(G1560="","",G1560-I1560)</f>
        <v/>
      </c>
      <c r="I1560" s="8">
        <f>IF(D1560="","",VLOOKUP(D1560, RECETTES!B:G, 6, FALSE)*E1560)</f>
        <v/>
      </c>
      <c r="J1560" s="8">
        <f>IF(G1560="","",G1560*0.20)</f>
        <v/>
      </c>
      <c r="K1560" s="8">
        <f>IF(G1560="","",G1560+J1560)</f>
        <v/>
      </c>
    </row>
    <row r="1561">
      <c r="F1561" s="8" t="n"/>
      <c r="G1561" s="8">
        <f>IF(E1561="","",E1561*F1561)</f>
        <v/>
      </c>
      <c r="H1561" s="8">
        <f>IF(G1561="","",G1561-I1561)</f>
        <v/>
      </c>
      <c r="I1561" s="8">
        <f>IF(D1561="","",VLOOKUP(D1561, RECETTES!B:G, 6, FALSE)*E1561)</f>
        <v/>
      </c>
      <c r="J1561" s="8">
        <f>IF(G1561="","",G1561*0.20)</f>
        <v/>
      </c>
      <c r="K1561" s="8">
        <f>IF(G1561="","",G1561+J1561)</f>
        <v/>
      </c>
    </row>
    <row r="1562">
      <c r="F1562" s="8" t="n"/>
      <c r="G1562" s="8">
        <f>IF(E1562="","",E1562*F1562)</f>
        <v/>
      </c>
      <c r="H1562" s="8">
        <f>IF(G1562="","",G1562-I1562)</f>
        <v/>
      </c>
      <c r="I1562" s="8">
        <f>IF(D1562="","",VLOOKUP(D1562, RECETTES!B:G, 6, FALSE)*E1562)</f>
        <v/>
      </c>
      <c r="J1562" s="8">
        <f>IF(G1562="","",G1562*0.20)</f>
        <v/>
      </c>
      <c r="K1562" s="8">
        <f>IF(G1562="","",G1562+J1562)</f>
        <v/>
      </c>
    </row>
    <row r="1563">
      <c r="F1563" s="8" t="n"/>
      <c r="G1563" s="8">
        <f>IF(E1563="","",E1563*F1563)</f>
        <v/>
      </c>
      <c r="H1563" s="8">
        <f>IF(G1563="","",G1563-I1563)</f>
        <v/>
      </c>
      <c r="I1563" s="8">
        <f>IF(D1563="","",VLOOKUP(D1563, RECETTES!B:G, 6, FALSE)*E1563)</f>
        <v/>
      </c>
      <c r="J1563" s="8">
        <f>IF(G1563="","",G1563*0.20)</f>
        <v/>
      </c>
      <c r="K1563" s="8">
        <f>IF(G1563="","",G1563+J1563)</f>
        <v/>
      </c>
    </row>
    <row r="1564">
      <c r="F1564" s="8" t="n"/>
      <c r="G1564" s="8">
        <f>IF(E1564="","",E1564*F1564)</f>
        <v/>
      </c>
      <c r="H1564" s="8">
        <f>IF(G1564="","",G1564-I1564)</f>
        <v/>
      </c>
      <c r="I1564" s="8">
        <f>IF(D1564="","",VLOOKUP(D1564, RECETTES!B:G, 6, FALSE)*E1564)</f>
        <v/>
      </c>
      <c r="J1564" s="8">
        <f>IF(G1564="","",G1564*0.20)</f>
        <v/>
      </c>
      <c r="K1564" s="8">
        <f>IF(G1564="","",G1564+J1564)</f>
        <v/>
      </c>
    </row>
    <row r="1565">
      <c r="F1565" s="8" t="n"/>
      <c r="G1565" s="8">
        <f>IF(E1565="","",E1565*F1565)</f>
        <v/>
      </c>
      <c r="H1565" s="8">
        <f>IF(G1565="","",G1565-I1565)</f>
        <v/>
      </c>
      <c r="I1565" s="8">
        <f>IF(D1565="","",VLOOKUP(D1565, RECETTES!B:G, 6, FALSE)*E1565)</f>
        <v/>
      </c>
      <c r="J1565" s="8">
        <f>IF(G1565="","",G1565*0.20)</f>
        <v/>
      </c>
      <c r="K1565" s="8">
        <f>IF(G1565="","",G1565+J1565)</f>
        <v/>
      </c>
    </row>
    <row r="1566">
      <c r="F1566" s="8" t="n"/>
      <c r="G1566" s="8">
        <f>IF(E1566="","",E1566*F1566)</f>
        <v/>
      </c>
      <c r="H1566" s="8">
        <f>IF(G1566="","",G1566-I1566)</f>
        <v/>
      </c>
      <c r="I1566" s="8">
        <f>IF(D1566="","",VLOOKUP(D1566, RECETTES!B:G, 6, FALSE)*E1566)</f>
        <v/>
      </c>
      <c r="J1566" s="8">
        <f>IF(G1566="","",G1566*0.20)</f>
        <v/>
      </c>
      <c r="K1566" s="8">
        <f>IF(G1566="","",G1566+J1566)</f>
        <v/>
      </c>
    </row>
    <row r="1567">
      <c r="F1567" s="8" t="n"/>
      <c r="G1567" s="8">
        <f>IF(E1567="","",E1567*F1567)</f>
        <v/>
      </c>
      <c r="H1567" s="8">
        <f>IF(G1567="","",G1567-I1567)</f>
        <v/>
      </c>
      <c r="I1567" s="8">
        <f>IF(D1567="","",VLOOKUP(D1567, RECETTES!B:G, 6, FALSE)*E1567)</f>
        <v/>
      </c>
      <c r="J1567" s="8">
        <f>IF(G1567="","",G1567*0.20)</f>
        <v/>
      </c>
      <c r="K1567" s="8">
        <f>IF(G1567="","",G1567+J1567)</f>
        <v/>
      </c>
    </row>
    <row r="1568">
      <c r="F1568" s="8" t="n"/>
      <c r="G1568" s="8">
        <f>IF(E1568="","",E1568*F1568)</f>
        <v/>
      </c>
      <c r="H1568" s="8">
        <f>IF(G1568="","",G1568-I1568)</f>
        <v/>
      </c>
      <c r="I1568" s="8">
        <f>IF(D1568="","",VLOOKUP(D1568, RECETTES!B:G, 6, FALSE)*E1568)</f>
        <v/>
      </c>
      <c r="J1568" s="8">
        <f>IF(G1568="","",G1568*0.20)</f>
        <v/>
      </c>
      <c r="K1568" s="8">
        <f>IF(G1568="","",G1568+J1568)</f>
        <v/>
      </c>
    </row>
    <row r="1569">
      <c r="F1569" s="8" t="n"/>
      <c r="G1569" s="8">
        <f>IF(E1569="","",E1569*F1569)</f>
        <v/>
      </c>
      <c r="H1569" s="8">
        <f>IF(G1569="","",G1569-I1569)</f>
        <v/>
      </c>
      <c r="I1569" s="8">
        <f>IF(D1569="","",VLOOKUP(D1569, RECETTES!B:G, 6, FALSE)*E1569)</f>
        <v/>
      </c>
      <c r="J1569" s="8">
        <f>IF(G1569="","",G1569*0.20)</f>
        <v/>
      </c>
      <c r="K1569" s="8">
        <f>IF(G1569="","",G1569+J1569)</f>
        <v/>
      </c>
    </row>
    <row r="1570">
      <c r="F1570" s="8" t="n"/>
      <c r="G1570" s="8">
        <f>IF(E1570="","",E1570*F1570)</f>
        <v/>
      </c>
      <c r="H1570" s="8">
        <f>IF(G1570="","",G1570-I1570)</f>
        <v/>
      </c>
      <c r="I1570" s="8">
        <f>IF(D1570="","",VLOOKUP(D1570, RECETTES!B:G, 6, FALSE)*E1570)</f>
        <v/>
      </c>
      <c r="J1570" s="8">
        <f>IF(G1570="","",G1570*0.20)</f>
        <v/>
      </c>
      <c r="K1570" s="8">
        <f>IF(G1570="","",G1570+J1570)</f>
        <v/>
      </c>
    </row>
    <row r="1571">
      <c r="F1571" s="8" t="n"/>
      <c r="G1571" s="8">
        <f>IF(E1571="","",E1571*F1571)</f>
        <v/>
      </c>
      <c r="H1571" s="8">
        <f>IF(G1571="","",G1571-I1571)</f>
        <v/>
      </c>
      <c r="I1571" s="8">
        <f>IF(D1571="","",VLOOKUP(D1571, RECETTES!B:G, 6, FALSE)*E1571)</f>
        <v/>
      </c>
      <c r="J1571" s="8">
        <f>IF(G1571="","",G1571*0.20)</f>
        <v/>
      </c>
      <c r="K1571" s="8">
        <f>IF(G1571="","",G1571+J1571)</f>
        <v/>
      </c>
    </row>
    <row r="1572">
      <c r="F1572" s="8" t="n"/>
      <c r="G1572" s="8">
        <f>IF(E1572="","",E1572*F1572)</f>
        <v/>
      </c>
      <c r="H1572" s="8">
        <f>IF(G1572="","",G1572-I1572)</f>
        <v/>
      </c>
      <c r="I1572" s="8">
        <f>IF(D1572="","",VLOOKUP(D1572, RECETTES!B:G, 6, FALSE)*E1572)</f>
        <v/>
      </c>
      <c r="J1572" s="8">
        <f>IF(G1572="","",G1572*0.20)</f>
        <v/>
      </c>
      <c r="K1572" s="8">
        <f>IF(G1572="","",G1572+J1572)</f>
        <v/>
      </c>
    </row>
    <row r="1573">
      <c r="F1573" s="8" t="n"/>
      <c r="G1573" s="8">
        <f>IF(E1573="","",E1573*F1573)</f>
        <v/>
      </c>
      <c r="H1573" s="8">
        <f>IF(G1573="","",G1573-I1573)</f>
        <v/>
      </c>
      <c r="I1573" s="8">
        <f>IF(D1573="","",VLOOKUP(D1573, RECETTES!B:G, 6, FALSE)*E1573)</f>
        <v/>
      </c>
      <c r="J1573" s="8">
        <f>IF(G1573="","",G1573*0.20)</f>
        <v/>
      </c>
      <c r="K1573" s="8">
        <f>IF(G1573="","",G1573+J1573)</f>
        <v/>
      </c>
    </row>
    <row r="1574">
      <c r="F1574" s="8" t="n"/>
      <c r="G1574" s="8">
        <f>IF(E1574="","",E1574*F1574)</f>
        <v/>
      </c>
      <c r="H1574" s="8">
        <f>IF(G1574="","",G1574-I1574)</f>
        <v/>
      </c>
      <c r="I1574" s="8">
        <f>IF(D1574="","",VLOOKUP(D1574, RECETTES!B:G, 6, FALSE)*E1574)</f>
        <v/>
      </c>
      <c r="J1574" s="8">
        <f>IF(G1574="","",G1574*0.20)</f>
        <v/>
      </c>
      <c r="K1574" s="8">
        <f>IF(G1574="","",G1574+J1574)</f>
        <v/>
      </c>
    </row>
    <row r="1575">
      <c r="F1575" s="8" t="n"/>
      <c r="G1575" s="8">
        <f>IF(E1575="","",E1575*F1575)</f>
        <v/>
      </c>
      <c r="H1575" s="8">
        <f>IF(G1575="","",G1575-I1575)</f>
        <v/>
      </c>
      <c r="I1575" s="8">
        <f>IF(D1575="","",VLOOKUP(D1575, RECETTES!B:G, 6, FALSE)*E1575)</f>
        <v/>
      </c>
      <c r="J1575" s="8">
        <f>IF(G1575="","",G1575*0.20)</f>
        <v/>
      </c>
      <c r="K1575" s="8">
        <f>IF(G1575="","",G1575+J1575)</f>
        <v/>
      </c>
    </row>
    <row r="1576">
      <c r="F1576" s="8" t="n"/>
      <c r="G1576" s="8">
        <f>IF(E1576="","",E1576*F1576)</f>
        <v/>
      </c>
      <c r="H1576" s="8">
        <f>IF(G1576="","",G1576-I1576)</f>
        <v/>
      </c>
      <c r="I1576" s="8">
        <f>IF(D1576="","",VLOOKUP(D1576, RECETTES!B:G, 6, FALSE)*E1576)</f>
        <v/>
      </c>
      <c r="J1576" s="8">
        <f>IF(G1576="","",G1576*0.20)</f>
        <v/>
      </c>
      <c r="K1576" s="8">
        <f>IF(G1576="","",G1576+J1576)</f>
        <v/>
      </c>
    </row>
    <row r="1577">
      <c r="F1577" s="8" t="n"/>
      <c r="G1577" s="8">
        <f>IF(E1577="","",E1577*F1577)</f>
        <v/>
      </c>
      <c r="H1577" s="8">
        <f>IF(G1577="","",G1577-I1577)</f>
        <v/>
      </c>
      <c r="I1577" s="8">
        <f>IF(D1577="","",VLOOKUP(D1577, RECETTES!B:G, 6, FALSE)*E1577)</f>
        <v/>
      </c>
      <c r="J1577" s="8">
        <f>IF(G1577="","",G1577*0.20)</f>
        <v/>
      </c>
      <c r="K1577" s="8">
        <f>IF(G1577="","",G1577+J1577)</f>
        <v/>
      </c>
    </row>
    <row r="1578">
      <c r="F1578" s="8" t="n"/>
      <c r="G1578" s="8">
        <f>IF(E1578="","",E1578*F1578)</f>
        <v/>
      </c>
      <c r="H1578" s="8">
        <f>IF(G1578="","",G1578-I1578)</f>
        <v/>
      </c>
      <c r="I1578" s="8">
        <f>IF(D1578="","",VLOOKUP(D1578, RECETTES!B:G, 6, FALSE)*E1578)</f>
        <v/>
      </c>
      <c r="J1578" s="8">
        <f>IF(G1578="","",G1578*0.20)</f>
        <v/>
      </c>
      <c r="K1578" s="8">
        <f>IF(G1578="","",G1578+J1578)</f>
        <v/>
      </c>
    </row>
    <row r="1579">
      <c r="F1579" s="8" t="n"/>
      <c r="G1579" s="8">
        <f>IF(E1579="","",E1579*F1579)</f>
        <v/>
      </c>
      <c r="H1579" s="8">
        <f>IF(G1579="","",G1579-I1579)</f>
        <v/>
      </c>
      <c r="I1579" s="8">
        <f>IF(D1579="","",VLOOKUP(D1579, RECETTES!B:G, 6, FALSE)*E1579)</f>
        <v/>
      </c>
      <c r="J1579" s="8">
        <f>IF(G1579="","",G1579*0.20)</f>
        <v/>
      </c>
      <c r="K1579" s="8">
        <f>IF(G1579="","",G1579+J1579)</f>
        <v/>
      </c>
    </row>
    <row r="1580">
      <c r="F1580" s="8" t="n"/>
      <c r="G1580" s="8">
        <f>IF(E1580="","",E1580*F1580)</f>
        <v/>
      </c>
      <c r="H1580" s="8">
        <f>IF(G1580="","",G1580-I1580)</f>
        <v/>
      </c>
      <c r="I1580" s="8">
        <f>IF(D1580="","",VLOOKUP(D1580, RECETTES!B:G, 6, FALSE)*E1580)</f>
        <v/>
      </c>
      <c r="J1580" s="8">
        <f>IF(G1580="","",G1580*0.20)</f>
        <v/>
      </c>
      <c r="K1580" s="8">
        <f>IF(G1580="","",G1580+J1580)</f>
        <v/>
      </c>
    </row>
    <row r="1581">
      <c r="F1581" s="8" t="n"/>
      <c r="G1581" s="8">
        <f>IF(E1581="","",E1581*F1581)</f>
        <v/>
      </c>
      <c r="H1581" s="8">
        <f>IF(G1581="","",G1581-I1581)</f>
        <v/>
      </c>
      <c r="I1581" s="8">
        <f>IF(D1581="","",VLOOKUP(D1581, RECETTES!B:G, 6, FALSE)*E1581)</f>
        <v/>
      </c>
      <c r="J1581" s="8">
        <f>IF(G1581="","",G1581*0.20)</f>
        <v/>
      </c>
      <c r="K1581" s="8">
        <f>IF(G1581="","",G1581+J1581)</f>
        <v/>
      </c>
    </row>
    <row r="1582">
      <c r="F1582" s="8" t="n"/>
      <c r="G1582" s="8">
        <f>IF(E1582="","",E1582*F1582)</f>
        <v/>
      </c>
      <c r="H1582" s="8">
        <f>IF(G1582="","",G1582-I1582)</f>
        <v/>
      </c>
      <c r="I1582" s="8">
        <f>IF(D1582="","",VLOOKUP(D1582, RECETTES!B:G, 6, FALSE)*E1582)</f>
        <v/>
      </c>
      <c r="J1582" s="8">
        <f>IF(G1582="","",G1582*0.20)</f>
        <v/>
      </c>
      <c r="K1582" s="8">
        <f>IF(G1582="","",G1582+J1582)</f>
        <v/>
      </c>
    </row>
    <row r="1583">
      <c r="F1583" s="8" t="n"/>
      <c r="G1583" s="8">
        <f>IF(E1583="","",E1583*F1583)</f>
        <v/>
      </c>
      <c r="H1583" s="8">
        <f>IF(G1583="","",G1583-I1583)</f>
        <v/>
      </c>
      <c r="I1583" s="8">
        <f>IF(D1583="","",VLOOKUP(D1583, RECETTES!B:G, 6, FALSE)*E1583)</f>
        <v/>
      </c>
      <c r="J1583" s="8">
        <f>IF(G1583="","",G1583*0.20)</f>
        <v/>
      </c>
      <c r="K1583" s="8">
        <f>IF(G1583="","",G1583+J1583)</f>
        <v/>
      </c>
    </row>
    <row r="1584">
      <c r="F1584" s="8" t="n"/>
      <c r="G1584" s="8">
        <f>IF(E1584="","",E1584*F1584)</f>
        <v/>
      </c>
      <c r="H1584" s="8">
        <f>IF(G1584="","",G1584-I1584)</f>
        <v/>
      </c>
      <c r="I1584" s="8">
        <f>IF(D1584="","",VLOOKUP(D1584, RECETTES!B:G, 6, FALSE)*E1584)</f>
        <v/>
      </c>
      <c r="J1584" s="8">
        <f>IF(G1584="","",G1584*0.20)</f>
        <v/>
      </c>
      <c r="K1584" s="8">
        <f>IF(G1584="","",G1584+J1584)</f>
        <v/>
      </c>
    </row>
    <row r="1585">
      <c r="F1585" s="8" t="n"/>
      <c r="G1585" s="8">
        <f>IF(E1585="","",E1585*F1585)</f>
        <v/>
      </c>
      <c r="H1585" s="8">
        <f>IF(G1585="","",G1585-I1585)</f>
        <v/>
      </c>
      <c r="I1585" s="8">
        <f>IF(D1585="","",VLOOKUP(D1585, RECETTES!B:G, 6, FALSE)*E1585)</f>
        <v/>
      </c>
      <c r="J1585" s="8">
        <f>IF(G1585="","",G1585*0.20)</f>
        <v/>
      </c>
      <c r="K1585" s="8">
        <f>IF(G1585="","",G1585+J1585)</f>
        <v/>
      </c>
    </row>
    <row r="1586">
      <c r="F1586" s="8" t="n"/>
      <c r="G1586" s="8">
        <f>IF(E1586="","",E1586*F1586)</f>
        <v/>
      </c>
      <c r="H1586" s="8">
        <f>IF(G1586="","",G1586-I1586)</f>
        <v/>
      </c>
      <c r="I1586" s="8">
        <f>IF(D1586="","",VLOOKUP(D1586, RECETTES!B:G, 6, FALSE)*E1586)</f>
        <v/>
      </c>
      <c r="J1586" s="8">
        <f>IF(G1586="","",G1586*0.20)</f>
        <v/>
      </c>
      <c r="K1586" s="8">
        <f>IF(G1586="","",G1586+J1586)</f>
        <v/>
      </c>
    </row>
    <row r="1587">
      <c r="F1587" s="8" t="n"/>
      <c r="G1587" s="8">
        <f>IF(E1587="","",E1587*F1587)</f>
        <v/>
      </c>
      <c r="H1587" s="8">
        <f>IF(G1587="","",G1587-I1587)</f>
        <v/>
      </c>
      <c r="I1587" s="8">
        <f>IF(D1587="","",VLOOKUP(D1587, RECETTES!B:G, 6, FALSE)*E1587)</f>
        <v/>
      </c>
      <c r="J1587" s="8">
        <f>IF(G1587="","",G1587*0.20)</f>
        <v/>
      </c>
      <c r="K1587" s="8">
        <f>IF(G1587="","",G1587+J1587)</f>
        <v/>
      </c>
    </row>
    <row r="1588">
      <c r="F1588" s="8" t="n"/>
      <c r="G1588" s="8">
        <f>IF(E1588="","",E1588*F1588)</f>
        <v/>
      </c>
      <c r="H1588" s="8">
        <f>IF(G1588="","",G1588-I1588)</f>
        <v/>
      </c>
      <c r="I1588" s="8">
        <f>IF(D1588="","",VLOOKUP(D1588, RECETTES!B:G, 6, FALSE)*E1588)</f>
        <v/>
      </c>
      <c r="J1588" s="8">
        <f>IF(G1588="","",G1588*0.20)</f>
        <v/>
      </c>
      <c r="K1588" s="8">
        <f>IF(G1588="","",G1588+J1588)</f>
        <v/>
      </c>
    </row>
    <row r="1589">
      <c r="F1589" s="8" t="n"/>
      <c r="G1589" s="8">
        <f>IF(E1589="","",E1589*F1589)</f>
        <v/>
      </c>
      <c r="H1589" s="8">
        <f>IF(G1589="","",G1589-I1589)</f>
        <v/>
      </c>
      <c r="I1589" s="8">
        <f>IF(D1589="","",VLOOKUP(D1589, RECETTES!B:G, 6, FALSE)*E1589)</f>
        <v/>
      </c>
      <c r="J1589" s="8">
        <f>IF(G1589="","",G1589*0.20)</f>
        <v/>
      </c>
      <c r="K1589" s="8">
        <f>IF(G1589="","",G1589+J1589)</f>
        <v/>
      </c>
    </row>
    <row r="1590">
      <c r="F1590" s="8" t="n"/>
      <c r="G1590" s="8">
        <f>IF(E1590="","",E1590*F1590)</f>
        <v/>
      </c>
      <c r="H1590" s="8">
        <f>IF(G1590="","",G1590-I1590)</f>
        <v/>
      </c>
      <c r="I1590" s="8">
        <f>IF(D1590="","",VLOOKUP(D1590, RECETTES!B:G, 6, FALSE)*E1590)</f>
        <v/>
      </c>
      <c r="J1590" s="8">
        <f>IF(G1590="","",G1590*0.20)</f>
        <v/>
      </c>
      <c r="K1590" s="8">
        <f>IF(G1590="","",G1590+J1590)</f>
        <v/>
      </c>
    </row>
    <row r="1591">
      <c r="F1591" s="8" t="n"/>
      <c r="G1591" s="8">
        <f>IF(E1591="","",E1591*F1591)</f>
        <v/>
      </c>
      <c r="H1591" s="8">
        <f>IF(G1591="","",G1591-I1591)</f>
        <v/>
      </c>
      <c r="I1591" s="8">
        <f>IF(D1591="","",VLOOKUP(D1591, RECETTES!B:G, 6, FALSE)*E1591)</f>
        <v/>
      </c>
      <c r="J1591" s="8">
        <f>IF(G1591="","",G1591*0.20)</f>
        <v/>
      </c>
      <c r="K1591" s="8">
        <f>IF(G1591="","",G1591+J1591)</f>
        <v/>
      </c>
    </row>
    <row r="1592">
      <c r="F1592" s="8" t="n"/>
      <c r="G1592" s="8">
        <f>IF(E1592="","",E1592*F1592)</f>
        <v/>
      </c>
      <c r="H1592" s="8">
        <f>IF(G1592="","",G1592-I1592)</f>
        <v/>
      </c>
      <c r="I1592" s="8">
        <f>IF(D1592="","",VLOOKUP(D1592, RECETTES!B:G, 6, FALSE)*E1592)</f>
        <v/>
      </c>
      <c r="J1592" s="8">
        <f>IF(G1592="","",G1592*0.20)</f>
        <v/>
      </c>
      <c r="K1592" s="8">
        <f>IF(G1592="","",G1592+J1592)</f>
        <v/>
      </c>
    </row>
    <row r="1593">
      <c r="F1593" s="8" t="n"/>
      <c r="G1593" s="8">
        <f>IF(E1593="","",E1593*F1593)</f>
        <v/>
      </c>
      <c r="H1593" s="8">
        <f>IF(G1593="","",G1593-I1593)</f>
        <v/>
      </c>
      <c r="I1593" s="8">
        <f>IF(D1593="","",VLOOKUP(D1593, RECETTES!B:G, 6, FALSE)*E1593)</f>
        <v/>
      </c>
      <c r="J1593" s="8">
        <f>IF(G1593="","",G1593*0.20)</f>
        <v/>
      </c>
      <c r="K1593" s="8">
        <f>IF(G1593="","",G1593+J1593)</f>
        <v/>
      </c>
    </row>
    <row r="1594">
      <c r="F1594" s="8" t="n"/>
      <c r="G1594" s="8">
        <f>IF(E1594="","",E1594*F1594)</f>
        <v/>
      </c>
      <c r="H1594" s="8">
        <f>IF(G1594="","",G1594-I1594)</f>
        <v/>
      </c>
      <c r="I1594" s="8">
        <f>IF(D1594="","",VLOOKUP(D1594, RECETTES!B:G, 6, FALSE)*E1594)</f>
        <v/>
      </c>
      <c r="J1594" s="8">
        <f>IF(G1594="","",G1594*0.20)</f>
        <v/>
      </c>
      <c r="K1594" s="8">
        <f>IF(G1594="","",G1594+J1594)</f>
        <v/>
      </c>
    </row>
    <row r="1595">
      <c r="F1595" s="8" t="n"/>
      <c r="G1595" s="8">
        <f>IF(E1595="","",E1595*F1595)</f>
        <v/>
      </c>
      <c r="H1595" s="8">
        <f>IF(G1595="","",G1595-I1595)</f>
        <v/>
      </c>
      <c r="I1595" s="8">
        <f>IF(D1595="","",VLOOKUP(D1595, RECETTES!B:G, 6, FALSE)*E1595)</f>
        <v/>
      </c>
      <c r="J1595" s="8">
        <f>IF(G1595="","",G1595*0.20)</f>
        <v/>
      </c>
      <c r="K1595" s="8">
        <f>IF(G1595="","",G1595+J1595)</f>
        <v/>
      </c>
    </row>
    <row r="1596">
      <c r="F1596" s="8" t="n"/>
      <c r="G1596" s="8">
        <f>IF(E1596="","",E1596*F1596)</f>
        <v/>
      </c>
      <c r="H1596" s="8">
        <f>IF(G1596="","",G1596-I1596)</f>
        <v/>
      </c>
      <c r="I1596" s="8">
        <f>IF(D1596="","",VLOOKUP(D1596, RECETTES!B:G, 6, FALSE)*E1596)</f>
        <v/>
      </c>
      <c r="J1596" s="8">
        <f>IF(G1596="","",G1596*0.20)</f>
        <v/>
      </c>
      <c r="K1596" s="8">
        <f>IF(G1596="","",G1596+J1596)</f>
        <v/>
      </c>
    </row>
    <row r="1597">
      <c r="F1597" s="8" t="n"/>
      <c r="G1597" s="8">
        <f>IF(E1597="","",E1597*F1597)</f>
        <v/>
      </c>
      <c r="H1597" s="8">
        <f>IF(G1597="","",G1597-I1597)</f>
        <v/>
      </c>
      <c r="I1597" s="8">
        <f>IF(D1597="","",VLOOKUP(D1597, RECETTES!B:G, 6, FALSE)*E1597)</f>
        <v/>
      </c>
      <c r="J1597" s="8">
        <f>IF(G1597="","",G1597*0.20)</f>
        <v/>
      </c>
      <c r="K1597" s="8">
        <f>IF(G1597="","",G1597+J1597)</f>
        <v/>
      </c>
    </row>
    <row r="1598">
      <c r="F1598" s="8" t="n"/>
      <c r="G1598" s="8">
        <f>IF(E1598="","",E1598*F1598)</f>
        <v/>
      </c>
      <c r="H1598" s="8">
        <f>IF(G1598="","",G1598-I1598)</f>
        <v/>
      </c>
      <c r="I1598" s="8">
        <f>IF(D1598="","",VLOOKUP(D1598, RECETTES!B:G, 6, FALSE)*E1598)</f>
        <v/>
      </c>
      <c r="J1598" s="8">
        <f>IF(G1598="","",G1598*0.20)</f>
        <v/>
      </c>
      <c r="K1598" s="8">
        <f>IF(G1598="","",G1598+J1598)</f>
        <v/>
      </c>
    </row>
    <row r="1599">
      <c r="F1599" s="8" t="n"/>
      <c r="G1599" s="8">
        <f>IF(E1599="","",E1599*F1599)</f>
        <v/>
      </c>
      <c r="H1599" s="8">
        <f>IF(G1599="","",G1599-I1599)</f>
        <v/>
      </c>
      <c r="I1599" s="8">
        <f>IF(D1599="","",VLOOKUP(D1599, RECETTES!B:G, 6, FALSE)*E1599)</f>
        <v/>
      </c>
      <c r="J1599" s="8">
        <f>IF(G1599="","",G1599*0.20)</f>
        <v/>
      </c>
      <c r="K1599" s="8">
        <f>IF(G1599="","",G1599+J1599)</f>
        <v/>
      </c>
    </row>
    <row r="1600">
      <c r="F1600" s="8" t="n"/>
      <c r="G1600" s="8">
        <f>IF(E1600="","",E1600*F1600)</f>
        <v/>
      </c>
      <c r="H1600" s="8">
        <f>IF(G1600="","",G1600-I1600)</f>
        <v/>
      </c>
      <c r="I1600" s="8">
        <f>IF(D1600="","",VLOOKUP(D1600, RECETTES!B:G, 6, FALSE)*E1600)</f>
        <v/>
      </c>
      <c r="J1600" s="8">
        <f>IF(G1600="","",G1600*0.20)</f>
        <v/>
      </c>
      <c r="K1600" s="8">
        <f>IF(G1600="","",G1600+J1600)</f>
        <v/>
      </c>
    </row>
    <row r="1601">
      <c r="F1601" s="8" t="n"/>
      <c r="G1601" s="8">
        <f>IF(E1601="","",E1601*F1601)</f>
        <v/>
      </c>
      <c r="H1601" s="8">
        <f>IF(G1601="","",G1601-I1601)</f>
        <v/>
      </c>
      <c r="I1601" s="8">
        <f>IF(D1601="","",VLOOKUP(D1601, RECETTES!B:G, 6, FALSE)*E1601)</f>
        <v/>
      </c>
      <c r="J1601" s="8">
        <f>IF(G1601="","",G1601*0.20)</f>
        <v/>
      </c>
      <c r="K1601" s="8">
        <f>IF(G1601="","",G1601+J1601)</f>
        <v/>
      </c>
    </row>
    <row r="1602">
      <c r="F1602" s="8" t="n"/>
      <c r="G1602" s="8">
        <f>IF(E1602="","",E1602*F1602)</f>
        <v/>
      </c>
      <c r="H1602" s="8">
        <f>IF(G1602="","",G1602-I1602)</f>
        <v/>
      </c>
      <c r="I1602" s="8">
        <f>IF(D1602="","",VLOOKUP(D1602, RECETTES!B:G, 6, FALSE)*E1602)</f>
        <v/>
      </c>
      <c r="J1602" s="8">
        <f>IF(G1602="","",G1602*0.20)</f>
        <v/>
      </c>
      <c r="K1602" s="8">
        <f>IF(G1602="","",G1602+J1602)</f>
        <v/>
      </c>
    </row>
    <row r="1603">
      <c r="F1603" s="8" t="n"/>
      <c r="G1603" s="8">
        <f>IF(E1603="","",E1603*F1603)</f>
        <v/>
      </c>
      <c r="H1603" s="8">
        <f>IF(G1603="","",G1603-I1603)</f>
        <v/>
      </c>
      <c r="I1603" s="8">
        <f>IF(D1603="","",VLOOKUP(D1603, RECETTES!B:G, 6, FALSE)*E1603)</f>
        <v/>
      </c>
      <c r="J1603" s="8">
        <f>IF(G1603="","",G1603*0.20)</f>
        <v/>
      </c>
      <c r="K1603" s="8">
        <f>IF(G1603="","",G1603+J1603)</f>
        <v/>
      </c>
    </row>
    <row r="1604">
      <c r="F1604" s="8" t="n"/>
      <c r="G1604" s="8">
        <f>IF(E1604="","",E1604*F1604)</f>
        <v/>
      </c>
      <c r="H1604" s="8">
        <f>IF(G1604="","",G1604-I1604)</f>
        <v/>
      </c>
      <c r="I1604" s="8">
        <f>IF(D1604="","",VLOOKUP(D1604, RECETTES!B:G, 6, FALSE)*E1604)</f>
        <v/>
      </c>
      <c r="J1604" s="8">
        <f>IF(G1604="","",G1604*0.20)</f>
        <v/>
      </c>
      <c r="K1604" s="8">
        <f>IF(G1604="","",G1604+J1604)</f>
        <v/>
      </c>
    </row>
    <row r="1605">
      <c r="F1605" s="8" t="n"/>
      <c r="G1605" s="8">
        <f>IF(E1605="","",E1605*F1605)</f>
        <v/>
      </c>
      <c r="H1605" s="8">
        <f>IF(G1605="","",G1605-I1605)</f>
        <v/>
      </c>
      <c r="I1605" s="8">
        <f>IF(D1605="","",VLOOKUP(D1605, RECETTES!B:G, 6, FALSE)*E1605)</f>
        <v/>
      </c>
      <c r="J1605" s="8">
        <f>IF(G1605="","",G1605*0.20)</f>
        <v/>
      </c>
      <c r="K1605" s="8">
        <f>IF(G1605="","",G1605+J1605)</f>
        <v/>
      </c>
    </row>
    <row r="1606">
      <c r="F1606" s="8" t="n"/>
      <c r="G1606" s="8">
        <f>IF(E1606="","",E1606*F1606)</f>
        <v/>
      </c>
      <c r="H1606" s="8">
        <f>IF(G1606="","",G1606-I1606)</f>
        <v/>
      </c>
      <c r="I1606" s="8">
        <f>IF(D1606="","",VLOOKUP(D1606, RECETTES!B:G, 6, FALSE)*E1606)</f>
        <v/>
      </c>
      <c r="J1606" s="8">
        <f>IF(G1606="","",G1606*0.20)</f>
        <v/>
      </c>
      <c r="K1606" s="8">
        <f>IF(G1606="","",G1606+J1606)</f>
        <v/>
      </c>
    </row>
    <row r="1607">
      <c r="F1607" s="8" t="n"/>
      <c r="G1607" s="8">
        <f>IF(E1607="","",E1607*F1607)</f>
        <v/>
      </c>
      <c r="H1607" s="8">
        <f>IF(G1607="","",G1607-I1607)</f>
        <v/>
      </c>
      <c r="I1607" s="8">
        <f>IF(D1607="","",VLOOKUP(D1607, RECETTES!B:G, 6, FALSE)*E1607)</f>
        <v/>
      </c>
      <c r="J1607" s="8">
        <f>IF(G1607="","",G1607*0.20)</f>
        <v/>
      </c>
      <c r="K1607" s="8">
        <f>IF(G1607="","",G1607+J1607)</f>
        <v/>
      </c>
    </row>
    <row r="1608">
      <c r="F1608" s="8" t="n"/>
      <c r="G1608" s="8">
        <f>IF(E1608="","",E1608*F1608)</f>
        <v/>
      </c>
      <c r="H1608" s="8">
        <f>IF(G1608="","",G1608-I1608)</f>
        <v/>
      </c>
      <c r="I1608" s="8">
        <f>IF(D1608="","",VLOOKUP(D1608, RECETTES!B:G, 6, FALSE)*E1608)</f>
        <v/>
      </c>
      <c r="J1608" s="8">
        <f>IF(G1608="","",G1608*0.20)</f>
        <v/>
      </c>
      <c r="K1608" s="8">
        <f>IF(G1608="","",G1608+J1608)</f>
        <v/>
      </c>
    </row>
    <row r="1609">
      <c r="F1609" s="8" t="n"/>
      <c r="G1609" s="8">
        <f>IF(E1609="","",E1609*F1609)</f>
        <v/>
      </c>
      <c r="H1609" s="8">
        <f>IF(G1609="","",G1609-I1609)</f>
        <v/>
      </c>
      <c r="I1609" s="8">
        <f>IF(D1609="","",VLOOKUP(D1609, RECETTES!B:G, 6, FALSE)*E1609)</f>
        <v/>
      </c>
      <c r="J1609" s="8">
        <f>IF(G1609="","",G1609*0.20)</f>
        <v/>
      </c>
      <c r="K1609" s="8">
        <f>IF(G1609="","",G1609+J1609)</f>
        <v/>
      </c>
    </row>
    <row r="1610">
      <c r="F1610" s="8" t="n"/>
      <c r="G1610" s="8">
        <f>IF(E1610="","",E1610*F1610)</f>
        <v/>
      </c>
      <c r="H1610" s="8">
        <f>IF(G1610="","",G1610-I1610)</f>
        <v/>
      </c>
      <c r="I1610" s="8">
        <f>IF(D1610="","",VLOOKUP(D1610, RECETTES!B:G, 6, FALSE)*E1610)</f>
        <v/>
      </c>
      <c r="J1610" s="8">
        <f>IF(G1610="","",G1610*0.20)</f>
        <v/>
      </c>
      <c r="K1610" s="8">
        <f>IF(G1610="","",G1610+J1610)</f>
        <v/>
      </c>
    </row>
    <row r="1611">
      <c r="F1611" s="8" t="n"/>
      <c r="G1611" s="8">
        <f>IF(E1611="","",E1611*F1611)</f>
        <v/>
      </c>
      <c r="H1611" s="8">
        <f>IF(G1611="","",G1611-I1611)</f>
        <v/>
      </c>
      <c r="I1611" s="8">
        <f>IF(D1611="","",VLOOKUP(D1611, RECETTES!B:G, 6, FALSE)*E1611)</f>
        <v/>
      </c>
      <c r="J1611" s="8">
        <f>IF(G1611="","",G1611*0.20)</f>
        <v/>
      </c>
      <c r="K1611" s="8">
        <f>IF(G1611="","",G1611+J1611)</f>
        <v/>
      </c>
    </row>
    <row r="1612">
      <c r="F1612" s="8" t="n"/>
      <c r="G1612" s="8">
        <f>IF(E1612="","",E1612*F1612)</f>
        <v/>
      </c>
      <c r="H1612" s="8">
        <f>IF(G1612="","",G1612-I1612)</f>
        <v/>
      </c>
      <c r="I1612" s="8">
        <f>IF(D1612="","",VLOOKUP(D1612, RECETTES!B:G, 6, FALSE)*E1612)</f>
        <v/>
      </c>
      <c r="J1612" s="8">
        <f>IF(G1612="","",G1612*0.20)</f>
        <v/>
      </c>
      <c r="K1612" s="8">
        <f>IF(G1612="","",G1612+J1612)</f>
        <v/>
      </c>
    </row>
    <row r="1613">
      <c r="F1613" s="8" t="n"/>
      <c r="G1613" s="8">
        <f>IF(E1613="","",E1613*F1613)</f>
        <v/>
      </c>
      <c r="H1613" s="8">
        <f>IF(G1613="","",G1613-I1613)</f>
        <v/>
      </c>
      <c r="I1613" s="8">
        <f>IF(D1613="","",VLOOKUP(D1613, RECETTES!B:G, 6, FALSE)*E1613)</f>
        <v/>
      </c>
      <c r="J1613" s="8">
        <f>IF(G1613="","",G1613*0.20)</f>
        <v/>
      </c>
      <c r="K1613" s="8">
        <f>IF(G1613="","",G1613+J1613)</f>
        <v/>
      </c>
    </row>
    <row r="1614">
      <c r="F1614" s="8" t="n"/>
      <c r="G1614" s="8">
        <f>IF(E1614="","",E1614*F1614)</f>
        <v/>
      </c>
      <c r="H1614" s="8">
        <f>IF(G1614="","",G1614-I1614)</f>
        <v/>
      </c>
      <c r="I1614" s="8">
        <f>IF(D1614="","",VLOOKUP(D1614, RECETTES!B:G, 6, FALSE)*E1614)</f>
        <v/>
      </c>
      <c r="J1614" s="8">
        <f>IF(G1614="","",G1614*0.20)</f>
        <v/>
      </c>
      <c r="K1614" s="8">
        <f>IF(G1614="","",G1614+J1614)</f>
        <v/>
      </c>
    </row>
    <row r="1615">
      <c r="F1615" s="8" t="n"/>
      <c r="G1615" s="8">
        <f>IF(E1615="","",E1615*F1615)</f>
        <v/>
      </c>
      <c r="H1615" s="8">
        <f>IF(G1615="","",G1615-I1615)</f>
        <v/>
      </c>
      <c r="I1615" s="8">
        <f>IF(D1615="","",VLOOKUP(D1615, RECETTES!B:G, 6, FALSE)*E1615)</f>
        <v/>
      </c>
      <c r="J1615" s="8">
        <f>IF(G1615="","",G1615*0.20)</f>
        <v/>
      </c>
      <c r="K1615" s="8">
        <f>IF(G1615="","",G1615+J1615)</f>
        <v/>
      </c>
    </row>
    <row r="1616">
      <c r="F1616" s="8" t="n"/>
      <c r="G1616" s="8">
        <f>IF(E1616="","",E1616*F1616)</f>
        <v/>
      </c>
      <c r="H1616" s="8">
        <f>IF(G1616="","",G1616-I1616)</f>
        <v/>
      </c>
      <c r="I1616" s="8">
        <f>IF(D1616="","",VLOOKUP(D1616, RECETTES!B:G, 6, FALSE)*E1616)</f>
        <v/>
      </c>
      <c r="J1616" s="8">
        <f>IF(G1616="","",G1616*0.20)</f>
        <v/>
      </c>
      <c r="K1616" s="8">
        <f>IF(G1616="","",G1616+J1616)</f>
        <v/>
      </c>
    </row>
    <row r="1617">
      <c r="F1617" s="8" t="n"/>
      <c r="G1617" s="8">
        <f>IF(E1617="","",E1617*F1617)</f>
        <v/>
      </c>
      <c r="H1617" s="8">
        <f>IF(G1617="","",G1617-I1617)</f>
        <v/>
      </c>
      <c r="I1617" s="8">
        <f>IF(D1617="","",VLOOKUP(D1617, RECETTES!B:G, 6, FALSE)*E1617)</f>
        <v/>
      </c>
      <c r="J1617" s="8">
        <f>IF(G1617="","",G1617*0.20)</f>
        <v/>
      </c>
      <c r="K1617" s="8">
        <f>IF(G1617="","",G1617+J1617)</f>
        <v/>
      </c>
    </row>
    <row r="1618">
      <c r="F1618" s="8" t="n"/>
      <c r="G1618" s="8">
        <f>IF(E1618="","",E1618*F1618)</f>
        <v/>
      </c>
      <c r="H1618" s="8">
        <f>IF(G1618="","",G1618-I1618)</f>
        <v/>
      </c>
      <c r="I1618" s="8">
        <f>IF(D1618="","",VLOOKUP(D1618, RECETTES!B:G, 6, FALSE)*E1618)</f>
        <v/>
      </c>
      <c r="J1618" s="8">
        <f>IF(G1618="","",G1618*0.20)</f>
        <v/>
      </c>
      <c r="K1618" s="8">
        <f>IF(G1618="","",G1618+J1618)</f>
        <v/>
      </c>
    </row>
    <row r="1619">
      <c r="F1619" s="8" t="n"/>
      <c r="G1619" s="8">
        <f>IF(E1619="","",E1619*F1619)</f>
        <v/>
      </c>
      <c r="H1619" s="8">
        <f>IF(G1619="","",G1619-I1619)</f>
        <v/>
      </c>
      <c r="I1619" s="8">
        <f>IF(D1619="","",VLOOKUP(D1619, RECETTES!B:G, 6, FALSE)*E1619)</f>
        <v/>
      </c>
      <c r="J1619" s="8">
        <f>IF(G1619="","",G1619*0.20)</f>
        <v/>
      </c>
      <c r="K1619" s="8">
        <f>IF(G1619="","",G1619+J1619)</f>
        <v/>
      </c>
    </row>
    <row r="1620">
      <c r="F1620" s="8" t="n"/>
      <c r="G1620" s="8">
        <f>IF(E1620="","",E1620*F1620)</f>
        <v/>
      </c>
      <c r="H1620" s="8">
        <f>IF(G1620="","",G1620-I1620)</f>
        <v/>
      </c>
      <c r="I1620" s="8">
        <f>IF(D1620="","",VLOOKUP(D1620, RECETTES!B:G, 6, FALSE)*E1620)</f>
        <v/>
      </c>
      <c r="J1620" s="8">
        <f>IF(G1620="","",G1620*0.20)</f>
        <v/>
      </c>
      <c r="K1620" s="8">
        <f>IF(G1620="","",G1620+J1620)</f>
        <v/>
      </c>
    </row>
    <row r="1621">
      <c r="F1621" s="8" t="n"/>
      <c r="G1621" s="8">
        <f>IF(E1621="","",E1621*F1621)</f>
        <v/>
      </c>
      <c r="H1621" s="8">
        <f>IF(G1621="","",G1621-I1621)</f>
        <v/>
      </c>
      <c r="I1621" s="8">
        <f>IF(D1621="","",VLOOKUP(D1621, RECETTES!B:G, 6, FALSE)*E1621)</f>
        <v/>
      </c>
      <c r="J1621" s="8">
        <f>IF(G1621="","",G1621*0.20)</f>
        <v/>
      </c>
      <c r="K1621" s="8">
        <f>IF(G1621="","",G1621+J1621)</f>
        <v/>
      </c>
    </row>
    <row r="1622">
      <c r="F1622" s="8" t="n"/>
      <c r="G1622" s="8">
        <f>IF(E1622="","",E1622*F1622)</f>
        <v/>
      </c>
      <c r="H1622" s="8">
        <f>IF(G1622="","",G1622-I1622)</f>
        <v/>
      </c>
      <c r="I1622" s="8">
        <f>IF(D1622="","",VLOOKUP(D1622, RECETTES!B:G, 6, FALSE)*E1622)</f>
        <v/>
      </c>
      <c r="J1622" s="8">
        <f>IF(G1622="","",G1622*0.20)</f>
        <v/>
      </c>
      <c r="K1622" s="8">
        <f>IF(G1622="","",G1622+J1622)</f>
        <v/>
      </c>
    </row>
    <row r="1623">
      <c r="F1623" s="8" t="n"/>
      <c r="G1623" s="8">
        <f>IF(E1623="","",E1623*F1623)</f>
        <v/>
      </c>
      <c r="H1623" s="8">
        <f>IF(G1623="","",G1623-I1623)</f>
        <v/>
      </c>
      <c r="I1623" s="8">
        <f>IF(D1623="","",VLOOKUP(D1623, RECETTES!B:G, 6, FALSE)*E1623)</f>
        <v/>
      </c>
      <c r="J1623" s="8">
        <f>IF(G1623="","",G1623*0.20)</f>
        <v/>
      </c>
      <c r="K1623" s="8">
        <f>IF(G1623="","",G1623+J1623)</f>
        <v/>
      </c>
    </row>
    <row r="1624">
      <c r="F1624" s="8" t="n"/>
      <c r="G1624" s="8">
        <f>IF(E1624="","",E1624*F1624)</f>
        <v/>
      </c>
      <c r="H1624" s="8">
        <f>IF(G1624="","",G1624-I1624)</f>
        <v/>
      </c>
      <c r="I1624" s="8">
        <f>IF(D1624="","",VLOOKUP(D1624, RECETTES!B:G, 6, FALSE)*E1624)</f>
        <v/>
      </c>
      <c r="J1624" s="8">
        <f>IF(G1624="","",G1624*0.20)</f>
        <v/>
      </c>
      <c r="K1624" s="8">
        <f>IF(G1624="","",G1624+J1624)</f>
        <v/>
      </c>
    </row>
    <row r="1625">
      <c r="F1625" s="8" t="n"/>
      <c r="G1625" s="8">
        <f>IF(E1625="","",E1625*F1625)</f>
        <v/>
      </c>
      <c r="H1625" s="8">
        <f>IF(G1625="","",G1625-I1625)</f>
        <v/>
      </c>
      <c r="I1625" s="8">
        <f>IF(D1625="","",VLOOKUP(D1625, RECETTES!B:G, 6, FALSE)*E1625)</f>
        <v/>
      </c>
      <c r="J1625" s="8">
        <f>IF(G1625="","",G1625*0.20)</f>
        <v/>
      </c>
      <c r="K1625" s="8">
        <f>IF(G1625="","",G1625+J1625)</f>
        <v/>
      </c>
    </row>
    <row r="1626">
      <c r="F1626" s="8" t="n"/>
      <c r="G1626" s="8">
        <f>IF(E1626="","",E1626*F1626)</f>
        <v/>
      </c>
      <c r="H1626" s="8">
        <f>IF(G1626="","",G1626-I1626)</f>
        <v/>
      </c>
      <c r="I1626" s="8">
        <f>IF(D1626="","",VLOOKUP(D1626, RECETTES!B:G, 6, FALSE)*E1626)</f>
        <v/>
      </c>
      <c r="J1626" s="8">
        <f>IF(G1626="","",G1626*0.20)</f>
        <v/>
      </c>
      <c r="K1626" s="8">
        <f>IF(G1626="","",G1626+J1626)</f>
        <v/>
      </c>
    </row>
    <row r="1627">
      <c r="F1627" s="8" t="n"/>
      <c r="G1627" s="8">
        <f>IF(E1627="","",E1627*F1627)</f>
        <v/>
      </c>
      <c r="H1627" s="8">
        <f>IF(G1627="","",G1627-I1627)</f>
        <v/>
      </c>
      <c r="I1627" s="8">
        <f>IF(D1627="","",VLOOKUP(D1627, RECETTES!B:G, 6, FALSE)*E1627)</f>
        <v/>
      </c>
      <c r="J1627" s="8">
        <f>IF(G1627="","",G1627*0.20)</f>
        <v/>
      </c>
      <c r="K1627" s="8">
        <f>IF(G1627="","",G1627+J1627)</f>
        <v/>
      </c>
    </row>
    <row r="1628">
      <c r="F1628" s="8" t="n"/>
      <c r="G1628" s="8">
        <f>IF(E1628="","",E1628*F1628)</f>
        <v/>
      </c>
      <c r="H1628" s="8">
        <f>IF(G1628="","",G1628-I1628)</f>
        <v/>
      </c>
      <c r="I1628" s="8">
        <f>IF(D1628="","",VLOOKUP(D1628, RECETTES!B:G, 6, FALSE)*E1628)</f>
        <v/>
      </c>
      <c r="J1628" s="8">
        <f>IF(G1628="","",G1628*0.20)</f>
        <v/>
      </c>
      <c r="K1628" s="8">
        <f>IF(G1628="","",G1628+J1628)</f>
        <v/>
      </c>
    </row>
    <row r="1629">
      <c r="F1629" s="8" t="n"/>
      <c r="G1629" s="8">
        <f>IF(E1629="","",E1629*F1629)</f>
        <v/>
      </c>
      <c r="H1629" s="8">
        <f>IF(G1629="","",G1629-I1629)</f>
        <v/>
      </c>
      <c r="I1629" s="8">
        <f>IF(D1629="","",VLOOKUP(D1629, RECETTES!B:G, 6, FALSE)*E1629)</f>
        <v/>
      </c>
      <c r="J1629" s="8">
        <f>IF(G1629="","",G1629*0.20)</f>
        <v/>
      </c>
      <c r="K1629" s="8">
        <f>IF(G1629="","",G1629+J1629)</f>
        <v/>
      </c>
    </row>
    <row r="1630">
      <c r="F1630" s="8" t="n"/>
      <c r="G1630" s="8">
        <f>IF(E1630="","",E1630*F1630)</f>
        <v/>
      </c>
      <c r="H1630" s="8">
        <f>IF(G1630="","",G1630-I1630)</f>
        <v/>
      </c>
      <c r="I1630" s="8">
        <f>IF(D1630="","",VLOOKUP(D1630, RECETTES!B:G, 6, FALSE)*E1630)</f>
        <v/>
      </c>
      <c r="J1630" s="8">
        <f>IF(G1630="","",G1630*0.20)</f>
        <v/>
      </c>
      <c r="K1630" s="8">
        <f>IF(G1630="","",G1630+J1630)</f>
        <v/>
      </c>
    </row>
    <row r="1631">
      <c r="F1631" s="8" t="n"/>
      <c r="G1631" s="8">
        <f>IF(E1631="","",E1631*F1631)</f>
        <v/>
      </c>
      <c r="H1631" s="8">
        <f>IF(G1631="","",G1631-I1631)</f>
        <v/>
      </c>
      <c r="I1631" s="8">
        <f>IF(D1631="","",VLOOKUP(D1631, RECETTES!B:G, 6, FALSE)*E1631)</f>
        <v/>
      </c>
      <c r="J1631" s="8">
        <f>IF(G1631="","",G1631*0.20)</f>
        <v/>
      </c>
      <c r="K1631" s="8">
        <f>IF(G1631="","",G1631+J1631)</f>
        <v/>
      </c>
    </row>
    <row r="1632">
      <c r="F1632" s="8" t="n"/>
      <c r="G1632" s="8">
        <f>IF(E1632="","",E1632*F1632)</f>
        <v/>
      </c>
      <c r="H1632" s="8">
        <f>IF(G1632="","",G1632-I1632)</f>
        <v/>
      </c>
      <c r="I1632" s="8">
        <f>IF(D1632="","",VLOOKUP(D1632, RECETTES!B:G, 6, FALSE)*E1632)</f>
        <v/>
      </c>
      <c r="J1632" s="8">
        <f>IF(G1632="","",G1632*0.20)</f>
        <v/>
      </c>
      <c r="K1632" s="8">
        <f>IF(G1632="","",G1632+J1632)</f>
        <v/>
      </c>
    </row>
    <row r="1633">
      <c r="F1633" s="8" t="n"/>
      <c r="G1633" s="8">
        <f>IF(E1633="","",E1633*F1633)</f>
        <v/>
      </c>
      <c r="H1633" s="8">
        <f>IF(G1633="","",G1633-I1633)</f>
        <v/>
      </c>
      <c r="I1633" s="8">
        <f>IF(D1633="","",VLOOKUP(D1633, RECETTES!B:G, 6, FALSE)*E1633)</f>
        <v/>
      </c>
      <c r="J1633" s="8">
        <f>IF(G1633="","",G1633*0.20)</f>
        <v/>
      </c>
      <c r="K1633" s="8">
        <f>IF(G1633="","",G1633+J1633)</f>
        <v/>
      </c>
    </row>
    <row r="1634">
      <c r="F1634" s="8" t="n"/>
      <c r="G1634" s="8">
        <f>IF(E1634="","",E1634*F1634)</f>
        <v/>
      </c>
      <c r="H1634" s="8">
        <f>IF(G1634="","",G1634-I1634)</f>
        <v/>
      </c>
      <c r="I1634" s="8">
        <f>IF(D1634="","",VLOOKUP(D1634, RECETTES!B:G, 6, FALSE)*E1634)</f>
        <v/>
      </c>
      <c r="J1634" s="8">
        <f>IF(G1634="","",G1634*0.20)</f>
        <v/>
      </c>
      <c r="K1634" s="8">
        <f>IF(G1634="","",G1634+J1634)</f>
        <v/>
      </c>
    </row>
    <row r="1635">
      <c r="F1635" s="8" t="n"/>
      <c r="G1635" s="8">
        <f>IF(E1635="","",E1635*F1635)</f>
        <v/>
      </c>
      <c r="H1635" s="8">
        <f>IF(G1635="","",G1635-I1635)</f>
        <v/>
      </c>
      <c r="I1635" s="8">
        <f>IF(D1635="","",VLOOKUP(D1635, RECETTES!B:G, 6, FALSE)*E1635)</f>
        <v/>
      </c>
      <c r="J1635" s="8">
        <f>IF(G1635="","",G1635*0.20)</f>
        <v/>
      </c>
      <c r="K1635" s="8">
        <f>IF(G1635="","",G1635+J1635)</f>
        <v/>
      </c>
    </row>
    <row r="1636">
      <c r="F1636" s="8" t="n"/>
      <c r="G1636" s="8">
        <f>IF(E1636="","",E1636*F1636)</f>
        <v/>
      </c>
      <c r="H1636" s="8">
        <f>IF(G1636="","",G1636-I1636)</f>
        <v/>
      </c>
      <c r="I1636" s="8">
        <f>IF(D1636="","",VLOOKUP(D1636, RECETTES!B:G, 6, FALSE)*E1636)</f>
        <v/>
      </c>
      <c r="J1636" s="8">
        <f>IF(G1636="","",G1636*0.20)</f>
        <v/>
      </c>
      <c r="K1636" s="8">
        <f>IF(G1636="","",G1636+J1636)</f>
        <v/>
      </c>
    </row>
    <row r="1637">
      <c r="F1637" s="8" t="n"/>
      <c r="G1637" s="8">
        <f>IF(E1637="","",E1637*F1637)</f>
        <v/>
      </c>
      <c r="H1637" s="8">
        <f>IF(G1637="","",G1637-I1637)</f>
        <v/>
      </c>
      <c r="I1637" s="8">
        <f>IF(D1637="","",VLOOKUP(D1637, RECETTES!B:G, 6, FALSE)*E1637)</f>
        <v/>
      </c>
      <c r="J1637" s="8">
        <f>IF(G1637="","",G1637*0.20)</f>
        <v/>
      </c>
      <c r="K1637" s="8">
        <f>IF(G1637="","",G1637+J1637)</f>
        <v/>
      </c>
    </row>
    <row r="1638">
      <c r="F1638" s="8" t="n"/>
      <c r="G1638" s="8">
        <f>IF(E1638="","",E1638*F1638)</f>
        <v/>
      </c>
      <c r="H1638" s="8">
        <f>IF(G1638="","",G1638-I1638)</f>
        <v/>
      </c>
      <c r="I1638" s="8">
        <f>IF(D1638="","",VLOOKUP(D1638, RECETTES!B:G, 6, FALSE)*E1638)</f>
        <v/>
      </c>
      <c r="J1638" s="8">
        <f>IF(G1638="","",G1638*0.20)</f>
        <v/>
      </c>
      <c r="K1638" s="8">
        <f>IF(G1638="","",G1638+J1638)</f>
        <v/>
      </c>
    </row>
    <row r="1639">
      <c r="F1639" s="8" t="n"/>
      <c r="G1639" s="8">
        <f>IF(E1639="","",E1639*F1639)</f>
        <v/>
      </c>
      <c r="H1639" s="8">
        <f>IF(G1639="","",G1639-I1639)</f>
        <v/>
      </c>
      <c r="I1639" s="8">
        <f>IF(D1639="","",VLOOKUP(D1639, RECETTES!B:G, 6, FALSE)*E1639)</f>
        <v/>
      </c>
      <c r="J1639" s="8">
        <f>IF(G1639="","",G1639*0.20)</f>
        <v/>
      </c>
      <c r="K1639" s="8">
        <f>IF(G1639="","",G1639+J1639)</f>
        <v/>
      </c>
    </row>
    <row r="1640">
      <c r="F1640" s="8" t="n"/>
      <c r="G1640" s="8">
        <f>IF(E1640="","",E1640*F1640)</f>
        <v/>
      </c>
      <c r="H1640" s="8">
        <f>IF(G1640="","",G1640-I1640)</f>
        <v/>
      </c>
      <c r="I1640" s="8">
        <f>IF(D1640="","",VLOOKUP(D1640, RECETTES!B:G, 6, FALSE)*E1640)</f>
        <v/>
      </c>
      <c r="J1640" s="8">
        <f>IF(G1640="","",G1640*0.20)</f>
        <v/>
      </c>
      <c r="K1640" s="8">
        <f>IF(G1640="","",G1640+J1640)</f>
        <v/>
      </c>
    </row>
    <row r="1641">
      <c r="F1641" s="8" t="n"/>
      <c r="G1641" s="8">
        <f>IF(E1641="","",E1641*F1641)</f>
        <v/>
      </c>
      <c r="H1641" s="8">
        <f>IF(G1641="","",G1641-I1641)</f>
        <v/>
      </c>
      <c r="I1641" s="8">
        <f>IF(D1641="","",VLOOKUP(D1641, RECETTES!B:G, 6, FALSE)*E1641)</f>
        <v/>
      </c>
      <c r="J1641" s="8">
        <f>IF(G1641="","",G1641*0.20)</f>
        <v/>
      </c>
      <c r="K1641" s="8">
        <f>IF(G1641="","",G1641+J1641)</f>
        <v/>
      </c>
    </row>
    <row r="1642">
      <c r="F1642" s="8" t="n"/>
      <c r="G1642" s="8">
        <f>IF(E1642="","",E1642*F1642)</f>
        <v/>
      </c>
      <c r="H1642" s="8">
        <f>IF(G1642="","",G1642-I1642)</f>
        <v/>
      </c>
      <c r="I1642" s="8">
        <f>IF(D1642="","",VLOOKUP(D1642, RECETTES!B:G, 6, FALSE)*E1642)</f>
        <v/>
      </c>
      <c r="J1642" s="8">
        <f>IF(G1642="","",G1642*0.20)</f>
        <v/>
      </c>
      <c r="K1642" s="8">
        <f>IF(G1642="","",G1642+J1642)</f>
        <v/>
      </c>
    </row>
    <row r="1643">
      <c r="F1643" s="8" t="n"/>
      <c r="G1643" s="8">
        <f>IF(E1643="","",E1643*F1643)</f>
        <v/>
      </c>
      <c r="H1643" s="8">
        <f>IF(G1643="","",G1643-I1643)</f>
        <v/>
      </c>
      <c r="I1643" s="8">
        <f>IF(D1643="","",VLOOKUP(D1643, RECETTES!B:G, 6, FALSE)*E1643)</f>
        <v/>
      </c>
      <c r="J1643" s="8">
        <f>IF(G1643="","",G1643*0.20)</f>
        <v/>
      </c>
      <c r="K1643" s="8">
        <f>IF(G1643="","",G1643+J1643)</f>
        <v/>
      </c>
    </row>
    <row r="1644">
      <c r="F1644" s="8" t="n"/>
      <c r="G1644" s="8">
        <f>IF(E1644="","",E1644*F1644)</f>
        <v/>
      </c>
      <c r="H1644" s="8">
        <f>IF(G1644="","",G1644-I1644)</f>
        <v/>
      </c>
      <c r="I1644" s="8">
        <f>IF(D1644="","",VLOOKUP(D1644, RECETTES!B:G, 6, FALSE)*E1644)</f>
        <v/>
      </c>
      <c r="J1644" s="8">
        <f>IF(G1644="","",G1644*0.20)</f>
        <v/>
      </c>
      <c r="K1644" s="8">
        <f>IF(G1644="","",G1644+J1644)</f>
        <v/>
      </c>
    </row>
    <row r="1645">
      <c r="F1645" s="8" t="n"/>
      <c r="G1645" s="8">
        <f>IF(E1645="","",E1645*F1645)</f>
        <v/>
      </c>
      <c r="H1645" s="8">
        <f>IF(G1645="","",G1645-I1645)</f>
        <v/>
      </c>
      <c r="I1645" s="8">
        <f>IF(D1645="","",VLOOKUP(D1645, RECETTES!B:G, 6, FALSE)*E1645)</f>
        <v/>
      </c>
      <c r="J1645" s="8">
        <f>IF(G1645="","",G1645*0.20)</f>
        <v/>
      </c>
      <c r="K1645" s="8">
        <f>IF(G1645="","",G1645+J1645)</f>
        <v/>
      </c>
    </row>
    <row r="1646">
      <c r="F1646" s="8" t="n"/>
      <c r="G1646" s="8">
        <f>IF(E1646="","",E1646*F1646)</f>
        <v/>
      </c>
      <c r="H1646" s="8">
        <f>IF(G1646="","",G1646-I1646)</f>
        <v/>
      </c>
      <c r="I1646" s="8">
        <f>IF(D1646="","",VLOOKUP(D1646, RECETTES!B:G, 6, FALSE)*E1646)</f>
        <v/>
      </c>
      <c r="J1646" s="8">
        <f>IF(G1646="","",G1646*0.20)</f>
        <v/>
      </c>
      <c r="K1646" s="8">
        <f>IF(G1646="","",G1646+J1646)</f>
        <v/>
      </c>
    </row>
    <row r="1647">
      <c r="F1647" s="8" t="n"/>
      <c r="G1647" s="8">
        <f>IF(E1647="","",E1647*F1647)</f>
        <v/>
      </c>
      <c r="H1647" s="8">
        <f>IF(G1647="","",G1647-I1647)</f>
        <v/>
      </c>
      <c r="I1647" s="8">
        <f>IF(D1647="","",VLOOKUP(D1647, RECETTES!B:G, 6, FALSE)*E1647)</f>
        <v/>
      </c>
      <c r="J1647" s="8">
        <f>IF(G1647="","",G1647*0.20)</f>
        <v/>
      </c>
      <c r="K1647" s="8">
        <f>IF(G1647="","",G1647+J1647)</f>
        <v/>
      </c>
    </row>
    <row r="1648">
      <c r="F1648" s="8" t="n"/>
      <c r="G1648" s="8">
        <f>IF(E1648="","",E1648*F1648)</f>
        <v/>
      </c>
      <c r="H1648" s="8">
        <f>IF(G1648="","",G1648-I1648)</f>
        <v/>
      </c>
      <c r="I1648" s="8">
        <f>IF(D1648="","",VLOOKUP(D1648, RECETTES!B:G, 6, FALSE)*E1648)</f>
        <v/>
      </c>
      <c r="J1648" s="8">
        <f>IF(G1648="","",G1648*0.20)</f>
        <v/>
      </c>
      <c r="K1648" s="8">
        <f>IF(G1648="","",G1648+J1648)</f>
        <v/>
      </c>
    </row>
    <row r="1649">
      <c r="F1649" s="8" t="n"/>
      <c r="G1649" s="8">
        <f>IF(E1649="","",E1649*F1649)</f>
        <v/>
      </c>
      <c r="H1649" s="8">
        <f>IF(G1649="","",G1649-I1649)</f>
        <v/>
      </c>
      <c r="I1649" s="8">
        <f>IF(D1649="","",VLOOKUP(D1649, RECETTES!B:G, 6, FALSE)*E1649)</f>
        <v/>
      </c>
      <c r="J1649" s="8">
        <f>IF(G1649="","",G1649*0.20)</f>
        <v/>
      </c>
      <c r="K1649" s="8">
        <f>IF(G1649="","",G1649+J1649)</f>
        <v/>
      </c>
    </row>
    <row r="1650">
      <c r="F1650" s="8" t="n"/>
      <c r="G1650" s="8">
        <f>IF(E1650="","",E1650*F1650)</f>
        <v/>
      </c>
      <c r="H1650" s="8">
        <f>IF(G1650="","",G1650-I1650)</f>
        <v/>
      </c>
      <c r="I1650" s="8">
        <f>IF(D1650="","",VLOOKUP(D1650, RECETTES!B:G, 6, FALSE)*E1650)</f>
        <v/>
      </c>
      <c r="J1650" s="8">
        <f>IF(G1650="","",G1650*0.20)</f>
        <v/>
      </c>
      <c r="K1650" s="8">
        <f>IF(G1650="","",G1650+J1650)</f>
        <v/>
      </c>
    </row>
    <row r="1651">
      <c r="F1651" s="8" t="n"/>
      <c r="G1651" s="8">
        <f>IF(E1651="","",E1651*F1651)</f>
        <v/>
      </c>
      <c r="H1651" s="8">
        <f>IF(G1651="","",G1651-I1651)</f>
        <v/>
      </c>
      <c r="I1651" s="8">
        <f>IF(D1651="","",VLOOKUP(D1651, RECETTES!B:G, 6, FALSE)*E1651)</f>
        <v/>
      </c>
      <c r="J1651" s="8">
        <f>IF(G1651="","",G1651*0.20)</f>
        <v/>
      </c>
      <c r="K1651" s="8">
        <f>IF(G1651="","",G1651+J1651)</f>
        <v/>
      </c>
    </row>
    <row r="1652">
      <c r="F1652" s="8" t="n"/>
      <c r="G1652" s="8">
        <f>IF(E1652="","",E1652*F1652)</f>
        <v/>
      </c>
      <c r="H1652" s="8">
        <f>IF(G1652="","",G1652-I1652)</f>
        <v/>
      </c>
      <c r="I1652" s="8">
        <f>IF(D1652="","",VLOOKUP(D1652, RECETTES!B:G, 6, FALSE)*E1652)</f>
        <v/>
      </c>
      <c r="J1652" s="8">
        <f>IF(G1652="","",G1652*0.20)</f>
        <v/>
      </c>
      <c r="K1652" s="8">
        <f>IF(G1652="","",G1652+J1652)</f>
        <v/>
      </c>
    </row>
    <row r="1653">
      <c r="F1653" s="8" t="n"/>
      <c r="G1653" s="8">
        <f>IF(E1653="","",E1653*F1653)</f>
        <v/>
      </c>
      <c r="H1653" s="8">
        <f>IF(G1653="","",G1653-I1653)</f>
        <v/>
      </c>
      <c r="I1653" s="8">
        <f>IF(D1653="","",VLOOKUP(D1653, RECETTES!B:G, 6, FALSE)*E1653)</f>
        <v/>
      </c>
      <c r="J1653" s="8">
        <f>IF(G1653="","",G1653*0.20)</f>
        <v/>
      </c>
      <c r="K1653" s="8">
        <f>IF(G1653="","",G1653+J1653)</f>
        <v/>
      </c>
    </row>
    <row r="1654">
      <c r="F1654" s="8" t="n"/>
      <c r="G1654" s="8">
        <f>IF(E1654="","",E1654*F1654)</f>
        <v/>
      </c>
      <c r="H1654" s="8">
        <f>IF(G1654="","",G1654-I1654)</f>
        <v/>
      </c>
      <c r="I1654" s="8">
        <f>IF(D1654="","",VLOOKUP(D1654, RECETTES!B:G, 6, FALSE)*E1654)</f>
        <v/>
      </c>
      <c r="J1654" s="8">
        <f>IF(G1654="","",G1654*0.20)</f>
        <v/>
      </c>
      <c r="K1654" s="8">
        <f>IF(G1654="","",G1654+J1654)</f>
        <v/>
      </c>
    </row>
    <row r="1655">
      <c r="F1655" s="8" t="n"/>
      <c r="G1655" s="8">
        <f>IF(E1655="","",E1655*F1655)</f>
        <v/>
      </c>
      <c r="H1655" s="8">
        <f>IF(G1655="","",G1655-I1655)</f>
        <v/>
      </c>
      <c r="I1655" s="8">
        <f>IF(D1655="","",VLOOKUP(D1655, RECETTES!B:G, 6, FALSE)*E1655)</f>
        <v/>
      </c>
      <c r="J1655" s="8">
        <f>IF(G1655="","",G1655*0.20)</f>
        <v/>
      </c>
      <c r="K1655" s="8">
        <f>IF(G1655="","",G1655+J1655)</f>
        <v/>
      </c>
    </row>
    <row r="1656">
      <c r="F1656" s="8" t="n"/>
      <c r="G1656" s="8">
        <f>IF(E1656="","",E1656*F1656)</f>
        <v/>
      </c>
      <c r="H1656" s="8">
        <f>IF(G1656="","",G1656-I1656)</f>
        <v/>
      </c>
      <c r="I1656" s="8">
        <f>IF(D1656="","",VLOOKUP(D1656, RECETTES!B:G, 6, FALSE)*E1656)</f>
        <v/>
      </c>
      <c r="J1656" s="8">
        <f>IF(G1656="","",G1656*0.20)</f>
        <v/>
      </c>
      <c r="K1656" s="8">
        <f>IF(G1656="","",G1656+J1656)</f>
        <v/>
      </c>
    </row>
    <row r="1657">
      <c r="F1657" s="8" t="n"/>
      <c r="G1657" s="8">
        <f>IF(E1657="","",E1657*F1657)</f>
        <v/>
      </c>
      <c r="H1657" s="8">
        <f>IF(G1657="","",G1657-I1657)</f>
        <v/>
      </c>
      <c r="I1657" s="8">
        <f>IF(D1657="","",VLOOKUP(D1657, RECETTES!B:G, 6, FALSE)*E1657)</f>
        <v/>
      </c>
      <c r="J1657" s="8">
        <f>IF(G1657="","",G1657*0.20)</f>
        <v/>
      </c>
      <c r="K1657" s="8">
        <f>IF(G1657="","",G1657+J1657)</f>
        <v/>
      </c>
    </row>
    <row r="1658">
      <c r="F1658" s="8" t="n"/>
      <c r="G1658" s="8">
        <f>IF(E1658="","",E1658*F1658)</f>
        <v/>
      </c>
      <c r="H1658" s="8">
        <f>IF(G1658="","",G1658-I1658)</f>
        <v/>
      </c>
      <c r="I1658" s="8">
        <f>IF(D1658="","",VLOOKUP(D1658, RECETTES!B:G, 6, FALSE)*E1658)</f>
        <v/>
      </c>
      <c r="J1658" s="8">
        <f>IF(G1658="","",G1658*0.20)</f>
        <v/>
      </c>
      <c r="K1658" s="8">
        <f>IF(G1658="","",G1658+J1658)</f>
        <v/>
      </c>
    </row>
    <row r="1659">
      <c r="F1659" s="8" t="n"/>
      <c r="G1659" s="8">
        <f>IF(E1659="","",E1659*F1659)</f>
        <v/>
      </c>
      <c r="H1659" s="8">
        <f>IF(G1659="","",G1659-I1659)</f>
        <v/>
      </c>
      <c r="I1659" s="8">
        <f>IF(D1659="","",VLOOKUP(D1659, RECETTES!B:G, 6, FALSE)*E1659)</f>
        <v/>
      </c>
      <c r="J1659" s="8">
        <f>IF(G1659="","",G1659*0.20)</f>
        <v/>
      </c>
      <c r="K1659" s="8">
        <f>IF(G1659="","",G1659+J1659)</f>
        <v/>
      </c>
    </row>
    <row r="1660">
      <c r="F1660" s="8" t="n"/>
      <c r="G1660" s="8">
        <f>IF(E1660="","",E1660*F1660)</f>
        <v/>
      </c>
      <c r="H1660" s="8">
        <f>IF(G1660="","",G1660-I1660)</f>
        <v/>
      </c>
      <c r="I1660" s="8">
        <f>IF(D1660="","",VLOOKUP(D1660, RECETTES!B:G, 6, FALSE)*E1660)</f>
        <v/>
      </c>
      <c r="J1660" s="8">
        <f>IF(G1660="","",G1660*0.20)</f>
        <v/>
      </c>
      <c r="K1660" s="8">
        <f>IF(G1660="","",G1660+J1660)</f>
        <v/>
      </c>
    </row>
    <row r="1661">
      <c r="F1661" s="8" t="n"/>
      <c r="G1661" s="8">
        <f>IF(E1661="","",E1661*F1661)</f>
        <v/>
      </c>
      <c r="H1661" s="8">
        <f>IF(G1661="","",G1661-I1661)</f>
        <v/>
      </c>
      <c r="I1661" s="8">
        <f>IF(D1661="","",VLOOKUP(D1661, RECETTES!B:G, 6, FALSE)*E1661)</f>
        <v/>
      </c>
      <c r="J1661" s="8">
        <f>IF(G1661="","",G1661*0.20)</f>
        <v/>
      </c>
      <c r="K1661" s="8">
        <f>IF(G1661="","",G1661+J1661)</f>
        <v/>
      </c>
    </row>
    <row r="1662">
      <c r="F1662" s="8" t="n"/>
      <c r="G1662" s="8">
        <f>IF(E1662="","",E1662*F1662)</f>
        <v/>
      </c>
      <c r="H1662" s="8">
        <f>IF(G1662="","",G1662-I1662)</f>
        <v/>
      </c>
      <c r="I1662" s="8">
        <f>IF(D1662="","",VLOOKUP(D1662, RECETTES!B:G, 6, FALSE)*E1662)</f>
        <v/>
      </c>
      <c r="J1662" s="8">
        <f>IF(G1662="","",G1662*0.20)</f>
        <v/>
      </c>
      <c r="K1662" s="8">
        <f>IF(G1662="","",G1662+J1662)</f>
        <v/>
      </c>
    </row>
    <row r="1663">
      <c r="F1663" s="8" t="n"/>
      <c r="G1663" s="8">
        <f>IF(E1663="","",E1663*F1663)</f>
        <v/>
      </c>
      <c r="H1663" s="8">
        <f>IF(G1663="","",G1663-I1663)</f>
        <v/>
      </c>
      <c r="I1663" s="8">
        <f>IF(D1663="","",VLOOKUP(D1663, RECETTES!B:G, 6, FALSE)*E1663)</f>
        <v/>
      </c>
      <c r="J1663" s="8">
        <f>IF(G1663="","",G1663*0.20)</f>
        <v/>
      </c>
      <c r="K1663" s="8">
        <f>IF(G1663="","",G1663+J1663)</f>
        <v/>
      </c>
    </row>
    <row r="1664">
      <c r="F1664" s="8" t="n"/>
      <c r="G1664" s="8">
        <f>IF(E1664="","",E1664*F1664)</f>
        <v/>
      </c>
      <c r="H1664" s="8">
        <f>IF(G1664="","",G1664-I1664)</f>
        <v/>
      </c>
      <c r="I1664" s="8">
        <f>IF(D1664="","",VLOOKUP(D1664, RECETTES!B:G, 6, FALSE)*E1664)</f>
        <v/>
      </c>
      <c r="J1664" s="8">
        <f>IF(G1664="","",G1664*0.20)</f>
        <v/>
      </c>
      <c r="K1664" s="8">
        <f>IF(G1664="","",G1664+J1664)</f>
        <v/>
      </c>
    </row>
    <row r="1665">
      <c r="F1665" s="8" t="n"/>
      <c r="G1665" s="8">
        <f>IF(E1665="","",E1665*F1665)</f>
        <v/>
      </c>
      <c r="H1665" s="8">
        <f>IF(G1665="","",G1665-I1665)</f>
        <v/>
      </c>
      <c r="I1665" s="8">
        <f>IF(D1665="","",VLOOKUP(D1665, RECETTES!B:G, 6, FALSE)*E1665)</f>
        <v/>
      </c>
      <c r="J1665" s="8">
        <f>IF(G1665="","",G1665*0.20)</f>
        <v/>
      </c>
      <c r="K1665" s="8">
        <f>IF(G1665="","",G1665+J1665)</f>
        <v/>
      </c>
    </row>
    <row r="1666">
      <c r="F1666" s="8" t="n"/>
      <c r="G1666" s="8">
        <f>IF(E1666="","",E1666*F1666)</f>
        <v/>
      </c>
      <c r="H1666" s="8">
        <f>IF(G1666="","",G1666-I1666)</f>
        <v/>
      </c>
      <c r="I1666" s="8">
        <f>IF(D1666="","",VLOOKUP(D1666, RECETTES!B:G, 6, FALSE)*E1666)</f>
        <v/>
      </c>
      <c r="J1666" s="8">
        <f>IF(G1666="","",G1666*0.20)</f>
        <v/>
      </c>
      <c r="K1666" s="8">
        <f>IF(G1666="","",G1666+J1666)</f>
        <v/>
      </c>
    </row>
    <row r="1667">
      <c r="F1667" s="8" t="n"/>
      <c r="G1667" s="8">
        <f>IF(E1667="","",E1667*F1667)</f>
        <v/>
      </c>
      <c r="H1667" s="8">
        <f>IF(G1667="","",G1667-I1667)</f>
        <v/>
      </c>
      <c r="I1667" s="8">
        <f>IF(D1667="","",VLOOKUP(D1667, RECETTES!B:G, 6, FALSE)*E1667)</f>
        <v/>
      </c>
      <c r="J1667" s="8">
        <f>IF(G1667="","",G1667*0.20)</f>
        <v/>
      </c>
      <c r="K1667" s="8">
        <f>IF(G1667="","",G1667+J1667)</f>
        <v/>
      </c>
    </row>
    <row r="1668">
      <c r="F1668" s="8" t="n"/>
      <c r="G1668" s="8">
        <f>IF(E1668="","",E1668*F1668)</f>
        <v/>
      </c>
      <c r="H1668" s="8">
        <f>IF(G1668="","",G1668-I1668)</f>
        <v/>
      </c>
      <c r="I1668" s="8">
        <f>IF(D1668="","",VLOOKUP(D1668, RECETTES!B:G, 6, FALSE)*E1668)</f>
        <v/>
      </c>
      <c r="J1668" s="8">
        <f>IF(G1668="","",G1668*0.20)</f>
        <v/>
      </c>
      <c r="K1668" s="8">
        <f>IF(G1668="","",G1668+J1668)</f>
        <v/>
      </c>
    </row>
    <row r="1669">
      <c r="F1669" s="8" t="n"/>
      <c r="G1669" s="8">
        <f>IF(E1669="","",E1669*F1669)</f>
        <v/>
      </c>
      <c r="H1669" s="8">
        <f>IF(G1669="","",G1669-I1669)</f>
        <v/>
      </c>
      <c r="I1669" s="8">
        <f>IF(D1669="","",VLOOKUP(D1669, RECETTES!B:G, 6, FALSE)*E1669)</f>
        <v/>
      </c>
      <c r="J1669" s="8">
        <f>IF(G1669="","",G1669*0.20)</f>
        <v/>
      </c>
      <c r="K1669" s="8">
        <f>IF(G1669="","",G1669+J1669)</f>
        <v/>
      </c>
    </row>
    <row r="1670">
      <c r="F1670" s="8" t="n"/>
      <c r="G1670" s="8">
        <f>IF(E1670="","",E1670*F1670)</f>
        <v/>
      </c>
      <c r="H1670" s="8">
        <f>IF(G1670="","",G1670-I1670)</f>
        <v/>
      </c>
      <c r="I1670" s="8">
        <f>IF(D1670="","",VLOOKUP(D1670, RECETTES!B:G, 6, FALSE)*E1670)</f>
        <v/>
      </c>
      <c r="J1670" s="8">
        <f>IF(G1670="","",G1670*0.20)</f>
        <v/>
      </c>
      <c r="K1670" s="8">
        <f>IF(G1670="","",G1670+J1670)</f>
        <v/>
      </c>
    </row>
    <row r="1671">
      <c r="F1671" s="8" t="n"/>
      <c r="G1671" s="8">
        <f>IF(E1671="","",E1671*F1671)</f>
        <v/>
      </c>
      <c r="H1671" s="8">
        <f>IF(G1671="","",G1671-I1671)</f>
        <v/>
      </c>
      <c r="I1671" s="8">
        <f>IF(D1671="","",VLOOKUP(D1671, RECETTES!B:G, 6, FALSE)*E1671)</f>
        <v/>
      </c>
      <c r="J1671" s="8">
        <f>IF(G1671="","",G1671*0.20)</f>
        <v/>
      </c>
      <c r="K1671" s="8">
        <f>IF(G1671="","",G1671+J1671)</f>
        <v/>
      </c>
    </row>
    <row r="1672">
      <c r="F1672" s="8" t="n"/>
      <c r="G1672" s="8">
        <f>IF(E1672="","",E1672*F1672)</f>
        <v/>
      </c>
      <c r="H1672" s="8">
        <f>IF(G1672="","",G1672-I1672)</f>
        <v/>
      </c>
      <c r="I1672" s="8">
        <f>IF(D1672="","",VLOOKUP(D1672, RECETTES!B:G, 6, FALSE)*E1672)</f>
        <v/>
      </c>
      <c r="J1672" s="8">
        <f>IF(G1672="","",G1672*0.20)</f>
        <v/>
      </c>
      <c r="K1672" s="8">
        <f>IF(G1672="","",G1672+J1672)</f>
        <v/>
      </c>
    </row>
    <row r="1673">
      <c r="F1673" s="8" t="n"/>
      <c r="G1673" s="8">
        <f>IF(E1673="","",E1673*F1673)</f>
        <v/>
      </c>
      <c r="H1673" s="8">
        <f>IF(G1673="","",G1673-I1673)</f>
        <v/>
      </c>
      <c r="I1673" s="8">
        <f>IF(D1673="","",VLOOKUP(D1673, RECETTES!B:G, 6, FALSE)*E1673)</f>
        <v/>
      </c>
      <c r="J1673" s="8">
        <f>IF(G1673="","",G1673*0.20)</f>
        <v/>
      </c>
      <c r="K1673" s="8">
        <f>IF(G1673="","",G1673+J1673)</f>
        <v/>
      </c>
    </row>
    <row r="1674">
      <c r="F1674" s="8" t="n"/>
      <c r="G1674" s="8">
        <f>IF(E1674="","",E1674*F1674)</f>
        <v/>
      </c>
      <c r="H1674" s="8">
        <f>IF(G1674="","",G1674-I1674)</f>
        <v/>
      </c>
      <c r="I1674" s="8">
        <f>IF(D1674="","",VLOOKUP(D1674, RECETTES!B:G, 6, FALSE)*E1674)</f>
        <v/>
      </c>
      <c r="J1674" s="8">
        <f>IF(G1674="","",G1674*0.20)</f>
        <v/>
      </c>
      <c r="K1674" s="8">
        <f>IF(G1674="","",G1674+J1674)</f>
        <v/>
      </c>
    </row>
    <row r="1675">
      <c r="F1675" s="8" t="n"/>
      <c r="G1675" s="8">
        <f>IF(E1675="","",E1675*F1675)</f>
        <v/>
      </c>
      <c r="H1675" s="8">
        <f>IF(G1675="","",G1675-I1675)</f>
        <v/>
      </c>
      <c r="I1675" s="8">
        <f>IF(D1675="","",VLOOKUP(D1675, RECETTES!B:G, 6, FALSE)*E1675)</f>
        <v/>
      </c>
      <c r="J1675" s="8">
        <f>IF(G1675="","",G1675*0.20)</f>
        <v/>
      </c>
      <c r="K1675" s="8">
        <f>IF(G1675="","",G1675+J1675)</f>
        <v/>
      </c>
    </row>
    <row r="1676">
      <c r="F1676" s="8" t="n"/>
      <c r="G1676" s="8">
        <f>IF(E1676="","",E1676*F1676)</f>
        <v/>
      </c>
      <c r="H1676" s="8">
        <f>IF(G1676="","",G1676-I1676)</f>
        <v/>
      </c>
      <c r="I1676" s="8">
        <f>IF(D1676="","",VLOOKUP(D1676, RECETTES!B:G, 6, FALSE)*E1676)</f>
        <v/>
      </c>
      <c r="J1676" s="8">
        <f>IF(G1676="","",G1676*0.20)</f>
        <v/>
      </c>
      <c r="K1676" s="8">
        <f>IF(G1676="","",G1676+J1676)</f>
        <v/>
      </c>
    </row>
    <row r="1677">
      <c r="F1677" s="8" t="n"/>
      <c r="G1677" s="8">
        <f>IF(E1677="","",E1677*F1677)</f>
        <v/>
      </c>
      <c r="H1677" s="8">
        <f>IF(G1677="","",G1677-I1677)</f>
        <v/>
      </c>
      <c r="I1677" s="8">
        <f>IF(D1677="","",VLOOKUP(D1677, RECETTES!B:G, 6, FALSE)*E1677)</f>
        <v/>
      </c>
      <c r="J1677" s="8">
        <f>IF(G1677="","",G1677*0.20)</f>
        <v/>
      </c>
      <c r="K1677" s="8">
        <f>IF(G1677="","",G1677+J1677)</f>
        <v/>
      </c>
    </row>
    <row r="1678">
      <c r="F1678" s="8" t="n"/>
      <c r="G1678" s="8">
        <f>IF(E1678="","",E1678*F1678)</f>
        <v/>
      </c>
      <c r="H1678" s="8">
        <f>IF(G1678="","",G1678-I1678)</f>
        <v/>
      </c>
      <c r="I1678" s="8">
        <f>IF(D1678="","",VLOOKUP(D1678, RECETTES!B:G, 6, FALSE)*E1678)</f>
        <v/>
      </c>
      <c r="J1678" s="8">
        <f>IF(G1678="","",G1678*0.20)</f>
        <v/>
      </c>
      <c r="K1678" s="8">
        <f>IF(G1678="","",G1678+J1678)</f>
        <v/>
      </c>
    </row>
    <row r="1679">
      <c r="F1679" s="8" t="n"/>
      <c r="G1679" s="8">
        <f>IF(E1679="","",E1679*F1679)</f>
        <v/>
      </c>
      <c r="H1679" s="8">
        <f>IF(G1679="","",G1679-I1679)</f>
        <v/>
      </c>
      <c r="I1679" s="8">
        <f>IF(D1679="","",VLOOKUP(D1679, RECETTES!B:G, 6, FALSE)*E1679)</f>
        <v/>
      </c>
      <c r="J1679" s="8">
        <f>IF(G1679="","",G1679*0.20)</f>
        <v/>
      </c>
      <c r="K1679" s="8">
        <f>IF(G1679="","",G1679+J1679)</f>
        <v/>
      </c>
    </row>
    <row r="1680">
      <c r="F1680" s="8" t="n"/>
      <c r="G1680" s="8">
        <f>IF(E1680="","",E1680*F1680)</f>
        <v/>
      </c>
      <c r="H1680" s="8">
        <f>IF(G1680="","",G1680-I1680)</f>
        <v/>
      </c>
      <c r="I1680" s="8">
        <f>IF(D1680="","",VLOOKUP(D1680, RECETTES!B:G, 6, FALSE)*E1680)</f>
        <v/>
      </c>
      <c r="J1680" s="8">
        <f>IF(G1680="","",G1680*0.20)</f>
        <v/>
      </c>
      <c r="K1680" s="8">
        <f>IF(G1680="","",G1680+J1680)</f>
        <v/>
      </c>
    </row>
    <row r="1681">
      <c r="F1681" s="8" t="n"/>
      <c r="G1681" s="8">
        <f>IF(E1681="","",E1681*F1681)</f>
        <v/>
      </c>
      <c r="H1681" s="8">
        <f>IF(G1681="","",G1681-I1681)</f>
        <v/>
      </c>
      <c r="I1681" s="8">
        <f>IF(D1681="","",VLOOKUP(D1681, RECETTES!B:G, 6, FALSE)*E1681)</f>
        <v/>
      </c>
      <c r="J1681" s="8">
        <f>IF(G1681="","",G1681*0.20)</f>
        <v/>
      </c>
      <c r="K1681" s="8">
        <f>IF(G1681="","",G1681+J1681)</f>
        <v/>
      </c>
    </row>
    <row r="1682">
      <c r="F1682" s="8" t="n"/>
      <c r="G1682" s="8">
        <f>IF(E1682="","",E1682*F1682)</f>
        <v/>
      </c>
      <c r="H1682" s="8">
        <f>IF(G1682="","",G1682-I1682)</f>
        <v/>
      </c>
      <c r="I1682" s="8">
        <f>IF(D1682="","",VLOOKUP(D1682, RECETTES!B:G, 6, FALSE)*E1682)</f>
        <v/>
      </c>
      <c r="J1682" s="8">
        <f>IF(G1682="","",G1682*0.20)</f>
        <v/>
      </c>
      <c r="K1682" s="8">
        <f>IF(G1682="","",G1682+J1682)</f>
        <v/>
      </c>
    </row>
    <row r="1683">
      <c r="F1683" s="8" t="n"/>
      <c r="G1683" s="8">
        <f>IF(E1683="","",E1683*F1683)</f>
        <v/>
      </c>
      <c r="H1683" s="8">
        <f>IF(G1683="","",G1683-I1683)</f>
        <v/>
      </c>
      <c r="I1683" s="8">
        <f>IF(D1683="","",VLOOKUP(D1683, RECETTES!B:G, 6, FALSE)*E1683)</f>
        <v/>
      </c>
      <c r="J1683" s="8">
        <f>IF(G1683="","",G1683*0.20)</f>
        <v/>
      </c>
      <c r="K1683" s="8">
        <f>IF(G1683="","",G1683+J1683)</f>
        <v/>
      </c>
    </row>
    <row r="1684">
      <c r="F1684" s="8" t="n"/>
      <c r="G1684" s="8">
        <f>IF(E1684="","",E1684*F1684)</f>
        <v/>
      </c>
      <c r="H1684" s="8">
        <f>IF(G1684="","",G1684-I1684)</f>
        <v/>
      </c>
      <c r="I1684" s="8">
        <f>IF(D1684="","",VLOOKUP(D1684, RECETTES!B:G, 6, FALSE)*E1684)</f>
        <v/>
      </c>
      <c r="J1684" s="8">
        <f>IF(G1684="","",G1684*0.20)</f>
        <v/>
      </c>
      <c r="K1684" s="8">
        <f>IF(G1684="","",G1684+J1684)</f>
        <v/>
      </c>
    </row>
    <row r="1685">
      <c r="F1685" s="8" t="n"/>
      <c r="G1685" s="8">
        <f>IF(E1685="","",E1685*F1685)</f>
        <v/>
      </c>
      <c r="H1685" s="8">
        <f>IF(G1685="","",G1685-I1685)</f>
        <v/>
      </c>
      <c r="I1685" s="8">
        <f>IF(D1685="","",VLOOKUP(D1685, RECETTES!B:G, 6, FALSE)*E1685)</f>
        <v/>
      </c>
      <c r="J1685" s="8">
        <f>IF(G1685="","",G1685*0.20)</f>
        <v/>
      </c>
      <c r="K1685" s="8">
        <f>IF(G1685="","",G1685+J1685)</f>
        <v/>
      </c>
    </row>
    <row r="1686">
      <c r="F1686" s="8" t="n"/>
      <c r="G1686" s="8">
        <f>IF(E1686="","",E1686*F1686)</f>
        <v/>
      </c>
      <c r="H1686" s="8">
        <f>IF(G1686="","",G1686-I1686)</f>
        <v/>
      </c>
      <c r="I1686" s="8">
        <f>IF(D1686="","",VLOOKUP(D1686, RECETTES!B:G, 6, FALSE)*E1686)</f>
        <v/>
      </c>
      <c r="J1686" s="8">
        <f>IF(G1686="","",G1686*0.20)</f>
        <v/>
      </c>
      <c r="K1686" s="8">
        <f>IF(G1686="","",G1686+J1686)</f>
        <v/>
      </c>
    </row>
    <row r="1687">
      <c r="F1687" s="8" t="n"/>
      <c r="G1687" s="8">
        <f>IF(E1687="","",E1687*F1687)</f>
        <v/>
      </c>
      <c r="H1687" s="8">
        <f>IF(G1687="","",G1687-I1687)</f>
        <v/>
      </c>
      <c r="I1687" s="8">
        <f>IF(D1687="","",VLOOKUP(D1687, RECETTES!B:G, 6, FALSE)*E1687)</f>
        <v/>
      </c>
      <c r="J1687" s="8">
        <f>IF(G1687="","",G1687*0.20)</f>
        <v/>
      </c>
      <c r="K1687" s="8">
        <f>IF(G1687="","",G1687+J1687)</f>
        <v/>
      </c>
    </row>
    <row r="1688">
      <c r="F1688" s="8" t="n"/>
      <c r="G1688" s="8">
        <f>IF(E1688="","",E1688*F1688)</f>
        <v/>
      </c>
      <c r="H1688" s="8">
        <f>IF(G1688="","",G1688-I1688)</f>
        <v/>
      </c>
      <c r="I1688" s="8">
        <f>IF(D1688="","",VLOOKUP(D1688, RECETTES!B:G, 6, FALSE)*E1688)</f>
        <v/>
      </c>
      <c r="J1688" s="8">
        <f>IF(G1688="","",G1688*0.20)</f>
        <v/>
      </c>
      <c r="K1688" s="8">
        <f>IF(G1688="","",G1688+J1688)</f>
        <v/>
      </c>
    </row>
    <row r="1689">
      <c r="F1689" s="8" t="n"/>
      <c r="G1689" s="8">
        <f>IF(E1689="","",E1689*F1689)</f>
        <v/>
      </c>
      <c r="H1689" s="8">
        <f>IF(G1689="","",G1689-I1689)</f>
        <v/>
      </c>
      <c r="I1689" s="8">
        <f>IF(D1689="","",VLOOKUP(D1689, RECETTES!B:G, 6, FALSE)*E1689)</f>
        <v/>
      </c>
      <c r="J1689" s="8">
        <f>IF(G1689="","",G1689*0.20)</f>
        <v/>
      </c>
      <c r="K1689" s="8">
        <f>IF(G1689="","",G1689+J1689)</f>
        <v/>
      </c>
    </row>
    <row r="1690">
      <c r="F1690" s="8" t="n"/>
      <c r="G1690" s="8">
        <f>IF(E1690="","",E1690*F1690)</f>
        <v/>
      </c>
      <c r="H1690" s="8">
        <f>IF(G1690="","",G1690-I1690)</f>
        <v/>
      </c>
      <c r="I1690" s="8">
        <f>IF(D1690="","",VLOOKUP(D1690, RECETTES!B:G, 6, FALSE)*E1690)</f>
        <v/>
      </c>
      <c r="J1690" s="8">
        <f>IF(G1690="","",G1690*0.20)</f>
        <v/>
      </c>
      <c r="K1690" s="8">
        <f>IF(G1690="","",G1690+J1690)</f>
        <v/>
      </c>
    </row>
    <row r="1691">
      <c r="F1691" s="8" t="n"/>
      <c r="G1691" s="8">
        <f>IF(E1691="","",E1691*F1691)</f>
        <v/>
      </c>
      <c r="H1691" s="8">
        <f>IF(G1691="","",G1691-I1691)</f>
        <v/>
      </c>
      <c r="I1691" s="8">
        <f>IF(D1691="","",VLOOKUP(D1691, RECETTES!B:G, 6, FALSE)*E1691)</f>
        <v/>
      </c>
      <c r="J1691" s="8">
        <f>IF(G1691="","",G1691*0.20)</f>
        <v/>
      </c>
      <c r="K1691" s="8">
        <f>IF(G1691="","",G1691+J1691)</f>
        <v/>
      </c>
    </row>
    <row r="1692">
      <c r="F1692" s="8" t="n"/>
      <c r="G1692" s="8">
        <f>IF(E1692="","",E1692*F1692)</f>
        <v/>
      </c>
      <c r="H1692" s="8">
        <f>IF(G1692="","",G1692-I1692)</f>
        <v/>
      </c>
      <c r="I1692" s="8">
        <f>IF(D1692="","",VLOOKUP(D1692, RECETTES!B:G, 6, FALSE)*E1692)</f>
        <v/>
      </c>
      <c r="J1692" s="8">
        <f>IF(G1692="","",G1692*0.20)</f>
        <v/>
      </c>
      <c r="K1692" s="8">
        <f>IF(G1692="","",G1692+J1692)</f>
        <v/>
      </c>
    </row>
    <row r="1693">
      <c r="F1693" s="8" t="n"/>
      <c r="G1693" s="8">
        <f>IF(E1693="","",E1693*F1693)</f>
        <v/>
      </c>
      <c r="H1693" s="8">
        <f>IF(G1693="","",G1693-I1693)</f>
        <v/>
      </c>
      <c r="I1693" s="8">
        <f>IF(D1693="","",VLOOKUP(D1693, RECETTES!B:G, 6, FALSE)*E1693)</f>
        <v/>
      </c>
      <c r="J1693" s="8">
        <f>IF(G1693="","",G1693*0.20)</f>
        <v/>
      </c>
      <c r="K1693" s="8">
        <f>IF(G1693="","",G1693+J1693)</f>
        <v/>
      </c>
    </row>
    <row r="1694">
      <c r="F1694" s="8" t="n"/>
      <c r="G1694" s="8">
        <f>IF(E1694="","",E1694*F1694)</f>
        <v/>
      </c>
      <c r="H1694" s="8">
        <f>IF(G1694="","",G1694-I1694)</f>
        <v/>
      </c>
      <c r="I1694" s="8">
        <f>IF(D1694="","",VLOOKUP(D1694, RECETTES!B:G, 6, FALSE)*E1694)</f>
        <v/>
      </c>
      <c r="J1694" s="8">
        <f>IF(G1694="","",G1694*0.20)</f>
        <v/>
      </c>
      <c r="K1694" s="8">
        <f>IF(G1694="","",G1694+J1694)</f>
        <v/>
      </c>
    </row>
    <row r="1695">
      <c r="F1695" s="8" t="n"/>
      <c r="G1695" s="8">
        <f>IF(E1695="","",E1695*F1695)</f>
        <v/>
      </c>
      <c r="H1695" s="8">
        <f>IF(G1695="","",G1695-I1695)</f>
        <v/>
      </c>
      <c r="I1695" s="8">
        <f>IF(D1695="","",VLOOKUP(D1695, RECETTES!B:G, 6, FALSE)*E1695)</f>
        <v/>
      </c>
      <c r="J1695" s="8">
        <f>IF(G1695="","",G1695*0.20)</f>
        <v/>
      </c>
      <c r="K1695" s="8">
        <f>IF(G1695="","",G1695+J1695)</f>
        <v/>
      </c>
    </row>
    <row r="1696">
      <c r="F1696" s="8" t="n"/>
      <c r="G1696" s="8">
        <f>IF(E1696="","",E1696*F1696)</f>
        <v/>
      </c>
      <c r="H1696" s="8">
        <f>IF(G1696="","",G1696-I1696)</f>
        <v/>
      </c>
      <c r="I1696" s="8">
        <f>IF(D1696="","",VLOOKUP(D1696, RECETTES!B:G, 6, FALSE)*E1696)</f>
        <v/>
      </c>
      <c r="J1696" s="8">
        <f>IF(G1696="","",G1696*0.20)</f>
        <v/>
      </c>
      <c r="K1696" s="8">
        <f>IF(G1696="","",G1696+J1696)</f>
        <v/>
      </c>
    </row>
    <row r="1697">
      <c r="F1697" s="8" t="n"/>
      <c r="G1697" s="8">
        <f>IF(E1697="","",E1697*F1697)</f>
        <v/>
      </c>
      <c r="H1697" s="8">
        <f>IF(G1697="","",G1697-I1697)</f>
        <v/>
      </c>
      <c r="I1697" s="8">
        <f>IF(D1697="","",VLOOKUP(D1697, RECETTES!B:G, 6, FALSE)*E1697)</f>
        <v/>
      </c>
      <c r="J1697" s="8">
        <f>IF(G1697="","",G1697*0.20)</f>
        <v/>
      </c>
      <c r="K1697" s="8">
        <f>IF(G1697="","",G1697+J1697)</f>
        <v/>
      </c>
    </row>
    <row r="1698">
      <c r="F1698" s="8" t="n"/>
      <c r="G1698" s="8">
        <f>IF(E1698="","",E1698*F1698)</f>
        <v/>
      </c>
      <c r="H1698" s="8">
        <f>IF(G1698="","",G1698-I1698)</f>
        <v/>
      </c>
      <c r="I1698" s="8">
        <f>IF(D1698="","",VLOOKUP(D1698, RECETTES!B:G, 6, FALSE)*E1698)</f>
        <v/>
      </c>
      <c r="J1698" s="8">
        <f>IF(G1698="","",G1698*0.20)</f>
        <v/>
      </c>
      <c r="K1698" s="8">
        <f>IF(G1698="","",G1698+J1698)</f>
        <v/>
      </c>
    </row>
    <row r="1699">
      <c r="F1699" s="8" t="n"/>
      <c r="G1699" s="8">
        <f>IF(E1699="","",E1699*F1699)</f>
        <v/>
      </c>
      <c r="H1699" s="8">
        <f>IF(G1699="","",G1699-I1699)</f>
        <v/>
      </c>
      <c r="I1699" s="8">
        <f>IF(D1699="","",VLOOKUP(D1699, RECETTES!B:G, 6, FALSE)*E1699)</f>
        <v/>
      </c>
      <c r="J1699" s="8">
        <f>IF(G1699="","",G1699*0.20)</f>
        <v/>
      </c>
      <c r="K1699" s="8">
        <f>IF(G1699="","",G1699+J1699)</f>
        <v/>
      </c>
    </row>
    <row r="1700">
      <c r="F1700" s="8" t="n"/>
      <c r="G1700" s="8">
        <f>IF(E1700="","",E1700*F1700)</f>
        <v/>
      </c>
      <c r="H1700" s="8">
        <f>IF(G1700="","",G1700-I1700)</f>
        <v/>
      </c>
      <c r="I1700" s="8">
        <f>IF(D1700="","",VLOOKUP(D1700, RECETTES!B:G, 6, FALSE)*E1700)</f>
        <v/>
      </c>
      <c r="J1700" s="8">
        <f>IF(G1700="","",G1700*0.20)</f>
        <v/>
      </c>
      <c r="K1700" s="8">
        <f>IF(G1700="","",G1700+J1700)</f>
        <v/>
      </c>
    </row>
    <row r="1701">
      <c r="F1701" s="8" t="n"/>
      <c r="G1701" s="8">
        <f>IF(E1701="","",E1701*F1701)</f>
        <v/>
      </c>
      <c r="H1701" s="8">
        <f>IF(G1701="","",G1701-I1701)</f>
        <v/>
      </c>
      <c r="I1701" s="8">
        <f>IF(D1701="","",VLOOKUP(D1701, RECETTES!B:G, 6, FALSE)*E1701)</f>
        <v/>
      </c>
      <c r="J1701" s="8">
        <f>IF(G1701="","",G1701*0.20)</f>
        <v/>
      </c>
      <c r="K1701" s="8">
        <f>IF(G1701="","",G1701+J1701)</f>
        <v/>
      </c>
    </row>
    <row r="1702">
      <c r="F1702" s="8" t="n"/>
      <c r="G1702" s="8">
        <f>IF(E1702="","",E1702*F1702)</f>
        <v/>
      </c>
      <c r="H1702" s="8">
        <f>IF(G1702="","",G1702-I1702)</f>
        <v/>
      </c>
      <c r="I1702" s="8">
        <f>IF(D1702="","",VLOOKUP(D1702, RECETTES!B:G, 6, FALSE)*E1702)</f>
        <v/>
      </c>
      <c r="J1702" s="8">
        <f>IF(G1702="","",G1702*0.20)</f>
        <v/>
      </c>
      <c r="K1702" s="8">
        <f>IF(G1702="","",G1702+J1702)</f>
        <v/>
      </c>
    </row>
    <row r="1703">
      <c r="F1703" s="8" t="n"/>
      <c r="G1703" s="8">
        <f>IF(E1703="","",E1703*F1703)</f>
        <v/>
      </c>
      <c r="H1703" s="8">
        <f>IF(G1703="","",G1703-I1703)</f>
        <v/>
      </c>
      <c r="I1703" s="8">
        <f>IF(D1703="","",VLOOKUP(D1703, RECETTES!B:G, 6, FALSE)*E1703)</f>
        <v/>
      </c>
      <c r="J1703" s="8">
        <f>IF(G1703="","",G1703*0.20)</f>
        <v/>
      </c>
      <c r="K1703" s="8">
        <f>IF(G1703="","",G1703+J1703)</f>
        <v/>
      </c>
    </row>
    <row r="1704">
      <c r="F1704" s="8" t="n"/>
      <c r="G1704" s="8">
        <f>IF(E1704="","",E1704*F1704)</f>
        <v/>
      </c>
      <c r="H1704" s="8">
        <f>IF(G1704="","",G1704-I1704)</f>
        <v/>
      </c>
      <c r="I1704" s="8">
        <f>IF(D1704="","",VLOOKUP(D1704, RECETTES!B:G, 6, FALSE)*E1704)</f>
        <v/>
      </c>
      <c r="J1704" s="8">
        <f>IF(G1704="","",G1704*0.20)</f>
        <v/>
      </c>
      <c r="K1704" s="8">
        <f>IF(G1704="","",G1704+J1704)</f>
        <v/>
      </c>
    </row>
    <row r="1705">
      <c r="F1705" s="8" t="n"/>
      <c r="G1705" s="8">
        <f>IF(E1705="","",E1705*F1705)</f>
        <v/>
      </c>
      <c r="H1705" s="8">
        <f>IF(G1705="","",G1705-I1705)</f>
        <v/>
      </c>
      <c r="I1705" s="8">
        <f>IF(D1705="","",VLOOKUP(D1705, RECETTES!B:G, 6, FALSE)*E1705)</f>
        <v/>
      </c>
      <c r="J1705" s="8">
        <f>IF(G1705="","",G1705*0.20)</f>
        <v/>
      </c>
      <c r="K1705" s="8">
        <f>IF(G1705="","",G1705+J1705)</f>
        <v/>
      </c>
    </row>
    <row r="1706">
      <c r="F1706" s="8" t="n"/>
      <c r="G1706" s="8">
        <f>IF(E1706="","",E1706*F1706)</f>
        <v/>
      </c>
      <c r="H1706" s="8">
        <f>IF(G1706="","",G1706-I1706)</f>
        <v/>
      </c>
      <c r="I1706" s="8">
        <f>IF(D1706="","",VLOOKUP(D1706, RECETTES!B:G, 6, FALSE)*E1706)</f>
        <v/>
      </c>
      <c r="J1706" s="8">
        <f>IF(G1706="","",G1706*0.20)</f>
        <v/>
      </c>
      <c r="K1706" s="8">
        <f>IF(G1706="","",G1706+J1706)</f>
        <v/>
      </c>
    </row>
    <row r="1707">
      <c r="F1707" s="8" t="n"/>
      <c r="G1707" s="8">
        <f>IF(E1707="","",E1707*F1707)</f>
        <v/>
      </c>
      <c r="H1707" s="8">
        <f>IF(G1707="","",G1707-I1707)</f>
        <v/>
      </c>
      <c r="I1707" s="8">
        <f>IF(D1707="","",VLOOKUP(D1707, RECETTES!B:G, 6, FALSE)*E1707)</f>
        <v/>
      </c>
      <c r="J1707" s="8">
        <f>IF(G1707="","",G1707*0.20)</f>
        <v/>
      </c>
      <c r="K1707" s="8">
        <f>IF(G1707="","",G1707+J1707)</f>
        <v/>
      </c>
    </row>
    <row r="1708">
      <c r="F1708" s="8" t="n"/>
      <c r="G1708" s="8">
        <f>IF(E1708="","",E1708*F1708)</f>
        <v/>
      </c>
      <c r="H1708" s="8">
        <f>IF(G1708="","",G1708-I1708)</f>
        <v/>
      </c>
      <c r="I1708" s="8">
        <f>IF(D1708="","",VLOOKUP(D1708, RECETTES!B:G, 6, FALSE)*E1708)</f>
        <v/>
      </c>
      <c r="J1708" s="8">
        <f>IF(G1708="","",G1708*0.20)</f>
        <v/>
      </c>
      <c r="K1708" s="8">
        <f>IF(G1708="","",G1708+J1708)</f>
        <v/>
      </c>
    </row>
    <row r="1709">
      <c r="F1709" s="8" t="n"/>
      <c r="G1709" s="8">
        <f>IF(E1709="","",E1709*F1709)</f>
        <v/>
      </c>
      <c r="H1709" s="8">
        <f>IF(G1709="","",G1709-I1709)</f>
        <v/>
      </c>
      <c r="I1709" s="8">
        <f>IF(D1709="","",VLOOKUP(D1709, RECETTES!B:G, 6, FALSE)*E1709)</f>
        <v/>
      </c>
      <c r="J1709" s="8">
        <f>IF(G1709="","",G1709*0.20)</f>
        <v/>
      </c>
      <c r="K1709" s="8">
        <f>IF(G1709="","",G1709+J1709)</f>
        <v/>
      </c>
    </row>
    <row r="1710">
      <c r="F1710" s="8" t="n"/>
      <c r="G1710" s="8">
        <f>IF(E1710="","",E1710*F1710)</f>
        <v/>
      </c>
      <c r="H1710" s="8">
        <f>IF(G1710="","",G1710-I1710)</f>
        <v/>
      </c>
      <c r="I1710" s="8">
        <f>IF(D1710="","",VLOOKUP(D1710, RECETTES!B:G, 6, FALSE)*E1710)</f>
        <v/>
      </c>
      <c r="J1710" s="8">
        <f>IF(G1710="","",G1710*0.20)</f>
        <v/>
      </c>
      <c r="K1710" s="8">
        <f>IF(G1710="","",G1710+J1710)</f>
        <v/>
      </c>
    </row>
    <row r="1711">
      <c r="F1711" s="8" t="n"/>
      <c r="G1711" s="8">
        <f>IF(E1711="","",E1711*F1711)</f>
        <v/>
      </c>
      <c r="H1711" s="8">
        <f>IF(G1711="","",G1711-I1711)</f>
        <v/>
      </c>
      <c r="I1711" s="8">
        <f>IF(D1711="","",VLOOKUP(D1711, RECETTES!B:G, 6, FALSE)*E1711)</f>
        <v/>
      </c>
      <c r="J1711" s="8">
        <f>IF(G1711="","",G1711*0.20)</f>
        <v/>
      </c>
      <c r="K1711" s="8">
        <f>IF(G1711="","",G1711+J1711)</f>
        <v/>
      </c>
    </row>
    <row r="1712">
      <c r="F1712" s="8" t="n"/>
      <c r="G1712" s="8">
        <f>IF(E1712="","",E1712*F1712)</f>
        <v/>
      </c>
      <c r="H1712" s="8">
        <f>IF(G1712="","",G1712-I1712)</f>
        <v/>
      </c>
      <c r="I1712" s="8">
        <f>IF(D1712="","",VLOOKUP(D1712, RECETTES!B:G, 6, FALSE)*E1712)</f>
        <v/>
      </c>
      <c r="J1712" s="8">
        <f>IF(G1712="","",G1712*0.20)</f>
        <v/>
      </c>
      <c r="K1712" s="8">
        <f>IF(G1712="","",G1712+J1712)</f>
        <v/>
      </c>
    </row>
    <row r="1713">
      <c r="F1713" s="8" t="n"/>
      <c r="G1713" s="8">
        <f>IF(E1713="","",E1713*F1713)</f>
        <v/>
      </c>
      <c r="H1713" s="8">
        <f>IF(G1713="","",G1713-I1713)</f>
        <v/>
      </c>
      <c r="I1713" s="8">
        <f>IF(D1713="","",VLOOKUP(D1713, RECETTES!B:G, 6, FALSE)*E1713)</f>
        <v/>
      </c>
      <c r="J1713" s="8">
        <f>IF(G1713="","",G1713*0.20)</f>
        <v/>
      </c>
      <c r="K1713" s="8">
        <f>IF(G1713="","",G1713+J1713)</f>
        <v/>
      </c>
    </row>
    <row r="1714">
      <c r="F1714" s="8" t="n"/>
      <c r="G1714" s="8">
        <f>IF(E1714="","",E1714*F1714)</f>
        <v/>
      </c>
      <c r="H1714" s="8">
        <f>IF(G1714="","",G1714-I1714)</f>
        <v/>
      </c>
      <c r="I1714" s="8">
        <f>IF(D1714="","",VLOOKUP(D1714, RECETTES!B:G, 6, FALSE)*E1714)</f>
        <v/>
      </c>
      <c r="J1714" s="8">
        <f>IF(G1714="","",G1714*0.20)</f>
        <v/>
      </c>
      <c r="K1714" s="8">
        <f>IF(G1714="","",G1714+J1714)</f>
        <v/>
      </c>
    </row>
    <row r="1715">
      <c r="F1715" s="8" t="n"/>
      <c r="G1715" s="8">
        <f>IF(E1715="","",E1715*F1715)</f>
        <v/>
      </c>
      <c r="H1715" s="8">
        <f>IF(G1715="","",G1715-I1715)</f>
        <v/>
      </c>
      <c r="I1715" s="8">
        <f>IF(D1715="","",VLOOKUP(D1715, RECETTES!B:G, 6, FALSE)*E1715)</f>
        <v/>
      </c>
      <c r="J1715" s="8">
        <f>IF(G1715="","",G1715*0.20)</f>
        <v/>
      </c>
      <c r="K1715" s="8">
        <f>IF(G1715="","",G1715+J1715)</f>
        <v/>
      </c>
    </row>
    <row r="1716">
      <c r="F1716" s="8" t="n"/>
      <c r="G1716" s="8">
        <f>IF(E1716="","",E1716*F1716)</f>
        <v/>
      </c>
      <c r="H1716" s="8">
        <f>IF(G1716="","",G1716-I1716)</f>
        <v/>
      </c>
      <c r="I1716" s="8">
        <f>IF(D1716="","",VLOOKUP(D1716, RECETTES!B:G, 6, FALSE)*E1716)</f>
        <v/>
      </c>
      <c r="J1716" s="8">
        <f>IF(G1716="","",G1716*0.20)</f>
        <v/>
      </c>
      <c r="K1716" s="8">
        <f>IF(G1716="","",G1716+J1716)</f>
        <v/>
      </c>
    </row>
    <row r="1717">
      <c r="F1717" s="8" t="n"/>
      <c r="G1717" s="8">
        <f>IF(E1717="","",E1717*F1717)</f>
        <v/>
      </c>
      <c r="H1717" s="8">
        <f>IF(G1717="","",G1717-I1717)</f>
        <v/>
      </c>
      <c r="I1717" s="8">
        <f>IF(D1717="","",VLOOKUP(D1717, RECETTES!B:G, 6, FALSE)*E1717)</f>
        <v/>
      </c>
      <c r="J1717" s="8">
        <f>IF(G1717="","",G1717*0.20)</f>
        <v/>
      </c>
      <c r="K1717" s="8">
        <f>IF(G1717="","",G1717+J1717)</f>
        <v/>
      </c>
    </row>
    <row r="1718">
      <c r="F1718" s="8" t="n"/>
      <c r="G1718" s="8">
        <f>IF(E1718="","",E1718*F1718)</f>
        <v/>
      </c>
      <c r="H1718" s="8">
        <f>IF(G1718="","",G1718-I1718)</f>
        <v/>
      </c>
      <c r="I1718" s="8">
        <f>IF(D1718="","",VLOOKUP(D1718, RECETTES!B:G, 6, FALSE)*E1718)</f>
        <v/>
      </c>
      <c r="J1718" s="8">
        <f>IF(G1718="","",G1718*0.20)</f>
        <v/>
      </c>
      <c r="K1718" s="8">
        <f>IF(G1718="","",G1718+J1718)</f>
        <v/>
      </c>
    </row>
    <row r="1719">
      <c r="F1719" s="8" t="n"/>
      <c r="G1719" s="8">
        <f>IF(E1719="","",E1719*F1719)</f>
        <v/>
      </c>
      <c r="H1719" s="8">
        <f>IF(G1719="","",G1719-I1719)</f>
        <v/>
      </c>
      <c r="I1719" s="8">
        <f>IF(D1719="","",VLOOKUP(D1719, RECETTES!B:G, 6, FALSE)*E1719)</f>
        <v/>
      </c>
      <c r="J1719" s="8">
        <f>IF(G1719="","",G1719*0.20)</f>
        <v/>
      </c>
      <c r="K1719" s="8">
        <f>IF(G1719="","",G1719+J1719)</f>
        <v/>
      </c>
    </row>
    <row r="1720">
      <c r="F1720" s="8" t="n"/>
      <c r="G1720" s="8">
        <f>IF(E1720="","",E1720*F1720)</f>
        <v/>
      </c>
      <c r="H1720" s="8">
        <f>IF(G1720="","",G1720-I1720)</f>
        <v/>
      </c>
      <c r="I1720" s="8">
        <f>IF(D1720="","",VLOOKUP(D1720, RECETTES!B:G, 6, FALSE)*E1720)</f>
        <v/>
      </c>
      <c r="J1720" s="8">
        <f>IF(G1720="","",G1720*0.20)</f>
        <v/>
      </c>
      <c r="K1720" s="8">
        <f>IF(G1720="","",G1720+J1720)</f>
        <v/>
      </c>
    </row>
    <row r="1721">
      <c r="F1721" s="8" t="n"/>
      <c r="G1721" s="8">
        <f>IF(E1721="","",E1721*F1721)</f>
        <v/>
      </c>
      <c r="H1721" s="8">
        <f>IF(G1721="","",G1721-I1721)</f>
        <v/>
      </c>
      <c r="I1721" s="8">
        <f>IF(D1721="","",VLOOKUP(D1721, RECETTES!B:G, 6, FALSE)*E1721)</f>
        <v/>
      </c>
      <c r="J1721" s="8">
        <f>IF(G1721="","",G1721*0.20)</f>
        <v/>
      </c>
      <c r="K1721" s="8">
        <f>IF(G1721="","",G1721+J1721)</f>
        <v/>
      </c>
    </row>
    <row r="1722">
      <c r="F1722" s="8" t="n"/>
      <c r="G1722" s="8">
        <f>IF(E1722="","",E1722*F1722)</f>
        <v/>
      </c>
      <c r="H1722" s="8">
        <f>IF(G1722="","",G1722-I1722)</f>
        <v/>
      </c>
      <c r="I1722" s="8">
        <f>IF(D1722="","",VLOOKUP(D1722, RECETTES!B:G, 6, FALSE)*E1722)</f>
        <v/>
      </c>
      <c r="J1722" s="8">
        <f>IF(G1722="","",G1722*0.20)</f>
        <v/>
      </c>
      <c r="K1722" s="8">
        <f>IF(G1722="","",G1722+J1722)</f>
        <v/>
      </c>
    </row>
    <row r="1723">
      <c r="F1723" s="8" t="n"/>
      <c r="G1723" s="8">
        <f>IF(E1723="","",E1723*F1723)</f>
        <v/>
      </c>
      <c r="H1723" s="8">
        <f>IF(G1723="","",G1723-I1723)</f>
        <v/>
      </c>
      <c r="I1723" s="8">
        <f>IF(D1723="","",VLOOKUP(D1723, RECETTES!B:G, 6, FALSE)*E1723)</f>
        <v/>
      </c>
      <c r="J1723" s="8">
        <f>IF(G1723="","",G1723*0.20)</f>
        <v/>
      </c>
      <c r="K1723" s="8">
        <f>IF(G1723="","",G1723+J1723)</f>
        <v/>
      </c>
    </row>
    <row r="1724">
      <c r="F1724" s="8" t="n"/>
      <c r="G1724" s="8">
        <f>IF(E1724="","",E1724*F1724)</f>
        <v/>
      </c>
      <c r="H1724" s="8">
        <f>IF(G1724="","",G1724-I1724)</f>
        <v/>
      </c>
      <c r="I1724" s="8">
        <f>IF(D1724="","",VLOOKUP(D1724, RECETTES!B:G, 6, FALSE)*E1724)</f>
        <v/>
      </c>
      <c r="J1724" s="8">
        <f>IF(G1724="","",G1724*0.20)</f>
        <v/>
      </c>
      <c r="K1724" s="8">
        <f>IF(G1724="","",G1724+J1724)</f>
        <v/>
      </c>
    </row>
    <row r="1725">
      <c r="F1725" s="8" t="n"/>
      <c r="G1725" s="8">
        <f>IF(E1725="","",E1725*F1725)</f>
        <v/>
      </c>
      <c r="H1725" s="8">
        <f>IF(G1725="","",G1725-I1725)</f>
        <v/>
      </c>
      <c r="I1725" s="8">
        <f>IF(D1725="","",VLOOKUP(D1725, RECETTES!B:G, 6, FALSE)*E1725)</f>
        <v/>
      </c>
      <c r="J1725" s="8">
        <f>IF(G1725="","",G1725*0.20)</f>
        <v/>
      </c>
      <c r="K1725" s="8">
        <f>IF(G1725="","",G1725+J1725)</f>
        <v/>
      </c>
    </row>
    <row r="1726">
      <c r="F1726" s="8" t="n"/>
      <c r="G1726" s="8">
        <f>IF(E1726="","",E1726*F1726)</f>
        <v/>
      </c>
      <c r="H1726" s="8">
        <f>IF(G1726="","",G1726-I1726)</f>
        <v/>
      </c>
      <c r="I1726" s="8">
        <f>IF(D1726="","",VLOOKUP(D1726, RECETTES!B:G, 6, FALSE)*E1726)</f>
        <v/>
      </c>
      <c r="J1726" s="8">
        <f>IF(G1726="","",G1726*0.20)</f>
        <v/>
      </c>
      <c r="K1726" s="8">
        <f>IF(G1726="","",G1726+J1726)</f>
        <v/>
      </c>
    </row>
    <row r="1727">
      <c r="F1727" s="8" t="n"/>
      <c r="G1727" s="8">
        <f>IF(E1727="","",E1727*F1727)</f>
        <v/>
      </c>
      <c r="H1727" s="8">
        <f>IF(G1727="","",G1727-I1727)</f>
        <v/>
      </c>
      <c r="I1727" s="8">
        <f>IF(D1727="","",VLOOKUP(D1727, RECETTES!B:G, 6, FALSE)*E1727)</f>
        <v/>
      </c>
      <c r="J1727" s="8">
        <f>IF(G1727="","",G1727*0.20)</f>
        <v/>
      </c>
      <c r="K1727" s="8">
        <f>IF(G1727="","",G1727+J1727)</f>
        <v/>
      </c>
    </row>
    <row r="1728">
      <c r="F1728" s="8" t="n"/>
      <c r="G1728" s="8">
        <f>IF(E1728="","",E1728*F1728)</f>
        <v/>
      </c>
      <c r="H1728" s="8">
        <f>IF(G1728="","",G1728-I1728)</f>
        <v/>
      </c>
      <c r="I1728" s="8">
        <f>IF(D1728="","",VLOOKUP(D1728, RECETTES!B:G, 6, FALSE)*E1728)</f>
        <v/>
      </c>
      <c r="J1728" s="8">
        <f>IF(G1728="","",G1728*0.20)</f>
        <v/>
      </c>
      <c r="K1728" s="8">
        <f>IF(G1728="","",G1728+J1728)</f>
        <v/>
      </c>
    </row>
    <row r="1729">
      <c r="F1729" s="8" t="n"/>
      <c r="G1729" s="8">
        <f>IF(E1729="","",E1729*F1729)</f>
        <v/>
      </c>
      <c r="H1729" s="8">
        <f>IF(G1729="","",G1729-I1729)</f>
        <v/>
      </c>
      <c r="I1729" s="8">
        <f>IF(D1729="","",VLOOKUP(D1729, RECETTES!B:G, 6, FALSE)*E1729)</f>
        <v/>
      </c>
      <c r="J1729" s="8">
        <f>IF(G1729="","",G1729*0.20)</f>
        <v/>
      </c>
      <c r="K1729" s="8">
        <f>IF(G1729="","",G1729+J1729)</f>
        <v/>
      </c>
    </row>
    <row r="1730">
      <c r="F1730" s="8" t="n"/>
      <c r="G1730" s="8">
        <f>IF(E1730="","",E1730*F1730)</f>
        <v/>
      </c>
      <c r="H1730" s="8">
        <f>IF(G1730="","",G1730-I1730)</f>
        <v/>
      </c>
      <c r="I1730" s="8">
        <f>IF(D1730="","",VLOOKUP(D1730, RECETTES!B:G, 6, FALSE)*E1730)</f>
        <v/>
      </c>
      <c r="J1730" s="8">
        <f>IF(G1730="","",G1730*0.20)</f>
        <v/>
      </c>
      <c r="K1730" s="8">
        <f>IF(G1730="","",G1730+J1730)</f>
        <v/>
      </c>
    </row>
    <row r="1731">
      <c r="F1731" s="8" t="n"/>
      <c r="G1731" s="8">
        <f>IF(E1731="","",E1731*F1731)</f>
        <v/>
      </c>
      <c r="H1731" s="8">
        <f>IF(G1731="","",G1731-I1731)</f>
        <v/>
      </c>
      <c r="I1731" s="8">
        <f>IF(D1731="","",VLOOKUP(D1731, RECETTES!B:G, 6, FALSE)*E1731)</f>
        <v/>
      </c>
      <c r="J1731" s="8">
        <f>IF(G1731="","",G1731*0.20)</f>
        <v/>
      </c>
      <c r="K1731" s="8">
        <f>IF(G1731="","",G1731+J1731)</f>
        <v/>
      </c>
    </row>
    <row r="1732">
      <c r="F1732" s="8" t="n"/>
      <c r="G1732" s="8">
        <f>IF(E1732="","",E1732*F1732)</f>
        <v/>
      </c>
      <c r="H1732" s="8">
        <f>IF(G1732="","",G1732-I1732)</f>
        <v/>
      </c>
      <c r="I1732" s="8">
        <f>IF(D1732="","",VLOOKUP(D1732, RECETTES!B:G, 6, FALSE)*E1732)</f>
        <v/>
      </c>
      <c r="J1732" s="8">
        <f>IF(G1732="","",G1732*0.20)</f>
        <v/>
      </c>
      <c r="K1732" s="8">
        <f>IF(G1732="","",G1732+J1732)</f>
        <v/>
      </c>
    </row>
    <row r="1733">
      <c r="F1733" s="8" t="n"/>
      <c r="G1733" s="8">
        <f>IF(E1733="","",E1733*F1733)</f>
        <v/>
      </c>
      <c r="H1733" s="8">
        <f>IF(G1733="","",G1733-I1733)</f>
        <v/>
      </c>
      <c r="I1733" s="8">
        <f>IF(D1733="","",VLOOKUP(D1733, RECETTES!B:G, 6, FALSE)*E1733)</f>
        <v/>
      </c>
      <c r="J1733" s="8">
        <f>IF(G1733="","",G1733*0.20)</f>
        <v/>
      </c>
      <c r="K1733" s="8">
        <f>IF(G1733="","",G1733+J1733)</f>
        <v/>
      </c>
    </row>
    <row r="1734">
      <c r="F1734" s="8" t="n"/>
      <c r="G1734" s="8">
        <f>IF(E1734="","",E1734*F1734)</f>
        <v/>
      </c>
      <c r="H1734" s="8">
        <f>IF(G1734="","",G1734-I1734)</f>
        <v/>
      </c>
      <c r="I1734" s="8">
        <f>IF(D1734="","",VLOOKUP(D1734, RECETTES!B:G, 6, FALSE)*E1734)</f>
        <v/>
      </c>
      <c r="J1734" s="8">
        <f>IF(G1734="","",G1734*0.20)</f>
        <v/>
      </c>
      <c r="K1734" s="8">
        <f>IF(G1734="","",G1734+J1734)</f>
        <v/>
      </c>
    </row>
    <row r="1735">
      <c r="F1735" s="8" t="n"/>
      <c r="G1735" s="8">
        <f>IF(E1735="","",E1735*F1735)</f>
        <v/>
      </c>
      <c r="H1735" s="8">
        <f>IF(G1735="","",G1735-I1735)</f>
        <v/>
      </c>
      <c r="I1735" s="8">
        <f>IF(D1735="","",VLOOKUP(D1735, RECETTES!B:G, 6, FALSE)*E1735)</f>
        <v/>
      </c>
      <c r="J1735" s="8">
        <f>IF(G1735="","",G1735*0.20)</f>
        <v/>
      </c>
      <c r="K1735" s="8">
        <f>IF(G1735="","",G1735+J1735)</f>
        <v/>
      </c>
    </row>
    <row r="1736">
      <c r="F1736" s="8" t="n"/>
      <c r="G1736" s="8">
        <f>IF(E1736="","",E1736*F1736)</f>
        <v/>
      </c>
      <c r="H1736" s="8">
        <f>IF(G1736="","",G1736-I1736)</f>
        <v/>
      </c>
      <c r="I1736" s="8">
        <f>IF(D1736="","",VLOOKUP(D1736, RECETTES!B:G, 6, FALSE)*E1736)</f>
        <v/>
      </c>
      <c r="J1736" s="8">
        <f>IF(G1736="","",G1736*0.20)</f>
        <v/>
      </c>
      <c r="K1736" s="8">
        <f>IF(G1736="","",G1736+J1736)</f>
        <v/>
      </c>
    </row>
    <row r="1737">
      <c r="F1737" s="8" t="n"/>
      <c r="G1737" s="8">
        <f>IF(E1737="","",E1737*F1737)</f>
        <v/>
      </c>
      <c r="H1737" s="8">
        <f>IF(G1737="","",G1737-I1737)</f>
        <v/>
      </c>
      <c r="I1737" s="8">
        <f>IF(D1737="","",VLOOKUP(D1737, RECETTES!B:G, 6, FALSE)*E1737)</f>
        <v/>
      </c>
      <c r="J1737" s="8">
        <f>IF(G1737="","",G1737*0.20)</f>
        <v/>
      </c>
      <c r="K1737" s="8">
        <f>IF(G1737="","",G1737+J1737)</f>
        <v/>
      </c>
    </row>
    <row r="1738">
      <c r="F1738" s="8" t="n"/>
      <c r="G1738" s="8">
        <f>IF(E1738="","",E1738*F1738)</f>
        <v/>
      </c>
      <c r="H1738" s="8">
        <f>IF(G1738="","",G1738-I1738)</f>
        <v/>
      </c>
      <c r="I1738" s="8">
        <f>IF(D1738="","",VLOOKUP(D1738, RECETTES!B:G, 6, FALSE)*E1738)</f>
        <v/>
      </c>
      <c r="J1738" s="8">
        <f>IF(G1738="","",G1738*0.20)</f>
        <v/>
      </c>
      <c r="K1738" s="8">
        <f>IF(G1738="","",G1738+J1738)</f>
        <v/>
      </c>
    </row>
    <row r="1739">
      <c r="F1739" s="8" t="n"/>
      <c r="G1739" s="8">
        <f>IF(E1739="","",E1739*F1739)</f>
        <v/>
      </c>
      <c r="H1739" s="8">
        <f>IF(G1739="","",G1739-I1739)</f>
        <v/>
      </c>
      <c r="I1739" s="8">
        <f>IF(D1739="","",VLOOKUP(D1739, RECETTES!B:G, 6, FALSE)*E1739)</f>
        <v/>
      </c>
      <c r="J1739" s="8">
        <f>IF(G1739="","",G1739*0.20)</f>
        <v/>
      </c>
      <c r="K1739" s="8">
        <f>IF(G1739="","",G1739+J1739)</f>
        <v/>
      </c>
    </row>
    <row r="1740">
      <c r="F1740" s="8" t="n"/>
      <c r="G1740" s="8">
        <f>IF(E1740="","",E1740*F1740)</f>
        <v/>
      </c>
      <c r="H1740" s="8">
        <f>IF(G1740="","",G1740-I1740)</f>
        <v/>
      </c>
      <c r="I1740" s="8">
        <f>IF(D1740="","",VLOOKUP(D1740, RECETTES!B:G, 6, FALSE)*E1740)</f>
        <v/>
      </c>
      <c r="J1740" s="8">
        <f>IF(G1740="","",G1740*0.20)</f>
        <v/>
      </c>
      <c r="K1740" s="8">
        <f>IF(G1740="","",G1740+J1740)</f>
        <v/>
      </c>
    </row>
    <row r="1741">
      <c r="F1741" s="8" t="n"/>
      <c r="G1741" s="8">
        <f>IF(E1741="","",E1741*F1741)</f>
        <v/>
      </c>
      <c r="H1741" s="8">
        <f>IF(G1741="","",G1741-I1741)</f>
        <v/>
      </c>
      <c r="I1741" s="8">
        <f>IF(D1741="","",VLOOKUP(D1741, RECETTES!B:G, 6, FALSE)*E1741)</f>
        <v/>
      </c>
      <c r="J1741" s="8">
        <f>IF(G1741="","",G1741*0.20)</f>
        <v/>
      </c>
      <c r="K1741" s="8">
        <f>IF(G1741="","",G1741+J1741)</f>
        <v/>
      </c>
    </row>
    <row r="1742">
      <c r="F1742" s="8" t="n"/>
      <c r="G1742" s="8">
        <f>IF(E1742="","",E1742*F1742)</f>
        <v/>
      </c>
      <c r="H1742" s="8">
        <f>IF(G1742="","",G1742-I1742)</f>
        <v/>
      </c>
      <c r="I1742" s="8">
        <f>IF(D1742="","",VLOOKUP(D1742, RECETTES!B:G, 6, FALSE)*E1742)</f>
        <v/>
      </c>
      <c r="J1742" s="8">
        <f>IF(G1742="","",G1742*0.20)</f>
        <v/>
      </c>
      <c r="K1742" s="8">
        <f>IF(G1742="","",G1742+J1742)</f>
        <v/>
      </c>
    </row>
    <row r="1743">
      <c r="F1743" s="8" t="n"/>
      <c r="G1743" s="8">
        <f>IF(E1743="","",E1743*F1743)</f>
        <v/>
      </c>
      <c r="H1743" s="8">
        <f>IF(G1743="","",G1743-I1743)</f>
        <v/>
      </c>
      <c r="I1743" s="8">
        <f>IF(D1743="","",VLOOKUP(D1743, RECETTES!B:G, 6, FALSE)*E1743)</f>
        <v/>
      </c>
      <c r="J1743" s="8">
        <f>IF(G1743="","",G1743*0.20)</f>
        <v/>
      </c>
      <c r="K1743" s="8">
        <f>IF(G1743="","",G1743+J1743)</f>
        <v/>
      </c>
    </row>
    <row r="1744">
      <c r="F1744" s="8" t="n"/>
      <c r="G1744" s="8">
        <f>IF(E1744="","",E1744*F1744)</f>
        <v/>
      </c>
      <c r="H1744" s="8">
        <f>IF(G1744="","",G1744-I1744)</f>
        <v/>
      </c>
      <c r="I1744" s="8">
        <f>IF(D1744="","",VLOOKUP(D1744, RECETTES!B:G, 6, FALSE)*E1744)</f>
        <v/>
      </c>
      <c r="J1744" s="8">
        <f>IF(G1744="","",G1744*0.20)</f>
        <v/>
      </c>
      <c r="K1744" s="8">
        <f>IF(G1744="","",G1744+J1744)</f>
        <v/>
      </c>
    </row>
    <row r="1745">
      <c r="F1745" s="8" t="n"/>
      <c r="G1745" s="8">
        <f>IF(E1745="","",E1745*F1745)</f>
        <v/>
      </c>
      <c r="H1745" s="8">
        <f>IF(G1745="","",G1745-I1745)</f>
        <v/>
      </c>
      <c r="I1745" s="8">
        <f>IF(D1745="","",VLOOKUP(D1745, RECETTES!B:G, 6, FALSE)*E1745)</f>
        <v/>
      </c>
      <c r="J1745" s="8">
        <f>IF(G1745="","",G1745*0.20)</f>
        <v/>
      </c>
      <c r="K1745" s="8">
        <f>IF(G1745="","",G1745+J1745)</f>
        <v/>
      </c>
    </row>
    <row r="1746">
      <c r="F1746" s="8" t="n"/>
      <c r="G1746" s="8">
        <f>IF(E1746="","",E1746*F1746)</f>
        <v/>
      </c>
      <c r="H1746" s="8">
        <f>IF(G1746="","",G1746-I1746)</f>
        <v/>
      </c>
      <c r="I1746" s="8">
        <f>IF(D1746="","",VLOOKUP(D1746, RECETTES!B:G, 6, FALSE)*E1746)</f>
        <v/>
      </c>
      <c r="J1746" s="8">
        <f>IF(G1746="","",G1746*0.20)</f>
        <v/>
      </c>
      <c r="K1746" s="8">
        <f>IF(G1746="","",G1746+J1746)</f>
        <v/>
      </c>
    </row>
    <row r="1747">
      <c r="F1747" s="8" t="n"/>
      <c r="G1747" s="8">
        <f>IF(E1747="","",E1747*F1747)</f>
        <v/>
      </c>
      <c r="H1747" s="8">
        <f>IF(G1747="","",G1747-I1747)</f>
        <v/>
      </c>
      <c r="I1747" s="8">
        <f>IF(D1747="","",VLOOKUP(D1747, RECETTES!B:G, 6, FALSE)*E1747)</f>
        <v/>
      </c>
      <c r="J1747" s="8">
        <f>IF(G1747="","",G1747*0.20)</f>
        <v/>
      </c>
      <c r="K1747" s="8">
        <f>IF(G1747="","",G1747+J1747)</f>
        <v/>
      </c>
    </row>
    <row r="1748">
      <c r="F1748" s="8" t="n"/>
      <c r="G1748" s="8">
        <f>IF(E1748="","",E1748*F1748)</f>
        <v/>
      </c>
      <c r="H1748" s="8">
        <f>IF(G1748="","",G1748-I1748)</f>
        <v/>
      </c>
      <c r="I1748" s="8">
        <f>IF(D1748="","",VLOOKUP(D1748, RECETTES!B:G, 6, FALSE)*E1748)</f>
        <v/>
      </c>
      <c r="J1748" s="8">
        <f>IF(G1748="","",G1748*0.20)</f>
        <v/>
      </c>
      <c r="K1748" s="8">
        <f>IF(G1748="","",G1748+J1748)</f>
        <v/>
      </c>
    </row>
    <row r="1749">
      <c r="F1749" s="8" t="n"/>
      <c r="G1749" s="8">
        <f>IF(E1749="","",E1749*F1749)</f>
        <v/>
      </c>
      <c r="H1749" s="8">
        <f>IF(G1749="","",G1749-I1749)</f>
        <v/>
      </c>
      <c r="I1749" s="8">
        <f>IF(D1749="","",VLOOKUP(D1749, RECETTES!B:G, 6, FALSE)*E1749)</f>
        <v/>
      </c>
      <c r="J1749" s="8">
        <f>IF(G1749="","",G1749*0.20)</f>
        <v/>
      </c>
      <c r="K1749" s="8">
        <f>IF(G1749="","",G1749+J1749)</f>
        <v/>
      </c>
    </row>
    <row r="1750">
      <c r="F1750" s="8" t="n"/>
      <c r="G1750" s="8">
        <f>IF(E1750="","",E1750*F1750)</f>
        <v/>
      </c>
      <c r="H1750" s="8">
        <f>IF(G1750="","",G1750-I1750)</f>
        <v/>
      </c>
      <c r="I1750" s="8">
        <f>IF(D1750="","",VLOOKUP(D1750, RECETTES!B:G, 6, FALSE)*E1750)</f>
        <v/>
      </c>
      <c r="J1750" s="8">
        <f>IF(G1750="","",G1750*0.20)</f>
        <v/>
      </c>
      <c r="K1750" s="8">
        <f>IF(G1750="","",G1750+J1750)</f>
        <v/>
      </c>
    </row>
    <row r="1751">
      <c r="F1751" s="8" t="n"/>
      <c r="G1751" s="8">
        <f>IF(E1751="","",E1751*F1751)</f>
        <v/>
      </c>
      <c r="H1751" s="8">
        <f>IF(G1751="","",G1751-I1751)</f>
        <v/>
      </c>
      <c r="I1751" s="8">
        <f>IF(D1751="","",VLOOKUP(D1751, RECETTES!B:G, 6, FALSE)*E1751)</f>
        <v/>
      </c>
      <c r="J1751" s="8">
        <f>IF(G1751="","",G1751*0.20)</f>
        <v/>
      </c>
      <c r="K1751" s="8">
        <f>IF(G1751="","",G1751+J1751)</f>
        <v/>
      </c>
    </row>
    <row r="1752">
      <c r="F1752" s="8" t="n"/>
      <c r="G1752" s="8">
        <f>IF(E1752="","",E1752*F1752)</f>
        <v/>
      </c>
      <c r="H1752" s="8">
        <f>IF(G1752="","",G1752-I1752)</f>
        <v/>
      </c>
      <c r="I1752" s="8">
        <f>IF(D1752="","",VLOOKUP(D1752, RECETTES!B:G, 6, FALSE)*E1752)</f>
        <v/>
      </c>
      <c r="J1752" s="8">
        <f>IF(G1752="","",G1752*0.20)</f>
        <v/>
      </c>
      <c r="K1752" s="8">
        <f>IF(G1752="","",G1752+J1752)</f>
        <v/>
      </c>
    </row>
    <row r="1753">
      <c r="F1753" s="8" t="n"/>
      <c r="G1753" s="8">
        <f>IF(E1753="","",E1753*F1753)</f>
        <v/>
      </c>
      <c r="H1753" s="8">
        <f>IF(G1753="","",G1753-I1753)</f>
        <v/>
      </c>
      <c r="I1753" s="8">
        <f>IF(D1753="","",VLOOKUP(D1753, RECETTES!B:G, 6, FALSE)*E1753)</f>
        <v/>
      </c>
      <c r="J1753" s="8">
        <f>IF(G1753="","",G1753*0.20)</f>
        <v/>
      </c>
      <c r="K1753" s="8">
        <f>IF(G1753="","",G1753+J1753)</f>
        <v/>
      </c>
    </row>
    <row r="1754">
      <c r="F1754" s="8" t="n"/>
      <c r="G1754" s="8">
        <f>IF(E1754="","",E1754*F1754)</f>
        <v/>
      </c>
      <c r="H1754" s="8">
        <f>IF(G1754="","",G1754-I1754)</f>
        <v/>
      </c>
      <c r="I1754" s="8">
        <f>IF(D1754="","",VLOOKUP(D1754, RECETTES!B:G, 6, FALSE)*E1754)</f>
        <v/>
      </c>
      <c r="J1754" s="8">
        <f>IF(G1754="","",G1754*0.20)</f>
        <v/>
      </c>
      <c r="K1754" s="8">
        <f>IF(G1754="","",G1754+J1754)</f>
        <v/>
      </c>
    </row>
    <row r="1755">
      <c r="F1755" s="8" t="n"/>
      <c r="G1755" s="8">
        <f>IF(E1755="","",E1755*F1755)</f>
        <v/>
      </c>
      <c r="H1755" s="8">
        <f>IF(G1755="","",G1755-I1755)</f>
        <v/>
      </c>
      <c r="I1755" s="8">
        <f>IF(D1755="","",VLOOKUP(D1755, RECETTES!B:G, 6, FALSE)*E1755)</f>
        <v/>
      </c>
      <c r="J1755" s="8">
        <f>IF(G1755="","",G1755*0.20)</f>
        <v/>
      </c>
      <c r="K1755" s="8">
        <f>IF(G1755="","",G1755+J1755)</f>
        <v/>
      </c>
    </row>
    <row r="1756">
      <c r="F1756" s="8" t="n"/>
      <c r="G1756" s="8">
        <f>IF(E1756="","",E1756*F1756)</f>
        <v/>
      </c>
      <c r="H1756" s="8">
        <f>IF(G1756="","",G1756-I1756)</f>
        <v/>
      </c>
      <c r="I1756" s="8">
        <f>IF(D1756="","",VLOOKUP(D1756, RECETTES!B:G, 6, FALSE)*E1756)</f>
        <v/>
      </c>
      <c r="J1756" s="8">
        <f>IF(G1756="","",G1756*0.20)</f>
        <v/>
      </c>
      <c r="K1756" s="8">
        <f>IF(G1756="","",G1756+J1756)</f>
        <v/>
      </c>
    </row>
    <row r="1757">
      <c r="F1757" s="8" t="n"/>
      <c r="G1757" s="8">
        <f>IF(E1757="","",E1757*F1757)</f>
        <v/>
      </c>
      <c r="H1757" s="8">
        <f>IF(G1757="","",G1757-I1757)</f>
        <v/>
      </c>
      <c r="I1757" s="8">
        <f>IF(D1757="","",VLOOKUP(D1757, RECETTES!B:G, 6, FALSE)*E1757)</f>
        <v/>
      </c>
      <c r="J1757" s="8">
        <f>IF(G1757="","",G1757*0.20)</f>
        <v/>
      </c>
      <c r="K1757" s="8">
        <f>IF(G1757="","",G1757+J1757)</f>
        <v/>
      </c>
    </row>
    <row r="1758">
      <c r="F1758" s="8" t="n"/>
      <c r="G1758" s="8">
        <f>IF(E1758="","",E1758*F1758)</f>
        <v/>
      </c>
      <c r="H1758" s="8">
        <f>IF(G1758="","",G1758-I1758)</f>
        <v/>
      </c>
      <c r="I1758" s="8">
        <f>IF(D1758="","",VLOOKUP(D1758, RECETTES!B:G, 6, FALSE)*E1758)</f>
        <v/>
      </c>
      <c r="J1758" s="8">
        <f>IF(G1758="","",G1758*0.20)</f>
        <v/>
      </c>
      <c r="K1758" s="8">
        <f>IF(G1758="","",G1758+J1758)</f>
        <v/>
      </c>
    </row>
    <row r="1759">
      <c r="F1759" s="8" t="n"/>
      <c r="G1759" s="8">
        <f>IF(E1759="","",E1759*F1759)</f>
        <v/>
      </c>
      <c r="H1759" s="8">
        <f>IF(G1759="","",G1759-I1759)</f>
        <v/>
      </c>
      <c r="I1759" s="8">
        <f>IF(D1759="","",VLOOKUP(D1759, RECETTES!B:G, 6, FALSE)*E1759)</f>
        <v/>
      </c>
      <c r="J1759" s="8">
        <f>IF(G1759="","",G1759*0.20)</f>
        <v/>
      </c>
      <c r="K1759" s="8">
        <f>IF(G1759="","",G1759+J1759)</f>
        <v/>
      </c>
    </row>
    <row r="1760">
      <c r="F1760" s="8" t="n"/>
      <c r="G1760" s="8">
        <f>IF(E1760="","",E1760*F1760)</f>
        <v/>
      </c>
      <c r="H1760" s="8">
        <f>IF(G1760="","",G1760-I1760)</f>
        <v/>
      </c>
      <c r="I1760" s="8">
        <f>IF(D1760="","",VLOOKUP(D1760, RECETTES!B:G, 6, FALSE)*E1760)</f>
        <v/>
      </c>
      <c r="J1760" s="8">
        <f>IF(G1760="","",G1760*0.20)</f>
        <v/>
      </c>
      <c r="K1760" s="8">
        <f>IF(G1760="","",G1760+J1760)</f>
        <v/>
      </c>
    </row>
    <row r="1761">
      <c r="F1761" s="8" t="n"/>
      <c r="G1761" s="8">
        <f>IF(E1761="","",E1761*F1761)</f>
        <v/>
      </c>
      <c r="H1761" s="8">
        <f>IF(G1761="","",G1761-I1761)</f>
        <v/>
      </c>
      <c r="I1761" s="8">
        <f>IF(D1761="","",VLOOKUP(D1761, RECETTES!B:G, 6, FALSE)*E1761)</f>
        <v/>
      </c>
      <c r="J1761" s="8">
        <f>IF(G1761="","",G1761*0.20)</f>
        <v/>
      </c>
      <c r="K1761" s="8">
        <f>IF(G1761="","",G1761+J1761)</f>
        <v/>
      </c>
    </row>
    <row r="1762">
      <c r="F1762" s="8" t="n"/>
      <c r="G1762" s="8">
        <f>IF(E1762="","",E1762*F1762)</f>
        <v/>
      </c>
      <c r="H1762" s="8">
        <f>IF(G1762="","",G1762-I1762)</f>
        <v/>
      </c>
      <c r="I1762" s="8">
        <f>IF(D1762="","",VLOOKUP(D1762, RECETTES!B:G, 6, FALSE)*E1762)</f>
        <v/>
      </c>
      <c r="J1762" s="8">
        <f>IF(G1762="","",G1762*0.20)</f>
        <v/>
      </c>
      <c r="K1762" s="8">
        <f>IF(G1762="","",G1762+J1762)</f>
        <v/>
      </c>
    </row>
    <row r="1763">
      <c r="F1763" s="8" t="n"/>
      <c r="G1763" s="8">
        <f>IF(E1763="","",E1763*F1763)</f>
        <v/>
      </c>
      <c r="H1763" s="8">
        <f>IF(G1763="","",G1763-I1763)</f>
        <v/>
      </c>
      <c r="I1763" s="8">
        <f>IF(D1763="","",VLOOKUP(D1763, RECETTES!B:G, 6, FALSE)*E1763)</f>
        <v/>
      </c>
      <c r="J1763" s="8">
        <f>IF(G1763="","",G1763*0.20)</f>
        <v/>
      </c>
      <c r="K1763" s="8">
        <f>IF(G1763="","",G1763+J1763)</f>
        <v/>
      </c>
    </row>
    <row r="1764">
      <c r="F1764" s="8" t="n"/>
      <c r="G1764" s="8">
        <f>IF(E1764="","",E1764*F1764)</f>
        <v/>
      </c>
      <c r="H1764" s="8">
        <f>IF(G1764="","",G1764-I1764)</f>
        <v/>
      </c>
      <c r="I1764" s="8">
        <f>IF(D1764="","",VLOOKUP(D1764, RECETTES!B:G, 6, FALSE)*E1764)</f>
        <v/>
      </c>
      <c r="J1764" s="8">
        <f>IF(G1764="","",G1764*0.20)</f>
        <v/>
      </c>
      <c r="K1764" s="8">
        <f>IF(G1764="","",G1764+J1764)</f>
        <v/>
      </c>
    </row>
    <row r="1765">
      <c r="F1765" s="8" t="n"/>
      <c r="G1765" s="8">
        <f>IF(E1765="","",E1765*F1765)</f>
        <v/>
      </c>
      <c r="H1765" s="8">
        <f>IF(G1765="","",G1765-I1765)</f>
        <v/>
      </c>
      <c r="I1765" s="8">
        <f>IF(D1765="","",VLOOKUP(D1765, RECETTES!B:G, 6, FALSE)*E1765)</f>
        <v/>
      </c>
      <c r="J1765" s="8">
        <f>IF(G1765="","",G1765*0.20)</f>
        <v/>
      </c>
      <c r="K1765" s="8">
        <f>IF(G1765="","",G1765+J1765)</f>
        <v/>
      </c>
    </row>
    <row r="1766">
      <c r="F1766" s="8" t="n"/>
      <c r="G1766" s="8">
        <f>IF(E1766="","",E1766*F1766)</f>
        <v/>
      </c>
      <c r="H1766" s="8">
        <f>IF(G1766="","",G1766-I1766)</f>
        <v/>
      </c>
      <c r="I1766" s="8">
        <f>IF(D1766="","",VLOOKUP(D1766, RECETTES!B:G, 6, FALSE)*E1766)</f>
        <v/>
      </c>
      <c r="J1766" s="8">
        <f>IF(G1766="","",G1766*0.20)</f>
        <v/>
      </c>
      <c r="K1766" s="8">
        <f>IF(G1766="","",G1766+J1766)</f>
        <v/>
      </c>
    </row>
    <row r="1767">
      <c r="F1767" s="8" t="n"/>
      <c r="G1767" s="8">
        <f>IF(E1767="","",E1767*F1767)</f>
        <v/>
      </c>
      <c r="H1767" s="8">
        <f>IF(G1767="","",G1767-I1767)</f>
        <v/>
      </c>
      <c r="I1767" s="8">
        <f>IF(D1767="","",VLOOKUP(D1767, RECETTES!B:G, 6, FALSE)*E1767)</f>
        <v/>
      </c>
      <c r="J1767" s="8">
        <f>IF(G1767="","",G1767*0.20)</f>
        <v/>
      </c>
      <c r="K1767" s="8">
        <f>IF(G1767="","",G1767+J1767)</f>
        <v/>
      </c>
    </row>
    <row r="1768">
      <c r="F1768" s="8" t="n"/>
      <c r="G1768" s="8">
        <f>IF(E1768="","",E1768*F1768)</f>
        <v/>
      </c>
      <c r="H1768" s="8">
        <f>IF(G1768="","",G1768-I1768)</f>
        <v/>
      </c>
      <c r="I1768" s="8">
        <f>IF(D1768="","",VLOOKUP(D1768, RECETTES!B:G, 6, FALSE)*E1768)</f>
        <v/>
      </c>
      <c r="J1768" s="8">
        <f>IF(G1768="","",G1768*0.20)</f>
        <v/>
      </c>
      <c r="K1768" s="8">
        <f>IF(G1768="","",G1768+J1768)</f>
        <v/>
      </c>
    </row>
    <row r="1769">
      <c r="F1769" s="8" t="n"/>
      <c r="G1769" s="8">
        <f>IF(E1769="","",E1769*F1769)</f>
        <v/>
      </c>
      <c r="H1769" s="8">
        <f>IF(G1769="","",G1769-I1769)</f>
        <v/>
      </c>
      <c r="I1769" s="8">
        <f>IF(D1769="","",VLOOKUP(D1769, RECETTES!B:G, 6, FALSE)*E1769)</f>
        <v/>
      </c>
      <c r="J1769" s="8">
        <f>IF(G1769="","",G1769*0.20)</f>
        <v/>
      </c>
      <c r="K1769" s="8">
        <f>IF(G1769="","",G1769+J1769)</f>
        <v/>
      </c>
    </row>
    <row r="1770">
      <c r="F1770" s="8" t="n"/>
      <c r="G1770" s="8">
        <f>IF(E1770="","",E1770*F1770)</f>
        <v/>
      </c>
      <c r="H1770" s="8">
        <f>IF(G1770="","",G1770-I1770)</f>
        <v/>
      </c>
      <c r="I1770" s="8">
        <f>IF(D1770="","",VLOOKUP(D1770, RECETTES!B:G, 6, FALSE)*E1770)</f>
        <v/>
      </c>
      <c r="J1770" s="8">
        <f>IF(G1770="","",G1770*0.20)</f>
        <v/>
      </c>
      <c r="K1770" s="8">
        <f>IF(G1770="","",G1770+J1770)</f>
        <v/>
      </c>
    </row>
    <row r="1771">
      <c r="F1771" s="8" t="n"/>
      <c r="G1771" s="8">
        <f>IF(E1771="","",E1771*F1771)</f>
        <v/>
      </c>
      <c r="H1771" s="8">
        <f>IF(G1771="","",G1771-I1771)</f>
        <v/>
      </c>
      <c r="I1771" s="8">
        <f>IF(D1771="","",VLOOKUP(D1771, RECETTES!B:G, 6, FALSE)*E1771)</f>
        <v/>
      </c>
      <c r="J1771" s="8">
        <f>IF(G1771="","",G1771*0.20)</f>
        <v/>
      </c>
      <c r="K1771" s="8">
        <f>IF(G1771="","",G1771+J1771)</f>
        <v/>
      </c>
    </row>
    <row r="1772">
      <c r="F1772" s="8" t="n"/>
      <c r="G1772" s="8">
        <f>IF(E1772="","",E1772*F1772)</f>
        <v/>
      </c>
      <c r="H1772" s="8">
        <f>IF(G1772="","",G1772-I1772)</f>
        <v/>
      </c>
      <c r="I1772" s="8">
        <f>IF(D1772="","",VLOOKUP(D1772, RECETTES!B:G, 6, FALSE)*E1772)</f>
        <v/>
      </c>
      <c r="J1772" s="8">
        <f>IF(G1772="","",G1772*0.20)</f>
        <v/>
      </c>
      <c r="K1772" s="8">
        <f>IF(G1772="","",G1772+J1772)</f>
        <v/>
      </c>
    </row>
    <row r="1773">
      <c r="F1773" s="8" t="n"/>
      <c r="G1773" s="8">
        <f>IF(E1773="","",E1773*F1773)</f>
        <v/>
      </c>
      <c r="H1773" s="8">
        <f>IF(G1773="","",G1773-I1773)</f>
        <v/>
      </c>
      <c r="I1773" s="8">
        <f>IF(D1773="","",VLOOKUP(D1773, RECETTES!B:G, 6, FALSE)*E1773)</f>
        <v/>
      </c>
      <c r="J1773" s="8">
        <f>IF(G1773="","",G1773*0.20)</f>
        <v/>
      </c>
      <c r="K1773" s="8">
        <f>IF(G1773="","",G1773+J1773)</f>
        <v/>
      </c>
    </row>
    <row r="1774">
      <c r="F1774" s="8" t="n"/>
      <c r="G1774" s="8">
        <f>IF(E1774="","",E1774*F1774)</f>
        <v/>
      </c>
      <c r="H1774" s="8">
        <f>IF(G1774="","",G1774-I1774)</f>
        <v/>
      </c>
      <c r="I1774" s="8">
        <f>IF(D1774="","",VLOOKUP(D1774, RECETTES!B:G, 6, FALSE)*E1774)</f>
        <v/>
      </c>
      <c r="J1774" s="8">
        <f>IF(G1774="","",G1774*0.20)</f>
        <v/>
      </c>
      <c r="K1774" s="8">
        <f>IF(G1774="","",G1774+J1774)</f>
        <v/>
      </c>
    </row>
    <row r="1775">
      <c r="F1775" s="8" t="n"/>
      <c r="G1775" s="8">
        <f>IF(E1775="","",E1775*F1775)</f>
        <v/>
      </c>
      <c r="H1775" s="8">
        <f>IF(G1775="","",G1775-I1775)</f>
        <v/>
      </c>
      <c r="I1775" s="8">
        <f>IF(D1775="","",VLOOKUP(D1775, RECETTES!B:G, 6, FALSE)*E1775)</f>
        <v/>
      </c>
      <c r="J1775" s="8">
        <f>IF(G1775="","",G1775*0.20)</f>
        <v/>
      </c>
      <c r="K1775" s="8">
        <f>IF(G1775="","",G1775+J1775)</f>
        <v/>
      </c>
    </row>
    <row r="1776">
      <c r="F1776" s="8" t="n"/>
      <c r="G1776" s="8">
        <f>IF(E1776="","",E1776*F1776)</f>
        <v/>
      </c>
      <c r="H1776" s="8">
        <f>IF(G1776="","",G1776-I1776)</f>
        <v/>
      </c>
      <c r="I1776" s="8">
        <f>IF(D1776="","",VLOOKUP(D1776, RECETTES!B:G, 6, FALSE)*E1776)</f>
        <v/>
      </c>
      <c r="J1776" s="8">
        <f>IF(G1776="","",G1776*0.20)</f>
        <v/>
      </c>
      <c r="K1776" s="8">
        <f>IF(G1776="","",G1776+J1776)</f>
        <v/>
      </c>
    </row>
    <row r="1777">
      <c r="F1777" s="8" t="n"/>
      <c r="G1777" s="8">
        <f>IF(E1777="","",E1777*F1777)</f>
        <v/>
      </c>
      <c r="H1777" s="8">
        <f>IF(G1777="","",G1777-I1777)</f>
        <v/>
      </c>
      <c r="I1777" s="8">
        <f>IF(D1777="","",VLOOKUP(D1777, RECETTES!B:G, 6, FALSE)*E1777)</f>
        <v/>
      </c>
      <c r="J1777" s="8">
        <f>IF(G1777="","",G1777*0.20)</f>
        <v/>
      </c>
      <c r="K1777" s="8">
        <f>IF(G1777="","",G1777+J1777)</f>
        <v/>
      </c>
    </row>
    <row r="1778">
      <c r="F1778" s="8" t="n"/>
      <c r="G1778" s="8">
        <f>IF(E1778="","",E1778*F1778)</f>
        <v/>
      </c>
      <c r="H1778" s="8">
        <f>IF(G1778="","",G1778-I1778)</f>
        <v/>
      </c>
      <c r="I1778" s="8">
        <f>IF(D1778="","",VLOOKUP(D1778, RECETTES!B:G, 6, FALSE)*E1778)</f>
        <v/>
      </c>
      <c r="J1778" s="8">
        <f>IF(G1778="","",G1778*0.20)</f>
        <v/>
      </c>
      <c r="K1778" s="8">
        <f>IF(G1778="","",G1778+J1778)</f>
        <v/>
      </c>
    </row>
    <row r="1779">
      <c r="F1779" s="8" t="n"/>
      <c r="G1779" s="8">
        <f>IF(E1779="","",E1779*F1779)</f>
        <v/>
      </c>
      <c r="H1779" s="8">
        <f>IF(G1779="","",G1779-I1779)</f>
        <v/>
      </c>
      <c r="I1779" s="8">
        <f>IF(D1779="","",VLOOKUP(D1779, RECETTES!B:G, 6, FALSE)*E1779)</f>
        <v/>
      </c>
      <c r="J1779" s="8">
        <f>IF(G1779="","",G1779*0.20)</f>
        <v/>
      </c>
      <c r="K1779" s="8">
        <f>IF(G1779="","",G1779+J1779)</f>
        <v/>
      </c>
    </row>
    <row r="1780">
      <c r="F1780" s="8" t="n"/>
      <c r="G1780" s="8">
        <f>IF(E1780="","",E1780*F1780)</f>
        <v/>
      </c>
      <c r="H1780" s="8">
        <f>IF(G1780="","",G1780-I1780)</f>
        <v/>
      </c>
      <c r="I1780" s="8">
        <f>IF(D1780="","",VLOOKUP(D1780, RECETTES!B:G, 6, FALSE)*E1780)</f>
        <v/>
      </c>
      <c r="J1780" s="8">
        <f>IF(G1780="","",G1780*0.20)</f>
        <v/>
      </c>
      <c r="K1780" s="8">
        <f>IF(G1780="","",G1780+J1780)</f>
        <v/>
      </c>
    </row>
    <row r="1781">
      <c r="F1781" s="8" t="n"/>
      <c r="G1781" s="8">
        <f>IF(E1781="","",E1781*F1781)</f>
        <v/>
      </c>
      <c r="H1781" s="8">
        <f>IF(G1781="","",G1781-I1781)</f>
        <v/>
      </c>
      <c r="I1781" s="8">
        <f>IF(D1781="","",VLOOKUP(D1781, RECETTES!B:G, 6, FALSE)*E1781)</f>
        <v/>
      </c>
      <c r="J1781" s="8">
        <f>IF(G1781="","",G1781*0.20)</f>
        <v/>
      </c>
      <c r="K1781" s="8">
        <f>IF(G1781="","",G1781+J1781)</f>
        <v/>
      </c>
    </row>
    <row r="1782">
      <c r="F1782" s="8" t="n"/>
      <c r="G1782" s="8">
        <f>IF(E1782="","",E1782*F1782)</f>
        <v/>
      </c>
      <c r="H1782" s="8">
        <f>IF(G1782="","",G1782-I1782)</f>
        <v/>
      </c>
      <c r="I1782" s="8">
        <f>IF(D1782="","",VLOOKUP(D1782, RECETTES!B:G, 6, FALSE)*E1782)</f>
        <v/>
      </c>
      <c r="J1782" s="8">
        <f>IF(G1782="","",G1782*0.20)</f>
        <v/>
      </c>
      <c r="K1782" s="8">
        <f>IF(G1782="","",G1782+J1782)</f>
        <v/>
      </c>
    </row>
    <row r="1783">
      <c r="F1783" s="8" t="n"/>
      <c r="G1783" s="8">
        <f>IF(E1783="","",E1783*F1783)</f>
        <v/>
      </c>
      <c r="H1783" s="8">
        <f>IF(G1783="","",G1783-I1783)</f>
        <v/>
      </c>
      <c r="I1783" s="8">
        <f>IF(D1783="","",VLOOKUP(D1783, RECETTES!B:G, 6, FALSE)*E1783)</f>
        <v/>
      </c>
      <c r="J1783" s="8">
        <f>IF(G1783="","",G1783*0.20)</f>
        <v/>
      </c>
      <c r="K1783" s="8">
        <f>IF(G1783="","",G1783+J1783)</f>
        <v/>
      </c>
    </row>
    <row r="1784">
      <c r="F1784" s="8" t="n"/>
      <c r="G1784" s="8">
        <f>IF(E1784="","",E1784*F1784)</f>
        <v/>
      </c>
      <c r="H1784" s="8">
        <f>IF(G1784="","",G1784-I1784)</f>
        <v/>
      </c>
      <c r="I1784" s="8">
        <f>IF(D1784="","",VLOOKUP(D1784, RECETTES!B:G, 6, FALSE)*E1784)</f>
        <v/>
      </c>
      <c r="J1784" s="8">
        <f>IF(G1784="","",G1784*0.20)</f>
        <v/>
      </c>
      <c r="K1784" s="8">
        <f>IF(G1784="","",G1784+J1784)</f>
        <v/>
      </c>
    </row>
    <row r="1785">
      <c r="F1785" s="8" t="n"/>
      <c r="G1785" s="8">
        <f>IF(E1785="","",E1785*F1785)</f>
        <v/>
      </c>
      <c r="H1785" s="8">
        <f>IF(G1785="","",G1785-I1785)</f>
        <v/>
      </c>
      <c r="I1785" s="8">
        <f>IF(D1785="","",VLOOKUP(D1785, RECETTES!B:G, 6, FALSE)*E1785)</f>
        <v/>
      </c>
      <c r="J1785" s="8">
        <f>IF(G1785="","",G1785*0.20)</f>
        <v/>
      </c>
      <c r="K1785" s="8">
        <f>IF(G1785="","",G1785+J1785)</f>
        <v/>
      </c>
    </row>
    <row r="1786">
      <c r="F1786" s="8" t="n"/>
      <c r="G1786" s="8">
        <f>IF(E1786="","",E1786*F1786)</f>
        <v/>
      </c>
      <c r="H1786" s="8">
        <f>IF(G1786="","",G1786-I1786)</f>
        <v/>
      </c>
      <c r="I1786" s="8">
        <f>IF(D1786="","",VLOOKUP(D1786, RECETTES!B:G, 6, FALSE)*E1786)</f>
        <v/>
      </c>
      <c r="J1786" s="8">
        <f>IF(G1786="","",G1786*0.20)</f>
        <v/>
      </c>
      <c r="K1786" s="8">
        <f>IF(G1786="","",G1786+J1786)</f>
        <v/>
      </c>
    </row>
    <row r="1787">
      <c r="F1787" s="8" t="n"/>
      <c r="G1787" s="8">
        <f>IF(E1787="","",E1787*F1787)</f>
        <v/>
      </c>
      <c r="H1787" s="8">
        <f>IF(G1787="","",G1787-I1787)</f>
        <v/>
      </c>
      <c r="I1787" s="8">
        <f>IF(D1787="","",VLOOKUP(D1787, RECETTES!B:G, 6, FALSE)*E1787)</f>
        <v/>
      </c>
      <c r="J1787" s="8">
        <f>IF(G1787="","",G1787*0.20)</f>
        <v/>
      </c>
      <c r="K1787" s="8">
        <f>IF(G1787="","",G1787+J1787)</f>
        <v/>
      </c>
    </row>
    <row r="1788">
      <c r="F1788" s="8" t="n"/>
      <c r="G1788" s="8">
        <f>IF(E1788="","",E1788*F1788)</f>
        <v/>
      </c>
      <c r="H1788" s="8">
        <f>IF(G1788="","",G1788-I1788)</f>
        <v/>
      </c>
      <c r="I1788" s="8">
        <f>IF(D1788="","",VLOOKUP(D1788, RECETTES!B:G, 6, FALSE)*E1788)</f>
        <v/>
      </c>
      <c r="J1788" s="8">
        <f>IF(G1788="","",G1788*0.20)</f>
        <v/>
      </c>
      <c r="K1788" s="8">
        <f>IF(G1788="","",G1788+J1788)</f>
        <v/>
      </c>
    </row>
    <row r="1789">
      <c r="F1789" s="8" t="n"/>
      <c r="G1789" s="8">
        <f>IF(E1789="","",E1789*F1789)</f>
        <v/>
      </c>
      <c r="H1789" s="8">
        <f>IF(G1789="","",G1789-I1789)</f>
        <v/>
      </c>
      <c r="I1789" s="8">
        <f>IF(D1789="","",VLOOKUP(D1789, RECETTES!B:G, 6, FALSE)*E1789)</f>
        <v/>
      </c>
      <c r="J1789" s="8">
        <f>IF(G1789="","",G1789*0.20)</f>
        <v/>
      </c>
      <c r="K1789" s="8">
        <f>IF(G1789="","",G1789+J1789)</f>
        <v/>
      </c>
    </row>
    <row r="1790">
      <c r="F1790" s="8" t="n"/>
      <c r="G1790" s="8">
        <f>IF(E1790="","",E1790*F1790)</f>
        <v/>
      </c>
      <c r="H1790" s="8">
        <f>IF(G1790="","",G1790-I1790)</f>
        <v/>
      </c>
      <c r="I1790" s="8">
        <f>IF(D1790="","",VLOOKUP(D1790, RECETTES!B:G, 6, FALSE)*E1790)</f>
        <v/>
      </c>
      <c r="J1790" s="8">
        <f>IF(G1790="","",G1790*0.20)</f>
        <v/>
      </c>
      <c r="K1790" s="8">
        <f>IF(G1790="","",G1790+J1790)</f>
        <v/>
      </c>
    </row>
    <row r="1791">
      <c r="F1791" s="8" t="n"/>
      <c r="G1791" s="8">
        <f>IF(E1791="","",E1791*F1791)</f>
        <v/>
      </c>
      <c r="H1791" s="8">
        <f>IF(G1791="","",G1791-I1791)</f>
        <v/>
      </c>
      <c r="I1791" s="8">
        <f>IF(D1791="","",VLOOKUP(D1791, RECETTES!B:G, 6, FALSE)*E1791)</f>
        <v/>
      </c>
      <c r="J1791" s="8">
        <f>IF(G1791="","",G1791*0.20)</f>
        <v/>
      </c>
      <c r="K1791" s="8">
        <f>IF(G1791="","",G1791+J1791)</f>
        <v/>
      </c>
    </row>
    <row r="1792">
      <c r="F1792" s="8" t="n"/>
      <c r="G1792" s="8">
        <f>IF(E1792="","",E1792*F1792)</f>
        <v/>
      </c>
      <c r="H1792" s="8">
        <f>IF(G1792="","",G1792-I1792)</f>
        <v/>
      </c>
      <c r="I1792" s="8">
        <f>IF(D1792="","",VLOOKUP(D1792, RECETTES!B:G, 6, FALSE)*E1792)</f>
        <v/>
      </c>
      <c r="J1792" s="8">
        <f>IF(G1792="","",G1792*0.20)</f>
        <v/>
      </c>
      <c r="K1792" s="8">
        <f>IF(G1792="","",G1792+J1792)</f>
        <v/>
      </c>
    </row>
    <row r="1793">
      <c r="F1793" s="8" t="n"/>
      <c r="G1793" s="8">
        <f>IF(E1793="","",E1793*F1793)</f>
        <v/>
      </c>
      <c r="H1793" s="8">
        <f>IF(G1793="","",G1793-I1793)</f>
        <v/>
      </c>
      <c r="I1793" s="8">
        <f>IF(D1793="","",VLOOKUP(D1793, RECETTES!B:G, 6, FALSE)*E1793)</f>
        <v/>
      </c>
      <c r="J1793" s="8">
        <f>IF(G1793="","",G1793*0.20)</f>
        <v/>
      </c>
      <c r="K1793" s="8">
        <f>IF(G1793="","",G1793+J1793)</f>
        <v/>
      </c>
    </row>
    <row r="1794">
      <c r="F1794" s="8" t="n"/>
      <c r="G1794" s="8">
        <f>IF(E1794="","",E1794*F1794)</f>
        <v/>
      </c>
      <c r="H1794" s="8">
        <f>IF(G1794="","",G1794-I1794)</f>
        <v/>
      </c>
      <c r="I1794" s="8">
        <f>IF(D1794="","",VLOOKUP(D1794, RECETTES!B:G, 6, FALSE)*E1794)</f>
        <v/>
      </c>
      <c r="J1794" s="8">
        <f>IF(G1794="","",G1794*0.20)</f>
        <v/>
      </c>
      <c r="K1794" s="8">
        <f>IF(G1794="","",G1794+J1794)</f>
        <v/>
      </c>
    </row>
    <row r="1795">
      <c r="F1795" s="8" t="n"/>
      <c r="G1795" s="8">
        <f>IF(E1795="","",E1795*F1795)</f>
        <v/>
      </c>
      <c r="H1795" s="8">
        <f>IF(G1795="","",G1795-I1795)</f>
        <v/>
      </c>
      <c r="I1795" s="8">
        <f>IF(D1795="","",VLOOKUP(D1795, RECETTES!B:G, 6, FALSE)*E1795)</f>
        <v/>
      </c>
      <c r="J1795" s="8">
        <f>IF(G1795="","",G1795*0.20)</f>
        <v/>
      </c>
      <c r="K1795" s="8">
        <f>IF(G1795="","",G1795+J1795)</f>
        <v/>
      </c>
    </row>
    <row r="1796">
      <c r="F1796" s="8" t="n"/>
      <c r="G1796" s="8">
        <f>IF(E1796="","",E1796*F1796)</f>
        <v/>
      </c>
      <c r="H1796" s="8">
        <f>IF(G1796="","",G1796-I1796)</f>
        <v/>
      </c>
      <c r="I1796" s="8">
        <f>IF(D1796="","",VLOOKUP(D1796, RECETTES!B:G, 6, FALSE)*E1796)</f>
        <v/>
      </c>
      <c r="J1796" s="8">
        <f>IF(G1796="","",G1796*0.20)</f>
        <v/>
      </c>
      <c r="K1796" s="8">
        <f>IF(G1796="","",G1796+J1796)</f>
        <v/>
      </c>
    </row>
    <row r="1797">
      <c r="F1797" s="8" t="n"/>
      <c r="G1797" s="8">
        <f>IF(E1797="","",E1797*F1797)</f>
        <v/>
      </c>
      <c r="H1797" s="8">
        <f>IF(G1797="","",G1797-I1797)</f>
        <v/>
      </c>
      <c r="I1797" s="8">
        <f>IF(D1797="","",VLOOKUP(D1797, RECETTES!B:G, 6, FALSE)*E1797)</f>
        <v/>
      </c>
      <c r="J1797" s="8">
        <f>IF(G1797="","",G1797*0.20)</f>
        <v/>
      </c>
      <c r="K1797" s="8">
        <f>IF(G1797="","",G1797+J1797)</f>
        <v/>
      </c>
    </row>
    <row r="1798">
      <c r="F1798" s="8" t="n"/>
      <c r="G1798" s="8">
        <f>IF(E1798="","",E1798*F1798)</f>
        <v/>
      </c>
      <c r="H1798" s="8">
        <f>IF(G1798="","",G1798-I1798)</f>
        <v/>
      </c>
      <c r="I1798" s="8">
        <f>IF(D1798="","",VLOOKUP(D1798, RECETTES!B:G, 6, FALSE)*E1798)</f>
        <v/>
      </c>
      <c r="J1798" s="8">
        <f>IF(G1798="","",G1798*0.20)</f>
        <v/>
      </c>
      <c r="K1798" s="8">
        <f>IF(G1798="","",G1798+J1798)</f>
        <v/>
      </c>
    </row>
    <row r="1799">
      <c r="F1799" s="8" t="n"/>
      <c r="G1799" s="8">
        <f>IF(E1799="","",E1799*F1799)</f>
        <v/>
      </c>
      <c r="H1799" s="8">
        <f>IF(G1799="","",G1799-I1799)</f>
        <v/>
      </c>
      <c r="I1799" s="8">
        <f>IF(D1799="","",VLOOKUP(D1799, RECETTES!B:G, 6, FALSE)*E1799)</f>
        <v/>
      </c>
      <c r="J1799" s="8">
        <f>IF(G1799="","",G1799*0.20)</f>
        <v/>
      </c>
      <c r="K1799" s="8">
        <f>IF(G1799="","",G1799+J1799)</f>
        <v/>
      </c>
    </row>
    <row r="1800">
      <c r="F1800" s="8" t="n"/>
      <c r="G1800" s="8">
        <f>IF(E1800="","",E1800*F1800)</f>
        <v/>
      </c>
      <c r="H1800" s="8">
        <f>IF(G1800="","",G1800-I1800)</f>
        <v/>
      </c>
      <c r="I1800" s="8">
        <f>IF(D1800="","",VLOOKUP(D1800, RECETTES!B:G, 6, FALSE)*E1800)</f>
        <v/>
      </c>
      <c r="J1800" s="8">
        <f>IF(G1800="","",G1800*0.20)</f>
        <v/>
      </c>
      <c r="K1800" s="8">
        <f>IF(G1800="","",G1800+J1800)</f>
        <v/>
      </c>
    </row>
    <row r="1801">
      <c r="F1801" s="8" t="n"/>
      <c r="G1801" s="8">
        <f>IF(E1801="","",E1801*F1801)</f>
        <v/>
      </c>
      <c r="H1801" s="8">
        <f>IF(G1801="","",G1801-I1801)</f>
        <v/>
      </c>
      <c r="I1801" s="8">
        <f>IF(D1801="","",VLOOKUP(D1801, RECETTES!B:G, 6, FALSE)*E1801)</f>
        <v/>
      </c>
      <c r="J1801" s="8">
        <f>IF(G1801="","",G1801*0.20)</f>
        <v/>
      </c>
      <c r="K1801" s="8">
        <f>IF(G1801="","",G1801+J1801)</f>
        <v/>
      </c>
    </row>
    <row r="1802">
      <c r="F1802" s="8" t="n"/>
      <c r="G1802" s="8">
        <f>IF(E1802="","",E1802*F1802)</f>
        <v/>
      </c>
      <c r="H1802" s="8">
        <f>IF(G1802="","",G1802-I1802)</f>
        <v/>
      </c>
      <c r="I1802" s="8">
        <f>IF(D1802="","",VLOOKUP(D1802, RECETTES!B:G, 6, FALSE)*E1802)</f>
        <v/>
      </c>
      <c r="J1802" s="8">
        <f>IF(G1802="","",G1802*0.20)</f>
        <v/>
      </c>
      <c r="K1802" s="8">
        <f>IF(G1802="","",G1802+J1802)</f>
        <v/>
      </c>
    </row>
    <row r="1803">
      <c r="F1803" s="8" t="n"/>
      <c r="G1803" s="8">
        <f>IF(E1803="","",E1803*F1803)</f>
        <v/>
      </c>
      <c r="H1803" s="8">
        <f>IF(G1803="","",G1803-I1803)</f>
        <v/>
      </c>
      <c r="I1803" s="8">
        <f>IF(D1803="","",VLOOKUP(D1803, RECETTES!B:G, 6, FALSE)*E1803)</f>
        <v/>
      </c>
      <c r="J1803" s="8">
        <f>IF(G1803="","",G1803*0.20)</f>
        <v/>
      </c>
      <c r="K1803" s="8">
        <f>IF(G1803="","",G1803+J1803)</f>
        <v/>
      </c>
    </row>
    <row r="1804">
      <c r="F1804" s="8" t="n"/>
      <c r="G1804" s="8">
        <f>IF(E1804="","",E1804*F1804)</f>
        <v/>
      </c>
      <c r="H1804" s="8">
        <f>IF(G1804="","",G1804-I1804)</f>
        <v/>
      </c>
      <c r="I1804" s="8">
        <f>IF(D1804="","",VLOOKUP(D1804, RECETTES!B:G, 6, FALSE)*E1804)</f>
        <v/>
      </c>
      <c r="J1804" s="8">
        <f>IF(G1804="","",G1804*0.20)</f>
        <v/>
      </c>
      <c r="K1804" s="8">
        <f>IF(G1804="","",G1804+J1804)</f>
        <v/>
      </c>
    </row>
    <row r="1805">
      <c r="F1805" s="8" t="n"/>
      <c r="G1805" s="8">
        <f>IF(E1805="","",E1805*F1805)</f>
        <v/>
      </c>
      <c r="H1805" s="8">
        <f>IF(G1805="","",G1805-I1805)</f>
        <v/>
      </c>
      <c r="I1805" s="8">
        <f>IF(D1805="","",VLOOKUP(D1805, RECETTES!B:G, 6, FALSE)*E1805)</f>
        <v/>
      </c>
      <c r="J1805" s="8">
        <f>IF(G1805="","",G1805*0.20)</f>
        <v/>
      </c>
      <c r="K1805" s="8">
        <f>IF(G1805="","",G1805+J1805)</f>
        <v/>
      </c>
    </row>
    <row r="1806">
      <c r="F1806" s="8" t="n"/>
      <c r="G1806" s="8">
        <f>IF(E1806="","",E1806*F1806)</f>
        <v/>
      </c>
      <c r="H1806" s="8">
        <f>IF(G1806="","",G1806-I1806)</f>
        <v/>
      </c>
      <c r="I1806" s="8">
        <f>IF(D1806="","",VLOOKUP(D1806, RECETTES!B:G, 6, FALSE)*E1806)</f>
        <v/>
      </c>
      <c r="J1806" s="8">
        <f>IF(G1806="","",G1806*0.20)</f>
        <v/>
      </c>
      <c r="K1806" s="8">
        <f>IF(G1806="","",G1806+J1806)</f>
        <v/>
      </c>
    </row>
    <row r="1807">
      <c r="F1807" s="8" t="n"/>
      <c r="G1807" s="8">
        <f>IF(E1807="","",E1807*F1807)</f>
        <v/>
      </c>
      <c r="H1807" s="8">
        <f>IF(G1807="","",G1807-I1807)</f>
        <v/>
      </c>
      <c r="I1807" s="8">
        <f>IF(D1807="","",VLOOKUP(D1807, RECETTES!B:G, 6, FALSE)*E1807)</f>
        <v/>
      </c>
      <c r="J1807" s="8">
        <f>IF(G1807="","",G1807*0.20)</f>
        <v/>
      </c>
      <c r="K1807" s="8">
        <f>IF(G1807="","",G1807+J1807)</f>
        <v/>
      </c>
    </row>
    <row r="1808">
      <c r="F1808" s="8" t="n"/>
      <c r="G1808" s="8">
        <f>IF(E1808="","",E1808*F1808)</f>
        <v/>
      </c>
      <c r="H1808" s="8">
        <f>IF(G1808="","",G1808-I1808)</f>
        <v/>
      </c>
      <c r="I1808" s="8">
        <f>IF(D1808="","",VLOOKUP(D1808, RECETTES!B:G, 6, FALSE)*E1808)</f>
        <v/>
      </c>
      <c r="J1808" s="8">
        <f>IF(G1808="","",G1808*0.20)</f>
        <v/>
      </c>
      <c r="K1808" s="8">
        <f>IF(G1808="","",G1808+J1808)</f>
        <v/>
      </c>
    </row>
    <row r="1809">
      <c r="F1809" s="8" t="n"/>
      <c r="G1809" s="8">
        <f>IF(E1809="","",E1809*F1809)</f>
        <v/>
      </c>
      <c r="H1809" s="8">
        <f>IF(G1809="","",G1809-I1809)</f>
        <v/>
      </c>
      <c r="I1809" s="8">
        <f>IF(D1809="","",VLOOKUP(D1809, RECETTES!B:G, 6, FALSE)*E1809)</f>
        <v/>
      </c>
      <c r="J1809" s="8">
        <f>IF(G1809="","",G1809*0.20)</f>
        <v/>
      </c>
      <c r="K1809" s="8">
        <f>IF(G1809="","",G1809+J1809)</f>
        <v/>
      </c>
    </row>
    <row r="1810">
      <c r="F1810" s="8" t="n"/>
      <c r="G1810" s="8">
        <f>IF(E1810="","",E1810*F1810)</f>
        <v/>
      </c>
      <c r="H1810" s="8">
        <f>IF(G1810="","",G1810-I1810)</f>
        <v/>
      </c>
      <c r="I1810" s="8">
        <f>IF(D1810="","",VLOOKUP(D1810, RECETTES!B:G, 6, FALSE)*E1810)</f>
        <v/>
      </c>
      <c r="J1810" s="8">
        <f>IF(G1810="","",G1810*0.20)</f>
        <v/>
      </c>
      <c r="K1810" s="8">
        <f>IF(G1810="","",G1810+J1810)</f>
        <v/>
      </c>
    </row>
    <row r="1811">
      <c r="F1811" s="8" t="n"/>
      <c r="G1811" s="8">
        <f>IF(E1811="","",E1811*F1811)</f>
        <v/>
      </c>
      <c r="H1811" s="8">
        <f>IF(G1811="","",G1811-I1811)</f>
        <v/>
      </c>
      <c r="I1811" s="8">
        <f>IF(D1811="","",VLOOKUP(D1811, RECETTES!B:G, 6, FALSE)*E1811)</f>
        <v/>
      </c>
      <c r="J1811" s="8">
        <f>IF(G1811="","",G1811*0.20)</f>
        <v/>
      </c>
      <c r="K1811" s="8">
        <f>IF(G1811="","",G1811+J1811)</f>
        <v/>
      </c>
    </row>
    <row r="1812">
      <c r="F1812" s="8" t="n"/>
      <c r="G1812" s="8">
        <f>IF(E1812="","",E1812*F1812)</f>
        <v/>
      </c>
      <c r="H1812" s="8">
        <f>IF(G1812="","",G1812-I1812)</f>
        <v/>
      </c>
      <c r="I1812" s="8">
        <f>IF(D1812="","",VLOOKUP(D1812, RECETTES!B:G, 6, FALSE)*E1812)</f>
        <v/>
      </c>
      <c r="J1812" s="8">
        <f>IF(G1812="","",G1812*0.20)</f>
        <v/>
      </c>
      <c r="K1812" s="8">
        <f>IF(G1812="","",G1812+J1812)</f>
        <v/>
      </c>
    </row>
    <row r="1813">
      <c r="F1813" s="8" t="n"/>
      <c r="G1813" s="8">
        <f>IF(E1813="","",E1813*F1813)</f>
        <v/>
      </c>
      <c r="H1813" s="8">
        <f>IF(G1813="","",G1813-I1813)</f>
        <v/>
      </c>
      <c r="I1813" s="8">
        <f>IF(D1813="","",VLOOKUP(D1813, RECETTES!B:G, 6, FALSE)*E1813)</f>
        <v/>
      </c>
      <c r="J1813" s="8">
        <f>IF(G1813="","",G1813*0.20)</f>
        <v/>
      </c>
      <c r="K1813" s="8">
        <f>IF(G1813="","",G1813+J1813)</f>
        <v/>
      </c>
    </row>
    <row r="1814">
      <c r="F1814" s="8" t="n"/>
      <c r="G1814" s="8">
        <f>IF(E1814="","",E1814*F1814)</f>
        <v/>
      </c>
      <c r="H1814" s="8">
        <f>IF(G1814="","",G1814-I1814)</f>
        <v/>
      </c>
      <c r="I1814" s="8">
        <f>IF(D1814="","",VLOOKUP(D1814, RECETTES!B:G, 6, FALSE)*E1814)</f>
        <v/>
      </c>
      <c r="J1814" s="8">
        <f>IF(G1814="","",G1814*0.20)</f>
        <v/>
      </c>
      <c r="K1814" s="8">
        <f>IF(G1814="","",G1814+J1814)</f>
        <v/>
      </c>
    </row>
    <row r="1815">
      <c r="F1815" s="8" t="n"/>
      <c r="G1815" s="8">
        <f>IF(E1815="","",E1815*F1815)</f>
        <v/>
      </c>
      <c r="H1815" s="8">
        <f>IF(G1815="","",G1815-I1815)</f>
        <v/>
      </c>
      <c r="I1815" s="8">
        <f>IF(D1815="","",VLOOKUP(D1815, RECETTES!B:G, 6, FALSE)*E1815)</f>
        <v/>
      </c>
      <c r="J1815" s="8">
        <f>IF(G1815="","",G1815*0.20)</f>
        <v/>
      </c>
      <c r="K1815" s="8">
        <f>IF(G1815="","",G1815+J1815)</f>
        <v/>
      </c>
    </row>
    <row r="1816">
      <c r="F1816" s="8" t="n"/>
      <c r="G1816" s="8">
        <f>IF(E1816="","",E1816*F1816)</f>
        <v/>
      </c>
      <c r="H1816" s="8">
        <f>IF(G1816="","",G1816-I1816)</f>
        <v/>
      </c>
      <c r="I1816" s="8">
        <f>IF(D1816="","",VLOOKUP(D1816, RECETTES!B:G, 6, FALSE)*E1816)</f>
        <v/>
      </c>
      <c r="J1816" s="8">
        <f>IF(G1816="","",G1816*0.20)</f>
        <v/>
      </c>
      <c r="K1816" s="8">
        <f>IF(G1816="","",G1816+J1816)</f>
        <v/>
      </c>
    </row>
    <row r="1817">
      <c r="F1817" s="8" t="n"/>
      <c r="G1817" s="8">
        <f>IF(E1817="","",E1817*F1817)</f>
        <v/>
      </c>
      <c r="H1817" s="8">
        <f>IF(G1817="","",G1817-I1817)</f>
        <v/>
      </c>
      <c r="I1817" s="8">
        <f>IF(D1817="","",VLOOKUP(D1817, RECETTES!B:G, 6, FALSE)*E1817)</f>
        <v/>
      </c>
      <c r="J1817" s="8">
        <f>IF(G1817="","",G1817*0.20)</f>
        <v/>
      </c>
      <c r="K1817" s="8">
        <f>IF(G1817="","",G1817+J1817)</f>
        <v/>
      </c>
    </row>
    <row r="1818">
      <c r="F1818" s="8" t="n"/>
      <c r="G1818" s="8">
        <f>IF(E1818="","",E1818*F1818)</f>
        <v/>
      </c>
      <c r="H1818" s="8">
        <f>IF(G1818="","",G1818-I1818)</f>
        <v/>
      </c>
      <c r="I1818" s="8">
        <f>IF(D1818="","",VLOOKUP(D1818, RECETTES!B:G, 6, FALSE)*E1818)</f>
        <v/>
      </c>
      <c r="J1818" s="8">
        <f>IF(G1818="","",G1818*0.20)</f>
        <v/>
      </c>
      <c r="K1818" s="8">
        <f>IF(G1818="","",G1818+J1818)</f>
        <v/>
      </c>
    </row>
    <row r="1819">
      <c r="F1819" s="8" t="n"/>
      <c r="G1819" s="8">
        <f>IF(E1819="","",E1819*F1819)</f>
        <v/>
      </c>
      <c r="H1819" s="8">
        <f>IF(G1819="","",G1819-I1819)</f>
        <v/>
      </c>
      <c r="I1819" s="8">
        <f>IF(D1819="","",VLOOKUP(D1819, RECETTES!B:G, 6, FALSE)*E1819)</f>
        <v/>
      </c>
      <c r="J1819" s="8">
        <f>IF(G1819="","",G1819*0.20)</f>
        <v/>
      </c>
      <c r="K1819" s="8">
        <f>IF(G1819="","",G1819+J1819)</f>
        <v/>
      </c>
    </row>
    <row r="1820">
      <c r="F1820" s="8" t="n"/>
      <c r="G1820" s="8">
        <f>IF(E1820="","",E1820*F1820)</f>
        <v/>
      </c>
      <c r="H1820" s="8">
        <f>IF(G1820="","",G1820-I1820)</f>
        <v/>
      </c>
      <c r="I1820" s="8">
        <f>IF(D1820="","",VLOOKUP(D1820, RECETTES!B:G, 6, FALSE)*E1820)</f>
        <v/>
      </c>
      <c r="J1820" s="8">
        <f>IF(G1820="","",G1820*0.20)</f>
        <v/>
      </c>
      <c r="K1820" s="8">
        <f>IF(G1820="","",G1820+J1820)</f>
        <v/>
      </c>
    </row>
    <row r="1821">
      <c r="F1821" s="8" t="n"/>
      <c r="G1821" s="8">
        <f>IF(E1821="","",E1821*F1821)</f>
        <v/>
      </c>
      <c r="H1821" s="8">
        <f>IF(G1821="","",G1821-I1821)</f>
        <v/>
      </c>
      <c r="I1821" s="8">
        <f>IF(D1821="","",VLOOKUP(D1821, RECETTES!B:G, 6, FALSE)*E1821)</f>
        <v/>
      </c>
      <c r="J1821" s="8">
        <f>IF(G1821="","",G1821*0.20)</f>
        <v/>
      </c>
      <c r="K1821" s="8">
        <f>IF(G1821="","",G1821+J1821)</f>
        <v/>
      </c>
    </row>
    <row r="1822">
      <c r="F1822" s="8" t="n"/>
      <c r="G1822" s="8">
        <f>IF(E1822="","",E1822*F1822)</f>
        <v/>
      </c>
      <c r="H1822" s="8">
        <f>IF(G1822="","",G1822-I1822)</f>
        <v/>
      </c>
      <c r="I1822" s="8">
        <f>IF(D1822="","",VLOOKUP(D1822, RECETTES!B:G, 6, FALSE)*E1822)</f>
        <v/>
      </c>
      <c r="J1822" s="8">
        <f>IF(G1822="","",G1822*0.20)</f>
        <v/>
      </c>
      <c r="K1822" s="8">
        <f>IF(G1822="","",G1822+J1822)</f>
        <v/>
      </c>
    </row>
    <row r="1823">
      <c r="F1823" s="8" t="n"/>
      <c r="G1823" s="8">
        <f>IF(E1823="","",E1823*F1823)</f>
        <v/>
      </c>
      <c r="H1823" s="8">
        <f>IF(G1823="","",G1823-I1823)</f>
        <v/>
      </c>
      <c r="I1823" s="8">
        <f>IF(D1823="","",VLOOKUP(D1823, RECETTES!B:G, 6, FALSE)*E1823)</f>
        <v/>
      </c>
      <c r="J1823" s="8">
        <f>IF(G1823="","",G1823*0.20)</f>
        <v/>
      </c>
      <c r="K1823" s="8">
        <f>IF(G1823="","",G1823+J1823)</f>
        <v/>
      </c>
    </row>
    <row r="1824">
      <c r="F1824" s="8" t="n"/>
      <c r="G1824" s="8">
        <f>IF(E1824="","",E1824*F1824)</f>
        <v/>
      </c>
      <c r="H1824" s="8">
        <f>IF(G1824="","",G1824-I1824)</f>
        <v/>
      </c>
      <c r="I1824" s="8">
        <f>IF(D1824="","",VLOOKUP(D1824, RECETTES!B:G, 6, FALSE)*E1824)</f>
        <v/>
      </c>
      <c r="J1824" s="8">
        <f>IF(G1824="","",G1824*0.20)</f>
        <v/>
      </c>
      <c r="K1824" s="8">
        <f>IF(G1824="","",G1824+J1824)</f>
        <v/>
      </c>
    </row>
    <row r="1825">
      <c r="F1825" s="8" t="n"/>
      <c r="G1825" s="8">
        <f>IF(E1825="","",E1825*F1825)</f>
        <v/>
      </c>
      <c r="H1825" s="8">
        <f>IF(G1825="","",G1825-I1825)</f>
        <v/>
      </c>
      <c r="I1825" s="8">
        <f>IF(D1825="","",VLOOKUP(D1825, RECETTES!B:G, 6, FALSE)*E1825)</f>
        <v/>
      </c>
      <c r="J1825" s="8">
        <f>IF(G1825="","",G1825*0.20)</f>
        <v/>
      </c>
      <c r="K1825" s="8">
        <f>IF(G1825="","",G1825+J1825)</f>
        <v/>
      </c>
    </row>
    <row r="1826">
      <c r="F1826" s="8" t="n"/>
      <c r="G1826" s="8">
        <f>IF(E1826="","",E1826*F1826)</f>
        <v/>
      </c>
      <c r="H1826" s="8">
        <f>IF(G1826="","",G1826-I1826)</f>
        <v/>
      </c>
      <c r="I1826" s="8">
        <f>IF(D1826="","",VLOOKUP(D1826, RECETTES!B:G, 6, FALSE)*E1826)</f>
        <v/>
      </c>
      <c r="J1826" s="8">
        <f>IF(G1826="","",G1826*0.20)</f>
        <v/>
      </c>
      <c r="K1826" s="8">
        <f>IF(G1826="","",G1826+J1826)</f>
        <v/>
      </c>
    </row>
    <row r="1827">
      <c r="F1827" s="8" t="n"/>
      <c r="G1827" s="8">
        <f>IF(E1827="","",E1827*F1827)</f>
        <v/>
      </c>
      <c r="H1827" s="8">
        <f>IF(G1827="","",G1827-I1827)</f>
        <v/>
      </c>
      <c r="I1827" s="8">
        <f>IF(D1827="","",VLOOKUP(D1827, RECETTES!B:G, 6, FALSE)*E1827)</f>
        <v/>
      </c>
      <c r="J1827" s="8">
        <f>IF(G1827="","",G1827*0.20)</f>
        <v/>
      </c>
      <c r="K1827" s="8">
        <f>IF(G1827="","",G1827+J1827)</f>
        <v/>
      </c>
    </row>
    <row r="1828">
      <c r="F1828" s="8" t="n"/>
      <c r="G1828" s="8">
        <f>IF(E1828="","",E1828*F1828)</f>
        <v/>
      </c>
      <c r="H1828" s="8">
        <f>IF(G1828="","",G1828-I1828)</f>
        <v/>
      </c>
      <c r="I1828" s="8">
        <f>IF(D1828="","",VLOOKUP(D1828, RECETTES!B:G, 6, FALSE)*E1828)</f>
        <v/>
      </c>
      <c r="J1828" s="8">
        <f>IF(G1828="","",G1828*0.20)</f>
        <v/>
      </c>
      <c r="K1828" s="8">
        <f>IF(G1828="","",G1828+J1828)</f>
        <v/>
      </c>
    </row>
    <row r="1829">
      <c r="F1829" s="8" t="n"/>
      <c r="G1829" s="8">
        <f>IF(E1829="","",E1829*F1829)</f>
        <v/>
      </c>
      <c r="H1829" s="8">
        <f>IF(G1829="","",G1829-I1829)</f>
        <v/>
      </c>
      <c r="I1829" s="8">
        <f>IF(D1829="","",VLOOKUP(D1829, RECETTES!B:G, 6, FALSE)*E1829)</f>
        <v/>
      </c>
      <c r="J1829" s="8">
        <f>IF(G1829="","",G1829*0.20)</f>
        <v/>
      </c>
      <c r="K1829" s="8">
        <f>IF(G1829="","",G1829+J1829)</f>
        <v/>
      </c>
    </row>
    <row r="1830">
      <c r="F1830" s="8" t="n"/>
      <c r="G1830" s="8">
        <f>IF(E1830="","",E1830*F1830)</f>
        <v/>
      </c>
      <c r="H1830" s="8">
        <f>IF(G1830="","",G1830-I1830)</f>
        <v/>
      </c>
      <c r="I1830" s="8">
        <f>IF(D1830="","",VLOOKUP(D1830, RECETTES!B:G, 6, FALSE)*E1830)</f>
        <v/>
      </c>
      <c r="J1830" s="8">
        <f>IF(G1830="","",G1830*0.20)</f>
        <v/>
      </c>
      <c r="K1830" s="8">
        <f>IF(G1830="","",G1830+J1830)</f>
        <v/>
      </c>
    </row>
    <row r="1831">
      <c r="F1831" s="8" t="n"/>
      <c r="G1831" s="8">
        <f>IF(E1831="","",E1831*F1831)</f>
        <v/>
      </c>
      <c r="H1831" s="8">
        <f>IF(G1831="","",G1831-I1831)</f>
        <v/>
      </c>
      <c r="I1831" s="8">
        <f>IF(D1831="","",VLOOKUP(D1831, RECETTES!B:G, 6, FALSE)*E1831)</f>
        <v/>
      </c>
      <c r="J1831" s="8">
        <f>IF(G1831="","",G1831*0.20)</f>
        <v/>
      </c>
      <c r="K1831" s="8">
        <f>IF(G1831="","",G1831+J1831)</f>
        <v/>
      </c>
    </row>
    <row r="1832">
      <c r="F1832" s="8" t="n"/>
      <c r="G1832" s="8">
        <f>IF(E1832="","",E1832*F1832)</f>
        <v/>
      </c>
      <c r="H1832" s="8">
        <f>IF(G1832="","",G1832-I1832)</f>
        <v/>
      </c>
      <c r="I1832" s="8">
        <f>IF(D1832="","",VLOOKUP(D1832, RECETTES!B:G, 6, FALSE)*E1832)</f>
        <v/>
      </c>
      <c r="J1832" s="8">
        <f>IF(G1832="","",G1832*0.20)</f>
        <v/>
      </c>
      <c r="K1832" s="8">
        <f>IF(G1832="","",G1832+J1832)</f>
        <v/>
      </c>
    </row>
    <row r="1833">
      <c r="F1833" s="8" t="n"/>
      <c r="G1833" s="8">
        <f>IF(E1833="","",E1833*F1833)</f>
        <v/>
      </c>
      <c r="H1833" s="8">
        <f>IF(G1833="","",G1833-I1833)</f>
        <v/>
      </c>
      <c r="I1833" s="8">
        <f>IF(D1833="","",VLOOKUP(D1833, RECETTES!B:G, 6, FALSE)*E1833)</f>
        <v/>
      </c>
      <c r="J1833" s="8">
        <f>IF(G1833="","",G1833*0.20)</f>
        <v/>
      </c>
      <c r="K1833" s="8">
        <f>IF(G1833="","",G1833+J1833)</f>
        <v/>
      </c>
    </row>
    <row r="1834">
      <c r="F1834" s="8" t="n"/>
      <c r="G1834" s="8">
        <f>IF(E1834="","",E1834*F1834)</f>
        <v/>
      </c>
      <c r="H1834" s="8">
        <f>IF(G1834="","",G1834-I1834)</f>
        <v/>
      </c>
      <c r="I1834" s="8">
        <f>IF(D1834="","",VLOOKUP(D1834, RECETTES!B:G, 6, FALSE)*E1834)</f>
        <v/>
      </c>
      <c r="J1834" s="8">
        <f>IF(G1834="","",G1834*0.20)</f>
        <v/>
      </c>
      <c r="K1834" s="8">
        <f>IF(G1834="","",G1834+J1834)</f>
        <v/>
      </c>
    </row>
    <row r="1835">
      <c r="F1835" s="8" t="n"/>
      <c r="G1835" s="8">
        <f>IF(E1835="","",E1835*F1835)</f>
        <v/>
      </c>
      <c r="H1835" s="8">
        <f>IF(G1835="","",G1835-I1835)</f>
        <v/>
      </c>
      <c r="I1835" s="8">
        <f>IF(D1835="","",VLOOKUP(D1835, RECETTES!B:G, 6, FALSE)*E1835)</f>
        <v/>
      </c>
      <c r="J1835" s="8">
        <f>IF(G1835="","",G1835*0.20)</f>
        <v/>
      </c>
      <c r="K1835" s="8">
        <f>IF(G1835="","",G1835+J1835)</f>
        <v/>
      </c>
    </row>
    <row r="1836">
      <c r="F1836" s="8" t="n"/>
      <c r="G1836" s="8">
        <f>IF(E1836="","",E1836*F1836)</f>
        <v/>
      </c>
      <c r="H1836" s="8">
        <f>IF(G1836="","",G1836-I1836)</f>
        <v/>
      </c>
      <c r="I1836" s="8">
        <f>IF(D1836="","",VLOOKUP(D1836, RECETTES!B:G, 6, FALSE)*E1836)</f>
        <v/>
      </c>
      <c r="J1836" s="8">
        <f>IF(G1836="","",G1836*0.20)</f>
        <v/>
      </c>
      <c r="K1836" s="8">
        <f>IF(G1836="","",G1836+J1836)</f>
        <v/>
      </c>
    </row>
    <row r="1837">
      <c r="F1837" s="8" t="n"/>
      <c r="G1837" s="8">
        <f>IF(E1837="","",E1837*F1837)</f>
        <v/>
      </c>
      <c r="H1837" s="8">
        <f>IF(G1837="","",G1837-I1837)</f>
        <v/>
      </c>
      <c r="I1837" s="8">
        <f>IF(D1837="","",VLOOKUP(D1837, RECETTES!B:G, 6, FALSE)*E1837)</f>
        <v/>
      </c>
      <c r="J1837" s="8">
        <f>IF(G1837="","",G1837*0.20)</f>
        <v/>
      </c>
      <c r="K1837" s="8">
        <f>IF(G1837="","",G1837+J1837)</f>
        <v/>
      </c>
    </row>
    <row r="1838">
      <c r="F1838" s="8" t="n"/>
      <c r="G1838" s="8">
        <f>IF(E1838="","",E1838*F1838)</f>
        <v/>
      </c>
      <c r="H1838" s="8">
        <f>IF(G1838="","",G1838-I1838)</f>
        <v/>
      </c>
      <c r="I1838" s="8">
        <f>IF(D1838="","",VLOOKUP(D1838, RECETTES!B:G, 6, FALSE)*E1838)</f>
        <v/>
      </c>
      <c r="J1838" s="8">
        <f>IF(G1838="","",G1838*0.20)</f>
        <v/>
      </c>
      <c r="K1838" s="8">
        <f>IF(G1838="","",G1838+J1838)</f>
        <v/>
      </c>
    </row>
    <row r="1839">
      <c r="F1839" s="8" t="n"/>
      <c r="G1839" s="8">
        <f>IF(E1839="","",E1839*F1839)</f>
        <v/>
      </c>
      <c r="H1839" s="8">
        <f>IF(G1839="","",G1839-I1839)</f>
        <v/>
      </c>
      <c r="I1839" s="8">
        <f>IF(D1839="","",VLOOKUP(D1839, RECETTES!B:G, 6, FALSE)*E1839)</f>
        <v/>
      </c>
      <c r="J1839" s="8">
        <f>IF(G1839="","",G1839*0.20)</f>
        <v/>
      </c>
      <c r="K1839" s="8">
        <f>IF(G1839="","",G1839+J1839)</f>
        <v/>
      </c>
    </row>
    <row r="1840">
      <c r="F1840" s="8" t="n"/>
      <c r="G1840" s="8">
        <f>IF(E1840="","",E1840*F1840)</f>
        <v/>
      </c>
      <c r="H1840" s="8">
        <f>IF(G1840="","",G1840-I1840)</f>
        <v/>
      </c>
      <c r="I1840" s="8">
        <f>IF(D1840="","",VLOOKUP(D1840, RECETTES!B:G, 6, FALSE)*E1840)</f>
        <v/>
      </c>
      <c r="J1840" s="8">
        <f>IF(G1840="","",G1840*0.20)</f>
        <v/>
      </c>
      <c r="K1840" s="8">
        <f>IF(G1840="","",G1840+J1840)</f>
        <v/>
      </c>
    </row>
    <row r="1841">
      <c r="F1841" s="8" t="n"/>
      <c r="G1841" s="8">
        <f>IF(E1841="","",E1841*F1841)</f>
        <v/>
      </c>
      <c r="H1841" s="8">
        <f>IF(G1841="","",G1841-I1841)</f>
        <v/>
      </c>
      <c r="I1841" s="8">
        <f>IF(D1841="","",VLOOKUP(D1841, RECETTES!B:G, 6, FALSE)*E1841)</f>
        <v/>
      </c>
      <c r="J1841" s="8">
        <f>IF(G1841="","",G1841*0.20)</f>
        <v/>
      </c>
      <c r="K1841" s="8">
        <f>IF(G1841="","",G1841+J1841)</f>
        <v/>
      </c>
    </row>
    <row r="1842">
      <c r="F1842" s="8" t="n"/>
      <c r="G1842" s="8">
        <f>IF(E1842="","",E1842*F1842)</f>
        <v/>
      </c>
      <c r="H1842" s="8">
        <f>IF(G1842="","",G1842-I1842)</f>
        <v/>
      </c>
      <c r="I1842" s="8">
        <f>IF(D1842="","",VLOOKUP(D1842, RECETTES!B:G, 6, FALSE)*E1842)</f>
        <v/>
      </c>
      <c r="J1842" s="8">
        <f>IF(G1842="","",G1842*0.20)</f>
        <v/>
      </c>
      <c r="K1842" s="8">
        <f>IF(G1842="","",G1842+J1842)</f>
        <v/>
      </c>
    </row>
    <row r="1843">
      <c r="F1843" s="8" t="n"/>
      <c r="G1843" s="8">
        <f>IF(E1843="","",E1843*F1843)</f>
        <v/>
      </c>
      <c r="H1843" s="8">
        <f>IF(G1843="","",G1843-I1843)</f>
        <v/>
      </c>
      <c r="I1843" s="8">
        <f>IF(D1843="","",VLOOKUP(D1843, RECETTES!B:G, 6, FALSE)*E1843)</f>
        <v/>
      </c>
      <c r="J1843" s="8">
        <f>IF(G1843="","",G1843*0.20)</f>
        <v/>
      </c>
      <c r="K1843" s="8">
        <f>IF(G1843="","",G1843+J1843)</f>
        <v/>
      </c>
    </row>
    <row r="1844">
      <c r="F1844" s="8" t="n"/>
      <c r="G1844" s="8">
        <f>IF(E1844="","",E1844*F1844)</f>
        <v/>
      </c>
      <c r="H1844" s="8">
        <f>IF(G1844="","",G1844-I1844)</f>
        <v/>
      </c>
      <c r="I1844" s="8">
        <f>IF(D1844="","",VLOOKUP(D1844, RECETTES!B:G, 6, FALSE)*E1844)</f>
        <v/>
      </c>
      <c r="J1844" s="8">
        <f>IF(G1844="","",G1844*0.20)</f>
        <v/>
      </c>
      <c r="K1844" s="8">
        <f>IF(G1844="","",G1844+J1844)</f>
        <v/>
      </c>
    </row>
    <row r="1845">
      <c r="F1845" s="8" t="n"/>
      <c r="G1845" s="8">
        <f>IF(E1845="","",E1845*F1845)</f>
        <v/>
      </c>
      <c r="H1845" s="8">
        <f>IF(G1845="","",G1845-I1845)</f>
        <v/>
      </c>
      <c r="I1845" s="8">
        <f>IF(D1845="","",VLOOKUP(D1845, RECETTES!B:G, 6, FALSE)*E1845)</f>
        <v/>
      </c>
      <c r="J1845" s="8">
        <f>IF(G1845="","",G1845*0.20)</f>
        <v/>
      </c>
      <c r="K1845" s="8">
        <f>IF(G1845="","",G1845+J1845)</f>
        <v/>
      </c>
    </row>
    <row r="1846">
      <c r="F1846" s="8" t="n"/>
      <c r="G1846" s="8">
        <f>IF(E1846="","",E1846*F1846)</f>
        <v/>
      </c>
      <c r="H1846" s="8">
        <f>IF(G1846="","",G1846-I1846)</f>
        <v/>
      </c>
      <c r="I1846" s="8">
        <f>IF(D1846="","",VLOOKUP(D1846, RECETTES!B:G, 6, FALSE)*E1846)</f>
        <v/>
      </c>
      <c r="J1846" s="8">
        <f>IF(G1846="","",G1846*0.20)</f>
        <v/>
      </c>
      <c r="K1846" s="8">
        <f>IF(G1846="","",G1846+J1846)</f>
        <v/>
      </c>
    </row>
    <row r="1847">
      <c r="F1847" s="8" t="n"/>
      <c r="G1847" s="8">
        <f>IF(E1847="","",E1847*F1847)</f>
        <v/>
      </c>
      <c r="H1847" s="8">
        <f>IF(G1847="","",G1847-I1847)</f>
        <v/>
      </c>
      <c r="I1847" s="8">
        <f>IF(D1847="","",VLOOKUP(D1847, RECETTES!B:G, 6, FALSE)*E1847)</f>
        <v/>
      </c>
      <c r="J1847" s="8">
        <f>IF(G1847="","",G1847*0.20)</f>
        <v/>
      </c>
      <c r="K1847" s="8">
        <f>IF(G1847="","",G1847+J1847)</f>
        <v/>
      </c>
    </row>
    <row r="1848">
      <c r="F1848" s="8" t="n"/>
      <c r="G1848" s="8">
        <f>IF(E1848="","",E1848*F1848)</f>
        <v/>
      </c>
      <c r="H1848" s="8">
        <f>IF(G1848="","",G1848-I1848)</f>
        <v/>
      </c>
      <c r="I1848" s="8">
        <f>IF(D1848="","",VLOOKUP(D1848, RECETTES!B:G, 6, FALSE)*E1848)</f>
        <v/>
      </c>
      <c r="J1848" s="8">
        <f>IF(G1848="","",G1848*0.20)</f>
        <v/>
      </c>
      <c r="K1848" s="8">
        <f>IF(G1848="","",G1848+J1848)</f>
        <v/>
      </c>
    </row>
    <row r="1849">
      <c r="F1849" s="8" t="n"/>
      <c r="G1849" s="8">
        <f>IF(E1849="","",E1849*F1849)</f>
        <v/>
      </c>
      <c r="H1849" s="8">
        <f>IF(G1849="","",G1849-I1849)</f>
        <v/>
      </c>
      <c r="I1849" s="8">
        <f>IF(D1849="","",VLOOKUP(D1849, RECETTES!B:G, 6, FALSE)*E1849)</f>
        <v/>
      </c>
      <c r="J1849" s="8">
        <f>IF(G1849="","",G1849*0.20)</f>
        <v/>
      </c>
      <c r="K1849" s="8">
        <f>IF(G1849="","",G1849+J1849)</f>
        <v/>
      </c>
    </row>
    <row r="1850">
      <c r="F1850" s="8" t="n"/>
      <c r="G1850" s="8">
        <f>IF(E1850="","",E1850*F1850)</f>
        <v/>
      </c>
      <c r="H1850" s="8">
        <f>IF(G1850="","",G1850-I1850)</f>
        <v/>
      </c>
      <c r="I1850" s="8">
        <f>IF(D1850="","",VLOOKUP(D1850, RECETTES!B:G, 6, FALSE)*E1850)</f>
        <v/>
      </c>
      <c r="J1850" s="8">
        <f>IF(G1850="","",G1850*0.20)</f>
        <v/>
      </c>
      <c r="K1850" s="8">
        <f>IF(G1850="","",G1850+J1850)</f>
        <v/>
      </c>
    </row>
    <row r="1851">
      <c r="F1851" s="8" t="n"/>
      <c r="G1851" s="8">
        <f>IF(E1851="","",E1851*F1851)</f>
        <v/>
      </c>
      <c r="H1851" s="8">
        <f>IF(G1851="","",G1851-I1851)</f>
        <v/>
      </c>
      <c r="I1851" s="8">
        <f>IF(D1851="","",VLOOKUP(D1851, RECETTES!B:G, 6, FALSE)*E1851)</f>
        <v/>
      </c>
      <c r="J1851" s="8">
        <f>IF(G1851="","",G1851*0.20)</f>
        <v/>
      </c>
      <c r="K1851" s="8">
        <f>IF(G1851="","",G1851+J1851)</f>
        <v/>
      </c>
    </row>
    <row r="1852">
      <c r="F1852" s="8" t="n"/>
      <c r="G1852" s="8">
        <f>IF(E1852="","",E1852*F1852)</f>
        <v/>
      </c>
      <c r="H1852" s="8">
        <f>IF(G1852="","",G1852-I1852)</f>
        <v/>
      </c>
      <c r="I1852" s="8">
        <f>IF(D1852="","",VLOOKUP(D1852, RECETTES!B:G, 6, FALSE)*E1852)</f>
        <v/>
      </c>
      <c r="J1852" s="8">
        <f>IF(G1852="","",G1852*0.20)</f>
        <v/>
      </c>
      <c r="K1852" s="8">
        <f>IF(G1852="","",G1852+J1852)</f>
        <v/>
      </c>
    </row>
    <row r="1853">
      <c r="F1853" s="8" t="n"/>
      <c r="G1853" s="8">
        <f>IF(E1853="","",E1853*F1853)</f>
        <v/>
      </c>
      <c r="H1853" s="8">
        <f>IF(G1853="","",G1853-I1853)</f>
        <v/>
      </c>
      <c r="I1853" s="8">
        <f>IF(D1853="","",VLOOKUP(D1853, RECETTES!B:G, 6, FALSE)*E1853)</f>
        <v/>
      </c>
      <c r="J1853" s="8">
        <f>IF(G1853="","",G1853*0.20)</f>
        <v/>
      </c>
      <c r="K1853" s="8">
        <f>IF(G1853="","",G1853+J1853)</f>
        <v/>
      </c>
    </row>
    <row r="1854">
      <c r="F1854" s="8" t="n"/>
      <c r="G1854" s="8">
        <f>IF(E1854="","",E1854*F1854)</f>
        <v/>
      </c>
      <c r="H1854" s="8">
        <f>IF(G1854="","",G1854-I1854)</f>
        <v/>
      </c>
      <c r="I1854" s="8">
        <f>IF(D1854="","",VLOOKUP(D1854, RECETTES!B:G, 6, FALSE)*E1854)</f>
        <v/>
      </c>
      <c r="J1854" s="8">
        <f>IF(G1854="","",G1854*0.20)</f>
        <v/>
      </c>
      <c r="K1854" s="8">
        <f>IF(G1854="","",G1854+J1854)</f>
        <v/>
      </c>
    </row>
    <row r="1855">
      <c r="F1855" s="8" t="n"/>
      <c r="G1855" s="8">
        <f>IF(E1855="","",E1855*F1855)</f>
        <v/>
      </c>
      <c r="H1855" s="8">
        <f>IF(G1855="","",G1855-I1855)</f>
        <v/>
      </c>
      <c r="I1855" s="8">
        <f>IF(D1855="","",VLOOKUP(D1855, RECETTES!B:G, 6, FALSE)*E1855)</f>
        <v/>
      </c>
      <c r="J1855" s="8">
        <f>IF(G1855="","",G1855*0.20)</f>
        <v/>
      </c>
      <c r="K1855" s="8">
        <f>IF(G1855="","",G1855+J1855)</f>
        <v/>
      </c>
    </row>
    <row r="1856">
      <c r="F1856" s="8" t="n"/>
      <c r="G1856" s="8">
        <f>IF(E1856="","",E1856*F1856)</f>
        <v/>
      </c>
      <c r="H1856" s="8">
        <f>IF(G1856="","",G1856-I1856)</f>
        <v/>
      </c>
      <c r="I1856" s="8">
        <f>IF(D1856="","",VLOOKUP(D1856, RECETTES!B:G, 6, FALSE)*E1856)</f>
        <v/>
      </c>
      <c r="J1856" s="8">
        <f>IF(G1856="","",G1856*0.20)</f>
        <v/>
      </c>
      <c r="K1856" s="8">
        <f>IF(G1856="","",G1856+J1856)</f>
        <v/>
      </c>
    </row>
    <row r="1857">
      <c r="F1857" s="8" t="n"/>
      <c r="G1857" s="8">
        <f>IF(E1857="","",E1857*F1857)</f>
        <v/>
      </c>
      <c r="H1857" s="8">
        <f>IF(G1857="","",G1857-I1857)</f>
        <v/>
      </c>
      <c r="I1857" s="8">
        <f>IF(D1857="","",VLOOKUP(D1857, RECETTES!B:G, 6, FALSE)*E1857)</f>
        <v/>
      </c>
      <c r="J1857" s="8">
        <f>IF(G1857="","",G1857*0.20)</f>
        <v/>
      </c>
      <c r="K1857" s="8">
        <f>IF(G1857="","",G1857+J1857)</f>
        <v/>
      </c>
    </row>
    <row r="1858">
      <c r="F1858" s="8" t="n"/>
      <c r="G1858" s="8">
        <f>IF(E1858="","",E1858*F1858)</f>
        <v/>
      </c>
      <c r="H1858" s="8">
        <f>IF(G1858="","",G1858-I1858)</f>
        <v/>
      </c>
      <c r="I1858" s="8">
        <f>IF(D1858="","",VLOOKUP(D1858, RECETTES!B:G, 6, FALSE)*E1858)</f>
        <v/>
      </c>
      <c r="J1858" s="8">
        <f>IF(G1858="","",G1858*0.20)</f>
        <v/>
      </c>
      <c r="K1858" s="8">
        <f>IF(G1858="","",G1858+J1858)</f>
        <v/>
      </c>
    </row>
    <row r="1859">
      <c r="F1859" s="8" t="n"/>
      <c r="G1859" s="8">
        <f>IF(E1859="","",E1859*F1859)</f>
        <v/>
      </c>
      <c r="H1859" s="8">
        <f>IF(G1859="","",G1859-I1859)</f>
        <v/>
      </c>
      <c r="I1859" s="8">
        <f>IF(D1859="","",VLOOKUP(D1859, RECETTES!B:G, 6, FALSE)*E1859)</f>
        <v/>
      </c>
      <c r="J1859" s="8">
        <f>IF(G1859="","",G1859*0.20)</f>
        <v/>
      </c>
      <c r="K1859" s="8">
        <f>IF(G1859="","",G1859+J1859)</f>
        <v/>
      </c>
    </row>
    <row r="1860">
      <c r="F1860" s="8" t="n"/>
      <c r="G1860" s="8">
        <f>IF(E1860="","",E1860*F1860)</f>
        <v/>
      </c>
      <c r="H1860" s="8">
        <f>IF(G1860="","",G1860-I1860)</f>
        <v/>
      </c>
      <c r="I1860" s="8">
        <f>IF(D1860="","",VLOOKUP(D1860, RECETTES!B:G, 6, FALSE)*E1860)</f>
        <v/>
      </c>
      <c r="J1860" s="8">
        <f>IF(G1860="","",G1860*0.20)</f>
        <v/>
      </c>
      <c r="K1860" s="8">
        <f>IF(G1860="","",G1860+J1860)</f>
        <v/>
      </c>
    </row>
    <row r="1861">
      <c r="F1861" s="8" t="n"/>
      <c r="G1861" s="8">
        <f>IF(E1861="","",E1861*F1861)</f>
        <v/>
      </c>
      <c r="H1861" s="8">
        <f>IF(G1861="","",G1861-I1861)</f>
        <v/>
      </c>
      <c r="I1861" s="8">
        <f>IF(D1861="","",VLOOKUP(D1861, RECETTES!B:G, 6, FALSE)*E1861)</f>
        <v/>
      </c>
      <c r="J1861" s="8">
        <f>IF(G1861="","",G1861*0.20)</f>
        <v/>
      </c>
      <c r="K1861" s="8">
        <f>IF(G1861="","",G1861+J1861)</f>
        <v/>
      </c>
    </row>
    <row r="1862">
      <c r="F1862" s="8" t="n"/>
      <c r="G1862" s="8">
        <f>IF(E1862="","",E1862*F1862)</f>
        <v/>
      </c>
      <c r="H1862" s="8">
        <f>IF(G1862="","",G1862-I1862)</f>
        <v/>
      </c>
      <c r="I1862" s="8">
        <f>IF(D1862="","",VLOOKUP(D1862, RECETTES!B:G, 6, FALSE)*E1862)</f>
        <v/>
      </c>
      <c r="J1862" s="8">
        <f>IF(G1862="","",G1862*0.20)</f>
        <v/>
      </c>
      <c r="K1862" s="8">
        <f>IF(G1862="","",G1862+J1862)</f>
        <v/>
      </c>
    </row>
    <row r="1863">
      <c r="F1863" s="8" t="n"/>
      <c r="G1863" s="8">
        <f>IF(E1863="","",E1863*F1863)</f>
        <v/>
      </c>
      <c r="H1863" s="8">
        <f>IF(G1863="","",G1863-I1863)</f>
        <v/>
      </c>
      <c r="I1863" s="8">
        <f>IF(D1863="","",VLOOKUP(D1863, RECETTES!B:G, 6, FALSE)*E1863)</f>
        <v/>
      </c>
      <c r="J1863" s="8">
        <f>IF(G1863="","",G1863*0.20)</f>
        <v/>
      </c>
      <c r="K1863" s="8">
        <f>IF(G1863="","",G1863+J1863)</f>
        <v/>
      </c>
    </row>
    <row r="1864">
      <c r="F1864" s="8" t="n"/>
      <c r="G1864" s="8">
        <f>IF(E1864="","",E1864*F1864)</f>
        <v/>
      </c>
      <c r="H1864" s="8">
        <f>IF(G1864="","",G1864-I1864)</f>
        <v/>
      </c>
      <c r="I1864" s="8">
        <f>IF(D1864="","",VLOOKUP(D1864, RECETTES!B:G, 6, FALSE)*E1864)</f>
        <v/>
      </c>
      <c r="J1864" s="8">
        <f>IF(G1864="","",G1864*0.20)</f>
        <v/>
      </c>
      <c r="K1864" s="8">
        <f>IF(G1864="","",G1864+J1864)</f>
        <v/>
      </c>
    </row>
    <row r="1865">
      <c r="F1865" s="8" t="n"/>
      <c r="G1865" s="8">
        <f>IF(E1865="","",E1865*F1865)</f>
        <v/>
      </c>
      <c r="H1865" s="8">
        <f>IF(G1865="","",G1865-I1865)</f>
        <v/>
      </c>
      <c r="I1865" s="8">
        <f>IF(D1865="","",VLOOKUP(D1865, RECETTES!B:G, 6, FALSE)*E1865)</f>
        <v/>
      </c>
      <c r="J1865" s="8">
        <f>IF(G1865="","",G1865*0.20)</f>
        <v/>
      </c>
      <c r="K1865" s="8">
        <f>IF(G1865="","",G1865+J1865)</f>
        <v/>
      </c>
    </row>
    <row r="1866">
      <c r="F1866" s="8" t="n"/>
      <c r="G1866" s="8">
        <f>IF(E1866="","",E1866*F1866)</f>
        <v/>
      </c>
      <c r="H1866" s="8">
        <f>IF(G1866="","",G1866-I1866)</f>
        <v/>
      </c>
      <c r="I1866" s="8">
        <f>IF(D1866="","",VLOOKUP(D1866, RECETTES!B:G, 6, FALSE)*E1866)</f>
        <v/>
      </c>
      <c r="J1866" s="8">
        <f>IF(G1866="","",G1866*0.20)</f>
        <v/>
      </c>
      <c r="K1866" s="8">
        <f>IF(G1866="","",G1866+J1866)</f>
        <v/>
      </c>
    </row>
    <row r="1867">
      <c r="F1867" s="8" t="n"/>
      <c r="G1867" s="8">
        <f>IF(E1867="","",E1867*F1867)</f>
        <v/>
      </c>
      <c r="H1867" s="8">
        <f>IF(G1867="","",G1867-I1867)</f>
        <v/>
      </c>
      <c r="I1867" s="8">
        <f>IF(D1867="","",VLOOKUP(D1867, RECETTES!B:G, 6, FALSE)*E1867)</f>
        <v/>
      </c>
      <c r="J1867" s="8">
        <f>IF(G1867="","",G1867*0.20)</f>
        <v/>
      </c>
      <c r="K1867" s="8">
        <f>IF(G1867="","",G1867+J1867)</f>
        <v/>
      </c>
    </row>
    <row r="1868">
      <c r="F1868" s="8" t="n"/>
      <c r="G1868" s="8">
        <f>IF(E1868="","",E1868*F1868)</f>
        <v/>
      </c>
      <c r="H1868" s="8">
        <f>IF(G1868="","",G1868-I1868)</f>
        <v/>
      </c>
      <c r="I1868" s="8">
        <f>IF(D1868="","",VLOOKUP(D1868, RECETTES!B:G, 6, FALSE)*E1868)</f>
        <v/>
      </c>
      <c r="J1868" s="8">
        <f>IF(G1868="","",G1868*0.20)</f>
        <v/>
      </c>
      <c r="K1868" s="8">
        <f>IF(G1868="","",G1868+J1868)</f>
        <v/>
      </c>
    </row>
    <row r="1869">
      <c r="F1869" s="8" t="n"/>
      <c r="G1869" s="8">
        <f>IF(E1869="","",E1869*F1869)</f>
        <v/>
      </c>
      <c r="H1869" s="8">
        <f>IF(G1869="","",G1869-I1869)</f>
        <v/>
      </c>
      <c r="I1869" s="8">
        <f>IF(D1869="","",VLOOKUP(D1869, RECETTES!B:G, 6, FALSE)*E1869)</f>
        <v/>
      </c>
      <c r="J1869" s="8">
        <f>IF(G1869="","",G1869*0.20)</f>
        <v/>
      </c>
      <c r="K1869" s="8">
        <f>IF(G1869="","",G1869+J1869)</f>
        <v/>
      </c>
    </row>
    <row r="1870">
      <c r="F1870" s="8" t="n"/>
      <c r="G1870" s="8">
        <f>IF(E1870="","",E1870*F1870)</f>
        <v/>
      </c>
      <c r="H1870" s="8">
        <f>IF(G1870="","",G1870-I1870)</f>
        <v/>
      </c>
      <c r="I1870" s="8">
        <f>IF(D1870="","",VLOOKUP(D1870, RECETTES!B:G, 6, FALSE)*E1870)</f>
        <v/>
      </c>
      <c r="J1870" s="8">
        <f>IF(G1870="","",G1870*0.20)</f>
        <v/>
      </c>
      <c r="K1870" s="8">
        <f>IF(G1870="","",G1870+J1870)</f>
        <v/>
      </c>
    </row>
    <row r="1871">
      <c r="F1871" s="8" t="n"/>
      <c r="G1871" s="8">
        <f>IF(E1871="","",E1871*F1871)</f>
        <v/>
      </c>
      <c r="H1871" s="8">
        <f>IF(G1871="","",G1871-I1871)</f>
        <v/>
      </c>
      <c r="I1871" s="8">
        <f>IF(D1871="","",VLOOKUP(D1871, RECETTES!B:G, 6, FALSE)*E1871)</f>
        <v/>
      </c>
      <c r="J1871" s="8">
        <f>IF(G1871="","",G1871*0.20)</f>
        <v/>
      </c>
      <c r="K1871" s="8">
        <f>IF(G1871="","",G1871+J1871)</f>
        <v/>
      </c>
    </row>
    <row r="1872">
      <c r="F1872" s="8" t="n"/>
      <c r="G1872" s="8">
        <f>IF(E1872="","",E1872*F1872)</f>
        <v/>
      </c>
      <c r="H1872" s="8">
        <f>IF(G1872="","",G1872-I1872)</f>
        <v/>
      </c>
      <c r="I1872" s="8">
        <f>IF(D1872="","",VLOOKUP(D1872, RECETTES!B:G, 6, FALSE)*E1872)</f>
        <v/>
      </c>
      <c r="J1872" s="8">
        <f>IF(G1872="","",G1872*0.20)</f>
        <v/>
      </c>
      <c r="K1872" s="8">
        <f>IF(G1872="","",G1872+J1872)</f>
        <v/>
      </c>
    </row>
    <row r="1873">
      <c r="F1873" s="8" t="n"/>
      <c r="G1873" s="8">
        <f>IF(E1873="","",E1873*F1873)</f>
        <v/>
      </c>
      <c r="H1873" s="8">
        <f>IF(G1873="","",G1873-I1873)</f>
        <v/>
      </c>
      <c r="I1873" s="8">
        <f>IF(D1873="","",VLOOKUP(D1873, RECETTES!B:G, 6, FALSE)*E1873)</f>
        <v/>
      </c>
      <c r="J1873" s="8">
        <f>IF(G1873="","",G1873*0.20)</f>
        <v/>
      </c>
      <c r="K1873" s="8">
        <f>IF(G1873="","",G1873+J1873)</f>
        <v/>
      </c>
    </row>
    <row r="1874">
      <c r="F1874" s="8" t="n"/>
      <c r="G1874" s="8">
        <f>IF(E1874="","",E1874*F1874)</f>
        <v/>
      </c>
      <c r="H1874" s="8">
        <f>IF(G1874="","",G1874-I1874)</f>
        <v/>
      </c>
      <c r="I1874" s="8">
        <f>IF(D1874="","",VLOOKUP(D1874, RECETTES!B:G, 6, FALSE)*E1874)</f>
        <v/>
      </c>
      <c r="J1874" s="8">
        <f>IF(G1874="","",G1874*0.20)</f>
        <v/>
      </c>
      <c r="K1874" s="8">
        <f>IF(G1874="","",G1874+J1874)</f>
        <v/>
      </c>
    </row>
    <row r="1875">
      <c r="F1875" s="8" t="n"/>
      <c r="G1875" s="8">
        <f>IF(E1875="","",E1875*F1875)</f>
        <v/>
      </c>
      <c r="H1875" s="8">
        <f>IF(G1875="","",G1875-I1875)</f>
        <v/>
      </c>
      <c r="I1875" s="8">
        <f>IF(D1875="","",VLOOKUP(D1875, RECETTES!B:G, 6, FALSE)*E1875)</f>
        <v/>
      </c>
      <c r="J1875" s="8">
        <f>IF(G1875="","",G1875*0.20)</f>
        <v/>
      </c>
      <c r="K1875" s="8">
        <f>IF(G1875="","",G1875+J1875)</f>
        <v/>
      </c>
    </row>
    <row r="1876">
      <c r="F1876" s="8" t="n"/>
      <c r="G1876" s="8">
        <f>IF(E1876="","",E1876*F1876)</f>
        <v/>
      </c>
      <c r="H1876" s="8">
        <f>IF(G1876="","",G1876-I1876)</f>
        <v/>
      </c>
      <c r="I1876" s="8">
        <f>IF(D1876="","",VLOOKUP(D1876, RECETTES!B:G, 6, FALSE)*E1876)</f>
        <v/>
      </c>
      <c r="J1876" s="8">
        <f>IF(G1876="","",G1876*0.20)</f>
        <v/>
      </c>
      <c r="K1876" s="8">
        <f>IF(G1876="","",G1876+J1876)</f>
        <v/>
      </c>
    </row>
    <row r="1877">
      <c r="F1877" s="8" t="n"/>
      <c r="G1877" s="8">
        <f>IF(E1877="","",E1877*F1877)</f>
        <v/>
      </c>
      <c r="H1877" s="8">
        <f>IF(G1877="","",G1877-I1877)</f>
        <v/>
      </c>
      <c r="I1877" s="8">
        <f>IF(D1877="","",VLOOKUP(D1877, RECETTES!B:G, 6, FALSE)*E1877)</f>
        <v/>
      </c>
      <c r="J1877" s="8">
        <f>IF(G1877="","",G1877*0.20)</f>
        <v/>
      </c>
      <c r="K1877" s="8">
        <f>IF(G1877="","",G1877+J1877)</f>
        <v/>
      </c>
    </row>
    <row r="1878">
      <c r="F1878" s="8" t="n"/>
      <c r="G1878" s="8">
        <f>IF(E1878="","",E1878*F1878)</f>
        <v/>
      </c>
      <c r="H1878" s="8">
        <f>IF(G1878="","",G1878-I1878)</f>
        <v/>
      </c>
      <c r="I1878" s="8">
        <f>IF(D1878="","",VLOOKUP(D1878, RECETTES!B:G, 6, FALSE)*E1878)</f>
        <v/>
      </c>
      <c r="J1878" s="8">
        <f>IF(G1878="","",G1878*0.20)</f>
        <v/>
      </c>
      <c r="K1878" s="8">
        <f>IF(G1878="","",G1878+J1878)</f>
        <v/>
      </c>
    </row>
    <row r="1879">
      <c r="F1879" s="8" t="n"/>
      <c r="G1879" s="8">
        <f>IF(E1879="","",E1879*F1879)</f>
        <v/>
      </c>
      <c r="H1879" s="8">
        <f>IF(G1879="","",G1879-I1879)</f>
        <v/>
      </c>
      <c r="I1879" s="8">
        <f>IF(D1879="","",VLOOKUP(D1879, RECETTES!B:G, 6, FALSE)*E1879)</f>
        <v/>
      </c>
      <c r="J1879" s="8">
        <f>IF(G1879="","",G1879*0.20)</f>
        <v/>
      </c>
      <c r="K1879" s="8">
        <f>IF(G1879="","",G1879+J1879)</f>
        <v/>
      </c>
    </row>
    <row r="1880">
      <c r="F1880" s="8" t="n"/>
      <c r="G1880" s="8">
        <f>IF(E1880="","",E1880*F1880)</f>
        <v/>
      </c>
      <c r="H1880" s="8">
        <f>IF(G1880="","",G1880-I1880)</f>
        <v/>
      </c>
      <c r="I1880" s="8">
        <f>IF(D1880="","",VLOOKUP(D1880, RECETTES!B:G, 6, FALSE)*E1880)</f>
        <v/>
      </c>
      <c r="J1880" s="8">
        <f>IF(G1880="","",G1880*0.20)</f>
        <v/>
      </c>
      <c r="K1880" s="8">
        <f>IF(G1880="","",G1880+J1880)</f>
        <v/>
      </c>
    </row>
    <row r="1881">
      <c r="F1881" s="8" t="n"/>
      <c r="G1881" s="8">
        <f>IF(E1881="","",E1881*F1881)</f>
        <v/>
      </c>
      <c r="H1881" s="8">
        <f>IF(G1881="","",G1881-I1881)</f>
        <v/>
      </c>
      <c r="I1881" s="8">
        <f>IF(D1881="","",VLOOKUP(D1881, RECETTES!B:G, 6, FALSE)*E1881)</f>
        <v/>
      </c>
      <c r="J1881" s="8">
        <f>IF(G1881="","",G1881*0.20)</f>
        <v/>
      </c>
      <c r="K1881" s="8">
        <f>IF(G1881="","",G1881+J1881)</f>
        <v/>
      </c>
    </row>
    <row r="1882">
      <c r="F1882" s="8" t="n"/>
      <c r="G1882" s="8">
        <f>IF(E1882="","",E1882*F1882)</f>
        <v/>
      </c>
      <c r="H1882" s="8">
        <f>IF(G1882="","",G1882-I1882)</f>
        <v/>
      </c>
      <c r="I1882" s="8">
        <f>IF(D1882="","",VLOOKUP(D1882, RECETTES!B:G, 6, FALSE)*E1882)</f>
        <v/>
      </c>
      <c r="J1882" s="8">
        <f>IF(G1882="","",G1882*0.20)</f>
        <v/>
      </c>
      <c r="K1882" s="8">
        <f>IF(G1882="","",G1882+J1882)</f>
        <v/>
      </c>
    </row>
    <row r="1883">
      <c r="F1883" s="8" t="n"/>
      <c r="G1883" s="8">
        <f>IF(E1883="","",E1883*F1883)</f>
        <v/>
      </c>
      <c r="H1883" s="8">
        <f>IF(G1883="","",G1883-I1883)</f>
        <v/>
      </c>
      <c r="I1883" s="8">
        <f>IF(D1883="","",VLOOKUP(D1883, RECETTES!B:G, 6, FALSE)*E1883)</f>
        <v/>
      </c>
      <c r="J1883" s="8">
        <f>IF(G1883="","",G1883*0.20)</f>
        <v/>
      </c>
      <c r="K1883" s="8">
        <f>IF(G1883="","",G1883+J1883)</f>
        <v/>
      </c>
    </row>
    <row r="1884">
      <c r="F1884" s="8" t="n"/>
      <c r="G1884" s="8">
        <f>IF(E1884="","",E1884*F1884)</f>
        <v/>
      </c>
      <c r="H1884" s="8">
        <f>IF(G1884="","",G1884-I1884)</f>
        <v/>
      </c>
      <c r="I1884" s="8">
        <f>IF(D1884="","",VLOOKUP(D1884, RECETTES!B:G, 6, FALSE)*E1884)</f>
        <v/>
      </c>
      <c r="J1884" s="8">
        <f>IF(G1884="","",G1884*0.20)</f>
        <v/>
      </c>
      <c r="K1884" s="8">
        <f>IF(G1884="","",G1884+J1884)</f>
        <v/>
      </c>
    </row>
    <row r="1885">
      <c r="F1885" s="8" t="n"/>
      <c r="G1885" s="8">
        <f>IF(E1885="","",E1885*F1885)</f>
        <v/>
      </c>
      <c r="H1885" s="8">
        <f>IF(G1885="","",G1885-I1885)</f>
        <v/>
      </c>
      <c r="I1885" s="8">
        <f>IF(D1885="","",VLOOKUP(D1885, RECETTES!B:G, 6, FALSE)*E1885)</f>
        <v/>
      </c>
      <c r="J1885" s="8">
        <f>IF(G1885="","",G1885*0.20)</f>
        <v/>
      </c>
      <c r="K1885" s="8">
        <f>IF(G1885="","",G1885+J1885)</f>
        <v/>
      </c>
    </row>
    <row r="1886">
      <c r="F1886" s="8" t="n"/>
      <c r="G1886" s="8">
        <f>IF(E1886="","",E1886*F1886)</f>
        <v/>
      </c>
      <c r="H1886" s="8">
        <f>IF(G1886="","",G1886-I1886)</f>
        <v/>
      </c>
      <c r="I1886" s="8">
        <f>IF(D1886="","",VLOOKUP(D1886, RECETTES!B:G, 6, FALSE)*E1886)</f>
        <v/>
      </c>
      <c r="J1886" s="8">
        <f>IF(G1886="","",G1886*0.20)</f>
        <v/>
      </c>
      <c r="K1886" s="8">
        <f>IF(G1886="","",G1886+J1886)</f>
        <v/>
      </c>
    </row>
    <row r="1887">
      <c r="F1887" s="8" t="n"/>
      <c r="G1887" s="8">
        <f>IF(E1887="","",E1887*F1887)</f>
        <v/>
      </c>
      <c r="H1887" s="8">
        <f>IF(G1887="","",G1887-I1887)</f>
        <v/>
      </c>
      <c r="I1887" s="8">
        <f>IF(D1887="","",VLOOKUP(D1887, RECETTES!B:G, 6, FALSE)*E1887)</f>
        <v/>
      </c>
      <c r="J1887" s="8">
        <f>IF(G1887="","",G1887*0.20)</f>
        <v/>
      </c>
      <c r="K1887" s="8">
        <f>IF(G1887="","",G1887+J1887)</f>
        <v/>
      </c>
    </row>
    <row r="1888">
      <c r="F1888" s="8" t="n"/>
      <c r="G1888" s="8">
        <f>IF(E1888="","",E1888*F1888)</f>
        <v/>
      </c>
      <c r="H1888" s="8">
        <f>IF(G1888="","",G1888-I1888)</f>
        <v/>
      </c>
      <c r="I1888" s="8">
        <f>IF(D1888="","",VLOOKUP(D1888, RECETTES!B:G, 6, FALSE)*E1888)</f>
        <v/>
      </c>
      <c r="J1888" s="8">
        <f>IF(G1888="","",G1888*0.20)</f>
        <v/>
      </c>
      <c r="K1888" s="8">
        <f>IF(G1888="","",G1888+J1888)</f>
        <v/>
      </c>
    </row>
    <row r="1889">
      <c r="F1889" s="8" t="n"/>
      <c r="G1889" s="8">
        <f>IF(E1889="","",E1889*F1889)</f>
        <v/>
      </c>
      <c r="H1889" s="8">
        <f>IF(G1889="","",G1889-I1889)</f>
        <v/>
      </c>
      <c r="I1889" s="8">
        <f>IF(D1889="","",VLOOKUP(D1889, RECETTES!B:G, 6, FALSE)*E1889)</f>
        <v/>
      </c>
      <c r="J1889" s="8">
        <f>IF(G1889="","",G1889*0.20)</f>
        <v/>
      </c>
      <c r="K1889" s="8">
        <f>IF(G1889="","",G1889+J1889)</f>
        <v/>
      </c>
    </row>
    <row r="1890">
      <c r="F1890" s="8" t="n"/>
      <c r="G1890" s="8">
        <f>IF(E1890="","",E1890*F1890)</f>
        <v/>
      </c>
      <c r="H1890" s="8">
        <f>IF(G1890="","",G1890-I1890)</f>
        <v/>
      </c>
      <c r="I1890" s="8">
        <f>IF(D1890="","",VLOOKUP(D1890, RECETTES!B:G, 6, FALSE)*E1890)</f>
        <v/>
      </c>
      <c r="J1890" s="8">
        <f>IF(G1890="","",G1890*0.20)</f>
        <v/>
      </c>
      <c r="K1890" s="8">
        <f>IF(G1890="","",G1890+J1890)</f>
        <v/>
      </c>
    </row>
    <row r="1891">
      <c r="F1891" s="8" t="n"/>
      <c r="G1891" s="8">
        <f>IF(E1891="","",E1891*F1891)</f>
        <v/>
      </c>
      <c r="H1891" s="8">
        <f>IF(G1891="","",G1891-I1891)</f>
        <v/>
      </c>
      <c r="I1891" s="8">
        <f>IF(D1891="","",VLOOKUP(D1891, RECETTES!B:G, 6, FALSE)*E1891)</f>
        <v/>
      </c>
      <c r="J1891" s="8">
        <f>IF(G1891="","",G1891*0.20)</f>
        <v/>
      </c>
      <c r="K1891" s="8">
        <f>IF(G1891="","",G1891+J1891)</f>
        <v/>
      </c>
    </row>
    <row r="1892">
      <c r="F1892" s="8" t="n"/>
      <c r="G1892" s="8">
        <f>IF(E1892="","",E1892*F1892)</f>
        <v/>
      </c>
      <c r="H1892" s="8">
        <f>IF(G1892="","",G1892-I1892)</f>
        <v/>
      </c>
      <c r="I1892" s="8">
        <f>IF(D1892="","",VLOOKUP(D1892, RECETTES!B:G, 6, FALSE)*E1892)</f>
        <v/>
      </c>
      <c r="J1892" s="8">
        <f>IF(G1892="","",G1892*0.20)</f>
        <v/>
      </c>
      <c r="K1892" s="8">
        <f>IF(G1892="","",G1892+J1892)</f>
        <v/>
      </c>
    </row>
    <row r="1893">
      <c r="F1893" s="8" t="n"/>
      <c r="G1893" s="8">
        <f>IF(E1893="","",E1893*F1893)</f>
        <v/>
      </c>
      <c r="H1893" s="8">
        <f>IF(G1893="","",G1893-I1893)</f>
        <v/>
      </c>
      <c r="I1893" s="8">
        <f>IF(D1893="","",VLOOKUP(D1893, RECETTES!B:G, 6, FALSE)*E1893)</f>
        <v/>
      </c>
      <c r="J1893" s="8">
        <f>IF(G1893="","",G1893*0.20)</f>
        <v/>
      </c>
      <c r="K1893" s="8">
        <f>IF(G1893="","",G1893+J1893)</f>
        <v/>
      </c>
    </row>
    <row r="1894">
      <c r="F1894" s="8" t="n"/>
      <c r="G1894" s="8">
        <f>IF(E1894="","",E1894*F1894)</f>
        <v/>
      </c>
      <c r="H1894" s="8">
        <f>IF(G1894="","",G1894-I1894)</f>
        <v/>
      </c>
      <c r="I1894" s="8">
        <f>IF(D1894="","",VLOOKUP(D1894, RECETTES!B:G, 6, FALSE)*E1894)</f>
        <v/>
      </c>
      <c r="J1894" s="8">
        <f>IF(G1894="","",G1894*0.20)</f>
        <v/>
      </c>
      <c r="K1894" s="8">
        <f>IF(G1894="","",G1894+J1894)</f>
        <v/>
      </c>
    </row>
    <row r="1895">
      <c r="F1895" s="8" t="n"/>
      <c r="G1895" s="8">
        <f>IF(E1895="","",E1895*F1895)</f>
        <v/>
      </c>
      <c r="H1895" s="8">
        <f>IF(G1895="","",G1895-I1895)</f>
        <v/>
      </c>
      <c r="I1895" s="8">
        <f>IF(D1895="","",VLOOKUP(D1895, RECETTES!B:G, 6, FALSE)*E1895)</f>
        <v/>
      </c>
      <c r="J1895" s="8">
        <f>IF(G1895="","",G1895*0.20)</f>
        <v/>
      </c>
      <c r="K1895" s="8">
        <f>IF(G1895="","",G1895+J1895)</f>
        <v/>
      </c>
    </row>
    <row r="1896">
      <c r="F1896" s="8" t="n"/>
      <c r="G1896" s="8">
        <f>IF(E1896="","",E1896*F1896)</f>
        <v/>
      </c>
      <c r="H1896" s="8">
        <f>IF(G1896="","",G1896-I1896)</f>
        <v/>
      </c>
      <c r="I1896" s="8">
        <f>IF(D1896="","",VLOOKUP(D1896, RECETTES!B:G, 6, FALSE)*E1896)</f>
        <v/>
      </c>
      <c r="J1896" s="8">
        <f>IF(G1896="","",G1896*0.20)</f>
        <v/>
      </c>
      <c r="K1896" s="8">
        <f>IF(G1896="","",G1896+J1896)</f>
        <v/>
      </c>
    </row>
    <row r="1897">
      <c r="F1897" s="8" t="n"/>
      <c r="G1897" s="8">
        <f>IF(E1897="","",E1897*F1897)</f>
        <v/>
      </c>
      <c r="H1897" s="8">
        <f>IF(G1897="","",G1897-I1897)</f>
        <v/>
      </c>
      <c r="I1897" s="8">
        <f>IF(D1897="","",VLOOKUP(D1897, RECETTES!B:G, 6, FALSE)*E1897)</f>
        <v/>
      </c>
      <c r="J1897" s="8">
        <f>IF(G1897="","",G1897*0.20)</f>
        <v/>
      </c>
      <c r="K1897" s="8">
        <f>IF(G1897="","",G1897+J1897)</f>
        <v/>
      </c>
    </row>
    <row r="1898">
      <c r="F1898" s="8" t="n"/>
      <c r="G1898" s="8">
        <f>IF(E1898="","",E1898*F1898)</f>
        <v/>
      </c>
      <c r="H1898" s="8">
        <f>IF(G1898="","",G1898-I1898)</f>
        <v/>
      </c>
      <c r="I1898" s="8">
        <f>IF(D1898="","",VLOOKUP(D1898, RECETTES!B:G, 6, FALSE)*E1898)</f>
        <v/>
      </c>
      <c r="J1898" s="8">
        <f>IF(G1898="","",G1898*0.20)</f>
        <v/>
      </c>
      <c r="K1898" s="8">
        <f>IF(G1898="","",G1898+J1898)</f>
        <v/>
      </c>
    </row>
    <row r="1899">
      <c r="F1899" s="8" t="n"/>
      <c r="G1899" s="8">
        <f>IF(E1899="","",E1899*F1899)</f>
        <v/>
      </c>
      <c r="H1899" s="8">
        <f>IF(G1899="","",G1899-I1899)</f>
        <v/>
      </c>
      <c r="I1899" s="8">
        <f>IF(D1899="","",VLOOKUP(D1899, RECETTES!B:G, 6, FALSE)*E1899)</f>
        <v/>
      </c>
      <c r="J1899" s="8">
        <f>IF(G1899="","",G1899*0.20)</f>
        <v/>
      </c>
      <c r="K1899" s="8">
        <f>IF(G1899="","",G1899+J1899)</f>
        <v/>
      </c>
    </row>
    <row r="1900">
      <c r="F1900" s="8" t="n"/>
      <c r="G1900" s="8">
        <f>IF(E1900="","",E1900*F1900)</f>
        <v/>
      </c>
      <c r="H1900" s="8">
        <f>IF(G1900="","",G1900-I1900)</f>
        <v/>
      </c>
      <c r="I1900" s="8">
        <f>IF(D1900="","",VLOOKUP(D1900, RECETTES!B:G, 6, FALSE)*E1900)</f>
        <v/>
      </c>
      <c r="J1900" s="8">
        <f>IF(G1900="","",G1900*0.20)</f>
        <v/>
      </c>
      <c r="K1900" s="8">
        <f>IF(G1900="","",G1900+J1900)</f>
        <v/>
      </c>
    </row>
    <row r="1901">
      <c r="F1901" s="8" t="n"/>
      <c r="G1901" s="8">
        <f>IF(E1901="","",E1901*F1901)</f>
        <v/>
      </c>
      <c r="H1901" s="8">
        <f>IF(G1901="","",G1901-I1901)</f>
        <v/>
      </c>
      <c r="I1901" s="8">
        <f>IF(D1901="","",VLOOKUP(D1901, RECETTES!B:G, 6, FALSE)*E1901)</f>
        <v/>
      </c>
      <c r="J1901" s="8">
        <f>IF(G1901="","",G1901*0.20)</f>
        <v/>
      </c>
      <c r="K1901" s="8">
        <f>IF(G1901="","",G1901+J1901)</f>
        <v/>
      </c>
    </row>
    <row r="1902">
      <c r="F1902" s="8" t="n"/>
      <c r="G1902" s="8">
        <f>IF(E1902="","",E1902*F1902)</f>
        <v/>
      </c>
      <c r="H1902" s="8">
        <f>IF(G1902="","",G1902-I1902)</f>
        <v/>
      </c>
      <c r="I1902" s="8">
        <f>IF(D1902="","",VLOOKUP(D1902, RECETTES!B:G, 6, FALSE)*E1902)</f>
        <v/>
      </c>
      <c r="J1902" s="8">
        <f>IF(G1902="","",G1902*0.20)</f>
        <v/>
      </c>
      <c r="K1902" s="8">
        <f>IF(G1902="","",G1902+J1902)</f>
        <v/>
      </c>
    </row>
    <row r="1903">
      <c r="F1903" s="8" t="n"/>
      <c r="G1903" s="8">
        <f>IF(E1903="","",E1903*F1903)</f>
        <v/>
      </c>
      <c r="H1903" s="8">
        <f>IF(G1903="","",G1903-I1903)</f>
        <v/>
      </c>
      <c r="I1903" s="8">
        <f>IF(D1903="","",VLOOKUP(D1903, RECETTES!B:G, 6, FALSE)*E1903)</f>
        <v/>
      </c>
      <c r="J1903" s="8">
        <f>IF(G1903="","",G1903*0.20)</f>
        <v/>
      </c>
      <c r="K1903" s="8">
        <f>IF(G1903="","",G1903+J1903)</f>
        <v/>
      </c>
    </row>
    <row r="1904">
      <c r="F1904" s="8" t="n"/>
      <c r="G1904" s="8">
        <f>IF(E1904="","",E1904*F1904)</f>
        <v/>
      </c>
      <c r="H1904" s="8">
        <f>IF(G1904="","",G1904-I1904)</f>
        <v/>
      </c>
      <c r="I1904" s="8">
        <f>IF(D1904="","",VLOOKUP(D1904, RECETTES!B:G, 6, FALSE)*E1904)</f>
        <v/>
      </c>
      <c r="J1904" s="8">
        <f>IF(G1904="","",G1904*0.20)</f>
        <v/>
      </c>
      <c r="K1904" s="8">
        <f>IF(G1904="","",G1904+J1904)</f>
        <v/>
      </c>
    </row>
    <row r="1905">
      <c r="F1905" s="8" t="n"/>
      <c r="G1905" s="8">
        <f>IF(E1905="","",E1905*F1905)</f>
        <v/>
      </c>
      <c r="H1905" s="8">
        <f>IF(G1905="","",G1905-I1905)</f>
        <v/>
      </c>
      <c r="I1905" s="8">
        <f>IF(D1905="","",VLOOKUP(D1905, RECETTES!B:G, 6, FALSE)*E1905)</f>
        <v/>
      </c>
      <c r="J1905" s="8">
        <f>IF(G1905="","",G1905*0.20)</f>
        <v/>
      </c>
      <c r="K1905" s="8">
        <f>IF(G1905="","",G1905+J1905)</f>
        <v/>
      </c>
    </row>
    <row r="1906">
      <c r="F1906" s="8" t="n"/>
      <c r="G1906" s="8">
        <f>IF(E1906="","",E1906*F1906)</f>
        <v/>
      </c>
      <c r="H1906" s="8">
        <f>IF(G1906="","",G1906-I1906)</f>
        <v/>
      </c>
      <c r="I1906" s="8">
        <f>IF(D1906="","",VLOOKUP(D1906, RECETTES!B:G, 6, FALSE)*E1906)</f>
        <v/>
      </c>
      <c r="J1906" s="8">
        <f>IF(G1906="","",G1906*0.20)</f>
        <v/>
      </c>
      <c r="K1906" s="8">
        <f>IF(G1906="","",G1906+J1906)</f>
        <v/>
      </c>
    </row>
    <row r="1907">
      <c r="F1907" s="8" t="n"/>
      <c r="G1907" s="8">
        <f>IF(E1907="","",E1907*F1907)</f>
        <v/>
      </c>
      <c r="H1907" s="8">
        <f>IF(G1907="","",G1907-I1907)</f>
        <v/>
      </c>
      <c r="I1907" s="8">
        <f>IF(D1907="","",VLOOKUP(D1907, RECETTES!B:G, 6, FALSE)*E1907)</f>
        <v/>
      </c>
      <c r="J1907" s="8">
        <f>IF(G1907="","",G1907*0.20)</f>
        <v/>
      </c>
      <c r="K1907" s="8">
        <f>IF(G1907="","",G1907+J1907)</f>
        <v/>
      </c>
    </row>
    <row r="1908">
      <c r="F1908" s="8" t="n"/>
      <c r="G1908" s="8">
        <f>IF(E1908="","",E1908*F1908)</f>
        <v/>
      </c>
      <c r="H1908" s="8">
        <f>IF(G1908="","",G1908-I1908)</f>
        <v/>
      </c>
      <c r="I1908" s="8">
        <f>IF(D1908="","",VLOOKUP(D1908, RECETTES!B:G, 6, FALSE)*E1908)</f>
        <v/>
      </c>
      <c r="J1908" s="8">
        <f>IF(G1908="","",G1908*0.20)</f>
        <v/>
      </c>
      <c r="K1908" s="8">
        <f>IF(G1908="","",G1908+J1908)</f>
        <v/>
      </c>
    </row>
    <row r="1909">
      <c r="F1909" s="8" t="n"/>
      <c r="G1909" s="8">
        <f>IF(E1909="","",E1909*F1909)</f>
        <v/>
      </c>
      <c r="H1909" s="8">
        <f>IF(G1909="","",G1909-I1909)</f>
        <v/>
      </c>
      <c r="I1909" s="8">
        <f>IF(D1909="","",VLOOKUP(D1909, RECETTES!B:G, 6, FALSE)*E1909)</f>
        <v/>
      </c>
      <c r="J1909" s="8">
        <f>IF(G1909="","",G1909*0.20)</f>
        <v/>
      </c>
      <c r="K1909" s="8">
        <f>IF(G1909="","",G1909+J1909)</f>
        <v/>
      </c>
    </row>
    <row r="1910">
      <c r="F1910" s="8" t="n"/>
      <c r="G1910" s="8">
        <f>IF(E1910="","",E1910*F1910)</f>
        <v/>
      </c>
      <c r="H1910" s="8">
        <f>IF(G1910="","",G1910-I1910)</f>
        <v/>
      </c>
      <c r="I1910" s="8">
        <f>IF(D1910="","",VLOOKUP(D1910, RECETTES!B:G, 6, FALSE)*E1910)</f>
        <v/>
      </c>
      <c r="J1910" s="8">
        <f>IF(G1910="","",G1910*0.20)</f>
        <v/>
      </c>
      <c r="K1910" s="8">
        <f>IF(G1910="","",G1910+J1910)</f>
        <v/>
      </c>
    </row>
    <row r="1911">
      <c r="F1911" s="8" t="n"/>
      <c r="G1911" s="8">
        <f>IF(E1911="","",E1911*F1911)</f>
        <v/>
      </c>
      <c r="H1911" s="8">
        <f>IF(G1911="","",G1911-I1911)</f>
        <v/>
      </c>
      <c r="I1911" s="8">
        <f>IF(D1911="","",VLOOKUP(D1911, RECETTES!B:G, 6, FALSE)*E1911)</f>
        <v/>
      </c>
      <c r="J1911" s="8">
        <f>IF(G1911="","",G1911*0.20)</f>
        <v/>
      </c>
      <c r="K1911" s="8">
        <f>IF(G1911="","",G1911+J1911)</f>
        <v/>
      </c>
    </row>
    <row r="1912">
      <c r="F1912" s="8" t="n"/>
      <c r="G1912" s="8">
        <f>IF(E1912="","",E1912*F1912)</f>
        <v/>
      </c>
      <c r="H1912" s="8">
        <f>IF(G1912="","",G1912-I1912)</f>
        <v/>
      </c>
      <c r="I1912" s="8">
        <f>IF(D1912="","",VLOOKUP(D1912, RECETTES!B:G, 6, FALSE)*E1912)</f>
        <v/>
      </c>
      <c r="J1912" s="8">
        <f>IF(G1912="","",G1912*0.20)</f>
        <v/>
      </c>
      <c r="K1912" s="8">
        <f>IF(G1912="","",G1912+J1912)</f>
        <v/>
      </c>
    </row>
    <row r="1913">
      <c r="F1913" s="8" t="n"/>
      <c r="G1913" s="8">
        <f>IF(E1913="","",E1913*F1913)</f>
        <v/>
      </c>
      <c r="H1913" s="8">
        <f>IF(G1913="","",G1913-I1913)</f>
        <v/>
      </c>
      <c r="I1913" s="8">
        <f>IF(D1913="","",VLOOKUP(D1913, RECETTES!B:G, 6, FALSE)*E1913)</f>
        <v/>
      </c>
      <c r="J1913" s="8">
        <f>IF(G1913="","",G1913*0.20)</f>
        <v/>
      </c>
      <c r="K1913" s="8">
        <f>IF(G1913="","",G1913+J1913)</f>
        <v/>
      </c>
    </row>
    <row r="1914">
      <c r="F1914" s="8" t="n"/>
      <c r="G1914" s="8">
        <f>IF(E1914="","",E1914*F1914)</f>
        <v/>
      </c>
      <c r="H1914" s="8">
        <f>IF(G1914="","",G1914-I1914)</f>
        <v/>
      </c>
      <c r="I1914" s="8">
        <f>IF(D1914="","",VLOOKUP(D1914, RECETTES!B:G, 6, FALSE)*E1914)</f>
        <v/>
      </c>
      <c r="J1914" s="8">
        <f>IF(G1914="","",G1914*0.20)</f>
        <v/>
      </c>
      <c r="K1914" s="8">
        <f>IF(G1914="","",G1914+J1914)</f>
        <v/>
      </c>
    </row>
    <row r="1915">
      <c r="F1915" s="8" t="n"/>
      <c r="G1915" s="8">
        <f>IF(E1915="","",E1915*F1915)</f>
        <v/>
      </c>
      <c r="H1915" s="8">
        <f>IF(G1915="","",G1915-I1915)</f>
        <v/>
      </c>
      <c r="I1915" s="8">
        <f>IF(D1915="","",VLOOKUP(D1915, RECETTES!B:G, 6, FALSE)*E1915)</f>
        <v/>
      </c>
      <c r="J1915" s="8">
        <f>IF(G1915="","",G1915*0.20)</f>
        <v/>
      </c>
      <c r="K1915" s="8">
        <f>IF(G1915="","",G1915+J1915)</f>
        <v/>
      </c>
    </row>
    <row r="1916">
      <c r="F1916" s="8" t="n"/>
      <c r="G1916" s="8">
        <f>IF(E1916="","",E1916*F1916)</f>
        <v/>
      </c>
      <c r="H1916" s="8">
        <f>IF(G1916="","",G1916-I1916)</f>
        <v/>
      </c>
      <c r="I1916" s="8">
        <f>IF(D1916="","",VLOOKUP(D1916, RECETTES!B:G, 6, FALSE)*E1916)</f>
        <v/>
      </c>
      <c r="J1916" s="8">
        <f>IF(G1916="","",G1916*0.20)</f>
        <v/>
      </c>
      <c r="K1916" s="8">
        <f>IF(G1916="","",G1916+J1916)</f>
        <v/>
      </c>
    </row>
    <row r="1917">
      <c r="F1917" s="8" t="n"/>
      <c r="G1917" s="8">
        <f>IF(E1917="","",E1917*F1917)</f>
        <v/>
      </c>
      <c r="H1917" s="8">
        <f>IF(G1917="","",G1917-I1917)</f>
        <v/>
      </c>
      <c r="I1917" s="8">
        <f>IF(D1917="","",VLOOKUP(D1917, RECETTES!B:G, 6, FALSE)*E1917)</f>
        <v/>
      </c>
      <c r="J1917" s="8">
        <f>IF(G1917="","",G1917*0.20)</f>
        <v/>
      </c>
      <c r="K1917" s="8">
        <f>IF(G1917="","",G1917+J1917)</f>
        <v/>
      </c>
    </row>
    <row r="1918">
      <c r="F1918" s="8" t="n"/>
      <c r="G1918" s="8">
        <f>IF(E1918="","",E1918*F1918)</f>
        <v/>
      </c>
      <c r="H1918" s="8">
        <f>IF(G1918="","",G1918-I1918)</f>
        <v/>
      </c>
      <c r="I1918" s="8">
        <f>IF(D1918="","",VLOOKUP(D1918, RECETTES!B:G, 6, FALSE)*E1918)</f>
        <v/>
      </c>
      <c r="J1918" s="8">
        <f>IF(G1918="","",G1918*0.20)</f>
        <v/>
      </c>
      <c r="K1918" s="8">
        <f>IF(G1918="","",G1918+J1918)</f>
        <v/>
      </c>
    </row>
    <row r="1919">
      <c r="F1919" s="8" t="n"/>
      <c r="G1919" s="8">
        <f>IF(E1919="","",E1919*F1919)</f>
        <v/>
      </c>
      <c r="H1919" s="8">
        <f>IF(G1919="","",G1919-I1919)</f>
        <v/>
      </c>
      <c r="I1919" s="8">
        <f>IF(D1919="","",VLOOKUP(D1919, RECETTES!B:G, 6, FALSE)*E1919)</f>
        <v/>
      </c>
      <c r="J1919" s="8">
        <f>IF(G1919="","",G1919*0.20)</f>
        <v/>
      </c>
      <c r="K1919" s="8">
        <f>IF(G1919="","",G1919+J1919)</f>
        <v/>
      </c>
    </row>
    <row r="1920">
      <c r="F1920" s="8" t="n"/>
      <c r="G1920" s="8">
        <f>IF(E1920="","",E1920*F1920)</f>
        <v/>
      </c>
      <c r="H1920" s="8">
        <f>IF(G1920="","",G1920-I1920)</f>
        <v/>
      </c>
      <c r="I1920" s="8">
        <f>IF(D1920="","",VLOOKUP(D1920, RECETTES!B:G, 6, FALSE)*E1920)</f>
        <v/>
      </c>
      <c r="J1920" s="8">
        <f>IF(G1920="","",G1920*0.20)</f>
        <v/>
      </c>
      <c r="K1920" s="8">
        <f>IF(G1920="","",G1920+J1920)</f>
        <v/>
      </c>
    </row>
    <row r="1921">
      <c r="F1921" s="8" t="n"/>
      <c r="G1921" s="8">
        <f>IF(E1921="","",E1921*F1921)</f>
        <v/>
      </c>
      <c r="H1921" s="8">
        <f>IF(G1921="","",G1921-I1921)</f>
        <v/>
      </c>
      <c r="I1921" s="8">
        <f>IF(D1921="","",VLOOKUP(D1921, RECETTES!B:G, 6, FALSE)*E1921)</f>
        <v/>
      </c>
      <c r="J1921" s="8">
        <f>IF(G1921="","",G1921*0.20)</f>
        <v/>
      </c>
      <c r="K1921" s="8">
        <f>IF(G1921="","",G1921+J1921)</f>
        <v/>
      </c>
    </row>
    <row r="1922">
      <c r="F1922" s="8" t="n"/>
      <c r="G1922" s="8">
        <f>IF(E1922="","",E1922*F1922)</f>
        <v/>
      </c>
      <c r="H1922" s="8">
        <f>IF(G1922="","",G1922-I1922)</f>
        <v/>
      </c>
      <c r="I1922" s="8">
        <f>IF(D1922="","",VLOOKUP(D1922, RECETTES!B:G, 6, FALSE)*E1922)</f>
        <v/>
      </c>
      <c r="J1922" s="8">
        <f>IF(G1922="","",G1922*0.20)</f>
        <v/>
      </c>
      <c r="K1922" s="8">
        <f>IF(G1922="","",G1922+J1922)</f>
        <v/>
      </c>
    </row>
    <row r="1923">
      <c r="F1923" s="8" t="n"/>
      <c r="G1923" s="8">
        <f>IF(E1923="","",E1923*F1923)</f>
        <v/>
      </c>
      <c r="H1923" s="8">
        <f>IF(G1923="","",G1923-I1923)</f>
        <v/>
      </c>
      <c r="I1923" s="8">
        <f>IF(D1923="","",VLOOKUP(D1923, RECETTES!B:G, 6, FALSE)*E1923)</f>
        <v/>
      </c>
      <c r="J1923" s="8">
        <f>IF(G1923="","",G1923*0.20)</f>
        <v/>
      </c>
      <c r="K1923" s="8">
        <f>IF(G1923="","",G1923+J1923)</f>
        <v/>
      </c>
    </row>
    <row r="1924">
      <c r="F1924" s="8" t="n"/>
      <c r="G1924" s="8">
        <f>IF(E1924="","",E1924*F1924)</f>
        <v/>
      </c>
      <c r="H1924" s="8">
        <f>IF(G1924="","",G1924-I1924)</f>
        <v/>
      </c>
      <c r="I1924" s="8">
        <f>IF(D1924="","",VLOOKUP(D1924, RECETTES!B:G, 6, FALSE)*E1924)</f>
        <v/>
      </c>
      <c r="J1924" s="8">
        <f>IF(G1924="","",G1924*0.20)</f>
        <v/>
      </c>
      <c r="K1924" s="8">
        <f>IF(G1924="","",G1924+J1924)</f>
        <v/>
      </c>
    </row>
    <row r="1925">
      <c r="F1925" s="8" t="n"/>
      <c r="G1925" s="8">
        <f>IF(E1925="","",E1925*F1925)</f>
        <v/>
      </c>
      <c r="H1925" s="8">
        <f>IF(G1925="","",G1925-I1925)</f>
        <v/>
      </c>
      <c r="I1925" s="8">
        <f>IF(D1925="","",VLOOKUP(D1925, RECETTES!B:G, 6, FALSE)*E1925)</f>
        <v/>
      </c>
      <c r="J1925" s="8">
        <f>IF(G1925="","",G1925*0.20)</f>
        <v/>
      </c>
      <c r="K1925" s="8">
        <f>IF(G1925="","",G1925+J1925)</f>
        <v/>
      </c>
    </row>
    <row r="1926">
      <c r="F1926" s="8" t="n"/>
      <c r="G1926" s="8">
        <f>IF(E1926="","",E1926*F1926)</f>
        <v/>
      </c>
      <c r="H1926" s="8">
        <f>IF(G1926="","",G1926-I1926)</f>
        <v/>
      </c>
      <c r="I1926" s="8">
        <f>IF(D1926="","",VLOOKUP(D1926, RECETTES!B:G, 6, FALSE)*E1926)</f>
        <v/>
      </c>
      <c r="J1926" s="8">
        <f>IF(G1926="","",G1926*0.20)</f>
        <v/>
      </c>
      <c r="K1926" s="8">
        <f>IF(G1926="","",G1926+J1926)</f>
        <v/>
      </c>
    </row>
    <row r="1927">
      <c r="F1927" s="8" t="n"/>
      <c r="G1927" s="8">
        <f>IF(E1927="","",E1927*F1927)</f>
        <v/>
      </c>
      <c r="H1927" s="8">
        <f>IF(G1927="","",G1927-I1927)</f>
        <v/>
      </c>
      <c r="I1927" s="8">
        <f>IF(D1927="","",VLOOKUP(D1927, RECETTES!B:G, 6, FALSE)*E1927)</f>
        <v/>
      </c>
      <c r="J1927" s="8">
        <f>IF(G1927="","",G1927*0.20)</f>
        <v/>
      </c>
      <c r="K1927" s="8">
        <f>IF(G1927="","",G1927+J1927)</f>
        <v/>
      </c>
    </row>
    <row r="1928">
      <c r="F1928" s="8" t="n"/>
      <c r="G1928" s="8">
        <f>IF(E1928="","",E1928*F1928)</f>
        <v/>
      </c>
      <c r="H1928" s="8">
        <f>IF(G1928="","",G1928-I1928)</f>
        <v/>
      </c>
      <c r="I1928" s="8">
        <f>IF(D1928="","",VLOOKUP(D1928, RECETTES!B:G, 6, FALSE)*E1928)</f>
        <v/>
      </c>
      <c r="J1928" s="8">
        <f>IF(G1928="","",G1928*0.20)</f>
        <v/>
      </c>
      <c r="K1928" s="8">
        <f>IF(G1928="","",G1928+J1928)</f>
        <v/>
      </c>
    </row>
    <row r="1929">
      <c r="F1929" s="8" t="n"/>
      <c r="G1929" s="8">
        <f>IF(E1929="","",E1929*F1929)</f>
        <v/>
      </c>
      <c r="H1929" s="8">
        <f>IF(G1929="","",G1929-I1929)</f>
        <v/>
      </c>
      <c r="I1929" s="8">
        <f>IF(D1929="","",VLOOKUP(D1929, RECETTES!B:G, 6, FALSE)*E1929)</f>
        <v/>
      </c>
      <c r="J1929" s="8">
        <f>IF(G1929="","",G1929*0.20)</f>
        <v/>
      </c>
      <c r="K1929" s="8">
        <f>IF(G1929="","",G1929+J1929)</f>
        <v/>
      </c>
    </row>
    <row r="1930">
      <c r="F1930" s="8" t="n"/>
      <c r="G1930" s="8">
        <f>IF(E1930="","",E1930*F1930)</f>
        <v/>
      </c>
      <c r="H1930" s="8">
        <f>IF(G1930="","",G1930-I1930)</f>
        <v/>
      </c>
      <c r="I1930" s="8">
        <f>IF(D1930="","",VLOOKUP(D1930, RECETTES!B:G, 6, FALSE)*E1930)</f>
        <v/>
      </c>
      <c r="J1930" s="8">
        <f>IF(G1930="","",G1930*0.20)</f>
        <v/>
      </c>
      <c r="K1930" s="8">
        <f>IF(G1930="","",G1930+J1930)</f>
        <v/>
      </c>
    </row>
    <row r="1931">
      <c r="F1931" s="8" t="n"/>
      <c r="G1931" s="8">
        <f>IF(E1931="","",E1931*F1931)</f>
        <v/>
      </c>
      <c r="H1931" s="8">
        <f>IF(G1931="","",G1931-I1931)</f>
        <v/>
      </c>
      <c r="I1931" s="8">
        <f>IF(D1931="","",VLOOKUP(D1931, RECETTES!B:G, 6, FALSE)*E1931)</f>
        <v/>
      </c>
      <c r="J1931" s="8">
        <f>IF(G1931="","",G1931*0.20)</f>
        <v/>
      </c>
      <c r="K1931" s="8">
        <f>IF(G1931="","",G1931+J1931)</f>
        <v/>
      </c>
    </row>
    <row r="1932">
      <c r="F1932" s="8" t="n"/>
      <c r="G1932" s="8">
        <f>IF(E1932="","",E1932*F1932)</f>
        <v/>
      </c>
      <c r="H1932" s="8">
        <f>IF(G1932="","",G1932-I1932)</f>
        <v/>
      </c>
      <c r="I1932" s="8">
        <f>IF(D1932="","",VLOOKUP(D1932, RECETTES!B:G, 6, FALSE)*E1932)</f>
        <v/>
      </c>
      <c r="J1932" s="8">
        <f>IF(G1932="","",G1932*0.20)</f>
        <v/>
      </c>
      <c r="K1932" s="8">
        <f>IF(G1932="","",G1932+J1932)</f>
        <v/>
      </c>
    </row>
    <row r="1933">
      <c r="F1933" s="8" t="n"/>
      <c r="G1933" s="8">
        <f>IF(E1933="","",E1933*F1933)</f>
        <v/>
      </c>
      <c r="H1933" s="8">
        <f>IF(G1933="","",G1933-I1933)</f>
        <v/>
      </c>
      <c r="I1933" s="8">
        <f>IF(D1933="","",VLOOKUP(D1933, RECETTES!B:G, 6, FALSE)*E1933)</f>
        <v/>
      </c>
      <c r="J1933" s="8">
        <f>IF(G1933="","",G1933*0.20)</f>
        <v/>
      </c>
      <c r="K1933" s="8">
        <f>IF(G1933="","",G1933+J1933)</f>
        <v/>
      </c>
    </row>
    <row r="1934">
      <c r="F1934" s="8" t="n"/>
      <c r="G1934" s="8">
        <f>IF(E1934="","",E1934*F1934)</f>
        <v/>
      </c>
      <c r="H1934" s="8">
        <f>IF(G1934="","",G1934-I1934)</f>
        <v/>
      </c>
      <c r="I1934" s="8">
        <f>IF(D1934="","",VLOOKUP(D1934, RECETTES!B:G, 6, FALSE)*E1934)</f>
        <v/>
      </c>
      <c r="J1934" s="8">
        <f>IF(G1934="","",G1934*0.20)</f>
        <v/>
      </c>
      <c r="K1934" s="8">
        <f>IF(G1934="","",G1934+J1934)</f>
        <v/>
      </c>
    </row>
    <row r="1935">
      <c r="F1935" s="8" t="n"/>
      <c r="G1935" s="8">
        <f>IF(E1935="","",E1935*F1935)</f>
        <v/>
      </c>
      <c r="H1935" s="8">
        <f>IF(G1935="","",G1935-I1935)</f>
        <v/>
      </c>
      <c r="I1935" s="8">
        <f>IF(D1935="","",VLOOKUP(D1935, RECETTES!B:G, 6, FALSE)*E1935)</f>
        <v/>
      </c>
      <c r="J1935" s="8">
        <f>IF(G1935="","",G1935*0.20)</f>
        <v/>
      </c>
      <c r="K1935" s="8">
        <f>IF(G1935="","",G1935+J1935)</f>
        <v/>
      </c>
    </row>
    <row r="1936">
      <c r="F1936" s="8" t="n"/>
      <c r="G1936" s="8">
        <f>IF(E1936="","",E1936*F1936)</f>
        <v/>
      </c>
      <c r="H1936" s="8">
        <f>IF(G1936="","",G1936-I1936)</f>
        <v/>
      </c>
      <c r="I1936" s="8">
        <f>IF(D1936="","",VLOOKUP(D1936, RECETTES!B:G, 6, FALSE)*E1936)</f>
        <v/>
      </c>
      <c r="J1936" s="8">
        <f>IF(G1936="","",G1936*0.20)</f>
        <v/>
      </c>
      <c r="K1936" s="8">
        <f>IF(G1936="","",G1936+J1936)</f>
        <v/>
      </c>
    </row>
    <row r="1937">
      <c r="F1937" s="8" t="n"/>
      <c r="G1937" s="8">
        <f>IF(E1937="","",E1937*F1937)</f>
        <v/>
      </c>
      <c r="H1937" s="8">
        <f>IF(G1937="","",G1937-I1937)</f>
        <v/>
      </c>
      <c r="I1937" s="8">
        <f>IF(D1937="","",VLOOKUP(D1937, RECETTES!B:G, 6, FALSE)*E1937)</f>
        <v/>
      </c>
      <c r="J1937" s="8">
        <f>IF(G1937="","",G1937*0.20)</f>
        <v/>
      </c>
      <c r="K1937" s="8">
        <f>IF(G1937="","",G1937+J1937)</f>
        <v/>
      </c>
    </row>
    <row r="1938">
      <c r="F1938" s="8" t="n"/>
      <c r="G1938" s="8">
        <f>IF(E1938="","",E1938*F1938)</f>
        <v/>
      </c>
      <c r="H1938" s="8">
        <f>IF(G1938="","",G1938-I1938)</f>
        <v/>
      </c>
      <c r="I1938" s="8">
        <f>IF(D1938="","",VLOOKUP(D1938, RECETTES!B:G, 6, FALSE)*E1938)</f>
        <v/>
      </c>
      <c r="J1938" s="8">
        <f>IF(G1938="","",G1938*0.20)</f>
        <v/>
      </c>
      <c r="K1938" s="8">
        <f>IF(G1938="","",G1938+J1938)</f>
        <v/>
      </c>
    </row>
    <row r="1939">
      <c r="F1939" s="8" t="n"/>
      <c r="G1939" s="8">
        <f>IF(E1939="","",E1939*F1939)</f>
        <v/>
      </c>
      <c r="H1939" s="8">
        <f>IF(G1939="","",G1939-I1939)</f>
        <v/>
      </c>
      <c r="I1939" s="8">
        <f>IF(D1939="","",VLOOKUP(D1939, RECETTES!B:G, 6, FALSE)*E1939)</f>
        <v/>
      </c>
      <c r="J1939" s="8">
        <f>IF(G1939="","",G1939*0.20)</f>
        <v/>
      </c>
      <c r="K1939" s="8">
        <f>IF(G1939="","",G1939+J1939)</f>
        <v/>
      </c>
    </row>
    <row r="1940">
      <c r="F1940" s="8" t="n"/>
      <c r="G1940" s="8">
        <f>IF(E1940="","",E1940*F1940)</f>
        <v/>
      </c>
      <c r="H1940" s="8">
        <f>IF(G1940="","",G1940-I1940)</f>
        <v/>
      </c>
      <c r="I1940" s="8">
        <f>IF(D1940="","",VLOOKUP(D1940, RECETTES!B:G, 6, FALSE)*E1940)</f>
        <v/>
      </c>
      <c r="J1940" s="8">
        <f>IF(G1940="","",G1940*0.20)</f>
        <v/>
      </c>
      <c r="K1940" s="8">
        <f>IF(G1940="","",G1940+J1940)</f>
        <v/>
      </c>
    </row>
    <row r="1941">
      <c r="F1941" s="8" t="n"/>
      <c r="G1941" s="8">
        <f>IF(E1941="","",E1941*F1941)</f>
        <v/>
      </c>
      <c r="H1941" s="8">
        <f>IF(G1941="","",G1941-I1941)</f>
        <v/>
      </c>
      <c r="I1941" s="8">
        <f>IF(D1941="","",VLOOKUP(D1941, RECETTES!B:G, 6, FALSE)*E1941)</f>
        <v/>
      </c>
      <c r="J1941" s="8">
        <f>IF(G1941="","",G1941*0.20)</f>
        <v/>
      </c>
      <c r="K1941" s="8">
        <f>IF(G1941="","",G1941+J1941)</f>
        <v/>
      </c>
    </row>
    <row r="1942">
      <c r="F1942" s="8" t="n"/>
      <c r="G1942" s="8">
        <f>IF(E1942="","",E1942*F1942)</f>
        <v/>
      </c>
      <c r="H1942" s="8">
        <f>IF(G1942="","",G1942-I1942)</f>
        <v/>
      </c>
      <c r="I1942" s="8">
        <f>IF(D1942="","",VLOOKUP(D1942, RECETTES!B:G, 6, FALSE)*E1942)</f>
        <v/>
      </c>
      <c r="J1942" s="8">
        <f>IF(G1942="","",G1942*0.20)</f>
        <v/>
      </c>
      <c r="K1942" s="8">
        <f>IF(G1942="","",G1942+J1942)</f>
        <v/>
      </c>
    </row>
    <row r="1943">
      <c r="F1943" s="8" t="n"/>
      <c r="G1943" s="8">
        <f>IF(E1943="","",E1943*F1943)</f>
        <v/>
      </c>
      <c r="H1943" s="8">
        <f>IF(G1943="","",G1943-I1943)</f>
        <v/>
      </c>
      <c r="I1943" s="8">
        <f>IF(D1943="","",VLOOKUP(D1943, RECETTES!B:G, 6, FALSE)*E1943)</f>
        <v/>
      </c>
      <c r="J1943" s="8">
        <f>IF(G1943="","",G1943*0.20)</f>
        <v/>
      </c>
      <c r="K1943" s="8">
        <f>IF(G1943="","",G1943+J1943)</f>
        <v/>
      </c>
    </row>
    <row r="1944">
      <c r="F1944" s="8" t="n"/>
      <c r="G1944" s="8">
        <f>IF(E1944="","",E1944*F1944)</f>
        <v/>
      </c>
      <c r="H1944" s="8">
        <f>IF(G1944="","",G1944-I1944)</f>
        <v/>
      </c>
      <c r="I1944" s="8">
        <f>IF(D1944="","",VLOOKUP(D1944, RECETTES!B:G, 6, FALSE)*E1944)</f>
        <v/>
      </c>
      <c r="J1944" s="8">
        <f>IF(G1944="","",G1944*0.20)</f>
        <v/>
      </c>
      <c r="K1944" s="8">
        <f>IF(G1944="","",G1944+J1944)</f>
        <v/>
      </c>
    </row>
    <row r="1945">
      <c r="F1945" s="8" t="n"/>
      <c r="G1945" s="8">
        <f>IF(E1945="","",E1945*F1945)</f>
        <v/>
      </c>
      <c r="H1945" s="8">
        <f>IF(G1945="","",G1945-I1945)</f>
        <v/>
      </c>
      <c r="I1945" s="8">
        <f>IF(D1945="","",VLOOKUP(D1945, RECETTES!B:G, 6, FALSE)*E1945)</f>
        <v/>
      </c>
      <c r="J1945" s="8">
        <f>IF(G1945="","",G1945*0.20)</f>
        <v/>
      </c>
      <c r="K1945" s="8">
        <f>IF(G1945="","",G1945+J1945)</f>
        <v/>
      </c>
    </row>
    <row r="1946">
      <c r="F1946" s="8" t="n"/>
      <c r="G1946" s="8">
        <f>IF(E1946="","",E1946*F1946)</f>
        <v/>
      </c>
      <c r="H1946" s="8">
        <f>IF(G1946="","",G1946-I1946)</f>
        <v/>
      </c>
      <c r="I1946" s="8">
        <f>IF(D1946="","",VLOOKUP(D1946, RECETTES!B:G, 6, FALSE)*E1946)</f>
        <v/>
      </c>
      <c r="J1946" s="8">
        <f>IF(G1946="","",G1946*0.20)</f>
        <v/>
      </c>
      <c r="K1946" s="8">
        <f>IF(G1946="","",G1946+J1946)</f>
        <v/>
      </c>
    </row>
    <row r="1947">
      <c r="F1947" s="8" t="n"/>
      <c r="G1947" s="8">
        <f>IF(E1947="","",E1947*F1947)</f>
        <v/>
      </c>
      <c r="H1947" s="8">
        <f>IF(G1947="","",G1947-I1947)</f>
        <v/>
      </c>
      <c r="I1947" s="8">
        <f>IF(D1947="","",VLOOKUP(D1947, RECETTES!B:G, 6, FALSE)*E1947)</f>
        <v/>
      </c>
      <c r="J1947" s="8">
        <f>IF(G1947="","",G1947*0.20)</f>
        <v/>
      </c>
      <c r="K1947" s="8">
        <f>IF(G1947="","",G1947+J1947)</f>
        <v/>
      </c>
    </row>
    <row r="1948">
      <c r="F1948" s="8" t="n"/>
      <c r="G1948" s="8">
        <f>IF(E1948="","",E1948*F1948)</f>
        <v/>
      </c>
      <c r="H1948" s="8">
        <f>IF(G1948="","",G1948-I1948)</f>
        <v/>
      </c>
      <c r="I1948" s="8">
        <f>IF(D1948="","",VLOOKUP(D1948, RECETTES!B:G, 6, FALSE)*E1948)</f>
        <v/>
      </c>
      <c r="J1948" s="8">
        <f>IF(G1948="","",G1948*0.20)</f>
        <v/>
      </c>
      <c r="K1948" s="8">
        <f>IF(G1948="","",G1948+J1948)</f>
        <v/>
      </c>
    </row>
    <row r="1949">
      <c r="F1949" s="8" t="n"/>
      <c r="G1949" s="8">
        <f>IF(E1949="","",E1949*F1949)</f>
        <v/>
      </c>
      <c r="H1949" s="8">
        <f>IF(G1949="","",G1949-I1949)</f>
        <v/>
      </c>
      <c r="I1949" s="8">
        <f>IF(D1949="","",VLOOKUP(D1949, RECETTES!B:G, 6, FALSE)*E1949)</f>
        <v/>
      </c>
      <c r="J1949" s="8">
        <f>IF(G1949="","",G1949*0.20)</f>
        <v/>
      </c>
      <c r="K1949" s="8">
        <f>IF(G1949="","",G1949+J1949)</f>
        <v/>
      </c>
    </row>
    <row r="1950">
      <c r="F1950" s="8" t="n"/>
      <c r="G1950" s="8">
        <f>IF(E1950="","",E1950*F1950)</f>
        <v/>
      </c>
      <c r="H1950" s="8">
        <f>IF(G1950="","",G1950-I1950)</f>
        <v/>
      </c>
      <c r="I1950" s="8">
        <f>IF(D1950="","",VLOOKUP(D1950, RECETTES!B:G, 6, FALSE)*E1950)</f>
        <v/>
      </c>
      <c r="J1950" s="8">
        <f>IF(G1950="","",G1950*0.20)</f>
        <v/>
      </c>
      <c r="K1950" s="8">
        <f>IF(G1950="","",G1950+J1950)</f>
        <v/>
      </c>
    </row>
    <row r="1951">
      <c r="F1951" s="8" t="n"/>
      <c r="G1951" s="8">
        <f>IF(E1951="","",E1951*F1951)</f>
        <v/>
      </c>
      <c r="H1951" s="8">
        <f>IF(G1951="","",G1951-I1951)</f>
        <v/>
      </c>
      <c r="I1951" s="8">
        <f>IF(D1951="","",VLOOKUP(D1951, RECETTES!B:G, 6, FALSE)*E1951)</f>
        <v/>
      </c>
      <c r="J1951" s="8">
        <f>IF(G1951="","",G1951*0.20)</f>
        <v/>
      </c>
      <c r="K1951" s="8">
        <f>IF(G1951="","",G1951+J1951)</f>
        <v/>
      </c>
    </row>
    <row r="1952">
      <c r="F1952" s="8" t="n"/>
      <c r="G1952" s="8">
        <f>IF(E1952="","",E1952*F1952)</f>
        <v/>
      </c>
      <c r="H1952" s="8">
        <f>IF(G1952="","",G1952-I1952)</f>
        <v/>
      </c>
      <c r="I1952" s="8">
        <f>IF(D1952="","",VLOOKUP(D1952, RECETTES!B:G, 6, FALSE)*E1952)</f>
        <v/>
      </c>
      <c r="J1952" s="8">
        <f>IF(G1952="","",G1952*0.20)</f>
        <v/>
      </c>
      <c r="K1952" s="8">
        <f>IF(G1952="","",G1952+J1952)</f>
        <v/>
      </c>
    </row>
    <row r="1953">
      <c r="F1953" s="8" t="n"/>
      <c r="G1953" s="8">
        <f>IF(E1953="","",E1953*F1953)</f>
        <v/>
      </c>
      <c r="H1953" s="8">
        <f>IF(G1953="","",G1953-I1953)</f>
        <v/>
      </c>
      <c r="I1953" s="8">
        <f>IF(D1953="","",VLOOKUP(D1953, RECETTES!B:G, 6, FALSE)*E1953)</f>
        <v/>
      </c>
      <c r="J1953" s="8">
        <f>IF(G1953="","",G1953*0.20)</f>
        <v/>
      </c>
      <c r="K1953" s="8">
        <f>IF(G1953="","",G1953+J1953)</f>
        <v/>
      </c>
    </row>
    <row r="1954">
      <c r="F1954" s="8" t="n"/>
      <c r="G1954" s="8">
        <f>IF(E1954="","",E1954*F1954)</f>
        <v/>
      </c>
      <c r="H1954" s="8">
        <f>IF(G1954="","",G1954-I1954)</f>
        <v/>
      </c>
      <c r="I1954" s="8">
        <f>IF(D1954="","",VLOOKUP(D1954, RECETTES!B:G, 6, FALSE)*E1954)</f>
        <v/>
      </c>
      <c r="J1954" s="8">
        <f>IF(G1954="","",G1954*0.20)</f>
        <v/>
      </c>
      <c r="K1954" s="8">
        <f>IF(G1954="","",G1954+J1954)</f>
        <v/>
      </c>
    </row>
    <row r="1955">
      <c r="F1955" s="8" t="n"/>
      <c r="G1955" s="8">
        <f>IF(E1955="","",E1955*F1955)</f>
        <v/>
      </c>
      <c r="H1955" s="8">
        <f>IF(G1955="","",G1955-I1955)</f>
        <v/>
      </c>
      <c r="I1955" s="8">
        <f>IF(D1955="","",VLOOKUP(D1955, RECETTES!B:G, 6, FALSE)*E1955)</f>
        <v/>
      </c>
      <c r="J1955" s="8">
        <f>IF(G1955="","",G1955*0.20)</f>
        <v/>
      </c>
      <c r="K1955" s="8">
        <f>IF(G1955="","",G1955+J1955)</f>
        <v/>
      </c>
    </row>
    <row r="1956">
      <c r="F1956" s="8" t="n"/>
      <c r="G1956" s="8">
        <f>IF(E1956="","",E1956*F1956)</f>
        <v/>
      </c>
      <c r="H1956" s="8">
        <f>IF(G1956="","",G1956-I1956)</f>
        <v/>
      </c>
      <c r="I1956" s="8">
        <f>IF(D1956="","",VLOOKUP(D1956, RECETTES!B:G, 6, FALSE)*E1956)</f>
        <v/>
      </c>
      <c r="J1956" s="8">
        <f>IF(G1956="","",G1956*0.20)</f>
        <v/>
      </c>
      <c r="K1956" s="8">
        <f>IF(G1956="","",G1956+J1956)</f>
        <v/>
      </c>
    </row>
    <row r="1957">
      <c r="F1957" s="8" t="n"/>
      <c r="G1957" s="8">
        <f>IF(E1957="","",E1957*F1957)</f>
        <v/>
      </c>
      <c r="H1957" s="8">
        <f>IF(G1957="","",G1957-I1957)</f>
        <v/>
      </c>
      <c r="I1957" s="8">
        <f>IF(D1957="","",VLOOKUP(D1957, RECETTES!B:G, 6, FALSE)*E1957)</f>
        <v/>
      </c>
      <c r="J1957" s="8">
        <f>IF(G1957="","",G1957*0.20)</f>
        <v/>
      </c>
      <c r="K1957" s="8">
        <f>IF(G1957="","",G1957+J1957)</f>
        <v/>
      </c>
    </row>
    <row r="1958">
      <c r="F1958" s="8" t="n"/>
      <c r="G1958" s="8">
        <f>IF(E1958="","",E1958*F1958)</f>
        <v/>
      </c>
      <c r="H1958" s="8">
        <f>IF(G1958="","",G1958-I1958)</f>
        <v/>
      </c>
      <c r="I1958" s="8">
        <f>IF(D1958="","",VLOOKUP(D1958, RECETTES!B:G, 6, FALSE)*E1958)</f>
        <v/>
      </c>
      <c r="J1958" s="8">
        <f>IF(G1958="","",G1958*0.20)</f>
        <v/>
      </c>
      <c r="K1958" s="8">
        <f>IF(G1958="","",G1958+J1958)</f>
        <v/>
      </c>
    </row>
    <row r="1959">
      <c r="F1959" s="8" t="n"/>
      <c r="G1959" s="8">
        <f>IF(E1959="","",E1959*F1959)</f>
        <v/>
      </c>
      <c r="H1959" s="8">
        <f>IF(G1959="","",G1959-I1959)</f>
        <v/>
      </c>
      <c r="I1959" s="8">
        <f>IF(D1959="","",VLOOKUP(D1959, RECETTES!B:G, 6, FALSE)*E1959)</f>
        <v/>
      </c>
      <c r="J1959" s="8">
        <f>IF(G1959="","",G1959*0.20)</f>
        <v/>
      </c>
      <c r="K1959" s="8">
        <f>IF(G1959="","",G1959+J1959)</f>
        <v/>
      </c>
    </row>
    <row r="1960">
      <c r="F1960" s="8" t="n"/>
      <c r="G1960" s="8">
        <f>IF(E1960="","",E1960*F1960)</f>
        <v/>
      </c>
      <c r="H1960" s="8">
        <f>IF(G1960="","",G1960-I1960)</f>
        <v/>
      </c>
      <c r="I1960" s="8">
        <f>IF(D1960="","",VLOOKUP(D1960, RECETTES!B:G, 6, FALSE)*E1960)</f>
        <v/>
      </c>
      <c r="J1960" s="8">
        <f>IF(G1960="","",G1960*0.20)</f>
        <v/>
      </c>
      <c r="K1960" s="8">
        <f>IF(G1960="","",G1960+J1960)</f>
        <v/>
      </c>
    </row>
    <row r="1961">
      <c r="F1961" s="8" t="n"/>
      <c r="G1961" s="8">
        <f>IF(E1961="","",E1961*F1961)</f>
        <v/>
      </c>
      <c r="H1961" s="8">
        <f>IF(G1961="","",G1961-I1961)</f>
        <v/>
      </c>
      <c r="I1961" s="8">
        <f>IF(D1961="","",VLOOKUP(D1961, RECETTES!B:G, 6, FALSE)*E1961)</f>
        <v/>
      </c>
      <c r="J1961" s="8">
        <f>IF(G1961="","",G1961*0.20)</f>
        <v/>
      </c>
      <c r="K1961" s="8">
        <f>IF(G1961="","",G1961+J1961)</f>
        <v/>
      </c>
    </row>
    <row r="1962">
      <c r="F1962" s="8" t="n"/>
      <c r="G1962" s="8">
        <f>IF(E1962="","",E1962*F1962)</f>
        <v/>
      </c>
      <c r="H1962" s="8">
        <f>IF(G1962="","",G1962-I1962)</f>
        <v/>
      </c>
      <c r="I1962" s="8">
        <f>IF(D1962="","",VLOOKUP(D1962, RECETTES!B:G, 6, FALSE)*E1962)</f>
        <v/>
      </c>
      <c r="J1962" s="8">
        <f>IF(G1962="","",G1962*0.20)</f>
        <v/>
      </c>
      <c r="K1962" s="8">
        <f>IF(G1962="","",G1962+J1962)</f>
        <v/>
      </c>
    </row>
    <row r="1963">
      <c r="F1963" s="8" t="n"/>
      <c r="G1963" s="8">
        <f>IF(E1963="","",E1963*F1963)</f>
        <v/>
      </c>
      <c r="H1963" s="8">
        <f>IF(G1963="","",G1963-I1963)</f>
        <v/>
      </c>
      <c r="I1963" s="8">
        <f>IF(D1963="","",VLOOKUP(D1963, RECETTES!B:G, 6, FALSE)*E1963)</f>
        <v/>
      </c>
      <c r="J1963" s="8">
        <f>IF(G1963="","",G1963*0.20)</f>
        <v/>
      </c>
      <c r="K1963" s="8">
        <f>IF(G1963="","",G1963+J1963)</f>
        <v/>
      </c>
    </row>
    <row r="1964">
      <c r="F1964" s="8" t="n"/>
      <c r="G1964" s="8">
        <f>IF(E1964="","",E1964*F1964)</f>
        <v/>
      </c>
      <c r="H1964" s="8">
        <f>IF(G1964="","",G1964-I1964)</f>
        <v/>
      </c>
      <c r="I1964" s="8">
        <f>IF(D1964="","",VLOOKUP(D1964, RECETTES!B:G, 6, FALSE)*E1964)</f>
        <v/>
      </c>
      <c r="J1964" s="8">
        <f>IF(G1964="","",G1964*0.20)</f>
        <v/>
      </c>
      <c r="K1964" s="8">
        <f>IF(G1964="","",G1964+J1964)</f>
        <v/>
      </c>
    </row>
    <row r="1965">
      <c r="F1965" s="8" t="n"/>
      <c r="G1965" s="8">
        <f>IF(E1965="","",E1965*F1965)</f>
        <v/>
      </c>
      <c r="H1965" s="8">
        <f>IF(G1965="","",G1965-I1965)</f>
        <v/>
      </c>
      <c r="I1965" s="8">
        <f>IF(D1965="","",VLOOKUP(D1965, RECETTES!B:G, 6, FALSE)*E1965)</f>
        <v/>
      </c>
      <c r="J1965" s="8">
        <f>IF(G1965="","",G1965*0.20)</f>
        <v/>
      </c>
      <c r="K1965" s="8">
        <f>IF(G1965="","",G1965+J1965)</f>
        <v/>
      </c>
    </row>
    <row r="1966">
      <c r="F1966" s="8" t="n"/>
      <c r="G1966" s="8">
        <f>IF(E1966="","",E1966*F1966)</f>
        <v/>
      </c>
      <c r="H1966" s="8">
        <f>IF(G1966="","",G1966-I1966)</f>
        <v/>
      </c>
      <c r="I1966" s="8">
        <f>IF(D1966="","",VLOOKUP(D1966, RECETTES!B:G, 6, FALSE)*E1966)</f>
        <v/>
      </c>
      <c r="J1966" s="8">
        <f>IF(G1966="","",G1966*0.20)</f>
        <v/>
      </c>
      <c r="K1966" s="8">
        <f>IF(G1966="","",G1966+J1966)</f>
        <v/>
      </c>
    </row>
    <row r="1967">
      <c r="F1967" s="8" t="n"/>
      <c r="G1967" s="8">
        <f>IF(E1967="","",E1967*F1967)</f>
        <v/>
      </c>
      <c r="H1967" s="8">
        <f>IF(G1967="","",G1967-I1967)</f>
        <v/>
      </c>
      <c r="I1967" s="8">
        <f>IF(D1967="","",VLOOKUP(D1967, RECETTES!B:G, 6, FALSE)*E1967)</f>
        <v/>
      </c>
      <c r="J1967" s="8">
        <f>IF(G1967="","",G1967*0.20)</f>
        <v/>
      </c>
      <c r="K1967" s="8">
        <f>IF(G1967="","",G1967+J1967)</f>
        <v/>
      </c>
    </row>
    <row r="1968">
      <c r="F1968" s="8" t="n"/>
      <c r="G1968" s="8">
        <f>IF(E1968="","",E1968*F1968)</f>
        <v/>
      </c>
      <c r="H1968" s="8">
        <f>IF(G1968="","",G1968-I1968)</f>
        <v/>
      </c>
      <c r="I1968" s="8">
        <f>IF(D1968="","",VLOOKUP(D1968, RECETTES!B:G, 6, FALSE)*E1968)</f>
        <v/>
      </c>
      <c r="J1968" s="8">
        <f>IF(G1968="","",G1968*0.20)</f>
        <v/>
      </c>
      <c r="K1968" s="8">
        <f>IF(G1968="","",G1968+J1968)</f>
        <v/>
      </c>
    </row>
    <row r="1969">
      <c r="F1969" s="8" t="n"/>
      <c r="G1969" s="8">
        <f>IF(E1969="","",E1969*F1969)</f>
        <v/>
      </c>
      <c r="H1969" s="8">
        <f>IF(G1969="","",G1969-I1969)</f>
        <v/>
      </c>
      <c r="I1969" s="8">
        <f>IF(D1969="","",VLOOKUP(D1969, RECETTES!B:G, 6, FALSE)*E1969)</f>
        <v/>
      </c>
      <c r="J1969" s="8">
        <f>IF(G1969="","",G1969*0.20)</f>
        <v/>
      </c>
      <c r="K1969" s="8">
        <f>IF(G1969="","",G1969+J1969)</f>
        <v/>
      </c>
    </row>
    <row r="1970">
      <c r="F1970" s="8" t="n"/>
      <c r="G1970" s="8">
        <f>IF(E1970="","",E1970*F1970)</f>
        <v/>
      </c>
      <c r="H1970" s="8">
        <f>IF(G1970="","",G1970-I1970)</f>
        <v/>
      </c>
      <c r="I1970" s="8">
        <f>IF(D1970="","",VLOOKUP(D1970, RECETTES!B:G, 6, FALSE)*E1970)</f>
        <v/>
      </c>
      <c r="J1970" s="8">
        <f>IF(G1970="","",G1970*0.20)</f>
        <v/>
      </c>
      <c r="K1970" s="8">
        <f>IF(G1970="","",G1970+J1970)</f>
        <v/>
      </c>
    </row>
    <row r="1971">
      <c r="F1971" s="8" t="n"/>
      <c r="G1971" s="8">
        <f>IF(E1971="","",E1971*F1971)</f>
        <v/>
      </c>
      <c r="H1971" s="8">
        <f>IF(G1971="","",G1971-I1971)</f>
        <v/>
      </c>
      <c r="I1971" s="8">
        <f>IF(D1971="","",VLOOKUP(D1971, RECETTES!B:G, 6, FALSE)*E1971)</f>
        <v/>
      </c>
      <c r="J1971" s="8">
        <f>IF(G1971="","",G1971*0.20)</f>
        <v/>
      </c>
      <c r="K1971" s="8">
        <f>IF(G1971="","",G1971+J1971)</f>
        <v/>
      </c>
    </row>
    <row r="1972">
      <c r="F1972" s="8" t="n"/>
      <c r="G1972" s="8">
        <f>IF(E1972="","",E1972*F1972)</f>
        <v/>
      </c>
      <c r="H1972" s="8">
        <f>IF(G1972="","",G1972-I1972)</f>
        <v/>
      </c>
      <c r="I1972" s="8">
        <f>IF(D1972="","",VLOOKUP(D1972, RECETTES!B:G, 6, FALSE)*E1972)</f>
        <v/>
      </c>
      <c r="J1972" s="8">
        <f>IF(G1972="","",G1972*0.20)</f>
        <v/>
      </c>
      <c r="K1972" s="8">
        <f>IF(G1972="","",G1972+J1972)</f>
        <v/>
      </c>
    </row>
    <row r="1973">
      <c r="F1973" s="8" t="n"/>
      <c r="G1973" s="8">
        <f>IF(E1973="","",E1973*F1973)</f>
        <v/>
      </c>
      <c r="H1973" s="8">
        <f>IF(G1973="","",G1973-I1973)</f>
        <v/>
      </c>
      <c r="I1973" s="8">
        <f>IF(D1973="","",VLOOKUP(D1973, RECETTES!B:G, 6, FALSE)*E1973)</f>
        <v/>
      </c>
      <c r="J1973" s="8">
        <f>IF(G1973="","",G1973*0.20)</f>
        <v/>
      </c>
      <c r="K1973" s="8">
        <f>IF(G1973="","",G1973+J1973)</f>
        <v/>
      </c>
    </row>
    <row r="1974">
      <c r="F1974" s="8" t="n"/>
      <c r="G1974" s="8">
        <f>IF(E1974="","",E1974*F1974)</f>
        <v/>
      </c>
      <c r="H1974" s="8">
        <f>IF(G1974="","",G1974-I1974)</f>
        <v/>
      </c>
      <c r="I1974" s="8">
        <f>IF(D1974="","",VLOOKUP(D1974, RECETTES!B:G, 6, FALSE)*E1974)</f>
        <v/>
      </c>
      <c r="J1974" s="8">
        <f>IF(G1974="","",G1974*0.20)</f>
        <v/>
      </c>
      <c r="K1974" s="8">
        <f>IF(G1974="","",G1974+J1974)</f>
        <v/>
      </c>
    </row>
    <row r="1975">
      <c r="F1975" s="8" t="n"/>
      <c r="G1975" s="8">
        <f>IF(E1975="","",E1975*F1975)</f>
        <v/>
      </c>
      <c r="H1975" s="8">
        <f>IF(G1975="","",G1975-I1975)</f>
        <v/>
      </c>
      <c r="I1975" s="8">
        <f>IF(D1975="","",VLOOKUP(D1975, RECETTES!B:G, 6, FALSE)*E1975)</f>
        <v/>
      </c>
      <c r="J1975" s="8">
        <f>IF(G1975="","",G1975*0.20)</f>
        <v/>
      </c>
      <c r="K1975" s="8">
        <f>IF(G1975="","",G1975+J1975)</f>
        <v/>
      </c>
    </row>
    <row r="1976">
      <c r="F1976" s="8" t="n"/>
      <c r="G1976" s="8">
        <f>IF(E1976="","",E1976*F1976)</f>
        <v/>
      </c>
      <c r="H1976" s="8">
        <f>IF(G1976="","",G1976-I1976)</f>
        <v/>
      </c>
      <c r="I1976" s="8">
        <f>IF(D1976="","",VLOOKUP(D1976, RECETTES!B:G, 6, FALSE)*E1976)</f>
        <v/>
      </c>
      <c r="J1976" s="8">
        <f>IF(G1976="","",G1976*0.20)</f>
        <v/>
      </c>
      <c r="K1976" s="8">
        <f>IF(G1976="","",G1976+J1976)</f>
        <v/>
      </c>
    </row>
    <row r="1977">
      <c r="F1977" s="8" t="n"/>
      <c r="G1977" s="8">
        <f>IF(E1977="","",E1977*F1977)</f>
        <v/>
      </c>
      <c r="H1977" s="8">
        <f>IF(G1977="","",G1977-I1977)</f>
        <v/>
      </c>
      <c r="I1977" s="8">
        <f>IF(D1977="","",VLOOKUP(D1977, RECETTES!B:G, 6, FALSE)*E1977)</f>
        <v/>
      </c>
      <c r="J1977" s="8">
        <f>IF(G1977="","",G1977*0.20)</f>
        <v/>
      </c>
      <c r="K1977" s="8">
        <f>IF(G1977="","",G1977+J1977)</f>
        <v/>
      </c>
    </row>
    <row r="1978">
      <c r="F1978" s="8" t="n"/>
      <c r="G1978" s="8">
        <f>IF(E1978="","",E1978*F1978)</f>
        <v/>
      </c>
      <c r="H1978" s="8">
        <f>IF(G1978="","",G1978-I1978)</f>
        <v/>
      </c>
      <c r="I1978" s="8">
        <f>IF(D1978="","",VLOOKUP(D1978, RECETTES!B:G, 6, FALSE)*E1978)</f>
        <v/>
      </c>
      <c r="J1978" s="8">
        <f>IF(G1978="","",G1978*0.20)</f>
        <v/>
      </c>
      <c r="K1978" s="8">
        <f>IF(G1978="","",G1978+J1978)</f>
        <v/>
      </c>
    </row>
    <row r="1979">
      <c r="F1979" s="8" t="n"/>
      <c r="G1979" s="8">
        <f>IF(E1979="","",E1979*F1979)</f>
        <v/>
      </c>
      <c r="H1979" s="8">
        <f>IF(G1979="","",G1979-I1979)</f>
        <v/>
      </c>
      <c r="I1979" s="8">
        <f>IF(D1979="","",VLOOKUP(D1979, RECETTES!B:G, 6, FALSE)*E1979)</f>
        <v/>
      </c>
      <c r="J1979" s="8">
        <f>IF(G1979="","",G1979*0.20)</f>
        <v/>
      </c>
      <c r="K1979" s="8">
        <f>IF(G1979="","",G1979+J1979)</f>
        <v/>
      </c>
    </row>
    <row r="1980">
      <c r="F1980" s="8" t="n"/>
      <c r="G1980" s="8">
        <f>IF(E1980="","",E1980*F1980)</f>
        <v/>
      </c>
      <c r="H1980" s="8">
        <f>IF(G1980="","",G1980-I1980)</f>
        <v/>
      </c>
      <c r="I1980" s="8">
        <f>IF(D1980="","",VLOOKUP(D1980, RECETTES!B:G, 6, FALSE)*E1980)</f>
        <v/>
      </c>
      <c r="J1980" s="8">
        <f>IF(G1980="","",G1980*0.20)</f>
        <v/>
      </c>
      <c r="K1980" s="8">
        <f>IF(G1980="","",G1980+J1980)</f>
        <v/>
      </c>
    </row>
    <row r="1981">
      <c r="F1981" s="8" t="n"/>
      <c r="G1981" s="8">
        <f>IF(E1981="","",E1981*F1981)</f>
        <v/>
      </c>
      <c r="H1981" s="8">
        <f>IF(G1981="","",G1981-I1981)</f>
        <v/>
      </c>
      <c r="I1981" s="8">
        <f>IF(D1981="","",VLOOKUP(D1981, RECETTES!B:G, 6, FALSE)*E1981)</f>
        <v/>
      </c>
      <c r="J1981" s="8">
        <f>IF(G1981="","",G1981*0.20)</f>
        <v/>
      </c>
      <c r="K1981" s="8">
        <f>IF(G1981="","",G1981+J1981)</f>
        <v/>
      </c>
    </row>
    <row r="1982">
      <c r="F1982" s="8" t="n"/>
      <c r="G1982" s="8">
        <f>IF(E1982="","",E1982*F1982)</f>
        <v/>
      </c>
      <c r="H1982" s="8">
        <f>IF(G1982="","",G1982-I1982)</f>
        <v/>
      </c>
      <c r="I1982" s="8">
        <f>IF(D1982="","",VLOOKUP(D1982, RECETTES!B:G, 6, FALSE)*E1982)</f>
        <v/>
      </c>
      <c r="J1982" s="8">
        <f>IF(G1982="","",G1982*0.20)</f>
        <v/>
      </c>
      <c r="K1982" s="8">
        <f>IF(G1982="","",G1982+J1982)</f>
        <v/>
      </c>
    </row>
    <row r="1983">
      <c r="F1983" s="8" t="n"/>
      <c r="G1983" s="8">
        <f>IF(E1983="","",E1983*F1983)</f>
        <v/>
      </c>
      <c r="H1983" s="8">
        <f>IF(G1983="","",G1983-I1983)</f>
        <v/>
      </c>
      <c r="I1983" s="8">
        <f>IF(D1983="","",VLOOKUP(D1983, RECETTES!B:G, 6, FALSE)*E1983)</f>
        <v/>
      </c>
      <c r="J1983" s="8">
        <f>IF(G1983="","",G1983*0.20)</f>
        <v/>
      </c>
      <c r="K1983" s="8">
        <f>IF(G1983="","",G1983+J1983)</f>
        <v/>
      </c>
    </row>
    <row r="1984">
      <c r="F1984" s="8" t="n"/>
      <c r="G1984" s="8">
        <f>IF(E1984="","",E1984*F1984)</f>
        <v/>
      </c>
      <c r="H1984" s="8">
        <f>IF(G1984="","",G1984-I1984)</f>
        <v/>
      </c>
      <c r="I1984" s="8">
        <f>IF(D1984="","",VLOOKUP(D1984, RECETTES!B:G, 6, FALSE)*E1984)</f>
        <v/>
      </c>
      <c r="J1984" s="8">
        <f>IF(G1984="","",G1984*0.20)</f>
        <v/>
      </c>
      <c r="K1984" s="8">
        <f>IF(G1984="","",G1984+J1984)</f>
        <v/>
      </c>
    </row>
    <row r="1985">
      <c r="F1985" s="8" t="n"/>
      <c r="G1985" s="8">
        <f>IF(E1985="","",E1985*F1985)</f>
        <v/>
      </c>
      <c r="H1985" s="8">
        <f>IF(G1985="","",G1985-I1985)</f>
        <v/>
      </c>
      <c r="I1985" s="8">
        <f>IF(D1985="","",VLOOKUP(D1985, RECETTES!B:G, 6, FALSE)*E1985)</f>
        <v/>
      </c>
      <c r="J1985" s="8">
        <f>IF(G1985="","",G1985*0.20)</f>
        <v/>
      </c>
      <c r="K1985" s="8">
        <f>IF(G1985="","",G1985+J1985)</f>
        <v/>
      </c>
    </row>
    <row r="1986">
      <c r="F1986" s="8" t="n"/>
      <c r="G1986" s="8">
        <f>IF(E1986="","",E1986*F1986)</f>
        <v/>
      </c>
      <c r="H1986" s="8">
        <f>IF(G1986="","",G1986-I1986)</f>
        <v/>
      </c>
      <c r="I1986" s="8">
        <f>IF(D1986="","",VLOOKUP(D1986, RECETTES!B:G, 6, FALSE)*E1986)</f>
        <v/>
      </c>
      <c r="J1986" s="8">
        <f>IF(G1986="","",G1986*0.20)</f>
        <v/>
      </c>
      <c r="K1986" s="8">
        <f>IF(G1986="","",G1986+J1986)</f>
        <v/>
      </c>
    </row>
    <row r="1987">
      <c r="F1987" s="8" t="n"/>
      <c r="G1987" s="8">
        <f>IF(E1987="","",E1987*F1987)</f>
        <v/>
      </c>
      <c r="H1987" s="8">
        <f>IF(G1987="","",G1987-I1987)</f>
        <v/>
      </c>
      <c r="I1987" s="8">
        <f>IF(D1987="","",VLOOKUP(D1987, RECETTES!B:G, 6, FALSE)*E1987)</f>
        <v/>
      </c>
      <c r="J1987" s="8">
        <f>IF(G1987="","",G1987*0.20)</f>
        <v/>
      </c>
      <c r="K1987" s="8">
        <f>IF(G1987="","",G1987+J1987)</f>
        <v/>
      </c>
    </row>
    <row r="1988">
      <c r="F1988" s="8" t="n"/>
      <c r="G1988" s="8">
        <f>IF(E1988="","",E1988*F1988)</f>
        <v/>
      </c>
      <c r="H1988" s="8">
        <f>IF(G1988="","",G1988-I1988)</f>
        <v/>
      </c>
      <c r="I1988" s="8">
        <f>IF(D1988="","",VLOOKUP(D1988, RECETTES!B:G, 6, FALSE)*E1988)</f>
        <v/>
      </c>
      <c r="J1988" s="8">
        <f>IF(G1988="","",G1988*0.20)</f>
        <v/>
      </c>
      <c r="K1988" s="8">
        <f>IF(G1988="","",G1988+J1988)</f>
        <v/>
      </c>
    </row>
    <row r="1989">
      <c r="F1989" s="8" t="n"/>
      <c r="G1989" s="8">
        <f>IF(E1989="","",E1989*F1989)</f>
        <v/>
      </c>
      <c r="H1989" s="8">
        <f>IF(G1989="","",G1989-I1989)</f>
        <v/>
      </c>
      <c r="I1989" s="8">
        <f>IF(D1989="","",VLOOKUP(D1989, RECETTES!B:G, 6, FALSE)*E1989)</f>
        <v/>
      </c>
      <c r="J1989" s="8">
        <f>IF(G1989="","",G1989*0.20)</f>
        <v/>
      </c>
      <c r="K1989" s="8">
        <f>IF(G1989="","",G1989+J1989)</f>
        <v/>
      </c>
    </row>
    <row r="1990">
      <c r="F1990" s="8" t="n"/>
      <c r="G1990" s="8">
        <f>IF(E1990="","",E1990*F1990)</f>
        <v/>
      </c>
      <c r="H1990" s="8">
        <f>IF(G1990="","",G1990-I1990)</f>
        <v/>
      </c>
      <c r="I1990" s="8">
        <f>IF(D1990="","",VLOOKUP(D1990, RECETTES!B:G, 6, FALSE)*E1990)</f>
        <v/>
      </c>
      <c r="J1990" s="8">
        <f>IF(G1990="","",G1990*0.20)</f>
        <v/>
      </c>
      <c r="K1990" s="8">
        <f>IF(G1990="","",G1990+J1990)</f>
        <v/>
      </c>
    </row>
    <row r="1991">
      <c r="F1991" s="8" t="n"/>
      <c r="G1991" s="8">
        <f>IF(E1991="","",E1991*F1991)</f>
        <v/>
      </c>
      <c r="H1991" s="8">
        <f>IF(G1991="","",G1991-I1991)</f>
        <v/>
      </c>
      <c r="I1991" s="8">
        <f>IF(D1991="","",VLOOKUP(D1991, RECETTES!B:G, 6, FALSE)*E1991)</f>
        <v/>
      </c>
      <c r="J1991" s="8">
        <f>IF(G1991="","",G1991*0.20)</f>
        <v/>
      </c>
      <c r="K1991" s="8">
        <f>IF(G1991="","",G1991+J1991)</f>
        <v/>
      </c>
    </row>
    <row r="1992">
      <c r="F1992" s="8" t="n"/>
      <c r="G1992" s="8">
        <f>IF(E1992="","",E1992*F1992)</f>
        <v/>
      </c>
      <c r="H1992" s="8">
        <f>IF(G1992="","",G1992-I1992)</f>
        <v/>
      </c>
      <c r="I1992" s="8">
        <f>IF(D1992="","",VLOOKUP(D1992, RECETTES!B:G, 6, FALSE)*E1992)</f>
        <v/>
      </c>
      <c r="J1992" s="8">
        <f>IF(G1992="","",G1992*0.20)</f>
        <v/>
      </c>
      <c r="K1992" s="8">
        <f>IF(G1992="","",G1992+J1992)</f>
        <v/>
      </c>
    </row>
    <row r="1993">
      <c r="F1993" s="8" t="n"/>
      <c r="G1993" s="8">
        <f>IF(E1993="","",E1993*F1993)</f>
        <v/>
      </c>
      <c r="H1993" s="8">
        <f>IF(G1993="","",G1993-I1993)</f>
        <v/>
      </c>
      <c r="I1993" s="8">
        <f>IF(D1993="","",VLOOKUP(D1993, RECETTES!B:G, 6, FALSE)*E1993)</f>
        <v/>
      </c>
      <c r="J1993" s="8">
        <f>IF(G1993="","",G1993*0.20)</f>
        <v/>
      </c>
      <c r="K1993" s="8">
        <f>IF(G1993="","",G1993+J1993)</f>
        <v/>
      </c>
    </row>
    <row r="1994">
      <c r="F1994" s="8" t="n"/>
      <c r="G1994" s="8">
        <f>IF(E1994="","",E1994*F1994)</f>
        <v/>
      </c>
      <c r="H1994" s="8">
        <f>IF(G1994="","",G1994-I1994)</f>
        <v/>
      </c>
      <c r="I1994" s="8">
        <f>IF(D1994="","",VLOOKUP(D1994, RECETTES!B:G, 6, FALSE)*E1994)</f>
        <v/>
      </c>
      <c r="J1994" s="8">
        <f>IF(G1994="","",G1994*0.20)</f>
        <v/>
      </c>
      <c r="K1994" s="8">
        <f>IF(G1994="","",G1994+J1994)</f>
        <v/>
      </c>
    </row>
    <row r="1995">
      <c r="F1995" s="8" t="n"/>
      <c r="G1995" s="8">
        <f>IF(E1995="","",E1995*F1995)</f>
        <v/>
      </c>
      <c r="H1995" s="8">
        <f>IF(G1995="","",G1995-I1995)</f>
        <v/>
      </c>
      <c r="I1995" s="8">
        <f>IF(D1995="","",VLOOKUP(D1995, RECETTES!B:G, 6, FALSE)*E1995)</f>
        <v/>
      </c>
      <c r="J1995" s="8">
        <f>IF(G1995="","",G1995*0.20)</f>
        <v/>
      </c>
      <c r="K1995" s="8">
        <f>IF(G1995="","",G1995+J1995)</f>
        <v/>
      </c>
    </row>
    <row r="1996">
      <c r="F1996" s="8" t="n"/>
      <c r="G1996" s="8">
        <f>IF(E1996="","",E1996*F1996)</f>
        <v/>
      </c>
      <c r="H1996" s="8">
        <f>IF(G1996="","",G1996-I1996)</f>
        <v/>
      </c>
      <c r="I1996" s="8">
        <f>IF(D1996="","",VLOOKUP(D1996, RECETTES!B:G, 6, FALSE)*E1996)</f>
        <v/>
      </c>
      <c r="J1996" s="8">
        <f>IF(G1996="","",G1996*0.20)</f>
        <v/>
      </c>
      <c r="K1996" s="8">
        <f>IF(G1996="","",G1996+J1996)</f>
        <v/>
      </c>
    </row>
    <row r="1997">
      <c r="F1997" s="8" t="n"/>
      <c r="G1997" s="8">
        <f>IF(E1997="","",E1997*F1997)</f>
        <v/>
      </c>
      <c r="H1997" s="8">
        <f>IF(G1997="","",G1997-I1997)</f>
        <v/>
      </c>
      <c r="I1997" s="8">
        <f>IF(D1997="","",VLOOKUP(D1997, RECETTES!B:G, 6, FALSE)*E1997)</f>
        <v/>
      </c>
      <c r="J1997" s="8">
        <f>IF(G1997="","",G1997*0.20)</f>
        <v/>
      </c>
      <c r="K1997" s="8">
        <f>IF(G1997="","",G1997+J1997)</f>
        <v/>
      </c>
    </row>
    <row r="1998">
      <c r="F1998" s="8" t="n"/>
      <c r="G1998" s="8">
        <f>IF(E1998="","",E1998*F1998)</f>
        <v/>
      </c>
      <c r="H1998" s="8">
        <f>IF(G1998="","",G1998-I1998)</f>
        <v/>
      </c>
      <c r="I1998" s="8">
        <f>IF(D1998="","",VLOOKUP(D1998, RECETTES!B:G, 6, FALSE)*E1998)</f>
        <v/>
      </c>
      <c r="J1998" s="8">
        <f>IF(G1998="","",G1998*0.20)</f>
        <v/>
      </c>
      <c r="K1998" s="8">
        <f>IF(G1998="","",G1998+J1998)</f>
        <v/>
      </c>
    </row>
    <row r="1999">
      <c r="F1999" s="8" t="n"/>
      <c r="G1999" s="8">
        <f>IF(E1999="","",E1999*F1999)</f>
        <v/>
      </c>
      <c r="H1999" s="8">
        <f>IF(G1999="","",G1999-I1999)</f>
        <v/>
      </c>
      <c r="I1999" s="8">
        <f>IF(D1999="","",VLOOKUP(D1999, RECETTES!B:G, 6, FALSE)*E1999)</f>
        <v/>
      </c>
      <c r="J1999" s="8">
        <f>IF(G1999="","",G1999*0.20)</f>
        <v/>
      </c>
      <c r="K1999" s="8">
        <f>IF(G1999="","",G1999+J1999)</f>
        <v/>
      </c>
    </row>
    <row r="2000">
      <c r="F2000" s="8" t="n"/>
      <c r="G2000" s="8">
        <f>IF(E2000="","",E2000*F2000)</f>
        <v/>
      </c>
      <c r="H2000" s="8">
        <f>IF(G2000="","",G2000-I2000)</f>
        <v/>
      </c>
      <c r="I2000" s="8">
        <f>IF(D2000="","",VLOOKUP(D2000, RECETTES!B:G, 6, FALSE)*E2000)</f>
        <v/>
      </c>
      <c r="J2000" s="8">
        <f>IF(G2000="","",G2000*0.20)</f>
        <v/>
      </c>
      <c r="K2000" s="8">
        <f>IF(G2000="","",G2000+J2000)</f>
        <v/>
      </c>
    </row>
    <row r="2001">
      <c r="F2001" s="8" t="n"/>
      <c r="G2001" s="8">
        <f>IF(E2001="","",E2001*F2001)</f>
        <v/>
      </c>
      <c r="H2001" s="8">
        <f>IF(G2001="","",G2001-I2001)</f>
        <v/>
      </c>
      <c r="I2001" s="8">
        <f>IF(D2001="","",VLOOKUP(D2001, RECETTES!B:G, 6, FALSE)*E2001)</f>
        <v/>
      </c>
      <c r="J2001" s="8">
        <f>IF(G2001="","",G2001*0.20)</f>
        <v/>
      </c>
      <c r="K2001" s="8">
        <f>IF(G2001="","",G2001+J2001)</f>
        <v/>
      </c>
    </row>
    <row r="2002">
      <c r="F2002" s="8" t="n"/>
      <c r="G2002" s="8">
        <f>IF(E2002="","",E2002*F2002)</f>
        <v/>
      </c>
      <c r="H2002" s="8">
        <f>IF(G2002="","",G2002-I2002)</f>
        <v/>
      </c>
      <c r="I2002" s="8">
        <f>IF(D2002="","",VLOOKUP(D2002, RECETTES!B:G, 6, FALSE)*E2002)</f>
        <v/>
      </c>
      <c r="J2002" s="8">
        <f>IF(G2002="","",G2002*0.20)</f>
        <v/>
      </c>
      <c r="K2002" s="8">
        <f>IF(G2002="","",G2002+J2002)</f>
        <v/>
      </c>
    </row>
    <row r="2003">
      <c r="F2003" s="8" t="n"/>
      <c r="G2003" s="8">
        <f>IF(E2003="","",E2003*F2003)</f>
        <v/>
      </c>
      <c r="H2003" s="8">
        <f>IF(G2003="","",G2003-I2003)</f>
        <v/>
      </c>
      <c r="I2003" s="8">
        <f>IF(D2003="","",VLOOKUP(D2003, RECETTES!B:G, 6, FALSE)*E2003)</f>
        <v/>
      </c>
      <c r="J2003" s="8">
        <f>IF(G2003="","",G2003*0.20)</f>
        <v/>
      </c>
      <c r="K2003" s="8">
        <f>IF(G2003="","",G2003+J2003)</f>
        <v/>
      </c>
    </row>
    <row r="2004">
      <c r="F2004" s="8" t="n"/>
      <c r="G2004" s="8">
        <f>IF(E2004="","",E2004*F2004)</f>
        <v/>
      </c>
      <c r="H2004" s="8">
        <f>IF(G2004="","",G2004-I2004)</f>
        <v/>
      </c>
      <c r="I2004" s="8">
        <f>IF(D2004="","",VLOOKUP(D2004, RECETTES!B:G, 6, FALSE)*E2004)</f>
        <v/>
      </c>
      <c r="J2004" s="8">
        <f>IF(G2004="","",G2004*0.20)</f>
        <v/>
      </c>
      <c r="K2004" s="8">
        <f>IF(G2004="","",G2004+J2004)</f>
        <v/>
      </c>
    </row>
    <row r="2005">
      <c r="F2005" s="8" t="n"/>
      <c r="G2005" s="8">
        <f>IF(E2005="","",E2005*F2005)</f>
        <v/>
      </c>
      <c r="H2005" s="8">
        <f>IF(G2005="","",G2005-I2005)</f>
        <v/>
      </c>
      <c r="I2005" s="8">
        <f>IF(D2005="","",VLOOKUP(D2005, RECETTES!B:G, 6, FALSE)*E2005)</f>
        <v/>
      </c>
      <c r="J2005" s="8">
        <f>IF(G2005="","",G2005*0.20)</f>
        <v/>
      </c>
      <c r="K2005" s="8">
        <f>IF(G2005="","",G2005+J2005)</f>
        <v/>
      </c>
    </row>
    <row r="2006">
      <c r="F2006" s="8" t="n"/>
      <c r="G2006" s="8">
        <f>IF(E2006="","",E2006*F2006)</f>
        <v/>
      </c>
      <c r="H2006" s="8">
        <f>IF(G2006="","",G2006-I2006)</f>
        <v/>
      </c>
      <c r="I2006" s="8">
        <f>IF(D2006="","",VLOOKUP(D2006, RECETTES!B:G, 6, FALSE)*E2006)</f>
        <v/>
      </c>
      <c r="J2006" s="8">
        <f>IF(G2006="","",G2006*0.20)</f>
        <v/>
      </c>
      <c r="K2006" s="8">
        <f>IF(G2006="","",G2006+J2006)</f>
        <v/>
      </c>
    </row>
    <row r="2007">
      <c r="F2007" s="8" t="n"/>
      <c r="G2007" s="8">
        <f>IF(E2007="","",E2007*F2007)</f>
        <v/>
      </c>
      <c r="H2007" s="8">
        <f>IF(G2007="","",G2007-I2007)</f>
        <v/>
      </c>
      <c r="I2007" s="8">
        <f>IF(D2007="","",VLOOKUP(D2007, RECETTES!B:G, 6, FALSE)*E2007)</f>
        <v/>
      </c>
      <c r="J2007" s="8">
        <f>IF(G2007="","",G2007*0.20)</f>
        <v/>
      </c>
      <c r="K2007" s="8">
        <f>IF(G2007="","",G2007+J2007)</f>
        <v/>
      </c>
    </row>
    <row r="2008">
      <c r="F2008" s="8" t="n"/>
      <c r="G2008" s="8">
        <f>IF(E2008="","",E2008*F2008)</f>
        <v/>
      </c>
      <c r="H2008" s="8">
        <f>IF(G2008="","",G2008-I2008)</f>
        <v/>
      </c>
      <c r="I2008" s="8">
        <f>IF(D2008="","",VLOOKUP(D2008, RECETTES!B:G, 6, FALSE)*E2008)</f>
        <v/>
      </c>
      <c r="J2008" s="8">
        <f>IF(G2008="","",G2008*0.20)</f>
        <v/>
      </c>
      <c r="K2008" s="8">
        <f>IF(G2008="","",G2008+J2008)</f>
        <v/>
      </c>
    </row>
    <row r="2009">
      <c r="F2009" s="8" t="n"/>
      <c r="G2009" s="8">
        <f>IF(E2009="","",E2009*F2009)</f>
        <v/>
      </c>
      <c r="H2009" s="8">
        <f>IF(G2009="","",G2009-I2009)</f>
        <v/>
      </c>
      <c r="I2009" s="8">
        <f>IF(D2009="","",VLOOKUP(D2009, RECETTES!B:G, 6, FALSE)*E2009)</f>
        <v/>
      </c>
      <c r="J2009" s="8">
        <f>IF(G2009="","",G2009*0.20)</f>
        <v/>
      </c>
      <c r="K2009" s="8">
        <f>IF(G2009="","",G2009+J2009)</f>
        <v/>
      </c>
    </row>
    <row r="2010">
      <c r="F2010" s="8" t="n"/>
      <c r="G2010" s="8">
        <f>IF(E2010="","",E2010*F2010)</f>
        <v/>
      </c>
      <c r="H2010" s="8">
        <f>IF(G2010="","",G2010-I2010)</f>
        <v/>
      </c>
      <c r="I2010" s="8">
        <f>IF(D2010="","",VLOOKUP(D2010, RECETTES!B:G, 6, FALSE)*E2010)</f>
        <v/>
      </c>
      <c r="J2010" s="8">
        <f>IF(G2010="","",G2010*0.20)</f>
        <v/>
      </c>
      <c r="K2010" s="8">
        <f>IF(G2010="","",G2010+J2010)</f>
        <v/>
      </c>
    </row>
    <row r="2011">
      <c r="F2011" s="8" t="n"/>
      <c r="G2011" s="8">
        <f>IF(E2011="","",E2011*F2011)</f>
        <v/>
      </c>
      <c r="H2011" s="8">
        <f>IF(G2011="","",G2011-I2011)</f>
        <v/>
      </c>
      <c r="I2011" s="8">
        <f>IF(D2011="","",VLOOKUP(D2011, RECETTES!B:G, 6, FALSE)*E2011)</f>
        <v/>
      </c>
      <c r="J2011" s="8">
        <f>IF(G2011="","",G2011*0.20)</f>
        <v/>
      </c>
      <c r="K2011" s="8">
        <f>IF(G2011="","",G2011+J2011)</f>
        <v/>
      </c>
    </row>
    <row r="2012">
      <c r="F2012" s="8" t="n"/>
      <c r="G2012" s="8">
        <f>IF(E2012="","",E2012*F2012)</f>
        <v/>
      </c>
      <c r="H2012" s="8">
        <f>IF(G2012="","",G2012-I2012)</f>
        <v/>
      </c>
      <c r="I2012" s="8">
        <f>IF(D2012="","",VLOOKUP(D2012, RECETTES!B:G, 6, FALSE)*E2012)</f>
        <v/>
      </c>
      <c r="J2012" s="8">
        <f>IF(G2012="","",G2012*0.20)</f>
        <v/>
      </c>
      <c r="K2012" s="8">
        <f>IF(G2012="","",G2012+J2012)</f>
        <v/>
      </c>
    </row>
    <row r="2013">
      <c r="F2013" s="8" t="n"/>
      <c r="G2013" s="8">
        <f>IF(E2013="","",E2013*F2013)</f>
        <v/>
      </c>
      <c r="H2013" s="8">
        <f>IF(G2013="","",G2013-I2013)</f>
        <v/>
      </c>
      <c r="I2013" s="8">
        <f>IF(D2013="","",VLOOKUP(D2013, RECETTES!B:G, 6, FALSE)*E2013)</f>
        <v/>
      </c>
      <c r="J2013" s="8">
        <f>IF(G2013="","",G2013*0.20)</f>
        <v/>
      </c>
      <c r="K2013" s="8">
        <f>IF(G2013="","",G2013+J2013)</f>
        <v/>
      </c>
    </row>
    <row r="2014">
      <c r="F2014" s="8" t="n"/>
      <c r="G2014" s="8">
        <f>IF(E2014="","",E2014*F2014)</f>
        <v/>
      </c>
      <c r="H2014" s="8">
        <f>IF(G2014="","",G2014-I2014)</f>
        <v/>
      </c>
      <c r="I2014" s="8">
        <f>IF(D2014="","",VLOOKUP(D2014, RECETTES!B:G, 6, FALSE)*E2014)</f>
        <v/>
      </c>
      <c r="J2014" s="8">
        <f>IF(G2014="","",G2014*0.20)</f>
        <v/>
      </c>
      <c r="K2014" s="8">
        <f>IF(G2014="","",G2014+J2014)</f>
        <v/>
      </c>
    </row>
    <row r="2015">
      <c r="F2015" s="8" t="n"/>
      <c r="G2015" s="8">
        <f>IF(E2015="","",E2015*F2015)</f>
        <v/>
      </c>
      <c r="H2015" s="8">
        <f>IF(G2015="","",G2015-I2015)</f>
        <v/>
      </c>
      <c r="I2015" s="8">
        <f>IF(D2015="","",VLOOKUP(D2015, RECETTES!B:G, 6, FALSE)*E2015)</f>
        <v/>
      </c>
      <c r="J2015" s="8">
        <f>IF(G2015="","",G2015*0.20)</f>
        <v/>
      </c>
      <c r="K2015" s="8">
        <f>IF(G2015="","",G2015+J2015)</f>
        <v/>
      </c>
    </row>
    <row r="2016">
      <c r="F2016" s="8" t="n"/>
      <c r="G2016" s="8">
        <f>IF(E2016="","",E2016*F2016)</f>
        <v/>
      </c>
      <c r="H2016" s="8">
        <f>IF(G2016="","",G2016-I2016)</f>
        <v/>
      </c>
      <c r="I2016" s="8">
        <f>IF(D2016="","",VLOOKUP(D2016, RECETTES!B:G, 6, FALSE)*E2016)</f>
        <v/>
      </c>
      <c r="J2016" s="8">
        <f>IF(G2016="","",G2016*0.20)</f>
        <v/>
      </c>
      <c r="K2016" s="8">
        <f>IF(G2016="","",G2016+J2016)</f>
        <v/>
      </c>
    </row>
    <row r="2017">
      <c r="F2017" s="8" t="n"/>
      <c r="G2017" s="8">
        <f>IF(E2017="","",E2017*F2017)</f>
        <v/>
      </c>
      <c r="H2017" s="8">
        <f>IF(G2017="","",G2017-I2017)</f>
        <v/>
      </c>
      <c r="I2017" s="8">
        <f>IF(D2017="","",VLOOKUP(D2017, RECETTES!B:G, 6, FALSE)*E2017)</f>
        <v/>
      </c>
      <c r="J2017" s="8">
        <f>IF(G2017="","",G2017*0.20)</f>
        <v/>
      </c>
      <c r="K2017" s="8">
        <f>IF(G2017="","",G2017+J2017)</f>
        <v/>
      </c>
    </row>
    <row r="2018">
      <c r="F2018" s="8" t="n"/>
      <c r="G2018" s="8">
        <f>IF(E2018="","",E2018*F2018)</f>
        <v/>
      </c>
      <c r="H2018" s="8">
        <f>IF(G2018="","",G2018-I2018)</f>
        <v/>
      </c>
      <c r="I2018" s="8">
        <f>IF(D2018="","",VLOOKUP(D2018, RECETTES!B:G, 6, FALSE)*E2018)</f>
        <v/>
      </c>
      <c r="J2018" s="8">
        <f>IF(G2018="","",G2018*0.20)</f>
        <v/>
      </c>
      <c r="K2018" s="8">
        <f>IF(G2018="","",G2018+J2018)</f>
        <v/>
      </c>
    </row>
    <row r="2019">
      <c r="F2019" s="8" t="n"/>
      <c r="G2019" s="8">
        <f>IF(E2019="","",E2019*F2019)</f>
        <v/>
      </c>
      <c r="H2019" s="8">
        <f>IF(G2019="","",G2019-I2019)</f>
        <v/>
      </c>
      <c r="I2019" s="8">
        <f>IF(D2019="","",VLOOKUP(D2019, RECETTES!B:G, 6, FALSE)*E2019)</f>
        <v/>
      </c>
      <c r="J2019" s="8">
        <f>IF(G2019="","",G2019*0.20)</f>
        <v/>
      </c>
      <c r="K2019" s="8">
        <f>IF(G2019="","",G2019+J2019)</f>
        <v/>
      </c>
    </row>
    <row r="2020">
      <c r="F2020" s="8" t="n"/>
      <c r="G2020" s="8">
        <f>IF(E2020="","",E2020*F2020)</f>
        <v/>
      </c>
      <c r="H2020" s="8">
        <f>IF(G2020="","",G2020-I2020)</f>
        <v/>
      </c>
      <c r="I2020" s="8">
        <f>IF(D2020="","",VLOOKUP(D2020, RECETTES!B:G, 6, FALSE)*E2020)</f>
        <v/>
      </c>
      <c r="J2020" s="8">
        <f>IF(G2020="","",G2020*0.20)</f>
        <v/>
      </c>
      <c r="K2020" s="8">
        <f>IF(G2020="","",G2020+J2020)</f>
        <v/>
      </c>
    </row>
    <row r="2021">
      <c r="F2021" s="8" t="n"/>
      <c r="G2021" s="8">
        <f>IF(E2021="","",E2021*F2021)</f>
        <v/>
      </c>
      <c r="H2021" s="8">
        <f>IF(G2021="","",G2021-I2021)</f>
        <v/>
      </c>
      <c r="I2021" s="8">
        <f>IF(D2021="","",VLOOKUP(D2021, RECETTES!B:G, 6, FALSE)*E2021)</f>
        <v/>
      </c>
      <c r="J2021" s="8">
        <f>IF(G2021="","",G2021*0.20)</f>
        <v/>
      </c>
      <c r="K2021" s="8">
        <f>IF(G2021="","",G2021+J2021)</f>
        <v/>
      </c>
    </row>
    <row r="2022">
      <c r="F2022" s="8" t="n"/>
      <c r="G2022" s="8">
        <f>IF(E2022="","",E2022*F2022)</f>
        <v/>
      </c>
      <c r="H2022" s="8">
        <f>IF(G2022="","",G2022-I2022)</f>
        <v/>
      </c>
      <c r="I2022" s="8">
        <f>IF(D2022="","",VLOOKUP(D2022, RECETTES!B:G, 6, FALSE)*E2022)</f>
        <v/>
      </c>
      <c r="J2022" s="8">
        <f>IF(G2022="","",G2022*0.20)</f>
        <v/>
      </c>
      <c r="K2022" s="8">
        <f>IF(G2022="","",G2022+J2022)</f>
        <v/>
      </c>
    </row>
    <row r="2023">
      <c r="F2023" s="8" t="n"/>
      <c r="G2023" s="8">
        <f>IF(E2023="","",E2023*F2023)</f>
        <v/>
      </c>
      <c r="H2023" s="8">
        <f>IF(G2023="","",G2023-I2023)</f>
        <v/>
      </c>
      <c r="I2023" s="8">
        <f>IF(D2023="","",VLOOKUP(D2023, RECETTES!B:G, 6, FALSE)*E2023)</f>
        <v/>
      </c>
      <c r="J2023" s="8">
        <f>IF(G2023="","",G2023*0.20)</f>
        <v/>
      </c>
      <c r="K2023" s="8">
        <f>IF(G2023="","",G2023+J2023)</f>
        <v/>
      </c>
    </row>
    <row r="2024">
      <c r="F2024" s="8" t="n"/>
      <c r="G2024" s="8">
        <f>IF(E2024="","",E2024*F2024)</f>
        <v/>
      </c>
      <c r="H2024" s="8">
        <f>IF(G2024="","",G2024-I2024)</f>
        <v/>
      </c>
      <c r="I2024" s="8">
        <f>IF(D2024="","",VLOOKUP(D2024, RECETTES!B:G, 6, FALSE)*E2024)</f>
        <v/>
      </c>
      <c r="J2024" s="8">
        <f>IF(G2024="","",G2024*0.20)</f>
        <v/>
      </c>
      <c r="K2024" s="8">
        <f>IF(G2024="","",G2024+J2024)</f>
        <v/>
      </c>
    </row>
    <row r="2025">
      <c r="F2025" s="8" t="n"/>
      <c r="G2025" s="8">
        <f>IF(E2025="","",E2025*F2025)</f>
        <v/>
      </c>
      <c r="H2025" s="8">
        <f>IF(G2025="","",G2025-I2025)</f>
        <v/>
      </c>
      <c r="I2025" s="8">
        <f>IF(D2025="","",VLOOKUP(D2025, RECETTES!B:G, 6, FALSE)*E2025)</f>
        <v/>
      </c>
      <c r="J2025" s="8">
        <f>IF(G2025="","",G2025*0.20)</f>
        <v/>
      </c>
      <c r="K2025" s="8">
        <f>IF(G2025="","",G2025+J2025)</f>
        <v/>
      </c>
    </row>
    <row r="2026">
      <c r="F2026" s="8" t="n"/>
      <c r="G2026" s="8">
        <f>IF(E2026="","",E2026*F2026)</f>
        <v/>
      </c>
      <c r="H2026" s="8">
        <f>IF(G2026="","",G2026-I2026)</f>
        <v/>
      </c>
      <c r="I2026" s="8">
        <f>IF(D2026="","",VLOOKUP(D2026, RECETTES!B:G, 6, FALSE)*E2026)</f>
        <v/>
      </c>
      <c r="J2026" s="8">
        <f>IF(G2026="","",G2026*0.20)</f>
        <v/>
      </c>
      <c r="K2026" s="8">
        <f>IF(G2026="","",G2026+J2026)</f>
        <v/>
      </c>
    </row>
    <row r="2027">
      <c r="F2027" s="8" t="n"/>
      <c r="G2027" s="8">
        <f>IF(E2027="","",E2027*F2027)</f>
        <v/>
      </c>
      <c r="H2027" s="8">
        <f>IF(G2027="","",G2027-I2027)</f>
        <v/>
      </c>
      <c r="I2027" s="8">
        <f>IF(D2027="","",VLOOKUP(D2027, RECETTES!B:G, 6, FALSE)*E2027)</f>
        <v/>
      </c>
      <c r="J2027" s="8">
        <f>IF(G2027="","",G2027*0.20)</f>
        <v/>
      </c>
      <c r="K2027" s="8">
        <f>IF(G2027="","",G2027+J2027)</f>
        <v/>
      </c>
    </row>
    <row r="2028">
      <c r="F2028" s="8" t="n"/>
      <c r="G2028" s="8">
        <f>IF(E2028="","",E2028*F2028)</f>
        <v/>
      </c>
      <c r="H2028" s="8">
        <f>IF(G2028="","",G2028-I2028)</f>
        <v/>
      </c>
      <c r="I2028" s="8">
        <f>IF(D2028="","",VLOOKUP(D2028, RECETTES!B:G, 6, FALSE)*E2028)</f>
        <v/>
      </c>
      <c r="J2028" s="8">
        <f>IF(G2028="","",G2028*0.20)</f>
        <v/>
      </c>
      <c r="K2028" s="8">
        <f>IF(G2028="","",G2028+J2028)</f>
        <v/>
      </c>
    </row>
    <row r="2029">
      <c r="F2029" s="8" t="n"/>
      <c r="G2029" s="8">
        <f>IF(E2029="","",E2029*F2029)</f>
        <v/>
      </c>
      <c r="H2029" s="8">
        <f>IF(G2029="","",G2029-I2029)</f>
        <v/>
      </c>
      <c r="I2029" s="8">
        <f>IF(D2029="","",VLOOKUP(D2029, RECETTES!B:G, 6, FALSE)*E2029)</f>
        <v/>
      </c>
      <c r="J2029" s="8">
        <f>IF(G2029="","",G2029*0.20)</f>
        <v/>
      </c>
      <c r="K2029" s="8">
        <f>IF(G2029="","",G2029+J2029)</f>
        <v/>
      </c>
    </row>
    <row r="2030">
      <c r="F2030" s="8" t="n"/>
      <c r="G2030" s="8">
        <f>IF(E2030="","",E2030*F2030)</f>
        <v/>
      </c>
      <c r="H2030" s="8">
        <f>IF(G2030="","",G2030-I2030)</f>
        <v/>
      </c>
      <c r="I2030" s="8">
        <f>IF(D2030="","",VLOOKUP(D2030, RECETTES!B:G, 6, FALSE)*E2030)</f>
        <v/>
      </c>
      <c r="J2030" s="8">
        <f>IF(G2030="","",G2030*0.20)</f>
        <v/>
      </c>
      <c r="K2030" s="8">
        <f>IF(G2030="","",G2030+J2030)</f>
        <v/>
      </c>
    </row>
    <row r="2031">
      <c r="F2031" s="8" t="n"/>
      <c r="G2031" s="8">
        <f>IF(E2031="","",E2031*F2031)</f>
        <v/>
      </c>
      <c r="H2031" s="8">
        <f>IF(G2031="","",G2031-I2031)</f>
        <v/>
      </c>
      <c r="I2031" s="8">
        <f>IF(D2031="","",VLOOKUP(D2031, RECETTES!B:G, 6, FALSE)*E2031)</f>
        <v/>
      </c>
      <c r="J2031" s="8">
        <f>IF(G2031="","",G2031*0.20)</f>
        <v/>
      </c>
      <c r="K2031" s="8">
        <f>IF(G2031="","",G2031+J2031)</f>
        <v/>
      </c>
    </row>
    <row r="2032">
      <c r="F2032" s="8" t="n"/>
      <c r="G2032" s="8">
        <f>IF(E2032="","",E2032*F2032)</f>
        <v/>
      </c>
      <c r="H2032" s="8">
        <f>IF(G2032="","",G2032-I2032)</f>
        <v/>
      </c>
      <c r="I2032" s="8">
        <f>IF(D2032="","",VLOOKUP(D2032, RECETTES!B:G, 6, FALSE)*E2032)</f>
        <v/>
      </c>
      <c r="J2032" s="8">
        <f>IF(G2032="","",G2032*0.20)</f>
        <v/>
      </c>
      <c r="K2032" s="8">
        <f>IF(G2032="","",G2032+J2032)</f>
        <v/>
      </c>
    </row>
    <row r="2033">
      <c r="F2033" s="8" t="n"/>
      <c r="G2033" s="8">
        <f>IF(E2033="","",E2033*F2033)</f>
        <v/>
      </c>
      <c r="H2033" s="8">
        <f>IF(G2033="","",G2033-I2033)</f>
        <v/>
      </c>
      <c r="I2033" s="8">
        <f>IF(D2033="","",VLOOKUP(D2033, RECETTES!B:G, 6, FALSE)*E2033)</f>
        <v/>
      </c>
      <c r="J2033" s="8">
        <f>IF(G2033="","",G2033*0.20)</f>
        <v/>
      </c>
      <c r="K2033" s="8">
        <f>IF(G2033="","",G2033+J2033)</f>
        <v/>
      </c>
    </row>
    <row r="2034">
      <c r="F2034" s="8" t="n"/>
      <c r="G2034" s="8">
        <f>IF(E2034="","",E2034*F2034)</f>
        <v/>
      </c>
      <c r="H2034" s="8">
        <f>IF(G2034="","",G2034-I2034)</f>
        <v/>
      </c>
      <c r="I2034" s="8">
        <f>IF(D2034="","",VLOOKUP(D2034, RECETTES!B:G, 6, FALSE)*E2034)</f>
        <v/>
      </c>
      <c r="J2034" s="8">
        <f>IF(G2034="","",G2034*0.20)</f>
        <v/>
      </c>
      <c r="K2034" s="8">
        <f>IF(G2034="","",G2034+J2034)</f>
        <v/>
      </c>
    </row>
    <row r="2035">
      <c r="F2035" s="8" t="n"/>
      <c r="G2035" s="8">
        <f>IF(E2035="","",E2035*F2035)</f>
        <v/>
      </c>
      <c r="H2035" s="8">
        <f>IF(G2035="","",G2035-I2035)</f>
        <v/>
      </c>
      <c r="I2035" s="8">
        <f>IF(D2035="","",VLOOKUP(D2035, RECETTES!B:G, 6, FALSE)*E2035)</f>
        <v/>
      </c>
      <c r="J2035" s="8">
        <f>IF(G2035="","",G2035*0.20)</f>
        <v/>
      </c>
      <c r="K2035" s="8">
        <f>IF(G2035="","",G2035+J2035)</f>
        <v/>
      </c>
    </row>
    <row r="2036">
      <c r="F2036" s="8" t="n"/>
      <c r="G2036" s="8">
        <f>IF(E2036="","",E2036*F2036)</f>
        <v/>
      </c>
      <c r="H2036" s="8">
        <f>IF(G2036="","",G2036-I2036)</f>
        <v/>
      </c>
      <c r="I2036" s="8">
        <f>IF(D2036="","",VLOOKUP(D2036, RECETTES!B:G, 6, FALSE)*E2036)</f>
        <v/>
      </c>
      <c r="J2036" s="8">
        <f>IF(G2036="","",G2036*0.20)</f>
        <v/>
      </c>
      <c r="K2036" s="8">
        <f>IF(G2036="","",G2036+J2036)</f>
        <v/>
      </c>
    </row>
    <row r="2037">
      <c r="F2037" s="8" t="n"/>
      <c r="G2037" s="8">
        <f>IF(E2037="","",E2037*F2037)</f>
        <v/>
      </c>
      <c r="H2037" s="8">
        <f>IF(G2037="","",G2037-I2037)</f>
        <v/>
      </c>
      <c r="I2037" s="8">
        <f>IF(D2037="","",VLOOKUP(D2037, RECETTES!B:G, 6, FALSE)*E2037)</f>
        <v/>
      </c>
      <c r="J2037" s="8">
        <f>IF(G2037="","",G2037*0.20)</f>
        <v/>
      </c>
      <c r="K2037" s="8">
        <f>IF(G2037="","",G2037+J2037)</f>
        <v/>
      </c>
    </row>
    <row r="2038">
      <c r="F2038" s="8" t="n"/>
      <c r="G2038" s="8">
        <f>IF(E2038="","",E2038*F2038)</f>
        <v/>
      </c>
      <c r="H2038" s="8">
        <f>IF(G2038="","",G2038-I2038)</f>
        <v/>
      </c>
      <c r="I2038" s="8">
        <f>IF(D2038="","",VLOOKUP(D2038, RECETTES!B:G, 6, FALSE)*E2038)</f>
        <v/>
      </c>
      <c r="J2038" s="8">
        <f>IF(G2038="","",G2038*0.20)</f>
        <v/>
      </c>
      <c r="K2038" s="8">
        <f>IF(G2038="","",G2038+J2038)</f>
        <v/>
      </c>
    </row>
    <row r="2039">
      <c r="F2039" s="8" t="n"/>
      <c r="G2039" s="8">
        <f>IF(E2039="","",E2039*F2039)</f>
        <v/>
      </c>
      <c r="H2039" s="8">
        <f>IF(G2039="","",G2039-I2039)</f>
        <v/>
      </c>
      <c r="I2039" s="8">
        <f>IF(D2039="","",VLOOKUP(D2039, RECETTES!B:G, 6, FALSE)*E2039)</f>
        <v/>
      </c>
      <c r="J2039" s="8">
        <f>IF(G2039="","",G2039*0.20)</f>
        <v/>
      </c>
      <c r="K2039" s="8">
        <f>IF(G2039="","",G2039+J2039)</f>
        <v/>
      </c>
    </row>
    <row r="2040">
      <c r="F2040" s="8" t="n"/>
      <c r="G2040" s="8">
        <f>IF(E2040="","",E2040*F2040)</f>
        <v/>
      </c>
      <c r="H2040" s="8">
        <f>IF(G2040="","",G2040-I2040)</f>
        <v/>
      </c>
      <c r="I2040" s="8">
        <f>IF(D2040="","",VLOOKUP(D2040, RECETTES!B:G, 6, FALSE)*E2040)</f>
        <v/>
      </c>
      <c r="J2040" s="8">
        <f>IF(G2040="","",G2040*0.20)</f>
        <v/>
      </c>
      <c r="K2040" s="8">
        <f>IF(G2040="","",G2040+J2040)</f>
        <v/>
      </c>
    </row>
    <row r="2041">
      <c r="F2041" s="8" t="n"/>
      <c r="G2041" s="8">
        <f>IF(E2041="","",E2041*F2041)</f>
        <v/>
      </c>
      <c r="H2041" s="8">
        <f>IF(G2041="","",G2041-I2041)</f>
        <v/>
      </c>
      <c r="I2041" s="8">
        <f>IF(D2041="","",VLOOKUP(D2041, RECETTES!B:G, 6, FALSE)*E2041)</f>
        <v/>
      </c>
      <c r="J2041" s="8">
        <f>IF(G2041="","",G2041*0.20)</f>
        <v/>
      </c>
      <c r="K2041" s="8">
        <f>IF(G2041="","",G2041+J2041)</f>
        <v/>
      </c>
    </row>
    <row r="2042">
      <c r="F2042" s="8" t="n"/>
      <c r="G2042" s="8">
        <f>IF(E2042="","",E2042*F2042)</f>
        <v/>
      </c>
      <c r="H2042" s="8">
        <f>IF(G2042="","",G2042-I2042)</f>
        <v/>
      </c>
      <c r="I2042" s="8">
        <f>IF(D2042="","",VLOOKUP(D2042, RECETTES!B:G, 6, FALSE)*E2042)</f>
        <v/>
      </c>
      <c r="J2042" s="8">
        <f>IF(G2042="","",G2042*0.20)</f>
        <v/>
      </c>
      <c r="K2042" s="8">
        <f>IF(G2042="","",G2042+J2042)</f>
        <v/>
      </c>
    </row>
    <row r="2043">
      <c r="F2043" s="8" t="n"/>
      <c r="G2043" s="8">
        <f>IF(E2043="","",E2043*F2043)</f>
        <v/>
      </c>
      <c r="H2043" s="8">
        <f>IF(G2043="","",G2043-I2043)</f>
        <v/>
      </c>
      <c r="I2043" s="8">
        <f>IF(D2043="","",VLOOKUP(D2043, RECETTES!B:G, 6, FALSE)*E2043)</f>
        <v/>
      </c>
      <c r="J2043" s="8">
        <f>IF(G2043="","",G2043*0.20)</f>
        <v/>
      </c>
      <c r="K2043" s="8">
        <f>IF(G2043="","",G2043+J2043)</f>
        <v/>
      </c>
    </row>
    <row r="2044">
      <c r="F2044" s="8" t="n"/>
      <c r="G2044" s="8">
        <f>IF(E2044="","",E2044*F2044)</f>
        <v/>
      </c>
      <c r="H2044" s="8">
        <f>IF(G2044="","",G2044-I2044)</f>
        <v/>
      </c>
      <c r="I2044" s="8">
        <f>IF(D2044="","",VLOOKUP(D2044, RECETTES!B:G, 6, FALSE)*E2044)</f>
        <v/>
      </c>
      <c r="J2044" s="8">
        <f>IF(G2044="","",G2044*0.20)</f>
        <v/>
      </c>
      <c r="K2044" s="8">
        <f>IF(G2044="","",G2044+J2044)</f>
        <v/>
      </c>
    </row>
    <row r="2045">
      <c r="F2045" s="8" t="n"/>
      <c r="G2045" s="8">
        <f>IF(E2045="","",E2045*F2045)</f>
        <v/>
      </c>
      <c r="H2045" s="8">
        <f>IF(G2045="","",G2045-I2045)</f>
        <v/>
      </c>
      <c r="I2045" s="8">
        <f>IF(D2045="","",VLOOKUP(D2045, RECETTES!B:G, 6, FALSE)*E2045)</f>
        <v/>
      </c>
      <c r="J2045" s="8">
        <f>IF(G2045="","",G2045*0.20)</f>
        <v/>
      </c>
      <c r="K2045" s="8">
        <f>IF(G2045="","",G2045+J2045)</f>
        <v/>
      </c>
    </row>
    <row r="2046">
      <c r="F2046" s="8" t="n"/>
      <c r="G2046" s="8">
        <f>IF(E2046="","",E2046*F2046)</f>
        <v/>
      </c>
      <c r="H2046" s="8">
        <f>IF(G2046="","",G2046-I2046)</f>
        <v/>
      </c>
      <c r="I2046" s="8">
        <f>IF(D2046="","",VLOOKUP(D2046, RECETTES!B:G, 6, FALSE)*E2046)</f>
        <v/>
      </c>
      <c r="J2046" s="8">
        <f>IF(G2046="","",G2046*0.20)</f>
        <v/>
      </c>
      <c r="K2046" s="8">
        <f>IF(G2046="","",G2046+J2046)</f>
        <v/>
      </c>
    </row>
    <row r="2047">
      <c r="F2047" s="8" t="n"/>
      <c r="G2047" s="8">
        <f>IF(E2047="","",E2047*F2047)</f>
        <v/>
      </c>
      <c r="H2047" s="8">
        <f>IF(G2047="","",G2047-I2047)</f>
        <v/>
      </c>
      <c r="I2047" s="8">
        <f>IF(D2047="","",VLOOKUP(D2047, RECETTES!B:G, 6, FALSE)*E2047)</f>
        <v/>
      </c>
      <c r="J2047" s="8">
        <f>IF(G2047="","",G2047*0.20)</f>
        <v/>
      </c>
      <c r="K2047" s="8">
        <f>IF(G2047="","",G2047+J2047)</f>
        <v/>
      </c>
    </row>
    <row r="2048">
      <c r="F2048" s="8" t="n"/>
      <c r="G2048" s="8">
        <f>IF(E2048="","",E2048*F2048)</f>
        <v/>
      </c>
      <c r="H2048" s="8">
        <f>IF(G2048="","",G2048-I2048)</f>
        <v/>
      </c>
      <c r="I2048" s="8">
        <f>IF(D2048="","",VLOOKUP(D2048, RECETTES!B:G, 6, FALSE)*E2048)</f>
        <v/>
      </c>
      <c r="J2048" s="8">
        <f>IF(G2048="","",G2048*0.20)</f>
        <v/>
      </c>
      <c r="K2048" s="8">
        <f>IF(G2048="","",G2048+J2048)</f>
        <v/>
      </c>
    </row>
    <row r="2049">
      <c r="F2049" s="8" t="n"/>
      <c r="G2049" s="8">
        <f>IF(E2049="","",E2049*F2049)</f>
        <v/>
      </c>
      <c r="H2049" s="8">
        <f>IF(G2049="","",G2049-I2049)</f>
        <v/>
      </c>
      <c r="I2049" s="8">
        <f>IF(D2049="","",VLOOKUP(D2049, RECETTES!B:G, 6, FALSE)*E2049)</f>
        <v/>
      </c>
      <c r="J2049" s="8">
        <f>IF(G2049="","",G2049*0.20)</f>
        <v/>
      </c>
      <c r="K2049" s="8">
        <f>IF(G2049="","",G2049+J2049)</f>
        <v/>
      </c>
    </row>
    <row r="2050">
      <c r="F2050" s="8" t="n"/>
      <c r="G2050" s="8">
        <f>IF(E2050="","",E2050*F2050)</f>
        <v/>
      </c>
      <c r="H2050" s="8">
        <f>IF(G2050="","",G2050-I2050)</f>
        <v/>
      </c>
      <c r="I2050" s="8">
        <f>IF(D2050="","",VLOOKUP(D2050, RECETTES!B:G, 6, FALSE)*E2050)</f>
        <v/>
      </c>
      <c r="J2050" s="8">
        <f>IF(G2050="","",G2050*0.20)</f>
        <v/>
      </c>
      <c r="K2050" s="8">
        <f>IF(G2050="","",G2050+J2050)</f>
        <v/>
      </c>
    </row>
    <row r="2051">
      <c r="F2051" s="8" t="n"/>
      <c r="G2051" s="8">
        <f>IF(E2051="","",E2051*F2051)</f>
        <v/>
      </c>
      <c r="H2051" s="8">
        <f>IF(G2051="","",G2051-I2051)</f>
        <v/>
      </c>
      <c r="I2051" s="8">
        <f>IF(D2051="","",VLOOKUP(D2051, RECETTES!B:G, 6, FALSE)*E2051)</f>
        <v/>
      </c>
      <c r="J2051" s="8">
        <f>IF(G2051="","",G2051*0.20)</f>
        <v/>
      </c>
      <c r="K2051" s="8">
        <f>IF(G2051="","",G2051+J2051)</f>
        <v/>
      </c>
    </row>
    <row r="2052">
      <c r="F2052" s="8" t="n"/>
      <c r="G2052" s="8">
        <f>IF(E2052="","",E2052*F2052)</f>
        <v/>
      </c>
      <c r="H2052" s="8">
        <f>IF(G2052="","",G2052-I2052)</f>
        <v/>
      </c>
      <c r="I2052" s="8">
        <f>IF(D2052="","",VLOOKUP(D2052, RECETTES!B:G, 6, FALSE)*E2052)</f>
        <v/>
      </c>
      <c r="J2052" s="8">
        <f>IF(G2052="","",G2052*0.20)</f>
        <v/>
      </c>
      <c r="K2052" s="8">
        <f>IF(G2052="","",G2052+J2052)</f>
        <v/>
      </c>
    </row>
    <row r="2053">
      <c r="F2053" s="8" t="n"/>
      <c r="G2053" s="8">
        <f>IF(E2053="","",E2053*F2053)</f>
        <v/>
      </c>
      <c r="H2053" s="8">
        <f>IF(G2053="","",G2053-I2053)</f>
        <v/>
      </c>
      <c r="I2053" s="8">
        <f>IF(D2053="","",VLOOKUP(D2053, RECETTES!B:G, 6, FALSE)*E2053)</f>
        <v/>
      </c>
      <c r="J2053" s="8">
        <f>IF(G2053="","",G2053*0.20)</f>
        <v/>
      </c>
      <c r="K2053" s="8">
        <f>IF(G2053="","",G2053+J2053)</f>
        <v/>
      </c>
    </row>
    <row r="2054">
      <c r="F2054" s="8" t="n"/>
      <c r="G2054" s="8">
        <f>IF(E2054="","",E2054*F2054)</f>
        <v/>
      </c>
      <c r="H2054" s="8">
        <f>IF(G2054="","",G2054-I2054)</f>
        <v/>
      </c>
      <c r="I2054" s="8">
        <f>IF(D2054="","",VLOOKUP(D2054, RECETTES!B:G, 6, FALSE)*E2054)</f>
        <v/>
      </c>
      <c r="J2054" s="8">
        <f>IF(G2054="","",G2054*0.20)</f>
        <v/>
      </c>
      <c r="K2054" s="8">
        <f>IF(G2054="","",G2054+J2054)</f>
        <v/>
      </c>
    </row>
    <row r="2055">
      <c r="F2055" s="8" t="n"/>
      <c r="G2055" s="8">
        <f>IF(E2055="","",E2055*F2055)</f>
        <v/>
      </c>
      <c r="H2055" s="8">
        <f>IF(G2055="","",G2055-I2055)</f>
        <v/>
      </c>
      <c r="I2055" s="8">
        <f>IF(D2055="","",VLOOKUP(D2055, RECETTES!B:G, 6, FALSE)*E2055)</f>
        <v/>
      </c>
      <c r="J2055" s="8">
        <f>IF(G2055="","",G2055*0.20)</f>
        <v/>
      </c>
      <c r="K2055" s="8">
        <f>IF(G2055="","",G2055+J2055)</f>
        <v/>
      </c>
    </row>
    <row r="2056">
      <c r="F2056" s="8" t="n"/>
      <c r="G2056" s="8">
        <f>IF(E2056="","",E2056*F2056)</f>
        <v/>
      </c>
      <c r="H2056" s="8">
        <f>IF(G2056="","",G2056-I2056)</f>
        <v/>
      </c>
      <c r="I2056" s="8">
        <f>IF(D2056="","",VLOOKUP(D2056, RECETTES!B:G, 6, FALSE)*E2056)</f>
        <v/>
      </c>
      <c r="J2056" s="8">
        <f>IF(G2056="","",G2056*0.20)</f>
        <v/>
      </c>
      <c r="K2056" s="8">
        <f>IF(G2056="","",G2056+J2056)</f>
        <v/>
      </c>
    </row>
    <row r="2057">
      <c r="F2057" s="8" t="n"/>
      <c r="G2057" s="8">
        <f>IF(E2057="","",E2057*F2057)</f>
        <v/>
      </c>
      <c r="H2057" s="8">
        <f>IF(G2057="","",G2057-I2057)</f>
        <v/>
      </c>
      <c r="I2057" s="8">
        <f>IF(D2057="","",VLOOKUP(D2057, RECETTES!B:G, 6, FALSE)*E2057)</f>
        <v/>
      </c>
      <c r="J2057" s="8">
        <f>IF(G2057="","",G2057*0.20)</f>
        <v/>
      </c>
      <c r="K2057" s="8">
        <f>IF(G2057="","",G2057+J2057)</f>
        <v/>
      </c>
    </row>
    <row r="2058">
      <c r="F2058" s="8" t="n"/>
      <c r="G2058" s="8">
        <f>IF(E2058="","",E2058*F2058)</f>
        <v/>
      </c>
      <c r="H2058" s="8">
        <f>IF(G2058="","",G2058-I2058)</f>
        <v/>
      </c>
      <c r="I2058" s="8">
        <f>IF(D2058="","",VLOOKUP(D2058, RECETTES!B:G, 6, FALSE)*E2058)</f>
        <v/>
      </c>
      <c r="J2058" s="8">
        <f>IF(G2058="","",G2058*0.20)</f>
        <v/>
      </c>
      <c r="K2058" s="8">
        <f>IF(G2058="","",G2058+J2058)</f>
        <v/>
      </c>
    </row>
    <row r="2059">
      <c r="F2059" s="8" t="n"/>
      <c r="G2059" s="8">
        <f>IF(E2059="","",E2059*F2059)</f>
        <v/>
      </c>
      <c r="H2059" s="8">
        <f>IF(G2059="","",G2059-I2059)</f>
        <v/>
      </c>
      <c r="I2059" s="8">
        <f>IF(D2059="","",VLOOKUP(D2059, RECETTES!B:G, 6, FALSE)*E2059)</f>
        <v/>
      </c>
      <c r="J2059" s="8">
        <f>IF(G2059="","",G2059*0.20)</f>
        <v/>
      </c>
      <c r="K2059" s="8">
        <f>IF(G2059="","",G2059+J2059)</f>
        <v/>
      </c>
    </row>
    <row r="2060">
      <c r="F2060" s="8" t="n"/>
      <c r="G2060" s="8">
        <f>IF(E2060="","",E2060*F2060)</f>
        <v/>
      </c>
      <c r="H2060" s="8">
        <f>IF(G2060="","",G2060-I2060)</f>
        <v/>
      </c>
      <c r="I2060" s="8">
        <f>IF(D2060="","",VLOOKUP(D2060, RECETTES!B:G, 6, FALSE)*E2060)</f>
        <v/>
      </c>
      <c r="J2060" s="8">
        <f>IF(G2060="","",G2060*0.20)</f>
        <v/>
      </c>
      <c r="K2060" s="8">
        <f>IF(G2060="","",G2060+J2060)</f>
        <v/>
      </c>
    </row>
    <row r="2061">
      <c r="F2061" s="8" t="n"/>
      <c r="G2061" s="8">
        <f>IF(E2061="","",E2061*F2061)</f>
        <v/>
      </c>
      <c r="H2061" s="8">
        <f>IF(G2061="","",G2061-I2061)</f>
        <v/>
      </c>
      <c r="I2061" s="8">
        <f>IF(D2061="","",VLOOKUP(D2061, RECETTES!B:G, 6, FALSE)*E2061)</f>
        <v/>
      </c>
      <c r="J2061" s="8">
        <f>IF(G2061="","",G2061*0.20)</f>
        <v/>
      </c>
      <c r="K2061" s="8">
        <f>IF(G2061="","",G2061+J2061)</f>
        <v/>
      </c>
    </row>
    <row r="2062">
      <c r="F2062" s="8" t="n"/>
      <c r="G2062" s="8">
        <f>IF(E2062="","",E2062*F2062)</f>
        <v/>
      </c>
      <c r="H2062" s="8">
        <f>IF(G2062="","",G2062-I2062)</f>
        <v/>
      </c>
      <c r="I2062" s="8">
        <f>IF(D2062="","",VLOOKUP(D2062, RECETTES!B:G, 6, FALSE)*E2062)</f>
        <v/>
      </c>
      <c r="J2062" s="8">
        <f>IF(G2062="","",G2062*0.20)</f>
        <v/>
      </c>
      <c r="K2062" s="8">
        <f>IF(G2062="","",G2062+J2062)</f>
        <v/>
      </c>
    </row>
    <row r="2063">
      <c r="F2063" s="8" t="n"/>
      <c r="G2063" s="8">
        <f>IF(E2063="","",E2063*F2063)</f>
        <v/>
      </c>
      <c r="H2063" s="8">
        <f>IF(G2063="","",G2063-I2063)</f>
        <v/>
      </c>
      <c r="I2063" s="8">
        <f>IF(D2063="","",VLOOKUP(D2063, RECETTES!B:G, 6, FALSE)*E2063)</f>
        <v/>
      </c>
      <c r="J2063" s="8">
        <f>IF(G2063="","",G2063*0.20)</f>
        <v/>
      </c>
      <c r="K2063" s="8">
        <f>IF(G2063="","",G2063+J2063)</f>
        <v/>
      </c>
    </row>
    <row r="2064">
      <c r="F2064" s="8" t="n"/>
      <c r="G2064" s="8">
        <f>IF(E2064="","",E2064*F2064)</f>
        <v/>
      </c>
      <c r="H2064" s="8">
        <f>IF(G2064="","",G2064-I2064)</f>
        <v/>
      </c>
      <c r="I2064" s="8">
        <f>IF(D2064="","",VLOOKUP(D2064, RECETTES!B:G, 6, FALSE)*E2064)</f>
        <v/>
      </c>
      <c r="J2064" s="8">
        <f>IF(G2064="","",G2064*0.20)</f>
        <v/>
      </c>
      <c r="K2064" s="8">
        <f>IF(G2064="","",G2064+J2064)</f>
        <v/>
      </c>
    </row>
    <row r="2065">
      <c r="F2065" s="8" t="n"/>
      <c r="G2065" s="8">
        <f>IF(E2065="","",E2065*F2065)</f>
        <v/>
      </c>
      <c r="H2065" s="8">
        <f>IF(G2065="","",G2065-I2065)</f>
        <v/>
      </c>
      <c r="I2065" s="8">
        <f>IF(D2065="","",VLOOKUP(D2065, RECETTES!B:G, 6, FALSE)*E2065)</f>
        <v/>
      </c>
      <c r="J2065" s="8">
        <f>IF(G2065="","",G2065*0.20)</f>
        <v/>
      </c>
      <c r="K2065" s="8">
        <f>IF(G2065="","",G2065+J2065)</f>
        <v/>
      </c>
    </row>
    <row r="2066">
      <c r="F2066" s="8" t="n"/>
      <c r="G2066" s="8">
        <f>IF(E2066="","",E2066*F2066)</f>
        <v/>
      </c>
      <c r="H2066" s="8">
        <f>IF(G2066="","",G2066-I2066)</f>
        <v/>
      </c>
      <c r="I2066" s="8">
        <f>IF(D2066="","",VLOOKUP(D2066, RECETTES!B:G, 6, FALSE)*E2066)</f>
        <v/>
      </c>
      <c r="J2066" s="8">
        <f>IF(G2066="","",G2066*0.20)</f>
        <v/>
      </c>
      <c r="K2066" s="8">
        <f>IF(G2066="","",G2066+J2066)</f>
        <v/>
      </c>
    </row>
    <row r="2067">
      <c r="F2067" s="8" t="n"/>
      <c r="G2067" s="8">
        <f>IF(E2067="","",E2067*F2067)</f>
        <v/>
      </c>
      <c r="H2067" s="8">
        <f>IF(G2067="","",G2067-I2067)</f>
        <v/>
      </c>
      <c r="I2067" s="8">
        <f>IF(D2067="","",VLOOKUP(D2067, RECETTES!B:G, 6, FALSE)*E2067)</f>
        <v/>
      </c>
      <c r="J2067" s="8">
        <f>IF(G2067="","",G2067*0.20)</f>
        <v/>
      </c>
      <c r="K2067" s="8">
        <f>IF(G2067="","",G2067+J2067)</f>
        <v/>
      </c>
    </row>
    <row r="2068">
      <c r="F2068" s="8" t="n"/>
      <c r="G2068" s="8">
        <f>IF(E2068="","",E2068*F2068)</f>
        <v/>
      </c>
      <c r="H2068" s="8">
        <f>IF(G2068="","",G2068-I2068)</f>
        <v/>
      </c>
      <c r="I2068" s="8">
        <f>IF(D2068="","",VLOOKUP(D2068, RECETTES!B:G, 6, FALSE)*E2068)</f>
        <v/>
      </c>
      <c r="J2068" s="8">
        <f>IF(G2068="","",G2068*0.20)</f>
        <v/>
      </c>
      <c r="K2068" s="8">
        <f>IF(G2068="","",G2068+J2068)</f>
        <v/>
      </c>
    </row>
    <row r="2069">
      <c r="F2069" s="8" t="n"/>
      <c r="G2069" s="8">
        <f>IF(E2069="","",E2069*F2069)</f>
        <v/>
      </c>
      <c r="H2069" s="8">
        <f>IF(G2069="","",G2069-I2069)</f>
        <v/>
      </c>
      <c r="I2069" s="8">
        <f>IF(D2069="","",VLOOKUP(D2069, RECETTES!B:G, 6, FALSE)*E2069)</f>
        <v/>
      </c>
      <c r="J2069" s="8">
        <f>IF(G2069="","",G2069*0.20)</f>
        <v/>
      </c>
      <c r="K2069" s="8">
        <f>IF(G2069="","",G2069+J2069)</f>
        <v/>
      </c>
    </row>
    <row r="2070">
      <c r="F2070" s="8" t="n"/>
      <c r="G2070" s="8">
        <f>IF(E2070="","",E2070*F2070)</f>
        <v/>
      </c>
      <c r="H2070" s="8">
        <f>IF(G2070="","",G2070-I2070)</f>
        <v/>
      </c>
      <c r="I2070" s="8">
        <f>IF(D2070="","",VLOOKUP(D2070, RECETTES!B:G, 6, FALSE)*E2070)</f>
        <v/>
      </c>
      <c r="J2070" s="8">
        <f>IF(G2070="","",G2070*0.20)</f>
        <v/>
      </c>
      <c r="K2070" s="8">
        <f>IF(G2070="","",G2070+J2070)</f>
        <v/>
      </c>
    </row>
    <row r="2071">
      <c r="F2071" s="8" t="n"/>
      <c r="G2071" s="8">
        <f>IF(E2071="","",E2071*F2071)</f>
        <v/>
      </c>
      <c r="H2071" s="8">
        <f>IF(G2071="","",G2071-I2071)</f>
        <v/>
      </c>
      <c r="I2071" s="8">
        <f>IF(D2071="","",VLOOKUP(D2071, RECETTES!B:G, 6, FALSE)*E2071)</f>
        <v/>
      </c>
      <c r="J2071" s="8">
        <f>IF(G2071="","",G2071*0.20)</f>
        <v/>
      </c>
      <c r="K2071" s="8">
        <f>IF(G2071="","",G2071+J2071)</f>
        <v/>
      </c>
    </row>
    <row r="2072">
      <c r="F2072" s="8" t="n"/>
      <c r="G2072" s="8">
        <f>IF(E2072="","",E2072*F2072)</f>
        <v/>
      </c>
      <c r="H2072" s="8">
        <f>IF(G2072="","",G2072-I2072)</f>
        <v/>
      </c>
      <c r="I2072" s="8">
        <f>IF(D2072="","",VLOOKUP(D2072, RECETTES!B:G, 6, FALSE)*E2072)</f>
        <v/>
      </c>
      <c r="J2072" s="8">
        <f>IF(G2072="","",G2072*0.20)</f>
        <v/>
      </c>
      <c r="K2072" s="8">
        <f>IF(G2072="","",G2072+J2072)</f>
        <v/>
      </c>
    </row>
    <row r="2073">
      <c r="F2073" s="8" t="n"/>
      <c r="G2073" s="8">
        <f>IF(E2073="","",E2073*F2073)</f>
        <v/>
      </c>
      <c r="H2073" s="8">
        <f>IF(G2073="","",G2073-I2073)</f>
        <v/>
      </c>
      <c r="I2073" s="8">
        <f>IF(D2073="","",VLOOKUP(D2073, RECETTES!B:G, 6, FALSE)*E2073)</f>
        <v/>
      </c>
      <c r="J2073" s="8">
        <f>IF(G2073="","",G2073*0.20)</f>
        <v/>
      </c>
      <c r="K2073" s="8">
        <f>IF(G2073="","",G2073+J2073)</f>
        <v/>
      </c>
    </row>
    <row r="2074">
      <c r="F2074" s="8" t="n"/>
      <c r="G2074" s="8">
        <f>IF(E2074="","",E2074*F2074)</f>
        <v/>
      </c>
      <c r="H2074" s="8">
        <f>IF(G2074="","",G2074-I2074)</f>
        <v/>
      </c>
      <c r="I2074" s="8">
        <f>IF(D2074="","",VLOOKUP(D2074, RECETTES!B:G, 6, FALSE)*E2074)</f>
        <v/>
      </c>
      <c r="J2074" s="8">
        <f>IF(G2074="","",G2074*0.20)</f>
        <v/>
      </c>
      <c r="K2074" s="8">
        <f>IF(G2074="","",G2074+J2074)</f>
        <v/>
      </c>
    </row>
    <row r="2075">
      <c r="F2075" s="8" t="n"/>
      <c r="G2075" s="8">
        <f>IF(E2075="","",E2075*F2075)</f>
        <v/>
      </c>
      <c r="H2075" s="8">
        <f>IF(G2075="","",G2075-I2075)</f>
        <v/>
      </c>
      <c r="I2075" s="8">
        <f>IF(D2075="","",VLOOKUP(D2075, RECETTES!B:G, 6, FALSE)*E2075)</f>
        <v/>
      </c>
      <c r="J2075" s="8">
        <f>IF(G2075="","",G2075*0.20)</f>
        <v/>
      </c>
      <c r="K2075" s="8">
        <f>IF(G2075="","",G2075+J2075)</f>
        <v/>
      </c>
    </row>
    <row r="2076">
      <c r="F2076" s="8" t="n"/>
      <c r="G2076" s="8">
        <f>IF(E2076="","",E2076*F2076)</f>
        <v/>
      </c>
      <c r="H2076" s="8">
        <f>IF(G2076="","",G2076-I2076)</f>
        <v/>
      </c>
      <c r="I2076" s="8">
        <f>IF(D2076="","",VLOOKUP(D2076, RECETTES!B:G, 6, FALSE)*E2076)</f>
        <v/>
      </c>
      <c r="J2076" s="8">
        <f>IF(G2076="","",G2076*0.20)</f>
        <v/>
      </c>
      <c r="K2076" s="8">
        <f>IF(G2076="","",G2076+J2076)</f>
        <v/>
      </c>
    </row>
    <row r="2077">
      <c r="F2077" s="8" t="n"/>
      <c r="G2077" s="8">
        <f>IF(E2077="","",E2077*F2077)</f>
        <v/>
      </c>
      <c r="H2077" s="8">
        <f>IF(G2077="","",G2077-I2077)</f>
        <v/>
      </c>
      <c r="I2077" s="8">
        <f>IF(D2077="","",VLOOKUP(D2077, RECETTES!B:G, 6, FALSE)*E2077)</f>
        <v/>
      </c>
      <c r="J2077" s="8">
        <f>IF(G2077="","",G2077*0.20)</f>
        <v/>
      </c>
      <c r="K2077" s="8">
        <f>IF(G2077="","",G2077+J2077)</f>
        <v/>
      </c>
    </row>
    <row r="2078">
      <c r="F2078" s="8" t="n"/>
      <c r="G2078" s="8">
        <f>IF(E2078="","",E2078*F2078)</f>
        <v/>
      </c>
      <c r="H2078" s="8">
        <f>IF(G2078="","",G2078-I2078)</f>
        <v/>
      </c>
      <c r="I2078" s="8">
        <f>IF(D2078="","",VLOOKUP(D2078, RECETTES!B:G, 6, FALSE)*E2078)</f>
        <v/>
      </c>
      <c r="J2078" s="8">
        <f>IF(G2078="","",G2078*0.20)</f>
        <v/>
      </c>
      <c r="K2078" s="8">
        <f>IF(G2078="","",G2078+J2078)</f>
        <v/>
      </c>
    </row>
    <row r="2079">
      <c r="F2079" s="8" t="n"/>
      <c r="G2079" s="8">
        <f>IF(E2079="","",E2079*F2079)</f>
        <v/>
      </c>
      <c r="H2079" s="8">
        <f>IF(G2079="","",G2079-I2079)</f>
        <v/>
      </c>
      <c r="I2079" s="8">
        <f>IF(D2079="","",VLOOKUP(D2079, RECETTES!B:G, 6, FALSE)*E2079)</f>
        <v/>
      </c>
      <c r="J2079" s="8">
        <f>IF(G2079="","",G2079*0.20)</f>
        <v/>
      </c>
      <c r="K2079" s="8">
        <f>IF(G2079="","",G2079+J2079)</f>
        <v/>
      </c>
    </row>
    <row r="2080">
      <c r="F2080" s="8" t="n"/>
      <c r="G2080" s="8">
        <f>IF(E2080="","",E2080*F2080)</f>
        <v/>
      </c>
      <c r="H2080" s="8">
        <f>IF(G2080="","",G2080-I2080)</f>
        <v/>
      </c>
      <c r="I2080" s="8">
        <f>IF(D2080="","",VLOOKUP(D2080, RECETTES!B:G, 6, FALSE)*E2080)</f>
        <v/>
      </c>
      <c r="J2080" s="8">
        <f>IF(G2080="","",G2080*0.20)</f>
        <v/>
      </c>
      <c r="K2080" s="8">
        <f>IF(G2080="","",G2080+J2080)</f>
        <v/>
      </c>
    </row>
    <row r="2081">
      <c r="F2081" s="8" t="n"/>
      <c r="G2081" s="8">
        <f>IF(E2081="","",E2081*F2081)</f>
        <v/>
      </c>
      <c r="H2081" s="8">
        <f>IF(G2081="","",G2081-I2081)</f>
        <v/>
      </c>
      <c r="I2081" s="8">
        <f>IF(D2081="","",VLOOKUP(D2081, RECETTES!B:G, 6, FALSE)*E2081)</f>
        <v/>
      </c>
      <c r="J2081" s="8">
        <f>IF(G2081="","",G2081*0.20)</f>
        <v/>
      </c>
      <c r="K2081" s="8">
        <f>IF(G2081="","",G2081+J2081)</f>
        <v/>
      </c>
    </row>
    <row r="2082">
      <c r="F2082" s="8" t="n"/>
      <c r="G2082" s="8">
        <f>IF(E2082="","",E2082*F2082)</f>
        <v/>
      </c>
      <c r="H2082" s="8">
        <f>IF(G2082="","",G2082-I2082)</f>
        <v/>
      </c>
      <c r="I2082" s="8">
        <f>IF(D2082="","",VLOOKUP(D2082, RECETTES!B:G, 6, FALSE)*E2082)</f>
        <v/>
      </c>
      <c r="J2082" s="8">
        <f>IF(G2082="","",G2082*0.20)</f>
        <v/>
      </c>
      <c r="K2082" s="8">
        <f>IF(G2082="","",G2082+J2082)</f>
        <v/>
      </c>
    </row>
    <row r="2083">
      <c r="F2083" s="8" t="n"/>
      <c r="G2083" s="8">
        <f>IF(E2083="","",E2083*F2083)</f>
        <v/>
      </c>
      <c r="H2083" s="8">
        <f>IF(G2083="","",G2083-I2083)</f>
        <v/>
      </c>
      <c r="I2083" s="8">
        <f>IF(D2083="","",VLOOKUP(D2083, RECETTES!B:G, 6, FALSE)*E2083)</f>
        <v/>
      </c>
      <c r="J2083" s="8">
        <f>IF(G2083="","",G2083*0.20)</f>
        <v/>
      </c>
      <c r="K2083" s="8">
        <f>IF(G2083="","",G2083+J2083)</f>
        <v/>
      </c>
    </row>
    <row r="2084">
      <c r="F2084" s="8" t="n"/>
      <c r="G2084" s="8">
        <f>IF(E2084="","",E2084*F2084)</f>
        <v/>
      </c>
      <c r="H2084" s="8">
        <f>IF(G2084="","",G2084-I2084)</f>
        <v/>
      </c>
      <c r="I2084" s="8">
        <f>IF(D2084="","",VLOOKUP(D2084, RECETTES!B:G, 6, FALSE)*E2084)</f>
        <v/>
      </c>
      <c r="J2084" s="8">
        <f>IF(G2084="","",G2084*0.20)</f>
        <v/>
      </c>
      <c r="K2084" s="8">
        <f>IF(G2084="","",G2084+J2084)</f>
        <v/>
      </c>
    </row>
    <row r="2085">
      <c r="F2085" s="8" t="n"/>
      <c r="G2085" s="8">
        <f>IF(E2085="","",E2085*F2085)</f>
        <v/>
      </c>
      <c r="H2085" s="8">
        <f>IF(G2085="","",G2085-I2085)</f>
        <v/>
      </c>
      <c r="I2085" s="8">
        <f>IF(D2085="","",VLOOKUP(D2085, RECETTES!B:G, 6, FALSE)*E2085)</f>
        <v/>
      </c>
      <c r="J2085" s="8">
        <f>IF(G2085="","",G2085*0.20)</f>
        <v/>
      </c>
      <c r="K2085" s="8">
        <f>IF(G2085="","",G2085+J2085)</f>
        <v/>
      </c>
    </row>
    <row r="2086">
      <c r="F2086" s="8" t="n"/>
      <c r="G2086" s="8">
        <f>IF(E2086="","",E2086*F2086)</f>
        <v/>
      </c>
      <c r="H2086" s="8">
        <f>IF(G2086="","",G2086-I2086)</f>
        <v/>
      </c>
      <c r="I2086" s="8">
        <f>IF(D2086="","",VLOOKUP(D2086, RECETTES!B:G, 6, FALSE)*E2086)</f>
        <v/>
      </c>
      <c r="J2086" s="8">
        <f>IF(G2086="","",G2086*0.20)</f>
        <v/>
      </c>
      <c r="K2086" s="8">
        <f>IF(G2086="","",G2086+J2086)</f>
        <v/>
      </c>
    </row>
    <row r="2087">
      <c r="F2087" s="8" t="n"/>
      <c r="G2087" s="8">
        <f>IF(E2087="","",E2087*F2087)</f>
        <v/>
      </c>
      <c r="H2087" s="8">
        <f>IF(G2087="","",G2087-I2087)</f>
        <v/>
      </c>
      <c r="I2087" s="8">
        <f>IF(D2087="","",VLOOKUP(D2087, RECETTES!B:G, 6, FALSE)*E2087)</f>
        <v/>
      </c>
      <c r="J2087" s="8">
        <f>IF(G2087="","",G2087*0.20)</f>
        <v/>
      </c>
      <c r="K2087" s="8">
        <f>IF(G2087="","",G2087+J2087)</f>
        <v/>
      </c>
    </row>
    <row r="2088">
      <c r="F2088" s="8" t="n"/>
      <c r="G2088" s="8">
        <f>IF(E2088="","",E2088*F2088)</f>
        <v/>
      </c>
      <c r="H2088" s="8">
        <f>IF(G2088="","",G2088-I2088)</f>
        <v/>
      </c>
      <c r="I2088" s="8">
        <f>IF(D2088="","",VLOOKUP(D2088, RECETTES!B:G, 6, FALSE)*E2088)</f>
        <v/>
      </c>
      <c r="J2088" s="8">
        <f>IF(G2088="","",G2088*0.20)</f>
        <v/>
      </c>
      <c r="K2088" s="8">
        <f>IF(G2088="","",G2088+J2088)</f>
        <v/>
      </c>
    </row>
    <row r="2089">
      <c r="F2089" s="8" t="n"/>
      <c r="G2089" s="8">
        <f>IF(E2089="","",E2089*F2089)</f>
        <v/>
      </c>
      <c r="H2089" s="8">
        <f>IF(G2089="","",G2089-I2089)</f>
        <v/>
      </c>
      <c r="I2089" s="8">
        <f>IF(D2089="","",VLOOKUP(D2089, RECETTES!B:G, 6, FALSE)*E2089)</f>
        <v/>
      </c>
      <c r="J2089" s="8">
        <f>IF(G2089="","",G2089*0.20)</f>
        <v/>
      </c>
      <c r="K2089" s="8">
        <f>IF(G2089="","",G2089+J2089)</f>
        <v/>
      </c>
    </row>
    <row r="2090">
      <c r="F2090" s="8" t="n"/>
      <c r="G2090" s="8">
        <f>IF(E2090="","",E2090*F2090)</f>
        <v/>
      </c>
      <c r="H2090" s="8">
        <f>IF(G2090="","",G2090-I2090)</f>
        <v/>
      </c>
      <c r="I2090" s="8">
        <f>IF(D2090="","",VLOOKUP(D2090, RECETTES!B:G, 6, FALSE)*E2090)</f>
        <v/>
      </c>
      <c r="J2090" s="8">
        <f>IF(G2090="","",G2090*0.20)</f>
        <v/>
      </c>
      <c r="K2090" s="8">
        <f>IF(G2090="","",G2090+J2090)</f>
        <v/>
      </c>
    </row>
    <row r="2091">
      <c r="F2091" s="8" t="n"/>
      <c r="G2091" s="8">
        <f>IF(E2091="","",E2091*F2091)</f>
        <v/>
      </c>
      <c r="H2091" s="8">
        <f>IF(G2091="","",G2091-I2091)</f>
        <v/>
      </c>
      <c r="I2091" s="8">
        <f>IF(D2091="","",VLOOKUP(D2091, RECETTES!B:G, 6, FALSE)*E2091)</f>
        <v/>
      </c>
      <c r="J2091" s="8">
        <f>IF(G2091="","",G2091*0.20)</f>
        <v/>
      </c>
      <c r="K2091" s="8">
        <f>IF(G2091="","",G2091+J2091)</f>
        <v/>
      </c>
    </row>
    <row r="2092">
      <c r="F2092" s="8" t="n"/>
      <c r="G2092" s="8">
        <f>IF(E2092="","",E2092*F2092)</f>
        <v/>
      </c>
      <c r="H2092" s="8">
        <f>IF(G2092="","",G2092-I2092)</f>
        <v/>
      </c>
      <c r="I2092" s="8">
        <f>IF(D2092="","",VLOOKUP(D2092, RECETTES!B:G, 6, FALSE)*E2092)</f>
        <v/>
      </c>
      <c r="J2092" s="8">
        <f>IF(G2092="","",G2092*0.20)</f>
        <v/>
      </c>
      <c r="K2092" s="8">
        <f>IF(G2092="","",G2092+J2092)</f>
        <v/>
      </c>
    </row>
    <row r="2093">
      <c r="F2093" s="8" t="n"/>
      <c r="G2093" s="8">
        <f>IF(E2093="","",E2093*F2093)</f>
        <v/>
      </c>
      <c r="H2093" s="8">
        <f>IF(G2093="","",G2093-I2093)</f>
        <v/>
      </c>
      <c r="I2093" s="8">
        <f>IF(D2093="","",VLOOKUP(D2093, RECETTES!B:G, 6, FALSE)*E2093)</f>
        <v/>
      </c>
      <c r="J2093" s="8">
        <f>IF(G2093="","",G2093*0.20)</f>
        <v/>
      </c>
      <c r="K2093" s="8">
        <f>IF(G2093="","",G2093+J2093)</f>
        <v/>
      </c>
    </row>
    <row r="2094">
      <c r="F2094" s="8" t="n"/>
      <c r="G2094" s="8">
        <f>IF(E2094="","",E2094*F2094)</f>
        <v/>
      </c>
      <c r="H2094" s="8">
        <f>IF(G2094="","",G2094-I2094)</f>
        <v/>
      </c>
      <c r="I2094" s="8">
        <f>IF(D2094="","",VLOOKUP(D2094, RECETTES!B:G, 6, FALSE)*E2094)</f>
        <v/>
      </c>
      <c r="J2094" s="8">
        <f>IF(G2094="","",G2094*0.20)</f>
        <v/>
      </c>
      <c r="K2094" s="8">
        <f>IF(G2094="","",G2094+J2094)</f>
        <v/>
      </c>
    </row>
    <row r="2095">
      <c r="F2095" s="8" t="n"/>
      <c r="G2095" s="8">
        <f>IF(E2095="","",E2095*F2095)</f>
        <v/>
      </c>
      <c r="H2095" s="8">
        <f>IF(G2095="","",G2095-I2095)</f>
        <v/>
      </c>
      <c r="I2095" s="8">
        <f>IF(D2095="","",VLOOKUP(D2095, RECETTES!B:G, 6, FALSE)*E2095)</f>
        <v/>
      </c>
      <c r="J2095" s="8">
        <f>IF(G2095="","",G2095*0.20)</f>
        <v/>
      </c>
      <c r="K2095" s="8">
        <f>IF(G2095="","",G2095+J2095)</f>
        <v/>
      </c>
    </row>
    <row r="2096">
      <c r="F2096" s="8" t="n"/>
      <c r="G2096" s="8">
        <f>IF(E2096="","",E2096*F2096)</f>
        <v/>
      </c>
      <c r="H2096" s="8">
        <f>IF(G2096="","",G2096-I2096)</f>
        <v/>
      </c>
      <c r="I2096" s="8">
        <f>IF(D2096="","",VLOOKUP(D2096, RECETTES!B:G, 6, FALSE)*E2096)</f>
        <v/>
      </c>
      <c r="J2096" s="8">
        <f>IF(G2096="","",G2096*0.20)</f>
        <v/>
      </c>
      <c r="K2096" s="8">
        <f>IF(G2096="","",G2096+J2096)</f>
        <v/>
      </c>
    </row>
    <row r="2097">
      <c r="F2097" s="8" t="n"/>
      <c r="G2097" s="8">
        <f>IF(E2097="","",E2097*F2097)</f>
        <v/>
      </c>
      <c r="H2097" s="8">
        <f>IF(G2097="","",G2097-I2097)</f>
        <v/>
      </c>
      <c r="I2097" s="8">
        <f>IF(D2097="","",VLOOKUP(D2097, RECETTES!B:G, 6, FALSE)*E2097)</f>
        <v/>
      </c>
      <c r="J2097" s="8">
        <f>IF(G2097="","",G2097*0.20)</f>
        <v/>
      </c>
      <c r="K2097" s="8">
        <f>IF(G2097="","",G2097+J2097)</f>
        <v/>
      </c>
    </row>
    <row r="2098">
      <c r="F2098" s="8" t="n"/>
      <c r="G2098" s="8">
        <f>IF(E2098="","",E2098*F2098)</f>
        <v/>
      </c>
      <c r="H2098" s="8">
        <f>IF(G2098="","",G2098-I2098)</f>
        <v/>
      </c>
      <c r="I2098" s="8">
        <f>IF(D2098="","",VLOOKUP(D2098, RECETTES!B:G, 6, FALSE)*E2098)</f>
        <v/>
      </c>
      <c r="J2098" s="8">
        <f>IF(G2098="","",G2098*0.20)</f>
        <v/>
      </c>
      <c r="K2098" s="8">
        <f>IF(G2098="","",G2098+J2098)</f>
        <v/>
      </c>
    </row>
    <row r="2099">
      <c r="F2099" s="8" t="n"/>
      <c r="G2099" s="8">
        <f>IF(E2099="","",E2099*F2099)</f>
        <v/>
      </c>
      <c r="H2099" s="8">
        <f>IF(G2099="","",G2099-I2099)</f>
        <v/>
      </c>
      <c r="I2099" s="8">
        <f>IF(D2099="","",VLOOKUP(D2099, RECETTES!B:G, 6, FALSE)*E2099)</f>
        <v/>
      </c>
      <c r="J2099" s="8">
        <f>IF(G2099="","",G2099*0.20)</f>
        <v/>
      </c>
      <c r="K2099" s="8">
        <f>IF(G2099="","",G2099+J2099)</f>
        <v/>
      </c>
    </row>
    <row r="2100">
      <c r="F2100" s="8" t="n"/>
      <c r="G2100" s="8">
        <f>IF(E2100="","",E2100*F2100)</f>
        <v/>
      </c>
      <c r="H2100" s="8">
        <f>IF(G2100="","",G2100-I2100)</f>
        <v/>
      </c>
      <c r="I2100" s="8">
        <f>IF(D2100="","",VLOOKUP(D2100, RECETTES!B:G, 6, FALSE)*E2100)</f>
        <v/>
      </c>
      <c r="J2100" s="8">
        <f>IF(G2100="","",G2100*0.20)</f>
        <v/>
      </c>
      <c r="K2100" s="8">
        <f>IF(G2100="","",G2100+J2100)</f>
        <v/>
      </c>
    </row>
    <row r="2101">
      <c r="F2101" s="8" t="n"/>
      <c r="G2101" s="8">
        <f>IF(E2101="","",E2101*F2101)</f>
        <v/>
      </c>
      <c r="H2101" s="8">
        <f>IF(G2101="","",G2101-I2101)</f>
        <v/>
      </c>
      <c r="I2101" s="8">
        <f>IF(D2101="","",VLOOKUP(D2101, RECETTES!B:G, 6, FALSE)*E2101)</f>
        <v/>
      </c>
      <c r="J2101" s="8">
        <f>IF(G2101="","",G2101*0.20)</f>
        <v/>
      </c>
      <c r="K2101" s="8">
        <f>IF(G2101="","",G2101+J2101)</f>
        <v/>
      </c>
    </row>
    <row r="2102">
      <c r="F2102" s="8" t="n"/>
      <c r="G2102" s="8">
        <f>IF(E2102="","",E2102*F2102)</f>
        <v/>
      </c>
      <c r="H2102" s="8">
        <f>IF(G2102="","",G2102-I2102)</f>
        <v/>
      </c>
      <c r="I2102" s="8">
        <f>IF(D2102="","",VLOOKUP(D2102, RECETTES!B:G, 6, FALSE)*E2102)</f>
        <v/>
      </c>
      <c r="J2102" s="8">
        <f>IF(G2102="","",G2102*0.20)</f>
        <v/>
      </c>
      <c r="K2102" s="8">
        <f>IF(G2102="","",G2102+J2102)</f>
        <v/>
      </c>
    </row>
    <row r="2103">
      <c r="F2103" s="8" t="n"/>
      <c r="G2103" s="8">
        <f>IF(E2103="","",E2103*F2103)</f>
        <v/>
      </c>
      <c r="H2103" s="8">
        <f>IF(G2103="","",G2103-I2103)</f>
        <v/>
      </c>
      <c r="I2103" s="8">
        <f>IF(D2103="","",VLOOKUP(D2103, RECETTES!B:G, 6, FALSE)*E2103)</f>
        <v/>
      </c>
      <c r="J2103" s="8">
        <f>IF(G2103="","",G2103*0.20)</f>
        <v/>
      </c>
      <c r="K2103" s="8">
        <f>IF(G2103="","",G2103+J2103)</f>
        <v/>
      </c>
    </row>
    <row r="2104">
      <c r="F2104" s="8" t="n"/>
      <c r="G2104" s="8">
        <f>IF(E2104="","",E2104*F2104)</f>
        <v/>
      </c>
      <c r="H2104" s="8">
        <f>IF(G2104="","",G2104-I2104)</f>
        <v/>
      </c>
      <c r="I2104" s="8">
        <f>IF(D2104="","",VLOOKUP(D2104, RECETTES!B:G, 6, FALSE)*E2104)</f>
        <v/>
      </c>
      <c r="J2104" s="8">
        <f>IF(G2104="","",G2104*0.20)</f>
        <v/>
      </c>
      <c r="K2104" s="8">
        <f>IF(G2104="","",G2104+J2104)</f>
        <v/>
      </c>
    </row>
    <row r="2105">
      <c r="F2105" s="8" t="n"/>
      <c r="G2105" s="8">
        <f>IF(E2105="","",E2105*F2105)</f>
        <v/>
      </c>
      <c r="H2105" s="8">
        <f>IF(G2105="","",G2105-I2105)</f>
        <v/>
      </c>
      <c r="I2105" s="8">
        <f>IF(D2105="","",VLOOKUP(D2105, RECETTES!B:G, 6, FALSE)*E2105)</f>
        <v/>
      </c>
      <c r="J2105" s="8">
        <f>IF(G2105="","",G2105*0.20)</f>
        <v/>
      </c>
      <c r="K2105" s="8">
        <f>IF(G2105="","",G2105+J2105)</f>
        <v/>
      </c>
    </row>
    <row r="2106">
      <c r="F2106" s="8" t="n"/>
      <c r="G2106" s="8">
        <f>IF(E2106="","",E2106*F2106)</f>
        <v/>
      </c>
      <c r="H2106" s="8">
        <f>IF(G2106="","",G2106-I2106)</f>
        <v/>
      </c>
      <c r="I2106" s="8">
        <f>IF(D2106="","",VLOOKUP(D2106, RECETTES!B:G, 6, FALSE)*E2106)</f>
        <v/>
      </c>
      <c r="J2106" s="8">
        <f>IF(G2106="","",G2106*0.20)</f>
        <v/>
      </c>
      <c r="K2106" s="8">
        <f>IF(G2106="","",G2106+J2106)</f>
        <v/>
      </c>
    </row>
    <row r="2107">
      <c r="F2107" s="8" t="n"/>
      <c r="G2107" s="8">
        <f>IF(E2107="","",E2107*F2107)</f>
        <v/>
      </c>
      <c r="H2107" s="8">
        <f>IF(G2107="","",G2107-I2107)</f>
        <v/>
      </c>
      <c r="I2107" s="8">
        <f>IF(D2107="","",VLOOKUP(D2107, RECETTES!B:G, 6, FALSE)*E2107)</f>
        <v/>
      </c>
      <c r="J2107" s="8">
        <f>IF(G2107="","",G2107*0.20)</f>
        <v/>
      </c>
      <c r="K2107" s="8">
        <f>IF(G2107="","",G2107+J2107)</f>
        <v/>
      </c>
    </row>
    <row r="2108">
      <c r="F2108" s="8" t="n"/>
      <c r="G2108" s="8">
        <f>IF(E2108="","",E2108*F2108)</f>
        <v/>
      </c>
      <c r="H2108" s="8">
        <f>IF(G2108="","",G2108-I2108)</f>
        <v/>
      </c>
      <c r="I2108" s="8">
        <f>IF(D2108="","",VLOOKUP(D2108, RECETTES!B:G, 6, FALSE)*E2108)</f>
        <v/>
      </c>
      <c r="J2108" s="8">
        <f>IF(G2108="","",G2108*0.20)</f>
        <v/>
      </c>
      <c r="K2108" s="8">
        <f>IF(G2108="","",G2108+J2108)</f>
        <v/>
      </c>
    </row>
    <row r="2109">
      <c r="F2109" s="8" t="n"/>
      <c r="G2109" s="8">
        <f>IF(E2109="","",E2109*F2109)</f>
        <v/>
      </c>
      <c r="H2109" s="8">
        <f>IF(G2109="","",G2109-I2109)</f>
        <v/>
      </c>
      <c r="I2109" s="8">
        <f>IF(D2109="","",VLOOKUP(D2109, RECETTES!B:G, 6, FALSE)*E2109)</f>
        <v/>
      </c>
      <c r="J2109" s="8">
        <f>IF(G2109="","",G2109*0.20)</f>
        <v/>
      </c>
      <c r="K2109" s="8">
        <f>IF(G2109="","",G2109+J2109)</f>
        <v/>
      </c>
    </row>
    <row r="2110">
      <c r="F2110" s="8" t="n"/>
      <c r="G2110" s="8">
        <f>IF(E2110="","",E2110*F2110)</f>
        <v/>
      </c>
      <c r="H2110" s="8">
        <f>IF(G2110="","",G2110-I2110)</f>
        <v/>
      </c>
      <c r="I2110" s="8">
        <f>IF(D2110="","",VLOOKUP(D2110, RECETTES!B:G, 6, FALSE)*E2110)</f>
        <v/>
      </c>
      <c r="J2110" s="8">
        <f>IF(G2110="","",G2110*0.20)</f>
        <v/>
      </c>
      <c r="K2110" s="8">
        <f>IF(G2110="","",G2110+J2110)</f>
        <v/>
      </c>
    </row>
    <row r="2111">
      <c r="F2111" s="8" t="n"/>
      <c r="G2111" s="8">
        <f>IF(E2111="","",E2111*F2111)</f>
        <v/>
      </c>
      <c r="H2111" s="8">
        <f>IF(G2111="","",G2111-I2111)</f>
        <v/>
      </c>
      <c r="I2111" s="8">
        <f>IF(D2111="","",VLOOKUP(D2111, RECETTES!B:G, 6, FALSE)*E2111)</f>
        <v/>
      </c>
      <c r="J2111" s="8">
        <f>IF(G2111="","",G2111*0.20)</f>
        <v/>
      </c>
      <c r="K2111" s="8">
        <f>IF(G2111="","",G2111+J2111)</f>
        <v/>
      </c>
    </row>
    <row r="2112">
      <c r="F2112" s="8" t="n"/>
      <c r="G2112" s="8">
        <f>IF(E2112="","",E2112*F2112)</f>
        <v/>
      </c>
      <c r="H2112" s="8">
        <f>IF(G2112="","",G2112-I2112)</f>
        <v/>
      </c>
      <c r="I2112" s="8">
        <f>IF(D2112="","",VLOOKUP(D2112, RECETTES!B:G, 6, FALSE)*E2112)</f>
        <v/>
      </c>
      <c r="J2112" s="8">
        <f>IF(G2112="","",G2112*0.20)</f>
        <v/>
      </c>
      <c r="K2112" s="8">
        <f>IF(G2112="","",G2112+J2112)</f>
        <v/>
      </c>
    </row>
    <row r="2113">
      <c r="F2113" s="8" t="n"/>
      <c r="G2113" s="8">
        <f>IF(E2113="","",E2113*F2113)</f>
        <v/>
      </c>
      <c r="H2113" s="8">
        <f>IF(G2113="","",G2113-I2113)</f>
        <v/>
      </c>
      <c r="I2113" s="8">
        <f>IF(D2113="","",VLOOKUP(D2113, RECETTES!B:G, 6, FALSE)*E2113)</f>
        <v/>
      </c>
      <c r="J2113" s="8">
        <f>IF(G2113="","",G2113*0.20)</f>
        <v/>
      </c>
      <c r="K2113" s="8">
        <f>IF(G2113="","",G2113+J2113)</f>
        <v/>
      </c>
    </row>
    <row r="2114">
      <c r="F2114" s="8" t="n"/>
      <c r="G2114" s="8">
        <f>IF(E2114="","",E2114*F2114)</f>
        <v/>
      </c>
      <c r="H2114" s="8">
        <f>IF(G2114="","",G2114-I2114)</f>
        <v/>
      </c>
      <c r="I2114" s="8">
        <f>IF(D2114="","",VLOOKUP(D2114, RECETTES!B:G, 6, FALSE)*E2114)</f>
        <v/>
      </c>
      <c r="J2114" s="8">
        <f>IF(G2114="","",G2114*0.20)</f>
        <v/>
      </c>
      <c r="K2114" s="8">
        <f>IF(G2114="","",G2114+J2114)</f>
        <v/>
      </c>
    </row>
    <row r="2115">
      <c r="F2115" s="8" t="n"/>
      <c r="G2115" s="8">
        <f>IF(E2115="","",E2115*F2115)</f>
        <v/>
      </c>
      <c r="H2115" s="8">
        <f>IF(G2115="","",G2115-I2115)</f>
        <v/>
      </c>
      <c r="I2115" s="8">
        <f>IF(D2115="","",VLOOKUP(D2115, RECETTES!B:G, 6, FALSE)*E2115)</f>
        <v/>
      </c>
      <c r="J2115" s="8">
        <f>IF(G2115="","",G2115*0.20)</f>
        <v/>
      </c>
      <c r="K2115" s="8">
        <f>IF(G2115="","",G2115+J2115)</f>
        <v/>
      </c>
    </row>
    <row r="2116">
      <c r="F2116" s="8" t="n"/>
      <c r="G2116" s="8">
        <f>IF(E2116="","",E2116*F2116)</f>
        <v/>
      </c>
      <c r="H2116" s="8">
        <f>IF(G2116="","",G2116-I2116)</f>
        <v/>
      </c>
      <c r="I2116" s="8">
        <f>IF(D2116="","",VLOOKUP(D2116, RECETTES!B:G, 6, FALSE)*E2116)</f>
        <v/>
      </c>
      <c r="J2116" s="8">
        <f>IF(G2116="","",G2116*0.20)</f>
        <v/>
      </c>
      <c r="K2116" s="8">
        <f>IF(G2116="","",G2116+J2116)</f>
        <v/>
      </c>
    </row>
    <row r="2117">
      <c r="F2117" s="8" t="n"/>
      <c r="G2117" s="8">
        <f>IF(E2117="","",E2117*F2117)</f>
        <v/>
      </c>
      <c r="H2117" s="8">
        <f>IF(G2117="","",G2117-I2117)</f>
        <v/>
      </c>
      <c r="I2117" s="8">
        <f>IF(D2117="","",VLOOKUP(D2117, RECETTES!B:G, 6, FALSE)*E2117)</f>
        <v/>
      </c>
      <c r="J2117" s="8">
        <f>IF(G2117="","",G2117*0.20)</f>
        <v/>
      </c>
      <c r="K2117" s="8">
        <f>IF(G2117="","",G2117+J2117)</f>
        <v/>
      </c>
    </row>
    <row r="2118">
      <c r="F2118" s="8" t="n"/>
      <c r="G2118" s="8">
        <f>IF(E2118="","",E2118*F2118)</f>
        <v/>
      </c>
      <c r="H2118" s="8">
        <f>IF(G2118="","",G2118-I2118)</f>
        <v/>
      </c>
      <c r="I2118" s="8">
        <f>IF(D2118="","",VLOOKUP(D2118, RECETTES!B:G, 6, FALSE)*E2118)</f>
        <v/>
      </c>
      <c r="J2118" s="8">
        <f>IF(G2118="","",G2118*0.20)</f>
        <v/>
      </c>
      <c r="K2118" s="8">
        <f>IF(G2118="","",G2118+J2118)</f>
        <v/>
      </c>
    </row>
    <row r="2119">
      <c r="F2119" s="8" t="n"/>
      <c r="G2119" s="8">
        <f>IF(E2119="","",E2119*F2119)</f>
        <v/>
      </c>
      <c r="H2119" s="8">
        <f>IF(G2119="","",G2119-I2119)</f>
        <v/>
      </c>
      <c r="I2119" s="8">
        <f>IF(D2119="","",VLOOKUP(D2119, RECETTES!B:G, 6, FALSE)*E2119)</f>
        <v/>
      </c>
      <c r="J2119" s="8">
        <f>IF(G2119="","",G2119*0.20)</f>
        <v/>
      </c>
      <c r="K2119" s="8">
        <f>IF(G2119="","",G2119+J2119)</f>
        <v/>
      </c>
    </row>
    <row r="2120">
      <c r="F2120" s="8" t="n"/>
      <c r="G2120" s="8">
        <f>IF(E2120="","",E2120*F2120)</f>
        <v/>
      </c>
      <c r="H2120" s="8">
        <f>IF(G2120="","",G2120-I2120)</f>
        <v/>
      </c>
      <c r="I2120" s="8">
        <f>IF(D2120="","",VLOOKUP(D2120, RECETTES!B:G, 6, FALSE)*E2120)</f>
        <v/>
      </c>
      <c r="J2120" s="8">
        <f>IF(G2120="","",G2120*0.20)</f>
        <v/>
      </c>
      <c r="K2120" s="8">
        <f>IF(G2120="","",G2120+J2120)</f>
        <v/>
      </c>
    </row>
    <row r="2121">
      <c r="F2121" s="8" t="n"/>
      <c r="G2121" s="8">
        <f>IF(E2121="","",E2121*F2121)</f>
        <v/>
      </c>
      <c r="H2121" s="8">
        <f>IF(G2121="","",G2121-I2121)</f>
        <v/>
      </c>
      <c r="I2121" s="8">
        <f>IF(D2121="","",VLOOKUP(D2121, RECETTES!B:G, 6, FALSE)*E2121)</f>
        <v/>
      </c>
      <c r="J2121" s="8">
        <f>IF(G2121="","",G2121*0.20)</f>
        <v/>
      </c>
      <c r="K2121" s="8">
        <f>IF(G2121="","",G2121+J2121)</f>
        <v/>
      </c>
    </row>
    <row r="2122">
      <c r="F2122" s="8" t="n"/>
      <c r="G2122" s="8">
        <f>IF(E2122="","",E2122*F2122)</f>
        <v/>
      </c>
      <c r="H2122" s="8">
        <f>IF(G2122="","",G2122-I2122)</f>
        <v/>
      </c>
      <c r="I2122" s="8">
        <f>IF(D2122="","",VLOOKUP(D2122, RECETTES!B:G, 6, FALSE)*E2122)</f>
        <v/>
      </c>
      <c r="J2122" s="8">
        <f>IF(G2122="","",G2122*0.20)</f>
        <v/>
      </c>
      <c r="K2122" s="8">
        <f>IF(G2122="","",G2122+J2122)</f>
        <v/>
      </c>
    </row>
    <row r="2123">
      <c r="F2123" s="8" t="n"/>
      <c r="G2123" s="8">
        <f>IF(E2123="","",E2123*F2123)</f>
        <v/>
      </c>
      <c r="H2123" s="8">
        <f>IF(G2123="","",G2123-I2123)</f>
        <v/>
      </c>
      <c r="I2123" s="8">
        <f>IF(D2123="","",VLOOKUP(D2123, RECETTES!B:G, 6, FALSE)*E2123)</f>
        <v/>
      </c>
      <c r="J2123" s="8">
        <f>IF(G2123="","",G2123*0.20)</f>
        <v/>
      </c>
      <c r="K2123" s="8">
        <f>IF(G2123="","",G2123+J2123)</f>
        <v/>
      </c>
    </row>
    <row r="2124">
      <c r="F2124" s="8" t="n"/>
      <c r="G2124" s="8">
        <f>IF(E2124="","",E2124*F2124)</f>
        <v/>
      </c>
      <c r="H2124" s="8">
        <f>IF(G2124="","",G2124-I2124)</f>
        <v/>
      </c>
      <c r="I2124" s="8">
        <f>IF(D2124="","",VLOOKUP(D2124, RECETTES!B:G, 6, FALSE)*E2124)</f>
        <v/>
      </c>
      <c r="J2124" s="8">
        <f>IF(G2124="","",G2124*0.20)</f>
        <v/>
      </c>
      <c r="K2124" s="8">
        <f>IF(G2124="","",G2124+J2124)</f>
        <v/>
      </c>
    </row>
    <row r="2125">
      <c r="F2125" s="8" t="n"/>
      <c r="G2125" s="8">
        <f>IF(E2125="","",E2125*F2125)</f>
        <v/>
      </c>
      <c r="H2125" s="8">
        <f>IF(G2125="","",G2125-I2125)</f>
        <v/>
      </c>
      <c r="I2125" s="8">
        <f>IF(D2125="","",VLOOKUP(D2125, RECETTES!B:G, 6, FALSE)*E2125)</f>
        <v/>
      </c>
      <c r="J2125" s="8">
        <f>IF(G2125="","",G2125*0.20)</f>
        <v/>
      </c>
      <c r="K2125" s="8">
        <f>IF(G2125="","",G2125+J2125)</f>
        <v/>
      </c>
    </row>
    <row r="2126">
      <c r="F2126" s="8" t="n"/>
      <c r="G2126" s="8">
        <f>IF(E2126="","",E2126*F2126)</f>
        <v/>
      </c>
      <c r="H2126" s="8">
        <f>IF(G2126="","",G2126-I2126)</f>
        <v/>
      </c>
      <c r="I2126" s="8">
        <f>IF(D2126="","",VLOOKUP(D2126, RECETTES!B:G, 6, FALSE)*E2126)</f>
        <v/>
      </c>
      <c r="J2126" s="8">
        <f>IF(G2126="","",G2126*0.20)</f>
        <v/>
      </c>
      <c r="K2126" s="8">
        <f>IF(G2126="","",G2126+J2126)</f>
        <v/>
      </c>
    </row>
    <row r="2127">
      <c r="F2127" s="8" t="n"/>
      <c r="G2127" s="8">
        <f>IF(E2127="","",E2127*F2127)</f>
        <v/>
      </c>
      <c r="H2127" s="8">
        <f>IF(G2127="","",G2127-I2127)</f>
        <v/>
      </c>
      <c r="I2127" s="8">
        <f>IF(D2127="","",VLOOKUP(D2127, RECETTES!B:G, 6, FALSE)*E2127)</f>
        <v/>
      </c>
      <c r="J2127" s="8">
        <f>IF(G2127="","",G2127*0.20)</f>
        <v/>
      </c>
      <c r="K2127" s="8">
        <f>IF(G2127="","",G2127+J2127)</f>
        <v/>
      </c>
    </row>
    <row r="2128">
      <c r="F2128" s="8" t="n"/>
      <c r="G2128" s="8">
        <f>IF(E2128="","",E2128*F2128)</f>
        <v/>
      </c>
      <c r="H2128" s="8">
        <f>IF(G2128="","",G2128-I2128)</f>
        <v/>
      </c>
      <c r="I2128" s="8">
        <f>IF(D2128="","",VLOOKUP(D2128, RECETTES!B:G, 6, FALSE)*E2128)</f>
        <v/>
      </c>
      <c r="J2128" s="8">
        <f>IF(G2128="","",G2128*0.20)</f>
        <v/>
      </c>
      <c r="K2128" s="8">
        <f>IF(G2128="","",G2128+J2128)</f>
        <v/>
      </c>
    </row>
    <row r="2129">
      <c r="F2129" s="8" t="n"/>
      <c r="G2129" s="8">
        <f>IF(E2129="","",E2129*F2129)</f>
        <v/>
      </c>
      <c r="H2129" s="8">
        <f>IF(G2129="","",G2129-I2129)</f>
        <v/>
      </c>
      <c r="I2129" s="8">
        <f>IF(D2129="","",VLOOKUP(D2129, RECETTES!B:G, 6, FALSE)*E2129)</f>
        <v/>
      </c>
      <c r="J2129" s="8">
        <f>IF(G2129="","",G2129*0.20)</f>
        <v/>
      </c>
      <c r="K2129" s="8">
        <f>IF(G2129="","",G2129+J2129)</f>
        <v/>
      </c>
    </row>
    <row r="2130">
      <c r="F2130" s="8" t="n"/>
      <c r="G2130" s="8">
        <f>IF(E2130="","",E2130*F2130)</f>
        <v/>
      </c>
      <c r="H2130" s="8">
        <f>IF(G2130="","",G2130-I2130)</f>
        <v/>
      </c>
      <c r="I2130" s="8">
        <f>IF(D2130="","",VLOOKUP(D2130, RECETTES!B:G, 6, FALSE)*E2130)</f>
        <v/>
      </c>
      <c r="J2130" s="8">
        <f>IF(G2130="","",G2130*0.20)</f>
        <v/>
      </c>
      <c r="K2130" s="8">
        <f>IF(G2130="","",G2130+J2130)</f>
        <v/>
      </c>
    </row>
    <row r="2131">
      <c r="F2131" s="8" t="n"/>
      <c r="G2131" s="8">
        <f>IF(E2131="","",E2131*F2131)</f>
        <v/>
      </c>
      <c r="H2131" s="8">
        <f>IF(G2131="","",G2131-I2131)</f>
        <v/>
      </c>
      <c r="I2131" s="8">
        <f>IF(D2131="","",VLOOKUP(D2131, RECETTES!B:G, 6, FALSE)*E2131)</f>
        <v/>
      </c>
      <c r="J2131" s="8">
        <f>IF(G2131="","",G2131*0.20)</f>
        <v/>
      </c>
      <c r="K2131" s="8">
        <f>IF(G2131="","",G2131+J2131)</f>
        <v/>
      </c>
    </row>
    <row r="2132">
      <c r="F2132" s="8" t="n"/>
      <c r="G2132" s="8">
        <f>IF(E2132="","",E2132*F2132)</f>
        <v/>
      </c>
      <c r="H2132" s="8">
        <f>IF(G2132="","",G2132-I2132)</f>
        <v/>
      </c>
      <c r="I2132" s="8">
        <f>IF(D2132="","",VLOOKUP(D2132, RECETTES!B:G, 6, FALSE)*E2132)</f>
        <v/>
      </c>
      <c r="J2132" s="8">
        <f>IF(G2132="","",G2132*0.20)</f>
        <v/>
      </c>
      <c r="K2132" s="8">
        <f>IF(G2132="","",G2132+J2132)</f>
        <v/>
      </c>
    </row>
    <row r="2133">
      <c r="F2133" s="8" t="n"/>
      <c r="G2133" s="8">
        <f>IF(E2133="","",E2133*F2133)</f>
        <v/>
      </c>
      <c r="H2133" s="8">
        <f>IF(G2133="","",G2133-I2133)</f>
        <v/>
      </c>
      <c r="I2133" s="8">
        <f>IF(D2133="","",VLOOKUP(D2133, RECETTES!B:G, 6, FALSE)*E2133)</f>
        <v/>
      </c>
      <c r="J2133" s="8">
        <f>IF(G2133="","",G2133*0.20)</f>
        <v/>
      </c>
      <c r="K2133" s="8">
        <f>IF(G2133="","",G2133+J2133)</f>
        <v/>
      </c>
    </row>
    <row r="2134">
      <c r="F2134" s="8" t="n"/>
      <c r="G2134" s="8">
        <f>IF(E2134="","",E2134*F2134)</f>
        <v/>
      </c>
      <c r="H2134" s="8">
        <f>IF(G2134="","",G2134-I2134)</f>
        <v/>
      </c>
      <c r="I2134" s="8">
        <f>IF(D2134="","",VLOOKUP(D2134, RECETTES!B:G, 6, FALSE)*E2134)</f>
        <v/>
      </c>
      <c r="J2134" s="8">
        <f>IF(G2134="","",G2134*0.20)</f>
        <v/>
      </c>
      <c r="K2134" s="8">
        <f>IF(G2134="","",G2134+J2134)</f>
        <v/>
      </c>
    </row>
    <row r="2135">
      <c r="F2135" s="8" t="n"/>
      <c r="G2135" s="8">
        <f>IF(E2135="","",E2135*F2135)</f>
        <v/>
      </c>
      <c r="H2135" s="8">
        <f>IF(G2135="","",G2135-I2135)</f>
        <v/>
      </c>
      <c r="I2135" s="8">
        <f>IF(D2135="","",VLOOKUP(D2135, RECETTES!B:G, 6, FALSE)*E2135)</f>
        <v/>
      </c>
      <c r="J2135" s="8">
        <f>IF(G2135="","",G2135*0.20)</f>
        <v/>
      </c>
      <c r="K2135" s="8">
        <f>IF(G2135="","",G2135+J2135)</f>
        <v/>
      </c>
    </row>
    <row r="2136">
      <c r="F2136" s="8" t="n"/>
      <c r="G2136" s="8">
        <f>IF(E2136="","",E2136*F2136)</f>
        <v/>
      </c>
      <c r="H2136" s="8">
        <f>IF(G2136="","",G2136-I2136)</f>
        <v/>
      </c>
      <c r="I2136" s="8">
        <f>IF(D2136="","",VLOOKUP(D2136, RECETTES!B:G, 6, FALSE)*E2136)</f>
        <v/>
      </c>
      <c r="J2136" s="8">
        <f>IF(G2136="","",G2136*0.20)</f>
        <v/>
      </c>
      <c r="K2136" s="8">
        <f>IF(G2136="","",G2136+J2136)</f>
        <v/>
      </c>
    </row>
    <row r="2137">
      <c r="F2137" s="8" t="n"/>
      <c r="G2137" s="8">
        <f>IF(E2137="","",E2137*F2137)</f>
        <v/>
      </c>
      <c r="H2137" s="8">
        <f>IF(G2137="","",G2137-I2137)</f>
        <v/>
      </c>
      <c r="I2137" s="8">
        <f>IF(D2137="","",VLOOKUP(D2137, RECETTES!B:G, 6, FALSE)*E2137)</f>
        <v/>
      </c>
      <c r="J2137" s="8">
        <f>IF(G2137="","",G2137*0.20)</f>
        <v/>
      </c>
      <c r="K2137" s="8">
        <f>IF(G2137="","",G2137+J2137)</f>
        <v/>
      </c>
    </row>
    <row r="2138">
      <c r="F2138" s="8" t="n"/>
      <c r="G2138" s="8">
        <f>IF(E2138="","",E2138*F2138)</f>
        <v/>
      </c>
      <c r="H2138" s="8">
        <f>IF(G2138="","",G2138-I2138)</f>
        <v/>
      </c>
      <c r="I2138" s="8">
        <f>IF(D2138="","",VLOOKUP(D2138, RECETTES!B:G, 6, FALSE)*E2138)</f>
        <v/>
      </c>
      <c r="J2138" s="8">
        <f>IF(G2138="","",G2138*0.20)</f>
        <v/>
      </c>
      <c r="K2138" s="8">
        <f>IF(G2138="","",G2138+J2138)</f>
        <v/>
      </c>
    </row>
    <row r="2139">
      <c r="F2139" s="8" t="n"/>
      <c r="G2139" s="8">
        <f>IF(E2139="","",E2139*F2139)</f>
        <v/>
      </c>
      <c r="H2139" s="8">
        <f>IF(G2139="","",G2139-I2139)</f>
        <v/>
      </c>
      <c r="I2139" s="8">
        <f>IF(D2139="","",VLOOKUP(D2139, RECETTES!B:G, 6, FALSE)*E2139)</f>
        <v/>
      </c>
      <c r="J2139" s="8">
        <f>IF(G2139="","",G2139*0.20)</f>
        <v/>
      </c>
      <c r="K2139" s="8">
        <f>IF(G2139="","",G2139+J2139)</f>
        <v/>
      </c>
    </row>
    <row r="2140">
      <c r="F2140" s="8" t="n"/>
      <c r="G2140" s="8">
        <f>IF(E2140="","",E2140*F2140)</f>
        <v/>
      </c>
      <c r="H2140" s="8">
        <f>IF(G2140="","",G2140-I2140)</f>
        <v/>
      </c>
      <c r="I2140" s="8">
        <f>IF(D2140="","",VLOOKUP(D2140, RECETTES!B:G, 6, FALSE)*E2140)</f>
        <v/>
      </c>
      <c r="J2140" s="8">
        <f>IF(G2140="","",G2140*0.20)</f>
        <v/>
      </c>
      <c r="K2140" s="8">
        <f>IF(G2140="","",G2140+J2140)</f>
        <v/>
      </c>
    </row>
    <row r="2141">
      <c r="F2141" s="8" t="n"/>
      <c r="G2141" s="8">
        <f>IF(E2141="","",E2141*F2141)</f>
        <v/>
      </c>
      <c r="H2141" s="8">
        <f>IF(G2141="","",G2141-I2141)</f>
        <v/>
      </c>
      <c r="I2141" s="8">
        <f>IF(D2141="","",VLOOKUP(D2141, RECETTES!B:G, 6, FALSE)*E2141)</f>
        <v/>
      </c>
      <c r="J2141" s="8">
        <f>IF(G2141="","",G2141*0.20)</f>
        <v/>
      </c>
      <c r="K2141" s="8">
        <f>IF(G2141="","",G2141+J2141)</f>
        <v/>
      </c>
    </row>
    <row r="2142">
      <c r="F2142" s="8" t="n"/>
      <c r="G2142" s="8">
        <f>IF(E2142="","",E2142*F2142)</f>
        <v/>
      </c>
      <c r="H2142" s="8">
        <f>IF(G2142="","",G2142-I2142)</f>
        <v/>
      </c>
      <c r="I2142" s="8">
        <f>IF(D2142="","",VLOOKUP(D2142, RECETTES!B:G, 6, FALSE)*E2142)</f>
        <v/>
      </c>
      <c r="J2142" s="8">
        <f>IF(G2142="","",G2142*0.20)</f>
        <v/>
      </c>
      <c r="K2142" s="8">
        <f>IF(G2142="","",G2142+J2142)</f>
        <v/>
      </c>
    </row>
    <row r="2143">
      <c r="F2143" s="8" t="n"/>
      <c r="G2143" s="8">
        <f>IF(E2143="","",E2143*F2143)</f>
        <v/>
      </c>
      <c r="H2143" s="8">
        <f>IF(G2143="","",G2143-I2143)</f>
        <v/>
      </c>
      <c r="I2143" s="8">
        <f>IF(D2143="","",VLOOKUP(D2143, RECETTES!B:G, 6, FALSE)*E2143)</f>
        <v/>
      </c>
      <c r="J2143" s="8">
        <f>IF(G2143="","",G2143*0.20)</f>
        <v/>
      </c>
      <c r="K2143" s="8">
        <f>IF(G2143="","",G2143+J2143)</f>
        <v/>
      </c>
    </row>
    <row r="2144">
      <c r="F2144" s="8" t="n"/>
      <c r="G2144" s="8">
        <f>IF(E2144="","",E2144*F2144)</f>
        <v/>
      </c>
      <c r="H2144" s="8">
        <f>IF(G2144="","",G2144-I2144)</f>
        <v/>
      </c>
      <c r="I2144" s="8">
        <f>IF(D2144="","",VLOOKUP(D2144, RECETTES!B:G, 6, FALSE)*E2144)</f>
        <v/>
      </c>
      <c r="J2144" s="8">
        <f>IF(G2144="","",G2144*0.20)</f>
        <v/>
      </c>
      <c r="K2144" s="8">
        <f>IF(G2144="","",G2144+J2144)</f>
        <v/>
      </c>
    </row>
    <row r="2145">
      <c r="F2145" s="8" t="n"/>
      <c r="G2145" s="8">
        <f>IF(E2145="","",E2145*F2145)</f>
        <v/>
      </c>
      <c r="H2145" s="8">
        <f>IF(G2145="","",G2145-I2145)</f>
        <v/>
      </c>
      <c r="I2145" s="8">
        <f>IF(D2145="","",VLOOKUP(D2145, RECETTES!B:G, 6, FALSE)*E2145)</f>
        <v/>
      </c>
      <c r="J2145" s="8">
        <f>IF(G2145="","",G2145*0.20)</f>
        <v/>
      </c>
      <c r="K2145" s="8">
        <f>IF(G2145="","",G2145+J2145)</f>
        <v/>
      </c>
    </row>
    <row r="2146">
      <c r="F2146" s="8" t="n"/>
      <c r="G2146" s="8">
        <f>IF(E2146="","",E2146*F2146)</f>
        <v/>
      </c>
      <c r="H2146" s="8">
        <f>IF(G2146="","",G2146-I2146)</f>
        <v/>
      </c>
      <c r="I2146" s="8">
        <f>IF(D2146="","",VLOOKUP(D2146, RECETTES!B:G, 6, FALSE)*E2146)</f>
        <v/>
      </c>
      <c r="J2146" s="8">
        <f>IF(G2146="","",G2146*0.20)</f>
        <v/>
      </c>
      <c r="K2146" s="8">
        <f>IF(G2146="","",G2146+J2146)</f>
        <v/>
      </c>
    </row>
    <row r="2147">
      <c r="F2147" s="8" t="n"/>
      <c r="G2147" s="8">
        <f>IF(E2147="","",E2147*F2147)</f>
        <v/>
      </c>
      <c r="H2147" s="8">
        <f>IF(G2147="","",G2147-I2147)</f>
        <v/>
      </c>
      <c r="I2147" s="8">
        <f>IF(D2147="","",VLOOKUP(D2147, RECETTES!B:G, 6, FALSE)*E2147)</f>
        <v/>
      </c>
      <c r="J2147" s="8">
        <f>IF(G2147="","",G2147*0.20)</f>
        <v/>
      </c>
      <c r="K2147" s="8">
        <f>IF(G2147="","",G2147+J2147)</f>
        <v/>
      </c>
    </row>
    <row r="2148">
      <c r="F2148" s="8" t="n"/>
      <c r="G2148" s="8">
        <f>IF(E2148="","",E2148*F2148)</f>
        <v/>
      </c>
      <c r="H2148" s="8">
        <f>IF(G2148="","",G2148-I2148)</f>
        <v/>
      </c>
      <c r="I2148" s="8">
        <f>IF(D2148="","",VLOOKUP(D2148, RECETTES!B:G, 6, FALSE)*E2148)</f>
        <v/>
      </c>
      <c r="J2148" s="8">
        <f>IF(G2148="","",G2148*0.20)</f>
        <v/>
      </c>
      <c r="K2148" s="8">
        <f>IF(G2148="","",G2148+J2148)</f>
        <v/>
      </c>
    </row>
    <row r="2149">
      <c r="F2149" s="8" t="n"/>
      <c r="G2149" s="8">
        <f>IF(E2149="","",E2149*F2149)</f>
        <v/>
      </c>
      <c r="H2149" s="8">
        <f>IF(G2149="","",G2149-I2149)</f>
        <v/>
      </c>
      <c r="I2149" s="8">
        <f>IF(D2149="","",VLOOKUP(D2149, RECETTES!B:G, 6, FALSE)*E2149)</f>
        <v/>
      </c>
      <c r="J2149" s="8">
        <f>IF(G2149="","",G2149*0.20)</f>
        <v/>
      </c>
      <c r="K2149" s="8">
        <f>IF(G2149="","",G2149+J2149)</f>
        <v/>
      </c>
    </row>
    <row r="2150">
      <c r="F2150" s="8" t="n"/>
      <c r="G2150" s="8">
        <f>IF(E2150="","",E2150*F2150)</f>
        <v/>
      </c>
      <c r="H2150" s="8">
        <f>IF(G2150="","",G2150-I2150)</f>
        <v/>
      </c>
      <c r="I2150" s="8">
        <f>IF(D2150="","",VLOOKUP(D2150, RECETTES!B:G, 6, FALSE)*E2150)</f>
        <v/>
      </c>
      <c r="J2150" s="8">
        <f>IF(G2150="","",G2150*0.20)</f>
        <v/>
      </c>
      <c r="K2150" s="8">
        <f>IF(G2150="","",G2150+J2150)</f>
        <v/>
      </c>
    </row>
    <row r="2151">
      <c r="F2151" s="8" t="n"/>
      <c r="G2151" s="8">
        <f>IF(E2151="","",E2151*F2151)</f>
        <v/>
      </c>
      <c r="H2151" s="8">
        <f>IF(G2151="","",G2151-I2151)</f>
        <v/>
      </c>
      <c r="I2151" s="8">
        <f>IF(D2151="","",VLOOKUP(D2151, RECETTES!B:G, 6, FALSE)*E2151)</f>
        <v/>
      </c>
      <c r="J2151" s="8">
        <f>IF(G2151="","",G2151*0.20)</f>
        <v/>
      </c>
      <c r="K2151" s="8">
        <f>IF(G2151="","",G2151+J2151)</f>
        <v/>
      </c>
    </row>
    <row r="2152">
      <c r="F2152" s="8" t="n"/>
      <c r="G2152" s="8">
        <f>IF(E2152="","",E2152*F2152)</f>
        <v/>
      </c>
      <c r="H2152" s="8">
        <f>IF(G2152="","",G2152-I2152)</f>
        <v/>
      </c>
      <c r="I2152" s="8">
        <f>IF(D2152="","",VLOOKUP(D2152, RECETTES!B:G, 6, FALSE)*E2152)</f>
        <v/>
      </c>
      <c r="J2152" s="8">
        <f>IF(G2152="","",G2152*0.20)</f>
        <v/>
      </c>
      <c r="K2152" s="8">
        <f>IF(G2152="","",G2152+J2152)</f>
        <v/>
      </c>
    </row>
    <row r="2153">
      <c r="F2153" s="8" t="n"/>
      <c r="G2153" s="8">
        <f>IF(E2153="","",E2153*F2153)</f>
        <v/>
      </c>
      <c r="H2153" s="8">
        <f>IF(G2153="","",G2153-I2153)</f>
        <v/>
      </c>
      <c r="I2153" s="8">
        <f>IF(D2153="","",VLOOKUP(D2153, RECETTES!B:G, 6, FALSE)*E2153)</f>
        <v/>
      </c>
      <c r="J2153" s="8">
        <f>IF(G2153="","",G2153*0.20)</f>
        <v/>
      </c>
      <c r="K2153" s="8">
        <f>IF(G2153="","",G2153+J2153)</f>
        <v/>
      </c>
    </row>
    <row r="2154">
      <c r="F2154" s="8" t="n"/>
      <c r="G2154" s="8">
        <f>IF(E2154="","",E2154*F2154)</f>
        <v/>
      </c>
      <c r="H2154" s="8">
        <f>IF(G2154="","",G2154-I2154)</f>
        <v/>
      </c>
      <c r="I2154" s="8">
        <f>IF(D2154="","",VLOOKUP(D2154, RECETTES!B:G, 6, FALSE)*E2154)</f>
        <v/>
      </c>
      <c r="J2154" s="8">
        <f>IF(G2154="","",G2154*0.20)</f>
        <v/>
      </c>
      <c r="K2154" s="8">
        <f>IF(G2154="","",G2154+J2154)</f>
        <v/>
      </c>
    </row>
    <row r="2155">
      <c r="F2155" s="8" t="n"/>
      <c r="G2155" s="8">
        <f>IF(E2155="","",E2155*F2155)</f>
        <v/>
      </c>
      <c r="H2155" s="8">
        <f>IF(G2155="","",G2155-I2155)</f>
        <v/>
      </c>
      <c r="I2155" s="8">
        <f>IF(D2155="","",VLOOKUP(D2155, RECETTES!B:G, 6, FALSE)*E2155)</f>
        <v/>
      </c>
      <c r="J2155" s="8">
        <f>IF(G2155="","",G2155*0.20)</f>
        <v/>
      </c>
      <c r="K2155" s="8">
        <f>IF(G2155="","",G2155+J2155)</f>
        <v/>
      </c>
    </row>
    <row r="2156">
      <c r="F2156" s="8" t="n"/>
      <c r="G2156" s="8">
        <f>IF(E2156="","",E2156*F2156)</f>
        <v/>
      </c>
      <c r="H2156" s="8">
        <f>IF(G2156="","",G2156-I2156)</f>
        <v/>
      </c>
      <c r="I2156" s="8">
        <f>IF(D2156="","",VLOOKUP(D2156, RECETTES!B:G, 6, FALSE)*E2156)</f>
        <v/>
      </c>
      <c r="J2156" s="8">
        <f>IF(G2156="","",G2156*0.20)</f>
        <v/>
      </c>
      <c r="K2156" s="8">
        <f>IF(G2156="","",G2156+J2156)</f>
        <v/>
      </c>
    </row>
    <row r="2157">
      <c r="F2157" s="8" t="n"/>
      <c r="G2157" s="8">
        <f>IF(E2157="","",E2157*F2157)</f>
        <v/>
      </c>
      <c r="H2157" s="8">
        <f>IF(G2157="","",G2157-I2157)</f>
        <v/>
      </c>
      <c r="I2157" s="8">
        <f>IF(D2157="","",VLOOKUP(D2157, RECETTES!B:G, 6, FALSE)*E2157)</f>
        <v/>
      </c>
      <c r="J2157" s="8">
        <f>IF(G2157="","",G2157*0.20)</f>
        <v/>
      </c>
      <c r="K2157" s="8">
        <f>IF(G2157="","",G2157+J2157)</f>
        <v/>
      </c>
    </row>
    <row r="2158">
      <c r="F2158" s="8" t="n"/>
      <c r="G2158" s="8">
        <f>IF(E2158="","",E2158*F2158)</f>
        <v/>
      </c>
      <c r="H2158" s="8">
        <f>IF(G2158="","",G2158-I2158)</f>
        <v/>
      </c>
      <c r="I2158" s="8">
        <f>IF(D2158="","",VLOOKUP(D2158, RECETTES!B:G, 6, FALSE)*E2158)</f>
        <v/>
      </c>
      <c r="J2158" s="8">
        <f>IF(G2158="","",G2158*0.20)</f>
        <v/>
      </c>
      <c r="K2158" s="8">
        <f>IF(G2158="","",G2158+J2158)</f>
        <v/>
      </c>
    </row>
    <row r="2159">
      <c r="F2159" s="8" t="n"/>
      <c r="G2159" s="8">
        <f>IF(E2159="","",E2159*F2159)</f>
        <v/>
      </c>
      <c r="H2159" s="8">
        <f>IF(G2159="","",G2159-I2159)</f>
        <v/>
      </c>
      <c r="I2159" s="8">
        <f>IF(D2159="","",VLOOKUP(D2159, RECETTES!B:G, 6, FALSE)*E2159)</f>
        <v/>
      </c>
      <c r="J2159" s="8">
        <f>IF(G2159="","",G2159*0.20)</f>
        <v/>
      </c>
      <c r="K2159" s="8">
        <f>IF(G2159="","",G2159+J2159)</f>
        <v/>
      </c>
    </row>
    <row r="2160">
      <c r="F2160" s="8" t="n"/>
      <c r="G2160" s="8">
        <f>IF(E2160="","",E2160*F2160)</f>
        <v/>
      </c>
      <c r="H2160" s="8">
        <f>IF(G2160="","",G2160-I2160)</f>
        <v/>
      </c>
      <c r="I2160" s="8">
        <f>IF(D2160="","",VLOOKUP(D2160, RECETTES!B:G, 6, FALSE)*E2160)</f>
        <v/>
      </c>
      <c r="J2160" s="8">
        <f>IF(G2160="","",G2160*0.20)</f>
        <v/>
      </c>
      <c r="K2160" s="8">
        <f>IF(G2160="","",G2160+J2160)</f>
        <v/>
      </c>
    </row>
    <row r="2161">
      <c r="F2161" s="8" t="n"/>
      <c r="G2161" s="8">
        <f>IF(E2161="","",E2161*F2161)</f>
        <v/>
      </c>
      <c r="H2161" s="8">
        <f>IF(G2161="","",G2161-I2161)</f>
        <v/>
      </c>
      <c r="I2161" s="8">
        <f>IF(D2161="","",VLOOKUP(D2161, RECETTES!B:G, 6, FALSE)*E2161)</f>
        <v/>
      </c>
      <c r="J2161" s="8">
        <f>IF(G2161="","",G2161*0.20)</f>
        <v/>
      </c>
      <c r="K2161" s="8">
        <f>IF(G2161="","",G2161+J2161)</f>
        <v/>
      </c>
    </row>
    <row r="2162">
      <c r="F2162" s="8" t="n"/>
      <c r="G2162" s="8">
        <f>IF(E2162="","",E2162*F2162)</f>
        <v/>
      </c>
      <c r="H2162" s="8">
        <f>IF(G2162="","",G2162-I2162)</f>
        <v/>
      </c>
      <c r="I2162" s="8">
        <f>IF(D2162="","",VLOOKUP(D2162, RECETTES!B:G, 6, FALSE)*E2162)</f>
        <v/>
      </c>
      <c r="J2162" s="8">
        <f>IF(G2162="","",G2162*0.20)</f>
        <v/>
      </c>
      <c r="K2162" s="8">
        <f>IF(G2162="","",G2162+J2162)</f>
        <v/>
      </c>
    </row>
    <row r="2163">
      <c r="F2163" s="8" t="n"/>
      <c r="G2163" s="8">
        <f>IF(E2163="","",E2163*F2163)</f>
        <v/>
      </c>
      <c r="H2163" s="8">
        <f>IF(G2163="","",G2163-I2163)</f>
        <v/>
      </c>
      <c r="I2163" s="8">
        <f>IF(D2163="","",VLOOKUP(D2163, RECETTES!B:G, 6, FALSE)*E2163)</f>
        <v/>
      </c>
      <c r="J2163" s="8">
        <f>IF(G2163="","",G2163*0.20)</f>
        <v/>
      </c>
      <c r="K2163" s="8">
        <f>IF(G2163="","",G2163+J2163)</f>
        <v/>
      </c>
    </row>
    <row r="2164">
      <c r="F2164" s="8" t="n"/>
      <c r="G2164" s="8">
        <f>IF(E2164="","",E2164*F2164)</f>
        <v/>
      </c>
      <c r="H2164" s="8">
        <f>IF(G2164="","",G2164-I2164)</f>
        <v/>
      </c>
      <c r="I2164" s="8">
        <f>IF(D2164="","",VLOOKUP(D2164, RECETTES!B:G, 6, FALSE)*E2164)</f>
        <v/>
      </c>
      <c r="J2164" s="8">
        <f>IF(G2164="","",G2164*0.20)</f>
        <v/>
      </c>
      <c r="K2164" s="8">
        <f>IF(G2164="","",G2164+J2164)</f>
        <v/>
      </c>
    </row>
    <row r="2165">
      <c r="F2165" s="8" t="n"/>
      <c r="G2165" s="8">
        <f>IF(E2165="","",E2165*F2165)</f>
        <v/>
      </c>
      <c r="H2165" s="8">
        <f>IF(G2165="","",G2165-I2165)</f>
        <v/>
      </c>
      <c r="I2165" s="8">
        <f>IF(D2165="","",VLOOKUP(D2165, RECETTES!B:G, 6, FALSE)*E2165)</f>
        <v/>
      </c>
      <c r="J2165" s="8">
        <f>IF(G2165="","",G2165*0.20)</f>
        <v/>
      </c>
      <c r="K2165" s="8">
        <f>IF(G2165="","",G2165+J2165)</f>
        <v/>
      </c>
    </row>
    <row r="2166">
      <c r="F2166" s="8" t="n"/>
      <c r="G2166" s="8">
        <f>IF(E2166="","",E2166*F2166)</f>
        <v/>
      </c>
      <c r="H2166" s="8">
        <f>IF(G2166="","",G2166-I2166)</f>
        <v/>
      </c>
      <c r="I2166" s="8">
        <f>IF(D2166="","",VLOOKUP(D2166, RECETTES!B:G, 6, FALSE)*E2166)</f>
        <v/>
      </c>
      <c r="J2166" s="8">
        <f>IF(G2166="","",G2166*0.20)</f>
        <v/>
      </c>
      <c r="K2166" s="8">
        <f>IF(G2166="","",G2166+J2166)</f>
        <v/>
      </c>
    </row>
    <row r="2167">
      <c r="F2167" s="8" t="n"/>
      <c r="G2167" s="8">
        <f>IF(E2167="","",E2167*F2167)</f>
        <v/>
      </c>
      <c r="H2167" s="8">
        <f>IF(G2167="","",G2167-I2167)</f>
        <v/>
      </c>
      <c r="I2167" s="8">
        <f>IF(D2167="","",VLOOKUP(D2167, RECETTES!B:G, 6, FALSE)*E2167)</f>
        <v/>
      </c>
      <c r="J2167" s="8">
        <f>IF(G2167="","",G2167*0.20)</f>
        <v/>
      </c>
      <c r="K2167" s="8">
        <f>IF(G2167="","",G2167+J2167)</f>
        <v/>
      </c>
    </row>
    <row r="2168">
      <c r="F2168" s="8" t="n"/>
      <c r="G2168" s="8">
        <f>IF(E2168="","",E2168*F2168)</f>
        <v/>
      </c>
      <c r="H2168" s="8">
        <f>IF(G2168="","",G2168-I2168)</f>
        <v/>
      </c>
      <c r="I2168" s="8">
        <f>IF(D2168="","",VLOOKUP(D2168, RECETTES!B:G, 6, FALSE)*E2168)</f>
        <v/>
      </c>
      <c r="J2168" s="8">
        <f>IF(G2168="","",G2168*0.20)</f>
        <v/>
      </c>
      <c r="K2168" s="8">
        <f>IF(G2168="","",G2168+J2168)</f>
        <v/>
      </c>
    </row>
    <row r="2169">
      <c r="F2169" s="8" t="n"/>
      <c r="G2169" s="8">
        <f>IF(E2169="","",E2169*F2169)</f>
        <v/>
      </c>
      <c r="H2169" s="8">
        <f>IF(G2169="","",G2169-I2169)</f>
        <v/>
      </c>
      <c r="I2169" s="8">
        <f>IF(D2169="","",VLOOKUP(D2169, RECETTES!B:G, 6, FALSE)*E2169)</f>
        <v/>
      </c>
      <c r="J2169" s="8">
        <f>IF(G2169="","",G2169*0.20)</f>
        <v/>
      </c>
      <c r="K2169" s="8">
        <f>IF(G2169="","",G2169+J2169)</f>
        <v/>
      </c>
    </row>
    <row r="2170">
      <c r="F2170" s="8" t="n"/>
      <c r="G2170" s="8">
        <f>IF(E2170="","",E2170*F2170)</f>
        <v/>
      </c>
      <c r="H2170" s="8">
        <f>IF(G2170="","",G2170-I2170)</f>
        <v/>
      </c>
      <c r="I2170" s="8">
        <f>IF(D2170="","",VLOOKUP(D2170, RECETTES!B:G, 6, FALSE)*E2170)</f>
        <v/>
      </c>
      <c r="J2170" s="8">
        <f>IF(G2170="","",G2170*0.20)</f>
        <v/>
      </c>
      <c r="K2170" s="8">
        <f>IF(G2170="","",G2170+J2170)</f>
        <v/>
      </c>
    </row>
    <row r="2171">
      <c r="F2171" s="8" t="n"/>
      <c r="G2171" s="8">
        <f>IF(E2171="","",E2171*F2171)</f>
        <v/>
      </c>
      <c r="H2171" s="8">
        <f>IF(G2171="","",G2171-I2171)</f>
        <v/>
      </c>
      <c r="I2171" s="8">
        <f>IF(D2171="","",VLOOKUP(D2171, RECETTES!B:G, 6, FALSE)*E2171)</f>
        <v/>
      </c>
      <c r="J2171" s="8">
        <f>IF(G2171="","",G2171*0.20)</f>
        <v/>
      </c>
      <c r="K2171" s="8">
        <f>IF(G2171="","",G2171+J2171)</f>
        <v/>
      </c>
    </row>
    <row r="2172">
      <c r="F2172" s="8" t="n"/>
      <c r="G2172" s="8">
        <f>IF(E2172="","",E2172*F2172)</f>
        <v/>
      </c>
      <c r="H2172" s="8">
        <f>IF(G2172="","",G2172-I2172)</f>
        <v/>
      </c>
      <c r="I2172" s="8">
        <f>IF(D2172="","",VLOOKUP(D2172, RECETTES!B:G, 6, FALSE)*E2172)</f>
        <v/>
      </c>
      <c r="J2172" s="8">
        <f>IF(G2172="","",G2172*0.20)</f>
        <v/>
      </c>
      <c r="K2172" s="8">
        <f>IF(G2172="","",G2172+J2172)</f>
        <v/>
      </c>
    </row>
    <row r="2173">
      <c r="F2173" s="8" t="n"/>
      <c r="G2173" s="8">
        <f>IF(E2173="","",E2173*F2173)</f>
        <v/>
      </c>
      <c r="H2173" s="8">
        <f>IF(G2173="","",G2173-I2173)</f>
        <v/>
      </c>
      <c r="I2173" s="8">
        <f>IF(D2173="","",VLOOKUP(D2173, RECETTES!B:G, 6, FALSE)*E2173)</f>
        <v/>
      </c>
      <c r="J2173" s="8">
        <f>IF(G2173="","",G2173*0.20)</f>
        <v/>
      </c>
      <c r="K2173" s="8">
        <f>IF(G2173="","",G2173+J2173)</f>
        <v/>
      </c>
    </row>
    <row r="2174">
      <c r="F2174" s="8" t="n"/>
      <c r="G2174" s="8">
        <f>IF(E2174="","",E2174*F2174)</f>
        <v/>
      </c>
      <c r="H2174" s="8">
        <f>IF(G2174="","",G2174-I2174)</f>
        <v/>
      </c>
      <c r="I2174" s="8">
        <f>IF(D2174="","",VLOOKUP(D2174, RECETTES!B:G, 6, FALSE)*E2174)</f>
        <v/>
      </c>
      <c r="J2174" s="8">
        <f>IF(G2174="","",G2174*0.20)</f>
        <v/>
      </c>
      <c r="K2174" s="8">
        <f>IF(G2174="","",G2174+J2174)</f>
        <v/>
      </c>
    </row>
    <row r="2175">
      <c r="F2175" s="8" t="n"/>
      <c r="G2175" s="8">
        <f>IF(E2175="","",E2175*F2175)</f>
        <v/>
      </c>
      <c r="H2175" s="8">
        <f>IF(G2175="","",G2175-I2175)</f>
        <v/>
      </c>
      <c r="I2175" s="8">
        <f>IF(D2175="","",VLOOKUP(D2175, RECETTES!B:G, 6, FALSE)*E2175)</f>
        <v/>
      </c>
      <c r="J2175" s="8">
        <f>IF(G2175="","",G2175*0.20)</f>
        <v/>
      </c>
      <c r="K2175" s="8">
        <f>IF(G2175="","",G2175+J2175)</f>
        <v/>
      </c>
    </row>
    <row r="2176">
      <c r="F2176" s="8" t="n"/>
      <c r="G2176" s="8">
        <f>IF(E2176="","",E2176*F2176)</f>
        <v/>
      </c>
      <c r="H2176" s="8">
        <f>IF(G2176="","",G2176-I2176)</f>
        <v/>
      </c>
      <c r="I2176" s="8">
        <f>IF(D2176="","",VLOOKUP(D2176, RECETTES!B:G, 6, FALSE)*E2176)</f>
        <v/>
      </c>
      <c r="J2176" s="8">
        <f>IF(G2176="","",G2176*0.20)</f>
        <v/>
      </c>
      <c r="K2176" s="8">
        <f>IF(G2176="","",G2176+J2176)</f>
        <v/>
      </c>
    </row>
    <row r="2177">
      <c r="F2177" s="8" t="n"/>
      <c r="G2177" s="8">
        <f>IF(E2177="","",E2177*F2177)</f>
        <v/>
      </c>
      <c r="H2177" s="8">
        <f>IF(G2177="","",G2177-I2177)</f>
        <v/>
      </c>
      <c r="I2177" s="8">
        <f>IF(D2177="","",VLOOKUP(D2177, RECETTES!B:G, 6, FALSE)*E2177)</f>
        <v/>
      </c>
      <c r="J2177" s="8">
        <f>IF(G2177="","",G2177*0.20)</f>
        <v/>
      </c>
      <c r="K2177" s="8">
        <f>IF(G2177="","",G2177+J2177)</f>
        <v/>
      </c>
    </row>
    <row r="2178">
      <c r="F2178" s="8" t="n"/>
      <c r="G2178" s="8">
        <f>IF(E2178="","",E2178*F2178)</f>
        <v/>
      </c>
      <c r="H2178" s="8">
        <f>IF(G2178="","",G2178-I2178)</f>
        <v/>
      </c>
      <c r="I2178" s="8">
        <f>IF(D2178="","",VLOOKUP(D2178, RECETTES!B:G, 6, FALSE)*E2178)</f>
        <v/>
      </c>
      <c r="J2178" s="8">
        <f>IF(G2178="","",G2178*0.20)</f>
        <v/>
      </c>
      <c r="K2178" s="8">
        <f>IF(G2178="","",G2178+J2178)</f>
        <v/>
      </c>
    </row>
    <row r="2179">
      <c r="F2179" s="8" t="n"/>
      <c r="G2179" s="8">
        <f>IF(E2179="","",E2179*F2179)</f>
        <v/>
      </c>
      <c r="H2179" s="8">
        <f>IF(G2179="","",G2179-I2179)</f>
        <v/>
      </c>
      <c r="I2179" s="8">
        <f>IF(D2179="","",VLOOKUP(D2179, RECETTES!B:G, 6, FALSE)*E2179)</f>
        <v/>
      </c>
      <c r="J2179" s="8">
        <f>IF(G2179="","",G2179*0.20)</f>
        <v/>
      </c>
      <c r="K2179" s="8">
        <f>IF(G2179="","",G2179+J2179)</f>
        <v/>
      </c>
    </row>
    <row r="2180">
      <c r="F2180" s="8" t="n"/>
      <c r="G2180" s="8">
        <f>IF(E2180="","",E2180*F2180)</f>
        <v/>
      </c>
      <c r="H2180" s="8">
        <f>IF(G2180="","",G2180-I2180)</f>
        <v/>
      </c>
      <c r="I2180" s="8">
        <f>IF(D2180="","",VLOOKUP(D2180, RECETTES!B:G, 6, FALSE)*E2180)</f>
        <v/>
      </c>
      <c r="J2180" s="8">
        <f>IF(G2180="","",G2180*0.20)</f>
        <v/>
      </c>
      <c r="K2180" s="8">
        <f>IF(G2180="","",G2180+J2180)</f>
        <v/>
      </c>
    </row>
    <row r="2181">
      <c r="F2181" s="8" t="n"/>
      <c r="G2181" s="8">
        <f>IF(E2181="","",E2181*F2181)</f>
        <v/>
      </c>
      <c r="H2181" s="8">
        <f>IF(G2181="","",G2181-I2181)</f>
        <v/>
      </c>
      <c r="I2181" s="8">
        <f>IF(D2181="","",VLOOKUP(D2181, RECETTES!B:G, 6, FALSE)*E2181)</f>
        <v/>
      </c>
      <c r="J2181" s="8">
        <f>IF(G2181="","",G2181*0.20)</f>
        <v/>
      </c>
      <c r="K2181" s="8">
        <f>IF(G2181="","",G2181+J2181)</f>
        <v/>
      </c>
    </row>
    <row r="2182">
      <c r="F2182" s="8" t="n"/>
      <c r="G2182" s="8">
        <f>IF(E2182="","",E2182*F2182)</f>
        <v/>
      </c>
      <c r="H2182" s="8">
        <f>IF(G2182="","",G2182-I2182)</f>
        <v/>
      </c>
      <c r="I2182" s="8">
        <f>IF(D2182="","",VLOOKUP(D2182, RECETTES!B:G, 6, FALSE)*E2182)</f>
        <v/>
      </c>
      <c r="J2182" s="8">
        <f>IF(G2182="","",G2182*0.20)</f>
        <v/>
      </c>
      <c r="K2182" s="8">
        <f>IF(G2182="","",G2182+J2182)</f>
        <v/>
      </c>
    </row>
    <row r="2183">
      <c r="F2183" s="8" t="n"/>
      <c r="G2183" s="8">
        <f>IF(E2183="","",E2183*F2183)</f>
        <v/>
      </c>
      <c r="H2183" s="8">
        <f>IF(G2183="","",G2183-I2183)</f>
        <v/>
      </c>
      <c r="I2183" s="8">
        <f>IF(D2183="","",VLOOKUP(D2183, RECETTES!B:G, 6, FALSE)*E2183)</f>
        <v/>
      </c>
      <c r="J2183" s="8">
        <f>IF(G2183="","",G2183*0.20)</f>
        <v/>
      </c>
      <c r="K2183" s="8">
        <f>IF(G2183="","",G2183+J2183)</f>
        <v/>
      </c>
    </row>
    <row r="2184">
      <c r="F2184" s="8" t="n"/>
      <c r="G2184" s="8">
        <f>IF(E2184="","",E2184*F2184)</f>
        <v/>
      </c>
      <c r="H2184" s="8">
        <f>IF(G2184="","",G2184-I2184)</f>
        <v/>
      </c>
      <c r="I2184" s="8">
        <f>IF(D2184="","",VLOOKUP(D2184, RECETTES!B:G, 6, FALSE)*E2184)</f>
        <v/>
      </c>
      <c r="J2184" s="8">
        <f>IF(G2184="","",G2184*0.20)</f>
        <v/>
      </c>
      <c r="K2184" s="8">
        <f>IF(G2184="","",G2184+J2184)</f>
        <v/>
      </c>
    </row>
    <row r="2185">
      <c r="F2185" s="8" t="n"/>
      <c r="G2185" s="8">
        <f>IF(E2185="","",E2185*F2185)</f>
        <v/>
      </c>
      <c r="H2185" s="8">
        <f>IF(G2185="","",G2185-I2185)</f>
        <v/>
      </c>
      <c r="I2185" s="8">
        <f>IF(D2185="","",VLOOKUP(D2185, RECETTES!B:G, 6, FALSE)*E2185)</f>
        <v/>
      </c>
      <c r="J2185" s="8">
        <f>IF(G2185="","",G2185*0.20)</f>
        <v/>
      </c>
      <c r="K2185" s="8">
        <f>IF(G2185="","",G2185+J2185)</f>
        <v/>
      </c>
    </row>
    <row r="2186">
      <c r="F2186" s="8" t="n"/>
      <c r="G2186" s="8">
        <f>IF(E2186="","",E2186*F2186)</f>
        <v/>
      </c>
      <c r="H2186" s="8">
        <f>IF(G2186="","",G2186-I2186)</f>
        <v/>
      </c>
      <c r="I2186" s="8">
        <f>IF(D2186="","",VLOOKUP(D2186, RECETTES!B:G, 6, FALSE)*E2186)</f>
        <v/>
      </c>
      <c r="J2186" s="8">
        <f>IF(G2186="","",G2186*0.20)</f>
        <v/>
      </c>
      <c r="K2186" s="8">
        <f>IF(G2186="","",G2186+J2186)</f>
        <v/>
      </c>
    </row>
    <row r="2187">
      <c r="F2187" s="8" t="n"/>
      <c r="G2187" s="8">
        <f>IF(E2187="","",E2187*F2187)</f>
        <v/>
      </c>
      <c r="H2187" s="8">
        <f>IF(G2187="","",G2187-I2187)</f>
        <v/>
      </c>
      <c r="I2187" s="8">
        <f>IF(D2187="","",VLOOKUP(D2187, RECETTES!B:G, 6, FALSE)*E2187)</f>
        <v/>
      </c>
      <c r="J2187" s="8">
        <f>IF(G2187="","",G2187*0.20)</f>
        <v/>
      </c>
      <c r="K2187" s="8">
        <f>IF(G2187="","",G2187+J2187)</f>
        <v/>
      </c>
    </row>
    <row r="2188">
      <c r="F2188" s="8" t="n"/>
      <c r="G2188" s="8">
        <f>IF(E2188="","",E2188*F2188)</f>
        <v/>
      </c>
      <c r="H2188" s="8">
        <f>IF(G2188="","",G2188-I2188)</f>
        <v/>
      </c>
      <c r="I2188" s="8">
        <f>IF(D2188="","",VLOOKUP(D2188, RECETTES!B:G, 6, FALSE)*E2188)</f>
        <v/>
      </c>
      <c r="J2188" s="8">
        <f>IF(G2188="","",G2188*0.20)</f>
        <v/>
      </c>
      <c r="K2188" s="8">
        <f>IF(G2188="","",G2188+J2188)</f>
        <v/>
      </c>
    </row>
    <row r="2189">
      <c r="F2189" s="8" t="n"/>
      <c r="G2189" s="8">
        <f>IF(E2189="","",E2189*F2189)</f>
        <v/>
      </c>
      <c r="H2189" s="8">
        <f>IF(G2189="","",G2189-I2189)</f>
        <v/>
      </c>
      <c r="I2189" s="8">
        <f>IF(D2189="","",VLOOKUP(D2189, RECETTES!B:G, 6, FALSE)*E2189)</f>
        <v/>
      </c>
      <c r="J2189" s="8">
        <f>IF(G2189="","",G2189*0.20)</f>
        <v/>
      </c>
      <c r="K2189" s="8">
        <f>IF(G2189="","",G2189+J2189)</f>
        <v/>
      </c>
    </row>
    <row r="2190">
      <c r="F2190" s="8" t="n"/>
      <c r="G2190" s="8">
        <f>IF(E2190="","",E2190*F2190)</f>
        <v/>
      </c>
      <c r="H2190" s="8">
        <f>IF(G2190="","",G2190-I2190)</f>
        <v/>
      </c>
      <c r="I2190" s="8">
        <f>IF(D2190="","",VLOOKUP(D2190, RECETTES!B:G, 6, FALSE)*E2190)</f>
        <v/>
      </c>
      <c r="J2190" s="8">
        <f>IF(G2190="","",G2190*0.20)</f>
        <v/>
      </c>
      <c r="K2190" s="8">
        <f>IF(G2190="","",G2190+J2190)</f>
        <v/>
      </c>
    </row>
    <row r="2191">
      <c r="F2191" s="8" t="n"/>
      <c r="G2191" s="8">
        <f>IF(E2191="","",E2191*F2191)</f>
        <v/>
      </c>
      <c r="H2191" s="8">
        <f>IF(G2191="","",G2191-I2191)</f>
        <v/>
      </c>
      <c r="I2191" s="8">
        <f>IF(D2191="","",VLOOKUP(D2191, RECETTES!B:G, 6, FALSE)*E2191)</f>
        <v/>
      </c>
      <c r="J2191" s="8">
        <f>IF(G2191="","",G2191*0.20)</f>
        <v/>
      </c>
      <c r="K2191" s="8">
        <f>IF(G2191="","",G2191+J2191)</f>
        <v/>
      </c>
    </row>
    <row r="2192">
      <c r="F2192" s="8" t="n"/>
      <c r="G2192" s="8">
        <f>IF(E2192="","",E2192*F2192)</f>
        <v/>
      </c>
      <c r="H2192" s="8">
        <f>IF(G2192="","",G2192-I2192)</f>
        <v/>
      </c>
      <c r="I2192" s="8">
        <f>IF(D2192="","",VLOOKUP(D2192, RECETTES!B:G, 6, FALSE)*E2192)</f>
        <v/>
      </c>
      <c r="J2192" s="8">
        <f>IF(G2192="","",G2192*0.20)</f>
        <v/>
      </c>
      <c r="K2192" s="8">
        <f>IF(G2192="","",G2192+J2192)</f>
        <v/>
      </c>
    </row>
    <row r="2193">
      <c r="F2193" s="8" t="n"/>
      <c r="G2193" s="8">
        <f>IF(E2193="","",E2193*F2193)</f>
        <v/>
      </c>
      <c r="H2193" s="8">
        <f>IF(G2193="","",G2193-I2193)</f>
        <v/>
      </c>
      <c r="I2193" s="8">
        <f>IF(D2193="","",VLOOKUP(D2193, RECETTES!B:G, 6, FALSE)*E2193)</f>
        <v/>
      </c>
      <c r="J2193" s="8">
        <f>IF(G2193="","",G2193*0.20)</f>
        <v/>
      </c>
      <c r="K2193" s="8">
        <f>IF(G2193="","",G2193+J2193)</f>
        <v/>
      </c>
    </row>
    <row r="2194">
      <c r="F2194" s="8" t="n"/>
      <c r="G2194" s="8">
        <f>IF(E2194="","",E2194*F2194)</f>
        <v/>
      </c>
      <c r="H2194" s="8">
        <f>IF(G2194="","",G2194-I2194)</f>
        <v/>
      </c>
      <c r="I2194" s="8">
        <f>IF(D2194="","",VLOOKUP(D2194, RECETTES!B:G, 6, FALSE)*E2194)</f>
        <v/>
      </c>
      <c r="J2194" s="8">
        <f>IF(G2194="","",G2194*0.20)</f>
        <v/>
      </c>
      <c r="K2194" s="8">
        <f>IF(G2194="","",G2194+J2194)</f>
        <v/>
      </c>
    </row>
    <row r="2195">
      <c r="F2195" s="8" t="n"/>
      <c r="G2195" s="8">
        <f>IF(E2195="","",E2195*F2195)</f>
        <v/>
      </c>
      <c r="H2195" s="8">
        <f>IF(G2195="","",G2195-I2195)</f>
        <v/>
      </c>
      <c r="I2195" s="8">
        <f>IF(D2195="","",VLOOKUP(D2195, RECETTES!B:G, 6, FALSE)*E2195)</f>
        <v/>
      </c>
      <c r="J2195" s="8">
        <f>IF(G2195="","",G2195*0.20)</f>
        <v/>
      </c>
      <c r="K2195" s="8">
        <f>IF(G2195="","",G2195+J2195)</f>
        <v/>
      </c>
    </row>
    <row r="2196">
      <c r="F2196" s="8" t="n"/>
      <c r="G2196" s="8">
        <f>IF(E2196="","",E2196*F2196)</f>
        <v/>
      </c>
      <c r="H2196" s="8">
        <f>IF(G2196="","",G2196-I2196)</f>
        <v/>
      </c>
      <c r="I2196" s="8">
        <f>IF(D2196="","",VLOOKUP(D2196, RECETTES!B:G, 6, FALSE)*E2196)</f>
        <v/>
      </c>
      <c r="J2196" s="8">
        <f>IF(G2196="","",G2196*0.20)</f>
        <v/>
      </c>
      <c r="K2196" s="8">
        <f>IF(G2196="","",G2196+J2196)</f>
        <v/>
      </c>
    </row>
    <row r="2197">
      <c r="F2197" s="8" t="n"/>
      <c r="G2197" s="8">
        <f>IF(E2197="","",E2197*F2197)</f>
        <v/>
      </c>
      <c r="H2197" s="8">
        <f>IF(G2197="","",G2197-I2197)</f>
        <v/>
      </c>
      <c r="I2197" s="8">
        <f>IF(D2197="","",VLOOKUP(D2197, RECETTES!B:G, 6, FALSE)*E2197)</f>
        <v/>
      </c>
      <c r="J2197" s="8">
        <f>IF(G2197="","",G2197*0.20)</f>
        <v/>
      </c>
      <c r="K2197" s="8">
        <f>IF(G2197="","",G2197+J2197)</f>
        <v/>
      </c>
    </row>
    <row r="2198">
      <c r="F2198" s="8" t="n"/>
      <c r="G2198" s="8">
        <f>IF(E2198="","",E2198*F2198)</f>
        <v/>
      </c>
      <c r="H2198" s="8">
        <f>IF(G2198="","",G2198-I2198)</f>
        <v/>
      </c>
      <c r="I2198" s="8">
        <f>IF(D2198="","",VLOOKUP(D2198, RECETTES!B:G, 6, FALSE)*E2198)</f>
        <v/>
      </c>
      <c r="J2198" s="8">
        <f>IF(G2198="","",G2198*0.20)</f>
        <v/>
      </c>
      <c r="K2198" s="8">
        <f>IF(G2198="","",G2198+J2198)</f>
        <v/>
      </c>
    </row>
    <row r="2199">
      <c r="F2199" s="8" t="n"/>
      <c r="G2199" s="8">
        <f>IF(E2199="","",E2199*F2199)</f>
        <v/>
      </c>
      <c r="H2199" s="8">
        <f>IF(G2199="","",G2199-I2199)</f>
        <v/>
      </c>
      <c r="I2199" s="8">
        <f>IF(D2199="","",VLOOKUP(D2199, RECETTES!B:G, 6, FALSE)*E2199)</f>
        <v/>
      </c>
      <c r="J2199" s="8">
        <f>IF(G2199="","",G2199*0.20)</f>
        <v/>
      </c>
      <c r="K2199" s="8">
        <f>IF(G2199="","",G2199+J2199)</f>
        <v/>
      </c>
    </row>
    <row r="2200">
      <c r="F2200" s="8" t="n"/>
      <c r="G2200" s="8">
        <f>IF(E2200="","",E2200*F2200)</f>
        <v/>
      </c>
      <c r="H2200" s="8">
        <f>IF(G2200="","",G2200-I2200)</f>
        <v/>
      </c>
      <c r="I2200" s="8">
        <f>IF(D2200="","",VLOOKUP(D2200, RECETTES!B:G, 6, FALSE)*E2200)</f>
        <v/>
      </c>
      <c r="J2200" s="8">
        <f>IF(G2200="","",G2200*0.20)</f>
        <v/>
      </c>
      <c r="K2200" s="8">
        <f>IF(G2200="","",G2200+J2200)</f>
        <v/>
      </c>
    </row>
    <row r="2201">
      <c r="F2201" s="8" t="n"/>
      <c r="G2201" s="8">
        <f>IF(E2201="","",E2201*F2201)</f>
        <v/>
      </c>
      <c r="H2201" s="8">
        <f>IF(G2201="","",G2201-I2201)</f>
        <v/>
      </c>
      <c r="I2201" s="8">
        <f>IF(D2201="","",VLOOKUP(D2201, RECETTES!B:G, 6, FALSE)*E2201)</f>
        <v/>
      </c>
      <c r="J2201" s="8">
        <f>IF(G2201="","",G2201*0.20)</f>
        <v/>
      </c>
      <c r="K2201" s="8">
        <f>IF(G2201="","",G2201+J2201)</f>
        <v/>
      </c>
    </row>
    <row r="2202">
      <c r="F2202" s="8" t="n"/>
      <c r="G2202" s="8">
        <f>IF(E2202="","",E2202*F2202)</f>
        <v/>
      </c>
      <c r="H2202" s="8">
        <f>IF(G2202="","",G2202-I2202)</f>
        <v/>
      </c>
      <c r="I2202" s="8">
        <f>IF(D2202="","",VLOOKUP(D2202, RECETTES!B:G, 6, FALSE)*E2202)</f>
        <v/>
      </c>
      <c r="J2202" s="8">
        <f>IF(G2202="","",G2202*0.20)</f>
        <v/>
      </c>
      <c r="K2202" s="8">
        <f>IF(G2202="","",G2202+J2202)</f>
        <v/>
      </c>
    </row>
    <row r="2203">
      <c r="F2203" s="8" t="n"/>
      <c r="G2203" s="8">
        <f>IF(E2203="","",E2203*F2203)</f>
        <v/>
      </c>
      <c r="H2203" s="8">
        <f>IF(G2203="","",G2203-I2203)</f>
        <v/>
      </c>
      <c r="I2203" s="8">
        <f>IF(D2203="","",VLOOKUP(D2203, RECETTES!B:G, 6, FALSE)*E2203)</f>
        <v/>
      </c>
      <c r="J2203" s="8">
        <f>IF(G2203="","",G2203*0.20)</f>
        <v/>
      </c>
      <c r="K2203" s="8">
        <f>IF(G2203="","",G2203+J2203)</f>
        <v/>
      </c>
    </row>
    <row r="2204">
      <c r="F2204" s="8" t="n"/>
      <c r="G2204" s="8">
        <f>IF(E2204="","",E2204*F2204)</f>
        <v/>
      </c>
      <c r="H2204" s="8">
        <f>IF(G2204="","",G2204-I2204)</f>
        <v/>
      </c>
      <c r="I2204" s="8">
        <f>IF(D2204="","",VLOOKUP(D2204, RECETTES!B:G, 6, FALSE)*E2204)</f>
        <v/>
      </c>
      <c r="J2204" s="8">
        <f>IF(G2204="","",G2204*0.20)</f>
        <v/>
      </c>
      <c r="K2204" s="8">
        <f>IF(G2204="","",G2204+J2204)</f>
        <v/>
      </c>
    </row>
    <row r="2205">
      <c r="F2205" s="8" t="n"/>
      <c r="G2205" s="8">
        <f>IF(E2205="","",E2205*F2205)</f>
        <v/>
      </c>
      <c r="H2205" s="8">
        <f>IF(G2205="","",G2205-I2205)</f>
        <v/>
      </c>
      <c r="I2205" s="8">
        <f>IF(D2205="","",VLOOKUP(D2205, RECETTES!B:G, 6, FALSE)*E2205)</f>
        <v/>
      </c>
      <c r="J2205" s="8">
        <f>IF(G2205="","",G2205*0.20)</f>
        <v/>
      </c>
      <c r="K2205" s="8">
        <f>IF(G2205="","",G2205+J2205)</f>
        <v/>
      </c>
    </row>
    <row r="2206">
      <c r="F2206" s="8" t="n"/>
      <c r="G2206" s="8">
        <f>IF(E2206="","",E2206*F2206)</f>
        <v/>
      </c>
      <c r="H2206" s="8">
        <f>IF(G2206="","",G2206-I2206)</f>
        <v/>
      </c>
      <c r="I2206" s="8">
        <f>IF(D2206="","",VLOOKUP(D2206, RECETTES!B:G, 6, FALSE)*E2206)</f>
        <v/>
      </c>
      <c r="J2206" s="8">
        <f>IF(G2206="","",G2206*0.20)</f>
        <v/>
      </c>
      <c r="K2206" s="8">
        <f>IF(G2206="","",G2206+J2206)</f>
        <v/>
      </c>
    </row>
    <row r="2207">
      <c r="F2207" s="8" t="n"/>
      <c r="G2207" s="8">
        <f>IF(E2207="","",E2207*F2207)</f>
        <v/>
      </c>
      <c r="H2207" s="8">
        <f>IF(G2207="","",G2207-I2207)</f>
        <v/>
      </c>
      <c r="I2207" s="8">
        <f>IF(D2207="","",VLOOKUP(D2207, RECETTES!B:G, 6, FALSE)*E2207)</f>
        <v/>
      </c>
      <c r="J2207" s="8">
        <f>IF(G2207="","",G2207*0.20)</f>
        <v/>
      </c>
      <c r="K2207" s="8">
        <f>IF(G2207="","",G2207+J2207)</f>
        <v/>
      </c>
    </row>
    <row r="2208">
      <c r="F2208" s="8" t="n"/>
      <c r="G2208" s="8">
        <f>IF(E2208="","",E2208*F2208)</f>
        <v/>
      </c>
      <c r="H2208" s="8">
        <f>IF(G2208="","",G2208-I2208)</f>
        <v/>
      </c>
      <c r="I2208" s="8">
        <f>IF(D2208="","",VLOOKUP(D2208, RECETTES!B:G, 6, FALSE)*E2208)</f>
        <v/>
      </c>
      <c r="J2208" s="8">
        <f>IF(G2208="","",G2208*0.20)</f>
        <v/>
      </c>
      <c r="K2208" s="8">
        <f>IF(G2208="","",G2208+J2208)</f>
        <v/>
      </c>
    </row>
    <row r="2209">
      <c r="F2209" s="8" t="n"/>
      <c r="G2209" s="8">
        <f>IF(E2209="","",E2209*F2209)</f>
        <v/>
      </c>
      <c r="H2209" s="8">
        <f>IF(G2209="","",G2209-I2209)</f>
        <v/>
      </c>
      <c r="I2209" s="8">
        <f>IF(D2209="","",VLOOKUP(D2209, RECETTES!B:G, 6, FALSE)*E2209)</f>
        <v/>
      </c>
      <c r="J2209" s="8">
        <f>IF(G2209="","",G2209*0.20)</f>
        <v/>
      </c>
      <c r="K2209" s="8">
        <f>IF(G2209="","",G2209+J2209)</f>
        <v/>
      </c>
    </row>
    <row r="2210">
      <c r="F2210" s="8" t="n"/>
      <c r="G2210" s="8">
        <f>IF(E2210="","",E2210*F2210)</f>
        <v/>
      </c>
      <c r="H2210" s="8">
        <f>IF(G2210="","",G2210-I2210)</f>
        <v/>
      </c>
      <c r="I2210" s="8">
        <f>IF(D2210="","",VLOOKUP(D2210, RECETTES!B:G, 6, FALSE)*E2210)</f>
        <v/>
      </c>
      <c r="J2210" s="8">
        <f>IF(G2210="","",G2210*0.20)</f>
        <v/>
      </c>
      <c r="K2210" s="8">
        <f>IF(G2210="","",G2210+J2210)</f>
        <v/>
      </c>
    </row>
    <row r="2211">
      <c r="F2211" s="8" t="n"/>
      <c r="G2211" s="8">
        <f>IF(E2211="","",E2211*F2211)</f>
        <v/>
      </c>
      <c r="H2211" s="8">
        <f>IF(G2211="","",G2211-I2211)</f>
        <v/>
      </c>
      <c r="I2211" s="8">
        <f>IF(D2211="","",VLOOKUP(D2211, RECETTES!B:G, 6, FALSE)*E2211)</f>
        <v/>
      </c>
      <c r="J2211" s="8">
        <f>IF(G2211="","",G2211*0.20)</f>
        <v/>
      </c>
      <c r="K2211" s="8">
        <f>IF(G2211="","",G2211+J2211)</f>
        <v/>
      </c>
    </row>
    <row r="2212">
      <c r="F2212" s="8" t="n"/>
      <c r="G2212" s="8">
        <f>IF(E2212="","",E2212*F2212)</f>
        <v/>
      </c>
      <c r="H2212" s="8">
        <f>IF(G2212="","",G2212-I2212)</f>
        <v/>
      </c>
      <c r="I2212" s="8">
        <f>IF(D2212="","",VLOOKUP(D2212, RECETTES!B:G, 6, FALSE)*E2212)</f>
        <v/>
      </c>
      <c r="J2212" s="8">
        <f>IF(G2212="","",G2212*0.20)</f>
        <v/>
      </c>
      <c r="K2212" s="8">
        <f>IF(G2212="","",G2212+J2212)</f>
        <v/>
      </c>
    </row>
    <row r="2213">
      <c r="F2213" s="8" t="n"/>
      <c r="G2213" s="8">
        <f>IF(E2213="","",E2213*F2213)</f>
        <v/>
      </c>
      <c r="H2213" s="8">
        <f>IF(G2213="","",G2213-I2213)</f>
        <v/>
      </c>
      <c r="I2213" s="8">
        <f>IF(D2213="","",VLOOKUP(D2213, RECETTES!B:G, 6, FALSE)*E2213)</f>
        <v/>
      </c>
      <c r="J2213" s="8">
        <f>IF(G2213="","",G2213*0.20)</f>
        <v/>
      </c>
      <c r="K2213" s="8">
        <f>IF(G2213="","",G2213+J2213)</f>
        <v/>
      </c>
    </row>
    <row r="2214">
      <c r="F2214" s="8" t="n"/>
      <c r="G2214" s="8">
        <f>IF(E2214="","",E2214*F2214)</f>
        <v/>
      </c>
      <c r="H2214" s="8">
        <f>IF(G2214="","",G2214-I2214)</f>
        <v/>
      </c>
      <c r="I2214" s="8">
        <f>IF(D2214="","",VLOOKUP(D2214, RECETTES!B:G, 6, FALSE)*E2214)</f>
        <v/>
      </c>
      <c r="J2214" s="8">
        <f>IF(G2214="","",G2214*0.20)</f>
        <v/>
      </c>
      <c r="K2214" s="8">
        <f>IF(G2214="","",G2214+J2214)</f>
        <v/>
      </c>
    </row>
    <row r="2215">
      <c r="F2215" s="8" t="n"/>
      <c r="G2215" s="8">
        <f>IF(E2215="","",E2215*F2215)</f>
        <v/>
      </c>
      <c r="H2215" s="8">
        <f>IF(G2215="","",G2215-I2215)</f>
        <v/>
      </c>
      <c r="I2215" s="8">
        <f>IF(D2215="","",VLOOKUP(D2215, RECETTES!B:G, 6, FALSE)*E2215)</f>
        <v/>
      </c>
      <c r="J2215" s="8">
        <f>IF(G2215="","",G2215*0.20)</f>
        <v/>
      </c>
      <c r="K2215" s="8">
        <f>IF(G2215="","",G2215+J2215)</f>
        <v/>
      </c>
    </row>
    <row r="2216">
      <c r="F2216" s="8" t="n"/>
      <c r="G2216" s="8">
        <f>IF(E2216="","",E2216*F2216)</f>
        <v/>
      </c>
      <c r="H2216" s="8">
        <f>IF(G2216="","",G2216-I2216)</f>
        <v/>
      </c>
      <c r="I2216" s="8">
        <f>IF(D2216="","",VLOOKUP(D2216, RECETTES!B:G, 6, FALSE)*E2216)</f>
        <v/>
      </c>
      <c r="J2216" s="8">
        <f>IF(G2216="","",G2216*0.20)</f>
        <v/>
      </c>
      <c r="K2216" s="8">
        <f>IF(G2216="","",G2216+J2216)</f>
        <v/>
      </c>
    </row>
    <row r="2217">
      <c r="F2217" s="8" t="n"/>
      <c r="G2217" s="8">
        <f>IF(E2217="","",E2217*F2217)</f>
        <v/>
      </c>
      <c r="H2217" s="8">
        <f>IF(G2217="","",G2217-I2217)</f>
        <v/>
      </c>
      <c r="I2217" s="8">
        <f>IF(D2217="","",VLOOKUP(D2217, RECETTES!B:G, 6, FALSE)*E2217)</f>
        <v/>
      </c>
      <c r="J2217" s="8">
        <f>IF(G2217="","",G2217*0.20)</f>
        <v/>
      </c>
      <c r="K2217" s="8">
        <f>IF(G2217="","",G2217+J2217)</f>
        <v/>
      </c>
    </row>
    <row r="2218">
      <c r="F2218" s="8" t="n"/>
      <c r="G2218" s="8">
        <f>IF(E2218="","",E2218*F2218)</f>
        <v/>
      </c>
      <c r="H2218" s="8">
        <f>IF(G2218="","",G2218-I2218)</f>
        <v/>
      </c>
      <c r="I2218" s="8">
        <f>IF(D2218="","",VLOOKUP(D2218, RECETTES!B:G, 6, FALSE)*E2218)</f>
        <v/>
      </c>
      <c r="J2218" s="8">
        <f>IF(G2218="","",G2218*0.20)</f>
        <v/>
      </c>
      <c r="K2218" s="8">
        <f>IF(G2218="","",G2218+J2218)</f>
        <v/>
      </c>
    </row>
    <row r="2219">
      <c r="F2219" s="8" t="n"/>
      <c r="G2219" s="8">
        <f>IF(E2219="","",E2219*F2219)</f>
        <v/>
      </c>
      <c r="H2219" s="8">
        <f>IF(G2219="","",G2219-I2219)</f>
        <v/>
      </c>
      <c r="I2219" s="8">
        <f>IF(D2219="","",VLOOKUP(D2219, RECETTES!B:G, 6, FALSE)*E2219)</f>
        <v/>
      </c>
      <c r="J2219" s="8">
        <f>IF(G2219="","",G2219*0.20)</f>
        <v/>
      </c>
      <c r="K2219" s="8">
        <f>IF(G2219="","",G2219+J2219)</f>
        <v/>
      </c>
    </row>
    <row r="2220">
      <c r="F2220" s="8" t="n"/>
      <c r="G2220" s="8">
        <f>IF(E2220="","",E2220*F2220)</f>
        <v/>
      </c>
      <c r="H2220" s="8">
        <f>IF(G2220="","",G2220-I2220)</f>
        <v/>
      </c>
      <c r="I2220" s="8">
        <f>IF(D2220="","",VLOOKUP(D2220, RECETTES!B:G, 6, FALSE)*E2220)</f>
        <v/>
      </c>
      <c r="J2220" s="8">
        <f>IF(G2220="","",G2220*0.20)</f>
        <v/>
      </c>
      <c r="K2220" s="8">
        <f>IF(G2220="","",G2220+J2220)</f>
        <v/>
      </c>
    </row>
    <row r="2221">
      <c r="F2221" s="8" t="n"/>
      <c r="G2221" s="8">
        <f>IF(E2221="","",E2221*F2221)</f>
        <v/>
      </c>
      <c r="H2221" s="8">
        <f>IF(G2221="","",G2221-I2221)</f>
        <v/>
      </c>
      <c r="I2221" s="8">
        <f>IF(D2221="","",VLOOKUP(D2221, RECETTES!B:G, 6, FALSE)*E2221)</f>
        <v/>
      </c>
      <c r="J2221" s="8">
        <f>IF(G2221="","",G2221*0.20)</f>
        <v/>
      </c>
      <c r="K2221" s="8">
        <f>IF(G2221="","",G2221+J2221)</f>
        <v/>
      </c>
    </row>
    <row r="2222">
      <c r="F2222" s="8" t="n"/>
      <c r="G2222" s="8">
        <f>IF(E2222="","",E2222*F2222)</f>
        <v/>
      </c>
      <c r="H2222" s="8">
        <f>IF(G2222="","",G2222-I2222)</f>
        <v/>
      </c>
      <c r="I2222" s="8">
        <f>IF(D2222="","",VLOOKUP(D2222, RECETTES!B:G, 6, FALSE)*E2222)</f>
        <v/>
      </c>
      <c r="J2222" s="8">
        <f>IF(G2222="","",G2222*0.20)</f>
        <v/>
      </c>
      <c r="K2222" s="8">
        <f>IF(G2222="","",G2222+J2222)</f>
        <v/>
      </c>
    </row>
    <row r="2223">
      <c r="F2223" s="8" t="n"/>
      <c r="G2223" s="8">
        <f>IF(E2223="","",E2223*F2223)</f>
        <v/>
      </c>
      <c r="H2223" s="8">
        <f>IF(G2223="","",G2223-I2223)</f>
        <v/>
      </c>
      <c r="I2223" s="8">
        <f>IF(D2223="","",VLOOKUP(D2223, RECETTES!B:G, 6, FALSE)*E2223)</f>
        <v/>
      </c>
      <c r="J2223" s="8">
        <f>IF(G2223="","",G2223*0.20)</f>
        <v/>
      </c>
      <c r="K2223" s="8">
        <f>IF(G2223="","",G2223+J2223)</f>
        <v/>
      </c>
    </row>
    <row r="2224">
      <c r="F2224" s="8" t="n"/>
      <c r="G2224" s="8">
        <f>IF(E2224="","",E2224*F2224)</f>
        <v/>
      </c>
      <c r="H2224" s="8">
        <f>IF(G2224="","",G2224-I2224)</f>
        <v/>
      </c>
      <c r="I2224" s="8">
        <f>IF(D2224="","",VLOOKUP(D2224, RECETTES!B:G, 6, FALSE)*E2224)</f>
        <v/>
      </c>
      <c r="J2224" s="8">
        <f>IF(G2224="","",G2224*0.20)</f>
        <v/>
      </c>
      <c r="K2224" s="8">
        <f>IF(G2224="","",G2224+J2224)</f>
        <v/>
      </c>
    </row>
    <row r="2225">
      <c r="F2225" s="8" t="n"/>
      <c r="G2225" s="8">
        <f>IF(E2225="","",E2225*F2225)</f>
        <v/>
      </c>
      <c r="H2225" s="8">
        <f>IF(G2225="","",G2225-I2225)</f>
        <v/>
      </c>
      <c r="I2225" s="8">
        <f>IF(D2225="","",VLOOKUP(D2225, RECETTES!B:G, 6, FALSE)*E2225)</f>
        <v/>
      </c>
      <c r="J2225" s="8">
        <f>IF(G2225="","",G2225*0.20)</f>
        <v/>
      </c>
      <c r="K2225" s="8">
        <f>IF(G2225="","",G2225+J2225)</f>
        <v/>
      </c>
    </row>
    <row r="2226">
      <c r="F2226" s="8" t="n"/>
      <c r="G2226" s="8">
        <f>IF(E2226="","",E2226*F2226)</f>
        <v/>
      </c>
      <c r="H2226" s="8">
        <f>IF(G2226="","",G2226-I2226)</f>
        <v/>
      </c>
      <c r="I2226" s="8">
        <f>IF(D2226="","",VLOOKUP(D2226, RECETTES!B:G, 6, FALSE)*E2226)</f>
        <v/>
      </c>
      <c r="J2226" s="8">
        <f>IF(G2226="","",G2226*0.20)</f>
        <v/>
      </c>
      <c r="K2226" s="8">
        <f>IF(G2226="","",G2226+J2226)</f>
        <v/>
      </c>
    </row>
    <row r="2227">
      <c r="F2227" s="8" t="n"/>
      <c r="G2227" s="8">
        <f>IF(E2227="","",E2227*F2227)</f>
        <v/>
      </c>
      <c r="H2227" s="8">
        <f>IF(G2227="","",G2227-I2227)</f>
        <v/>
      </c>
      <c r="I2227" s="8">
        <f>IF(D2227="","",VLOOKUP(D2227, RECETTES!B:G, 6, FALSE)*E2227)</f>
        <v/>
      </c>
      <c r="J2227" s="8">
        <f>IF(G2227="","",G2227*0.20)</f>
        <v/>
      </c>
      <c r="K2227" s="8">
        <f>IF(G2227="","",G2227+J2227)</f>
        <v/>
      </c>
    </row>
    <row r="2228">
      <c r="F2228" s="8" t="n"/>
      <c r="G2228" s="8">
        <f>IF(E2228="","",E2228*F2228)</f>
        <v/>
      </c>
      <c r="H2228" s="8">
        <f>IF(G2228="","",G2228-I2228)</f>
        <v/>
      </c>
      <c r="I2228" s="8">
        <f>IF(D2228="","",VLOOKUP(D2228, RECETTES!B:G, 6, FALSE)*E2228)</f>
        <v/>
      </c>
      <c r="J2228" s="8">
        <f>IF(G2228="","",G2228*0.20)</f>
        <v/>
      </c>
      <c r="K2228" s="8">
        <f>IF(G2228="","",G2228+J2228)</f>
        <v/>
      </c>
    </row>
    <row r="2229">
      <c r="F2229" s="8" t="n"/>
      <c r="G2229" s="8">
        <f>IF(E2229="","",E2229*F2229)</f>
        <v/>
      </c>
      <c r="H2229" s="8">
        <f>IF(G2229="","",G2229-I2229)</f>
        <v/>
      </c>
      <c r="I2229" s="8">
        <f>IF(D2229="","",VLOOKUP(D2229, RECETTES!B:G, 6, FALSE)*E2229)</f>
        <v/>
      </c>
      <c r="J2229" s="8">
        <f>IF(G2229="","",G2229*0.20)</f>
        <v/>
      </c>
      <c r="K2229" s="8">
        <f>IF(G2229="","",G2229+J2229)</f>
        <v/>
      </c>
    </row>
    <row r="2230">
      <c r="F2230" s="8" t="n"/>
      <c r="G2230" s="8">
        <f>IF(E2230="","",E2230*F2230)</f>
        <v/>
      </c>
      <c r="H2230" s="8">
        <f>IF(G2230="","",G2230-I2230)</f>
        <v/>
      </c>
      <c r="I2230" s="8">
        <f>IF(D2230="","",VLOOKUP(D2230, RECETTES!B:G, 6, FALSE)*E2230)</f>
        <v/>
      </c>
      <c r="J2230" s="8">
        <f>IF(G2230="","",G2230*0.20)</f>
        <v/>
      </c>
      <c r="K2230" s="8">
        <f>IF(G2230="","",G2230+J2230)</f>
        <v/>
      </c>
    </row>
    <row r="2231">
      <c r="F2231" s="8" t="n"/>
      <c r="G2231" s="8">
        <f>IF(E2231="","",E2231*F2231)</f>
        <v/>
      </c>
      <c r="H2231" s="8">
        <f>IF(G2231="","",G2231-I2231)</f>
        <v/>
      </c>
      <c r="I2231" s="8">
        <f>IF(D2231="","",VLOOKUP(D2231, RECETTES!B:G, 6, FALSE)*E2231)</f>
        <v/>
      </c>
      <c r="J2231" s="8">
        <f>IF(G2231="","",G2231*0.20)</f>
        <v/>
      </c>
      <c r="K2231" s="8">
        <f>IF(G2231="","",G2231+J2231)</f>
        <v/>
      </c>
    </row>
    <row r="2232">
      <c r="F2232" s="8" t="n"/>
      <c r="G2232" s="8">
        <f>IF(E2232="","",E2232*F2232)</f>
        <v/>
      </c>
      <c r="H2232" s="8">
        <f>IF(G2232="","",G2232-I2232)</f>
        <v/>
      </c>
      <c r="I2232" s="8">
        <f>IF(D2232="","",VLOOKUP(D2232, RECETTES!B:G, 6, FALSE)*E2232)</f>
        <v/>
      </c>
      <c r="J2232" s="8">
        <f>IF(G2232="","",G2232*0.20)</f>
        <v/>
      </c>
      <c r="K2232" s="8">
        <f>IF(G2232="","",G2232+J2232)</f>
        <v/>
      </c>
    </row>
    <row r="2233">
      <c r="F2233" s="8" t="n"/>
      <c r="G2233" s="8">
        <f>IF(E2233="","",E2233*F2233)</f>
        <v/>
      </c>
      <c r="H2233" s="8">
        <f>IF(G2233="","",G2233-I2233)</f>
        <v/>
      </c>
      <c r="I2233" s="8">
        <f>IF(D2233="","",VLOOKUP(D2233, RECETTES!B:G, 6, FALSE)*E2233)</f>
        <v/>
      </c>
      <c r="J2233" s="8">
        <f>IF(G2233="","",G2233*0.20)</f>
        <v/>
      </c>
      <c r="K2233" s="8">
        <f>IF(G2233="","",G2233+J2233)</f>
        <v/>
      </c>
    </row>
    <row r="2234">
      <c r="F2234" s="8" t="n"/>
      <c r="G2234" s="8">
        <f>IF(E2234="","",E2234*F2234)</f>
        <v/>
      </c>
      <c r="H2234" s="8">
        <f>IF(G2234="","",G2234-I2234)</f>
        <v/>
      </c>
      <c r="I2234" s="8">
        <f>IF(D2234="","",VLOOKUP(D2234, RECETTES!B:G, 6, FALSE)*E2234)</f>
        <v/>
      </c>
      <c r="J2234" s="8">
        <f>IF(G2234="","",G2234*0.20)</f>
        <v/>
      </c>
      <c r="K2234" s="8">
        <f>IF(G2234="","",G2234+J2234)</f>
        <v/>
      </c>
    </row>
    <row r="2235">
      <c r="F2235" s="8" t="n"/>
      <c r="G2235" s="8">
        <f>IF(E2235="","",E2235*F2235)</f>
        <v/>
      </c>
      <c r="H2235" s="8">
        <f>IF(G2235="","",G2235-I2235)</f>
        <v/>
      </c>
      <c r="I2235" s="8">
        <f>IF(D2235="","",VLOOKUP(D2235, RECETTES!B:G, 6, FALSE)*E2235)</f>
        <v/>
      </c>
      <c r="J2235" s="8">
        <f>IF(G2235="","",G2235*0.20)</f>
        <v/>
      </c>
      <c r="K2235" s="8">
        <f>IF(G2235="","",G2235+J2235)</f>
        <v/>
      </c>
    </row>
    <row r="2236">
      <c r="F2236" s="8" t="n"/>
      <c r="G2236" s="8">
        <f>IF(E2236="","",E2236*F2236)</f>
        <v/>
      </c>
      <c r="H2236" s="8">
        <f>IF(G2236="","",G2236-I2236)</f>
        <v/>
      </c>
      <c r="I2236" s="8">
        <f>IF(D2236="","",VLOOKUP(D2236, RECETTES!B:G, 6, FALSE)*E2236)</f>
        <v/>
      </c>
      <c r="J2236" s="8">
        <f>IF(G2236="","",G2236*0.20)</f>
        <v/>
      </c>
      <c r="K2236" s="8">
        <f>IF(G2236="","",G2236+J2236)</f>
        <v/>
      </c>
    </row>
    <row r="2237">
      <c r="F2237" s="8" t="n"/>
      <c r="G2237" s="8">
        <f>IF(E2237="","",E2237*F2237)</f>
        <v/>
      </c>
      <c r="H2237" s="8">
        <f>IF(G2237="","",G2237-I2237)</f>
        <v/>
      </c>
      <c r="I2237" s="8">
        <f>IF(D2237="","",VLOOKUP(D2237, RECETTES!B:G, 6, FALSE)*E2237)</f>
        <v/>
      </c>
      <c r="J2237" s="8">
        <f>IF(G2237="","",G2237*0.20)</f>
        <v/>
      </c>
      <c r="K2237" s="8">
        <f>IF(G2237="","",G2237+J2237)</f>
        <v/>
      </c>
    </row>
    <row r="2238">
      <c r="F2238" s="8" t="n"/>
      <c r="G2238" s="8">
        <f>IF(E2238="","",E2238*F2238)</f>
        <v/>
      </c>
      <c r="H2238" s="8">
        <f>IF(G2238="","",G2238-I2238)</f>
        <v/>
      </c>
      <c r="I2238" s="8">
        <f>IF(D2238="","",VLOOKUP(D2238, RECETTES!B:G, 6, FALSE)*E2238)</f>
        <v/>
      </c>
      <c r="J2238" s="8">
        <f>IF(G2238="","",G2238*0.20)</f>
        <v/>
      </c>
      <c r="K2238" s="8">
        <f>IF(G2238="","",G2238+J2238)</f>
        <v/>
      </c>
    </row>
    <row r="2239">
      <c r="F2239" s="8" t="n"/>
      <c r="G2239" s="8">
        <f>IF(E2239="","",E2239*F2239)</f>
        <v/>
      </c>
      <c r="H2239" s="8">
        <f>IF(G2239="","",G2239-I2239)</f>
        <v/>
      </c>
      <c r="I2239" s="8">
        <f>IF(D2239="","",VLOOKUP(D2239, RECETTES!B:G, 6, FALSE)*E2239)</f>
        <v/>
      </c>
      <c r="J2239" s="8">
        <f>IF(G2239="","",G2239*0.20)</f>
        <v/>
      </c>
      <c r="K2239" s="8">
        <f>IF(G2239="","",G2239+J2239)</f>
        <v/>
      </c>
    </row>
    <row r="2240">
      <c r="F2240" s="8" t="n"/>
      <c r="G2240" s="8">
        <f>IF(E2240="","",E2240*F2240)</f>
        <v/>
      </c>
      <c r="H2240" s="8">
        <f>IF(G2240="","",G2240-I2240)</f>
        <v/>
      </c>
      <c r="I2240" s="8">
        <f>IF(D2240="","",VLOOKUP(D2240, RECETTES!B:G, 6, FALSE)*E2240)</f>
        <v/>
      </c>
      <c r="J2240" s="8">
        <f>IF(G2240="","",G2240*0.20)</f>
        <v/>
      </c>
      <c r="K2240" s="8">
        <f>IF(G2240="","",G2240+J2240)</f>
        <v/>
      </c>
    </row>
    <row r="2241">
      <c r="F2241" s="8" t="n"/>
      <c r="G2241" s="8">
        <f>IF(E2241="","",E2241*F2241)</f>
        <v/>
      </c>
      <c r="H2241" s="8">
        <f>IF(G2241="","",G2241-I2241)</f>
        <v/>
      </c>
      <c r="I2241" s="8">
        <f>IF(D2241="","",VLOOKUP(D2241, RECETTES!B:G, 6, FALSE)*E2241)</f>
        <v/>
      </c>
      <c r="J2241" s="8">
        <f>IF(G2241="","",G2241*0.20)</f>
        <v/>
      </c>
      <c r="K2241" s="8">
        <f>IF(G2241="","",G2241+J2241)</f>
        <v/>
      </c>
    </row>
    <row r="2242">
      <c r="F2242" s="8" t="n"/>
      <c r="G2242" s="8">
        <f>IF(E2242="","",E2242*F2242)</f>
        <v/>
      </c>
      <c r="H2242" s="8">
        <f>IF(G2242="","",G2242-I2242)</f>
        <v/>
      </c>
      <c r="I2242" s="8">
        <f>IF(D2242="","",VLOOKUP(D2242, RECETTES!B:G, 6, FALSE)*E2242)</f>
        <v/>
      </c>
      <c r="J2242" s="8">
        <f>IF(G2242="","",G2242*0.20)</f>
        <v/>
      </c>
      <c r="K2242" s="8">
        <f>IF(G2242="","",G2242+J2242)</f>
        <v/>
      </c>
    </row>
    <row r="2243">
      <c r="F2243" s="8" t="n"/>
      <c r="G2243" s="8">
        <f>IF(E2243="","",E2243*F2243)</f>
        <v/>
      </c>
      <c r="H2243" s="8">
        <f>IF(G2243="","",G2243-I2243)</f>
        <v/>
      </c>
      <c r="I2243" s="8">
        <f>IF(D2243="","",VLOOKUP(D2243, RECETTES!B:G, 6, FALSE)*E2243)</f>
        <v/>
      </c>
      <c r="J2243" s="8">
        <f>IF(G2243="","",G2243*0.20)</f>
        <v/>
      </c>
      <c r="K2243" s="8">
        <f>IF(G2243="","",G2243+J2243)</f>
        <v/>
      </c>
    </row>
    <row r="2244">
      <c r="F2244" s="8" t="n"/>
      <c r="G2244" s="8">
        <f>IF(E2244="","",E2244*F2244)</f>
        <v/>
      </c>
      <c r="H2244" s="8">
        <f>IF(G2244="","",G2244-I2244)</f>
        <v/>
      </c>
      <c r="I2244" s="8">
        <f>IF(D2244="","",VLOOKUP(D2244, RECETTES!B:G, 6, FALSE)*E2244)</f>
        <v/>
      </c>
      <c r="J2244" s="8">
        <f>IF(G2244="","",G2244*0.20)</f>
        <v/>
      </c>
      <c r="K2244" s="8">
        <f>IF(G2244="","",G2244+J2244)</f>
        <v/>
      </c>
    </row>
    <row r="2245">
      <c r="F2245" s="8" t="n"/>
      <c r="G2245" s="8">
        <f>IF(E2245="","",E2245*F2245)</f>
        <v/>
      </c>
      <c r="H2245" s="8">
        <f>IF(G2245="","",G2245-I2245)</f>
        <v/>
      </c>
      <c r="I2245" s="8">
        <f>IF(D2245="","",VLOOKUP(D2245, RECETTES!B:G, 6, FALSE)*E2245)</f>
        <v/>
      </c>
      <c r="J2245" s="8">
        <f>IF(G2245="","",G2245*0.20)</f>
        <v/>
      </c>
      <c r="K2245" s="8">
        <f>IF(G2245="","",G2245+J2245)</f>
        <v/>
      </c>
    </row>
    <row r="2246">
      <c r="F2246" s="8" t="n"/>
      <c r="G2246" s="8">
        <f>IF(E2246="","",E2246*F2246)</f>
        <v/>
      </c>
      <c r="H2246" s="8">
        <f>IF(G2246="","",G2246-I2246)</f>
        <v/>
      </c>
      <c r="I2246" s="8">
        <f>IF(D2246="","",VLOOKUP(D2246, RECETTES!B:G, 6, FALSE)*E2246)</f>
        <v/>
      </c>
      <c r="J2246" s="8">
        <f>IF(G2246="","",G2246*0.20)</f>
        <v/>
      </c>
      <c r="K2246" s="8">
        <f>IF(G2246="","",G2246+J2246)</f>
        <v/>
      </c>
    </row>
    <row r="2247">
      <c r="F2247" s="8" t="n"/>
      <c r="G2247" s="8">
        <f>IF(E2247="","",E2247*F2247)</f>
        <v/>
      </c>
      <c r="H2247" s="8">
        <f>IF(G2247="","",G2247-I2247)</f>
        <v/>
      </c>
      <c r="I2247" s="8">
        <f>IF(D2247="","",VLOOKUP(D2247, RECETTES!B:G, 6, FALSE)*E2247)</f>
        <v/>
      </c>
      <c r="J2247" s="8">
        <f>IF(G2247="","",G2247*0.20)</f>
        <v/>
      </c>
      <c r="K2247" s="8">
        <f>IF(G2247="","",G2247+J2247)</f>
        <v/>
      </c>
    </row>
    <row r="2248">
      <c r="F2248" s="8" t="n"/>
      <c r="G2248" s="8">
        <f>IF(E2248="","",E2248*F2248)</f>
        <v/>
      </c>
      <c r="H2248" s="8">
        <f>IF(G2248="","",G2248-I2248)</f>
        <v/>
      </c>
      <c r="I2248" s="8">
        <f>IF(D2248="","",VLOOKUP(D2248, RECETTES!B:G, 6, FALSE)*E2248)</f>
        <v/>
      </c>
      <c r="J2248" s="8">
        <f>IF(G2248="","",G2248*0.20)</f>
        <v/>
      </c>
      <c r="K2248" s="8">
        <f>IF(G2248="","",G2248+J2248)</f>
        <v/>
      </c>
    </row>
    <row r="2249">
      <c r="F2249" s="8" t="n"/>
      <c r="G2249" s="8">
        <f>IF(E2249="","",E2249*F2249)</f>
        <v/>
      </c>
      <c r="H2249" s="8">
        <f>IF(G2249="","",G2249-I2249)</f>
        <v/>
      </c>
      <c r="I2249" s="8">
        <f>IF(D2249="","",VLOOKUP(D2249, RECETTES!B:G, 6, FALSE)*E2249)</f>
        <v/>
      </c>
      <c r="J2249" s="8">
        <f>IF(G2249="","",G2249*0.20)</f>
        <v/>
      </c>
      <c r="K2249" s="8">
        <f>IF(G2249="","",G2249+J2249)</f>
        <v/>
      </c>
    </row>
    <row r="2250">
      <c r="F2250" s="8" t="n"/>
      <c r="G2250" s="8">
        <f>IF(E2250="","",E2250*F2250)</f>
        <v/>
      </c>
      <c r="H2250" s="8">
        <f>IF(G2250="","",G2250-I2250)</f>
        <v/>
      </c>
      <c r="I2250" s="8">
        <f>IF(D2250="","",VLOOKUP(D2250, RECETTES!B:G, 6, FALSE)*E2250)</f>
        <v/>
      </c>
      <c r="J2250" s="8">
        <f>IF(G2250="","",G2250*0.20)</f>
        <v/>
      </c>
      <c r="K2250" s="8">
        <f>IF(G2250="","",G2250+J2250)</f>
        <v/>
      </c>
    </row>
    <row r="2251">
      <c r="F2251" s="8" t="n"/>
      <c r="G2251" s="8">
        <f>IF(E2251="","",E2251*F2251)</f>
        <v/>
      </c>
      <c r="H2251" s="8">
        <f>IF(G2251="","",G2251-I2251)</f>
        <v/>
      </c>
      <c r="I2251" s="8">
        <f>IF(D2251="","",VLOOKUP(D2251, RECETTES!B:G, 6, FALSE)*E2251)</f>
        <v/>
      </c>
      <c r="J2251" s="8">
        <f>IF(G2251="","",G2251*0.20)</f>
        <v/>
      </c>
      <c r="K2251" s="8">
        <f>IF(G2251="","",G2251+J2251)</f>
        <v/>
      </c>
    </row>
    <row r="2252">
      <c r="F2252" s="8" t="n"/>
      <c r="G2252" s="8">
        <f>IF(E2252="","",E2252*F2252)</f>
        <v/>
      </c>
      <c r="H2252" s="8">
        <f>IF(G2252="","",G2252-I2252)</f>
        <v/>
      </c>
      <c r="I2252" s="8">
        <f>IF(D2252="","",VLOOKUP(D2252, RECETTES!B:G, 6, FALSE)*E2252)</f>
        <v/>
      </c>
      <c r="J2252" s="8">
        <f>IF(G2252="","",G2252*0.20)</f>
        <v/>
      </c>
      <c r="K2252" s="8">
        <f>IF(G2252="","",G2252+J2252)</f>
        <v/>
      </c>
    </row>
    <row r="2253">
      <c r="F2253" s="8" t="n"/>
      <c r="G2253" s="8">
        <f>IF(E2253="","",E2253*F2253)</f>
        <v/>
      </c>
      <c r="H2253" s="8">
        <f>IF(G2253="","",G2253-I2253)</f>
        <v/>
      </c>
      <c r="I2253" s="8">
        <f>IF(D2253="","",VLOOKUP(D2253, RECETTES!B:G, 6, FALSE)*E2253)</f>
        <v/>
      </c>
      <c r="J2253" s="8">
        <f>IF(G2253="","",G2253*0.20)</f>
        <v/>
      </c>
      <c r="K2253" s="8">
        <f>IF(G2253="","",G2253+J2253)</f>
        <v/>
      </c>
    </row>
    <row r="2254">
      <c r="F2254" s="8" t="n"/>
      <c r="G2254" s="8">
        <f>IF(E2254="","",E2254*F2254)</f>
        <v/>
      </c>
      <c r="H2254" s="8">
        <f>IF(G2254="","",G2254-I2254)</f>
        <v/>
      </c>
      <c r="I2254" s="8">
        <f>IF(D2254="","",VLOOKUP(D2254, RECETTES!B:G, 6, FALSE)*E2254)</f>
        <v/>
      </c>
      <c r="J2254" s="8">
        <f>IF(G2254="","",G2254*0.20)</f>
        <v/>
      </c>
      <c r="K2254" s="8">
        <f>IF(G2254="","",G2254+J2254)</f>
        <v/>
      </c>
    </row>
    <row r="2255">
      <c r="F2255" s="8" t="n"/>
      <c r="G2255" s="8">
        <f>IF(E2255="","",E2255*F2255)</f>
        <v/>
      </c>
      <c r="H2255" s="8">
        <f>IF(G2255="","",G2255-I2255)</f>
        <v/>
      </c>
      <c r="I2255" s="8">
        <f>IF(D2255="","",VLOOKUP(D2255, RECETTES!B:G, 6, FALSE)*E2255)</f>
        <v/>
      </c>
      <c r="J2255" s="8">
        <f>IF(G2255="","",G2255*0.20)</f>
        <v/>
      </c>
      <c r="K2255" s="8">
        <f>IF(G2255="","",G2255+J2255)</f>
        <v/>
      </c>
    </row>
    <row r="2256">
      <c r="F2256" s="8" t="n"/>
      <c r="G2256" s="8">
        <f>IF(E2256="","",E2256*F2256)</f>
        <v/>
      </c>
      <c r="H2256" s="8">
        <f>IF(G2256="","",G2256-I2256)</f>
        <v/>
      </c>
      <c r="I2256" s="8">
        <f>IF(D2256="","",VLOOKUP(D2256, RECETTES!B:G, 6, FALSE)*E2256)</f>
        <v/>
      </c>
      <c r="J2256" s="8">
        <f>IF(G2256="","",G2256*0.20)</f>
        <v/>
      </c>
      <c r="K2256" s="8">
        <f>IF(G2256="","",G2256+J2256)</f>
        <v/>
      </c>
    </row>
    <row r="2257">
      <c r="F2257" s="8" t="n"/>
      <c r="G2257" s="8">
        <f>IF(E2257="","",E2257*F2257)</f>
        <v/>
      </c>
      <c r="H2257" s="8">
        <f>IF(G2257="","",G2257-I2257)</f>
        <v/>
      </c>
      <c r="I2257" s="8">
        <f>IF(D2257="","",VLOOKUP(D2257, RECETTES!B:G, 6, FALSE)*E2257)</f>
        <v/>
      </c>
      <c r="J2257" s="8">
        <f>IF(G2257="","",G2257*0.20)</f>
        <v/>
      </c>
      <c r="K2257" s="8">
        <f>IF(G2257="","",G2257+J2257)</f>
        <v/>
      </c>
    </row>
    <row r="2258">
      <c r="F2258" s="8" t="n"/>
      <c r="G2258" s="8">
        <f>IF(E2258="","",E2258*F2258)</f>
        <v/>
      </c>
      <c r="H2258" s="8">
        <f>IF(G2258="","",G2258-I2258)</f>
        <v/>
      </c>
      <c r="I2258" s="8">
        <f>IF(D2258="","",VLOOKUP(D2258, RECETTES!B:G, 6, FALSE)*E2258)</f>
        <v/>
      </c>
      <c r="J2258" s="8">
        <f>IF(G2258="","",G2258*0.20)</f>
        <v/>
      </c>
      <c r="K2258" s="8">
        <f>IF(G2258="","",G2258+J2258)</f>
        <v/>
      </c>
    </row>
    <row r="2259">
      <c r="F2259" s="8" t="n"/>
      <c r="G2259" s="8">
        <f>IF(E2259="","",E2259*F2259)</f>
        <v/>
      </c>
      <c r="H2259" s="8">
        <f>IF(G2259="","",G2259-I2259)</f>
        <v/>
      </c>
      <c r="I2259" s="8">
        <f>IF(D2259="","",VLOOKUP(D2259, RECETTES!B:G, 6, FALSE)*E2259)</f>
        <v/>
      </c>
      <c r="J2259" s="8">
        <f>IF(G2259="","",G2259*0.20)</f>
        <v/>
      </c>
      <c r="K2259" s="8">
        <f>IF(G2259="","",G2259+J2259)</f>
        <v/>
      </c>
    </row>
    <row r="2260">
      <c r="F2260" s="8" t="n"/>
      <c r="G2260" s="8">
        <f>IF(E2260="","",E2260*F2260)</f>
        <v/>
      </c>
      <c r="H2260" s="8">
        <f>IF(G2260="","",G2260-I2260)</f>
        <v/>
      </c>
      <c r="I2260" s="8">
        <f>IF(D2260="","",VLOOKUP(D2260, RECETTES!B:G, 6, FALSE)*E2260)</f>
        <v/>
      </c>
      <c r="J2260" s="8">
        <f>IF(G2260="","",G2260*0.20)</f>
        <v/>
      </c>
      <c r="K2260" s="8">
        <f>IF(G2260="","",G2260+J2260)</f>
        <v/>
      </c>
    </row>
    <row r="2261">
      <c r="F2261" s="8" t="n"/>
      <c r="G2261" s="8">
        <f>IF(E2261="","",E2261*F2261)</f>
        <v/>
      </c>
      <c r="H2261" s="8">
        <f>IF(G2261="","",G2261-I2261)</f>
        <v/>
      </c>
      <c r="I2261" s="8">
        <f>IF(D2261="","",VLOOKUP(D2261, RECETTES!B:G, 6, FALSE)*E2261)</f>
        <v/>
      </c>
      <c r="J2261" s="8">
        <f>IF(G2261="","",G2261*0.20)</f>
        <v/>
      </c>
      <c r="K2261" s="8">
        <f>IF(G2261="","",G2261+J2261)</f>
        <v/>
      </c>
    </row>
    <row r="2262">
      <c r="F2262" s="8" t="n"/>
      <c r="G2262" s="8">
        <f>IF(E2262="","",E2262*F2262)</f>
        <v/>
      </c>
      <c r="H2262" s="8">
        <f>IF(G2262="","",G2262-I2262)</f>
        <v/>
      </c>
      <c r="I2262" s="8">
        <f>IF(D2262="","",VLOOKUP(D2262, RECETTES!B:G, 6, FALSE)*E2262)</f>
        <v/>
      </c>
      <c r="J2262" s="8">
        <f>IF(G2262="","",G2262*0.20)</f>
        <v/>
      </c>
      <c r="K2262" s="8">
        <f>IF(G2262="","",G2262+J2262)</f>
        <v/>
      </c>
    </row>
    <row r="2263">
      <c r="F2263" s="8" t="n"/>
      <c r="G2263" s="8">
        <f>IF(E2263="","",E2263*F2263)</f>
        <v/>
      </c>
      <c r="H2263" s="8">
        <f>IF(G2263="","",G2263-I2263)</f>
        <v/>
      </c>
      <c r="I2263" s="8">
        <f>IF(D2263="","",VLOOKUP(D2263, RECETTES!B:G, 6, FALSE)*E2263)</f>
        <v/>
      </c>
      <c r="J2263" s="8">
        <f>IF(G2263="","",G2263*0.20)</f>
        <v/>
      </c>
      <c r="K2263" s="8">
        <f>IF(G2263="","",G2263+J2263)</f>
        <v/>
      </c>
    </row>
    <row r="2264">
      <c r="F2264" s="8" t="n"/>
      <c r="G2264" s="8">
        <f>IF(E2264="","",E2264*F2264)</f>
        <v/>
      </c>
      <c r="H2264" s="8">
        <f>IF(G2264="","",G2264-I2264)</f>
        <v/>
      </c>
      <c r="I2264" s="8">
        <f>IF(D2264="","",VLOOKUP(D2264, RECETTES!B:G, 6, FALSE)*E2264)</f>
        <v/>
      </c>
      <c r="J2264" s="8">
        <f>IF(G2264="","",G2264*0.20)</f>
        <v/>
      </c>
      <c r="K2264" s="8">
        <f>IF(G2264="","",G2264+J2264)</f>
        <v/>
      </c>
    </row>
    <row r="2265">
      <c r="F2265" s="8" t="n"/>
      <c r="G2265" s="8">
        <f>IF(E2265="","",E2265*F2265)</f>
        <v/>
      </c>
      <c r="H2265" s="8">
        <f>IF(G2265="","",G2265-I2265)</f>
        <v/>
      </c>
      <c r="I2265" s="8">
        <f>IF(D2265="","",VLOOKUP(D2265, RECETTES!B:G, 6, FALSE)*E2265)</f>
        <v/>
      </c>
      <c r="J2265" s="8">
        <f>IF(G2265="","",G2265*0.20)</f>
        <v/>
      </c>
      <c r="K2265" s="8">
        <f>IF(G2265="","",G2265+J2265)</f>
        <v/>
      </c>
    </row>
    <row r="2266">
      <c r="F2266" s="8" t="n"/>
      <c r="G2266" s="8">
        <f>IF(E2266="","",E2266*F2266)</f>
        <v/>
      </c>
      <c r="H2266" s="8">
        <f>IF(G2266="","",G2266-I2266)</f>
        <v/>
      </c>
      <c r="I2266" s="8">
        <f>IF(D2266="","",VLOOKUP(D2266, RECETTES!B:G, 6, FALSE)*E2266)</f>
        <v/>
      </c>
      <c r="J2266" s="8">
        <f>IF(G2266="","",G2266*0.20)</f>
        <v/>
      </c>
      <c r="K2266" s="8">
        <f>IF(G2266="","",G2266+J2266)</f>
        <v/>
      </c>
    </row>
    <row r="2267">
      <c r="F2267" s="8" t="n"/>
      <c r="G2267" s="8">
        <f>IF(E2267="","",E2267*F2267)</f>
        <v/>
      </c>
      <c r="H2267" s="8">
        <f>IF(G2267="","",G2267-I2267)</f>
        <v/>
      </c>
      <c r="I2267" s="8">
        <f>IF(D2267="","",VLOOKUP(D2267, RECETTES!B:G, 6, FALSE)*E2267)</f>
        <v/>
      </c>
      <c r="J2267" s="8">
        <f>IF(G2267="","",G2267*0.20)</f>
        <v/>
      </c>
      <c r="K2267" s="8">
        <f>IF(G2267="","",G2267+J2267)</f>
        <v/>
      </c>
    </row>
    <row r="2268">
      <c r="F2268" s="8" t="n"/>
      <c r="G2268" s="8">
        <f>IF(E2268="","",E2268*F2268)</f>
        <v/>
      </c>
      <c r="H2268" s="8">
        <f>IF(G2268="","",G2268-I2268)</f>
        <v/>
      </c>
      <c r="I2268" s="8">
        <f>IF(D2268="","",VLOOKUP(D2268, RECETTES!B:G, 6, FALSE)*E2268)</f>
        <v/>
      </c>
      <c r="J2268" s="8">
        <f>IF(G2268="","",G2268*0.20)</f>
        <v/>
      </c>
      <c r="K2268" s="8">
        <f>IF(G2268="","",G2268+J2268)</f>
        <v/>
      </c>
    </row>
    <row r="2269">
      <c r="F2269" s="8" t="n"/>
      <c r="G2269" s="8">
        <f>IF(E2269="","",E2269*F2269)</f>
        <v/>
      </c>
      <c r="H2269" s="8">
        <f>IF(G2269="","",G2269-I2269)</f>
        <v/>
      </c>
      <c r="I2269" s="8">
        <f>IF(D2269="","",VLOOKUP(D2269, RECETTES!B:G, 6, FALSE)*E2269)</f>
        <v/>
      </c>
      <c r="J2269" s="8">
        <f>IF(G2269="","",G2269*0.20)</f>
        <v/>
      </c>
      <c r="K2269" s="8">
        <f>IF(G2269="","",G2269+J2269)</f>
        <v/>
      </c>
    </row>
    <row r="2270">
      <c r="F2270" s="8" t="n"/>
      <c r="G2270" s="8">
        <f>IF(E2270="","",E2270*F2270)</f>
        <v/>
      </c>
      <c r="H2270" s="8">
        <f>IF(G2270="","",G2270-I2270)</f>
        <v/>
      </c>
      <c r="I2270" s="8">
        <f>IF(D2270="","",VLOOKUP(D2270, RECETTES!B:G, 6, FALSE)*E2270)</f>
        <v/>
      </c>
      <c r="J2270" s="8">
        <f>IF(G2270="","",G2270*0.20)</f>
        <v/>
      </c>
      <c r="K2270" s="8">
        <f>IF(G2270="","",G2270+J2270)</f>
        <v/>
      </c>
    </row>
    <row r="2271">
      <c r="F2271" s="8" t="n"/>
      <c r="G2271" s="8">
        <f>IF(E2271="","",E2271*F2271)</f>
        <v/>
      </c>
      <c r="H2271" s="8">
        <f>IF(G2271="","",G2271-I2271)</f>
        <v/>
      </c>
      <c r="I2271" s="8">
        <f>IF(D2271="","",VLOOKUP(D2271, RECETTES!B:G, 6, FALSE)*E2271)</f>
        <v/>
      </c>
      <c r="J2271" s="8">
        <f>IF(G2271="","",G2271*0.20)</f>
        <v/>
      </c>
      <c r="K2271" s="8">
        <f>IF(G2271="","",G2271+J2271)</f>
        <v/>
      </c>
    </row>
    <row r="2272">
      <c r="F2272" s="8" t="n"/>
      <c r="G2272" s="8">
        <f>IF(E2272="","",E2272*F2272)</f>
        <v/>
      </c>
      <c r="H2272" s="8">
        <f>IF(G2272="","",G2272-I2272)</f>
        <v/>
      </c>
      <c r="I2272" s="8">
        <f>IF(D2272="","",VLOOKUP(D2272, RECETTES!B:G, 6, FALSE)*E2272)</f>
        <v/>
      </c>
      <c r="J2272" s="8">
        <f>IF(G2272="","",G2272*0.20)</f>
        <v/>
      </c>
      <c r="K2272" s="8">
        <f>IF(G2272="","",G2272+J2272)</f>
        <v/>
      </c>
    </row>
    <row r="2273">
      <c r="F2273" s="8" t="n"/>
      <c r="G2273" s="8">
        <f>IF(E2273="","",E2273*F2273)</f>
        <v/>
      </c>
      <c r="H2273" s="8">
        <f>IF(G2273="","",G2273-I2273)</f>
        <v/>
      </c>
      <c r="I2273" s="8">
        <f>IF(D2273="","",VLOOKUP(D2273, RECETTES!B:G, 6, FALSE)*E2273)</f>
        <v/>
      </c>
      <c r="J2273" s="8">
        <f>IF(G2273="","",G2273*0.20)</f>
        <v/>
      </c>
      <c r="K2273" s="8">
        <f>IF(G2273="","",G2273+J2273)</f>
        <v/>
      </c>
    </row>
    <row r="2274">
      <c r="F2274" s="8" t="n"/>
      <c r="G2274" s="8">
        <f>IF(E2274="","",E2274*F2274)</f>
        <v/>
      </c>
      <c r="H2274" s="8">
        <f>IF(G2274="","",G2274-I2274)</f>
        <v/>
      </c>
      <c r="I2274" s="8">
        <f>IF(D2274="","",VLOOKUP(D2274, RECETTES!B:G, 6, FALSE)*E2274)</f>
        <v/>
      </c>
      <c r="J2274" s="8">
        <f>IF(G2274="","",G2274*0.20)</f>
        <v/>
      </c>
      <c r="K2274" s="8">
        <f>IF(G2274="","",G2274+J2274)</f>
        <v/>
      </c>
    </row>
    <row r="2275">
      <c r="F2275" s="8" t="n"/>
      <c r="G2275" s="8">
        <f>IF(E2275="","",E2275*F2275)</f>
        <v/>
      </c>
      <c r="H2275" s="8">
        <f>IF(G2275="","",G2275-I2275)</f>
        <v/>
      </c>
      <c r="I2275" s="8">
        <f>IF(D2275="","",VLOOKUP(D2275, RECETTES!B:G, 6, FALSE)*E2275)</f>
        <v/>
      </c>
      <c r="J2275" s="8">
        <f>IF(G2275="","",G2275*0.20)</f>
        <v/>
      </c>
      <c r="K2275" s="8">
        <f>IF(G2275="","",G2275+J2275)</f>
        <v/>
      </c>
    </row>
    <row r="2276">
      <c r="F2276" s="8" t="n"/>
      <c r="G2276" s="8">
        <f>IF(E2276="","",E2276*F2276)</f>
        <v/>
      </c>
      <c r="H2276" s="8">
        <f>IF(G2276="","",G2276-I2276)</f>
        <v/>
      </c>
      <c r="I2276" s="8">
        <f>IF(D2276="","",VLOOKUP(D2276, RECETTES!B:G, 6, FALSE)*E2276)</f>
        <v/>
      </c>
      <c r="J2276" s="8">
        <f>IF(G2276="","",G2276*0.20)</f>
        <v/>
      </c>
      <c r="K2276" s="8">
        <f>IF(G2276="","",G2276+J2276)</f>
        <v/>
      </c>
    </row>
    <row r="2277">
      <c r="F2277" s="8" t="n"/>
      <c r="G2277" s="8">
        <f>IF(E2277="","",E2277*F2277)</f>
        <v/>
      </c>
      <c r="H2277" s="8">
        <f>IF(G2277="","",G2277-I2277)</f>
        <v/>
      </c>
      <c r="I2277" s="8">
        <f>IF(D2277="","",VLOOKUP(D2277, RECETTES!B:G, 6, FALSE)*E2277)</f>
        <v/>
      </c>
      <c r="J2277" s="8">
        <f>IF(G2277="","",G2277*0.20)</f>
        <v/>
      </c>
      <c r="K2277" s="8">
        <f>IF(G2277="","",G2277+J2277)</f>
        <v/>
      </c>
    </row>
    <row r="2278">
      <c r="F2278" s="8" t="n"/>
      <c r="G2278" s="8">
        <f>IF(E2278="","",E2278*F2278)</f>
        <v/>
      </c>
      <c r="H2278" s="8">
        <f>IF(G2278="","",G2278-I2278)</f>
        <v/>
      </c>
      <c r="I2278" s="8">
        <f>IF(D2278="","",VLOOKUP(D2278, RECETTES!B:G, 6, FALSE)*E2278)</f>
        <v/>
      </c>
      <c r="J2278" s="8">
        <f>IF(G2278="","",G2278*0.20)</f>
        <v/>
      </c>
      <c r="K2278" s="8">
        <f>IF(G2278="","",G2278+J2278)</f>
        <v/>
      </c>
    </row>
    <row r="2279">
      <c r="F2279" s="8" t="n"/>
      <c r="G2279" s="8">
        <f>IF(E2279="","",E2279*F2279)</f>
        <v/>
      </c>
      <c r="H2279" s="8">
        <f>IF(G2279="","",G2279-I2279)</f>
        <v/>
      </c>
      <c r="I2279" s="8">
        <f>IF(D2279="","",VLOOKUP(D2279, RECETTES!B:G, 6, FALSE)*E2279)</f>
        <v/>
      </c>
      <c r="J2279" s="8">
        <f>IF(G2279="","",G2279*0.20)</f>
        <v/>
      </c>
      <c r="K2279" s="8">
        <f>IF(G2279="","",G2279+J2279)</f>
        <v/>
      </c>
    </row>
    <row r="2280">
      <c r="F2280" s="8" t="n"/>
      <c r="G2280" s="8">
        <f>IF(E2280="","",E2280*F2280)</f>
        <v/>
      </c>
      <c r="H2280" s="8">
        <f>IF(G2280="","",G2280-I2280)</f>
        <v/>
      </c>
      <c r="I2280" s="8">
        <f>IF(D2280="","",VLOOKUP(D2280, RECETTES!B:G, 6, FALSE)*E2280)</f>
        <v/>
      </c>
      <c r="J2280" s="8">
        <f>IF(G2280="","",G2280*0.20)</f>
        <v/>
      </c>
      <c r="K2280" s="8">
        <f>IF(G2280="","",G2280+J2280)</f>
        <v/>
      </c>
    </row>
    <row r="2281">
      <c r="F2281" s="8" t="n"/>
      <c r="G2281" s="8">
        <f>IF(E2281="","",E2281*F2281)</f>
        <v/>
      </c>
      <c r="H2281" s="8">
        <f>IF(G2281="","",G2281-I2281)</f>
        <v/>
      </c>
      <c r="I2281" s="8">
        <f>IF(D2281="","",VLOOKUP(D2281, RECETTES!B:G, 6, FALSE)*E2281)</f>
        <v/>
      </c>
      <c r="J2281" s="8">
        <f>IF(G2281="","",G2281*0.20)</f>
        <v/>
      </c>
      <c r="K2281" s="8">
        <f>IF(G2281="","",G2281+J2281)</f>
        <v/>
      </c>
    </row>
    <row r="2282">
      <c r="F2282" s="8" t="n"/>
      <c r="G2282" s="8">
        <f>IF(E2282="","",E2282*F2282)</f>
        <v/>
      </c>
      <c r="H2282" s="8">
        <f>IF(G2282="","",G2282-I2282)</f>
        <v/>
      </c>
      <c r="I2282" s="8">
        <f>IF(D2282="","",VLOOKUP(D2282, RECETTES!B:G, 6, FALSE)*E2282)</f>
        <v/>
      </c>
      <c r="J2282" s="8">
        <f>IF(G2282="","",G2282*0.20)</f>
        <v/>
      </c>
      <c r="K2282" s="8">
        <f>IF(G2282="","",G2282+J2282)</f>
        <v/>
      </c>
    </row>
    <row r="2283">
      <c r="F2283" s="8" t="n"/>
      <c r="G2283" s="8">
        <f>IF(E2283="","",E2283*F2283)</f>
        <v/>
      </c>
      <c r="H2283" s="8">
        <f>IF(G2283="","",G2283-I2283)</f>
        <v/>
      </c>
      <c r="I2283" s="8">
        <f>IF(D2283="","",VLOOKUP(D2283, RECETTES!B:G, 6, FALSE)*E2283)</f>
        <v/>
      </c>
      <c r="J2283" s="8">
        <f>IF(G2283="","",G2283*0.20)</f>
        <v/>
      </c>
      <c r="K2283" s="8">
        <f>IF(G2283="","",G2283+J2283)</f>
        <v/>
      </c>
    </row>
    <row r="2284">
      <c r="F2284" s="8" t="n"/>
      <c r="G2284" s="8">
        <f>IF(E2284="","",E2284*F2284)</f>
        <v/>
      </c>
      <c r="H2284" s="8">
        <f>IF(G2284="","",G2284-I2284)</f>
        <v/>
      </c>
      <c r="I2284" s="8">
        <f>IF(D2284="","",VLOOKUP(D2284, RECETTES!B:G, 6, FALSE)*E2284)</f>
        <v/>
      </c>
      <c r="J2284" s="8">
        <f>IF(G2284="","",G2284*0.20)</f>
        <v/>
      </c>
      <c r="K2284" s="8">
        <f>IF(G2284="","",G2284+J2284)</f>
        <v/>
      </c>
    </row>
    <row r="2285">
      <c r="F2285" s="8" t="n"/>
      <c r="G2285" s="8">
        <f>IF(E2285="","",E2285*F2285)</f>
        <v/>
      </c>
      <c r="H2285" s="8">
        <f>IF(G2285="","",G2285-I2285)</f>
        <v/>
      </c>
      <c r="I2285" s="8">
        <f>IF(D2285="","",VLOOKUP(D2285, RECETTES!B:G, 6, FALSE)*E2285)</f>
        <v/>
      </c>
      <c r="J2285" s="8">
        <f>IF(G2285="","",G2285*0.20)</f>
        <v/>
      </c>
      <c r="K2285" s="8">
        <f>IF(G2285="","",G2285+J2285)</f>
        <v/>
      </c>
    </row>
    <row r="2286">
      <c r="F2286" s="8" t="n"/>
      <c r="G2286" s="8">
        <f>IF(E2286="","",E2286*F2286)</f>
        <v/>
      </c>
      <c r="H2286" s="8">
        <f>IF(G2286="","",G2286-I2286)</f>
        <v/>
      </c>
      <c r="I2286" s="8">
        <f>IF(D2286="","",VLOOKUP(D2286, RECETTES!B:G, 6, FALSE)*E2286)</f>
        <v/>
      </c>
      <c r="J2286" s="8">
        <f>IF(G2286="","",G2286*0.20)</f>
        <v/>
      </c>
      <c r="K2286" s="8">
        <f>IF(G2286="","",G2286+J2286)</f>
        <v/>
      </c>
    </row>
    <row r="2287">
      <c r="F2287" s="8" t="n"/>
      <c r="G2287" s="8">
        <f>IF(E2287="","",E2287*F2287)</f>
        <v/>
      </c>
      <c r="H2287" s="8">
        <f>IF(G2287="","",G2287-I2287)</f>
        <v/>
      </c>
      <c r="I2287" s="8">
        <f>IF(D2287="","",VLOOKUP(D2287, RECETTES!B:G, 6, FALSE)*E2287)</f>
        <v/>
      </c>
      <c r="J2287" s="8">
        <f>IF(G2287="","",G2287*0.20)</f>
        <v/>
      </c>
      <c r="K2287" s="8">
        <f>IF(G2287="","",G2287+J2287)</f>
        <v/>
      </c>
    </row>
    <row r="2288">
      <c r="F2288" s="8" t="n"/>
      <c r="G2288" s="8">
        <f>IF(E2288="","",E2288*F2288)</f>
        <v/>
      </c>
      <c r="H2288" s="8">
        <f>IF(G2288="","",G2288-I2288)</f>
        <v/>
      </c>
      <c r="I2288" s="8">
        <f>IF(D2288="","",VLOOKUP(D2288, RECETTES!B:G, 6, FALSE)*E2288)</f>
        <v/>
      </c>
      <c r="J2288" s="8">
        <f>IF(G2288="","",G2288*0.20)</f>
        <v/>
      </c>
      <c r="K2288" s="8">
        <f>IF(G2288="","",G2288+J2288)</f>
        <v/>
      </c>
    </row>
    <row r="2289">
      <c r="F2289" s="8" t="n"/>
      <c r="G2289" s="8">
        <f>IF(E2289="","",E2289*F2289)</f>
        <v/>
      </c>
      <c r="H2289" s="8">
        <f>IF(G2289="","",G2289-I2289)</f>
        <v/>
      </c>
      <c r="I2289" s="8">
        <f>IF(D2289="","",VLOOKUP(D2289, RECETTES!B:G, 6, FALSE)*E2289)</f>
        <v/>
      </c>
      <c r="J2289" s="8">
        <f>IF(G2289="","",G2289*0.20)</f>
        <v/>
      </c>
      <c r="K2289" s="8">
        <f>IF(G2289="","",G2289+J2289)</f>
        <v/>
      </c>
    </row>
    <row r="2290">
      <c r="F2290" s="8" t="n"/>
      <c r="G2290" s="8">
        <f>IF(E2290="","",E2290*F2290)</f>
        <v/>
      </c>
      <c r="H2290" s="8">
        <f>IF(G2290="","",G2290-I2290)</f>
        <v/>
      </c>
      <c r="I2290" s="8">
        <f>IF(D2290="","",VLOOKUP(D2290, RECETTES!B:G, 6, FALSE)*E2290)</f>
        <v/>
      </c>
      <c r="J2290" s="8">
        <f>IF(G2290="","",G2290*0.20)</f>
        <v/>
      </c>
      <c r="K2290" s="8">
        <f>IF(G2290="","",G2290+J2290)</f>
        <v/>
      </c>
    </row>
    <row r="2291">
      <c r="F2291" s="8" t="n"/>
      <c r="G2291" s="8">
        <f>IF(E2291="","",E2291*F2291)</f>
        <v/>
      </c>
      <c r="H2291" s="8">
        <f>IF(G2291="","",G2291-I2291)</f>
        <v/>
      </c>
      <c r="I2291" s="8">
        <f>IF(D2291="","",VLOOKUP(D2291, RECETTES!B:G, 6, FALSE)*E2291)</f>
        <v/>
      </c>
      <c r="J2291" s="8">
        <f>IF(G2291="","",G2291*0.20)</f>
        <v/>
      </c>
      <c r="K2291" s="8">
        <f>IF(G2291="","",G2291+J2291)</f>
        <v/>
      </c>
    </row>
    <row r="2292">
      <c r="F2292" s="8" t="n"/>
      <c r="G2292" s="8">
        <f>IF(E2292="","",E2292*F2292)</f>
        <v/>
      </c>
      <c r="H2292" s="8">
        <f>IF(G2292="","",G2292-I2292)</f>
        <v/>
      </c>
      <c r="I2292" s="8">
        <f>IF(D2292="","",VLOOKUP(D2292, RECETTES!B:G, 6, FALSE)*E2292)</f>
        <v/>
      </c>
      <c r="J2292" s="8">
        <f>IF(G2292="","",G2292*0.20)</f>
        <v/>
      </c>
      <c r="K2292" s="8">
        <f>IF(G2292="","",G2292+J2292)</f>
        <v/>
      </c>
    </row>
    <row r="2293">
      <c r="F2293" s="8" t="n"/>
      <c r="G2293" s="8">
        <f>IF(E2293="","",E2293*F2293)</f>
        <v/>
      </c>
      <c r="H2293" s="8">
        <f>IF(G2293="","",G2293-I2293)</f>
        <v/>
      </c>
      <c r="I2293" s="8">
        <f>IF(D2293="","",VLOOKUP(D2293, RECETTES!B:G, 6, FALSE)*E2293)</f>
        <v/>
      </c>
      <c r="J2293" s="8">
        <f>IF(G2293="","",G2293*0.20)</f>
        <v/>
      </c>
      <c r="K2293" s="8">
        <f>IF(G2293="","",G2293+J2293)</f>
        <v/>
      </c>
    </row>
    <row r="2294">
      <c r="F2294" s="8" t="n"/>
      <c r="G2294" s="8">
        <f>IF(E2294="","",E2294*F2294)</f>
        <v/>
      </c>
      <c r="H2294" s="8">
        <f>IF(G2294="","",G2294-I2294)</f>
        <v/>
      </c>
      <c r="I2294" s="8">
        <f>IF(D2294="","",VLOOKUP(D2294, RECETTES!B:G, 6, FALSE)*E2294)</f>
        <v/>
      </c>
      <c r="J2294" s="8">
        <f>IF(G2294="","",G2294*0.20)</f>
        <v/>
      </c>
      <c r="K2294" s="8">
        <f>IF(G2294="","",G2294+J2294)</f>
        <v/>
      </c>
    </row>
    <row r="2295">
      <c r="F2295" s="8" t="n"/>
      <c r="G2295" s="8">
        <f>IF(E2295="","",E2295*F2295)</f>
        <v/>
      </c>
      <c r="H2295" s="8">
        <f>IF(G2295="","",G2295-I2295)</f>
        <v/>
      </c>
      <c r="I2295" s="8">
        <f>IF(D2295="","",VLOOKUP(D2295, RECETTES!B:G, 6, FALSE)*E2295)</f>
        <v/>
      </c>
      <c r="J2295" s="8">
        <f>IF(G2295="","",G2295*0.20)</f>
        <v/>
      </c>
      <c r="K2295" s="8">
        <f>IF(G2295="","",G2295+J2295)</f>
        <v/>
      </c>
    </row>
    <row r="2296">
      <c r="F2296" s="8" t="n"/>
      <c r="G2296" s="8">
        <f>IF(E2296="","",E2296*F2296)</f>
        <v/>
      </c>
      <c r="H2296" s="8">
        <f>IF(G2296="","",G2296-I2296)</f>
        <v/>
      </c>
      <c r="I2296" s="8">
        <f>IF(D2296="","",VLOOKUP(D2296, RECETTES!B:G, 6, FALSE)*E2296)</f>
        <v/>
      </c>
      <c r="J2296" s="8">
        <f>IF(G2296="","",G2296*0.20)</f>
        <v/>
      </c>
      <c r="K2296" s="8">
        <f>IF(G2296="","",G2296+J2296)</f>
        <v/>
      </c>
    </row>
    <row r="2297">
      <c r="F2297" s="8" t="n"/>
      <c r="G2297" s="8">
        <f>IF(E2297="","",E2297*F2297)</f>
        <v/>
      </c>
      <c r="H2297" s="8">
        <f>IF(G2297="","",G2297-I2297)</f>
        <v/>
      </c>
      <c r="I2297" s="8">
        <f>IF(D2297="","",VLOOKUP(D2297, RECETTES!B:G, 6, FALSE)*E2297)</f>
        <v/>
      </c>
      <c r="J2297" s="8">
        <f>IF(G2297="","",G2297*0.20)</f>
        <v/>
      </c>
      <c r="K2297" s="8">
        <f>IF(G2297="","",G2297+J2297)</f>
        <v/>
      </c>
    </row>
    <row r="2298">
      <c r="F2298" s="8" t="n"/>
      <c r="G2298" s="8">
        <f>IF(E2298="","",E2298*F2298)</f>
        <v/>
      </c>
      <c r="H2298" s="8">
        <f>IF(G2298="","",G2298-I2298)</f>
        <v/>
      </c>
      <c r="I2298" s="8">
        <f>IF(D2298="","",VLOOKUP(D2298, RECETTES!B:G, 6, FALSE)*E2298)</f>
        <v/>
      </c>
      <c r="J2298" s="8">
        <f>IF(G2298="","",G2298*0.20)</f>
        <v/>
      </c>
      <c r="K2298" s="8">
        <f>IF(G2298="","",G2298+J2298)</f>
        <v/>
      </c>
    </row>
    <row r="2299">
      <c r="F2299" s="8" t="n"/>
      <c r="G2299" s="8">
        <f>IF(E2299="","",E2299*F2299)</f>
        <v/>
      </c>
      <c r="H2299" s="8">
        <f>IF(G2299="","",G2299-I2299)</f>
        <v/>
      </c>
      <c r="I2299" s="8">
        <f>IF(D2299="","",VLOOKUP(D2299, RECETTES!B:G, 6, FALSE)*E2299)</f>
        <v/>
      </c>
      <c r="J2299" s="8">
        <f>IF(G2299="","",G2299*0.20)</f>
        <v/>
      </c>
      <c r="K2299" s="8">
        <f>IF(G2299="","",G2299+J2299)</f>
        <v/>
      </c>
    </row>
    <row r="2300">
      <c r="F2300" s="8" t="n"/>
      <c r="G2300" s="8">
        <f>IF(E2300="","",E2300*F2300)</f>
        <v/>
      </c>
      <c r="H2300" s="8">
        <f>IF(G2300="","",G2300-I2300)</f>
        <v/>
      </c>
      <c r="I2300" s="8">
        <f>IF(D2300="","",VLOOKUP(D2300, RECETTES!B:G, 6, FALSE)*E2300)</f>
        <v/>
      </c>
      <c r="J2300" s="8">
        <f>IF(G2300="","",G2300*0.20)</f>
        <v/>
      </c>
      <c r="K2300" s="8">
        <f>IF(G2300="","",G2300+J2300)</f>
        <v/>
      </c>
    </row>
    <row r="2301">
      <c r="F2301" s="8" t="n"/>
      <c r="G2301" s="8">
        <f>IF(E2301="","",E2301*F2301)</f>
        <v/>
      </c>
      <c r="H2301" s="8">
        <f>IF(G2301="","",G2301-I2301)</f>
        <v/>
      </c>
      <c r="I2301" s="8">
        <f>IF(D2301="","",VLOOKUP(D2301, RECETTES!B:G, 6, FALSE)*E2301)</f>
        <v/>
      </c>
      <c r="J2301" s="8">
        <f>IF(G2301="","",G2301*0.20)</f>
        <v/>
      </c>
      <c r="K2301" s="8">
        <f>IF(G2301="","",G2301+J2301)</f>
        <v/>
      </c>
    </row>
    <row r="2302">
      <c r="F2302" s="8" t="n"/>
      <c r="G2302" s="8">
        <f>IF(E2302="","",E2302*F2302)</f>
        <v/>
      </c>
      <c r="H2302" s="8">
        <f>IF(G2302="","",G2302-I2302)</f>
        <v/>
      </c>
      <c r="I2302" s="8">
        <f>IF(D2302="","",VLOOKUP(D2302, RECETTES!B:G, 6, FALSE)*E2302)</f>
        <v/>
      </c>
      <c r="J2302" s="8">
        <f>IF(G2302="","",G2302*0.20)</f>
        <v/>
      </c>
      <c r="K2302" s="8">
        <f>IF(G2302="","",G2302+J2302)</f>
        <v/>
      </c>
    </row>
    <row r="2303">
      <c r="F2303" s="8" t="n"/>
      <c r="G2303" s="8">
        <f>IF(E2303="","",E2303*F2303)</f>
        <v/>
      </c>
      <c r="H2303" s="8">
        <f>IF(G2303="","",G2303-I2303)</f>
        <v/>
      </c>
      <c r="I2303" s="8">
        <f>IF(D2303="","",VLOOKUP(D2303, RECETTES!B:G, 6, FALSE)*E2303)</f>
        <v/>
      </c>
      <c r="J2303" s="8">
        <f>IF(G2303="","",G2303*0.20)</f>
        <v/>
      </c>
      <c r="K2303" s="8">
        <f>IF(G2303="","",G2303+J2303)</f>
        <v/>
      </c>
    </row>
    <row r="2304">
      <c r="F2304" s="8" t="n"/>
      <c r="G2304" s="8">
        <f>IF(E2304="","",E2304*F2304)</f>
        <v/>
      </c>
      <c r="H2304" s="8">
        <f>IF(G2304="","",G2304-I2304)</f>
        <v/>
      </c>
      <c r="I2304" s="8">
        <f>IF(D2304="","",VLOOKUP(D2304, RECETTES!B:G, 6, FALSE)*E2304)</f>
        <v/>
      </c>
      <c r="J2304" s="8">
        <f>IF(G2304="","",G2304*0.20)</f>
        <v/>
      </c>
      <c r="K2304" s="8">
        <f>IF(G2304="","",G2304+J2304)</f>
        <v/>
      </c>
    </row>
    <row r="2305">
      <c r="F2305" s="8" t="n"/>
      <c r="G2305" s="8">
        <f>IF(E2305="","",E2305*F2305)</f>
        <v/>
      </c>
      <c r="H2305" s="8">
        <f>IF(G2305="","",G2305-I2305)</f>
        <v/>
      </c>
      <c r="I2305" s="8">
        <f>IF(D2305="","",VLOOKUP(D2305, RECETTES!B:G, 6, FALSE)*E2305)</f>
        <v/>
      </c>
      <c r="J2305" s="8">
        <f>IF(G2305="","",G2305*0.20)</f>
        <v/>
      </c>
      <c r="K2305" s="8">
        <f>IF(G2305="","",G2305+J2305)</f>
        <v/>
      </c>
    </row>
    <row r="2306">
      <c r="F2306" s="8" t="n"/>
      <c r="G2306" s="8">
        <f>IF(E2306="","",E2306*F2306)</f>
        <v/>
      </c>
      <c r="H2306" s="8">
        <f>IF(G2306="","",G2306-I2306)</f>
        <v/>
      </c>
      <c r="I2306" s="8">
        <f>IF(D2306="","",VLOOKUP(D2306, RECETTES!B:G, 6, FALSE)*E2306)</f>
        <v/>
      </c>
      <c r="J2306" s="8">
        <f>IF(G2306="","",G2306*0.20)</f>
        <v/>
      </c>
      <c r="K2306" s="8">
        <f>IF(G2306="","",G2306+J2306)</f>
        <v/>
      </c>
    </row>
    <row r="2307">
      <c r="F2307" s="8" t="n"/>
      <c r="G2307" s="8">
        <f>IF(E2307="","",E2307*F2307)</f>
        <v/>
      </c>
      <c r="H2307" s="8">
        <f>IF(G2307="","",G2307-I2307)</f>
        <v/>
      </c>
      <c r="I2307" s="8">
        <f>IF(D2307="","",VLOOKUP(D2307, RECETTES!B:G, 6, FALSE)*E2307)</f>
        <v/>
      </c>
      <c r="J2307" s="8">
        <f>IF(G2307="","",G2307*0.20)</f>
        <v/>
      </c>
      <c r="K2307" s="8">
        <f>IF(G2307="","",G2307+J2307)</f>
        <v/>
      </c>
    </row>
    <row r="2308">
      <c r="F2308" s="8" t="n"/>
      <c r="G2308" s="8">
        <f>IF(E2308="","",E2308*F2308)</f>
        <v/>
      </c>
      <c r="H2308" s="8">
        <f>IF(G2308="","",G2308-I2308)</f>
        <v/>
      </c>
      <c r="I2308" s="8">
        <f>IF(D2308="","",VLOOKUP(D2308, RECETTES!B:G, 6, FALSE)*E2308)</f>
        <v/>
      </c>
      <c r="J2308" s="8">
        <f>IF(G2308="","",G2308*0.20)</f>
        <v/>
      </c>
      <c r="K2308" s="8">
        <f>IF(G2308="","",G2308+J2308)</f>
        <v/>
      </c>
    </row>
    <row r="2309">
      <c r="F2309" s="8" t="n"/>
      <c r="G2309" s="8">
        <f>IF(E2309="","",E2309*F2309)</f>
        <v/>
      </c>
      <c r="H2309" s="8">
        <f>IF(G2309="","",G2309-I2309)</f>
        <v/>
      </c>
      <c r="I2309" s="8">
        <f>IF(D2309="","",VLOOKUP(D2309, RECETTES!B:G, 6, FALSE)*E2309)</f>
        <v/>
      </c>
      <c r="J2309" s="8">
        <f>IF(G2309="","",G2309*0.20)</f>
        <v/>
      </c>
      <c r="K2309" s="8">
        <f>IF(G2309="","",G2309+J2309)</f>
        <v/>
      </c>
    </row>
    <row r="2310">
      <c r="F2310" s="8" t="n"/>
      <c r="G2310" s="8">
        <f>IF(E2310="","",E2310*F2310)</f>
        <v/>
      </c>
      <c r="H2310" s="8">
        <f>IF(G2310="","",G2310-I2310)</f>
        <v/>
      </c>
      <c r="I2310" s="8">
        <f>IF(D2310="","",VLOOKUP(D2310, RECETTES!B:G, 6, FALSE)*E2310)</f>
        <v/>
      </c>
      <c r="J2310" s="8">
        <f>IF(G2310="","",G2310*0.20)</f>
        <v/>
      </c>
      <c r="K2310" s="8">
        <f>IF(G2310="","",G2310+J2310)</f>
        <v/>
      </c>
    </row>
    <row r="2311">
      <c r="F2311" s="8" t="n"/>
      <c r="G2311" s="8">
        <f>IF(E2311="","",E2311*F2311)</f>
        <v/>
      </c>
      <c r="H2311" s="8">
        <f>IF(G2311="","",G2311-I2311)</f>
        <v/>
      </c>
      <c r="I2311" s="8">
        <f>IF(D2311="","",VLOOKUP(D2311, RECETTES!B:G, 6, FALSE)*E2311)</f>
        <v/>
      </c>
      <c r="J2311" s="8">
        <f>IF(G2311="","",G2311*0.20)</f>
        <v/>
      </c>
      <c r="K2311" s="8">
        <f>IF(G2311="","",G2311+J2311)</f>
        <v/>
      </c>
    </row>
    <row r="2312">
      <c r="F2312" s="8" t="n"/>
      <c r="G2312" s="8">
        <f>IF(E2312="","",E2312*F2312)</f>
        <v/>
      </c>
      <c r="H2312" s="8">
        <f>IF(G2312="","",G2312-I2312)</f>
        <v/>
      </c>
      <c r="I2312" s="8">
        <f>IF(D2312="","",VLOOKUP(D2312, RECETTES!B:G, 6, FALSE)*E2312)</f>
        <v/>
      </c>
      <c r="J2312" s="8">
        <f>IF(G2312="","",G2312*0.20)</f>
        <v/>
      </c>
      <c r="K2312" s="8">
        <f>IF(G2312="","",G2312+J2312)</f>
        <v/>
      </c>
    </row>
    <row r="2313">
      <c r="F2313" s="8" t="n"/>
      <c r="G2313" s="8">
        <f>IF(E2313="","",E2313*F2313)</f>
        <v/>
      </c>
      <c r="H2313" s="8">
        <f>IF(G2313="","",G2313-I2313)</f>
        <v/>
      </c>
      <c r="I2313" s="8">
        <f>IF(D2313="","",VLOOKUP(D2313, RECETTES!B:G, 6, FALSE)*E2313)</f>
        <v/>
      </c>
      <c r="J2313" s="8">
        <f>IF(G2313="","",G2313*0.20)</f>
        <v/>
      </c>
      <c r="K2313" s="8">
        <f>IF(G2313="","",G2313+J2313)</f>
        <v/>
      </c>
    </row>
    <row r="2314">
      <c r="F2314" s="8" t="n"/>
      <c r="G2314" s="8">
        <f>IF(E2314="","",E2314*F2314)</f>
        <v/>
      </c>
      <c r="H2314" s="8">
        <f>IF(G2314="","",G2314-I2314)</f>
        <v/>
      </c>
      <c r="I2314" s="8">
        <f>IF(D2314="","",VLOOKUP(D2314, RECETTES!B:G, 6, FALSE)*E2314)</f>
        <v/>
      </c>
      <c r="J2314" s="8">
        <f>IF(G2314="","",G2314*0.20)</f>
        <v/>
      </c>
      <c r="K2314" s="8">
        <f>IF(G2314="","",G2314+J2314)</f>
        <v/>
      </c>
    </row>
    <row r="2315">
      <c r="F2315" s="8" t="n"/>
      <c r="G2315" s="8">
        <f>IF(E2315="","",E2315*F2315)</f>
        <v/>
      </c>
      <c r="H2315" s="8">
        <f>IF(G2315="","",G2315-I2315)</f>
        <v/>
      </c>
      <c r="I2315" s="8">
        <f>IF(D2315="","",VLOOKUP(D2315, RECETTES!B:G, 6, FALSE)*E2315)</f>
        <v/>
      </c>
      <c r="J2315" s="8">
        <f>IF(G2315="","",G2315*0.20)</f>
        <v/>
      </c>
      <c r="K2315" s="8">
        <f>IF(G2315="","",G2315+J2315)</f>
        <v/>
      </c>
    </row>
    <row r="2316">
      <c r="F2316" s="8" t="n"/>
      <c r="G2316" s="8">
        <f>IF(E2316="","",E2316*F2316)</f>
        <v/>
      </c>
      <c r="H2316" s="8">
        <f>IF(G2316="","",G2316-I2316)</f>
        <v/>
      </c>
      <c r="I2316" s="8">
        <f>IF(D2316="","",VLOOKUP(D2316, RECETTES!B:G, 6, FALSE)*E2316)</f>
        <v/>
      </c>
      <c r="J2316" s="8">
        <f>IF(G2316="","",G2316*0.20)</f>
        <v/>
      </c>
      <c r="K2316" s="8">
        <f>IF(G2316="","",G2316+J2316)</f>
        <v/>
      </c>
    </row>
    <row r="2317">
      <c r="F2317" s="8" t="n"/>
      <c r="G2317" s="8">
        <f>IF(E2317="","",E2317*F2317)</f>
        <v/>
      </c>
      <c r="H2317" s="8">
        <f>IF(G2317="","",G2317-I2317)</f>
        <v/>
      </c>
      <c r="I2317" s="8">
        <f>IF(D2317="","",VLOOKUP(D2317, RECETTES!B:G, 6, FALSE)*E2317)</f>
        <v/>
      </c>
      <c r="J2317" s="8">
        <f>IF(G2317="","",G2317*0.20)</f>
        <v/>
      </c>
      <c r="K2317" s="8">
        <f>IF(G2317="","",G2317+J2317)</f>
        <v/>
      </c>
    </row>
    <row r="2318">
      <c r="F2318" s="8" t="n"/>
      <c r="G2318" s="8">
        <f>IF(E2318="","",E2318*F2318)</f>
        <v/>
      </c>
      <c r="H2318" s="8">
        <f>IF(G2318="","",G2318-I2318)</f>
        <v/>
      </c>
      <c r="I2318" s="8">
        <f>IF(D2318="","",VLOOKUP(D2318, RECETTES!B:G, 6, FALSE)*E2318)</f>
        <v/>
      </c>
      <c r="J2318" s="8">
        <f>IF(G2318="","",G2318*0.20)</f>
        <v/>
      </c>
      <c r="K2318" s="8">
        <f>IF(G2318="","",G2318+J2318)</f>
        <v/>
      </c>
    </row>
    <row r="2319">
      <c r="F2319" s="8" t="n"/>
      <c r="G2319" s="8">
        <f>IF(E2319="","",E2319*F2319)</f>
        <v/>
      </c>
      <c r="H2319" s="8">
        <f>IF(G2319="","",G2319-I2319)</f>
        <v/>
      </c>
      <c r="I2319" s="8">
        <f>IF(D2319="","",VLOOKUP(D2319, RECETTES!B:G, 6, FALSE)*E2319)</f>
        <v/>
      </c>
      <c r="J2319" s="8">
        <f>IF(G2319="","",G2319*0.20)</f>
        <v/>
      </c>
      <c r="K2319" s="8">
        <f>IF(G2319="","",G2319+J2319)</f>
        <v/>
      </c>
    </row>
    <row r="2320">
      <c r="F2320" s="8" t="n"/>
      <c r="G2320" s="8">
        <f>IF(E2320="","",E2320*F2320)</f>
        <v/>
      </c>
      <c r="H2320" s="8">
        <f>IF(G2320="","",G2320-I2320)</f>
        <v/>
      </c>
      <c r="I2320" s="8">
        <f>IF(D2320="","",VLOOKUP(D2320, RECETTES!B:G, 6, FALSE)*E2320)</f>
        <v/>
      </c>
      <c r="J2320" s="8">
        <f>IF(G2320="","",G2320*0.20)</f>
        <v/>
      </c>
      <c r="K2320" s="8">
        <f>IF(G2320="","",G2320+J2320)</f>
        <v/>
      </c>
    </row>
    <row r="2321">
      <c r="F2321" s="8" t="n"/>
      <c r="G2321" s="8">
        <f>IF(E2321="","",E2321*F2321)</f>
        <v/>
      </c>
      <c r="H2321" s="8">
        <f>IF(G2321="","",G2321-I2321)</f>
        <v/>
      </c>
      <c r="I2321" s="8">
        <f>IF(D2321="","",VLOOKUP(D2321, RECETTES!B:G, 6, FALSE)*E2321)</f>
        <v/>
      </c>
      <c r="J2321" s="8">
        <f>IF(G2321="","",G2321*0.20)</f>
        <v/>
      </c>
      <c r="K2321" s="8">
        <f>IF(G2321="","",G2321+J2321)</f>
        <v/>
      </c>
    </row>
    <row r="2322">
      <c r="F2322" s="8" t="n"/>
      <c r="G2322" s="8">
        <f>IF(E2322="","",E2322*F2322)</f>
        <v/>
      </c>
      <c r="H2322" s="8">
        <f>IF(G2322="","",G2322-I2322)</f>
        <v/>
      </c>
      <c r="I2322" s="8">
        <f>IF(D2322="","",VLOOKUP(D2322, RECETTES!B:G, 6, FALSE)*E2322)</f>
        <v/>
      </c>
      <c r="J2322" s="8">
        <f>IF(G2322="","",G2322*0.20)</f>
        <v/>
      </c>
      <c r="K2322" s="8">
        <f>IF(G2322="","",G2322+J2322)</f>
        <v/>
      </c>
    </row>
    <row r="2323">
      <c r="F2323" s="8" t="n"/>
      <c r="G2323" s="8">
        <f>IF(E2323="","",E2323*F2323)</f>
        <v/>
      </c>
      <c r="H2323" s="8">
        <f>IF(G2323="","",G2323-I2323)</f>
        <v/>
      </c>
      <c r="I2323" s="8">
        <f>IF(D2323="","",VLOOKUP(D2323, RECETTES!B:G, 6, FALSE)*E2323)</f>
        <v/>
      </c>
      <c r="J2323" s="8">
        <f>IF(G2323="","",G2323*0.20)</f>
        <v/>
      </c>
      <c r="K2323" s="8">
        <f>IF(G2323="","",G2323+J2323)</f>
        <v/>
      </c>
    </row>
    <row r="2324">
      <c r="F2324" s="8" t="n"/>
      <c r="G2324" s="8">
        <f>IF(E2324="","",E2324*F2324)</f>
        <v/>
      </c>
      <c r="H2324" s="8">
        <f>IF(G2324="","",G2324-I2324)</f>
        <v/>
      </c>
      <c r="I2324" s="8">
        <f>IF(D2324="","",VLOOKUP(D2324, RECETTES!B:G, 6, FALSE)*E2324)</f>
        <v/>
      </c>
      <c r="J2324" s="8">
        <f>IF(G2324="","",G2324*0.20)</f>
        <v/>
      </c>
      <c r="K2324" s="8">
        <f>IF(G2324="","",G2324+J2324)</f>
        <v/>
      </c>
    </row>
    <row r="2325">
      <c r="F2325" s="8" t="n"/>
      <c r="G2325" s="8">
        <f>IF(E2325="","",E2325*F2325)</f>
        <v/>
      </c>
      <c r="H2325" s="8">
        <f>IF(G2325="","",G2325-I2325)</f>
        <v/>
      </c>
      <c r="I2325" s="8">
        <f>IF(D2325="","",VLOOKUP(D2325, RECETTES!B:G, 6, FALSE)*E2325)</f>
        <v/>
      </c>
      <c r="J2325" s="8">
        <f>IF(G2325="","",G2325*0.20)</f>
        <v/>
      </c>
      <c r="K2325" s="8">
        <f>IF(G2325="","",G2325+J2325)</f>
        <v/>
      </c>
    </row>
    <row r="2326">
      <c r="F2326" s="8" t="n"/>
      <c r="G2326" s="8">
        <f>IF(E2326="","",E2326*F2326)</f>
        <v/>
      </c>
      <c r="H2326" s="8">
        <f>IF(G2326="","",G2326-I2326)</f>
        <v/>
      </c>
      <c r="I2326" s="8">
        <f>IF(D2326="","",VLOOKUP(D2326, RECETTES!B:G, 6, FALSE)*E2326)</f>
        <v/>
      </c>
      <c r="J2326" s="8">
        <f>IF(G2326="","",G2326*0.20)</f>
        <v/>
      </c>
      <c r="K2326" s="8">
        <f>IF(G2326="","",G2326+J2326)</f>
        <v/>
      </c>
    </row>
    <row r="2327">
      <c r="F2327" s="8" t="n"/>
      <c r="G2327" s="8">
        <f>IF(E2327="","",E2327*F2327)</f>
        <v/>
      </c>
      <c r="H2327" s="8">
        <f>IF(G2327="","",G2327-I2327)</f>
        <v/>
      </c>
      <c r="I2327" s="8">
        <f>IF(D2327="","",VLOOKUP(D2327, RECETTES!B:G, 6, FALSE)*E2327)</f>
        <v/>
      </c>
      <c r="J2327" s="8">
        <f>IF(G2327="","",G2327*0.20)</f>
        <v/>
      </c>
      <c r="K2327" s="8">
        <f>IF(G2327="","",G2327+J2327)</f>
        <v/>
      </c>
    </row>
    <row r="2328">
      <c r="F2328" s="8" t="n"/>
      <c r="G2328" s="8">
        <f>IF(E2328="","",E2328*F2328)</f>
        <v/>
      </c>
      <c r="H2328" s="8">
        <f>IF(G2328="","",G2328-I2328)</f>
        <v/>
      </c>
      <c r="I2328" s="8">
        <f>IF(D2328="","",VLOOKUP(D2328, RECETTES!B:G, 6, FALSE)*E2328)</f>
        <v/>
      </c>
      <c r="J2328" s="8">
        <f>IF(G2328="","",G2328*0.20)</f>
        <v/>
      </c>
      <c r="K2328" s="8">
        <f>IF(G2328="","",G2328+J2328)</f>
        <v/>
      </c>
    </row>
    <row r="2329">
      <c r="F2329" s="8" t="n"/>
      <c r="G2329" s="8">
        <f>IF(E2329="","",E2329*F2329)</f>
        <v/>
      </c>
      <c r="H2329" s="8">
        <f>IF(G2329="","",G2329-I2329)</f>
        <v/>
      </c>
      <c r="I2329" s="8">
        <f>IF(D2329="","",VLOOKUP(D2329, RECETTES!B:G, 6, FALSE)*E2329)</f>
        <v/>
      </c>
      <c r="J2329" s="8">
        <f>IF(G2329="","",G2329*0.20)</f>
        <v/>
      </c>
      <c r="K2329" s="8">
        <f>IF(G2329="","",G2329+J2329)</f>
        <v/>
      </c>
    </row>
    <row r="2330">
      <c r="F2330" s="8" t="n"/>
      <c r="G2330" s="8">
        <f>IF(E2330="","",E2330*F2330)</f>
        <v/>
      </c>
      <c r="H2330" s="8">
        <f>IF(G2330="","",G2330-I2330)</f>
        <v/>
      </c>
      <c r="I2330" s="8">
        <f>IF(D2330="","",VLOOKUP(D2330, RECETTES!B:G, 6, FALSE)*E2330)</f>
        <v/>
      </c>
      <c r="J2330" s="8">
        <f>IF(G2330="","",G2330*0.20)</f>
        <v/>
      </c>
      <c r="K2330" s="8">
        <f>IF(G2330="","",G2330+J2330)</f>
        <v/>
      </c>
    </row>
    <row r="2331">
      <c r="F2331" s="8" t="n"/>
      <c r="G2331" s="8">
        <f>IF(E2331="","",E2331*F2331)</f>
        <v/>
      </c>
      <c r="H2331" s="8">
        <f>IF(G2331="","",G2331-I2331)</f>
        <v/>
      </c>
      <c r="I2331" s="8">
        <f>IF(D2331="","",VLOOKUP(D2331, RECETTES!B:G, 6, FALSE)*E2331)</f>
        <v/>
      </c>
      <c r="J2331" s="8">
        <f>IF(G2331="","",G2331*0.20)</f>
        <v/>
      </c>
      <c r="K2331" s="8">
        <f>IF(G2331="","",G2331+J2331)</f>
        <v/>
      </c>
    </row>
    <row r="2332">
      <c r="F2332" s="8" t="n"/>
      <c r="G2332" s="8">
        <f>IF(E2332="","",E2332*F2332)</f>
        <v/>
      </c>
      <c r="H2332" s="8">
        <f>IF(G2332="","",G2332-I2332)</f>
        <v/>
      </c>
      <c r="I2332" s="8">
        <f>IF(D2332="","",VLOOKUP(D2332, RECETTES!B:G, 6, FALSE)*E2332)</f>
        <v/>
      </c>
      <c r="J2332" s="8">
        <f>IF(G2332="","",G2332*0.20)</f>
        <v/>
      </c>
      <c r="K2332" s="8">
        <f>IF(G2332="","",G2332+J2332)</f>
        <v/>
      </c>
    </row>
    <row r="2333">
      <c r="F2333" s="8" t="n"/>
      <c r="G2333" s="8">
        <f>IF(E2333="","",E2333*F2333)</f>
        <v/>
      </c>
      <c r="H2333" s="8">
        <f>IF(G2333="","",G2333-I2333)</f>
        <v/>
      </c>
      <c r="I2333" s="8">
        <f>IF(D2333="","",VLOOKUP(D2333, RECETTES!B:G, 6, FALSE)*E2333)</f>
        <v/>
      </c>
      <c r="J2333" s="8">
        <f>IF(G2333="","",G2333*0.20)</f>
        <v/>
      </c>
      <c r="K2333" s="8">
        <f>IF(G2333="","",G2333+J2333)</f>
        <v/>
      </c>
    </row>
    <row r="2334">
      <c r="F2334" s="8" t="n"/>
      <c r="G2334" s="8">
        <f>IF(E2334="","",E2334*F2334)</f>
        <v/>
      </c>
      <c r="H2334" s="8">
        <f>IF(G2334="","",G2334-I2334)</f>
        <v/>
      </c>
      <c r="I2334" s="8">
        <f>IF(D2334="","",VLOOKUP(D2334, RECETTES!B:G, 6, FALSE)*E2334)</f>
        <v/>
      </c>
      <c r="J2334" s="8">
        <f>IF(G2334="","",G2334*0.20)</f>
        <v/>
      </c>
      <c r="K2334" s="8">
        <f>IF(G2334="","",G2334+J2334)</f>
        <v/>
      </c>
    </row>
    <row r="2335">
      <c r="F2335" s="8" t="n"/>
      <c r="G2335" s="8">
        <f>IF(E2335="","",E2335*F2335)</f>
        <v/>
      </c>
      <c r="H2335" s="8">
        <f>IF(G2335="","",G2335-I2335)</f>
        <v/>
      </c>
      <c r="I2335" s="8">
        <f>IF(D2335="","",VLOOKUP(D2335, RECETTES!B:G, 6, FALSE)*E2335)</f>
        <v/>
      </c>
      <c r="J2335" s="8">
        <f>IF(G2335="","",G2335*0.20)</f>
        <v/>
      </c>
      <c r="K2335" s="8">
        <f>IF(G2335="","",G2335+J2335)</f>
        <v/>
      </c>
    </row>
    <row r="2336">
      <c r="F2336" s="8" t="n"/>
      <c r="G2336" s="8">
        <f>IF(E2336="","",E2336*F2336)</f>
        <v/>
      </c>
      <c r="H2336" s="8">
        <f>IF(G2336="","",G2336-I2336)</f>
        <v/>
      </c>
      <c r="I2336" s="8">
        <f>IF(D2336="","",VLOOKUP(D2336, RECETTES!B:G, 6, FALSE)*E2336)</f>
        <v/>
      </c>
      <c r="J2336" s="8">
        <f>IF(G2336="","",G2336*0.20)</f>
        <v/>
      </c>
      <c r="K2336" s="8">
        <f>IF(G2336="","",G2336+J2336)</f>
        <v/>
      </c>
    </row>
    <row r="2337">
      <c r="F2337" s="8" t="n"/>
      <c r="G2337" s="8">
        <f>IF(E2337="","",E2337*F2337)</f>
        <v/>
      </c>
      <c r="H2337" s="8">
        <f>IF(G2337="","",G2337-I2337)</f>
        <v/>
      </c>
      <c r="I2337" s="8">
        <f>IF(D2337="","",VLOOKUP(D2337, RECETTES!B:G, 6, FALSE)*E2337)</f>
        <v/>
      </c>
      <c r="J2337" s="8">
        <f>IF(G2337="","",G2337*0.20)</f>
        <v/>
      </c>
      <c r="K2337" s="8">
        <f>IF(G2337="","",G2337+J2337)</f>
        <v/>
      </c>
    </row>
    <row r="2338">
      <c r="F2338" s="8" t="n"/>
      <c r="G2338" s="8">
        <f>IF(E2338="","",E2338*F2338)</f>
        <v/>
      </c>
      <c r="H2338" s="8">
        <f>IF(G2338="","",G2338-I2338)</f>
        <v/>
      </c>
      <c r="I2338" s="8">
        <f>IF(D2338="","",VLOOKUP(D2338, RECETTES!B:G, 6, FALSE)*E2338)</f>
        <v/>
      </c>
      <c r="J2338" s="8">
        <f>IF(G2338="","",G2338*0.20)</f>
        <v/>
      </c>
      <c r="K2338" s="8">
        <f>IF(G2338="","",G2338+J2338)</f>
        <v/>
      </c>
    </row>
    <row r="2339">
      <c r="F2339" s="8" t="n"/>
      <c r="G2339" s="8">
        <f>IF(E2339="","",E2339*F2339)</f>
        <v/>
      </c>
      <c r="H2339" s="8">
        <f>IF(G2339="","",G2339-I2339)</f>
        <v/>
      </c>
      <c r="I2339" s="8">
        <f>IF(D2339="","",VLOOKUP(D2339, RECETTES!B:G, 6, FALSE)*E2339)</f>
        <v/>
      </c>
      <c r="J2339" s="8">
        <f>IF(G2339="","",G2339*0.20)</f>
        <v/>
      </c>
      <c r="K2339" s="8">
        <f>IF(G2339="","",G2339+J2339)</f>
        <v/>
      </c>
    </row>
    <row r="2340">
      <c r="F2340" s="8" t="n"/>
      <c r="G2340" s="8">
        <f>IF(E2340="","",E2340*F2340)</f>
        <v/>
      </c>
      <c r="H2340" s="8">
        <f>IF(G2340="","",G2340-I2340)</f>
        <v/>
      </c>
      <c r="I2340" s="8">
        <f>IF(D2340="","",VLOOKUP(D2340, RECETTES!B:G, 6, FALSE)*E2340)</f>
        <v/>
      </c>
      <c r="J2340" s="8">
        <f>IF(G2340="","",G2340*0.20)</f>
        <v/>
      </c>
      <c r="K2340" s="8">
        <f>IF(G2340="","",G2340+J2340)</f>
        <v/>
      </c>
    </row>
    <row r="2341">
      <c r="F2341" s="8" t="n"/>
      <c r="G2341" s="8">
        <f>IF(E2341="","",E2341*F2341)</f>
        <v/>
      </c>
      <c r="H2341" s="8">
        <f>IF(G2341="","",G2341-I2341)</f>
        <v/>
      </c>
      <c r="I2341" s="8">
        <f>IF(D2341="","",VLOOKUP(D2341, RECETTES!B:G, 6, FALSE)*E2341)</f>
        <v/>
      </c>
      <c r="J2341" s="8">
        <f>IF(G2341="","",G2341*0.20)</f>
        <v/>
      </c>
      <c r="K2341" s="8">
        <f>IF(G2341="","",G2341+J2341)</f>
        <v/>
      </c>
    </row>
    <row r="2342">
      <c r="F2342" s="8" t="n"/>
      <c r="G2342" s="8">
        <f>IF(E2342="","",E2342*F2342)</f>
        <v/>
      </c>
      <c r="H2342" s="8">
        <f>IF(G2342="","",G2342-I2342)</f>
        <v/>
      </c>
      <c r="I2342" s="8">
        <f>IF(D2342="","",VLOOKUP(D2342, RECETTES!B:G, 6, FALSE)*E2342)</f>
        <v/>
      </c>
      <c r="J2342" s="8">
        <f>IF(G2342="","",G2342*0.20)</f>
        <v/>
      </c>
      <c r="K2342" s="8">
        <f>IF(G2342="","",G2342+J2342)</f>
        <v/>
      </c>
    </row>
    <row r="2343">
      <c r="F2343" s="8" t="n"/>
      <c r="G2343" s="8">
        <f>IF(E2343="","",E2343*F2343)</f>
        <v/>
      </c>
      <c r="H2343" s="8">
        <f>IF(G2343="","",G2343-I2343)</f>
        <v/>
      </c>
      <c r="I2343" s="8">
        <f>IF(D2343="","",VLOOKUP(D2343, RECETTES!B:G, 6, FALSE)*E2343)</f>
        <v/>
      </c>
      <c r="J2343" s="8">
        <f>IF(G2343="","",G2343*0.20)</f>
        <v/>
      </c>
      <c r="K2343" s="8">
        <f>IF(G2343="","",G2343+J2343)</f>
        <v/>
      </c>
    </row>
    <row r="2344">
      <c r="F2344" s="8" t="n"/>
      <c r="G2344" s="8">
        <f>IF(E2344="","",E2344*F2344)</f>
        <v/>
      </c>
      <c r="H2344" s="8">
        <f>IF(G2344="","",G2344-I2344)</f>
        <v/>
      </c>
      <c r="I2344" s="8">
        <f>IF(D2344="","",VLOOKUP(D2344, RECETTES!B:G, 6, FALSE)*E2344)</f>
        <v/>
      </c>
      <c r="J2344" s="8">
        <f>IF(G2344="","",G2344*0.20)</f>
        <v/>
      </c>
      <c r="K2344" s="8">
        <f>IF(G2344="","",G2344+J2344)</f>
        <v/>
      </c>
    </row>
    <row r="2345">
      <c r="F2345" s="8" t="n"/>
      <c r="G2345" s="8">
        <f>IF(E2345="","",E2345*F2345)</f>
        <v/>
      </c>
      <c r="H2345" s="8">
        <f>IF(G2345="","",G2345-I2345)</f>
        <v/>
      </c>
      <c r="I2345" s="8">
        <f>IF(D2345="","",VLOOKUP(D2345, RECETTES!B:G, 6, FALSE)*E2345)</f>
        <v/>
      </c>
      <c r="J2345" s="8">
        <f>IF(G2345="","",G2345*0.20)</f>
        <v/>
      </c>
      <c r="K2345" s="8">
        <f>IF(G2345="","",G2345+J2345)</f>
        <v/>
      </c>
    </row>
    <row r="2346">
      <c r="F2346" s="8" t="n"/>
      <c r="G2346" s="8">
        <f>IF(E2346="","",E2346*F2346)</f>
        <v/>
      </c>
      <c r="H2346" s="8">
        <f>IF(G2346="","",G2346-I2346)</f>
        <v/>
      </c>
      <c r="I2346" s="8">
        <f>IF(D2346="","",VLOOKUP(D2346, RECETTES!B:G, 6, FALSE)*E2346)</f>
        <v/>
      </c>
      <c r="J2346" s="8">
        <f>IF(G2346="","",G2346*0.20)</f>
        <v/>
      </c>
      <c r="K2346" s="8">
        <f>IF(G2346="","",G2346+J2346)</f>
        <v/>
      </c>
    </row>
    <row r="2347">
      <c r="F2347" s="8" t="n"/>
      <c r="G2347" s="8">
        <f>IF(E2347="","",E2347*F2347)</f>
        <v/>
      </c>
      <c r="H2347" s="8">
        <f>IF(G2347="","",G2347-I2347)</f>
        <v/>
      </c>
      <c r="I2347" s="8">
        <f>IF(D2347="","",VLOOKUP(D2347, RECETTES!B:G, 6, FALSE)*E2347)</f>
        <v/>
      </c>
      <c r="J2347" s="8">
        <f>IF(G2347="","",G2347*0.20)</f>
        <v/>
      </c>
      <c r="K2347" s="8">
        <f>IF(G2347="","",G2347+J2347)</f>
        <v/>
      </c>
    </row>
    <row r="2348">
      <c r="F2348" s="8" t="n"/>
      <c r="G2348" s="8">
        <f>IF(E2348="","",E2348*F2348)</f>
        <v/>
      </c>
      <c r="H2348" s="8">
        <f>IF(G2348="","",G2348-I2348)</f>
        <v/>
      </c>
      <c r="I2348" s="8">
        <f>IF(D2348="","",VLOOKUP(D2348, RECETTES!B:G, 6, FALSE)*E2348)</f>
        <v/>
      </c>
      <c r="J2348" s="8">
        <f>IF(G2348="","",G2348*0.20)</f>
        <v/>
      </c>
      <c r="K2348" s="8">
        <f>IF(G2348="","",G2348+J2348)</f>
        <v/>
      </c>
    </row>
    <row r="2349">
      <c r="F2349" s="8" t="n"/>
      <c r="G2349" s="8">
        <f>IF(E2349="","",E2349*F2349)</f>
        <v/>
      </c>
      <c r="H2349" s="8">
        <f>IF(G2349="","",G2349-I2349)</f>
        <v/>
      </c>
      <c r="I2349" s="8">
        <f>IF(D2349="","",VLOOKUP(D2349, RECETTES!B:G, 6, FALSE)*E2349)</f>
        <v/>
      </c>
      <c r="J2349" s="8">
        <f>IF(G2349="","",G2349*0.20)</f>
        <v/>
      </c>
      <c r="K2349" s="8">
        <f>IF(G2349="","",G2349+J2349)</f>
        <v/>
      </c>
    </row>
    <row r="2350">
      <c r="F2350" s="8" t="n"/>
      <c r="G2350" s="8">
        <f>IF(E2350="","",E2350*F2350)</f>
        <v/>
      </c>
      <c r="H2350" s="8">
        <f>IF(G2350="","",G2350-I2350)</f>
        <v/>
      </c>
      <c r="I2350" s="8">
        <f>IF(D2350="","",VLOOKUP(D2350, RECETTES!B:G, 6, FALSE)*E2350)</f>
        <v/>
      </c>
      <c r="J2350" s="8">
        <f>IF(G2350="","",G2350*0.20)</f>
        <v/>
      </c>
      <c r="K2350" s="8">
        <f>IF(G2350="","",G2350+J2350)</f>
        <v/>
      </c>
    </row>
    <row r="2351">
      <c r="F2351" s="8" t="n"/>
      <c r="G2351" s="8">
        <f>IF(E2351="","",E2351*F2351)</f>
        <v/>
      </c>
      <c r="H2351" s="8">
        <f>IF(G2351="","",G2351-I2351)</f>
        <v/>
      </c>
      <c r="I2351" s="8">
        <f>IF(D2351="","",VLOOKUP(D2351, RECETTES!B:G, 6, FALSE)*E2351)</f>
        <v/>
      </c>
      <c r="J2351" s="8">
        <f>IF(G2351="","",G2351*0.20)</f>
        <v/>
      </c>
      <c r="K2351" s="8">
        <f>IF(G2351="","",G2351+J2351)</f>
        <v/>
      </c>
    </row>
    <row r="2352">
      <c r="F2352" s="8" t="n"/>
      <c r="G2352" s="8">
        <f>IF(E2352="","",E2352*F2352)</f>
        <v/>
      </c>
      <c r="H2352" s="8">
        <f>IF(G2352="","",G2352-I2352)</f>
        <v/>
      </c>
      <c r="I2352" s="8">
        <f>IF(D2352="","",VLOOKUP(D2352, RECETTES!B:G, 6, FALSE)*E2352)</f>
        <v/>
      </c>
      <c r="J2352" s="8">
        <f>IF(G2352="","",G2352*0.20)</f>
        <v/>
      </c>
      <c r="K2352" s="8">
        <f>IF(G2352="","",G2352+J2352)</f>
        <v/>
      </c>
    </row>
    <row r="2353">
      <c r="F2353" s="8" t="n"/>
      <c r="G2353" s="8">
        <f>IF(E2353="","",E2353*F2353)</f>
        <v/>
      </c>
      <c r="H2353" s="8">
        <f>IF(G2353="","",G2353-I2353)</f>
        <v/>
      </c>
      <c r="I2353" s="8">
        <f>IF(D2353="","",VLOOKUP(D2353, RECETTES!B:G, 6, FALSE)*E2353)</f>
        <v/>
      </c>
      <c r="J2353" s="8">
        <f>IF(G2353="","",G2353*0.20)</f>
        <v/>
      </c>
      <c r="K2353" s="8">
        <f>IF(G2353="","",G2353+J2353)</f>
        <v/>
      </c>
    </row>
    <row r="2354">
      <c r="F2354" s="8" t="n"/>
      <c r="G2354" s="8">
        <f>IF(E2354="","",E2354*F2354)</f>
        <v/>
      </c>
      <c r="H2354" s="8">
        <f>IF(G2354="","",G2354-I2354)</f>
        <v/>
      </c>
      <c r="I2354" s="8">
        <f>IF(D2354="","",VLOOKUP(D2354, RECETTES!B:G, 6, FALSE)*E2354)</f>
        <v/>
      </c>
      <c r="J2354" s="8">
        <f>IF(G2354="","",G2354*0.20)</f>
        <v/>
      </c>
      <c r="K2354" s="8">
        <f>IF(G2354="","",G2354+J2354)</f>
        <v/>
      </c>
    </row>
    <row r="2355">
      <c r="F2355" s="8" t="n"/>
      <c r="G2355" s="8">
        <f>IF(E2355="","",E2355*F2355)</f>
        <v/>
      </c>
      <c r="H2355" s="8">
        <f>IF(G2355="","",G2355-I2355)</f>
        <v/>
      </c>
      <c r="I2355" s="8">
        <f>IF(D2355="","",VLOOKUP(D2355, RECETTES!B:G, 6, FALSE)*E2355)</f>
        <v/>
      </c>
      <c r="J2355" s="8">
        <f>IF(G2355="","",G2355*0.20)</f>
        <v/>
      </c>
      <c r="K2355" s="8">
        <f>IF(G2355="","",G2355+J2355)</f>
        <v/>
      </c>
    </row>
    <row r="2356">
      <c r="F2356" s="8" t="n"/>
      <c r="G2356" s="8">
        <f>IF(E2356="","",E2356*F2356)</f>
        <v/>
      </c>
      <c r="H2356" s="8">
        <f>IF(G2356="","",G2356-I2356)</f>
        <v/>
      </c>
      <c r="I2356" s="8">
        <f>IF(D2356="","",VLOOKUP(D2356, RECETTES!B:G, 6, FALSE)*E2356)</f>
        <v/>
      </c>
      <c r="J2356" s="8">
        <f>IF(G2356="","",G2356*0.20)</f>
        <v/>
      </c>
      <c r="K2356" s="8">
        <f>IF(G2356="","",G2356+J2356)</f>
        <v/>
      </c>
    </row>
    <row r="2357">
      <c r="F2357" s="8" t="n"/>
      <c r="G2357" s="8">
        <f>IF(E2357="","",E2357*F2357)</f>
        <v/>
      </c>
      <c r="H2357" s="8">
        <f>IF(G2357="","",G2357-I2357)</f>
        <v/>
      </c>
      <c r="I2357" s="8">
        <f>IF(D2357="","",VLOOKUP(D2357, RECETTES!B:G, 6, FALSE)*E2357)</f>
        <v/>
      </c>
      <c r="J2357" s="8">
        <f>IF(G2357="","",G2357*0.20)</f>
        <v/>
      </c>
      <c r="K2357" s="8">
        <f>IF(G2357="","",G2357+J2357)</f>
        <v/>
      </c>
    </row>
    <row r="2358">
      <c r="F2358" s="8" t="n"/>
      <c r="G2358" s="8">
        <f>IF(E2358="","",E2358*F2358)</f>
        <v/>
      </c>
      <c r="H2358" s="8">
        <f>IF(G2358="","",G2358-I2358)</f>
        <v/>
      </c>
      <c r="I2358" s="8">
        <f>IF(D2358="","",VLOOKUP(D2358, RECETTES!B:G, 6, FALSE)*E2358)</f>
        <v/>
      </c>
      <c r="J2358" s="8">
        <f>IF(G2358="","",G2358*0.20)</f>
        <v/>
      </c>
      <c r="K2358" s="8">
        <f>IF(G2358="","",G2358+J2358)</f>
        <v/>
      </c>
    </row>
    <row r="2359">
      <c r="F2359" s="8" t="n"/>
      <c r="G2359" s="8">
        <f>IF(E2359="","",E2359*F2359)</f>
        <v/>
      </c>
      <c r="H2359" s="8">
        <f>IF(G2359="","",G2359-I2359)</f>
        <v/>
      </c>
      <c r="I2359" s="8">
        <f>IF(D2359="","",VLOOKUP(D2359, RECETTES!B:G, 6, FALSE)*E2359)</f>
        <v/>
      </c>
      <c r="J2359" s="8">
        <f>IF(G2359="","",G2359*0.20)</f>
        <v/>
      </c>
      <c r="K2359" s="8">
        <f>IF(G2359="","",G2359+J2359)</f>
        <v/>
      </c>
    </row>
    <row r="2360">
      <c r="F2360" s="8" t="n"/>
      <c r="G2360" s="8">
        <f>IF(E2360="","",E2360*F2360)</f>
        <v/>
      </c>
      <c r="H2360" s="8">
        <f>IF(G2360="","",G2360-I2360)</f>
        <v/>
      </c>
      <c r="I2360" s="8">
        <f>IF(D2360="","",VLOOKUP(D2360, RECETTES!B:G, 6, FALSE)*E2360)</f>
        <v/>
      </c>
      <c r="J2360" s="8">
        <f>IF(G2360="","",G2360*0.20)</f>
        <v/>
      </c>
      <c r="K2360" s="8">
        <f>IF(G2360="","",G2360+J2360)</f>
        <v/>
      </c>
    </row>
    <row r="2361">
      <c r="F2361" s="8" t="n"/>
      <c r="G2361" s="8">
        <f>IF(E2361="","",E2361*F2361)</f>
        <v/>
      </c>
      <c r="H2361" s="8">
        <f>IF(G2361="","",G2361-I2361)</f>
        <v/>
      </c>
      <c r="I2361" s="8">
        <f>IF(D2361="","",VLOOKUP(D2361, RECETTES!B:G, 6, FALSE)*E2361)</f>
        <v/>
      </c>
      <c r="J2361" s="8">
        <f>IF(G2361="","",G2361*0.20)</f>
        <v/>
      </c>
      <c r="K2361" s="8">
        <f>IF(G2361="","",G2361+J2361)</f>
        <v/>
      </c>
    </row>
    <row r="2362">
      <c r="F2362" s="8" t="n"/>
      <c r="G2362" s="8">
        <f>IF(E2362="","",E2362*F2362)</f>
        <v/>
      </c>
      <c r="H2362" s="8">
        <f>IF(G2362="","",G2362-I2362)</f>
        <v/>
      </c>
      <c r="I2362" s="8">
        <f>IF(D2362="","",VLOOKUP(D2362, RECETTES!B:G, 6, FALSE)*E2362)</f>
        <v/>
      </c>
      <c r="J2362" s="8">
        <f>IF(G2362="","",G2362*0.20)</f>
        <v/>
      </c>
      <c r="K2362" s="8">
        <f>IF(G2362="","",G2362+J2362)</f>
        <v/>
      </c>
    </row>
    <row r="2363">
      <c r="F2363" s="8" t="n"/>
      <c r="G2363" s="8">
        <f>IF(E2363="","",E2363*F2363)</f>
        <v/>
      </c>
      <c r="H2363" s="8">
        <f>IF(G2363="","",G2363-I2363)</f>
        <v/>
      </c>
      <c r="I2363" s="8">
        <f>IF(D2363="","",VLOOKUP(D2363, RECETTES!B:G, 6, FALSE)*E2363)</f>
        <v/>
      </c>
      <c r="J2363" s="8">
        <f>IF(G2363="","",G2363*0.20)</f>
        <v/>
      </c>
      <c r="K2363" s="8">
        <f>IF(G2363="","",G2363+J2363)</f>
        <v/>
      </c>
    </row>
    <row r="2364">
      <c r="F2364" s="8" t="n"/>
      <c r="G2364" s="8">
        <f>IF(E2364="","",E2364*F2364)</f>
        <v/>
      </c>
      <c r="H2364" s="8">
        <f>IF(G2364="","",G2364-I2364)</f>
        <v/>
      </c>
      <c r="I2364" s="8">
        <f>IF(D2364="","",VLOOKUP(D2364, RECETTES!B:G, 6, FALSE)*E2364)</f>
        <v/>
      </c>
      <c r="J2364" s="8">
        <f>IF(G2364="","",G2364*0.20)</f>
        <v/>
      </c>
      <c r="K2364" s="8">
        <f>IF(G2364="","",G2364+J2364)</f>
        <v/>
      </c>
    </row>
    <row r="2365">
      <c r="F2365" s="8" t="n"/>
      <c r="G2365" s="8">
        <f>IF(E2365="","",E2365*F2365)</f>
        <v/>
      </c>
      <c r="H2365" s="8">
        <f>IF(G2365="","",G2365-I2365)</f>
        <v/>
      </c>
      <c r="I2365" s="8">
        <f>IF(D2365="","",VLOOKUP(D2365, RECETTES!B:G, 6, FALSE)*E2365)</f>
        <v/>
      </c>
      <c r="J2365" s="8">
        <f>IF(G2365="","",G2365*0.20)</f>
        <v/>
      </c>
      <c r="K2365" s="8">
        <f>IF(G2365="","",G2365+J2365)</f>
        <v/>
      </c>
    </row>
    <row r="2366">
      <c r="F2366" s="8" t="n"/>
      <c r="G2366" s="8">
        <f>IF(E2366="","",E2366*F2366)</f>
        <v/>
      </c>
      <c r="H2366" s="8">
        <f>IF(G2366="","",G2366-I2366)</f>
        <v/>
      </c>
      <c r="I2366" s="8">
        <f>IF(D2366="","",VLOOKUP(D2366, RECETTES!B:G, 6, FALSE)*E2366)</f>
        <v/>
      </c>
      <c r="J2366" s="8">
        <f>IF(G2366="","",G2366*0.20)</f>
        <v/>
      </c>
      <c r="K2366" s="8">
        <f>IF(G2366="","",G2366+J2366)</f>
        <v/>
      </c>
    </row>
    <row r="2367">
      <c r="F2367" s="8" t="n"/>
      <c r="G2367" s="8">
        <f>IF(E2367="","",E2367*F2367)</f>
        <v/>
      </c>
      <c r="H2367" s="8">
        <f>IF(G2367="","",G2367-I2367)</f>
        <v/>
      </c>
      <c r="I2367" s="8">
        <f>IF(D2367="","",VLOOKUP(D2367, RECETTES!B:G, 6, FALSE)*E2367)</f>
        <v/>
      </c>
      <c r="J2367" s="8">
        <f>IF(G2367="","",G2367*0.20)</f>
        <v/>
      </c>
      <c r="K2367" s="8">
        <f>IF(G2367="","",G2367+J2367)</f>
        <v/>
      </c>
    </row>
    <row r="2368">
      <c r="F2368" s="8" t="n"/>
      <c r="G2368" s="8">
        <f>IF(E2368="","",E2368*F2368)</f>
        <v/>
      </c>
      <c r="H2368" s="8">
        <f>IF(G2368="","",G2368-I2368)</f>
        <v/>
      </c>
      <c r="I2368" s="8">
        <f>IF(D2368="","",VLOOKUP(D2368, RECETTES!B:G, 6, FALSE)*E2368)</f>
        <v/>
      </c>
      <c r="J2368" s="8">
        <f>IF(G2368="","",G2368*0.20)</f>
        <v/>
      </c>
      <c r="K2368" s="8">
        <f>IF(G2368="","",G2368+J2368)</f>
        <v/>
      </c>
    </row>
    <row r="2369">
      <c r="F2369" s="8" t="n"/>
      <c r="G2369" s="8">
        <f>IF(E2369="","",E2369*F2369)</f>
        <v/>
      </c>
      <c r="H2369" s="8">
        <f>IF(G2369="","",G2369-I2369)</f>
        <v/>
      </c>
      <c r="I2369" s="8">
        <f>IF(D2369="","",VLOOKUP(D2369, RECETTES!B:G, 6, FALSE)*E2369)</f>
        <v/>
      </c>
      <c r="J2369" s="8">
        <f>IF(G2369="","",G2369*0.20)</f>
        <v/>
      </c>
      <c r="K2369" s="8">
        <f>IF(G2369="","",G2369+J2369)</f>
        <v/>
      </c>
    </row>
    <row r="2370">
      <c r="F2370" s="8" t="n"/>
      <c r="G2370" s="8">
        <f>IF(E2370="","",E2370*F2370)</f>
        <v/>
      </c>
      <c r="H2370" s="8">
        <f>IF(G2370="","",G2370-I2370)</f>
        <v/>
      </c>
      <c r="I2370" s="8">
        <f>IF(D2370="","",VLOOKUP(D2370, RECETTES!B:G, 6, FALSE)*E2370)</f>
        <v/>
      </c>
      <c r="J2370" s="8">
        <f>IF(G2370="","",G2370*0.20)</f>
        <v/>
      </c>
      <c r="K2370" s="8">
        <f>IF(G2370="","",G2370+J2370)</f>
        <v/>
      </c>
    </row>
    <row r="2371">
      <c r="F2371" s="8" t="n"/>
      <c r="G2371" s="8">
        <f>IF(E2371="","",E2371*F2371)</f>
        <v/>
      </c>
      <c r="H2371" s="8">
        <f>IF(G2371="","",G2371-I2371)</f>
        <v/>
      </c>
      <c r="I2371" s="8">
        <f>IF(D2371="","",VLOOKUP(D2371, RECETTES!B:G, 6, FALSE)*E2371)</f>
        <v/>
      </c>
      <c r="J2371" s="8">
        <f>IF(G2371="","",G2371*0.20)</f>
        <v/>
      </c>
      <c r="K2371" s="8">
        <f>IF(G2371="","",G2371+J2371)</f>
        <v/>
      </c>
    </row>
    <row r="2372">
      <c r="F2372" s="8" t="n"/>
      <c r="G2372" s="8">
        <f>IF(E2372="","",E2372*F2372)</f>
        <v/>
      </c>
      <c r="H2372" s="8">
        <f>IF(G2372="","",G2372-I2372)</f>
        <v/>
      </c>
      <c r="I2372" s="8">
        <f>IF(D2372="","",VLOOKUP(D2372, RECETTES!B:G, 6, FALSE)*E2372)</f>
        <v/>
      </c>
      <c r="J2372" s="8">
        <f>IF(G2372="","",G2372*0.20)</f>
        <v/>
      </c>
      <c r="K2372" s="8">
        <f>IF(G2372="","",G2372+J2372)</f>
        <v/>
      </c>
    </row>
    <row r="2373">
      <c r="F2373" s="8" t="n"/>
      <c r="G2373" s="8">
        <f>IF(E2373="","",E2373*F2373)</f>
        <v/>
      </c>
      <c r="H2373" s="8">
        <f>IF(G2373="","",G2373-I2373)</f>
        <v/>
      </c>
      <c r="I2373" s="8">
        <f>IF(D2373="","",VLOOKUP(D2373, RECETTES!B:G, 6, FALSE)*E2373)</f>
        <v/>
      </c>
      <c r="J2373" s="8">
        <f>IF(G2373="","",G2373*0.20)</f>
        <v/>
      </c>
      <c r="K2373" s="8">
        <f>IF(G2373="","",G2373+J2373)</f>
        <v/>
      </c>
    </row>
    <row r="2374">
      <c r="F2374" s="8" t="n"/>
      <c r="G2374" s="8">
        <f>IF(E2374="","",E2374*F2374)</f>
        <v/>
      </c>
      <c r="H2374" s="8">
        <f>IF(G2374="","",G2374-I2374)</f>
        <v/>
      </c>
      <c r="I2374" s="8">
        <f>IF(D2374="","",VLOOKUP(D2374, RECETTES!B:G, 6, FALSE)*E2374)</f>
        <v/>
      </c>
      <c r="J2374" s="8">
        <f>IF(G2374="","",G2374*0.20)</f>
        <v/>
      </c>
      <c r="K2374" s="8">
        <f>IF(G2374="","",G2374+J2374)</f>
        <v/>
      </c>
    </row>
    <row r="2375">
      <c r="F2375" s="8" t="n"/>
      <c r="G2375" s="8">
        <f>IF(E2375="","",E2375*F2375)</f>
        <v/>
      </c>
      <c r="H2375" s="8">
        <f>IF(G2375="","",G2375-I2375)</f>
        <v/>
      </c>
      <c r="I2375" s="8">
        <f>IF(D2375="","",VLOOKUP(D2375, RECETTES!B:G, 6, FALSE)*E2375)</f>
        <v/>
      </c>
      <c r="J2375" s="8">
        <f>IF(G2375="","",G2375*0.20)</f>
        <v/>
      </c>
      <c r="K2375" s="8">
        <f>IF(G2375="","",G2375+J2375)</f>
        <v/>
      </c>
    </row>
    <row r="2376">
      <c r="F2376" s="8" t="n"/>
      <c r="G2376" s="8">
        <f>IF(E2376="","",E2376*F2376)</f>
        <v/>
      </c>
      <c r="H2376" s="8">
        <f>IF(G2376="","",G2376-I2376)</f>
        <v/>
      </c>
      <c r="I2376" s="8">
        <f>IF(D2376="","",VLOOKUP(D2376, RECETTES!B:G, 6, FALSE)*E2376)</f>
        <v/>
      </c>
      <c r="J2376" s="8">
        <f>IF(G2376="","",G2376*0.20)</f>
        <v/>
      </c>
      <c r="K2376" s="8">
        <f>IF(G2376="","",G2376+J2376)</f>
        <v/>
      </c>
    </row>
    <row r="2377">
      <c r="F2377" s="8" t="n"/>
      <c r="G2377" s="8">
        <f>IF(E2377="","",E2377*F2377)</f>
        <v/>
      </c>
      <c r="H2377" s="8">
        <f>IF(G2377="","",G2377-I2377)</f>
        <v/>
      </c>
      <c r="I2377" s="8">
        <f>IF(D2377="","",VLOOKUP(D2377, RECETTES!B:G, 6, FALSE)*E2377)</f>
        <v/>
      </c>
      <c r="J2377" s="8">
        <f>IF(G2377="","",G2377*0.20)</f>
        <v/>
      </c>
      <c r="K2377" s="8">
        <f>IF(G2377="","",G2377+J2377)</f>
        <v/>
      </c>
    </row>
    <row r="2378">
      <c r="F2378" s="8" t="n"/>
      <c r="G2378" s="8">
        <f>IF(E2378="","",E2378*F2378)</f>
        <v/>
      </c>
      <c r="H2378" s="8">
        <f>IF(G2378="","",G2378-I2378)</f>
        <v/>
      </c>
      <c r="I2378" s="8">
        <f>IF(D2378="","",VLOOKUP(D2378, RECETTES!B:G, 6, FALSE)*E2378)</f>
        <v/>
      </c>
      <c r="J2378" s="8">
        <f>IF(G2378="","",G2378*0.20)</f>
        <v/>
      </c>
      <c r="K2378" s="8">
        <f>IF(G2378="","",G2378+J2378)</f>
        <v/>
      </c>
    </row>
    <row r="2379">
      <c r="F2379" s="8" t="n"/>
      <c r="G2379" s="8">
        <f>IF(E2379="","",E2379*F2379)</f>
        <v/>
      </c>
      <c r="H2379" s="8">
        <f>IF(G2379="","",G2379-I2379)</f>
        <v/>
      </c>
      <c r="I2379" s="8">
        <f>IF(D2379="","",VLOOKUP(D2379, RECETTES!B:G, 6, FALSE)*E2379)</f>
        <v/>
      </c>
      <c r="J2379" s="8">
        <f>IF(G2379="","",G2379*0.20)</f>
        <v/>
      </c>
      <c r="K2379" s="8">
        <f>IF(G2379="","",G2379+J2379)</f>
        <v/>
      </c>
    </row>
    <row r="2380">
      <c r="F2380" s="8" t="n"/>
      <c r="G2380" s="8">
        <f>IF(E2380="","",E2380*F2380)</f>
        <v/>
      </c>
      <c r="H2380" s="8">
        <f>IF(G2380="","",G2380-I2380)</f>
        <v/>
      </c>
      <c r="I2380" s="8">
        <f>IF(D2380="","",VLOOKUP(D2380, RECETTES!B:G, 6, FALSE)*E2380)</f>
        <v/>
      </c>
      <c r="J2380" s="8">
        <f>IF(G2380="","",G2380*0.20)</f>
        <v/>
      </c>
      <c r="K2380" s="8">
        <f>IF(G2380="","",G2380+J2380)</f>
        <v/>
      </c>
    </row>
    <row r="2381">
      <c r="F2381" s="8" t="n"/>
      <c r="G2381" s="8">
        <f>IF(E2381="","",E2381*F2381)</f>
        <v/>
      </c>
      <c r="H2381" s="8">
        <f>IF(G2381="","",G2381-I2381)</f>
        <v/>
      </c>
      <c r="I2381" s="8">
        <f>IF(D2381="","",VLOOKUP(D2381, RECETTES!B:G, 6, FALSE)*E2381)</f>
        <v/>
      </c>
      <c r="J2381" s="8">
        <f>IF(G2381="","",G2381*0.20)</f>
        <v/>
      </c>
      <c r="K2381" s="8">
        <f>IF(G2381="","",G2381+J2381)</f>
        <v/>
      </c>
    </row>
    <row r="2382">
      <c r="F2382" s="8" t="n"/>
      <c r="G2382" s="8">
        <f>IF(E2382="","",E2382*F2382)</f>
        <v/>
      </c>
      <c r="H2382" s="8">
        <f>IF(G2382="","",G2382-I2382)</f>
        <v/>
      </c>
      <c r="I2382" s="8">
        <f>IF(D2382="","",VLOOKUP(D2382, RECETTES!B:G, 6, FALSE)*E2382)</f>
        <v/>
      </c>
      <c r="J2382" s="8">
        <f>IF(G2382="","",G2382*0.20)</f>
        <v/>
      </c>
      <c r="K2382" s="8">
        <f>IF(G2382="","",G2382+J2382)</f>
        <v/>
      </c>
    </row>
    <row r="2383">
      <c r="F2383" s="8" t="n"/>
      <c r="G2383" s="8">
        <f>IF(E2383="","",E2383*F2383)</f>
        <v/>
      </c>
      <c r="H2383" s="8">
        <f>IF(G2383="","",G2383-I2383)</f>
        <v/>
      </c>
      <c r="I2383" s="8">
        <f>IF(D2383="","",VLOOKUP(D2383, RECETTES!B:G, 6, FALSE)*E2383)</f>
        <v/>
      </c>
      <c r="J2383" s="8">
        <f>IF(G2383="","",G2383*0.20)</f>
        <v/>
      </c>
      <c r="K2383" s="8">
        <f>IF(G2383="","",G2383+J2383)</f>
        <v/>
      </c>
    </row>
    <row r="2384">
      <c r="F2384" s="8" t="n"/>
      <c r="G2384" s="8">
        <f>IF(E2384="","",E2384*F2384)</f>
        <v/>
      </c>
      <c r="H2384" s="8">
        <f>IF(G2384="","",G2384-I2384)</f>
        <v/>
      </c>
      <c r="I2384" s="8">
        <f>IF(D2384="","",VLOOKUP(D2384, RECETTES!B:G, 6, FALSE)*E2384)</f>
        <v/>
      </c>
      <c r="J2384" s="8">
        <f>IF(G2384="","",G2384*0.20)</f>
        <v/>
      </c>
      <c r="K2384" s="8">
        <f>IF(G2384="","",G2384+J2384)</f>
        <v/>
      </c>
    </row>
    <row r="2385">
      <c r="F2385" s="8" t="n"/>
      <c r="G2385" s="8">
        <f>IF(E2385="","",E2385*F2385)</f>
        <v/>
      </c>
      <c r="H2385" s="8">
        <f>IF(G2385="","",G2385-I2385)</f>
        <v/>
      </c>
      <c r="I2385" s="8">
        <f>IF(D2385="","",VLOOKUP(D2385, RECETTES!B:G, 6, FALSE)*E2385)</f>
        <v/>
      </c>
      <c r="J2385" s="8">
        <f>IF(G2385="","",G2385*0.20)</f>
        <v/>
      </c>
      <c r="K2385" s="8">
        <f>IF(G2385="","",G2385+J2385)</f>
        <v/>
      </c>
    </row>
    <row r="2386">
      <c r="F2386" s="8" t="n"/>
      <c r="G2386" s="8">
        <f>IF(E2386="","",E2386*F2386)</f>
        <v/>
      </c>
      <c r="H2386" s="8">
        <f>IF(G2386="","",G2386-I2386)</f>
        <v/>
      </c>
      <c r="I2386" s="8">
        <f>IF(D2386="","",VLOOKUP(D2386, RECETTES!B:G, 6, FALSE)*E2386)</f>
        <v/>
      </c>
      <c r="J2386" s="8">
        <f>IF(G2386="","",G2386*0.20)</f>
        <v/>
      </c>
      <c r="K2386" s="8">
        <f>IF(G2386="","",G2386+J2386)</f>
        <v/>
      </c>
    </row>
    <row r="2387">
      <c r="F2387" s="8" t="n"/>
      <c r="G2387" s="8">
        <f>IF(E2387="","",E2387*F2387)</f>
        <v/>
      </c>
      <c r="H2387" s="8">
        <f>IF(G2387="","",G2387-I2387)</f>
        <v/>
      </c>
      <c r="I2387" s="8">
        <f>IF(D2387="","",VLOOKUP(D2387, RECETTES!B:G, 6, FALSE)*E2387)</f>
        <v/>
      </c>
      <c r="J2387" s="8">
        <f>IF(G2387="","",G2387*0.20)</f>
        <v/>
      </c>
      <c r="K2387" s="8">
        <f>IF(G2387="","",G2387+J2387)</f>
        <v/>
      </c>
    </row>
    <row r="2388">
      <c r="F2388" s="8" t="n"/>
      <c r="G2388" s="8">
        <f>IF(E2388="","",E2388*F2388)</f>
        <v/>
      </c>
      <c r="H2388" s="8">
        <f>IF(G2388="","",G2388-I2388)</f>
        <v/>
      </c>
      <c r="I2388" s="8">
        <f>IF(D2388="","",VLOOKUP(D2388, RECETTES!B:G, 6, FALSE)*E2388)</f>
        <v/>
      </c>
      <c r="J2388" s="8">
        <f>IF(G2388="","",G2388*0.20)</f>
        <v/>
      </c>
      <c r="K2388" s="8">
        <f>IF(G2388="","",G2388+J2388)</f>
        <v/>
      </c>
    </row>
    <row r="2389">
      <c r="F2389" s="8" t="n"/>
      <c r="G2389" s="8">
        <f>IF(E2389="","",E2389*F2389)</f>
        <v/>
      </c>
      <c r="H2389" s="8">
        <f>IF(G2389="","",G2389-I2389)</f>
        <v/>
      </c>
      <c r="I2389" s="8">
        <f>IF(D2389="","",VLOOKUP(D2389, RECETTES!B:G, 6, FALSE)*E2389)</f>
        <v/>
      </c>
      <c r="J2389" s="8">
        <f>IF(G2389="","",G2389*0.20)</f>
        <v/>
      </c>
      <c r="K2389" s="8">
        <f>IF(G2389="","",G2389+J2389)</f>
        <v/>
      </c>
    </row>
    <row r="2390">
      <c r="F2390" s="8" t="n"/>
      <c r="G2390" s="8">
        <f>IF(E2390="","",E2390*F2390)</f>
        <v/>
      </c>
      <c r="H2390" s="8">
        <f>IF(G2390="","",G2390-I2390)</f>
        <v/>
      </c>
      <c r="I2390" s="8">
        <f>IF(D2390="","",VLOOKUP(D2390, RECETTES!B:G, 6, FALSE)*E2390)</f>
        <v/>
      </c>
      <c r="J2390" s="8">
        <f>IF(G2390="","",G2390*0.20)</f>
        <v/>
      </c>
      <c r="K2390" s="8">
        <f>IF(G2390="","",G2390+J2390)</f>
        <v/>
      </c>
    </row>
    <row r="2391">
      <c r="F2391" s="8" t="n"/>
      <c r="G2391" s="8">
        <f>IF(E2391="","",E2391*F2391)</f>
        <v/>
      </c>
      <c r="H2391" s="8">
        <f>IF(G2391="","",G2391-I2391)</f>
        <v/>
      </c>
      <c r="I2391" s="8">
        <f>IF(D2391="","",VLOOKUP(D2391, RECETTES!B:G, 6, FALSE)*E2391)</f>
        <v/>
      </c>
      <c r="J2391" s="8">
        <f>IF(G2391="","",G2391*0.20)</f>
        <v/>
      </c>
      <c r="K2391" s="8">
        <f>IF(G2391="","",G2391+J2391)</f>
        <v/>
      </c>
    </row>
    <row r="2392">
      <c r="F2392" s="8" t="n"/>
      <c r="G2392" s="8">
        <f>IF(E2392="","",E2392*F2392)</f>
        <v/>
      </c>
      <c r="H2392" s="8">
        <f>IF(G2392="","",G2392-I2392)</f>
        <v/>
      </c>
      <c r="I2392" s="8">
        <f>IF(D2392="","",VLOOKUP(D2392, RECETTES!B:G, 6, FALSE)*E2392)</f>
        <v/>
      </c>
      <c r="J2392" s="8">
        <f>IF(G2392="","",G2392*0.20)</f>
        <v/>
      </c>
      <c r="K2392" s="8">
        <f>IF(G2392="","",G2392+J2392)</f>
        <v/>
      </c>
    </row>
    <row r="2393">
      <c r="F2393" s="8" t="n"/>
      <c r="G2393" s="8">
        <f>IF(E2393="","",E2393*F2393)</f>
        <v/>
      </c>
      <c r="H2393" s="8">
        <f>IF(G2393="","",G2393-I2393)</f>
        <v/>
      </c>
      <c r="I2393" s="8">
        <f>IF(D2393="","",VLOOKUP(D2393, RECETTES!B:G, 6, FALSE)*E2393)</f>
        <v/>
      </c>
      <c r="J2393" s="8">
        <f>IF(G2393="","",G2393*0.20)</f>
        <v/>
      </c>
      <c r="K2393" s="8">
        <f>IF(G2393="","",G2393+J2393)</f>
        <v/>
      </c>
    </row>
    <row r="2394">
      <c r="F2394" s="8" t="n"/>
      <c r="G2394" s="8">
        <f>IF(E2394="","",E2394*F2394)</f>
        <v/>
      </c>
      <c r="H2394" s="8">
        <f>IF(G2394="","",G2394-I2394)</f>
        <v/>
      </c>
      <c r="I2394" s="8">
        <f>IF(D2394="","",VLOOKUP(D2394, RECETTES!B:G, 6, FALSE)*E2394)</f>
        <v/>
      </c>
      <c r="J2394" s="8">
        <f>IF(G2394="","",G2394*0.20)</f>
        <v/>
      </c>
      <c r="K2394" s="8">
        <f>IF(G2394="","",G2394+J2394)</f>
        <v/>
      </c>
    </row>
    <row r="2395">
      <c r="F2395" s="8" t="n"/>
      <c r="G2395" s="8">
        <f>IF(E2395="","",E2395*F2395)</f>
        <v/>
      </c>
      <c r="H2395" s="8">
        <f>IF(G2395="","",G2395-I2395)</f>
        <v/>
      </c>
      <c r="I2395" s="8">
        <f>IF(D2395="","",VLOOKUP(D2395, RECETTES!B:G, 6, FALSE)*E2395)</f>
        <v/>
      </c>
      <c r="J2395" s="8">
        <f>IF(G2395="","",G2395*0.20)</f>
        <v/>
      </c>
      <c r="K2395" s="8">
        <f>IF(G2395="","",G2395+J2395)</f>
        <v/>
      </c>
    </row>
    <row r="2396">
      <c r="F2396" s="8" t="n"/>
      <c r="G2396" s="8">
        <f>IF(E2396="","",E2396*F2396)</f>
        <v/>
      </c>
      <c r="H2396" s="8">
        <f>IF(G2396="","",G2396-I2396)</f>
        <v/>
      </c>
      <c r="I2396" s="8">
        <f>IF(D2396="","",VLOOKUP(D2396, RECETTES!B:G, 6, FALSE)*E2396)</f>
        <v/>
      </c>
      <c r="J2396" s="8">
        <f>IF(G2396="","",G2396*0.20)</f>
        <v/>
      </c>
      <c r="K2396" s="8">
        <f>IF(G2396="","",G2396+J2396)</f>
        <v/>
      </c>
    </row>
    <row r="2397">
      <c r="F2397" s="8" t="n"/>
      <c r="G2397" s="8">
        <f>IF(E2397="","",E2397*F2397)</f>
        <v/>
      </c>
      <c r="H2397" s="8">
        <f>IF(G2397="","",G2397-I2397)</f>
        <v/>
      </c>
      <c r="I2397" s="8">
        <f>IF(D2397="","",VLOOKUP(D2397, RECETTES!B:G, 6, FALSE)*E2397)</f>
        <v/>
      </c>
      <c r="J2397" s="8">
        <f>IF(G2397="","",G2397*0.20)</f>
        <v/>
      </c>
      <c r="K2397" s="8">
        <f>IF(G2397="","",G2397+J2397)</f>
        <v/>
      </c>
    </row>
    <row r="2398">
      <c r="F2398" s="8" t="n"/>
      <c r="G2398" s="8">
        <f>IF(E2398="","",E2398*F2398)</f>
        <v/>
      </c>
      <c r="H2398" s="8">
        <f>IF(G2398="","",G2398-I2398)</f>
        <v/>
      </c>
      <c r="I2398" s="8">
        <f>IF(D2398="","",VLOOKUP(D2398, RECETTES!B:G, 6, FALSE)*E2398)</f>
        <v/>
      </c>
      <c r="J2398" s="8">
        <f>IF(G2398="","",G2398*0.20)</f>
        <v/>
      </c>
      <c r="K2398" s="8">
        <f>IF(G2398="","",G2398+J2398)</f>
        <v/>
      </c>
    </row>
    <row r="2399">
      <c r="F2399" s="8" t="n"/>
      <c r="G2399" s="8">
        <f>IF(E2399="","",E2399*F2399)</f>
        <v/>
      </c>
      <c r="H2399" s="8">
        <f>IF(G2399="","",G2399-I2399)</f>
        <v/>
      </c>
      <c r="I2399" s="8">
        <f>IF(D2399="","",VLOOKUP(D2399, RECETTES!B:G, 6, FALSE)*E2399)</f>
        <v/>
      </c>
      <c r="J2399" s="8">
        <f>IF(G2399="","",G2399*0.20)</f>
        <v/>
      </c>
      <c r="K2399" s="8">
        <f>IF(G2399="","",G2399+J2399)</f>
        <v/>
      </c>
    </row>
    <row r="2400">
      <c r="F2400" s="8" t="n"/>
      <c r="G2400" s="8">
        <f>IF(E2400="","",E2400*F2400)</f>
        <v/>
      </c>
      <c r="H2400" s="8">
        <f>IF(G2400="","",G2400-I2400)</f>
        <v/>
      </c>
      <c r="I2400" s="8">
        <f>IF(D2400="","",VLOOKUP(D2400, RECETTES!B:G, 6, FALSE)*E2400)</f>
        <v/>
      </c>
      <c r="J2400" s="8">
        <f>IF(G2400="","",G2400*0.20)</f>
        <v/>
      </c>
      <c r="K2400" s="8">
        <f>IF(G2400="","",G2400+J2400)</f>
        <v/>
      </c>
    </row>
    <row r="2401">
      <c r="F2401" s="8" t="n"/>
      <c r="G2401" s="8">
        <f>IF(E2401="","",E2401*F2401)</f>
        <v/>
      </c>
      <c r="H2401" s="8">
        <f>IF(G2401="","",G2401-I2401)</f>
        <v/>
      </c>
      <c r="I2401" s="8">
        <f>IF(D2401="","",VLOOKUP(D2401, RECETTES!B:G, 6, FALSE)*E2401)</f>
        <v/>
      </c>
      <c r="J2401" s="8">
        <f>IF(G2401="","",G2401*0.20)</f>
        <v/>
      </c>
      <c r="K2401" s="8">
        <f>IF(G2401="","",G2401+J2401)</f>
        <v/>
      </c>
    </row>
    <row r="2402">
      <c r="F2402" s="8" t="n"/>
      <c r="G2402" s="8">
        <f>IF(E2402="","",E2402*F2402)</f>
        <v/>
      </c>
      <c r="H2402" s="8">
        <f>IF(G2402="","",G2402-I2402)</f>
        <v/>
      </c>
      <c r="I2402" s="8">
        <f>IF(D2402="","",VLOOKUP(D2402, RECETTES!B:G, 6, FALSE)*E2402)</f>
        <v/>
      </c>
      <c r="J2402" s="8">
        <f>IF(G2402="","",G2402*0.20)</f>
        <v/>
      </c>
      <c r="K2402" s="8">
        <f>IF(G2402="","",G2402+J2402)</f>
        <v/>
      </c>
    </row>
    <row r="2403">
      <c r="F2403" s="8" t="n"/>
      <c r="G2403" s="8">
        <f>IF(E2403="","",E2403*F2403)</f>
        <v/>
      </c>
      <c r="H2403" s="8">
        <f>IF(G2403="","",G2403-I2403)</f>
        <v/>
      </c>
      <c r="I2403" s="8">
        <f>IF(D2403="","",VLOOKUP(D2403, RECETTES!B:G, 6, FALSE)*E2403)</f>
        <v/>
      </c>
      <c r="J2403" s="8">
        <f>IF(G2403="","",G2403*0.20)</f>
        <v/>
      </c>
      <c r="K2403" s="8">
        <f>IF(G2403="","",G2403+J2403)</f>
        <v/>
      </c>
    </row>
    <row r="2404">
      <c r="F2404" s="8" t="n"/>
      <c r="G2404" s="8">
        <f>IF(E2404="","",E2404*F2404)</f>
        <v/>
      </c>
      <c r="H2404" s="8">
        <f>IF(G2404="","",G2404-I2404)</f>
        <v/>
      </c>
      <c r="I2404" s="8">
        <f>IF(D2404="","",VLOOKUP(D2404, RECETTES!B:G, 6, FALSE)*E2404)</f>
        <v/>
      </c>
      <c r="J2404" s="8">
        <f>IF(G2404="","",G2404*0.20)</f>
        <v/>
      </c>
      <c r="K2404" s="8">
        <f>IF(G2404="","",G2404+J2404)</f>
        <v/>
      </c>
    </row>
    <row r="2405">
      <c r="F2405" s="8" t="n"/>
      <c r="G2405" s="8">
        <f>IF(E2405="","",E2405*F2405)</f>
        <v/>
      </c>
      <c r="H2405" s="8">
        <f>IF(G2405="","",G2405-I2405)</f>
        <v/>
      </c>
      <c r="I2405" s="8">
        <f>IF(D2405="","",VLOOKUP(D2405, RECETTES!B:G, 6, FALSE)*E2405)</f>
        <v/>
      </c>
      <c r="J2405" s="8">
        <f>IF(G2405="","",G2405*0.20)</f>
        <v/>
      </c>
      <c r="K2405" s="8">
        <f>IF(G2405="","",G2405+J2405)</f>
        <v/>
      </c>
    </row>
    <row r="2406">
      <c r="F2406" s="8" t="n"/>
      <c r="G2406" s="8">
        <f>IF(E2406="","",E2406*F2406)</f>
        <v/>
      </c>
      <c r="H2406" s="8">
        <f>IF(G2406="","",G2406-I2406)</f>
        <v/>
      </c>
      <c r="I2406" s="8">
        <f>IF(D2406="","",VLOOKUP(D2406, RECETTES!B:G, 6, FALSE)*E2406)</f>
        <v/>
      </c>
      <c r="J2406" s="8">
        <f>IF(G2406="","",G2406*0.20)</f>
        <v/>
      </c>
      <c r="K2406" s="8">
        <f>IF(G2406="","",G2406+J2406)</f>
        <v/>
      </c>
    </row>
    <row r="2407">
      <c r="F2407" s="8" t="n"/>
      <c r="G2407" s="8">
        <f>IF(E2407="","",E2407*F2407)</f>
        <v/>
      </c>
      <c r="H2407" s="8">
        <f>IF(G2407="","",G2407-I2407)</f>
        <v/>
      </c>
      <c r="I2407" s="8">
        <f>IF(D2407="","",VLOOKUP(D2407, RECETTES!B:G, 6, FALSE)*E2407)</f>
        <v/>
      </c>
      <c r="J2407" s="8">
        <f>IF(G2407="","",G2407*0.20)</f>
        <v/>
      </c>
      <c r="K2407" s="8">
        <f>IF(G2407="","",G2407+J2407)</f>
        <v/>
      </c>
    </row>
    <row r="2408">
      <c r="F2408" s="8" t="n"/>
      <c r="G2408" s="8">
        <f>IF(E2408="","",E2408*F2408)</f>
        <v/>
      </c>
      <c r="H2408" s="8">
        <f>IF(G2408="","",G2408-I2408)</f>
        <v/>
      </c>
      <c r="I2408" s="8">
        <f>IF(D2408="","",VLOOKUP(D2408, RECETTES!B:G, 6, FALSE)*E2408)</f>
        <v/>
      </c>
      <c r="J2408" s="8">
        <f>IF(G2408="","",G2408*0.20)</f>
        <v/>
      </c>
      <c r="K2408" s="8">
        <f>IF(G2408="","",G2408+J2408)</f>
        <v/>
      </c>
    </row>
    <row r="2409">
      <c r="F2409" s="8" t="n"/>
      <c r="G2409" s="8">
        <f>IF(E2409="","",E2409*F2409)</f>
        <v/>
      </c>
      <c r="H2409" s="8">
        <f>IF(G2409="","",G2409-I2409)</f>
        <v/>
      </c>
      <c r="I2409" s="8">
        <f>IF(D2409="","",VLOOKUP(D2409, RECETTES!B:G, 6, FALSE)*E2409)</f>
        <v/>
      </c>
      <c r="J2409" s="8">
        <f>IF(G2409="","",G2409*0.20)</f>
        <v/>
      </c>
      <c r="K2409" s="8">
        <f>IF(G2409="","",G2409+J2409)</f>
        <v/>
      </c>
    </row>
    <row r="2410">
      <c r="F2410" s="8" t="n"/>
      <c r="G2410" s="8">
        <f>IF(E2410="","",E2410*F2410)</f>
        <v/>
      </c>
      <c r="H2410" s="8">
        <f>IF(G2410="","",G2410-I2410)</f>
        <v/>
      </c>
      <c r="I2410" s="8">
        <f>IF(D2410="","",VLOOKUP(D2410, RECETTES!B:G, 6, FALSE)*E2410)</f>
        <v/>
      </c>
      <c r="J2410" s="8">
        <f>IF(G2410="","",G2410*0.20)</f>
        <v/>
      </c>
      <c r="K2410" s="8">
        <f>IF(G2410="","",G2410+J2410)</f>
        <v/>
      </c>
    </row>
    <row r="2411">
      <c r="F2411" s="8" t="n"/>
      <c r="G2411" s="8">
        <f>IF(E2411="","",E2411*F2411)</f>
        <v/>
      </c>
      <c r="H2411" s="8">
        <f>IF(G2411="","",G2411-I2411)</f>
        <v/>
      </c>
      <c r="I2411" s="8">
        <f>IF(D2411="","",VLOOKUP(D2411, RECETTES!B:G, 6, FALSE)*E2411)</f>
        <v/>
      </c>
      <c r="J2411" s="8">
        <f>IF(G2411="","",G2411*0.20)</f>
        <v/>
      </c>
      <c r="K2411" s="8">
        <f>IF(G2411="","",G2411+J2411)</f>
        <v/>
      </c>
    </row>
    <row r="2412">
      <c r="F2412" s="8" t="n"/>
      <c r="G2412" s="8">
        <f>IF(E2412="","",E2412*F2412)</f>
        <v/>
      </c>
      <c r="H2412" s="8">
        <f>IF(G2412="","",G2412-I2412)</f>
        <v/>
      </c>
      <c r="I2412" s="8">
        <f>IF(D2412="","",VLOOKUP(D2412, RECETTES!B:G, 6, FALSE)*E2412)</f>
        <v/>
      </c>
      <c r="J2412" s="8">
        <f>IF(G2412="","",G2412*0.20)</f>
        <v/>
      </c>
      <c r="K2412" s="8">
        <f>IF(G2412="","",G2412+J2412)</f>
        <v/>
      </c>
    </row>
    <row r="2413">
      <c r="F2413" s="8" t="n"/>
      <c r="G2413" s="8">
        <f>IF(E2413="","",E2413*F2413)</f>
        <v/>
      </c>
      <c r="H2413" s="8">
        <f>IF(G2413="","",G2413-I2413)</f>
        <v/>
      </c>
      <c r="I2413" s="8">
        <f>IF(D2413="","",VLOOKUP(D2413, RECETTES!B:G, 6, FALSE)*E2413)</f>
        <v/>
      </c>
      <c r="J2413" s="8">
        <f>IF(G2413="","",G2413*0.20)</f>
        <v/>
      </c>
      <c r="K2413" s="8">
        <f>IF(G2413="","",G2413+J2413)</f>
        <v/>
      </c>
    </row>
    <row r="2414">
      <c r="F2414" s="8" t="n"/>
      <c r="G2414" s="8">
        <f>IF(E2414="","",E2414*F2414)</f>
        <v/>
      </c>
      <c r="H2414" s="8">
        <f>IF(G2414="","",G2414-I2414)</f>
        <v/>
      </c>
      <c r="I2414" s="8">
        <f>IF(D2414="","",VLOOKUP(D2414, RECETTES!B:G, 6, FALSE)*E2414)</f>
        <v/>
      </c>
      <c r="J2414" s="8">
        <f>IF(G2414="","",G2414*0.20)</f>
        <v/>
      </c>
      <c r="K2414" s="8">
        <f>IF(G2414="","",G2414+J2414)</f>
        <v/>
      </c>
    </row>
    <row r="2415">
      <c r="F2415" s="8" t="n"/>
      <c r="G2415" s="8">
        <f>IF(E2415="","",E2415*F2415)</f>
        <v/>
      </c>
      <c r="H2415" s="8">
        <f>IF(G2415="","",G2415-I2415)</f>
        <v/>
      </c>
      <c r="I2415" s="8">
        <f>IF(D2415="","",VLOOKUP(D2415, RECETTES!B:G, 6, FALSE)*E2415)</f>
        <v/>
      </c>
      <c r="J2415" s="8">
        <f>IF(G2415="","",G2415*0.20)</f>
        <v/>
      </c>
      <c r="K2415" s="8">
        <f>IF(G2415="","",G2415+J2415)</f>
        <v/>
      </c>
    </row>
    <row r="2416">
      <c r="F2416" s="8" t="n"/>
      <c r="G2416" s="8">
        <f>IF(E2416="","",E2416*F2416)</f>
        <v/>
      </c>
      <c r="H2416" s="8">
        <f>IF(G2416="","",G2416-I2416)</f>
        <v/>
      </c>
      <c r="I2416" s="8">
        <f>IF(D2416="","",VLOOKUP(D2416, RECETTES!B:G, 6, FALSE)*E2416)</f>
        <v/>
      </c>
      <c r="J2416" s="8">
        <f>IF(G2416="","",G2416*0.20)</f>
        <v/>
      </c>
      <c r="K2416" s="8">
        <f>IF(G2416="","",G2416+J2416)</f>
        <v/>
      </c>
    </row>
    <row r="2417">
      <c r="F2417" s="8" t="n"/>
      <c r="G2417" s="8">
        <f>IF(E2417="","",E2417*F2417)</f>
        <v/>
      </c>
      <c r="H2417" s="8">
        <f>IF(G2417="","",G2417-I2417)</f>
        <v/>
      </c>
      <c r="I2417" s="8">
        <f>IF(D2417="","",VLOOKUP(D2417, RECETTES!B:G, 6, FALSE)*E2417)</f>
        <v/>
      </c>
      <c r="J2417" s="8">
        <f>IF(G2417="","",G2417*0.20)</f>
        <v/>
      </c>
      <c r="K2417" s="8">
        <f>IF(G2417="","",G2417+J2417)</f>
        <v/>
      </c>
    </row>
    <row r="2418">
      <c r="F2418" s="8" t="n"/>
      <c r="G2418" s="8">
        <f>IF(E2418="","",E2418*F2418)</f>
        <v/>
      </c>
      <c r="H2418" s="8">
        <f>IF(G2418="","",G2418-I2418)</f>
        <v/>
      </c>
      <c r="I2418" s="8">
        <f>IF(D2418="","",VLOOKUP(D2418, RECETTES!B:G, 6, FALSE)*E2418)</f>
        <v/>
      </c>
      <c r="J2418" s="8">
        <f>IF(G2418="","",G2418*0.20)</f>
        <v/>
      </c>
      <c r="K2418" s="8">
        <f>IF(G2418="","",G2418+J2418)</f>
        <v/>
      </c>
    </row>
    <row r="2419">
      <c r="F2419" s="8" t="n"/>
      <c r="G2419" s="8">
        <f>IF(E2419="","",E2419*F2419)</f>
        <v/>
      </c>
      <c r="H2419" s="8">
        <f>IF(G2419="","",G2419-I2419)</f>
        <v/>
      </c>
      <c r="I2419" s="8">
        <f>IF(D2419="","",VLOOKUP(D2419, RECETTES!B:G, 6, FALSE)*E2419)</f>
        <v/>
      </c>
      <c r="J2419" s="8">
        <f>IF(G2419="","",G2419*0.20)</f>
        <v/>
      </c>
      <c r="K2419" s="8">
        <f>IF(G2419="","",G2419+J2419)</f>
        <v/>
      </c>
    </row>
    <row r="2420">
      <c r="F2420" s="8" t="n"/>
      <c r="G2420" s="8">
        <f>IF(E2420="","",E2420*F2420)</f>
        <v/>
      </c>
      <c r="H2420" s="8">
        <f>IF(G2420="","",G2420-I2420)</f>
        <v/>
      </c>
      <c r="I2420" s="8">
        <f>IF(D2420="","",VLOOKUP(D2420, RECETTES!B:G, 6, FALSE)*E2420)</f>
        <v/>
      </c>
      <c r="J2420" s="8">
        <f>IF(G2420="","",G2420*0.20)</f>
        <v/>
      </c>
      <c r="K2420" s="8">
        <f>IF(G2420="","",G2420+J2420)</f>
        <v/>
      </c>
    </row>
    <row r="2421">
      <c r="F2421" s="8" t="n"/>
      <c r="G2421" s="8">
        <f>IF(E2421="","",E2421*F2421)</f>
        <v/>
      </c>
      <c r="H2421" s="8">
        <f>IF(G2421="","",G2421-I2421)</f>
        <v/>
      </c>
      <c r="I2421" s="8">
        <f>IF(D2421="","",VLOOKUP(D2421, RECETTES!B:G, 6, FALSE)*E2421)</f>
        <v/>
      </c>
      <c r="J2421" s="8">
        <f>IF(G2421="","",G2421*0.20)</f>
        <v/>
      </c>
      <c r="K2421" s="8">
        <f>IF(G2421="","",G2421+J2421)</f>
        <v/>
      </c>
    </row>
    <row r="2422">
      <c r="F2422" s="8" t="n"/>
      <c r="G2422" s="8">
        <f>IF(E2422="","",E2422*F2422)</f>
        <v/>
      </c>
      <c r="H2422" s="8">
        <f>IF(G2422="","",G2422-I2422)</f>
        <v/>
      </c>
      <c r="I2422" s="8">
        <f>IF(D2422="","",VLOOKUP(D2422, RECETTES!B:G, 6, FALSE)*E2422)</f>
        <v/>
      </c>
      <c r="J2422" s="8">
        <f>IF(G2422="","",G2422*0.20)</f>
        <v/>
      </c>
      <c r="K2422" s="8">
        <f>IF(G2422="","",G2422+J2422)</f>
        <v/>
      </c>
    </row>
    <row r="2423">
      <c r="F2423" s="8" t="n"/>
      <c r="G2423" s="8">
        <f>IF(E2423="","",E2423*F2423)</f>
        <v/>
      </c>
      <c r="H2423" s="8">
        <f>IF(G2423="","",G2423-I2423)</f>
        <v/>
      </c>
      <c r="I2423" s="8">
        <f>IF(D2423="","",VLOOKUP(D2423, RECETTES!B:G, 6, FALSE)*E2423)</f>
        <v/>
      </c>
      <c r="J2423" s="8">
        <f>IF(G2423="","",G2423*0.20)</f>
        <v/>
      </c>
      <c r="K2423" s="8">
        <f>IF(G2423="","",G2423+J2423)</f>
        <v/>
      </c>
    </row>
    <row r="2424">
      <c r="F2424" s="8" t="n"/>
      <c r="G2424" s="8">
        <f>IF(E2424="","",E2424*F2424)</f>
        <v/>
      </c>
      <c r="H2424" s="8">
        <f>IF(G2424="","",G2424-I2424)</f>
        <v/>
      </c>
      <c r="I2424" s="8">
        <f>IF(D2424="","",VLOOKUP(D2424, RECETTES!B:G, 6, FALSE)*E2424)</f>
        <v/>
      </c>
      <c r="J2424" s="8">
        <f>IF(G2424="","",G2424*0.20)</f>
        <v/>
      </c>
      <c r="K2424" s="8">
        <f>IF(G2424="","",G2424+J2424)</f>
        <v/>
      </c>
    </row>
    <row r="2425">
      <c r="F2425" s="8" t="n"/>
      <c r="G2425" s="8">
        <f>IF(E2425="","",E2425*F2425)</f>
        <v/>
      </c>
      <c r="H2425" s="8">
        <f>IF(G2425="","",G2425-I2425)</f>
        <v/>
      </c>
      <c r="I2425" s="8">
        <f>IF(D2425="","",VLOOKUP(D2425, RECETTES!B:G, 6, FALSE)*E2425)</f>
        <v/>
      </c>
      <c r="J2425" s="8">
        <f>IF(G2425="","",G2425*0.20)</f>
        <v/>
      </c>
      <c r="K2425" s="8">
        <f>IF(G2425="","",G2425+J2425)</f>
        <v/>
      </c>
    </row>
    <row r="2426">
      <c r="F2426" s="8" t="n"/>
      <c r="G2426" s="8">
        <f>IF(E2426="","",E2426*F2426)</f>
        <v/>
      </c>
      <c r="H2426" s="8">
        <f>IF(G2426="","",G2426-I2426)</f>
        <v/>
      </c>
      <c r="I2426" s="8">
        <f>IF(D2426="","",VLOOKUP(D2426, RECETTES!B:G, 6, FALSE)*E2426)</f>
        <v/>
      </c>
      <c r="J2426" s="8">
        <f>IF(G2426="","",G2426*0.20)</f>
        <v/>
      </c>
      <c r="K2426" s="8">
        <f>IF(G2426="","",G2426+J2426)</f>
        <v/>
      </c>
    </row>
    <row r="2427">
      <c r="F2427" s="8" t="n"/>
      <c r="G2427" s="8">
        <f>IF(E2427="","",E2427*F2427)</f>
        <v/>
      </c>
      <c r="H2427" s="8">
        <f>IF(G2427="","",G2427-I2427)</f>
        <v/>
      </c>
      <c r="I2427" s="8">
        <f>IF(D2427="","",VLOOKUP(D2427, RECETTES!B:G, 6, FALSE)*E2427)</f>
        <v/>
      </c>
      <c r="J2427" s="8">
        <f>IF(G2427="","",G2427*0.20)</f>
        <v/>
      </c>
      <c r="K2427" s="8">
        <f>IF(G2427="","",G2427+J2427)</f>
        <v/>
      </c>
    </row>
    <row r="2428">
      <c r="F2428" s="8" t="n"/>
      <c r="G2428" s="8">
        <f>IF(E2428="","",E2428*F2428)</f>
        <v/>
      </c>
      <c r="H2428" s="8">
        <f>IF(G2428="","",G2428-I2428)</f>
        <v/>
      </c>
      <c r="I2428" s="8">
        <f>IF(D2428="","",VLOOKUP(D2428, RECETTES!B:G, 6, FALSE)*E2428)</f>
        <v/>
      </c>
      <c r="J2428" s="8">
        <f>IF(G2428="","",G2428*0.20)</f>
        <v/>
      </c>
      <c r="K2428" s="8">
        <f>IF(G2428="","",G2428+J2428)</f>
        <v/>
      </c>
    </row>
    <row r="2429">
      <c r="F2429" s="8" t="n"/>
      <c r="G2429" s="8">
        <f>IF(E2429="","",E2429*F2429)</f>
        <v/>
      </c>
      <c r="H2429" s="8">
        <f>IF(G2429="","",G2429-I2429)</f>
        <v/>
      </c>
      <c r="I2429" s="8">
        <f>IF(D2429="","",VLOOKUP(D2429, RECETTES!B:G, 6, FALSE)*E2429)</f>
        <v/>
      </c>
      <c r="J2429" s="8">
        <f>IF(G2429="","",G2429*0.20)</f>
        <v/>
      </c>
      <c r="K2429" s="8">
        <f>IF(G2429="","",G2429+J2429)</f>
        <v/>
      </c>
    </row>
    <row r="2430">
      <c r="F2430" s="8" t="n"/>
      <c r="G2430" s="8">
        <f>IF(E2430="","",E2430*F2430)</f>
        <v/>
      </c>
      <c r="H2430" s="8">
        <f>IF(G2430="","",G2430-I2430)</f>
        <v/>
      </c>
      <c r="I2430" s="8">
        <f>IF(D2430="","",VLOOKUP(D2430, RECETTES!B:G, 6, FALSE)*E2430)</f>
        <v/>
      </c>
      <c r="J2430" s="8">
        <f>IF(G2430="","",G2430*0.20)</f>
        <v/>
      </c>
      <c r="K2430" s="8">
        <f>IF(G2430="","",G2430+J2430)</f>
        <v/>
      </c>
    </row>
    <row r="2431">
      <c r="F2431" s="8" t="n"/>
      <c r="G2431" s="8">
        <f>IF(E2431="","",E2431*F2431)</f>
        <v/>
      </c>
      <c r="H2431" s="8">
        <f>IF(G2431="","",G2431-I2431)</f>
        <v/>
      </c>
      <c r="I2431" s="8">
        <f>IF(D2431="","",VLOOKUP(D2431, RECETTES!B:G, 6, FALSE)*E2431)</f>
        <v/>
      </c>
      <c r="J2431" s="8">
        <f>IF(G2431="","",G2431*0.20)</f>
        <v/>
      </c>
      <c r="K2431" s="8">
        <f>IF(G2431="","",G2431+J2431)</f>
        <v/>
      </c>
    </row>
    <row r="2432">
      <c r="F2432" s="8" t="n"/>
      <c r="G2432" s="8">
        <f>IF(E2432="","",E2432*F2432)</f>
        <v/>
      </c>
      <c r="H2432" s="8">
        <f>IF(G2432="","",G2432-I2432)</f>
        <v/>
      </c>
      <c r="I2432" s="8">
        <f>IF(D2432="","",VLOOKUP(D2432, RECETTES!B:G, 6, FALSE)*E2432)</f>
        <v/>
      </c>
      <c r="J2432" s="8">
        <f>IF(G2432="","",G2432*0.20)</f>
        <v/>
      </c>
      <c r="K2432" s="8">
        <f>IF(G2432="","",G2432+J2432)</f>
        <v/>
      </c>
    </row>
    <row r="2433">
      <c r="F2433" s="8" t="n"/>
      <c r="G2433" s="8">
        <f>IF(E2433="","",E2433*F2433)</f>
        <v/>
      </c>
      <c r="H2433" s="8">
        <f>IF(G2433="","",G2433-I2433)</f>
        <v/>
      </c>
      <c r="I2433" s="8">
        <f>IF(D2433="","",VLOOKUP(D2433, RECETTES!B:G, 6, FALSE)*E2433)</f>
        <v/>
      </c>
      <c r="J2433" s="8">
        <f>IF(G2433="","",G2433*0.20)</f>
        <v/>
      </c>
      <c r="K2433" s="8">
        <f>IF(G2433="","",G2433+J2433)</f>
        <v/>
      </c>
    </row>
    <row r="2434">
      <c r="F2434" s="8" t="n"/>
      <c r="G2434" s="8">
        <f>IF(E2434="","",E2434*F2434)</f>
        <v/>
      </c>
      <c r="H2434" s="8">
        <f>IF(G2434="","",G2434-I2434)</f>
        <v/>
      </c>
      <c r="I2434" s="8">
        <f>IF(D2434="","",VLOOKUP(D2434, RECETTES!B:G, 6, FALSE)*E2434)</f>
        <v/>
      </c>
      <c r="J2434" s="8">
        <f>IF(G2434="","",G2434*0.20)</f>
        <v/>
      </c>
      <c r="K2434" s="8">
        <f>IF(G2434="","",G2434+J2434)</f>
        <v/>
      </c>
    </row>
    <row r="2435">
      <c r="F2435" s="8" t="n"/>
      <c r="G2435" s="8">
        <f>IF(E2435="","",E2435*F2435)</f>
        <v/>
      </c>
      <c r="H2435" s="8">
        <f>IF(G2435="","",G2435-I2435)</f>
        <v/>
      </c>
      <c r="I2435" s="8">
        <f>IF(D2435="","",VLOOKUP(D2435, RECETTES!B:G, 6, FALSE)*E2435)</f>
        <v/>
      </c>
      <c r="J2435" s="8">
        <f>IF(G2435="","",G2435*0.20)</f>
        <v/>
      </c>
      <c r="K2435" s="8">
        <f>IF(G2435="","",G2435+J2435)</f>
        <v/>
      </c>
    </row>
    <row r="2436">
      <c r="F2436" s="8" t="n"/>
      <c r="G2436" s="8">
        <f>IF(E2436="","",E2436*F2436)</f>
        <v/>
      </c>
      <c r="H2436" s="8">
        <f>IF(G2436="","",G2436-I2436)</f>
        <v/>
      </c>
      <c r="I2436" s="8">
        <f>IF(D2436="","",VLOOKUP(D2436, RECETTES!B:G, 6, FALSE)*E2436)</f>
        <v/>
      </c>
      <c r="J2436" s="8">
        <f>IF(G2436="","",G2436*0.20)</f>
        <v/>
      </c>
      <c r="K2436" s="8">
        <f>IF(G2436="","",G2436+J2436)</f>
        <v/>
      </c>
    </row>
    <row r="2437">
      <c r="F2437" s="8" t="n"/>
      <c r="G2437" s="8">
        <f>IF(E2437="","",E2437*F2437)</f>
        <v/>
      </c>
      <c r="H2437" s="8">
        <f>IF(G2437="","",G2437-I2437)</f>
        <v/>
      </c>
      <c r="I2437" s="8">
        <f>IF(D2437="","",VLOOKUP(D2437, RECETTES!B:G, 6, FALSE)*E2437)</f>
        <v/>
      </c>
      <c r="J2437" s="8">
        <f>IF(G2437="","",G2437*0.20)</f>
        <v/>
      </c>
      <c r="K2437" s="8">
        <f>IF(G2437="","",G2437+J2437)</f>
        <v/>
      </c>
    </row>
    <row r="2438">
      <c r="F2438" s="8" t="n"/>
      <c r="G2438" s="8">
        <f>IF(E2438="","",E2438*F2438)</f>
        <v/>
      </c>
      <c r="H2438" s="8">
        <f>IF(G2438="","",G2438-I2438)</f>
        <v/>
      </c>
      <c r="I2438" s="8">
        <f>IF(D2438="","",VLOOKUP(D2438, RECETTES!B:G, 6, FALSE)*E2438)</f>
        <v/>
      </c>
      <c r="J2438" s="8">
        <f>IF(G2438="","",G2438*0.20)</f>
        <v/>
      </c>
      <c r="K2438" s="8">
        <f>IF(G2438="","",G2438+J2438)</f>
        <v/>
      </c>
    </row>
    <row r="2439">
      <c r="F2439" s="8" t="n"/>
      <c r="G2439" s="8">
        <f>IF(E2439="","",E2439*F2439)</f>
        <v/>
      </c>
      <c r="H2439" s="8">
        <f>IF(G2439="","",G2439-I2439)</f>
        <v/>
      </c>
      <c r="I2439" s="8">
        <f>IF(D2439="","",VLOOKUP(D2439, RECETTES!B:G, 6, FALSE)*E2439)</f>
        <v/>
      </c>
      <c r="J2439" s="8">
        <f>IF(G2439="","",G2439*0.20)</f>
        <v/>
      </c>
      <c r="K2439" s="8">
        <f>IF(G2439="","",G2439+J2439)</f>
        <v/>
      </c>
    </row>
    <row r="2440">
      <c r="F2440" s="8" t="n"/>
      <c r="G2440" s="8">
        <f>IF(E2440="","",E2440*F2440)</f>
        <v/>
      </c>
      <c r="H2440" s="8">
        <f>IF(G2440="","",G2440-I2440)</f>
        <v/>
      </c>
      <c r="I2440" s="8">
        <f>IF(D2440="","",VLOOKUP(D2440, RECETTES!B:G, 6, FALSE)*E2440)</f>
        <v/>
      </c>
      <c r="J2440" s="8">
        <f>IF(G2440="","",G2440*0.20)</f>
        <v/>
      </c>
      <c r="K2440" s="8">
        <f>IF(G2440="","",G2440+J2440)</f>
        <v/>
      </c>
    </row>
    <row r="2441">
      <c r="F2441" s="8" t="n"/>
      <c r="G2441" s="8">
        <f>IF(E2441="","",E2441*F2441)</f>
        <v/>
      </c>
      <c r="H2441" s="8">
        <f>IF(G2441="","",G2441-I2441)</f>
        <v/>
      </c>
      <c r="I2441" s="8">
        <f>IF(D2441="","",VLOOKUP(D2441, RECETTES!B:G, 6, FALSE)*E2441)</f>
        <v/>
      </c>
      <c r="J2441" s="8">
        <f>IF(G2441="","",G2441*0.20)</f>
        <v/>
      </c>
      <c r="K2441" s="8">
        <f>IF(G2441="","",G2441+J2441)</f>
        <v/>
      </c>
    </row>
    <row r="2442">
      <c r="F2442" s="8" t="n"/>
      <c r="G2442" s="8">
        <f>IF(E2442="","",E2442*F2442)</f>
        <v/>
      </c>
      <c r="H2442" s="8">
        <f>IF(G2442="","",G2442-I2442)</f>
        <v/>
      </c>
      <c r="I2442" s="8">
        <f>IF(D2442="","",VLOOKUP(D2442, RECETTES!B:G, 6, FALSE)*E2442)</f>
        <v/>
      </c>
      <c r="J2442" s="8">
        <f>IF(G2442="","",G2442*0.20)</f>
        <v/>
      </c>
      <c r="K2442" s="8">
        <f>IF(G2442="","",G2442+J2442)</f>
        <v/>
      </c>
    </row>
    <row r="2443">
      <c r="F2443" s="8" t="n"/>
      <c r="G2443" s="8">
        <f>IF(E2443="","",E2443*F2443)</f>
        <v/>
      </c>
      <c r="H2443" s="8">
        <f>IF(G2443="","",G2443-I2443)</f>
        <v/>
      </c>
      <c r="I2443" s="8">
        <f>IF(D2443="","",VLOOKUP(D2443, RECETTES!B:G, 6, FALSE)*E2443)</f>
        <v/>
      </c>
      <c r="J2443" s="8">
        <f>IF(G2443="","",G2443*0.20)</f>
        <v/>
      </c>
      <c r="K2443" s="8">
        <f>IF(G2443="","",G2443+J2443)</f>
        <v/>
      </c>
    </row>
    <row r="2444">
      <c r="F2444" s="8" t="n"/>
      <c r="G2444" s="8">
        <f>IF(E2444="","",E2444*F2444)</f>
        <v/>
      </c>
      <c r="H2444" s="8">
        <f>IF(G2444="","",G2444-I2444)</f>
        <v/>
      </c>
      <c r="I2444" s="8">
        <f>IF(D2444="","",VLOOKUP(D2444, RECETTES!B:G, 6, FALSE)*E2444)</f>
        <v/>
      </c>
      <c r="J2444" s="8">
        <f>IF(G2444="","",G2444*0.20)</f>
        <v/>
      </c>
      <c r="K2444" s="8">
        <f>IF(G2444="","",G2444+J2444)</f>
        <v/>
      </c>
    </row>
    <row r="2445">
      <c r="F2445" s="8" t="n"/>
      <c r="G2445" s="8">
        <f>IF(E2445="","",E2445*F2445)</f>
        <v/>
      </c>
      <c r="H2445" s="8">
        <f>IF(G2445="","",G2445-I2445)</f>
        <v/>
      </c>
      <c r="I2445" s="8">
        <f>IF(D2445="","",VLOOKUP(D2445, RECETTES!B:G, 6, FALSE)*E2445)</f>
        <v/>
      </c>
      <c r="J2445" s="8">
        <f>IF(G2445="","",G2445*0.20)</f>
        <v/>
      </c>
      <c r="K2445" s="8">
        <f>IF(G2445="","",G2445+J2445)</f>
        <v/>
      </c>
    </row>
    <row r="2446">
      <c r="F2446" s="8" t="n"/>
      <c r="G2446" s="8">
        <f>IF(E2446="","",E2446*F2446)</f>
        <v/>
      </c>
      <c r="H2446" s="8">
        <f>IF(G2446="","",G2446-I2446)</f>
        <v/>
      </c>
      <c r="I2446" s="8">
        <f>IF(D2446="","",VLOOKUP(D2446, RECETTES!B:G, 6, FALSE)*E2446)</f>
        <v/>
      </c>
      <c r="J2446" s="8">
        <f>IF(G2446="","",G2446*0.20)</f>
        <v/>
      </c>
      <c r="K2446" s="8">
        <f>IF(G2446="","",G2446+J2446)</f>
        <v/>
      </c>
    </row>
    <row r="2447">
      <c r="F2447" s="8" t="n"/>
      <c r="G2447" s="8">
        <f>IF(E2447="","",E2447*F2447)</f>
        <v/>
      </c>
      <c r="H2447" s="8">
        <f>IF(G2447="","",G2447-I2447)</f>
        <v/>
      </c>
      <c r="I2447" s="8">
        <f>IF(D2447="","",VLOOKUP(D2447, RECETTES!B:G, 6, FALSE)*E2447)</f>
        <v/>
      </c>
      <c r="J2447" s="8">
        <f>IF(G2447="","",G2447*0.20)</f>
        <v/>
      </c>
      <c r="K2447" s="8">
        <f>IF(G2447="","",G2447+J2447)</f>
        <v/>
      </c>
    </row>
    <row r="2448">
      <c r="F2448" s="8" t="n"/>
      <c r="G2448" s="8">
        <f>IF(E2448="","",E2448*F2448)</f>
        <v/>
      </c>
      <c r="H2448" s="8">
        <f>IF(G2448="","",G2448-I2448)</f>
        <v/>
      </c>
      <c r="I2448" s="8">
        <f>IF(D2448="","",VLOOKUP(D2448, RECETTES!B:G, 6, FALSE)*E2448)</f>
        <v/>
      </c>
      <c r="J2448" s="8">
        <f>IF(G2448="","",G2448*0.20)</f>
        <v/>
      </c>
      <c r="K2448" s="8">
        <f>IF(G2448="","",G2448+J2448)</f>
        <v/>
      </c>
    </row>
    <row r="2449">
      <c r="F2449" s="8" t="n"/>
      <c r="G2449" s="8">
        <f>IF(E2449="","",E2449*F2449)</f>
        <v/>
      </c>
      <c r="H2449" s="8">
        <f>IF(G2449="","",G2449-I2449)</f>
        <v/>
      </c>
      <c r="I2449" s="8">
        <f>IF(D2449="","",VLOOKUP(D2449, RECETTES!B:G, 6, FALSE)*E2449)</f>
        <v/>
      </c>
      <c r="J2449" s="8">
        <f>IF(G2449="","",G2449*0.20)</f>
        <v/>
      </c>
      <c r="K2449" s="8">
        <f>IF(G2449="","",G2449+J2449)</f>
        <v/>
      </c>
    </row>
    <row r="2450">
      <c r="F2450" s="8" t="n"/>
      <c r="G2450" s="8">
        <f>IF(E2450="","",E2450*F2450)</f>
        <v/>
      </c>
      <c r="H2450" s="8">
        <f>IF(G2450="","",G2450-I2450)</f>
        <v/>
      </c>
      <c r="I2450" s="8">
        <f>IF(D2450="","",VLOOKUP(D2450, RECETTES!B:G, 6, FALSE)*E2450)</f>
        <v/>
      </c>
      <c r="J2450" s="8">
        <f>IF(G2450="","",G2450*0.20)</f>
        <v/>
      </c>
      <c r="K2450" s="8">
        <f>IF(G2450="","",G2450+J2450)</f>
        <v/>
      </c>
    </row>
    <row r="2451">
      <c r="F2451" s="8" t="n"/>
      <c r="G2451" s="8">
        <f>IF(E2451="","",E2451*F2451)</f>
        <v/>
      </c>
      <c r="H2451" s="8">
        <f>IF(G2451="","",G2451-I2451)</f>
        <v/>
      </c>
      <c r="I2451" s="8">
        <f>IF(D2451="","",VLOOKUP(D2451, RECETTES!B:G, 6, FALSE)*E2451)</f>
        <v/>
      </c>
      <c r="J2451" s="8">
        <f>IF(G2451="","",G2451*0.20)</f>
        <v/>
      </c>
      <c r="K2451" s="8">
        <f>IF(G2451="","",G2451+J2451)</f>
        <v/>
      </c>
    </row>
    <row r="2452">
      <c r="F2452" s="8" t="n"/>
      <c r="G2452" s="8">
        <f>IF(E2452="","",E2452*F2452)</f>
        <v/>
      </c>
      <c r="H2452" s="8">
        <f>IF(G2452="","",G2452-I2452)</f>
        <v/>
      </c>
      <c r="I2452" s="8">
        <f>IF(D2452="","",VLOOKUP(D2452, RECETTES!B:G, 6, FALSE)*E2452)</f>
        <v/>
      </c>
      <c r="J2452" s="8">
        <f>IF(G2452="","",G2452*0.20)</f>
        <v/>
      </c>
      <c r="K2452" s="8">
        <f>IF(G2452="","",G2452+J2452)</f>
        <v/>
      </c>
    </row>
    <row r="2453">
      <c r="F2453" s="8" t="n"/>
      <c r="G2453" s="8">
        <f>IF(E2453="","",E2453*F2453)</f>
        <v/>
      </c>
      <c r="H2453" s="8">
        <f>IF(G2453="","",G2453-I2453)</f>
        <v/>
      </c>
      <c r="I2453" s="8">
        <f>IF(D2453="","",VLOOKUP(D2453, RECETTES!B:G, 6, FALSE)*E2453)</f>
        <v/>
      </c>
      <c r="J2453" s="8">
        <f>IF(G2453="","",G2453*0.20)</f>
        <v/>
      </c>
      <c r="K2453" s="8">
        <f>IF(G2453="","",G2453+J2453)</f>
        <v/>
      </c>
    </row>
    <row r="2454">
      <c r="F2454" s="8" t="n"/>
      <c r="G2454" s="8">
        <f>IF(E2454="","",E2454*F2454)</f>
        <v/>
      </c>
      <c r="H2454" s="8">
        <f>IF(G2454="","",G2454-I2454)</f>
        <v/>
      </c>
      <c r="I2454" s="8">
        <f>IF(D2454="","",VLOOKUP(D2454, RECETTES!B:G, 6, FALSE)*E2454)</f>
        <v/>
      </c>
      <c r="J2454" s="8">
        <f>IF(G2454="","",G2454*0.20)</f>
        <v/>
      </c>
      <c r="K2454" s="8">
        <f>IF(G2454="","",G2454+J2454)</f>
        <v/>
      </c>
    </row>
    <row r="2455">
      <c r="F2455" s="8" t="n"/>
      <c r="G2455" s="8">
        <f>IF(E2455="","",E2455*F2455)</f>
        <v/>
      </c>
      <c r="H2455" s="8">
        <f>IF(G2455="","",G2455-I2455)</f>
        <v/>
      </c>
      <c r="I2455" s="8">
        <f>IF(D2455="","",VLOOKUP(D2455, RECETTES!B:G, 6, FALSE)*E2455)</f>
        <v/>
      </c>
      <c r="J2455" s="8">
        <f>IF(G2455="","",G2455*0.20)</f>
        <v/>
      </c>
      <c r="K2455" s="8">
        <f>IF(G2455="","",G2455+J2455)</f>
        <v/>
      </c>
    </row>
    <row r="2456">
      <c r="F2456" s="8" t="n"/>
      <c r="G2456" s="8">
        <f>IF(E2456="","",E2456*F2456)</f>
        <v/>
      </c>
      <c r="H2456" s="8">
        <f>IF(G2456="","",G2456-I2456)</f>
        <v/>
      </c>
      <c r="I2456" s="8">
        <f>IF(D2456="","",VLOOKUP(D2456, RECETTES!B:G, 6, FALSE)*E2456)</f>
        <v/>
      </c>
      <c r="J2456" s="8">
        <f>IF(G2456="","",G2456*0.20)</f>
        <v/>
      </c>
      <c r="K2456" s="8">
        <f>IF(G2456="","",G2456+J2456)</f>
        <v/>
      </c>
    </row>
    <row r="2457">
      <c r="F2457" s="8" t="n"/>
      <c r="G2457" s="8">
        <f>IF(E2457="","",E2457*F2457)</f>
        <v/>
      </c>
      <c r="H2457" s="8">
        <f>IF(G2457="","",G2457-I2457)</f>
        <v/>
      </c>
      <c r="I2457" s="8">
        <f>IF(D2457="","",VLOOKUP(D2457, RECETTES!B:G, 6, FALSE)*E2457)</f>
        <v/>
      </c>
      <c r="J2457" s="8">
        <f>IF(G2457="","",G2457*0.20)</f>
        <v/>
      </c>
      <c r="K2457" s="8">
        <f>IF(G2457="","",G2457+J2457)</f>
        <v/>
      </c>
    </row>
    <row r="2458">
      <c r="F2458" s="8" t="n"/>
      <c r="G2458" s="8">
        <f>IF(E2458="","",E2458*F2458)</f>
        <v/>
      </c>
      <c r="H2458" s="8">
        <f>IF(G2458="","",G2458-I2458)</f>
        <v/>
      </c>
      <c r="I2458" s="8">
        <f>IF(D2458="","",VLOOKUP(D2458, RECETTES!B:G, 6, FALSE)*E2458)</f>
        <v/>
      </c>
      <c r="J2458" s="8">
        <f>IF(G2458="","",G2458*0.20)</f>
        <v/>
      </c>
      <c r="K2458" s="8">
        <f>IF(G2458="","",G2458+J2458)</f>
        <v/>
      </c>
    </row>
    <row r="2459">
      <c r="F2459" s="8" t="n"/>
      <c r="G2459" s="8">
        <f>IF(E2459="","",E2459*F2459)</f>
        <v/>
      </c>
      <c r="H2459" s="8">
        <f>IF(G2459="","",G2459-I2459)</f>
        <v/>
      </c>
      <c r="I2459" s="8">
        <f>IF(D2459="","",VLOOKUP(D2459, RECETTES!B:G, 6, FALSE)*E2459)</f>
        <v/>
      </c>
      <c r="J2459" s="8">
        <f>IF(G2459="","",G2459*0.20)</f>
        <v/>
      </c>
      <c r="K2459" s="8">
        <f>IF(G2459="","",G2459+J2459)</f>
        <v/>
      </c>
    </row>
    <row r="2460">
      <c r="F2460" s="8" t="n"/>
      <c r="G2460" s="8">
        <f>IF(E2460="","",E2460*F2460)</f>
        <v/>
      </c>
      <c r="H2460" s="8">
        <f>IF(G2460="","",G2460-I2460)</f>
        <v/>
      </c>
      <c r="I2460" s="8">
        <f>IF(D2460="","",VLOOKUP(D2460, RECETTES!B:G, 6, FALSE)*E2460)</f>
        <v/>
      </c>
      <c r="J2460" s="8">
        <f>IF(G2460="","",G2460*0.20)</f>
        <v/>
      </c>
      <c r="K2460" s="8">
        <f>IF(G2460="","",G2460+J2460)</f>
        <v/>
      </c>
    </row>
    <row r="2461">
      <c r="F2461" s="8" t="n"/>
      <c r="G2461" s="8">
        <f>IF(E2461="","",E2461*F2461)</f>
        <v/>
      </c>
      <c r="H2461" s="8">
        <f>IF(G2461="","",G2461-I2461)</f>
        <v/>
      </c>
      <c r="I2461" s="8">
        <f>IF(D2461="","",VLOOKUP(D2461, RECETTES!B:G, 6, FALSE)*E2461)</f>
        <v/>
      </c>
      <c r="J2461" s="8">
        <f>IF(G2461="","",G2461*0.20)</f>
        <v/>
      </c>
      <c r="K2461" s="8">
        <f>IF(G2461="","",G2461+J2461)</f>
        <v/>
      </c>
    </row>
    <row r="2462">
      <c r="F2462" s="8" t="n"/>
      <c r="G2462" s="8">
        <f>IF(E2462="","",E2462*F2462)</f>
        <v/>
      </c>
      <c r="H2462" s="8">
        <f>IF(G2462="","",G2462-I2462)</f>
        <v/>
      </c>
      <c r="I2462" s="8">
        <f>IF(D2462="","",VLOOKUP(D2462, RECETTES!B:G, 6, FALSE)*E2462)</f>
        <v/>
      </c>
      <c r="J2462" s="8">
        <f>IF(G2462="","",G2462*0.20)</f>
        <v/>
      </c>
      <c r="K2462" s="8">
        <f>IF(G2462="","",G2462+J2462)</f>
        <v/>
      </c>
    </row>
    <row r="2463">
      <c r="F2463" s="8" t="n"/>
      <c r="G2463" s="8">
        <f>IF(E2463="","",E2463*F2463)</f>
        <v/>
      </c>
      <c r="H2463" s="8">
        <f>IF(G2463="","",G2463-I2463)</f>
        <v/>
      </c>
      <c r="I2463" s="8">
        <f>IF(D2463="","",VLOOKUP(D2463, RECETTES!B:G, 6, FALSE)*E2463)</f>
        <v/>
      </c>
      <c r="J2463" s="8">
        <f>IF(G2463="","",G2463*0.20)</f>
        <v/>
      </c>
      <c r="K2463" s="8">
        <f>IF(G2463="","",G2463+J2463)</f>
        <v/>
      </c>
    </row>
    <row r="2464">
      <c r="F2464" s="8" t="n"/>
      <c r="G2464" s="8">
        <f>IF(E2464="","",E2464*F2464)</f>
        <v/>
      </c>
      <c r="H2464" s="8">
        <f>IF(G2464="","",G2464-I2464)</f>
        <v/>
      </c>
      <c r="I2464" s="8">
        <f>IF(D2464="","",VLOOKUP(D2464, RECETTES!B:G, 6, FALSE)*E2464)</f>
        <v/>
      </c>
      <c r="J2464" s="8">
        <f>IF(G2464="","",G2464*0.20)</f>
        <v/>
      </c>
      <c r="K2464" s="8">
        <f>IF(G2464="","",G2464+J2464)</f>
        <v/>
      </c>
    </row>
    <row r="2465">
      <c r="F2465" s="8" t="n"/>
      <c r="G2465" s="8">
        <f>IF(E2465="","",E2465*F2465)</f>
        <v/>
      </c>
      <c r="H2465" s="8">
        <f>IF(G2465="","",G2465-I2465)</f>
        <v/>
      </c>
      <c r="I2465" s="8">
        <f>IF(D2465="","",VLOOKUP(D2465, RECETTES!B:G, 6, FALSE)*E2465)</f>
        <v/>
      </c>
      <c r="J2465" s="8">
        <f>IF(G2465="","",G2465*0.20)</f>
        <v/>
      </c>
      <c r="K2465" s="8">
        <f>IF(G2465="","",G2465+J2465)</f>
        <v/>
      </c>
    </row>
    <row r="2466">
      <c r="F2466" s="8" t="n"/>
      <c r="G2466" s="8">
        <f>IF(E2466="","",E2466*F2466)</f>
        <v/>
      </c>
      <c r="H2466" s="8">
        <f>IF(G2466="","",G2466-I2466)</f>
        <v/>
      </c>
      <c r="I2466" s="8">
        <f>IF(D2466="","",VLOOKUP(D2466, RECETTES!B:G, 6, FALSE)*E2466)</f>
        <v/>
      </c>
      <c r="J2466" s="8">
        <f>IF(G2466="","",G2466*0.20)</f>
        <v/>
      </c>
      <c r="K2466" s="8">
        <f>IF(G2466="","",G2466+J2466)</f>
        <v/>
      </c>
    </row>
    <row r="2467">
      <c r="F2467" s="8" t="n"/>
      <c r="G2467" s="8">
        <f>IF(E2467="","",E2467*F2467)</f>
        <v/>
      </c>
      <c r="H2467" s="8">
        <f>IF(G2467="","",G2467-I2467)</f>
        <v/>
      </c>
      <c r="I2467" s="8">
        <f>IF(D2467="","",VLOOKUP(D2467, RECETTES!B:G, 6, FALSE)*E2467)</f>
        <v/>
      </c>
      <c r="J2467" s="8">
        <f>IF(G2467="","",G2467*0.20)</f>
        <v/>
      </c>
      <c r="K2467" s="8">
        <f>IF(G2467="","",G2467+J2467)</f>
        <v/>
      </c>
    </row>
    <row r="2468">
      <c r="F2468" s="8" t="n"/>
      <c r="G2468" s="8">
        <f>IF(E2468="","",E2468*F2468)</f>
        <v/>
      </c>
      <c r="H2468" s="8">
        <f>IF(G2468="","",G2468-I2468)</f>
        <v/>
      </c>
      <c r="I2468" s="8">
        <f>IF(D2468="","",VLOOKUP(D2468, RECETTES!B:G, 6, FALSE)*E2468)</f>
        <v/>
      </c>
      <c r="J2468" s="8">
        <f>IF(G2468="","",G2468*0.20)</f>
        <v/>
      </c>
      <c r="K2468" s="8">
        <f>IF(G2468="","",G2468+J2468)</f>
        <v/>
      </c>
    </row>
    <row r="2469">
      <c r="F2469" s="8" t="n"/>
      <c r="G2469" s="8">
        <f>IF(E2469="","",E2469*F2469)</f>
        <v/>
      </c>
      <c r="H2469" s="8">
        <f>IF(G2469="","",G2469-I2469)</f>
        <v/>
      </c>
      <c r="I2469" s="8">
        <f>IF(D2469="","",VLOOKUP(D2469, RECETTES!B:G, 6, FALSE)*E2469)</f>
        <v/>
      </c>
      <c r="J2469" s="8">
        <f>IF(G2469="","",G2469*0.20)</f>
        <v/>
      </c>
      <c r="K2469" s="8">
        <f>IF(G2469="","",G2469+J2469)</f>
        <v/>
      </c>
    </row>
    <row r="2470">
      <c r="F2470" s="8" t="n"/>
      <c r="G2470" s="8">
        <f>IF(E2470="","",E2470*F2470)</f>
        <v/>
      </c>
      <c r="H2470" s="8">
        <f>IF(G2470="","",G2470-I2470)</f>
        <v/>
      </c>
      <c r="I2470" s="8">
        <f>IF(D2470="","",VLOOKUP(D2470, RECETTES!B:G, 6, FALSE)*E2470)</f>
        <v/>
      </c>
      <c r="J2470" s="8">
        <f>IF(G2470="","",G2470*0.20)</f>
        <v/>
      </c>
      <c r="K2470" s="8">
        <f>IF(G2470="","",G2470+J2470)</f>
        <v/>
      </c>
    </row>
    <row r="2471">
      <c r="F2471" s="8" t="n"/>
      <c r="G2471" s="8">
        <f>IF(E2471="","",E2471*F2471)</f>
        <v/>
      </c>
      <c r="H2471" s="8">
        <f>IF(G2471="","",G2471-I2471)</f>
        <v/>
      </c>
      <c r="I2471" s="8">
        <f>IF(D2471="","",VLOOKUP(D2471, RECETTES!B:G, 6, FALSE)*E2471)</f>
        <v/>
      </c>
      <c r="J2471" s="8">
        <f>IF(G2471="","",G2471*0.20)</f>
        <v/>
      </c>
      <c r="K2471" s="8">
        <f>IF(G2471="","",G2471+J2471)</f>
        <v/>
      </c>
    </row>
    <row r="2472">
      <c r="F2472" s="8" t="n"/>
      <c r="G2472" s="8">
        <f>IF(E2472="","",E2472*F2472)</f>
        <v/>
      </c>
      <c r="H2472" s="8">
        <f>IF(G2472="","",G2472-I2472)</f>
        <v/>
      </c>
      <c r="I2472" s="8">
        <f>IF(D2472="","",VLOOKUP(D2472, RECETTES!B:G, 6, FALSE)*E2472)</f>
        <v/>
      </c>
      <c r="J2472" s="8">
        <f>IF(G2472="","",G2472*0.20)</f>
        <v/>
      </c>
      <c r="K2472" s="8">
        <f>IF(G2472="","",G2472+J2472)</f>
        <v/>
      </c>
    </row>
    <row r="2473">
      <c r="F2473" s="8" t="n"/>
      <c r="G2473" s="8">
        <f>IF(E2473="","",E2473*F2473)</f>
        <v/>
      </c>
      <c r="H2473" s="8">
        <f>IF(G2473="","",G2473-I2473)</f>
        <v/>
      </c>
      <c r="I2473" s="8">
        <f>IF(D2473="","",VLOOKUP(D2473, RECETTES!B:G, 6, FALSE)*E2473)</f>
        <v/>
      </c>
      <c r="J2473" s="8">
        <f>IF(G2473="","",G2473*0.20)</f>
        <v/>
      </c>
      <c r="K2473" s="8">
        <f>IF(G2473="","",G2473+J2473)</f>
        <v/>
      </c>
    </row>
    <row r="2474">
      <c r="F2474" s="8" t="n"/>
      <c r="G2474" s="8">
        <f>IF(E2474="","",E2474*F2474)</f>
        <v/>
      </c>
      <c r="H2474" s="8">
        <f>IF(G2474="","",G2474-I2474)</f>
        <v/>
      </c>
      <c r="I2474" s="8">
        <f>IF(D2474="","",VLOOKUP(D2474, RECETTES!B:G, 6, FALSE)*E2474)</f>
        <v/>
      </c>
      <c r="J2474" s="8">
        <f>IF(G2474="","",G2474*0.20)</f>
        <v/>
      </c>
      <c r="K2474" s="8">
        <f>IF(G2474="","",G2474+J2474)</f>
        <v/>
      </c>
    </row>
    <row r="2475">
      <c r="F2475" s="8" t="n"/>
      <c r="G2475" s="8">
        <f>IF(E2475="","",E2475*F2475)</f>
        <v/>
      </c>
      <c r="H2475" s="8">
        <f>IF(G2475="","",G2475-I2475)</f>
        <v/>
      </c>
      <c r="I2475" s="8">
        <f>IF(D2475="","",VLOOKUP(D2475, RECETTES!B:G, 6, FALSE)*E2475)</f>
        <v/>
      </c>
      <c r="J2475" s="8">
        <f>IF(G2475="","",G2475*0.20)</f>
        <v/>
      </c>
      <c r="K2475" s="8">
        <f>IF(G2475="","",G2475+J2475)</f>
        <v/>
      </c>
    </row>
    <row r="2476">
      <c r="F2476" s="8" t="n"/>
      <c r="G2476" s="8">
        <f>IF(E2476="","",E2476*F2476)</f>
        <v/>
      </c>
      <c r="H2476" s="8">
        <f>IF(G2476="","",G2476-I2476)</f>
        <v/>
      </c>
      <c r="I2476" s="8">
        <f>IF(D2476="","",VLOOKUP(D2476, RECETTES!B:G, 6, FALSE)*E2476)</f>
        <v/>
      </c>
      <c r="J2476" s="8">
        <f>IF(G2476="","",G2476*0.20)</f>
        <v/>
      </c>
      <c r="K2476" s="8">
        <f>IF(G2476="","",G2476+J2476)</f>
        <v/>
      </c>
    </row>
    <row r="2477">
      <c r="F2477" s="8" t="n"/>
      <c r="G2477" s="8">
        <f>IF(E2477="","",E2477*F2477)</f>
        <v/>
      </c>
      <c r="H2477" s="8">
        <f>IF(G2477="","",G2477-I2477)</f>
        <v/>
      </c>
      <c r="I2477" s="8">
        <f>IF(D2477="","",VLOOKUP(D2477, RECETTES!B:G, 6, FALSE)*E2477)</f>
        <v/>
      </c>
      <c r="J2477" s="8">
        <f>IF(G2477="","",G2477*0.20)</f>
        <v/>
      </c>
      <c r="K2477" s="8">
        <f>IF(G2477="","",G2477+J2477)</f>
        <v/>
      </c>
    </row>
    <row r="2478">
      <c r="F2478" s="8" t="n"/>
      <c r="G2478" s="8">
        <f>IF(E2478="","",E2478*F2478)</f>
        <v/>
      </c>
      <c r="H2478" s="8">
        <f>IF(G2478="","",G2478-I2478)</f>
        <v/>
      </c>
      <c r="I2478" s="8">
        <f>IF(D2478="","",VLOOKUP(D2478, RECETTES!B:G, 6, FALSE)*E2478)</f>
        <v/>
      </c>
      <c r="J2478" s="8">
        <f>IF(G2478="","",G2478*0.20)</f>
        <v/>
      </c>
      <c r="K2478" s="8">
        <f>IF(G2478="","",G2478+J2478)</f>
        <v/>
      </c>
    </row>
    <row r="2479">
      <c r="F2479" s="8" t="n"/>
      <c r="G2479" s="8">
        <f>IF(E2479="","",E2479*F2479)</f>
        <v/>
      </c>
      <c r="H2479" s="8">
        <f>IF(G2479="","",G2479-I2479)</f>
        <v/>
      </c>
      <c r="I2479" s="8">
        <f>IF(D2479="","",VLOOKUP(D2479, RECETTES!B:G, 6, FALSE)*E2479)</f>
        <v/>
      </c>
      <c r="J2479" s="8">
        <f>IF(G2479="","",G2479*0.20)</f>
        <v/>
      </c>
      <c r="K2479" s="8">
        <f>IF(G2479="","",G2479+J2479)</f>
        <v/>
      </c>
    </row>
    <row r="2480">
      <c r="F2480" s="8" t="n"/>
      <c r="G2480" s="8">
        <f>IF(E2480="","",E2480*F2480)</f>
        <v/>
      </c>
      <c r="H2480" s="8">
        <f>IF(G2480="","",G2480-I2480)</f>
        <v/>
      </c>
      <c r="I2480" s="8">
        <f>IF(D2480="","",VLOOKUP(D2480, RECETTES!B:G, 6, FALSE)*E2480)</f>
        <v/>
      </c>
      <c r="J2480" s="8">
        <f>IF(G2480="","",G2480*0.20)</f>
        <v/>
      </c>
      <c r="K2480" s="8">
        <f>IF(G2480="","",G2480+J2480)</f>
        <v/>
      </c>
    </row>
    <row r="2481">
      <c r="F2481" s="8" t="n"/>
      <c r="G2481" s="8">
        <f>IF(E2481="","",E2481*F2481)</f>
        <v/>
      </c>
      <c r="H2481" s="8">
        <f>IF(G2481="","",G2481-I2481)</f>
        <v/>
      </c>
      <c r="I2481" s="8">
        <f>IF(D2481="","",VLOOKUP(D2481, RECETTES!B:G, 6, FALSE)*E2481)</f>
        <v/>
      </c>
      <c r="J2481" s="8">
        <f>IF(G2481="","",G2481*0.20)</f>
        <v/>
      </c>
      <c r="K2481" s="8">
        <f>IF(G2481="","",G2481+J2481)</f>
        <v/>
      </c>
    </row>
    <row r="2482">
      <c r="F2482" s="8" t="n"/>
      <c r="G2482" s="8">
        <f>IF(E2482="","",E2482*F2482)</f>
        <v/>
      </c>
      <c r="H2482" s="8">
        <f>IF(G2482="","",G2482-I2482)</f>
        <v/>
      </c>
      <c r="I2482" s="8">
        <f>IF(D2482="","",VLOOKUP(D2482, RECETTES!B:G, 6, FALSE)*E2482)</f>
        <v/>
      </c>
      <c r="J2482" s="8">
        <f>IF(G2482="","",G2482*0.20)</f>
        <v/>
      </c>
      <c r="K2482" s="8">
        <f>IF(G2482="","",G2482+J2482)</f>
        <v/>
      </c>
    </row>
    <row r="2483">
      <c r="F2483" s="8" t="n"/>
      <c r="G2483" s="8">
        <f>IF(E2483="","",E2483*F2483)</f>
        <v/>
      </c>
      <c r="H2483" s="8">
        <f>IF(G2483="","",G2483-I2483)</f>
        <v/>
      </c>
      <c r="I2483" s="8">
        <f>IF(D2483="","",VLOOKUP(D2483, RECETTES!B:G, 6, FALSE)*E2483)</f>
        <v/>
      </c>
      <c r="J2483" s="8">
        <f>IF(G2483="","",G2483*0.20)</f>
        <v/>
      </c>
      <c r="K2483" s="8">
        <f>IF(G2483="","",G2483+J2483)</f>
        <v/>
      </c>
    </row>
    <row r="2484">
      <c r="F2484" s="8" t="n"/>
      <c r="G2484" s="8">
        <f>IF(E2484="","",E2484*F2484)</f>
        <v/>
      </c>
      <c r="H2484" s="8">
        <f>IF(G2484="","",G2484-I2484)</f>
        <v/>
      </c>
      <c r="I2484" s="8">
        <f>IF(D2484="","",VLOOKUP(D2484, RECETTES!B:G, 6, FALSE)*E2484)</f>
        <v/>
      </c>
      <c r="J2484" s="8">
        <f>IF(G2484="","",G2484*0.20)</f>
        <v/>
      </c>
      <c r="K2484" s="8">
        <f>IF(G2484="","",G2484+J2484)</f>
        <v/>
      </c>
    </row>
    <row r="2485">
      <c r="F2485" s="8" t="n"/>
      <c r="G2485" s="8">
        <f>IF(E2485="","",E2485*F2485)</f>
        <v/>
      </c>
      <c r="H2485" s="8">
        <f>IF(G2485="","",G2485-I2485)</f>
        <v/>
      </c>
      <c r="I2485" s="8">
        <f>IF(D2485="","",VLOOKUP(D2485, RECETTES!B:G, 6, FALSE)*E2485)</f>
        <v/>
      </c>
      <c r="J2485" s="8">
        <f>IF(G2485="","",G2485*0.20)</f>
        <v/>
      </c>
      <c r="K2485" s="8">
        <f>IF(G2485="","",G2485+J2485)</f>
        <v/>
      </c>
    </row>
    <row r="2486">
      <c r="F2486" s="8" t="n"/>
      <c r="G2486" s="8">
        <f>IF(E2486="","",E2486*F2486)</f>
        <v/>
      </c>
      <c r="H2486" s="8">
        <f>IF(G2486="","",G2486-I2486)</f>
        <v/>
      </c>
      <c r="I2486" s="8">
        <f>IF(D2486="","",VLOOKUP(D2486, RECETTES!B:G, 6, FALSE)*E2486)</f>
        <v/>
      </c>
      <c r="J2486" s="8">
        <f>IF(G2486="","",G2486*0.20)</f>
        <v/>
      </c>
      <c r="K2486" s="8">
        <f>IF(G2486="","",G2486+J2486)</f>
        <v/>
      </c>
    </row>
    <row r="2487">
      <c r="F2487" s="8" t="n"/>
      <c r="G2487" s="8">
        <f>IF(E2487="","",E2487*F2487)</f>
        <v/>
      </c>
      <c r="H2487" s="8">
        <f>IF(G2487="","",G2487-I2487)</f>
        <v/>
      </c>
      <c r="I2487" s="8">
        <f>IF(D2487="","",VLOOKUP(D2487, RECETTES!B:G, 6, FALSE)*E2487)</f>
        <v/>
      </c>
      <c r="J2487" s="8">
        <f>IF(G2487="","",G2487*0.20)</f>
        <v/>
      </c>
      <c r="K2487" s="8">
        <f>IF(G2487="","",G2487+J2487)</f>
        <v/>
      </c>
    </row>
    <row r="2488">
      <c r="F2488" s="8" t="n"/>
      <c r="G2488" s="8">
        <f>IF(E2488="","",E2488*F2488)</f>
        <v/>
      </c>
      <c r="H2488" s="8">
        <f>IF(G2488="","",G2488-I2488)</f>
        <v/>
      </c>
      <c r="I2488" s="8">
        <f>IF(D2488="","",VLOOKUP(D2488, RECETTES!B:G, 6, FALSE)*E2488)</f>
        <v/>
      </c>
      <c r="J2488" s="8">
        <f>IF(G2488="","",G2488*0.20)</f>
        <v/>
      </c>
      <c r="K2488" s="8">
        <f>IF(G2488="","",G2488+J2488)</f>
        <v/>
      </c>
    </row>
    <row r="2489">
      <c r="F2489" s="8" t="n"/>
      <c r="G2489" s="8">
        <f>IF(E2489="","",E2489*F2489)</f>
        <v/>
      </c>
      <c r="H2489" s="8">
        <f>IF(G2489="","",G2489-I2489)</f>
        <v/>
      </c>
      <c r="I2489" s="8">
        <f>IF(D2489="","",VLOOKUP(D2489, RECETTES!B:G, 6, FALSE)*E2489)</f>
        <v/>
      </c>
      <c r="J2489" s="8">
        <f>IF(G2489="","",G2489*0.20)</f>
        <v/>
      </c>
      <c r="K2489" s="8">
        <f>IF(G2489="","",G2489+J2489)</f>
        <v/>
      </c>
    </row>
    <row r="2490">
      <c r="F2490" s="8" t="n"/>
      <c r="G2490" s="8">
        <f>IF(E2490="","",E2490*F2490)</f>
        <v/>
      </c>
      <c r="H2490" s="8">
        <f>IF(G2490="","",G2490-I2490)</f>
        <v/>
      </c>
      <c r="I2490" s="8">
        <f>IF(D2490="","",VLOOKUP(D2490, RECETTES!B:G, 6, FALSE)*E2490)</f>
        <v/>
      </c>
      <c r="J2490" s="8">
        <f>IF(G2490="","",G2490*0.20)</f>
        <v/>
      </c>
      <c r="K2490" s="8">
        <f>IF(G2490="","",G2490+J2490)</f>
        <v/>
      </c>
    </row>
    <row r="2491">
      <c r="F2491" s="8" t="n"/>
      <c r="G2491" s="8">
        <f>IF(E2491="","",E2491*F2491)</f>
        <v/>
      </c>
      <c r="H2491" s="8">
        <f>IF(G2491="","",G2491-I2491)</f>
        <v/>
      </c>
      <c r="I2491" s="8">
        <f>IF(D2491="","",VLOOKUP(D2491, RECETTES!B:G, 6, FALSE)*E2491)</f>
        <v/>
      </c>
      <c r="J2491" s="8">
        <f>IF(G2491="","",G2491*0.20)</f>
        <v/>
      </c>
      <c r="K2491" s="8">
        <f>IF(G2491="","",G2491+J2491)</f>
        <v/>
      </c>
    </row>
    <row r="2492">
      <c r="F2492" s="8" t="n"/>
      <c r="G2492" s="8">
        <f>IF(E2492="","",E2492*F2492)</f>
        <v/>
      </c>
      <c r="H2492" s="8">
        <f>IF(G2492="","",G2492-I2492)</f>
        <v/>
      </c>
      <c r="I2492" s="8">
        <f>IF(D2492="","",VLOOKUP(D2492, RECETTES!B:G, 6, FALSE)*E2492)</f>
        <v/>
      </c>
      <c r="J2492" s="8">
        <f>IF(G2492="","",G2492*0.20)</f>
        <v/>
      </c>
      <c r="K2492" s="8">
        <f>IF(G2492="","",G2492+J2492)</f>
        <v/>
      </c>
    </row>
    <row r="2493">
      <c r="F2493" s="8" t="n"/>
      <c r="G2493" s="8">
        <f>IF(E2493="","",E2493*F2493)</f>
        <v/>
      </c>
      <c r="H2493" s="8">
        <f>IF(G2493="","",G2493-I2493)</f>
        <v/>
      </c>
      <c r="I2493" s="8">
        <f>IF(D2493="","",VLOOKUP(D2493, RECETTES!B:G, 6, FALSE)*E2493)</f>
        <v/>
      </c>
      <c r="J2493" s="8">
        <f>IF(G2493="","",G2493*0.20)</f>
        <v/>
      </c>
      <c r="K2493" s="8">
        <f>IF(G2493="","",G2493+J2493)</f>
        <v/>
      </c>
    </row>
    <row r="2494">
      <c r="F2494" s="8" t="n"/>
      <c r="G2494" s="8">
        <f>IF(E2494="","",E2494*F2494)</f>
        <v/>
      </c>
      <c r="H2494" s="8">
        <f>IF(G2494="","",G2494-I2494)</f>
        <v/>
      </c>
      <c r="I2494" s="8">
        <f>IF(D2494="","",VLOOKUP(D2494, RECETTES!B:G, 6, FALSE)*E2494)</f>
        <v/>
      </c>
      <c r="J2494" s="8">
        <f>IF(G2494="","",G2494*0.20)</f>
        <v/>
      </c>
      <c r="K2494" s="8">
        <f>IF(G2494="","",G2494+J2494)</f>
        <v/>
      </c>
    </row>
    <row r="2495">
      <c r="F2495" s="8" t="n"/>
      <c r="G2495" s="8">
        <f>IF(E2495="","",E2495*F2495)</f>
        <v/>
      </c>
      <c r="H2495" s="8">
        <f>IF(G2495="","",G2495-I2495)</f>
        <v/>
      </c>
      <c r="I2495" s="8">
        <f>IF(D2495="","",VLOOKUP(D2495, RECETTES!B:G, 6, FALSE)*E2495)</f>
        <v/>
      </c>
      <c r="J2495" s="8">
        <f>IF(G2495="","",G2495*0.20)</f>
        <v/>
      </c>
      <c r="K2495" s="8">
        <f>IF(G2495="","",G2495+J2495)</f>
        <v/>
      </c>
    </row>
    <row r="2496">
      <c r="F2496" s="8" t="n"/>
      <c r="G2496" s="8">
        <f>IF(E2496="","",E2496*F2496)</f>
        <v/>
      </c>
      <c r="H2496" s="8">
        <f>IF(G2496="","",G2496-I2496)</f>
        <v/>
      </c>
      <c r="I2496" s="8">
        <f>IF(D2496="","",VLOOKUP(D2496, RECETTES!B:G, 6, FALSE)*E2496)</f>
        <v/>
      </c>
      <c r="J2496" s="8">
        <f>IF(G2496="","",G2496*0.20)</f>
        <v/>
      </c>
      <c r="K2496" s="8">
        <f>IF(G2496="","",G2496+J2496)</f>
        <v/>
      </c>
    </row>
    <row r="2497">
      <c r="F2497" s="8" t="n"/>
      <c r="G2497" s="8">
        <f>IF(E2497="","",E2497*F2497)</f>
        <v/>
      </c>
      <c r="H2497" s="8">
        <f>IF(G2497="","",G2497-I2497)</f>
        <v/>
      </c>
      <c r="I2497" s="8">
        <f>IF(D2497="","",VLOOKUP(D2497, RECETTES!B:G, 6, FALSE)*E2497)</f>
        <v/>
      </c>
      <c r="J2497" s="8">
        <f>IF(G2497="","",G2497*0.20)</f>
        <v/>
      </c>
      <c r="K2497" s="8">
        <f>IF(G2497="","",G2497+J2497)</f>
        <v/>
      </c>
    </row>
    <row r="2498">
      <c r="F2498" s="8" t="n"/>
      <c r="G2498" s="8">
        <f>IF(E2498="","",E2498*F2498)</f>
        <v/>
      </c>
      <c r="H2498" s="8">
        <f>IF(G2498="","",G2498-I2498)</f>
        <v/>
      </c>
      <c r="I2498" s="8">
        <f>IF(D2498="","",VLOOKUP(D2498, RECETTES!B:G, 6, FALSE)*E2498)</f>
        <v/>
      </c>
      <c r="J2498" s="8">
        <f>IF(G2498="","",G2498*0.20)</f>
        <v/>
      </c>
      <c r="K2498" s="8">
        <f>IF(G2498="","",G2498+J2498)</f>
        <v/>
      </c>
    </row>
    <row r="2499">
      <c r="F2499" s="8" t="n"/>
      <c r="G2499" s="8">
        <f>IF(E2499="","",E2499*F2499)</f>
        <v/>
      </c>
      <c r="H2499" s="8">
        <f>IF(G2499="","",G2499-I2499)</f>
        <v/>
      </c>
      <c r="I2499" s="8">
        <f>IF(D2499="","",VLOOKUP(D2499, RECETTES!B:G, 6, FALSE)*E2499)</f>
        <v/>
      </c>
      <c r="J2499" s="8">
        <f>IF(G2499="","",G2499*0.20)</f>
        <v/>
      </c>
      <c r="K2499" s="8">
        <f>IF(G2499="","",G2499+J2499)</f>
        <v/>
      </c>
    </row>
    <row r="2500">
      <c r="F2500" s="8" t="n"/>
      <c r="G2500" s="8">
        <f>IF(E2500="","",E2500*F2500)</f>
        <v/>
      </c>
      <c r="H2500" s="8">
        <f>IF(G2500="","",G2500-I2500)</f>
        <v/>
      </c>
      <c r="I2500" s="8">
        <f>IF(D2500="","",VLOOKUP(D2500, RECETTES!B:G, 6, FALSE)*E2500)</f>
        <v/>
      </c>
      <c r="J2500" s="8">
        <f>IF(G2500="","",G2500*0.20)</f>
        <v/>
      </c>
      <c r="K2500" s="8">
        <f>IF(G2500="","",G2500+J2500)</f>
        <v/>
      </c>
    </row>
    <row r="2501">
      <c r="F2501" s="8" t="n"/>
      <c r="G2501" s="8">
        <f>IF(E2501="","",E2501*F2501)</f>
        <v/>
      </c>
      <c r="H2501" s="8">
        <f>IF(G2501="","",G2501-I2501)</f>
        <v/>
      </c>
      <c r="I2501" s="8">
        <f>IF(D2501="","",VLOOKUP(D2501, RECETTES!B:G, 6, FALSE)*E2501)</f>
        <v/>
      </c>
      <c r="J2501" s="8">
        <f>IF(G2501="","",G2501*0.20)</f>
        <v/>
      </c>
      <c r="K2501" s="8">
        <f>IF(G2501="","",G2501+J2501)</f>
        <v/>
      </c>
    </row>
    <row r="2502">
      <c r="F2502" s="8" t="n"/>
      <c r="G2502" s="8">
        <f>IF(E2502="","",E2502*F2502)</f>
        <v/>
      </c>
      <c r="H2502" s="8">
        <f>IF(G2502="","",G2502-I2502)</f>
        <v/>
      </c>
      <c r="I2502" s="8">
        <f>IF(D2502="","",VLOOKUP(D2502, RECETTES!B:G, 6, FALSE)*E2502)</f>
        <v/>
      </c>
      <c r="J2502" s="8">
        <f>IF(G2502="","",G2502*0.20)</f>
        <v/>
      </c>
      <c r="K2502" s="8">
        <f>IF(G2502="","",G2502+J2502)</f>
        <v/>
      </c>
    </row>
    <row r="2503">
      <c r="F2503" s="8" t="n"/>
      <c r="G2503" s="8">
        <f>IF(E2503="","",E2503*F2503)</f>
        <v/>
      </c>
      <c r="H2503" s="8">
        <f>IF(G2503="","",G2503-I2503)</f>
        <v/>
      </c>
      <c r="I2503" s="8">
        <f>IF(D2503="","",VLOOKUP(D2503, RECETTES!B:G, 6, FALSE)*E2503)</f>
        <v/>
      </c>
      <c r="J2503" s="8">
        <f>IF(G2503="","",G2503*0.20)</f>
        <v/>
      </c>
      <c r="K2503" s="8">
        <f>IF(G2503="","",G2503+J2503)</f>
        <v/>
      </c>
    </row>
    <row r="2504">
      <c r="F2504" s="8" t="n"/>
      <c r="G2504" s="8">
        <f>IF(E2504="","",E2504*F2504)</f>
        <v/>
      </c>
      <c r="H2504" s="8">
        <f>IF(G2504="","",G2504-I2504)</f>
        <v/>
      </c>
      <c r="I2504" s="8">
        <f>IF(D2504="","",VLOOKUP(D2504, RECETTES!B:G, 6, FALSE)*E2504)</f>
        <v/>
      </c>
      <c r="J2504" s="8">
        <f>IF(G2504="","",G2504*0.20)</f>
        <v/>
      </c>
      <c r="K2504" s="8">
        <f>IF(G2504="","",G2504+J2504)</f>
        <v/>
      </c>
    </row>
    <row r="2505">
      <c r="F2505" s="8" t="n"/>
      <c r="G2505" s="8">
        <f>IF(E2505="","",E2505*F2505)</f>
        <v/>
      </c>
      <c r="H2505" s="8">
        <f>IF(G2505="","",G2505-I2505)</f>
        <v/>
      </c>
      <c r="I2505" s="8">
        <f>IF(D2505="","",VLOOKUP(D2505, RECETTES!B:G, 6, FALSE)*E2505)</f>
        <v/>
      </c>
      <c r="J2505" s="8">
        <f>IF(G2505="","",G2505*0.20)</f>
        <v/>
      </c>
      <c r="K2505" s="8">
        <f>IF(G2505="","",G2505+J2505)</f>
        <v/>
      </c>
    </row>
    <row r="2506">
      <c r="F2506" s="8" t="n"/>
      <c r="G2506" s="8">
        <f>IF(E2506="","",E2506*F2506)</f>
        <v/>
      </c>
      <c r="H2506" s="8">
        <f>IF(G2506="","",G2506-I2506)</f>
        <v/>
      </c>
      <c r="I2506" s="8">
        <f>IF(D2506="","",VLOOKUP(D2506, RECETTES!B:G, 6, FALSE)*E2506)</f>
        <v/>
      </c>
      <c r="J2506" s="8">
        <f>IF(G2506="","",G2506*0.20)</f>
        <v/>
      </c>
      <c r="K2506" s="8">
        <f>IF(G2506="","",G2506+J2506)</f>
        <v/>
      </c>
    </row>
    <row r="2507">
      <c r="F2507" s="8" t="n"/>
      <c r="G2507" s="8">
        <f>IF(E2507="","",E2507*F2507)</f>
        <v/>
      </c>
      <c r="H2507" s="8">
        <f>IF(G2507="","",G2507-I2507)</f>
        <v/>
      </c>
      <c r="I2507" s="8">
        <f>IF(D2507="","",VLOOKUP(D2507, RECETTES!B:G, 6, FALSE)*E2507)</f>
        <v/>
      </c>
      <c r="J2507" s="8">
        <f>IF(G2507="","",G2507*0.20)</f>
        <v/>
      </c>
      <c r="K2507" s="8">
        <f>IF(G2507="","",G2507+J2507)</f>
        <v/>
      </c>
    </row>
    <row r="2508">
      <c r="F2508" s="8" t="n"/>
      <c r="G2508" s="8">
        <f>IF(E2508="","",E2508*F2508)</f>
        <v/>
      </c>
      <c r="H2508" s="8">
        <f>IF(G2508="","",G2508-I2508)</f>
        <v/>
      </c>
      <c r="I2508" s="8">
        <f>IF(D2508="","",VLOOKUP(D2508, RECETTES!B:G, 6, FALSE)*E2508)</f>
        <v/>
      </c>
      <c r="J2508" s="8">
        <f>IF(G2508="","",G2508*0.20)</f>
        <v/>
      </c>
      <c r="K2508" s="8">
        <f>IF(G2508="","",G2508+J2508)</f>
        <v/>
      </c>
    </row>
    <row r="2509">
      <c r="F2509" s="8" t="n"/>
      <c r="G2509" s="8">
        <f>IF(E2509="","",E2509*F2509)</f>
        <v/>
      </c>
      <c r="H2509" s="8">
        <f>IF(G2509="","",G2509-I2509)</f>
        <v/>
      </c>
      <c r="I2509" s="8">
        <f>IF(D2509="","",VLOOKUP(D2509, RECETTES!B:G, 6, FALSE)*E2509)</f>
        <v/>
      </c>
      <c r="J2509" s="8">
        <f>IF(G2509="","",G2509*0.20)</f>
        <v/>
      </c>
      <c r="K2509" s="8">
        <f>IF(G2509="","",G2509+J2509)</f>
        <v/>
      </c>
    </row>
    <row r="2510">
      <c r="F2510" s="8" t="n"/>
      <c r="G2510" s="8">
        <f>IF(E2510="","",E2510*F2510)</f>
        <v/>
      </c>
      <c r="H2510" s="8">
        <f>IF(G2510="","",G2510-I2510)</f>
        <v/>
      </c>
      <c r="I2510" s="8">
        <f>IF(D2510="","",VLOOKUP(D2510, RECETTES!B:G, 6, FALSE)*E2510)</f>
        <v/>
      </c>
      <c r="J2510" s="8">
        <f>IF(G2510="","",G2510*0.20)</f>
        <v/>
      </c>
      <c r="K2510" s="8">
        <f>IF(G2510="","",G2510+J2510)</f>
        <v/>
      </c>
    </row>
    <row r="2511">
      <c r="F2511" s="8" t="n"/>
      <c r="G2511" s="8">
        <f>IF(E2511="","",E2511*F2511)</f>
        <v/>
      </c>
      <c r="H2511" s="8">
        <f>IF(G2511="","",G2511-I2511)</f>
        <v/>
      </c>
      <c r="I2511" s="8">
        <f>IF(D2511="","",VLOOKUP(D2511, RECETTES!B:G, 6, FALSE)*E2511)</f>
        <v/>
      </c>
      <c r="J2511" s="8">
        <f>IF(G2511="","",G2511*0.20)</f>
        <v/>
      </c>
      <c r="K2511" s="8">
        <f>IF(G2511="","",G2511+J2511)</f>
        <v/>
      </c>
    </row>
    <row r="2512">
      <c r="F2512" s="8" t="n"/>
      <c r="G2512" s="8">
        <f>IF(E2512="","",E2512*F2512)</f>
        <v/>
      </c>
      <c r="H2512" s="8">
        <f>IF(G2512="","",G2512-I2512)</f>
        <v/>
      </c>
      <c r="I2512" s="8">
        <f>IF(D2512="","",VLOOKUP(D2512, RECETTES!B:G, 6, FALSE)*E2512)</f>
        <v/>
      </c>
      <c r="J2512" s="8">
        <f>IF(G2512="","",G2512*0.20)</f>
        <v/>
      </c>
      <c r="K2512" s="8">
        <f>IF(G2512="","",G2512+J2512)</f>
        <v/>
      </c>
    </row>
    <row r="2513">
      <c r="F2513" s="8" t="n"/>
      <c r="G2513" s="8">
        <f>IF(E2513="","",E2513*F2513)</f>
        <v/>
      </c>
      <c r="H2513" s="8">
        <f>IF(G2513="","",G2513-I2513)</f>
        <v/>
      </c>
      <c r="I2513" s="8">
        <f>IF(D2513="","",VLOOKUP(D2513, RECETTES!B:G, 6, FALSE)*E2513)</f>
        <v/>
      </c>
      <c r="J2513" s="8">
        <f>IF(G2513="","",G2513*0.20)</f>
        <v/>
      </c>
      <c r="K2513" s="8">
        <f>IF(G2513="","",G2513+J2513)</f>
        <v/>
      </c>
    </row>
    <row r="2514">
      <c r="F2514" s="8" t="n"/>
      <c r="G2514" s="8">
        <f>IF(E2514="","",E2514*F2514)</f>
        <v/>
      </c>
      <c r="H2514" s="8">
        <f>IF(G2514="","",G2514-I2514)</f>
        <v/>
      </c>
      <c r="I2514" s="8">
        <f>IF(D2514="","",VLOOKUP(D2514, RECETTES!B:G, 6, FALSE)*E2514)</f>
        <v/>
      </c>
      <c r="J2514" s="8">
        <f>IF(G2514="","",G2514*0.20)</f>
        <v/>
      </c>
      <c r="K2514" s="8">
        <f>IF(G2514="","",G2514+J2514)</f>
        <v/>
      </c>
    </row>
    <row r="2515">
      <c r="F2515" s="8" t="n"/>
      <c r="G2515" s="8">
        <f>IF(E2515="","",E2515*F2515)</f>
        <v/>
      </c>
      <c r="H2515" s="8">
        <f>IF(G2515="","",G2515-I2515)</f>
        <v/>
      </c>
      <c r="I2515" s="8">
        <f>IF(D2515="","",VLOOKUP(D2515, RECETTES!B:G, 6, FALSE)*E2515)</f>
        <v/>
      </c>
      <c r="J2515" s="8">
        <f>IF(G2515="","",G2515*0.20)</f>
        <v/>
      </c>
      <c r="K2515" s="8">
        <f>IF(G2515="","",G2515+J2515)</f>
        <v/>
      </c>
    </row>
    <row r="2516">
      <c r="F2516" s="8" t="n"/>
      <c r="G2516" s="8">
        <f>IF(E2516="","",E2516*F2516)</f>
        <v/>
      </c>
      <c r="H2516" s="8">
        <f>IF(G2516="","",G2516-I2516)</f>
        <v/>
      </c>
      <c r="I2516" s="8">
        <f>IF(D2516="","",VLOOKUP(D2516, RECETTES!B:G, 6, FALSE)*E2516)</f>
        <v/>
      </c>
      <c r="J2516" s="8">
        <f>IF(G2516="","",G2516*0.20)</f>
        <v/>
      </c>
      <c r="K2516" s="8">
        <f>IF(G2516="","",G2516+J2516)</f>
        <v/>
      </c>
    </row>
    <row r="2517">
      <c r="F2517" s="8" t="n"/>
      <c r="G2517" s="8">
        <f>IF(E2517="","",E2517*F2517)</f>
        <v/>
      </c>
      <c r="H2517" s="8">
        <f>IF(G2517="","",G2517-I2517)</f>
        <v/>
      </c>
      <c r="I2517" s="8">
        <f>IF(D2517="","",VLOOKUP(D2517, RECETTES!B:G, 6, FALSE)*E2517)</f>
        <v/>
      </c>
      <c r="J2517" s="8">
        <f>IF(G2517="","",G2517*0.20)</f>
        <v/>
      </c>
      <c r="K2517" s="8">
        <f>IF(G2517="","",G2517+J2517)</f>
        <v/>
      </c>
    </row>
    <row r="2518">
      <c r="F2518" s="8" t="n"/>
      <c r="G2518" s="8">
        <f>IF(E2518="","",E2518*F2518)</f>
        <v/>
      </c>
      <c r="H2518" s="8">
        <f>IF(G2518="","",G2518-I2518)</f>
        <v/>
      </c>
      <c r="I2518" s="8">
        <f>IF(D2518="","",VLOOKUP(D2518, RECETTES!B:G, 6, FALSE)*E2518)</f>
        <v/>
      </c>
      <c r="J2518" s="8">
        <f>IF(G2518="","",G2518*0.20)</f>
        <v/>
      </c>
      <c r="K2518" s="8">
        <f>IF(G2518="","",G2518+J2518)</f>
        <v/>
      </c>
    </row>
    <row r="2519">
      <c r="F2519" s="8" t="n"/>
      <c r="G2519" s="8">
        <f>IF(E2519="","",E2519*F2519)</f>
        <v/>
      </c>
      <c r="H2519" s="8">
        <f>IF(G2519="","",G2519-I2519)</f>
        <v/>
      </c>
      <c r="I2519" s="8">
        <f>IF(D2519="","",VLOOKUP(D2519, RECETTES!B:G, 6, FALSE)*E2519)</f>
        <v/>
      </c>
      <c r="J2519" s="8">
        <f>IF(G2519="","",G2519*0.20)</f>
        <v/>
      </c>
      <c r="K2519" s="8">
        <f>IF(G2519="","",G2519+J2519)</f>
        <v/>
      </c>
    </row>
    <row r="2520">
      <c r="F2520" s="8" t="n"/>
      <c r="G2520" s="8">
        <f>IF(E2520="","",E2520*F2520)</f>
        <v/>
      </c>
      <c r="H2520" s="8">
        <f>IF(G2520="","",G2520-I2520)</f>
        <v/>
      </c>
      <c r="I2520" s="8">
        <f>IF(D2520="","",VLOOKUP(D2520, RECETTES!B:G, 6, FALSE)*E2520)</f>
        <v/>
      </c>
      <c r="J2520" s="8">
        <f>IF(G2520="","",G2520*0.20)</f>
        <v/>
      </c>
      <c r="K2520" s="8">
        <f>IF(G2520="","",G2520+J2520)</f>
        <v/>
      </c>
    </row>
    <row r="2521">
      <c r="F2521" s="8" t="n"/>
      <c r="G2521" s="8">
        <f>IF(E2521="","",E2521*F2521)</f>
        <v/>
      </c>
      <c r="H2521" s="8">
        <f>IF(G2521="","",G2521-I2521)</f>
        <v/>
      </c>
      <c r="I2521" s="8">
        <f>IF(D2521="","",VLOOKUP(D2521, RECETTES!B:G, 6, FALSE)*E2521)</f>
        <v/>
      </c>
      <c r="J2521" s="8">
        <f>IF(G2521="","",G2521*0.20)</f>
        <v/>
      </c>
      <c r="K2521" s="8">
        <f>IF(G2521="","",G2521+J2521)</f>
        <v/>
      </c>
    </row>
    <row r="2522">
      <c r="F2522" s="8" t="n"/>
      <c r="G2522" s="8">
        <f>IF(E2522="","",E2522*F2522)</f>
        <v/>
      </c>
      <c r="H2522" s="8">
        <f>IF(G2522="","",G2522-I2522)</f>
        <v/>
      </c>
      <c r="I2522" s="8">
        <f>IF(D2522="","",VLOOKUP(D2522, RECETTES!B:G, 6, FALSE)*E2522)</f>
        <v/>
      </c>
      <c r="J2522" s="8">
        <f>IF(G2522="","",G2522*0.20)</f>
        <v/>
      </c>
      <c r="K2522" s="8">
        <f>IF(G2522="","",G2522+J2522)</f>
        <v/>
      </c>
    </row>
    <row r="2523">
      <c r="F2523" s="8" t="n"/>
      <c r="G2523" s="8">
        <f>IF(E2523="","",E2523*F2523)</f>
        <v/>
      </c>
      <c r="H2523" s="8">
        <f>IF(G2523="","",G2523-I2523)</f>
        <v/>
      </c>
      <c r="I2523" s="8">
        <f>IF(D2523="","",VLOOKUP(D2523, RECETTES!B:G, 6, FALSE)*E2523)</f>
        <v/>
      </c>
      <c r="J2523" s="8">
        <f>IF(G2523="","",G2523*0.20)</f>
        <v/>
      </c>
      <c r="K2523" s="8">
        <f>IF(G2523="","",G2523+J2523)</f>
        <v/>
      </c>
    </row>
    <row r="2524">
      <c r="F2524" s="8" t="n"/>
      <c r="G2524" s="8">
        <f>IF(E2524="","",E2524*F2524)</f>
        <v/>
      </c>
      <c r="H2524" s="8">
        <f>IF(G2524="","",G2524-I2524)</f>
        <v/>
      </c>
      <c r="I2524" s="8">
        <f>IF(D2524="","",VLOOKUP(D2524, RECETTES!B:G, 6, FALSE)*E2524)</f>
        <v/>
      </c>
      <c r="J2524" s="8">
        <f>IF(G2524="","",G2524*0.20)</f>
        <v/>
      </c>
      <c r="K2524" s="8">
        <f>IF(G2524="","",G2524+J2524)</f>
        <v/>
      </c>
    </row>
    <row r="2525">
      <c r="F2525" s="8" t="n"/>
      <c r="G2525" s="8">
        <f>IF(E2525="","",E2525*F2525)</f>
        <v/>
      </c>
      <c r="H2525" s="8">
        <f>IF(G2525="","",G2525-I2525)</f>
        <v/>
      </c>
      <c r="I2525" s="8">
        <f>IF(D2525="","",VLOOKUP(D2525, RECETTES!B:G, 6, FALSE)*E2525)</f>
        <v/>
      </c>
      <c r="J2525" s="8">
        <f>IF(G2525="","",G2525*0.20)</f>
        <v/>
      </c>
      <c r="K2525" s="8">
        <f>IF(G2525="","",G2525+J2525)</f>
        <v/>
      </c>
    </row>
    <row r="2526">
      <c r="F2526" s="8" t="n"/>
      <c r="G2526" s="8">
        <f>IF(E2526="","",E2526*F2526)</f>
        <v/>
      </c>
      <c r="H2526" s="8">
        <f>IF(G2526="","",G2526-I2526)</f>
        <v/>
      </c>
      <c r="I2526" s="8">
        <f>IF(D2526="","",VLOOKUP(D2526, RECETTES!B:G, 6, FALSE)*E2526)</f>
        <v/>
      </c>
      <c r="J2526" s="8">
        <f>IF(G2526="","",G2526*0.20)</f>
        <v/>
      </c>
      <c r="K2526" s="8">
        <f>IF(G2526="","",G2526+J2526)</f>
        <v/>
      </c>
    </row>
    <row r="2527">
      <c r="F2527" s="8" t="n"/>
      <c r="G2527" s="8">
        <f>IF(E2527="","",E2527*F2527)</f>
        <v/>
      </c>
      <c r="H2527" s="8">
        <f>IF(G2527="","",G2527-I2527)</f>
        <v/>
      </c>
      <c r="I2527" s="8">
        <f>IF(D2527="","",VLOOKUP(D2527, RECETTES!B:G, 6, FALSE)*E2527)</f>
        <v/>
      </c>
      <c r="J2527" s="8">
        <f>IF(G2527="","",G2527*0.20)</f>
        <v/>
      </c>
      <c r="K2527" s="8">
        <f>IF(G2527="","",G2527+J2527)</f>
        <v/>
      </c>
    </row>
    <row r="2528">
      <c r="F2528" s="8" t="n"/>
      <c r="G2528" s="8">
        <f>IF(E2528="","",E2528*F2528)</f>
        <v/>
      </c>
      <c r="H2528" s="8">
        <f>IF(G2528="","",G2528-I2528)</f>
        <v/>
      </c>
      <c r="I2528" s="8">
        <f>IF(D2528="","",VLOOKUP(D2528, RECETTES!B:G, 6, FALSE)*E2528)</f>
        <v/>
      </c>
      <c r="J2528" s="8">
        <f>IF(G2528="","",G2528*0.20)</f>
        <v/>
      </c>
      <c r="K2528" s="8">
        <f>IF(G2528="","",G2528+J2528)</f>
        <v/>
      </c>
    </row>
    <row r="2529">
      <c r="F2529" s="8" t="n"/>
      <c r="G2529" s="8">
        <f>IF(E2529="","",E2529*F2529)</f>
        <v/>
      </c>
      <c r="H2529" s="8">
        <f>IF(G2529="","",G2529-I2529)</f>
        <v/>
      </c>
      <c r="I2529" s="8">
        <f>IF(D2529="","",VLOOKUP(D2529, RECETTES!B:G, 6, FALSE)*E2529)</f>
        <v/>
      </c>
      <c r="J2529" s="8">
        <f>IF(G2529="","",G2529*0.20)</f>
        <v/>
      </c>
      <c r="K2529" s="8">
        <f>IF(G2529="","",G2529+J2529)</f>
        <v/>
      </c>
    </row>
    <row r="2530">
      <c r="F2530" s="8" t="n"/>
      <c r="G2530" s="8">
        <f>IF(E2530="","",E2530*F2530)</f>
        <v/>
      </c>
      <c r="H2530" s="8">
        <f>IF(G2530="","",G2530-I2530)</f>
        <v/>
      </c>
      <c r="I2530" s="8">
        <f>IF(D2530="","",VLOOKUP(D2530, RECETTES!B:G, 6, FALSE)*E2530)</f>
        <v/>
      </c>
      <c r="J2530" s="8">
        <f>IF(G2530="","",G2530*0.20)</f>
        <v/>
      </c>
      <c r="K2530" s="8">
        <f>IF(G2530="","",G2530+J2530)</f>
        <v/>
      </c>
    </row>
    <row r="2531">
      <c r="F2531" s="8" t="n"/>
      <c r="G2531" s="8">
        <f>IF(E2531="","",E2531*F2531)</f>
        <v/>
      </c>
      <c r="H2531" s="8">
        <f>IF(G2531="","",G2531-I2531)</f>
        <v/>
      </c>
      <c r="I2531" s="8">
        <f>IF(D2531="","",VLOOKUP(D2531, RECETTES!B:G, 6, FALSE)*E2531)</f>
        <v/>
      </c>
      <c r="J2531" s="8">
        <f>IF(G2531="","",G2531*0.20)</f>
        <v/>
      </c>
      <c r="K2531" s="8">
        <f>IF(G2531="","",G2531+J2531)</f>
        <v/>
      </c>
    </row>
    <row r="2532">
      <c r="F2532" s="8" t="n"/>
      <c r="G2532" s="8">
        <f>IF(E2532="","",E2532*F2532)</f>
        <v/>
      </c>
      <c r="H2532" s="8">
        <f>IF(G2532="","",G2532-I2532)</f>
        <v/>
      </c>
      <c r="I2532" s="8">
        <f>IF(D2532="","",VLOOKUP(D2532, RECETTES!B:G, 6, FALSE)*E2532)</f>
        <v/>
      </c>
      <c r="J2532" s="8">
        <f>IF(G2532="","",G2532*0.20)</f>
        <v/>
      </c>
      <c r="K2532" s="8">
        <f>IF(G2532="","",G2532+J2532)</f>
        <v/>
      </c>
    </row>
    <row r="2533">
      <c r="F2533" s="8" t="n"/>
      <c r="G2533" s="8">
        <f>IF(E2533="","",E2533*F2533)</f>
        <v/>
      </c>
      <c r="H2533" s="8">
        <f>IF(G2533="","",G2533-I2533)</f>
        <v/>
      </c>
      <c r="I2533" s="8">
        <f>IF(D2533="","",VLOOKUP(D2533, RECETTES!B:G, 6, FALSE)*E2533)</f>
        <v/>
      </c>
      <c r="J2533" s="8">
        <f>IF(G2533="","",G2533*0.20)</f>
        <v/>
      </c>
      <c r="K2533" s="8">
        <f>IF(G2533="","",G2533+J2533)</f>
        <v/>
      </c>
    </row>
    <row r="2534">
      <c r="F2534" s="8" t="n"/>
      <c r="G2534" s="8">
        <f>IF(E2534="","",E2534*F2534)</f>
        <v/>
      </c>
      <c r="H2534" s="8">
        <f>IF(G2534="","",G2534-I2534)</f>
        <v/>
      </c>
      <c r="I2534" s="8">
        <f>IF(D2534="","",VLOOKUP(D2534, RECETTES!B:G, 6, FALSE)*E2534)</f>
        <v/>
      </c>
      <c r="J2534" s="8">
        <f>IF(G2534="","",G2534*0.20)</f>
        <v/>
      </c>
      <c r="K2534" s="8">
        <f>IF(G2534="","",G2534+J2534)</f>
        <v/>
      </c>
    </row>
    <row r="2535">
      <c r="F2535" s="8" t="n"/>
      <c r="G2535" s="8">
        <f>IF(E2535="","",E2535*F2535)</f>
        <v/>
      </c>
      <c r="H2535" s="8">
        <f>IF(G2535="","",G2535-I2535)</f>
        <v/>
      </c>
      <c r="I2535" s="8">
        <f>IF(D2535="","",VLOOKUP(D2535, RECETTES!B:G, 6, FALSE)*E2535)</f>
        <v/>
      </c>
      <c r="J2535" s="8">
        <f>IF(G2535="","",G2535*0.20)</f>
        <v/>
      </c>
      <c r="K2535" s="8">
        <f>IF(G2535="","",G2535+J2535)</f>
        <v/>
      </c>
    </row>
    <row r="2536">
      <c r="F2536" s="8" t="n"/>
      <c r="G2536" s="8">
        <f>IF(E2536="","",E2536*F2536)</f>
        <v/>
      </c>
      <c r="H2536" s="8">
        <f>IF(G2536="","",G2536-I2536)</f>
        <v/>
      </c>
      <c r="I2536" s="8">
        <f>IF(D2536="","",VLOOKUP(D2536, RECETTES!B:G, 6, FALSE)*E2536)</f>
        <v/>
      </c>
      <c r="J2536" s="8">
        <f>IF(G2536="","",G2536*0.20)</f>
        <v/>
      </c>
      <c r="K2536" s="8">
        <f>IF(G2536="","",G2536+J2536)</f>
        <v/>
      </c>
    </row>
    <row r="2537">
      <c r="F2537" s="8" t="n"/>
      <c r="G2537" s="8">
        <f>IF(E2537="","",E2537*F2537)</f>
        <v/>
      </c>
      <c r="H2537" s="8">
        <f>IF(G2537="","",G2537-I2537)</f>
        <v/>
      </c>
      <c r="I2537" s="8">
        <f>IF(D2537="","",VLOOKUP(D2537, RECETTES!B:G, 6, FALSE)*E2537)</f>
        <v/>
      </c>
      <c r="J2537" s="8">
        <f>IF(G2537="","",G2537*0.20)</f>
        <v/>
      </c>
      <c r="K2537" s="8">
        <f>IF(G2537="","",G2537+J2537)</f>
        <v/>
      </c>
    </row>
    <row r="2538">
      <c r="F2538" s="8" t="n"/>
      <c r="G2538" s="8">
        <f>IF(E2538="","",E2538*F2538)</f>
        <v/>
      </c>
      <c r="H2538" s="8">
        <f>IF(G2538="","",G2538-I2538)</f>
        <v/>
      </c>
      <c r="I2538" s="8">
        <f>IF(D2538="","",VLOOKUP(D2538, RECETTES!B:G, 6, FALSE)*E2538)</f>
        <v/>
      </c>
      <c r="J2538" s="8">
        <f>IF(G2538="","",G2538*0.20)</f>
        <v/>
      </c>
      <c r="K2538" s="8">
        <f>IF(G2538="","",G2538+J2538)</f>
        <v/>
      </c>
    </row>
    <row r="2539">
      <c r="F2539" s="8" t="n"/>
      <c r="G2539" s="8">
        <f>IF(E2539="","",E2539*F2539)</f>
        <v/>
      </c>
      <c r="H2539" s="8">
        <f>IF(G2539="","",G2539-I2539)</f>
        <v/>
      </c>
      <c r="I2539" s="8">
        <f>IF(D2539="","",VLOOKUP(D2539, RECETTES!B:G, 6, FALSE)*E2539)</f>
        <v/>
      </c>
      <c r="J2539" s="8">
        <f>IF(G2539="","",G2539*0.20)</f>
        <v/>
      </c>
      <c r="K2539" s="8">
        <f>IF(G2539="","",G2539+J2539)</f>
        <v/>
      </c>
    </row>
    <row r="2540">
      <c r="F2540" s="8" t="n"/>
      <c r="G2540" s="8">
        <f>IF(E2540="","",E2540*F2540)</f>
        <v/>
      </c>
      <c r="H2540" s="8">
        <f>IF(G2540="","",G2540-I2540)</f>
        <v/>
      </c>
      <c r="I2540" s="8">
        <f>IF(D2540="","",VLOOKUP(D2540, RECETTES!B:G, 6, FALSE)*E2540)</f>
        <v/>
      </c>
      <c r="J2540" s="8">
        <f>IF(G2540="","",G2540*0.20)</f>
        <v/>
      </c>
      <c r="K2540" s="8">
        <f>IF(G2540="","",G2540+J2540)</f>
        <v/>
      </c>
    </row>
    <row r="2541">
      <c r="F2541" s="8" t="n"/>
      <c r="G2541" s="8">
        <f>IF(E2541="","",E2541*F2541)</f>
        <v/>
      </c>
      <c r="H2541" s="8">
        <f>IF(G2541="","",G2541-I2541)</f>
        <v/>
      </c>
      <c r="I2541" s="8">
        <f>IF(D2541="","",VLOOKUP(D2541, RECETTES!B:G, 6, FALSE)*E2541)</f>
        <v/>
      </c>
      <c r="J2541" s="8">
        <f>IF(G2541="","",G2541*0.20)</f>
        <v/>
      </c>
      <c r="K2541" s="8">
        <f>IF(G2541="","",G2541+J2541)</f>
        <v/>
      </c>
    </row>
    <row r="2542">
      <c r="F2542" s="8" t="n"/>
      <c r="G2542" s="8">
        <f>IF(E2542="","",E2542*F2542)</f>
        <v/>
      </c>
      <c r="H2542" s="8">
        <f>IF(G2542="","",G2542-I2542)</f>
        <v/>
      </c>
      <c r="I2542" s="8">
        <f>IF(D2542="","",VLOOKUP(D2542, RECETTES!B:G, 6, FALSE)*E2542)</f>
        <v/>
      </c>
      <c r="J2542" s="8">
        <f>IF(G2542="","",G2542*0.20)</f>
        <v/>
      </c>
      <c r="K2542" s="8">
        <f>IF(G2542="","",G2542+J2542)</f>
        <v/>
      </c>
    </row>
    <row r="2543">
      <c r="F2543" s="8" t="n"/>
      <c r="G2543" s="8">
        <f>IF(E2543="","",E2543*F2543)</f>
        <v/>
      </c>
      <c r="H2543" s="8">
        <f>IF(G2543="","",G2543-I2543)</f>
        <v/>
      </c>
      <c r="I2543" s="8">
        <f>IF(D2543="","",VLOOKUP(D2543, RECETTES!B:G, 6, FALSE)*E2543)</f>
        <v/>
      </c>
      <c r="J2543" s="8">
        <f>IF(G2543="","",G2543*0.20)</f>
        <v/>
      </c>
      <c r="K2543" s="8">
        <f>IF(G2543="","",G2543+J2543)</f>
        <v/>
      </c>
    </row>
    <row r="2544">
      <c r="F2544" s="8" t="n"/>
      <c r="G2544" s="8">
        <f>IF(E2544="","",E2544*F2544)</f>
        <v/>
      </c>
      <c r="H2544" s="8">
        <f>IF(G2544="","",G2544-I2544)</f>
        <v/>
      </c>
      <c r="I2544" s="8">
        <f>IF(D2544="","",VLOOKUP(D2544, RECETTES!B:G, 6, FALSE)*E2544)</f>
        <v/>
      </c>
      <c r="J2544" s="8">
        <f>IF(G2544="","",G2544*0.20)</f>
        <v/>
      </c>
      <c r="K2544" s="8">
        <f>IF(G2544="","",G2544+J2544)</f>
        <v/>
      </c>
    </row>
    <row r="2545">
      <c r="F2545" s="8" t="n"/>
      <c r="G2545" s="8">
        <f>IF(E2545="","",E2545*F2545)</f>
        <v/>
      </c>
      <c r="H2545" s="8">
        <f>IF(G2545="","",G2545-I2545)</f>
        <v/>
      </c>
      <c r="I2545" s="8">
        <f>IF(D2545="","",VLOOKUP(D2545, RECETTES!B:G, 6, FALSE)*E2545)</f>
        <v/>
      </c>
      <c r="J2545" s="8">
        <f>IF(G2545="","",G2545*0.20)</f>
        <v/>
      </c>
      <c r="K2545" s="8">
        <f>IF(G2545="","",G2545+J2545)</f>
        <v/>
      </c>
    </row>
    <row r="2546">
      <c r="F2546" s="8" t="n"/>
      <c r="G2546" s="8">
        <f>IF(E2546="","",E2546*F2546)</f>
        <v/>
      </c>
      <c r="H2546" s="8">
        <f>IF(G2546="","",G2546-I2546)</f>
        <v/>
      </c>
      <c r="I2546" s="8">
        <f>IF(D2546="","",VLOOKUP(D2546, RECETTES!B:G, 6, FALSE)*E2546)</f>
        <v/>
      </c>
      <c r="J2546" s="8">
        <f>IF(G2546="","",G2546*0.20)</f>
        <v/>
      </c>
      <c r="K2546" s="8">
        <f>IF(G2546="","",G2546+J2546)</f>
        <v/>
      </c>
    </row>
    <row r="2547">
      <c r="F2547" s="8" t="n"/>
      <c r="G2547" s="8">
        <f>IF(E2547="","",E2547*F2547)</f>
        <v/>
      </c>
      <c r="H2547" s="8">
        <f>IF(G2547="","",G2547-I2547)</f>
        <v/>
      </c>
      <c r="I2547" s="8">
        <f>IF(D2547="","",VLOOKUP(D2547, RECETTES!B:G, 6, FALSE)*E2547)</f>
        <v/>
      </c>
      <c r="J2547" s="8">
        <f>IF(G2547="","",G2547*0.20)</f>
        <v/>
      </c>
      <c r="K2547" s="8">
        <f>IF(G2547="","",G2547+J2547)</f>
        <v/>
      </c>
    </row>
    <row r="2548">
      <c r="F2548" s="8" t="n"/>
      <c r="G2548" s="8">
        <f>IF(E2548="","",E2548*F2548)</f>
        <v/>
      </c>
      <c r="H2548" s="8">
        <f>IF(G2548="","",G2548-I2548)</f>
        <v/>
      </c>
      <c r="I2548" s="8">
        <f>IF(D2548="","",VLOOKUP(D2548, RECETTES!B:G, 6, FALSE)*E2548)</f>
        <v/>
      </c>
      <c r="J2548" s="8">
        <f>IF(G2548="","",G2548*0.20)</f>
        <v/>
      </c>
      <c r="K2548" s="8">
        <f>IF(G2548="","",G2548+J2548)</f>
        <v/>
      </c>
    </row>
    <row r="2549">
      <c r="F2549" s="8" t="n"/>
      <c r="G2549" s="8">
        <f>IF(E2549="","",E2549*F2549)</f>
        <v/>
      </c>
      <c r="H2549" s="8">
        <f>IF(G2549="","",G2549-I2549)</f>
        <v/>
      </c>
      <c r="I2549" s="8">
        <f>IF(D2549="","",VLOOKUP(D2549, RECETTES!B:G, 6, FALSE)*E2549)</f>
        <v/>
      </c>
      <c r="J2549" s="8">
        <f>IF(G2549="","",G2549*0.20)</f>
        <v/>
      </c>
      <c r="K2549" s="8">
        <f>IF(G2549="","",G2549+J2549)</f>
        <v/>
      </c>
    </row>
    <row r="2550">
      <c r="F2550" s="8" t="n"/>
      <c r="G2550" s="8">
        <f>IF(E2550="","",E2550*F2550)</f>
        <v/>
      </c>
      <c r="H2550" s="8">
        <f>IF(G2550="","",G2550-I2550)</f>
        <v/>
      </c>
      <c r="I2550" s="8">
        <f>IF(D2550="","",VLOOKUP(D2550, RECETTES!B:G, 6, FALSE)*E2550)</f>
        <v/>
      </c>
      <c r="J2550" s="8">
        <f>IF(G2550="","",G2550*0.20)</f>
        <v/>
      </c>
      <c r="K2550" s="8">
        <f>IF(G2550="","",G2550+J2550)</f>
        <v/>
      </c>
    </row>
    <row r="2551">
      <c r="F2551" s="8" t="n"/>
      <c r="G2551" s="8">
        <f>IF(E2551="","",E2551*F2551)</f>
        <v/>
      </c>
      <c r="H2551" s="8">
        <f>IF(G2551="","",G2551-I2551)</f>
        <v/>
      </c>
      <c r="I2551" s="8">
        <f>IF(D2551="","",VLOOKUP(D2551, RECETTES!B:G, 6, FALSE)*E2551)</f>
        <v/>
      </c>
      <c r="J2551" s="8">
        <f>IF(G2551="","",G2551*0.20)</f>
        <v/>
      </c>
      <c r="K2551" s="8">
        <f>IF(G2551="","",G2551+J2551)</f>
        <v/>
      </c>
    </row>
    <row r="2552">
      <c r="F2552" s="8" t="n"/>
      <c r="G2552" s="8">
        <f>IF(E2552="","",E2552*F2552)</f>
        <v/>
      </c>
      <c r="H2552" s="8">
        <f>IF(G2552="","",G2552-I2552)</f>
        <v/>
      </c>
      <c r="I2552" s="8">
        <f>IF(D2552="","",VLOOKUP(D2552, RECETTES!B:G, 6, FALSE)*E2552)</f>
        <v/>
      </c>
      <c r="J2552" s="8">
        <f>IF(G2552="","",G2552*0.20)</f>
        <v/>
      </c>
      <c r="K2552" s="8">
        <f>IF(G2552="","",G2552+J2552)</f>
        <v/>
      </c>
    </row>
    <row r="2553">
      <c r="F2553" s="8" t="n"/>
      <c r="G2553" s="8">
        <f>IF(E2553="","",E2553*F2553)</f>
        <v/>
      </c>
      <c r="H2553" s="8">
        <f>IF(G2553="","",G2553-I2553)</f>
        <v/>
      </c>
      <c r="I2553" s="8">
        <f>IF(D2553="","",VLOOKUP(D2553, RECETTES!B:G, 6, FALSE)*E2553)</f>
        <v/>
      </c>
      <c r="J2553" s="8">
        <f>IF(G2553="","",G2553*0.20)</f>
        <v/>
      </c>
      <c r="K2553" s="8">
        <f>IF(G2553="","",G2553+J2553)</f>
        <v/>
      </c>
    </row>
    <row r="2554">
      <c r="F2554" s="8" t="n"/>
      <c r="G2554" s="8">
        <f>IF(E2554="","",E2554*F2554)</f>
        <v/>
      </c>
      <c r="H2554" s="8">
        <f>IF(G2554="","",G2554-I2554)</f>
        <v/>
      </c>
      <c r="I2554" s="8">
        <f>IF(D2554="","",VLOOKUP(D2554, RECETTES!B:G, 6, FALSE)*E2554)</f>
        <v/>
      </c>
      <c r="J2554" s="8">
        <f>IF(G2554="","",G2554*0.20)</f>
        <v/>
      </c>
      <c r="K2554" s="8">
        <f>IF(G2554="","",G2554+J2554)</f>
        <v/>
      </c>
    </row>
    <row r="2555">
      <c r="F2555" s="8" t="n"/>
      <c r="G2555" s="8">
        <f>IF(E2555="","",E2555*F2555)</f>
        <v/>
      </c>
      <c r="H2555" s="8">
        <f>IF(G2555="","",G2555-I2555)</f>
        <v/>
      </c>
      <c r="I2555" s="8">
        <f>IF(D2555="","",VLOOKUP(D2555, RECETTES!B:G, 6, FALSE)*E2555)</f>
        <v/>
      </c>
      <c r="J2555" s="8">
        <f>IF(G2555="","",G2555*0.20)</f>
        <v/>
      </c>
      <c r="K2555" s="8">
        <f>IF(G2555="","",G2555+J2555)</f>
        <v/>
      </c>
    </row>
    <row r="2556">
      <c r="F2556" s="8" t="n"/>
      <c r="G2556" s="8">
        <f>IF(E2556="","",E2556*F2556)</f>
        <v/>
      </c>
      <c r="H2556" s="8">
        <f>IF(G2556="","",G2556-I2556)</f>
        <v/>
      </c>
      <c r="I2556" s="8">
        <f>IF(D2556="","",VLOOKUP(D2556, RECETTES!B:G, 6, FALSE)*E2556)</f>
        <v/>
      </c>
      <c r="J2556" s="8">
        <f>IF(G2556="","",G2556*0.20)</f>
        <v/>
      </c>
      <c r="K2556" s="8">
        <f>IF(G2556="","",G2556+J2556)</f>
        <v/>
      </c>
    </row>
    <row r="2557">
      <c r="F2557" s="8" t="n"/>
      <c r="G2557" s="8">
        <f>IF(E2557="","",E2557*F2557)</f>
        <v/>
      </c>
      <c r="H2557" s="8">
        <f>IF(G2557="","",G2557-I2557)</f>
        <v/>
      </c>
      <c r="I2557" s="8">
        <f>IF(D2557="","",VLOOKUP(D2557, RECETTES!B:G, 6, FALSE)*E2557)</f>
        <v/>
      </c>
      <c r="J2557" s="8">
        <f>IF(G2557="","",G2557*0.20)</f>
        <v/>
      </c>
      <c r="K2557" s="8">
        <f>IF(G2557="","",G2557+J2557)</f>
        <v/>
      </c>
    </row>
    <row r="2558">
      <c r="F2558" s="8" t="n"/>
      <c r="G2558" s="8">
        <f>IF(E2558="","",E2558*F2558)</f>
        <v/>
      </c>
      <c r="H2558" s="8">
        <f>IF(G2558="","",G2558-I2558)</f>
        <v/>
      </c>
      <c r="I2558" s="8">
        <f>IF(D2558="","",VLOOKUP(D2558, RECETTES!B:G, 6, FALSE)*E2558)</f>
        <v/>
      </c>
      <c r="J2558" s="8">
        <f>IF(G2558="","",G2558*0.20)</f>
        <v/>
      </c>
      <c r="K2558" s="8">
        <f>IF(G2558="","",G2558+J2558)</f>
        <v/>
      </c>
    </row>
    <row r="2559">
      <c r="F2559" s="8" t="n"/>
      <c r="G2559" s="8">
        <f>IF(E2559="","",E2559*F2559)</f>
        <v/>
      </c>
      <c r="H2559" s="8">
        <f>IF(G2559="","",G2559-I2559)</f>
        <v/>
      </c>
      <c r="I2559" s="8">
        <f>IF(D2559="","",VLOOKUP(D2559, RECETTES!B:G, 6, FALSE)*E2559)</f>
        <v/>
      </c>
      <c r="J2559" s="8">
        <f>IF(G2559="","",G2559*0.20)</f>
        <v/>
      </c>
      <c r="K2559" s="8">
        <f>IF(G2559="","",G2559+J2559)</f>
        <v/>
      </c>
    </row>
    <row r="2560">
      <c r="F2560" s="8" t="n"/>
      <c r="G2560" s="8">
        <f>IF(E2560="","",E2560*F2560)</f>
        <v/>
      </c>
      <c r="H2560" s="8">
        <f>IF(G2560="","",G2560-I2560)</f>
        <v/>
      </c>
      <c r="I2560" s="8">
        <f>IF(D2560="","",VLOOKUP(D2560, RECETTES!B:G, 6, FALSE)*E2560)</f>
        <v/>
      </c>
      <c r="J2560" s="8">
        <f>IF(G2560="","",G2560*0.20)</f>
        <v/>
      </c>
      <c r="K2560" s="8">
        <f>IF(G2560="","",G2560+J2560)</f>
        <v/>
      </c>
    </row>
    <row r="2561">
      <c r="F2561" s="8" t="n"/>
      <c r="G2561" s="8">
        <f>IF(E2561="","",E2561*F2561)</f>
        <v/>
      </c>
      <c r="H2561" s="8">
        <f>IF(G2561="","",G2561-I2561)</f>
        <v/>
      </c>
      <c r="I2561" s="8">
        <f>IF(D2561="","",VLOOKUP(D2561, RECETTES!B:G, 6, FALSE)*E2561)</f>
        <v/>
      </c>
      <c r="J2561" s="8">
        <f>IF(G2561="","",G2561*0.20)</f>
        <v/>
      </c>
      <c r="K2561" s="8">
        <f>IF(G2561="","",G2561+J2561)</f>
        <v/>
      </c>
    </row>
    <row r="2562">
      <c r="F2562" s="8" t="n"/>
      <c r="G2562" s="8">
        <f>IF(E2562="","",E2562*F2562)</f>
        <v/>
      </c>
      <c r="H2562" s="8">
        <f>IF(G2562="","",G2562-I2562)</f>
        <v/>
      </c>
      <c r="I2562" s="8">
        <f>IF(D2562="","",VLOOKUP(D2562, RECETTES!B:G, 6, FALSE)*E2562)</f>
        <v/>
      </c>
      <c r="J2562" s="8">
        <f>IF(G2562="","",G2562*0.20)</f>
        <v/>
      </c>
      <c r="K2562" s="8">
        <f>IF(G2562="","",G2562+J2562)</f>
        <v/>
      </c>
    </row>
    <row r="2563">
      <c r="F2563" s="8" t="n"/>
      <c r="G2563" s="8">
        <f>IF(E2563="","",E2563*F2563)</f>
        <v/>
      </c>
      <c r="H2563" s="8">
        <f>IF(G2563="","",G2563-I2563)</f>
        <v/>
      </c>
      <c r="I2563" s="8">
        <f>IF(D2563="","",VLOOKUP(D2563, RECETTES!B:G, 6, FALSE)*E2563)</f>
        <v/>
      </c>
      <c r="J2563" s="8">
        <f>IF(G2563="","",G2563*0.20)</f>
        <v/>
      </c>
      <c r="K2563" s="8">
        <f>IF(G2563="","",G2563+J2563)</f>
        <v/>
      </c>
    </row>
    <row r="2564">
      <c r="F2564" s="8" t="n"/>
      <c r="G2564" s="8">
        <f>IF(E2564="","",E2564*F2564)</f>
        <v/>
      </c>
      <c r="H2564" s="8">
        <f>IF(G2564="","",G2564-I2564)</f>
        <v/>
      </c>
      <c r="I2564" s="8">
        <f>IF(D2564="","",VLOOKUP(D2564, RECETTES!B:G, 6, FALSE)*E2564)</f>
        <v/>
      </c>
      <c r="J2564" s="8">
        <f>IF(G2564="","",G2564*0.20)</f>
        <v/>
      </c>
      <c r="K2564" s="8">
        <f>IF(G2564="","",G2564+J2564)</f>
        <v/>
      </c>
    </row>
    <row r="2565">
      <c r="F2565" s="8" t="n"/>
      <c r="G2565" s="8">
        <f>IF(E2565="","",E2565*F2565)</f>
        <v/>
      </c>
      <c r="H2565" s="8">
        <f>IF(G2565="","",G2565-I2565)</f>
        <v/>
      </c>
      <c r="I2565" s="8">
        <f>IF(D2565="","",VLOOKUP(D2565, RECETTES!B:G, 6, FALSE)*E2565)</f>
        <v/>
      </c>
      <c r="J2565" s="8">
        <f>IF(G2565="","",G2565*0.20)</f>
        <v/>
      </c>
      <c r="K2565" s="8">
        <f>IF(G2565="","",G2565+J2565)</f>
        <v/>
      </c>
    </row>
    <row r="2566">
      <c r="F2566" s="8" t="n"/>
      <c r="G2566" s="8">
        <f>IF(E2566="","",E2566*F2566)</f>
        <v/>
      </c>
      <c r="H2566" s="8">
        <f>IF(G2566="","",G2566-I2566)</f>
        <v/>
      </c>
      <c r="I2566" s="8">
        <f>IF(D2566="","",VLOOKUP(D2566, RECETTES!B:G, 6, FALSE)*E2566)</f>
        <v/>
      </c>
      <c r="J2566" s="8">
        <f>IF(G2566="","",G2566*0.20)</f>
        <v/>
      </c>
      <c r="K2566" s="8">
        <f>IF(G2566="","",G2566+J2566)</f>
        <v/>
      </c>
    </row>
    <row r="2567">
      <c r="F2567" s="8" t="n"/>
      <c r="G2567" s="8">
        <f>IF(E2567="","",E2567*F2567)</f>
        <v/>
      </c>
      <c r="H2567" s="8">
        <f>IF(G2567="","",G2567-I2567)</f>
        <v/>
      </c>
      <c r="I2567" s="8">
        <f>IF(D2567="","",VLOOKUP(D2567, RECETTES!B:G, 6, FALSE)*E2567)</f>
        <v/>
      </c>
      <c r="J2567" s="8">
        <f>IF(G2567="","",G2567*0.20)</f>
        <v/>
      </c>
      <c r="K2567" s="8">
        <f>IF(G2567="","",G2567+J2567)</f>
        <v/>
      </c>
    </row>
    <row r="2568">
      <c r="F2568" s="8" t="n"/>
      <c r="G2568" s="8">
        <f>IF(E2568="","",E2568*F2568)</f>
        <v/>
      </c>
      <c r="H2568" s="8">
        <f>IF(G2568="","",G2568-I2568)</f>
        <v/>
      </c>
      <c r="I2568" s="8">
        <f>IF(D2568="","",VLOOKUP(D2568, RECETTES!B:G, 6, FALSE)*E2568)</f>
        <v/>
      </c>
      <c r="J2568" s="8">
        <f>IF(G2568="","",G2568*0.20)</f>
        <v/>
      </c>
      <c r="K2568" s="8">
        <f>IF(G2568="","",G2568+J2568)</f>
        <v/>
      </c>
    </row>
    <row r="2569">
      <c r="F2569" s="8" t="n"/>
      <c r="G2569" s="8">
        <f>IF(E2569="","",E2569*F2569)</f>
        <v/>
      </c>
      <c r="H2569" s="8">
        <f>IF(G2569="","",G2569-I2569)</f>
        <v/>
      </c>
      <c r="I2569" s="8">
        <f>IF(D2569="","",VLOOKUP(D2569, RECETTES!B:G, 6, FALSE)*E2569)</f>
        <v/>
      </c>
      <c r="J2569" s="8">
        <f>IF(G2569="","",G2569*0.20)</f>
        <v/>
      </c>
      <c r="K2569" s="8">
        <f>IF(G2569="","",G2569+J2569)</f>
        <v/>
      </c>
    </row>
    <row r="2570">
      <c r="F2570" s="8" t="n"/>
      <c r="G2570" s="8">
        <f>IF(E2570="","",E2570*F2570)</f>
        <v/>
      </c>
      <c r="H2570" s="8">
        <f>IF(G2570="","",G2570-I2570)</f>
        <v/>
      </c>
      <c r="I2570" s="8">
        <f>IF(D2570="","",VLOOKUP(D2570, RECETTES!B:G, 6, FALSE)*E2570)</f>
        <v/>
      </c>
      <c r="J2570" s="8">
        <f>IF(G2570="","",G2570*0.20)</f>
        <v/>
      </c>
      <c r="K2570" s="8">
        <f>IF(G2570="","",G2570+J2570)</f>
        <v/>
      </c>
    </row>
    <row r="2571">
      <c r="F2571" s="8" t="n"/>
      <c r="G2571" s="8">
        <f>IF(E2571="","",E2571*F2571)</f>
        <v/>
      </c>
      <c r="H2571" s="8">
        <f>IF(G2571="","",G2571-I2571)</f>
        <v/>
      </c>
      <c r="I2571" s="8">
        <f>IF(D2571="","",VLOOKUP(D2571, RECETTES!B:G, 6, FALSE)*E2571)</f>
        <v/>
      </c>
      <c r="J2571" s="8">
        <f>IF(G2571="","",G2571*0.20)</f>
        <v/>
      </c>
      <c r="K2571" s="8">
        <f>IF(G2571="","",G2571+J2571)</f>
        <v/>
      </c>
    </row>
    <row r="2572">
      <c r="F2572" s="8" t="n"/>
      <c r="G2572" s="8">
        <f>IF(E2572="","",E2572*F2572)</f>
        <v/>
      </c>
      <c r="H2572" s="8">
        <f>IF(G2572="","",G2572-I2572)</f>
        <v/>
      </c>
      <c r="I2572" s="8">
        <f>IF(D2572="","",VLOOKUP(D2572, RECETTES!B:G, 6, FALSE)*E2572)</f>
        <v/>
      </c>
      <c r="J2572" s="8">
        <f>IF(G2572="","",G2572*0.20)</f>
        <v/>
      </c>
      <c r="K2572" s="8">
        <f>IF(G2572="","",G2572+J2572)</f>
        <v/>
      </c>
    </row>
    <row r="2573">
      <c r="F2573" s="8" t="n"/>
      <c r="G2573" s="8">
        <f>IF(E2573="","",E2573*F2573)</f>
        <v/>
      </c>
      <c r="H2573" s="8">
        <f>IF(G2573="","",G2573-I2573)</f>
        <v/>
      </c>
      <c r="I2573" s="8">
        <f>IF(D2573="","",VLOOKUP(D2573, RECETTES!B:G, 6, FALSE)*E2573)</f>
        <v/>
      </c>
      <c r="J2573" s="8">
        <f>IF(G2573="","",G2573*0.20)</f>
        <v/>
      </c>
      <c r="K2573" s="8">
        <f>IF(G2573="","",G2573+J2573)</f>
        <v/>
      </c>
    </row>
    <row r="2574">
      <c r="F2574" s="8" t="n"/>
      <c r="G2574" s="8">
        <f>IF(E2574="","",E2574*F2574)</f>
        <v/>
      </c>
      <c r="H2574" s="8">
        <f>IF(G2574="","",G2574-I2574)</f>
        <v/>
      </c>
      <c r="I2574" s="8">
        <f>IF(D2574="","",VLOOKUP(D2574, RECETTES!B:G, 6, FALSE)*E2574)</f>
        <v/>
      </c>
      <c r="J2574" s="8">
        <f>IF(G2574="","",G2574*0.20)</f>
        <v/>
      </c>
      <c r="K2574" s="8">
        <f>IF(G2574="","",G2574+J2574)</f>
        <v/>
      </c>
    </row>
    <row r="2575">
      <c r="F2575" s="8" t="n"/>
      <c r="G2575" s="8">
        <f>IF(E2575="","",E2575*F2575)</f>
        <v/>
      </c>
      <c r="H2575" s="8">
        <f>IF(G2575="","",G2575-I2575)</f>
        <v/>
      </c>
      <c r="I2575" s="8">
        <f>IF(D2575="","",VLOOKUP(D2575, RECETTES!B:G, 6, FALSE)*E2575)</f>
        <v/>
      </c>
      <c r="J2575" s="8">
        <f>IF(G2575="","",G2575*0.20)</f>
        <v/>
      </c>
      <c r="K2575" s="8">
        <f>IF(G2575="","",G2575+J2575)</f>
        <v/>
      </c>
    </row>
    <row r="2576">
      <c r="F2576" s="8" t="n"/>
      <c r="G2576" s="8">
        <f>IF(E2576="","",E2576*F2576)</f>
        <v/>
      </c>
      <c r="H2576" s="8">
        <f>IF(G2576="","",G2576-I2576)</f>
        <v/>
      </c>
      <c r="I2576" s="8">
        <f>IF(D2576="","",VLOOKUP(D2576, RECETTES!B:G, 6, FALSE)*E2576)</f>
        <v/>
      </c>
      <c r="J2576" s="8">
        <f>IF(G2576="","",G2576*0.20)</f>
        <v/>
      </c>
      <c r="K2576" s="8">
        <f>IF(G2576="","",G2576+J2576)</f>
        <v/>
      </c>
    </row>
    <row r="2577">
      <c r="F2577" s="8" t="n"/>
      <c r="G2577" s="8">
        <f>IF(E2577="","",E2577*F2577)</f>
        <v/>
      </c>
      <c r="H2577" s="8">
        <f>IF(G2577="","",G2577-I2577)</f>
        <v/>
      </c>
      <c r="I2577" s="8">
        <f>IF(D2577="","",VLOOKUP(D2577, RECETTES!B:G, 6, FALSE)*E2577)</f>
        <v/>
      </c>
      <c r="J2577" s="8">
        <f>IF(G2577="","",G2577*0.20)</f>
        <v/>
      </c>
      <c r="K2577" s="8">
        <f>IF(G2577="","",G2577+J2577)</f>
        <v/>
      </c>
    </row>
    <row r="2578">
      <c r="F2578" s="8" t="n"/>
      <c r="G2578" s="8">
        <f>IF(E2578="","",E2578*F2578)</f>
        <v/>
      </c>
      <c r="H2578" s="8">
        <f>IF(G2578="","",G2578-I2578)</f>
        <v/>
      </c>
      <c r="I2578" s="8">
        <f>IF(D2578="","",VLOOKUP(D2578, RECETTES!B:G, 6, FALSE)*E2578)</f>
        <v/>
      </c>
      <c r="J2578" s="8">
        <f>IF(G2578="","",G2578*0.20)</f>
        <v/>
      </c>
      <c r="K2578" s="8">
        <f>IF(G2578="","",G2578+J2578)</f>
        <v/>
      </c>
    </row>
    <row r="2579">
      <c r="F2579" s="8" t="n"/>
      <c r="G2579" s="8">
        <f>IF(E2579="","",E2579*F2579)</f>
        <v/>
      </c>
      <c r="H2579" s="8">
        <f>IF(G2579="","",G2579-I2579)</f>
        <v/>
      </c>
      <c r="I2579" s="8">
        <f>IF(D2579="","",VLOOKUP(D2579, RECETTES!B:G, 6, FALSE)*E2579)</f>
        <v/>
      </c>
      <c r="J2579" s="8">
        <f>IF(G2579="","",G2579*0.20)</f>
        <v/>
      </c>
      <c r="K2579" s="8">
        <f>IF(G2579="","",G2579+J2579)</f>
        <v/>
      </c>
    </row>
    <row r="2580">
      <c r="F2580" s="8" t="n"/>
      <c r="G2580" s="8">
        <f>IF(E2580="","",E2580*F2580)</f>
        <v/>
      </c>
      <c r="H2580" s="8">
        <f>IF(G2580="","",G2580-I2580)</f>
        <v/>
      </c>
      <c r="I2580" s="8">
        <f>IF(D2580="","",VLOOKUP(D2580, RECETTES!B:G, 6, FALSE)*E2580)</f>
        <v/>
      </c>
      <c r="J2580" s="8">
        <f>IF(G2580="","",G2580*0.20)</f>
        <v/>
      </c>
      <c r="K2580" s="8">
        <f>IF(G2580="","",G2580+J2580)</f>
        <v/>
      </c>
    </row>
    <row r="2581">
      <c r="F2581" s="8" t="n"/>
      <c r="G2581" s="8">
        <f>IF(E2581="","",E2581*F2581)</f>
        <v/>
      </c>
      <c r="H2581" s="8">
        <f>IF(G2581="","",G2581-I2581)</f>
        <v/>
      </c>
      <c r="I2581" s="8">
        <f>IF(D2581="","",VLOOKUP(D2581, RECETTES!B:G, 6, FALSE)*E2581)</f>
        <v/>
      </c>
      <c r="J2581" s="8">
        <f>IF(G2581="","",G2581*0.20)</f>
        <v/>
      </c>
      <c r="K2581" s="8">
        <f>IF(G2581="","",G2581+J2581)</f>
        <v/>
      </c>
    </row>
    <row r="2582">
      <c r="F2582" s="8" t="n"/>
      <c r="G2582" s="8">
        <f>IF(E2582="","",E2582*F2582)</f>
        <v/>
      </c>
      <c r="H2582" s="8">
        <f>IF(G2582="","",G2582-I2582)</f>
        <v/>
      </c>
      <c r="I2582" s="8">
        <f>IF(D2582="","",VLOOKUP(D2582, RECETTES!B:G, 6, FALSE)*E2582)</f>
        <v/>
      </c>
      <c r="J2582" s="8">
        <f>IF(G2582="","",G2582*0.20)</f>
        <v/>
      </c>
      <c r="K2582" s="8">
        <f>IF(G2582="","",G2582+J2582)</f>
        <v/>
      </c>
    </row>
    <row r="2583">
      <c r="F2583" s="8" t="n"/>
      <c r="G2583" s="8">
        <f>IF(E2583="","",E2583*F2583)</f>
        <v/>
      </c>
      <c r="H2583" s="8">
        <f>IF(G2583="","",G2583-I2583)</f>
        <v/>
      </c>
      <c r="I2583" s="8">
        <f>IF(D2583="","",VLOOKUP(D2583, RECETTES!B:G, 6, FALSE)*E2583)</f>
        <v/>
      </c>
      <c r="J2583" s="8">
        <f>IF(G2583="","",G2583*0.20)</f>
        <v/>
      </c>
      <c r="K2583" s="8">
        <f>IF(G2583="","",G2583+J2583)</f>
        <v/>
      </c>
    </row>
    <row r="2584">
      <c r="F2584" s="8" t="n"/>
      <c r="G2584" s="8">
        <f>IF(E2584="","",E2584*F2584)</f>
        <v/>
      </c>
      <c r="H2584" s="8">
        <f>IF(G2584="","",G2584-I2584)</f>
        <v/>
      </c>
      <c r="I2584" s="8">
        <f>IF(D2584="","",VLOOKUP(D2584, RECETTES!B:G, 6, FALSE)*E2584)</f>
        <v/>
      </c>
      <c r="J2584" s="8">
        <f>IF(G2584="","",G2584*0.20)</f>
        <v/>
      </c>
      <c r="K2584" s="8">
        <f>IF(G2584="","",G2584+J2584)</f>
        <v/>
      </c>
    </row>
    <row r="2585">
      <c r="F2585" s="8" t="n"/>
      <c r="G2585" s="8">
        <f>IF(E2585="","",E2585*F2585)</f>
        <v/>
      </c>
      <c r="H2585" s="8">
        <f>IF(G2585="","",G2585-I2585)</f>
        <v/>
      </c>
      <c r="I2585" s="8">
        <f>IF(D2585="","",VLOOKUP(D2585, RECETTES!B:G, 6, FALSE)*E2585)</f>
        <v/>
      </c>
      <c r="J2585" s="8">
        <f>IF(G2585="","",G2585*0.20)</f>
        <v/>
      </c>
      <c r="K2585" s="8">
        <f>IF(G2585="","",G2585+J2585)</f>
        <v/>
      </c>
    </row>
    <row r="2586">
      <c r="F2586" s="8" t="n"/>
      <c r="G2586" s="8">
        <f>IF(E2586="","",E2586*F2586)</f>
        <v/>
      </c>
      <c r="H2586" s="8">
        <f>IF(G2586="","",G2586-I2586)</f>
        <v/>
      </c>
      <c r="I2586" s="8">
        <f>IF(D2586="","",VLOOKUP(D2586, RECETTES!B:G, 6, FALSE)*E2586)</f>
        <v/>
      </c>
      <c r="J2586" s="8">
        <f>IF(G2586="","",G2586*0.20)</f>
        <v/>
      </c>
      <c r="K2586" s="8">
        <f>IF(G2586="","",G2586+J2586)</f>
        <v/>
      </c>
    </row>
    <row r="2587">
      <c r="F2587" s="8" t="n"/>
      <c r="G2587" s="8">
        <f>IF(E2587="","",E2587*F2587)</f>
        <v/>
      </c>
      <c r="H2587" s="8">
        <f>IF(G2587="","",G2587-I2587)</f>
        <v/>
      </c>
      <c r="I2587" s="8">
        <f>IF(D2587="","",VLOOKUP(D2587, RECETTES!B:G, 6, FALSE)*E2587)</f>
        <v/>
      </c>
      <c r="J2587" s="8">
        <f>IF(G2587="","",G2587*0.20)</f>
        <v/>
      </c>
      <c r="K2587" s="8">
        <f>IF(G2587="","",G2587+J2587)</f>
        <v/>
      </c>
    </row>
    <row r="2588">
      <c r="F2588" s="8" t="n"/>
      <c r="G2588" s="8">
        <f>IF(E2588="","",E2588*F2588)</f>
        <v/>
      </c>
      <c r="H2588" s="8">
        <f>IF(G2588="","",G2588-I2588)</f>
        <v/>
      </c>
      <c r="I2588" s="8">
        <f>IF(D2588="","",VLOOKUP(D2588, RECETTES!B:G, 6, FALSE)*E2588)</f>
        <v/>
      </c>
      <c r="J2588" s="8">
        <f>IF(G2588="","",G2588*0.20)</f>
        <v/>
      </c>
      <c r="K2588" s="8">
        <f>IF(G2588="","",G2588+J2588)</f>
        <v/>
      </c>
    </row>
    <row r="2589">
      <c r="F2589" s="8" t="n"/>
      <c r="G2589" s="8">
        <f>IF(E2589="","",E2589*F2589)</f>
        <v/>
      </c>
      <c r="H2589" s="8">
        <f>IF(G2589="","",G2589-I2589)</f>
        <v/>
      </c>
      <c r="I2589" s="8">
        <f>IF(D2589="","",VLOOKUP(D2589, RECETTES!B:G, 6, FALSE)*E2589)</f>
        <v/>
      </c>
      <c r="J2589" s="8">
        <f>IF(G2589="","",G2589*0.20)</f>
        <v/>
      </c>
      <c r="K2589" s="8">
        <f>IF(G2589="","",G2589+J2589)</f>
        <v/>
      </c>
    </row>
    <row r="2590">
      <c r="F2590" s="8" t="n"/>
      <c r="G2590" s="8">
        <f>IF(E2590="","",E2590*F2590)</f>
        <v/>
      </c>
      <c r="H2590" s="8">
        <f>IF(G2590="","",G2590-I2590)</f>
        <v/>
      </c>
      <c r="I2590" s="8">
        <f>IF(D2590="","",VLOOKUP(D2590, RECETTES!B:G, 6, FALSE)*E2590)</f>
        <v/>
      </c>
      <c r="J2590" s="8">
        <f>IF(G2590="","",G2590*0.20)</f>
        <v/>
      </c>
      <c r="K2590" s="8">
        <f>IF(G2590="","",G2590+J2590)</f>
        <v/>
      </c>
    </row>
    <row r="2591">
      <c r="F2591" s="8" t="n"/>
      <c r="G2591" s="8">
        <f>IF(E2591="","",E2591*F2591)</f>
        <v/>
      </c>
      <c r="H2591" s="8">
        <f>IF(G2591="","",G2591-I2591)</f>
        <v/>
      </c>
      <c r="I2591" s="8">
        <f>IF(D2591="","",VLOOKUP(D2591, RECETTES!B:G, 6, FALSE)*E2591)</f>
        <v/>
      </c>
      <c r="J2591" s="8">
        <f>IF(G2591="","",G2591*0.20)</f>
        <v/>
      </c>
      <c r="K2591" s="8">
        <f>IF(G2591="","",G2591+J2591)</f>
        <v/>
      </c>
    </row>
    <row r="2592">
      <c r="F2592" s="8" t="n"/>
      <c r="G2592" s="8">
        <f>IF(E2592="","",E2592*F2592)</f>
        <v/>
      </c>
      <c r="H2592" s="8">
        <f>IF(G2592="","",G2592-I2592)</f>
        <v/>
      </c>
      <c r="I2592" s="8">
        <f>IF(D2592="","",VLOOKUP(D2592, RECETTES!B:G, 6, FALSE)*E2592)</f>
        <v/>
      </c>
      <c r="J2592" s="8">
        <f>IF(G2592="","",G2592*0.20)</f>
        <v/>
      </c>
      <c r="K2592" s="8">
        <f>IF(G2592="","",G2592+J2592)</f>
        <v/>
      </c>
    </row>
    <row r="2593">
      <c r="F2593" s="8" t="n"/>
      <c r="G2593" s="8">
        <f>IF(E2593="","",E2593*F2593)</f>
        <v/>
      </c>
      <c r="H2593" s="8">
        <f>IF(G2593="","",G2593-I2593)</f>
        <v/>
      </c>
      <c r="I2593" s="8">
        <f>IF(D2593="","",VLOOKUP(D2593, RECETTES!B:G, 6, FALSE)*E2593)</f>
        <v/>
      </c>
      <c r="J2593" s="8">
        <f>IF(G2593="","",G2593*0.20)</f>
        <v/>
      </c>
      <c r="K2593" s="8">
        <f>IF(G2593="","",G2593+J2593)</f>
        <v/>
      </c>
    </row>
    <row r="2594">
      <c r="F2594" s="8" t="n"/>
      <c r="G2594" s="8">
        <f>IF(E2594="","",E2594*F2594)</f>
        <v/>
      </c>
      <c r="H2594" s="8">
        <f>IF(G2594="","",G2594-I2594)</f>
        <v/>
      </c>
      <c r="I2594" s="8">
        <f>IF(D2594="","",VLOOKUP(D2594, RECETTES!B:G, 6, FALSE)*E2594)</f>
        <v/>
      </c>
      <c r="J2594" s="8">
        <f>IF(G2594="","",G2594*0.20)</f>
        <v/>
      </c>
      <c r="K2594" s="8">
        <f>IF(G2594="","",G2594+J2594)</f>
        <v/>
      </c>
    </row>
    <row r="2595">
      <c r="F2595" s="8" t="n"/>
      <c r="G2595" s="8">
        <f>IF(E2595="","",E2595*F2595)</f>
        <v/>
      </c>
      <c r="H2595" s="8">
        <f>IF(G2595="","",G2595-I2595)</f>
        <v/>
      </c>
      <c r="I2595" s="8">
        <f>IF(D2595="","",VLOOKUP(D2595, RECETTES!B:G, 6, FALSE)*E2595)</f>
        <v/>
      </c>
      <c r="J2595" s="8">
        <f>IF(G2595="","",G2595*0.20)</f>
        <v/>
      </c>
      <c r="K2595" s="8">
        <f>IF(G2595="","",G2595+J2595)</f>
        <v/>
      </c>
    </row>
    <row r="2596">
      <c r="F2596" s="8" t="n"/>
      <c r="G2596" s="8">
        <f>IF(E2596="","",E2596*F2596)</f>
        <v/>
      </c>
      <c r="H2596" s="8">
        <f>IF(G2596="","",G2596-I2596)</f>
        <v/>
      </c>
      <c r="I2596" s="8">
        <f>IF(D2596="","",VLOOKUP(D2596, RECETTES!B:G, 6, FALSE)*E2596)</f>
        <v/>
      </c>
      <c r="J2596" s="8">
        <f>IF(G2596="","",G2596*0.20)</f>
        <v/>
      </c>
      <c r="K2596" s="8">
        <f>IF(G2596="","",G2596+J2596)</f>
        <v/>
      </c>
    </row>
    <row r="2597">
      <c r="F2597" s="8" t="n"/>
      <c r="G2597" s="8">
        <f>IF(E2597="","",E2597*F2597)</f>
        <v/>
      </c>
      <c r="H2597" s="8">
        <f>IF(G2597="","",G2597-I2597)</f>
        <v/>
      </c>
      <c r="I2597" s="8">
        <f>IF(D2597="","",VLOOKUP(D2597, RECETTES!B:G, 6, FALSE)*E2597)</f>
        <v/>
      </c>
      <c r="J2597" s="8">
        <f>IF(G2597="","",G2597*0.20)</f>
        <v/>
      </c>
      <c r="K2597" s="8">
        <f>IF(G2597="","",G2597+J2597)</f>
        <v/>
      </c>
    </row>
    <row r="2598">
      <c r="F2598" s="8" t="n"/>
      <c r="G2598" s="8">
        <f>IF(E2598="","",E2598*F2598)</f>
        <v/>
      </c>
      <c r="H2598" s="8">
        <f>IF(G2598="","",G2598-I2598)</f>
        <v/>
      </c>
      <c r="I2598" s="8">
        <f>IF(D2598="","",VLOOKUP(D2598, RECETTES!B:G, 6, FALSE)*E2598)</f>
        <v/>
      </c>
      <c r="J2598" s="8">
        <f>IF(G2598="","",G2598*0.20)</f>
        <v/>
      </c>
      <c r="K2598" s="8">
        <f>IF(G2598="","",G2598+J2598)</f>
        <v/>
      </c>
    </row>
    <row r="2599">
      <c r="F2599" s="8" t="n"/>
      <c r="G2599" s="8">
        <f>IF(E2599="","",E2599*F2599)</f>
        <v/>
      </c>
      <c r="H2599" s="8">
        <f>IF(G2599="","",G2599-I2599)</f>
        <v/>
      </c>
      <c r="I2599" s="8">
        <f>IF(D2599="","",VLOOKUP(D2599, RECETTES!B:G, 6, FALSE)*E2599)</f>
        <v/>
      </c>
      <c r="J2599" s="8">
        <f>IF(G2599="","",G2599*0.20)</f>
        <v/>
      </c>
      <c r="K2599" s="8">
        <f>IF(G2599="","",G2599+J2599)</f>
        <v/>
      </c>
    </row>
    <row r="2600">
      <c r="F2600" s="8" t="n"/>
      <c r="G2600" s="8">
        <f>IF(E2600="","",E2600*F2600)</f>
        <v/>
      </c>
      <c r="H2600" s="8">
        <f>IF(G2600="","",G2600-I2600)</f>
        <v/>
      </c>
      <c r="I2600" s="8">
        <f>IF(D2600="","",VLOOKUP(D2600, RECETTES!B:G, 6, FALSE)*E2600)</f>
        <v/>
      </c>
      <c r="J2600" s="8">
        <f>IF(G2600="","",G2600*0.20)</f>
        <v/>
      </c>
      <c r="K2600" s="8">
        <f>IF(G2600="","",G2600+J2600)</f>
        <v/>
      </c>
    </row>
    <row r="2601">
      <c r="F2601" s="8" t="n"/>
      <c r="G2601" s="8">
        <f>IF(E2601="","",E2601*F2601)</f>
        <v/>
      </c>
      <c r="H2601" s="8">
        <f>IF(G2601="","",G2601-I2601)</f>
        <v/>
      </c>
      <c r="I2601" s="8">
        <f>IF(D2601="","",VLOOKUP(D2601, RECETTES!B:G, 6, FALSE)*E2601)</f>
        <v/>
      </c>
      <c r="J2601" s="8">
        <f>IF(G2601="","",G2601*0.20)</f>
        <v/>
      </c>
      <c r="K2601" s="8">
        <f>IF(G2601="","",G2601+J2601)</f>
        <v/>
      </c>
    </row>
    <row r="2602">
      <c r="F2602" s="8" t="n"/>
      <c r="G2602" s="8">
        <f>IF(E2602="","",E2602*F2602)</f>
        <v/>
      </c>
      <c r="H2602" s="8">
        <f>IF(G2602="","",G2602-I2602)</f>
        <v/>
      </c>
      <c r="I2602" s="8">
        <f>IF(D2602="","",VLOOKUP(D2602, RECETTES!B:G, 6, FALSE)*E2602)</f>
        <v/>
      </c>
      <c r="J2602" s="8">
        <f>IF(G2602="","",G2602*0.20)</f>
        <v/>
      </c>
      <c r="K2602" s="8">
        <f>IF(G2602="","",G2602+J2602)</f>
        <v/>
      </c>
    </row>
    <row r="2603">
      <c r="F2603" s="8" t="n"/>
      <c r="G2603" s="8">
        <f>IF(E2603="","",E2603*F2603)</f>
        <v/>
      </c>
      <c r="H2603" s="8">
        <f>IF(G2603="","",G2603-I2603)</f>
        <v/>
      </c>
      <c r="I2603" s="8">
        <f>IF(D2603="","",VLOOKUP(D2603, RECETTES!B:G, 6, FALSE)*E2603)</f>
        <v/>
      </c>
      <c r="J2603" s="8">
        <f>IF(G2603="","",G2603*0.20)</f>
        <v/>
      </c>
      <c r="K2603" s="8">
        <f>IF(G2603="","",G2603+J2603)</f>
        <v/>
      </c>
    </row>
    <row r="2604">
      <c r="F2604" s="8" t="n"/>
      <c r="G2604" s="8">
        <f>IF(E2604="","",E2604*F2604)</f>
        <v/>
      </c>
      <c r="H2604" s="8">
        <f>IF(G2604="","",G2604-I2604)</f>
        <v/>
      </c>
      <c r="I2604" s="8">
        <f>IF(D2604="","",VLOOKUP(D2604, RECETTES!B:G, 6, FALSE)*E2604)</f>
        <v/>
      </c>
      <c r="J2604" s="8">
        <f>IF(G2604="","",G2604*0.20)</f>
        <v/>
      </c>
      <c r="K2604" s="8">
        <f>IF(G2604="","",G2604+J2604)</f>
        <v/>
      </c>
    </row>
    <row r="2605">
      <c r="F2605" s="8" t="n"/>
      <c r="G2605" s="8">
        <f>IF(E2605="","",E2605*F2605)</f>
        <v/>
      </c>
      <c r="H2605" s="8">
        <f>IF(G2605="","",G2605-I2605)</f>
        <v/>
      </c>
      <c r="I2605" s="8">
        <f>IF(D2605="","",VLOOKUP(D2605, RECETTES!B:G, 6, FALSE)*E2605)</f>
        <v/>
      </c>
      <c r="J2605" s="8">
        <f>IF(G2605="","",G2605*0.20)</f>
        <v/>
      </c>
      <c r="K2605" s="8">
        <f>IF(G2605="","",G2605+J2605)</f>
        <v/>
      </c>
    </row>
    <row r="2606">
      <c r="F2606" s="8" t="n"/>
      <c r="G2606" s="8">
        <f>IF(E2606="","",E2606*F2606)</f>
        <v/>
      </c>
      <c r="H2606" s="8">
        <f>IF(G2606="","",G2606-I2606)</f>
        <v/>
      </c>
      <c r="I2606" s="8">
        <f>IF(D2606="","",VLOOKUP(D2606, RECETTES!B:G, 6, FALSE)*E2606)</f>
        <v/>
      </c>
      <c r="J2606" s="8">
        <f>IF(G2606="","",G2606*0.20)</f>
        <v/>
      </c>
      <c r="K2606" s="8">
        <f>IF(G2606="","",G2606+J2606)</f>
        <v/>
      </c>
    </row>
    <row r="2607">
      <c r="F2607" s="8" t="n"/>
      <c r="G2607" s="8">
        <f>IF(E2607="","",E2607*F2607)</f>
        <v/>
      </c>
      <c r="H2607" s="8">
        <f>IF(G2607="","",G2607-I2607)</f>
        <v/>
      </c>
      <c r="I2607" s="8">
        <f>IF(D2607="","",VLOOKUP(D2607, RECETTES!B:G, 6, FALSE)*E2607)</f>
        <v/>
      </c>
      <c r="J2607" s="8">
        <f>IF(G2607="","",G2607*0.20)</f>
        <v/>
      </c>
      <c r="K2607" s="8">
        <f>IF(G2607="","",G2607+J2607)</f>
        <v/>
      </c>
    </row>
    <row r="2608">
      <c r="F2608" s="8" t="n"/>
      <c r="G2608" s="8">
        <f>IF(E2608="","",E2608*F2608)</f>
        <v/>
      </c>
      <c r="H2608" s="8">
        <f>IF(G2608="","",G2608-I2608)</f>
        <v/>
      </c>
      <c r="I2608" s="8">
        <f>IF(D2608="","",VLOOKUP(D2608, RECETTES!B:G, 6, FALSE)*E2608)</f>
        <v/>
      </c>
      <c r="J2608" s="8">
        <f>IF(G2608="","",G2608*0.20)</f>
        <v/>
      </c>
      <c r="K2608" s="8">
        <f>IF(G2608="","",G2608+J2608)</f>
        <v/>
      </c>
    </row>
    <row r="2609">
      <c r="F2609" s="8" t="n"/>
      <c r="G2609" s="8">
        <f>IF(E2609="","",E2609*F2609)</f>
        <v/>
      </c>
      <c r="H2609" s="8">
        <f>IF(G2609="","",G2609-I2609)</f>
        <v/>
      </c>
      <c r="I2609" s="8">
        <f>IF(D2609="","",VLOOKUP(D2609, RECETTES!B:G, 6, FALSE)*E2609)</f>
        <v/>
      </c>
      <c r="J2609" s="8">
        <f>IF(G2609="","",G2609*0.20)</f>
        <v/>
      </c>
      <c r="K2609" s="8">
        <f>IF(G2609="","",G2609+J2609)</f>
        <v/>
      </c>
    </row>
    <row r="2610">
      <c r="F2610" s="8" t="n"/>
      <c r="G2610" s="8">
        <f>IF(E2610="","",E2610*F2610)</f>
        <v/>
      </c>
      <c r="H2610" s="8">
        <f>IF(G2610="","",G2610-I2610)</f>
        <v/>
      </c>
      <c r="I2610" s="8">
        <f>IF(D2610="","",VLOOKUP(D2610, RECETTES!B:G, 6, FALSE)*E2610)</f>
        <v/>
      </c>
      <c r="J2610" s="8">
        <f>IF(G2610="","",G2610*0.20)</f>
        <v/>
      </c>
      <c r="K2610" s="8">
        <f>IF(G2610="","",G2610+J2610)</f>
        <v/>
      </c>
    </row>
    <row r="2611">
      <c r="F2611" s="8" t="n"/>
      <c r="G2611" s="8">
        <f>IF(E2611="","",E2611*F2611)</f>
        <v/>
      </c>
      <c r="H2611" s="8">
        <f>IF(G2611="","",G2611-I2611)</f>
        <v/>
      </c>
      <c r="I2611" s="8">
        <f>IF(D2611="","",VLOOKUP(D2611, RECETTES!B:G, 6, FALSE)*E2611)</f>
        <v/>
      </c>
      <c r="J2611" s="8">
        <f>IF(G2611="","",G2611*0.20)</f>
        <v/>
      </c>
      <c r="K2611" s="8">
        <f>IF(G2611="","",G2611+J2611)</f>
        <v/>
      </c>
    </row>
    <row r="2612">
      <c r="F2612" s="8" t="n"/>
      <c r="G2612" s="8">
        <f>IF(E2612="","",E2612*F2612)</f>
        <v/>
      </c>
      <c r="H2612" s="8">
        <f>IF(G2612="","",G2612-I2612)</f>
        <v/>
      </c>
      <c r="I2612" s="8">
        <f>IF(D2612="","",VLOOKUP(D2612, RECETTES!B:G, 6, FALSE)*E2612)</f>
        <v/>
      </c>
      <c r="J2612" s="8">
        <f>IF(G2612="","",G2612*0.20)</f>
        <v/>
      </c>
      <c r="K2612" s="8">
        <f>IF(G2612="","",G2612+J2612)</f>
        <v/>
      </c>
    </row>
    <row r="2613">
      <c r="F2613" s="8" t="n"/>
      <c r="G2613" s="8">
        <f>IF(E2613="","",E2613*F2613)</f>
        <v/>
      </c>
      <c r="H2613" s="8">
        <f>IF(G2613="","",G2613-I2613)</f>
        <v/>
      </c>
      <c r="I2613" s="8">
        <f>IF(D2613="","",VLOOKUP(D2613, RECETTES!B:G, 6, FALSE)*E2613)</f>
        <v/>
      </c>
      <c r="J2613" s="8">
        <f>IF(G2613="","",G2613*0.20)</f>
        <v/>
      </c>
      <c r="K2613" s="8">
        <f>IF(G2613="","",G2613+J2613)</f>
        <v/>
      </c>
    </row>
    <row r="2614">
      <c r="F2614" s="8" t="n"/>
      <c r="G2614" s="8">
        <f>IF(E2614="","",E2614*F2614)</f>
        <v/>
      </c>
      <c r="H2614" s="8">
        <f>IF(G2614="","",G2614-I2614)</f>
        <v/>
      </c>
      <c r="I2614" s="8">
        <f>IF(D2614="","",VLOOKUP(D2614, RECETTES!B:G, 6, FALSE)*E2614)</f>
        <v/>
      </c>
      <c r="J2614" s="8">
        <f>IF(G2614="","",G2614*0.20)</f>
        <v/>
      </c>
      <c r="K2614" s="8">
        <f>IF(G2614="","",G2614+J2614)</f>
        <v/>
      </c>
    </row>
    <row r="2615">
      <c r="F2615" s="8" t="n"/>
      <c r="G2615" s="8">
        <f>IF(E2615="","",E2615*F2615)</f>
        <v/>
      </c>
      <c r="H2615" s="8">
        <f>IF(G2615="","",G2615-I2615)</f>
        <v/>
      </c>
      <c r="I2615" s="8">
        <f>IF(D2615="","",VLOOKUP(D2615, RECETTES!B:G, 6, FALSE)*E2615)</f>
        <v/>
      </c>
      <c r="J2615" s="8">
        <f>IF(G2615="","",G2615*0.20)</f>
        <v/>
      </c>
      <c r="K2615" s="8">
        <f>IF(G2615="","",G2615+J2615)</f>
        <v/>
      </c>
    </row>
    <row r="2616">
      <c r="F2616" s="8" t="n"/>
      <c r="G2616" s="8">
        <f>IF(E2616="","",E2616*F2616)</f>
        <v/>
      </c>
      <c r="H2616" s="8">
        <f>IF(G2616="","",G2616-I2616)</f>
        <v/>
      </c>
      <c r="I2616" s="8">
        <f>IF(D2616="","",VLOOKUP(D2616, RECETTES!B:G, 6, FALSE)*E2616)</f>
        <v/>
      </c>
      <c r="J2616" s="8">
        <f>IF(G2616="","",G2616*0.20)</f>
        <v/>
      </c>
      <c r="K2616" s="8">
        <f>IF(G2616="","",G2616+J2616)</f>
        <v/>
      </c>
    </row>
    <row r="2617">
      <c r="F2617" s="8" t="n"/>
      <c r="G2617" s="8">
        <f>IF(E2617="","",E2617*F2617)</f>
        <v/>
      </c>
      <c r="H2617" s="8">
        <f>IF(G2617="","",G2617-I2617)</f>
        <v/>
      </c>
      <c r="I2617" s="8">
        <f>IF(D2617="","",VLOOKUP(D2617, RECETTES!B:G, 6, FALSE)*E2617)</f>
        <v/>
      </c>
      <c r="J2617" s="8">
        <f>IF(G2617="","",G2617*0.20)</f>
        <v/>
      </c>
      <c r="K2617" s="8">
        <f>IF(G2617="","",G2617+J2617)</f>
        <v/>
      </c>
    </row>
    <row r="2618">
      <c r="F2618" s="8" t="n"/>
      <c r="G2618" s="8">
        <f>IF(E2618="","",E2618*F2618)</f>
        <v/>
      </c>
      <c r="H2618" s="8">
        <f>IF(G2618="","",G2618-I2618)</f>
        <v/>
      </c>
      <c r="I2618" s="8">
        <f>IF(D2618="","",VLOOKUP(D2618, RECETTES!B:G, 6, FALSE)*E2618)</f>
        <v/>
      </c>
      <c r="J2618" s="8">
        <f>IF(G2618="","",G2618*0.20)</f>
        <v/>
      </c>
      <c r="K2618" s="8">
        <f>IF(G2618="","",G2618+J2618)</f>
        <v/>
      </c>
    </row>
    <row r="2619">
      <c r="F2619" s="8" t="n"/>
      <c r="G2619" s="8">
        <f>IF(E2619="","",E2619*F2619)</f>
        <v/>
      </c>
      <c r="H2619" s="8">
        <f>IF(G2619="","",G2619-I2619)</f>
        <v/>
      </c>
      <c r="I2619" s="8">
        <f>IF(D2619="","",VLOOKUP(D2619, RECETTES!B:G, 6, FALSE)*E2619)</f>
        <v/>
      </c>
      <c r="J2619" s="8">
        <f>IF(G2619="","",G2619*0.20)</f>
        <v/>
      </c>
      <c r="K2619" s="8">
        <f>IF(G2619="","",G2619+J2619)</f>
        <v/>
      </c>
    </row>
    <row r="2620">
      <c r="F2620" s="8" t="n"/>
      <c r="G2620" s="8">
        <f>IF(E2620="","",E2620*F2620)</f>
        <v/>
      </c>
      <c r="H2620" s="8">
        <f>IF(G2620="","",G2620-I2620)</f>
        <v/>
      </c>
      <c r="I2620" s="8">
        <f>IF(D2620="","",VLOOKUP(D2620, RECETTES!B:G, 6, FALSE)*E2620)</f>
        <v/>
      </c>
      <c r="J2620" s="8">
        <f>IF(G2620="","",G2620*0.20)</f>
        <v/>
      </c>
      <c r="K2620" s="8">
        <f>IF(G2620="","",G2620+J2620)</f>
        <v/>
      </c>
    </row>
    <row r="2621">
      <c r="F2621" s="8" t="n"/>
      <c r="G2621" s="8">
        <f>IF(E2621="","",E2621*F2621)</f>
        <v/>
      </c>
      <c r="H2621" s="8">
        <f>IF(G2621="","",G2621-I2621)</f>
        <v/>
      </c>
      <c r="I2621" s="8">
        <f>IF(D2621="","",VLOOKUP(D2621, RECETTES!B:G, 6, FALSE)*E2621)</f>
        <v/>
      </c>
      <c r="J2621" s="8">
        <f>IF(G2621="","",G2621*0.20)</f>
        <v/>
      </c>
      <c r="K2621" s="8">
        <f>IF(G2621="","",G2621+J2621)</f>
        <v/>
      </c>
    </row>
    <row r="2622">
      <c r="F2622" s="8" t="n"/>
      <c r="G2622" s="8">
        <f>IF(E2622="","",E2622*F2622)</f>
        <v/>
      </c>
      <c r="H2622" s="8">
        <f>IF(G2622="","",G2622-I2622)</f>
        <v/>
      </c>
      <c r="I2622" s="8">
        <f>IF(D2622="","",VLOOKUP(D2622, RECETTES!B:G, 6, FALSE)*E2622)</f>
        <v/>
      </c>
      <c r="J2622" s="8">
        <f>IF(G2622="","",G2622*0.20)</f>
        <v/>
      </c>
      <c r="K2622" s="8">
        <f>IF(G2622="","",G2622+J2622)</f>
        <v/>
      </c>
    </row>
    <row r="2623">
      <c r="F2623" s="8" t="n"/>
      <c r="G2623" s="8">
        <f>IF(E2623="","",E2623*F2623)</f>
        <v/>
      </c>
      <c r="H2623" s="8">
        <f>IF(G2623="","",G2623-I2623)</f>
        <v/>
      </c>
      <c r="I2623" s="8">
        <f>IF(D2623="","",VLOOKUP(D2623, RECETTES!B:G, 6, FALSE)*E2623)</f>
        <v/>
      </c>
      <c r="J2623" s="8">
        <f>IF(G2623="","",G2623*0.20)</f>
        <v/>
      </c>
      <c r="K2623" s="8">
        <f>IF(G2623="","",G2623+J2623)</f>
        <v/>
      </c>
    </row>
    <row r="2624">
      <c r="F2624" s="8" t="n"/>
      <c r="G2624" s="8">
        <f>IF(E2624="","",E2624*F2624)</f>
        <v/>
      </c>
      <c r="H2624" s="8">
        <f>IF(G2624="","",G2624-I2624)</f>
        <v/>
      </c>
      <c r="I2624" s="8">
        <f>IF(D2624="","",VLOOKUP(D2624, RECETTES!B:G, 6, FALSE)*E2624)</f>
        <v/>
      </c>
      <c r="J2624" s="8">
        <f>IF(G2624="","",G2624*0.20)</f>
        <v/>
      </c>
      <c r="K2624" s="8">
        <f>IF(G2624="","",G2624+J2624)</f>
        <v/>
      </c>
    </row>
    <row r="2625">
      <c r="F2625" s="8" t="n"/>
      <c r="G2625" s="8">
        <f>IF(E2625="","",E2625*F2625)</f>
        <v/>
      </c>
      <c r="H2625" s="8">
        <f>IF(G2625="","",G2625-I2625)</f>
        <v/>
      </c>
      <c r="I2625" s="8">
        <f>IF(D2625="","",VLOOKUP(D2625, RECETTES!B:G, 6, FALSE)*E2625)</f>
        <v/>
      </c>
      <c r="J2625" s="8">
        <f>IF(G2625="","",G2625*0.20)</f>
        <v/>
      </c>
      <c r="K2625" s="8">
        <f>IF(G2625="","",G2625+J2625)</f>
        <v/>
      </c>
    </row>
    <row r="2626">
      <c r="F2626" s="8" t="n"/>
      <c r="G2626" s="8">
        <f>IF(E2626="","",E2626*F2626)</f>
        <v/>
      </c>
      <c r="H2626" s="8">
        <f>IF(G2626="","",G2626-I2626)</f>
        <v/>
      </c>
      <c r="I2626" s="8">
        <f>IF(D2626="","",VLOOKUP(D2626, RECETTES!B:G, 6, FALSE)*E2626)</f>
        <v/>
      </c>
      <c r="J2626" s="8">
        <f>IF(G2626="","",G2626*0.20)</f>
        <v/>
      </c>
      <c r="K2626" s="8">
        <f>IF(G2626="","",G2626+J2626)</f>
        <v/>
      </c>
    </row>
    <row r="2627">
      <c r="F2627" s="8" t="n"/>
      <c r="G2627" s="8">
        <f>IF(E2627="","",E2627*F2627)</f>
        <v/>
      </c>
      <c r="H2627" s="8">
        <f>IF(G2627="","",G2627-I2627)</f>
        <v/>
      </c>
      <c r="I2627" s="8">
        <f>IF(D2627="","",VLOOKUP(D2627, RECETTES!B:G, 6, FALSE)*E2627)</f>
        <v/>
      </c>
      <c r="J2627" s="8">
        <f>IF(G2627="","",G2627*0.20)</f>
        <v/>
      </c>
      <c r="K2627" s="8">
        <f>IF(G2627="","",G2627+J2627)</f>
        <v/>
      </c>
    </row>
    <row r="2628">
      <c r="F2628" s="8" t="n"/>
      <c r="G2628" s="8">
        <f>IF(E2628="","",E2628*F2628)</f>
        <v/>
      </c>
      <c r="H2628" s="8">
        <f>IF(G2628="","",G2628-I2628)</f>
        <v/>
      </c>
      <c r="I2628" s="8">
        <f>IF(D2628="","",VLOOKUP(D2628, RECETTES!B:G, 6, FALSE)*E2628)</f>
        <v/>
      </c>
      <c r="J2628" s="8">
        <f>IF(G2628="","",G2628*0.20)</f>
        <v/>
      </c>
      <c r="K2628" s="8">
        <f>IF(G2628="","",G2628+J2628)</f>
        <v/>
      </c>
    </row>
    <row r="2629">
      <c r="F2629" s="8" t="n"/>
      <c r="G2629" s="8">
        <f>IF(E2629="","",E2629*F2629)</f>
        <v/>
      </c>
      <c r="H2629" s="8">
        <f>IF(G2629="","",G2629-I2629)</f>
        <v/>
      </c>
      <c r="I2629" s="8">
        <f>IF(D2629="","",VLOOKUP(D2629, RECETTES!B:G, 6, FALSE)*E2629)</f>
        <v/>
      </c>
      <c r="J2629" s="8">
        <f>IF(G2629="","",G2629*0.20)</f>
        <v/>
      </c>
      <c r="K2629" s="8">
        <f>IF(G2629="","",G2629+J2629)</f>
        <v/>
      </c>
    </row>
    <row r="2630">
      <c r="F2630" s="8" t="n"/>
      <c r="G2630" s="8">
        <f>IF(E2630="","",E2630*F2630)</f>
        <v/>
      </c>
      <c r="H2630" s="8">
        <f>IF(G2630="","",G2630-I2630)</f>
        <v/>
      </c>
      <c r="I2630" s="8">
        <f>IF(D2630="","",VLOOKUP(D2630, RECETTES!B:G, 6, FALSE)*E2630)</f>
        <v/>
      </c>
      <c r="J2630" s="8">
        <f>IF(G2630="","",G2630*0.20)</f>
        <v/>
      </c>
      <c r="K2630" s="8">
        <f>IF(G2630="","",G2630+J2630)</f>
        <v/>
      </c>
    </row>
    <row r="2631">
      <c r="F2631" s="8" t="n"/>
      <c r="G2631" s="8">
        <f>IF(E2631="","",E2631*F2631)</f>
        <v/>
      </c>
      <c r="H2631" s="8">
        <f>IF(G2631="","",G2631-I2631)</f>
        <v/>
      </c>
      <c r="I2631" s="8">
        <f>IF(D2631="","",VLOOKUP(D2631, RECETTES!B:G, 6, FALSE)*E2631)</f>
        <v/>
      </c>
      <c r="J2631" s="8">
        <f>IF(G2631="","",G2631*0.20)</f>
        <v/>
      </c>
      <c r="K2631" s="8">
        <f>IF(G2631="","",G2631+J2631)</f>
        <v/>
      </c>
    </row>
    <row r="2632">
      <c r="F2632" s="8" t="n"/>
      <c r="G2632" s="8">
        <f>IF(E2632="","",E2632*F2632)</f>
        <v/>
      </c>
      <c r="H2632" s="8">
        <f>IF(G2632="","",G2632-I2632)</f>
        <v/>
      </c>
      <c r="I2632" s="8">
        <f>IF(D2632="","",VLOOKUP(D2632, RECETTES!B:G, 6, FALSE)*E2632)</f>
        <v/>
      </c>
      <c r="J2632" s="8">
        <f>IF(G2632="","",G2632*0.20)</f>
        <v/>
      </c>
      <c r="K2632" s="8">
        <f>IF(G2632="","",G2632+J2632)</f>
        <v/>
      </c>
    </row>
    <row r="2633">
      <c r="F2633" s="8" t="n"/>
      <c r="G2633" s="8">
        <f>IF(E2633="","",E2633*F2633)</f>
        <v/>
      </c>
      <c r="H2633" s="8">
        <f>IF(G2633="","",G2633-I2633)</f>
        <v/>
      </c>
      <c r="I2633" s="8">
        <f>IF(D2633="","",VLOOKUP(D2633, RECETTES!B:G, 6, FALSE)*E2633)</f>
        <v/>
      </c>
      <c r="J2633" s="8">
        <f>IF(G2633="","",G2633*0.20)</f>
        <v/>
      </c>
      <c r="K2633" s="8">
        <f>IF(G2633="","",G2633+J2633)</f>
        <v/>
      </c>
    </row>
    <row r="2634">
      <c r="F2634" s="8" t="n"/>
      <c r="G2634" s="8">
        <f>IF(E2634="","",E2634*F2634)</f>
        <v/>
      </c>
      <c r="H2634" s="8">
        <f>IF(G2634="","",G2634-I2634)</f>
        <v/>
      </c>
      <c r="I2634" s="8">
        <f>IF(D2634="","",VLOOKUP(D2634, RECETTES!B:G, 6, FALSE)*E2634)</f>
        <v/>
      </c>
      <c r="J2634" s="8">
        <f>IF(G2634="","",G2634*0.20)</f>
        <v/>
      </c>
      <c r="K2634" s="8">
        <f>IF(G2634="","",G2634+J2634)</f>
        <v/>
      </c>
    </row>
    <row r="2635">
      <c r="F2635" s="8" t="n"/>
      <c r="G2635" s="8">
        <f>IF(E2635="","",E2635*F2635)</f>
        <v/>
      </c>
      <c r="H2635" s="8">
        <f>IF(G2635="","",G2635-I2635)</f>
        <v/>
      </c>
      <c r="I2635" s="8">
        <f>IF(D2635="","",VLOOKUP(D2635, RECETTES!B:G, 6, FALSE)*E2635)</f>
        <v/>
      </c>
      <c r="J2635" s="8">
        <f>IF(G2635="","",G2635*0.20)</f>
        <v/>
      </c>
      <c r="K2635" s="8">
        <f>IF(G2635="","",G2635+J2635)</f>
        <v/>
      </c>
    </row>
    <row r="2636">
      <c r="F2636" s="8" t="n"/>
      <c r="G2636" s="8">
        <f>IF(E2636="","",E2636*F2636)</f>
        <v/>
      </c>
      <c r="H2636" s="8">
        <f>IF(G2636="","",G2636-I2636)</f>
        <v/>
      </c>
      <c r="I2636" s="8">
        <f>IF(D2636="","",VLOOKUP(D2636, RECETTES!B:G, 6, FALSE)*E2636)</f>
        <v/>
      </c>
      <c r="J2636" s="8">
        <f>IF(G2636="","",G2636*0.20)</f>
        <v/>
      </c>
      <c r="K2636" s="8">
        <f>IF(G2636="","",G2636+J2636)</f>
        <v/>
      </c>
    </row>
    <row r="2637">
      <c r="F2637" s="8" t="n"/>
      <c r="G2637" s="8">
        <f>IF(E2637="","",E2637*F2637)</f>
        <v/>
      </c>
      <c r="H2637" s="8">
        <f>IF(G2637="","",G2637-I2637)</f>
        <v/>
      </c>
      <c r="I2637" s="8">
        <f>IF(D2637="","",VLOOKUP(D2637, RECETTES!B:G, 6, FALSE)*E2637)</f>
        <v/>
      </c>
      <c r="J2637" s="8">
        <f>IF(G2637="","",G2637*0.20)</f>
        <v/>
      </c>
      <c r="K2637" s="8">
        <f>IF(G2637="","",G2637+J2637)</f>
        <v/>
      </c>
    </row>
    <row r="2638">
      <c r="F2638" s="8" t="n"/>
      <c r="G2638" s="8">
        <f>IF(E2638="","",E2638*F2638)</f>
        <v/>
      </c>
      <c r="H2638" s="8">
        <f>IF(G2638="","",G2638-I2638)</f>
        <v/>
      </c>
      <c r="I2638" s="8">
        <f>IF(D2638="","",VLOOKUP(D2638, RECETTES!B:G, 6, FALSE)*E2638)</f>
        <v/>
      </c>
      <c r="J2638" s="8">
        <f>IF(G2638="","",G2638*0.20)</f>
        <v/>
      </c>
      <c r="K2638" s="8">
        <f>IF(G2638="","",G2638+J2638)</f>
        <v/>
      </c>
    </row>
    <row r="2639">
      <c r="F2639" s="8" t="n"/>
      <c r="G2639" s="8">
        <f>IF(E2639="","",E2639*F2639)</f>
        <v/>
      </c>
      <c r="H2639" s="8">
        <f>IF(G2639="","",G2639-I2639)</f>
        <v/>
      </c>
      <c r="I2639" s="8">
        <f>IF(D2639="","",VLOOKUP(D2639, RECETTES!B:G, 6, FALSE)*E2639)</f>
        <v/>
      </c>
      <c r="J2639" s="8">
        <f>IF(G2639="","",G2639*0.20)</f>
        <v/>
      </c>
      <c r="K2639" s="8">
        <f>IF(G2639="","",G2639+J2639)</f>
        <v/>
      </c>
    </row>
    <row r="2640">
      <c r="F2640" s="8" t="n"/>
      <c r="G2640" s="8">
        <f>IF(E2640="","",E2640*F2640)</f>
        <v/>
      </c>
      <c r="H2640" s="8">
        <f>IF(G2640="","",G2640-I2640)</f>
        <v/>
      </c>
      <c r="I2640" s="8">
        <f>IF(D2640="","",VLOOKUP(D2640, RECETTES!B:G, 6, FALSE)*E2640)</f>
        <v/>
      </c>
      <c r="J2640" s="8">
        <f>IF(G2640="","",G2640*0.20)</f>
        <v/>
      </c>
      <c r="K2640" s="8">
        <f>IF(G2640="","",G2640+J2640)</f>
        <v/>
      </c>
    </row>
    <row r="2641">
      <c r="F2641" s="8" t="n"/>
      <c r="G2641" s="8">
        <f>IF(E2641="","",E2641*F2641)</f>
        <v/>
      </c>
      <c r="H2641" s="8">
        <f>IF(G2641="","",G2641-I2641)</f>
        <v/>
      </c>
      <c r="I2641" s="8">
        <f>IF(D2641="","",VLOOKUP(D2641, RECETTES!B:G, 6, FALSE)*E2641)</f>
        <v/>
      </c>
      <c r="J2641" s="8">
        <f>IF(G2641="","",G2641*0.20)</f>
        <v/>
      </c>
      <c r="K2641" s="8">
        <f>IF(G2641="","",G2641+J2641)</f>
        <v/>
      </c>
    </row>
    <row r="2642">
      <c r="F2642" s="8" t="n"/>
      <c r="G2642" s="8">
        <f>IF(E2642="","",E2642*F2642)</f>
        <v/>
      </c>
      <c r="H2642" s="8">
        <f>IF(G2642="","",G2642-I2642)</f>
        <v/>
      </c>
      <c r="I2642" s="8">
        <f>IF(D2642="","",VLOOKUP(D2642, RECETTES!B:G, 6, FALSE)*E2642)</f>
        <v/>
      </c>
      <c r="J2642" s="8">
        <f>IF(G2642="","",G2642*0.20)</f>
        <v/>
      </c>
      <c r="K2642" s="8">
        <f>IF(G2642="","",G2642+J2642)</f>
        <v/>
      </c>
    </row>
    <row r="2643">
      <c r="F2643" s="8" t="n"/>
      <c r="G2643" s="8">
        <f>IF(E2643="","",E2643*F2643)</f>
        <v/>
      </c>
      <c r="H2643" s="8">
        <f>IF(G2643="","",G2643-I2643)</f>
        <v/>
      </c>
      <c r="I2643" s="8">
        <f>IF(D2643="","",VLOOKUP(D2643, RECETTES!B:G, 6, FALSE)*E2643)</f>
        <v/>
      </c>
      <c r="J2643" s="8">
        <f>IF(G2643="","",G2643*0.20)</f>
        <v/>
      </c>
      <c r="K2643" s="8">
        <f>IF(G2643="","",G2643+J2643)</f>
        <v/>
      </c>
    </row>
    <row r="2644">
      <c r="F2644" s="8" t="n"/>
      <c r="G2644" s="8">
        <f>IF(E2644="","",E2644*F2644)</f>
        <v/>
      </c>
      <c r="H2644" s="8">
        <f>IF(G2644="","",G2644-I2644)</f>
        <v/>
      </c>
      <c r="I2644" s="8">
        <f>IF(D2644="","",VLOOKUP(D2644, RECETTES!B:G, 6, FALSE)*E2644)</f>
        <v/>
      </c>
      <c r="J2644" s="8">
        <f>IF(G2644="","",G2644*0.20)</f>
        <v/>
      </c>
      <c r="K2644" s="8">
        <f>IF(G2644="","",G2644+J2644)</f>
        <v/>
      </c>
    </row>
    <row r="2645">
      <c r="F2645" s="8" t="n"/>
      <c r="G2645" s="8">
        <f>IF(E2645="","",E2645*F2645)</f>
        <v/>
      </c>
      <c r="H2645" s="8">
        <f>IF(G2645="","",G2645-I2645)</f>
        <v/>
      </c>
      <c r="I2645" s="8">
        <f>IF(D2645="","",VLOOKUP(D2645, RECETTES!B:G, 6, FALSE)*E2645)</f>
        <v/>
      </c>
      <c r="J2645" s="8">
        <f>IF(G2645="","",G2645*0.20)</f>
        <v/>
      </c>
      <c r="K2645" s="8">
        <f>IF(G2645="","",G2645+J2645)</f>
        <v/>
      </c>
    </row>
    <row r="2646">
      <c r="F2646" s="8" t="n"/>
      <c r="G2646" s="8">
        <f>IF(E2646="","",E2646*F2646)</f>
        <v/>
      </c>
      <c r="H2646" s="8">
        <f>IF(G2646="","",G2646-I2646)</f>
        <v/>
      </c>
      <c r="I2646" s="8">
        <f>IF(D2646="","",VLOOKUP(D2646, RECETTES!B:G, 6, FALSE)*E2646)</f>
        <v/>
      </c>
      <c r="J2646" s="8">
        <f>IF(G2646="","",G2646*0.20)</f>
        <v/>
      </c>
      <c r="K2646" s="8">
        <f>IF(G2646="","",G2646+J2646)</f>
        <v/>
      </c>
    </row>
    <row r="2647">
      <c r="F2647" s="8" t="n"/>
      <c r="G2647" s="8">
        <f>IF(E2647="","",E2647*F2647)</f>
        <v/>
      </c>
      <c r="H2647" s="8">
        <f>IF(G2647="","",G2647-I2647)</f>
        <v/>
      </c>
      <c r="I2647" s="8">
        <f>IF(D2647="","",VLOOKUP(D2647, RECETTES!B:G, 6, FALSE)*E2647)</f>
        <v/>
      </c>
      <c r="J2647" s="8">
        <f>IF(G2647="","",G2647*0.20)</f>
        <v/>
      </c>
      <c r="K2647" s="8">
        <f>IF(G2647="","",G2647+J2647)</f>
        <v/>
      </c>
    </row>
    <row r="2648">
      <c r="F2648" s="8" t="n"/>
      <c r="G2648" s="8">
        <f>IF(E2648="","",E2648*F2648)</f>
        <v/>
      </c>
      <c r="H2648" s="8">
        <f>IF(G2648="","",G2648-I2648)</f>
        <v/>
      </c>
      <c r="I2648" s="8">
        <f>IF(D2648="","",VLOOKUP(D2648, RECETTES!B:G, 6, FALSE)*E2648)</f>
        <v/>
      </c>
      <c r="J2648" s="8">
        <f>IF(G2648="","",G2648*0.20)</f>
        <v/>
      </c>
      <c r="K2648" s="8">
        <f>IF(G2648="","",G2648+J2648)</f>
        <v/>
      </c>
    </row>
    <row r="2649">
      <c r="F2649" s="8" t="n"/>
      <c r="G2649" s="8">
        <f>IF(E2649="","",E2649*F2649)</f>
        <v/>
      </c>
      <c r="H2649" s="8">
        <f>IF(G2649="","",G2649-I2649)</f>
        <v/>
      </c>
      <c r="I2649" s="8">
        <f>IF(D2649="","",VLOOKUP(D2649, RECETTES!B:G, 6, FALSE)*E2649)</f>
        <v/>
      </c>
      <c r="J2649" s="8">
        <f>IF(G2649="","",G2649*0.20)</f>
        <v/>
      </c>
      <c r="K2649" s="8">
        <f>IF(G2649="","",G2649+J2649)</f>
        <v/>
      </c>
    </row>
    <row r="2650">
      <c r="F2650" s="8" t="n"/>
      <c r="G2650" s="8">
        <f>IF(E2650="","",E2650*F2650)</f>
        <v/>
      </c>
      <c r="H2650" s="8">
        <f>IF(G2650="","",G2650-I2650)</f>
        <v/>
      </c>
      <c r="I2650" s="8">
        <f>IF(D2650="","",VLOOKUP(D2650, RECETTES!B:G, 6, FALSE)*E2650)</f>
        <v/>
      </c>
      <c r="J2650" s="8">
        <f>IF(G2650="","",G2650*0.20)</f>
        <v/>
      </c>
      <c r="K2650" s="8">
        <f>IF(G2650="","",G2650+J2650)</f>
        <v/>
      </c>
    </row>
    <row r="2651">
      <c r="F2651" s="8" t="n"/>
      <c r="G2651" s="8">
        <f>IF(E2651="","",E2651*F2651)</f>
        <v/>
      </c>
      <c r="H2651" s="8">
        <f>IF(G2651="","",G2651-I2651)</f>
        <v/>
      </c>
      <c r="I2651" s="8">
        <f>IF(D2651="","",VLOOKUP(D2651, RECETTES!B:G, 6, FALSE)*E2651)</f>
        <v/>
      </c>
      <c r="J2651" s="8">
        <f>IF(G2651="","",G2651*0.20)</f>
        <v/>
      </c>
      <c r="K2651" s="8">
        <f>IF(G2651="","",G2651+J2651)</f>
        <v/>
      </c>
    </row>
    <row r="2652">
      <c r="F2652" s="8" t="n"/>
      <c r="G2652" s="8">
        <f>IF(E2652="","",E2652*F2652)</f>
        <v/>
      </c>
      <c r="H2652" s="8">
        <f>IF(G2652="","",G2652-I2652)</f>
        <v/>
      </c>
      <c r="I2652" s="8">
        <f>IF(D2652="","",VLOOKUP(D2652, RECETTES!B:G, 6, FALSE)*E2652)</f>
        <v/>
      </c>
      <c r="J2652" s="8">
        <f>IF(G2652="","",G2652*0.20)</f>
        <v/>
      </c>
      <c r="K2652" s="8">
        <f>IF(G2652="","",G2652+J2652)</f>
        <v/>
      </c>
    </row>
    <row r="2653">
      <c r="F2653" s="8" t="n"/>
      <c r="G2653" s="8">
        <f>IF(E2653="","",E2653*F2653)</f>
        <v/>
      </c>
      <c r="H2653" s="8">
        <f>IF(G2653="","",G2653-I2653)</f>
        <v/>
      </c>
      <c r="I2653" s="8">
        <f>IF(D2653="","",VLOOKUP(D2653, RECETTES!B:G, 6, FALSE)*E2653)</f>
        <v/>
      </c>
      <c r="J2653" s="8">
        <f>IF(G2653="","",G2653*0.20)</f>
        <v/>
      </c>
      <c r="K2653" s="8">
        <f>IF(G2653="","",G2653+J2653)</f>
        <v/>
      </c>
    </row>
    <row r="2654">
      <c r="F2654" s="8" t="n"/>
      <c r="G2654" s="8">
        <f>IF(E2654="","",E2654*F2654)</f>
        <v/>
      </c>
      <c r="H2654" s="8">
        <f>IF(G2654="","",G2654-I2654)</f>
        <v/>
      </c>
      <c r="I2654" s="8">
        <f>IF(D2654="","",VLOOKUP(D2654, RECETTES!B:G, 6, FALSE)*E2654)</f>
        <v/>
      </c>
      <c r="J2654" s="8">
        <f>IF(G2654="","",G2654*0.20)</f>
        <v/>
      </c>
      <c r="K2654" s="8">
        <f>IF(G2654="","",G2654+J2654)</f>
        <v/>
      </c>
    </row>
    <row r="2655">
      <c r="F2655" s="8" t="n"/>
      <c r="G2655" s="8">
        <f>IF(E2655="","",E2655*F2655)</f>
        <v/>
      </c>
      <c r="H2655" s="8">
        <f>IF(G2655="","",G2655-I2655)</f>
        <v/>
      </c>
      <c r="I2655" s="8">
        <f>IF(D2655="","",VLOOKUP(D2655, RECETTES!B:G, 6, FALSE)*E2655)</f>
        <v/>
      </c>
      <c r="J2655" s="8">
        <f>IF(G2655="","",G2655*0.20)</f>
        <v/>
      </c>
      <c r="K2655" s="8">
        <f>IF(G2655="","",G2655+J2655)</f>
        <v/>
      </c>
    </row>
    <row r="2656">
      <c r="F2656" s="8" t="n"/>
      <c r="G2656" s="8">
        <f>IF(E2656="","",E2656*F2656)</f>
        <v/>
      </c>
      <c r="H2656" s="8">
        <f>IF(G2656="","",G2656-I2656)</f>
        <v/>
      </c>
      <c r="I2656" s="8">
        <f>IF(D2656="","",VLOOKUP(D2656, RECETTES!B:G, 6, FALSE)*E2656)</f>
        <v/>
      </c>
      <c r="J2656" s="8">
        <f>IF(G2656="","",G2656*0.20)</f>
        <v/>
      </c>
      <c r="K2656" s="8">
        <f>IF(G2656="","",G2656+J2656)</f>
        <v/>
      </c>
    </row>
    <row r="2657">
      <c r="F2657" s="8" t="n"/>
      <c r="G2657" s="8">
        <f>IF(E2657="","",E2657*F2657)</f>
        <v/>
      </c>
      <c r="H2657" s="8">
        <f>IF(G2657="","",G2657-I2657)</f>
        <v/>
      </c>
      <c r="I2657" s="8">
        <f>IF(D2657="","",VLOOKUP(D2657, RECETTES!B:G, 6, FALSE)*E2657)</f>
        <v/>
      </c>
      <c r="J2657" s="8">
        <f>IF(G2657="","",G2657*0.20)</f>
        <v/>
      </c>
      <c r="K2657" s="8">
        <f>IF(G2657="","",G2657+J2657)</f>
        <v/>
      </c>
    </row>
    <row r="2658">
      <c r="F2658" s="8" t="n"/>
      <c r="G2658" s="8">
        <f>IF(E2658="","",E2658*F2658)</f>
        <v/>
      </c>
      <c r="H2658" s="8">
        <f>IF(G2658="","",G2658-I2658)</f>
        <v/>
      </c>
      <c r="I2658" s="8">
        <f>IF(D2658="","",VLOOKUP(D2658, RECETTES!B:G, 6, FALSE)*E2658)</f>
        <v/>
      </c>
      <c r="J2658" s="8">
        <f>IF(G2658="","",G2658*0.20)</f>
        <v/>
      </c>
      <c r="K2658" s="8">
        <f>IF(G2658="","",G2658+J2658)</f>
        <v/>
      </c>
    </row>
    <row r="2659">
      <c r="F2659" s="8" t="n"/>
      <c r="G2659" s="8">
        <f>IF(E2659="","",E2659*F2659)</f>
        <v/>
      </c>
      <c r="H2659" s="8">
        <f>IF(G2659="","",G2659-I2659)</f>
        <v/>
      </c>
      <c r="I2659" s="8">
        <f>IF(D2659="","",VLOOKUP(D2659, RECETTES!B:G, 6, FALSE)*E2659)</f>
        <v/>
      </c>
      <c r="J2659" s="8">
        <f>IF(G2659="","",G2659*0.20)</f>
        <v/>
      </c>
      <c r="K2659" s="8">
        <f>IF(G2659="","",G2659+J2659)</f>
        <v/>
      </c>
    </row>
    <row r="2660">
      <c r="F2660" s="8" t="n"/>
      <c r="G2660" s="8">
        <f>IF(E2660="","",E2660*F2660)</f>
        <v/>
      </c>
      <c r="H2660" s="8">
        <f>IF(G2660="","",G2660-I2660)</f>
        <v/>
      </c>
      <c r="I2660" s="8">
        <f>IF(D2660="","",VLOOKUP(D2660, RECETTES!B:G, 6, FALSE)*E2660)</f>
        <v/>
      </c>
      <c r="J2660" s="8">
        <f>IF(G2660="","",G2660*0.20)</f>
        <v/>
      </c>
      <c r="K2660" s="8">
        <f>IF(G2660="","",G2660+J2660)</f>
        <v/>
      </c>
    </row>
    <row r="2661">
      <c r="F2661" s="8" t="n"/>
      <c r="G2661" s="8">
        <f>IF(E2661="","",E2661*F2661)</f>
        <v/>
      </c>
      <c r="H2661" s="8">
        <f>IF(G2661="","",G2661-I2661)</f>
        <v/>
      </c>
      <c r="I2661" s="8">
        <f>IF(D2661="","",VLOOKUP(D2661, RECETTES!B:G, 6, FALSE)*E2661)</f>
        <v/>
      </c>
      <c r="J2661" s="8">
        <f>IF(G2661="","",G2661*0.20)</f>
        <v/>
      </c>
      <c r="K2661" s="8">
        <f>IF(G2661="","",G2661+J2661)</f>
        <v/>
      </c>
    </row>
    <row r="2662">
      <c r="F2662" s="8" t="n"/>
      <c r="G2662" s="8">
        <f>IF(E2662="","",E2662*F2662)</f>
        <v/>
      </c>
      <c r="H2662" s="8">
        <f>IF(G2662="","",G2662-I2662)</f>
        <v/>
      </c>
      <c r="I2662" s="8">
        <f>IF(D2662="","",VLOOKUP(D2662, RECETTES!B:G, 6, FALSE)*E2662)</f>
        <v/>
      </c>
      <c r="J2662" s="8">
        <f>IF(G2662="","",G2662*0.20)</f>
        <v/>
      </c>
      <c r="K2662" s="8">
        <f>IF(G2662="","",G2662+J2662)</f>
        <v/>
      </c>
    </row>
    <row r="2663">
      <c r="F2663" s="8" t="n"/>
      <c r="G2663" s="8">
        <f>IF(E2663="","",E2663*F2663)</f>
        <v/>
      </c>
      <c r="H2663" s="8">
        <f>IF(G2663="","",G2663-I2663)</f>
        <v/>
      </c>
      <c r="I2663" s="8">
        <f>IF(D2663="","",VLOOKUP(D2663, RECETTES!B:G, 6, FALSE)*E2663)</f>
        <v/>
      </c>
      <c r="J2663" s="8">
        <f>IF(G2663="","",G2663*0.20)</f>
        <v/>
      </c>
      <c r="K2663" s="8">
        <f>IF(G2663="","",G2663+J2663)</f>
        <v/>
      </c>
    </row>
    <row r="2664">
      <c r="F2664" s="8" t="n"/>
      <c r="G2664" s="8">
        <f>IF(E2664="","",E2664*F2664)</f>
        <v/>
      </c>
      <c r="H2664" s="8">
        <f>IF(G2664="","",G2664-I2664)</f>
        <v/>
      </c>
      <c r="I2664" s="8">
        <f>IF(D2664="","",VLOOKUP(D2664, RECETTES!B:G, 6, FALSE)*E2664)</f>
        <v/>
      </c>
      <c r="J2664" s="8">
        <f>IF(G2664="","",G2664*0.20)</f>
        <v/>
      </c>
      <c r="K2664" s="8">
        <f>IF(G2664="","",G2664+J2664)</f>
        <v/>
      </c>
    </row>
    <row r="2665">
      <c r="F2665" s="8" t="n"/>
      <c r="G2665" s="8">
        <f>IF(E2665="","",E2665*F2665)</f>
        <v/>
      </c>
      <c r="H2665" s="8">
        <f>IF(G2665="","",G2665-I2665)</f>
        <v/>
      </c>
      <c r="I2665" s="8">
        <f>IF(D2665="","",VLOOKUP(D2665, RECETTES!B:G, 6, FALSE)*E2665)</f>
        <v/>
      </c>
      <c r="J2665" s="8">
        <f>IF(G2665="","",G2665*0.20)</f>
        <v/>
      </c>
      <c r="K2665" s="8">
        <f>IF(G2665="","",G2665+J2665)</f>
        <v/>
      </c>
    </row>
    <row r="2666">
      <c r="F2666" s="8" t="n"/>
      <c r="G2666" s="8">
        <f>IF(E2666="","",E2666*F2666)</f>
        <v/>
      </c>
      <c r="H2666" s="8">
        <f>IF(G2666="","",G2666-I2666)</f>
        <v/>
      </c>
      <c r="I2666" s="8">
        <f>IF(D2666="","",VLOOKUP(D2666, RECETTES!B:G, 6, FALSE)*E2666)</f>
        <v/>
      </c>
      <c r="J2666" s="8">
        <f>IF(G2666="","",G2666*0.20)</f>
        <v/>
      </c>
      <c r="K2666" s="8">
        <f>IF(G2666="","",G2666+J2666)</f>
        <v/>
      </c>
    </row>
    <row r="2667">
      <c r="F2667" s="8" t="n"/>
      <c r="G2667" s="8">
        <f>IF(E2667="","",E2667*F2667)</f>
        <v/>
      </c>
      <c r="H2667" s="8">
        <f>IF(G2667="","",G2667-I2667)</f>
        <v/>
      </c>
      <c r="I2667" s="8">
        <f>IF(D2667="","",VLOOKUP(D2667, RECETTES!B:G, 6, FALSE)*E2667)</f>
        <v/>
      </c>
      <c r="J2667" s="8">
        <f>IF(G2667="","",G2667*0.20)</f>
        <v/>
      </c>
      <c r="K2667" s="8">
        <f>IF(G2667="","",G2667+J2667)</f>
        <v/>
      </c>
    </row>
    <row r="2668">
      <c r="F2668" s="8" t="n"/>
      <c r="G2668" s="8">
        <f>IF(E2668="","",E2668*F2668)</f>
        <v/>
      </c>
      <c r="H2668" s="8">
        <f>IF(G2668="","",G2668-I2668)</f>
        <v/>
      </c>
      <c r="I2668" s="8">
        <f>IF(D2668="","",VLOOKUP(D2668, RECETTES!B:G, 6, FALSE)*E2668)</f>
        <v/>
      </c>
      <c r="J2668" s="8">
        <f>IF(G2668="","",G2668*0.20)</f>
        <v/>
      </c>
      <c r="K2668" s="8">
        <f>IF(G2668="","",G2668+J2668)</f>
        <v/>
      </c>
    </row>
    <row r="2669">
      <c r="F2669" s="8" t="n"/>
      <c r="G2669" s="8">
        <f>IF(E2669="","",E2669*F2669)</f>
        <v/>
      </c>
      <c r="H2669" s="8">
        <f>IF(G2669="","",G2669-I2669)</f>
        <v/>
      </c>
      <c r="I2669" s="8">
        <f>IF(D2669="","",VLOOKUP(D2669, RECETTES!B:G, 6, FALSE)*E2669)</f>
        <v/>
      </c>
      <c r="J2669" s="8">
        <f>IF(G2669="","",G2669*0.20)</f>
        <v/>
      </c>
      <c r="K2669" s="8">
        <f>IF(G2669="","",G2669+J2669)</f>
        <v/>
      </c>
    </row>
    <row r="2670">
      <c r="F2670" s="8" t="n"/>
      <c r="G2670" s="8">
        <f>IF(E2670="","",E2670*F2670)</f>
        <v/>
      </c>
      <c r="H2670" s="8">
        <f>IF(G2670="","",G2670-I2670)</f>
        <v/>
      </c>
      <c r="I2670" s="8">
        <f>IF(D2670="","",VLOOKUP(D2670, RECETTES!B:G, 6, FALSE)*E2670)</f>
        <v/>
      </c>
      <c r="J2670" s="8">
        <f>IF(G2670="","",G2670*0.20)</f>
        <v/>
      </c>
      <c r="K2670" s="8">
        <f>IF(G2670="","",G2670+J2670)</f>
        <v/>
      </c>
    </row>
    <row r="2671">
      <c r="F2671" s="8" t="n"/>
      <c r="G2671" s="8">
        <f>IF(E2671="","",E2671*F2671)</f>
        <v/>
      </c>
      <c r="H2671" s="8">
        <f>IF(G2671="","",G2671-I2671)</f>
        <v/>
      </c>
      <c r="I2671" s="8">
        <f>IF(D2671="","",VLOOKUP(D2671, RECETTES!B:G, 6, FALSE)*E2671)</f>
        <v/>
      </c>
      <c r="J2671" s="8">
        <f>IF(G2671="","",G2671*0.20)</f>
        <v/>
      </c>
      <c r="K2671" s="8">
        <f>IF(G2671="","",G2671+J2671)</f>
        <v/>
      </c>
    </row>
    <row r="2672">
      <c r="F2672" s="8" t="n"/>
      <c r="G2672" s="8">
        <f>IF(E2672="","",E2672*F2672)</f>
        <v/>
      </c>
      <c r="H2672" s="8">
        <f>IF(G2672="","",G2672-I2672)</f>
        <v/>
      </c>
      <c r="I2672" s="8">
        <f>IF(D2672="","",VLOOKUP(D2672, RECETTES!B:G, 6, FALSE)*E2672)</f>
        <v/>
      </c>
      <c r="J2672" s="8">
        <f>IF(G2672="","",G2672*0.20)</f>
        <v/>
      </c>
      <c r="K2672" s="8">
        <f>IF(G2672="","",G2672+J2672)</f>
        <v/>
      </c>
    </row>
    <row r="2673">
      <c r="F2673" s="8" t="n"/>
      <c r="G2673" s="8">
        <f>IF(E2673="","",E2673*F2673)</f>
        <v/>
      </c>
      <c r="H2673" s="8">
        <f>IF(G2673="","",G2673-I2673)</f>
        <v/>
      </c>
      <c r="I2673" s="8">
        <f>IF(D2673="","",VLOOKUP(D2673, RECETTES!B:G, 6, FALSE)*E2673)</f>
        <v/>
      </c>
      <c r="J2673" s="8">
        <f>IF(G2673="","",G2673*0.20)</f>
        <v/>
      </c>
      <c r="K2673" s="8">
        <f>IF(G2673="","",G2673+J2673)</f>
        <v/>
      </c>
    </row>
    <row r="2674">
      <c r="F2674" s="8" t="n"/>
      <c r="G2674" s="8">
        <f>IF(E2674="","",E2674*F2674)</f>
        <v/>
      </c>
      <c r="H2674" s="8">
        <f>IF(G2674="","",G2674-I2674)</f>
        <v/>
      </c>
      <c r="I2674" s="8">
        <f>IF(D2674="","",VLOOKUP(D2674, RECETTES!B:G, 6, FALSE)*E2674)</f>
        <v/>
      </c>
      <c r="J2674" s="8">
        <f>IF(G2674="","",G2674*0.20)</f>
        <v/>
      </c>
      <c r="K2674" s="8">
        <f>IF(G2674="","",G2674+J2674)</f>
        <v/>
      </c>
    </row>
    <row r="2675">
      <c r="F2675" s="8" t="n"/>
      <c r="G2675" s="8">
        <f>IF(E2675="","",E2675*F2675)</f>
        <v/>
      </c>
      <c r="H2675" s="8">
        <f>IF(G2675="","",G2675-I2675)</f>
        <v/>
      </c>
      <c r="I2675" s="8">
        <f>IF(D2675="","",VLOOKUP(D2675, RECETTES!B:G, 6, FALSE)*E2675)</f>
        <v/>
      </c>
      <c r="J2675" s="8">
        <f>IF(G2675="","",G2675*0.20)</f>
        <v/>
      </c>
      <c r="K2675" s="8">
        <f>IF(G2675="","",G2675+J2675)</f>
        <v/>
      </c>
    </row>
    <row r="2676">
      <c r="F2676" s="8" t="n"/>
      <c r="G2676" s="8">
        <f>IF(E2676="","",E2676*F2676)</f>
        <v/>
      </c>
      <c r="H2676" s="8">
        <f>IF(G2676="","",G2676-I2676)</f>
        <v/>
      </c>
      <c r="I2676" s="8">
        <f>IF(D2676="","",VLOOKUP(D2676, RECETTES!B:G, 6, FALSE)*E2676)</f>
        <v/>
      </c>
      <c r="J2676" s="8">
        <f>IF(G2676="","",G2676*0.20)</f>
        <v/>
      </c>
      <c r="K2676" s="8">
        <f>IF(G2676="","",G2676+J2676)</f>
        <v/>
      </c>
    </row>
    <row r="2677">
      <c r="F2677" s="8" t="n"/>
      <c r="G2677" s="8">
        <f>IF(E2677="","",E2677*F2677)</f>
        <v/>
      </c>
      <c r="H2677" s="8">
        <f>IF(G2677="","",G2677-I2677)</f>
        <v/>
      </c>
      <c r="I2677" s="8">
        <f>IF(D2677="","",VLOOKUP(D2677, RECETTES!B:G, 6, FALSE)*E2677)</f>
        <v/>
      </c>
      <c r="J2677" s="8">
        <f>IF(G2677="","",G2677*0.20)</f>
        <v/>
      </c>
      <c r="K2677" s="8">
        <f>IF(G2677="","",G2677+J2677)</f>
        <v/>
      </c>
    </row>
    <row r="2678">
      <c r="F2678" s="8" t="n"/>
      <c r="G2678" s="8">
        <f>IF(E2678="","",E2678*F2678)</f>
        <v/>
      </c>
      <c r="H2678" s="8">
        <f>IF(G2678="","",G2678-I2678)</f>
        <v/>
      </c>
      <c r="I2678" s="8">
        <f>IF(D2678="","",VLOOKUP(D2678, RECETTES!B:G, 6, FALSE)*E2678)</f>
        <v/>
      </c>
      <c r="J2678" s="8">
        <f>IF(G2678="","",G2678*0.20)</f>
        <v/>
      </c>
      <c r="K2678" s="8">
        <f>IF(G2678="","",G2678+J2678)</f>
        <v/>
      </c>
    </row>
    <row r="2679">
      <c r="F2679" s="8" t="n"/>
      <c r="G2679" s="8">
        <f>IF(E2679="","",E2679*F2679)</f>
        <v/>
      </c>
      <c r="H2679" s="8">
        <f>IF(G2679="","",G2679-I2679)</f>
        <v/>
      </c>
      <c r="I2679" s="8">
        <f>IF(D2679="","",VLOOKUP(D2679, RECETTES!B:G, 6, FALSE)*E2679)</f>
        <v/>
      </c>
      <c r="J2679" s="8">
        <f>IF(G2679="","",G2679*0.20)</f>
        <v/>
      </c>
      <c r="K2679" s="8">
        <f>IF(G2679="","",G2679+J2679)</f>
        <v/>
      </c>
    </row>
    <row r="2680">
      <c r="F2680" s="8" t="n"/>
      <c r="G2680" s="8">
        <f>IF(E2680="","",E2680*F2680)</f>
        <v/>
      </c>
      <c r="H2680" s="8">
        <f>IF(G2680="","",G2680-I2680)</f>
        <v/>
      </c>
      <c r="I2680" s="8">
        <f>IF(D2680="","",VLOOKUP(D2680, RECETTES!B:G, 6, FALSE)*E2680)</f>
        <v/>
      </c>
      <c r="J2680" s="8">
        <f>IF(G2680="","",G2680*0.20)</f>
        <v/>
      </c>
      <c r="K2680" s="8">
        <f>IF(G2680="","",G2680+J2680)</f>
        <v/>
      </c>
    </row>
    <row r="2681">
      <c r="F2681" s="8" t="n"/>
      <c r="G2681" s="8">
        <f>IF(E2681="","",E2681*F2681)</f>
        <v/>
      </c>
      <c r="H2681" s="8">
        <f>IF(G2681="","",G2681-I2681)</f>
        <v/>
      </c>
      <c r="I2681" s="8">
        <f>IF(D2681="","",VLOOKUP(D2681, RECETTES!B:G, 6, FALSE)*E2681)</f>
        <v/>
      </c>
      <c r="J2681" s="8">
        <f>IF(G2681="","",G2681*0.20)</f>
        <v/>
      </c>
      <c r="K2681" s="8">
        <f>IF(G2681="","",G2681+J2681)</f>
        <v/>
      </c>
    </row>
    <row r="2682">
      <c r="F2682" s="8" t="n"/>
      <c r="G2682" s="8">
        <f>IF(E2682="","",E2682*F2682)</f>
        <v/>
      </c>
      <c r="H2682" s="8">
        <f>IF(G2682="","",G2682-I2682)</f>
        <v/>
      </c>
      <c r="I2682" s="8">
        <f>IF(D2682="","",VLOOKUP(D2682, RECETTES!B:G, 6, FALSE)*E2682)</f>
        <v/>
      </c>
      <c r="J2682" s="8">
        <f>IF(G2682="","",G2682*0.20)</f>
        <v/>
      </c>
      <c r="K2682" s="8">
        <f>IF(G2682="","",G2682+J2682)</f>
        <v/>
      </c>
    </row>
    <row r="2683">
      <c r="F2683" s="8" t="n"/>
      <c r="G2683" s="8">
        <f>IF(E2683="","",E2683*F2683)</f>
        <v/>
      </c>
      <c r="H2683" s="8">
        <f>IF(G2683="","",G2683-I2683)</f>
        <v/>
      </c>
      <c r="I2683" s="8">
        <f>IF(D2683="","",VLOOKUP(D2683, RECETTES!B:G, 6, FALSE)*E2683)</f>
        <v/>
      </c>
      <c r="J2683" s="8">
        <f>IF(G2683="","",G2683*0.20)</f>
        <v/>
      </c>
      <c r="K2683" s="8">
        <f>IF(G2683="","",G2683+J2683)</f>
        <v/>
      </c>
    </row>
    <row r="2684">
      <c r="F2684" s="8" t="n"/>
      <c r="G2684" s="8">
        <f>IF(E2684="","",E2684*F2684)</f>
        <v/>
      </c>
      <c r="H2684" s="8">
        <f>IF(G2684="","",G2684-I2684)</f>
        <v/>
      </c>
      <c r="I2684" s="8">
        <f>IF(D2684="","",VLOOKUP(D2684, RECETTES!B:G, 6, FALSE)*E2684)</f>
        <v/>
      </c>
      <c r="J2684" s="8">
        <f>IF(G2684="","",G2684*0.20)</f>
        <v/>
      </c>
      <c r="K2684" s="8">
        <f>IF(G2684="","",G2684+J2684)</f>
        <v/>
      </c>
    </row>
    <row r="2685">
      <c r="F2685" s="8" t="n"/>
      <c r="G2685" s="8">
        <f>IF(E2685="","",E2685*F2685)</f>
        <v/>
      </c>
      <c r="H2685" s="8">
        <f>IF(G2685="","",G2685-I2685)</f>
        <v/>
      </c>
      <c r="I2685" s="8">
        <f>IF(D2685="","",VLOOKUP(D2685, RECETTES!B:G, 6, FALSE)*E2685)</f>
        <v/>
      </c>
      <c r="J2685" s="8">
        <f>IF(G2685="","",G2685*0.20)</f>
        <v/>
      </c>
      <c r="K2685" s="8">
        <f>IF(G2685="","",G2685+J2685)</f>
        <v/>
      </c>
    </row>
    <row r="2686">
      <c r="F2686" s="8" t="n"/>
      <c r="G2686" s="8">
        <f>IF(E2686="","",E2686*F2686)</f>
        <v/>
      </c>
      <c r="H2686" s="8">
        <f>IF(G2686="","",G2686-I2686)</f>
        <v/>
      </c>
      <c r="I2686" s="8">
        <f>IF(D2686="","",VLOOKUP(D2686, RECETTES!B:G, 6, FALSE)*E2686)</f>
        <v/>
      </c>
      <c r="J2686" s="8">
        <f>IF(G2686="","",G2686*0.20)</f>
        <v/>
      </c>
      <c r="K2686" s="8">
        <f>IF(G2686="","",G2686+J2686)</f>
        <v/>
      </c>
    </row>
    <row r="2687">
      <c r="F2687" s="8" t="n"/>
      <c r="G2687" s="8">
        <f>IF(E2687="","",E2687*F2687)</f>
        <v/>
      </c>
      <c r="H2687" s="8">
        <f>IF(G2687="","",G2687-I2687)</f>
        <v/>
      </c>
      <c r="I2687" s="8">
        <f>IF(D2687="","",VLOOKUP(D2687, RECETTES!B:G, 6, FALSE)*E2687)</f>
        <v/>
      </c>
      <c r="J2687" s="8">
        <f>IF(G2687="","",G2687*0.20)</f>
        <v/>
      </c>
      <c r="K2687" s="8">
        <f>IF(G2687="","",G2687+J2687)</f>
        <v/>
      </c>
    </row>
    <row r="2688">
      <c r="F2688" s="8" t="n"/>
      <c r="G2688" s="8">
        <f>IF(E2688="","",E2688*F2688)</f>
        <v/>
      </c>
      <c r="H2688" s="8">
        <f>IF(G2688="","",G2688-I2688)</f>
        <v/>
      </c>
      <c r="I2688" s="8">
        <f>IF(D2688="","",VLOOKUP(D2688, RECETTES!B:G, 6, FALSE)*E2688)</f>
        <v/>
      </c>
      <c r="J2688" s="8">
        <f>IF(G2688="","",G2688*0.20)</f>
        <v/>
      </c>
      <c r="K2688" s="8">
        <f>IF(G2688="","",G2688+J2688)</f>
        <v/>
      </c>
    </row>
    <row r="2689">
      <c r="F2689" s="8" t="n"/>
      <c r="G2689" s="8">
        <f>IF(E2689="","",E2689*F2689)</f>
        <v/>
      </c>
      <c r="H2689" s="8">
        <f>IF(G2689="","",G2689-I2689)</f>
        <v/>
      </c>
      <c r="I2689" s="8">
        <f>IF(D2689="","",VLOOKUP(D2689, RECETTES!B:G, 6, FALSE)*E2689)</f>
        <v/>
      </c>
      <c r="J2689" s="8">
        <f>IF(G2689="","",G2689*0.20)</f>
        <v/>
      </c>
      <c r="K2689" s="8">
        <f>IF(G2689="","",G2689+J2689)</f>
        <v/>
      </c>
    </row>
    <row r="2690">
      <c r="F2690" s="8" t="n"/>
      <c r="G2690" s="8">
        <f>IF(E2690="","",E2690*F2690)</f>
        <v/>
      </c>
      <c r="H2690" s="8">
        <f>IF(G2690="","",G2690-I2690)</f>
        <v/>
      </c>
      <c r="I2690" s="8">
        <f>IF(D2690="","",VLOOKUP(D2690, RECETTES!B:G, 6, FALSE)*E2690)</f>
        <v/>
      </c>
      <c r="J2690" s="8">
        <f>IF(G2690="","",G2690*0.20)</f>
        <v/>
      </c>
      <c r="K2690" s="8">
        <f>IF(G2690="","",G2690+J2690)</f>
        <v/>
      </c>
    </row>
    <row r="2691">
      <c r="F2691" s="8" t="n"/>
      <c r="G2691" s="8">
        <f>IF(E2691="","",E2691*F2691)</f>
        <v/>
      </c>
      <c r="H2691" s="8">
        <f>IF(G2691="","",G2691-I2691)</f>
        <v/>
      </c>
      <c r="I2691" s="8">
        <f>IF(D2691="","",VLOOKUP(D2691, RECETTES!B:G, 6, FALSE)*E2691)</f>
        <v/>
      </c>
      <c r="J2691" s="8">
        <f>IF(G2691="","",G2691*0.20)</f>
        <v/>
      </c>
      <c r="K2691" s="8">
        <f>IF(G2691="","",G2691+J2691)</f>
        <v/>
      </c>
    </row>
    <row r="2692">
      <c r="F2692" s="8" t="n"/>
      <c r="G2692" s="8">
        <f>IF(E2692="","",E2692*F2692)</f>
        <v/>
      </c>
      <c r="H2692" s="8">
        <f>IF(G2692="","",G2692-I2692)</f>
        <v/>
      </c>
      <c r="I2692" s="8">
        <f>IF(D2692="","",VLOOKUP(D2692, RECETTES!B:G, 6, FALSE)*E2692)</f>
        <v/>
      </c>
      <c r="J2692" s="8">
        <f>IF(G2692="","",G2692*0.20)</f>
        <v/>
      </c>
      <c r="K2692" s="8">
        <f>IF(G2692="","",G2692+J2692)</f>
        <v/>
      </c>
    </row>
    <row r="2693">
      <c r="F2693" s="8" t="n"/>
      <c r="G2693" s="8">
        <f>IF(E2693="","",E2693*F2693)</f>
        <v/>
      </c>
      <c r="H2693" s="8">
        <f>IF(G2693="","",G2693-I2693)</f>
        <v/>
      </c>
      <c r="I2693" s="8">
        <f>IF(D2693="","",VLOOKUP(D2693, RECETTES!B:G, 6, FALSE)*E2693)</f>
        <v/>
      </c>
      <c r="J2693" s="8">
        <f>IF(G2693="","",G2693*0.20)</f>
        <v/>
      </c>
      <c r="K2693" s="8">
        <f>IF(G2693="","",G2693+J2693)</f>
        <v/>
      </c>
    </row>
    <row r="2694">
      <c r="F2694" s="8" t="n"/>
      <c r="G2694" s="8">
        <f>IF(E2694="","",E2694*F2694)</f>
        <v/>
      </c>
      <c r="H2694" s="8">
        <f>IF(G2694="","",G2694-I2694)</f>
        <v/>
      </c>
      <c r="I2694" s="8">
        <f>IF(D2694="","",VLOOKUP(D2694, RECETTES!B:G, 6, FALSE)*E2694)</f>
        <v/>
      </c>
      <c r="J2694" s="8">
        <f>IF(G2694="","",G2694*0.20)</f>
        <v/>
      </c>
      <c r="K2694" s="8">
        <f>IF(G2694="","",G2694+J2694)</f>
        <v/>
      </c>
    </row>
    <row r="2695">
      <c r="F2695" s="8" t="n"/>
      <c r="G2695" s="8">
        <f>IF(E2695="","",E2695*F2695)</f>
        <v/>
      </c>
      <c r="H2695" s="8">
        <f>IF(G2695="","",G2695-I2695)</f>
        <v/>
      </c>
      <c r="I2695" s="8">
        <f>IF(D2695="","",VLOOKUP(D2695, RECETTES!B:G, 6, FALSE)*E2695)</f>
        <v/>
      </c>
      <c r="J2695" s="8">
        <f>IF(G2695="","",G2695*0.20)</f>
        <v/>
      </c>
      <c r="K2695" s="8">
        <f>IF(G2695="","",G2695+J2695)</f>
        <v/>
      </c>
    </row>
    <row r="2696">
      <c r="F2696" s="8" t="n"/>
      <c r="G2696" s="8">
        <f>IF(E2696="","",E2696*F2696)</f>
        <v/>
      </c>
      <c r="H2696" s="8">
        <f>IF(G2696="","",G2696-I2696)</f>
        <v/>
      </c>
      <c r="I2696" s="8">
        <f>IF(D2696="","",VLOOKUP(D2696, RECETTES!B:G, 6, FALSE)*E2696)</f>
        <v/>
      </c>
      <c r="J2696" s="8">
        <f>IF(G2696="","",G2696*0.20)</f>
        <v/>
      </c>
      <c r="K2696" s="8">
        <f>IF(G2696="","",G2696+J2696)</f>
        <v/>
      </c>
    </row>
    <row r="2697">
      <c r="F2697" s="8" t="n"/>
      <c r="G2697" s="8">
        <f>IF(E2697="","",E2697*F2697)</f>
        <v/>
      </c>
      <c r="H2697" s="8">
        <f>IF(G2697="","",G2697-I2697)</f>
        <v/>
      </c>
      <c r="I2697" s="8">
        <f>IF(D2697="","",VLOOKUP(D2697, RECETTES!B:G, 6, FALSE)*E2697)</f>
        <v/>
      </c>
      <c r="J2697" s="8">
        <f>IF(G2697="","",G2697*0.20)</f>
        <v/>
      </c>
      <c r="K2697" s="8">
        <f>IF(G2697="","",G2697+J2697)</f>
        <v/>
      </c>
    </row>
    <row r="2698">
      <c r="F2698" s="8" t="n"/>
      <c r="G2698" s="8">
        <f>IF(E2698="","",E2698*F2698)</f>
        <v/>
      </c>
      <c r="H2698" s="8">
        <f>IF(G2698="","",G2698-I2698)</f>
        <v/>
      </c>
      <c r="I2698" s="8">
        <f>IF(D2698="","",VLOOKUP(D2698, RECETTES!B:G, 6, FALSE)*E2698)</f>
        <v/>
      </c>
      <c r="J2698" s="8">
        <f>IF(G2698="","",G2698*0.20)</f>
        <v/>
      </c>
      <c r="K2698" s="8">
        <f>IF(G2698="","",G2698+J2698)</f>
        <v/>
      </c>
    </row>
    <row r="2699">
      <c r="F2699" s="8" t="n"/>
      <c r="G2699" s="8">
        <f>IF(E2699="","",E2699*F2699)</f>
        <v/>
      </c>
      <c r="H2699" s="8">
        <f>IF(G2699="","",G2699-I2699)</f>
        <v/>
      </c>
      <c r="I2699" s="8">
        <f>IF(D2699="","",VLOOKUP(D2699, RECETTES!B:G, 6, FALSE)*E2699)</f>
        <v/>
      </c>
      <c r="J2699" s="8">
        <f>IF(G2699="","",G2699*0.20)</f>
        <v/>
      </c>
      <c r="K2699" s="8">
        <f>IF(G2699="","",G2699+J2699)</f>
        <v/>
      </c>
    </row>
    <row r="2700">
      <c r="F2700" s="8" t="n"/>
      <c r="G2700" s="8">
        <f>IF(E2700="","",E2700*F2700)</f>
        <v/>
      </c>
      <c r="H2700" s="8">
        <f>IF(G2700="","",G2700-I2700)</f>
        <v/>
      </c>
      <c r="I2700" s="8">
        <f>IF(D2700="","",VLOOKUP(D2700, RECETTES!B:G, 6, FALSE)*E2700)</f>
        <v/>
      </c>
      <c r="J2700" s="8">
        <f>IF(G2700="","",G2700*0.20)</f>
        <v/>
      </c>
      <c r="K2700" s="8">
        <f>IF(G2700="","",G2700+J2700)</f>
        <v/>
      </c>
    </row>
    <row r="2701">
      <c r="F2701" s="8" t="n"/>
      <c r="G2701" s="8">
        <f>IF(E2701="","",E2701*F2701)</f>
        <v/>
      </c>
      <c r="H2701" s="8">
        <f>IF(G2701="","",G2701-I2701)</f>
        <v/>
      </c>
      <c r="I2701" s="8">
        <f>IF(D2701="","",VLOOKUP(D2701, RECETTES!B:G, 6, FALSE)*E2701)</f>
        <v/>
      </c>
      <c r="J2701" s="8">
        <f>IF(G2701="","",G2701*0.20)</f>
        <v/>
      </c>
      <c r="K2701" s="8">
        <f>IF(G2701="","",G2701+J2701)</f>
        <v/>
      </c>
    </row>
    <row r="2702">
      <c r="F2702" s="8" t="n"/>
      <c r="G2702" s="8">
        <f>IF(E2702="","",E2702*F2702)</f>
        <v/>
      </c>
      <c r="H2702" s="8">
        <f>IF(G2702="","",G2702-I2702)</f>
        <v/>
      </c>
      <c r="I2702" s="8">
        <f>IF(D2702="","",VLOOKUP(D2702, RECETTES!B:G, 6, FALSE)*E2702)</f>
        <v/>
      </c>
      <c r="J2702" s="8">
        <f>IF(G2702="","",G2702*0.20)</f>
        <v/>
      </c>
      <c r="K2702" s="8">
        <f>IF(G2702="","",G2702+J2702)</f>
        <v/>
      </c>
    </row>
    <row r="2703">
      <c r="F2703" s="8" t="n"/>
      <c r="G2703" s="8">
        <f>IF(E2703="","",E2703*F2703)</f>
        <v/>
      </c>
      <c r="H2703" s="8">
        <f>IF(G2703="","",G2703-I2703)</f>
        <v/>
      </c>
      <c r="I2703" s="8">
        <f>IF(D2703="","",VLOOKUP(D2703, RECETTES!B:G, 6, FALSE)*E2703)</f>
        <v/>
      </c>
      <c r="J2703" s="8">
        <f>IF(G2703="","",G2703*0.20)</f>
        <v/>
      </c>
      <c r="K2703" s="8">
        <f>IF(G2703="","",G2703+J2703)</f>
        <v/>
      </c>
    </row>
    <row r="2704">
      <c r="F2704" s="8" t="n"/>
      <c r="G2704" s="8">
        <f>IF(E2704="","",E2704*F2704)</f>
        <v/>
      </c>
      <c r="H2704" s="8">
        <f>IF(G2704="","",G2704-I2704)</f>
        <v/>
      </c>
      <c r="I2704" s="8">
        <f>IF(D2704="","",VLOOKUP(D2704, RECETTES!B:G, 6, FALSE)*E2704)</f>
        <v/>
      </c>
      <c r="J2704" s="8">
        <f>IF(G2704="","",G2704*0.20)</f>
        <v/>
      </c>
      <c r="K2704" s="8">
        <f>IF(G2704="","",G2704+J2704)</f>
        <v/>
      </c>
    </row>
    <row r="2705">
      <c r="F2705" s="8" t="n"/>
      <c r="G2705" s="8">
        <f>IF(E2705="","",E2705*F2705)</f>
        <v/>
      </c>
      <c r="H2705" s="8">
        <f>IF(G2705="","",G2705-I2705)</f>
        <v/>
      </c>
      <c r="I2705" s="8">
        <f>IF(D2705="","",VLOOKUP(D2705, RECETTES!B:G, 6, FALSE)*E2705)</f>
        <v/>
      </c>
      <c r="J2705" s="8">
        <f>IF(G2705="","",G2705*0.20)</f>
        <v/>
      </c>
      <c r="K2705" s="8">
        <f>IF(G2705="","",G2705+J2705)</f>
        <v/>
      </c>
    </row>
    <row r="2706">
      <c r="F2706" s="8" t="n"/>
      <c r="G2706" s="8">
        <f>IF(E2706="","",E2706*F2706)</f>
        <v/>
      </c>
      <c r="H2706" s="8">
        <f>IF(G2706="","",G2706-I2706)</f>
        <v/>
      </c>
      <c r="I2706" s="8">
        <f>IF(D2706="","",VLOOKUP(D2706, RECETTES!B:G, 6, FALSE)*E2706)</f>
        <v/>
      </c>
      <c r="J2706" s="8">
        <f>IF(G2706="","",G2706*0.20)</f>
        <v/>
      </c>
      <c r="K2706" s="8">
        <f>IF(G2706="","",G2706+J2706)</f>
        <v/>
      </c>
    </row>
    <row r="2707">
      <c r="F2707" s="8" t="n"/>
      <c r="G2707" s="8">
        <f>IF(E2707="","",E2707*F2707)</f>
        <v/>
      </c>
      <c r="H2707" s="8">
        <f>IF(G2707="","",G2707-I2707)</f>
        <v/>
      </c>
      <c r="I2707" s="8">
        <f>IF(D2707="","",VLOOKUP(D2707, RECETTES!B:G, 6, FALSE)*E2707)</f>
        <v/>
      </c>
      <c r="J2707" s="8">
        <f>IF(G2707="","",G2707*0.20)</f>
        <v/>
      </c>
      <c r="K2707" s="8">
        <f>IF(G2707="","",G2707+J2707)</f>
        <v/>
      </c>
    </row>
    <row r="2708">
      <c r="F2708" s="8" t="n"/>
      <c r="G2708" s="8">
        <f>IF(E2708="","",E2708*F2708)</f>
        <v/>
      </c>
      <c r="H2708" s="8">
        <f>IF(G2708="","",G2708-I2708)</f>
        <v/>
      </c>
      <c r="I2708" s="8">
        <f>IF(D2708="","",VLOOKUP(D2708, RECETTES!B:G, 6, FALSE)*E2708)</f>
        <v/>
      </c>
      <c r="J2708" s="8">
        <f>IF(G2708="","",G2708*0.20)</f>
        <v/>
      </c>
      <c r="K2708" s="8">
        <f>IF(G2708="","",G2708+J2708)</f>
        <v/>
      </c>
    </row>
    <row r="2709">
      <c r="F2709" s="8" t="n"/>
      <c r="G2709" s="8">
        <f>IF(E2709="","",E2709*F2709)</f>
        <v/>
      </c>
      <c r="H2709" s="8">
        <f>IF(G2709="","",G2709-I2709)</f>
        <v/>
      </c>
      <c r="I2709" s="8">
        <f>IF(D2709="","",VLOOKUP(D2709, RECETTES!B:G, 6, FALSE)*E2709)</f>
        <v/>
      </c>
      <c r="J2709" s="8">
        <f>IF(G2709="","",G2709*0.20)</f>
        <v/>
      </c>
      <c r="K2709" s="8">
        <f>IF(G2709="","",G2709+J2709)</f>
        <v/>
      </c>
    </row>
    <row r="2710">
      <c r="F2710" s="8" t="n"/>
      <c r="G2710" s="8">
        <f>IF(E2710="","",E2710*F2710)</f>
        <v/>
      </c>
      <c r="H2710" s="8">
        <f>IF(G2710="","",G2710-I2710)</f>
        <v/>
      </c>
      <c r="I2710" s="8">
        <f>IF(D2710="","",VLOOKUP(D2710, RECETTES!B:G, 6, FALSE)*E2710)</f>
        <v/>
      </c>
      <c r="J2710" s="8">
        <f>IF(G2710="","",G2710*0.20)</f>
        <v/>
      </c>
      <c r="K2710" s="8">
        <f>IF(G2710="","",G2710+J2710)</f>
        <v/>
      </c>
    </row>
    <row r="2711">
      <c r="F2711" s="8" t="n"/>
      <c r="G2711" s="8">
        <f>IF(E2711="","",E2711*F2711)</f>
        <v/>
      </c>
      <c r="H2711" s="8">
        <f>IF(G2711="","",G2711-I2711)</f>
        <v/>
      </c>
      <c r="I2711" s="8">
        <f>IF(D2711="","",VLOOKUP(D2711, RECETTES!B:G, 6, FALSE)*E2711)</f>
        <v/>
      </c>
      <c r="J2711" s="8">
        <f>IF(G2711="","",G2711*0.20)</f>
        <v/>
      </c>
      <c r="K2711" s="8">
        <f>IF(G2711="","",G2711+J2711)</f>
        <v/>
      </c>
    </row>
    <row r="2712">
      <c r="F2712" s="8" t="n"/>
      <c r="G2712" s="8">
        <f>IF(E2712="","",E2712*F2712)</f>
        <v/>
      </c>
      <c r="H2712" s="8">
        <f>IF(G2712="","",G2712-I2712)</f>
        <v/>
      </c>
      <c r="I2712" s="8">
        <f>IF(D2712="","",VLOOKUP(D2712, RECETTES!B:G, 6, FALSE)*E2712)</f>
        <v/>
      </c>
      <c r="J2712" s="8">
        <f>IF(G2712="","",G2712*0.20)</f>
        <v/>
      </c>
      <c r="K2712" s="8">
        <f>IF(G2712="","",G2712+J2712)</f>
        <v/>
      </c>
    </row>
    <row r="2713">
      <c r="F2713" s="8" t="n"/>
      <c r="G2713" s="8">
        <f>IF(E2713="","",E2713*F2713)</f>
        <v/>
      </c>
      <c r="H2713" s="8">
        <f>IF(G2713="","",G2713-I2713)</f>
        <v/>
      </c>
      <c r="I2713" s="8">
        <f>IF(D2713="","",VLOOKUP(D2713, RECETTES!B:G, 6, FALSE)*E2713)</f>
        <v/>
      </c>
      <c r="J2713" s="8">
        <f>IF(G2713="","",G2713*0.20)</f>
        <v/>
      </c>
      <c r="K2713" s="8">
        <f>IF(G2713="","",G2713+J2713)</f>
        <v/>
      </c>
    </row>
    <row r="2714">
      <c r="F2714" s="8" t="n"/>
      <c r="G2714" s="8">
        <f>IF(E2714="","",E2714*F2714)</f>
        <v/>
      </c>
      <c r="H2714" s="8">
        <f>IF(G2714="","",G2714-I2714)</f>
        <v/>
      </c>
      <c r="I2714" s="8">
        <f>IF(D2714="","",VLOOKUP(D2714, RECETTES!B:G, 6, FALSE)*E2714)</f>
        <v/>
      </c>
      <c r="J2714" s="8">
        <f>IF(G2714="","",G2714*0.20)</f>
        <v/>
      </c>
      <c r="K2714" s="8">
        <f>IF(G2714="","",G2714+J2714)</f>
        <v/>
      </c>
    </row>
    <row r="2715">
      <c r="F2715" s="8" t="n"/>
      <c r="G2715" s="8">
        <f>IF(E2715="","",E2715*F2715)</f>
        <v/>
      </c>
      <c r="H2715" s="8">
        <f>IF(G2715="","",G2715-I2715)</f>
        <v/>
      </c>
      <c r="I2715" s="8">
        <f>IF(D2715="","",VLOOKUP(D2715, RECETTES!B:G, 6, FALSE)*E2715)</f>
        <v/>
      </c>
      <c r="J2715" s="8">
        <f>IF(G2715="","",G2715*0.20)</f>
        <v/>
      </c>
      <c r="K2715" s="8">
        <f>IF(G2715="","",G2715+J2715)</f>
        <v/>
      </c>
    </row>
    <row r="2716">
      <c r="F2716" s="8" t="n"/>
      <c r="G2716" s="8">
        <f>IF(E2716="","",E2716*F2716)</f>
        <v/>
      </c>
      <c r="H2716" s="8">
        <f>IF(G2716="","",G2716-I2716)</f>
        <v/>
      </c>
      <c r="I2716" s="8">
        <f>IF(D2716="","",VLOOKUP(D2716, RECETTES!B:G, 6, FALSE)*E2716)</f>
        <v/>
      </c>
      <c r="J2716" s="8">
        <f>IF(G2716="","",G2716*0.20)</f>
        <v/>
      </c>
      <c r="K2716" s="8">
        <f>IF(G2716="","",G2716+J2716)</f>
        <v/>
      </c>
    </row>
    <row r="2717">
      <c r="F2717" s="8" t="n"/>
      <c r="G2717" s="8">
        <f>IF(E2717="","",E2717*F2717)</f>
        <v/>
      </c>
      <c r="H2717" s="8">
        <f>IF(G2717="","",G2717-I2717)</f>
        <v/>
      </c>
      <c r="I2717" s="8">
        <f>IF(D2717="","",VLOOKUP(D2717, RECETTES!B:G, 6, FALSE)*E2717)</f>
        <v/>
      </c>
      <c r="J2717" s="8">
        <f>IF(G2717="","",G2717*0.20)</f>
        <v/>
      </c>
      <c r="K2717" s="8">
        <f>IF(G2717="","",G2717+J2717)</f>
        <v/>
      </c>
    </row>
    <row r="2718">
      <c r="F2718" s="8" t="n"/>
      <c r="G2718" s="8">
        <f>IF(E2718="","",E2718*F2718)</f>
        <v/>
      </c>
      <c r="H2718" s="8">
        <f>IF(G2718="","",G2718-I2718)</f>
        <v/>
      </c>
      <c r="I2718" s="8">
        <f>IF(D2718="","",VLOOKUP(D2718, RECETTES!B:G, 6, FALSE)*E2718)</f>
        <v/>
      </c>
      <c r="J2718" s="8">
        <f>IF(G2718="","",G2718*0.20)</f>
        <v/>
      </c>
      <c r="K2718" s="8">
        <f>IF(G2718="","",G2718+J2718)</f>
        <v/>
      </c>
    </row>
    <row r="2719">
      <c r="F2719" s="8" t="n"/>
      <c r="G2719" s="8">
        <f>IF(E2719="","",E2719*F2719)</f>
        <v/>
      </c>
      <c r="H2719" s="8">
        <f>IF(G2719="","",G2719-I2719)</f>
        <v/>
      </c>
      <c r="I2719" s="8">
        <f>IF(D2719="","",VLOOKUP(D2719, RECETTES!B:G, 6, FALSE)*E2719)</f>
        <v/>
      </c>
      <c r="J2719" s="8">
        <f>IF(G2719="","",G2719*0.20)</f>
        <v/>
      </c>
      <c r="K2719" s="8">
        <f>IF(G2719="","",G2719+J2719)</f>
        <v/>
      </c>
    </row>
    <row r="2720">
      <c r="F2720" s="8" t="n"/>
      <c r="G2720" s="8">
        <f>IF(E2720="","",E2720*F2720)</f>
        <v/>
      </c>
      <c r="H2720" s="8">
        <f>IF(G2720="","",G2720-I2720)</f>
        <v/>
      </c>
      <c r="I2720" s="8">
        <f>IF(D2720="","",VLOOKUP(D2720, RECETTES!B:G, 6, FALSE)*E2720)</f>
        <v/>
      </c>
      <c r="J2720" s="8">
        <f>IF(G2720="","",G2720*0.20)</f>
        <v/>
      </c>
      <c r="K2720" s="8">
        <f>IF(G2720="","",G2720+J2720)</f>
        <v/>
      </c>
    </row>
    <row r="2721">
      <c r="F2721" s="8" t="n"/>
      <c r="G2721" s="8">
        <f>IF(E2721="","",E2721*F2721)</f>
        <v/>
      </c>
      <c r="H2721" s="8">
        <f>IF(G2721="","",G2721-I2721)</f>
        <v/>
      </c>
      <c r="I2721" s="8">
        <f>IF(D2721="","",VLOOKUP(D2721, RECETTES!B:G, 6, FALSE)*E2721)</f>
        <v/>
      </c>
      <c r="J2721" s="8">
        <f>IF(G2721="","",G2721*0.20)</f>
        <v/>
      </c>
      <c r="K2721" s="8">
        <f>IF(G2721="","",G2721+J2721)</f>
        <v/>
      </c>
    </row>
    <row r="2722">
      <c r="F2722" s="8" t="n"/>
      <c r="G2722" s="8">
        <f>IF(E2722="","",E2722*F2722)</f>
        <v/>
      </c>
      <c r="H2722" s="8">
        <f>IF(G2722="","",G2722-I2722)</f>
        <v/>
      </c>
      <c r="I2722" s="8">
        <f>IF(D2722="","",VLOOKUP(D2722, RECETTES!B:G, 6, FALSE)*E2722)</f>
        <v/>
      </c>
      <c r="J2722" s="8">
        <f>IF(G2722="","",G2722*0.20)</f>
        <v/>
      </c>
      <c r="K2722" s="8">
        <f>IF(G2722="","",G2722+J2722)</f>
        <v/>
      </c>
    </row>
    <row r="2723">
      <c r="F2723" s="8" t="n"/>
      <c r="G2723" s="8">
        <f>IF(E2723="","",E2723*F2723)</f>
        <v/>
      </c>
      <c r="H2723" s="8">
        <f>IF(G2723="","",G2723-I2723)</f>
        <v/>
      </c>
      <c r="I2723" s="8">
        <f>IF(D2723="","",VLOOKUP(D2723, RECETTES!B:G, 6, FALSE)*E2723)</f>
        <v/>
      </c>
      <c r="J2723" s="8">
        <f>IF(G2723="","",G2723*0.20)</f>
        <v/>
      </c>
      <c r="K2723" s="8">
        <f>IF(G2723="","",G2723+J2723)</f>
        <v/>
      </c>
    </row>
    <row r="2724">
      <c r="F2724" s="8" t="n"/>
      <c r="G2724" s="8">
        <f>IF(E2724="","",E2724*F2724)</f>
        <v/>
      </c>
      <c r="H2724" s="8">
        <f>IF(G2724="","",G2724-I2724)</f>
        <v/>
      </c>
      <c r="I2724" s="8">
        <f>IF(D2724="","",VLOOKUP(D2724, RECETTES!B:G, 6, FALSE)*E2724)</f>
        <v/>
      </c>
      <c r="J2724" s="8">
        <f>IF(G2724="","",G2724*0.20)</f>
        <v/>
      </c>
      <c r="K2724" s="8">
        <f>IF(G2724="","",G2724+J2724)</f>
        <v/>
      </c>
    </row>
    <row r="2725">
      <c r="F2725" s="8" t="n"/>
      <c r="G2725" s="8">
        <f>IF(E2725="","",E2725*F2725)</f>
        <v/>
      </c>
      <c r="H2725" s="8">
        <f>IF(G2725="","",G2725-I2725)</f>
        <v/>
      </c>
      <c r="I2725" s="8">
        <f>IF(D2725="","",VLOOKUP(D2725, RECETTES!B:G, 6, FALSE)*E2725)</f>
        <v/>
      </c>
      <c r="J2725" s="8">
        <f>IF(G2725="","",G2725*0.20)</f>
        <v/>
      </c>
      <c r="K2725" s="8">
        <f>IF(G2725="","",G2725+J2725)</f>
        <v/>
      </c>
    </row>
    <row r="2726">
      <c r="F2726" s="8" t="n"/>
      <c r="G2726" s="8">
        <f>IF(E2726="","",E2726*F2726)</f>
        <v/>
      </c>
      <c r="H2726" s="8">
        <f>IF(G2726="","",G2726-I2726)</f>
        <v/>
      </c>
      <c r="I2726" s="8">
        <f>IF(D2726="","",VLOOKUP(D2726, RECETTES!B:G, 6, FALSE)*E2726)</f>
        <v/>
      </c>
      <c r="J2726" s="8">
        <f>IF(G2726="","",G2726*0.20)</f>
        <v/>
      </c>
      <c r="K2726" s="8">
        <f>IF(G2726="","",G2726+J2726)</f>
        <v/>
      </c>
    </row>
    <row r="2727">
      <c r="F2727" s="8" t="n"/>
      <c r="G2727" s="8">
        <f>IF(E2727="","",E2727*F2727)</f>
        <v/>
      </c>
      <c r="H2727" s="8">
        <f>IF(G2727="","",G2727-I2727)</f>
        <v/>
      </c>
      <c r="I2727" s="8">
        <f>IF(D2727="","",VLOOKUP(D2727, RECETTES!B:G, 6, FALSE)*E2727)</f>
        <v/>
      </c>
      <c r="J2727" s="8">
        <f>IF(G2727="","",G2727*0.20)</f>
        <v/>
      </c>
      <c r="K2727" s="8">
        <f>IF(G2727="","",G2727+J2727)</f>
        <v/>
      </c>
    </row>
    <row r="2728">
      <c r="F2728" s="8" t="n"/>
      <c r="G2728" s="8">
        <f>IF(E2728="","",E2728*F2728)</f>
        <v/>
      </c>
      <c r="H2728" s="8">
        <f>IF(G2728="","",G2728-I2728)</f>
        <v/>
      </c>
      <c r="I2728" s="8">
        <f>IF(D2728="","",VLOOKUP(D2728, RECETTES!B:G, 6, FALSE)*E2728)</f>
        <v/>
      </c>
      <c r="J2728" s="8">
        <f>IF(G2728="","",G2728*0.20)</f>
        <v/>
      </c>
      <c r="K2728" s="8">
        <f>IF(G2728="","",G2728+J2728)</f>
        <v/>
      </c>
    </row>
    <row r="2729">
      <c r="F2729" s="8" t="n"/>
      <c r="G2729" s="8">
        <f>IF(E2729="","",E2729*F2729)</f>
        <v/>
      </c>
      <c r="H2729" s="8">
        <f>IF(G2729="","",G2729-I2729)</f>
        <v/>
      </c>
      <c r="I2729" s="8">
        <f>IF(D2729="","",VLOOKUP(D2729, RECETTES!B:G, 6, FALSE)*E2729)</f>
        <v/>
      </c>
      <c r="J2729" s="8">
        <f>IF(G2729="","",G2729*0.20)</f>
        <v/>
      </c>
      <c r="K2729" s="8">
        <f>IF(G2729="","",G2729+J2729)</f>
        <v/>
      </c>
    </row>
    <row r="2730">
      <c r="F2730" s="8" t="n"/>
      <c r="G2730" s="8">
        <f>IF(E2730="","",E2730*F2730)</f>
        <v/>
      </c>
      <c r="H2730" s="8">
        <f>IF(G2730="","",G2730-I2730)</f>
        <v/>
      </c>
      <c r="I2730" s="8">
        <f>IF(D2730="","",VLOOKUP(D2730, RECETTES!B:G, 6, FALSE)*E2730)</f>
        <v/>
      </c>
      <c r="J2730" s="8">
        <f>IF(G2730="","",G2730*0.20)</f>
        <v/>
      </c>
      <c r="K2730" s="8">
        <f>IF(G2730="","",G2730+J2730)</f>
        <v/>
      </c>
    </row>
    <row r="2731">
      <c r="F2731" s="8" t="n"/>
      <c r="G2731" s="8">
        <f>IF(E2731="","",E2731*F2731)</f>
        <v/>
      </c>
      <c r="H2731" s="8">
        <f>IF(G2731="","",G2731-I2731)</f>
        <v/>
      </c>
      <c r="I2731" s="8">
        <f>IF(D2731="","",VLOOKUP(D2731, RECETTES!B:G, 6, FALSE)*E2731)</f>
        <v/>
      </c>
      <c r="J2731" s="8">
        <f>IF(G2731="","",G2731*0.20)</f>
        <v/>
      </c>
      <c r="K2731" s="8">
        <f>IF(G2731="","",G2731+J2731)</f>
        <v/>
      </c>
    </row>
    <row r="2732">
      <c r="F2732" s="8" t="n"/>
      <c r="G2732" s="8">
        <f>IF(E2732="","",E2732*F2732)</f>
        <v/>
      </c>
      <c r="H2732" s="8">
        <f>IF(G2732="","",G2732-I2732)</f>
        <v/>
      </c>
      <c r="I2732" s="8">
        <f>IF(D2732="","",VLOOKUP(D2732, RECETTES!B:G, 6, FALSE)*E2732)</f>
        <v/>
      </c>
      <c r="J2732" s="8">
        <f>IF(G2732="","",G2732*0.20)</f>
        <v/>
      </c>
      <c r="K2732" s="8">
        <f>IF(G2732="","",G2732+J2732)</f>
        <v/>
      </c>
    </row>
    <row r="2733">
      <c r="F2733" s="8" t="n"/>
      <c r="G2733" s="8">
        <f>IF(E2733="","",E2733*F2733)</f>
        <v/>
      </c>
      <c r="H2733" s="8">
        <f>IF(G2733="","",G2733-I2733)</f>
        <v/>
      </c>
      <c r="I2733" s="8">
        <f>IF(D2733="","",VLOOKUP(D2733, RECETTES!B:G, 6, FALSE)*E2733)</f>
        <v/>
      </c>
      <c r="J2733" s="8">
        <f>IF(G2733="","",G2733*0.20)</f>
        <v/>
      </c>
      <c r="K2733" s="8">
        <f>IF(G2733="","",G2733+J2733)</f>
        <v/>
      </c>
    </row>
    <row r="2734">
      <c r="F2734" s="8" t="n"/>
      <c r="G2734" s="8">
        <f>IF(E2734="","",E2734*F2734)</f>
        <v/>
      </c>
      <c r="H2734" s="8">
        <f>IF(G2734="","",G2734-I2734)</f>
        <v/>
      </c>
      <c r="I2734" s="8">
        <f>IF(D2734="","",VLOOKUP(D2734, RECETTES!B:G, 6, FALSE)*E2734)</f>
        <v/>
      </c>
      <c r="J2734" s="8">
        <f>IF(G2734="","",G2734*0.20)</f>
        <v/>
      </c>
      <c r="K2734" s="8">
        <f>IF(G2734="","",G2734+J2734)</f>
        <v/>
      </c>
    </row>
    <row r="2735">
      <c r="F2735" s="8" t="n"/>
      <c r="G2735" s="8">
        <f>IF(E2735="","",E2735*F2735)</f>
        <v/>
      </c>
      <c r="H2735" s="8">
        <f>IF(G2735="","",G2735-I2735)</f>
        <v/>
      </c>
      <c r="I2735" s="8">
        <f>IF(D2735="","",VLOOKUP(D2735, RECETTES!B:G, 6, FALSE)*E2735)</f>
        <v/>
      </c>
      <c r="J2735" s="8">
        <f>IF(G2735="","",G2735*0.20)</f>
        <v/>
      </c>
      <c r="K2735" s="8">
        <f>IF(G2735="","",G2735+J2735)</f>
        <v/>
      </c>
    </row>
    <row r="2736">
      <c r="F2736" s="8" t="n"/>
      <c r="G2736" s="8">
        <f>IF(E2736="","",E2736*F2736)</f>
        <v/>
      </c>
      <c r="H2736" s="8">
        <f>IF(G2736="","",G2736-I2736)</f>
        <v/>
      </c>
      <c r="I2736" s="8">
        <f>IF(D2736="","",VLOOKUP(D2736, RECETTES!B:G, 6, FALSE)*E2736)</f>
        <v/>
      </c>
      <c r="J2736" s="8">
        <f>IF(G2736="","",G2736*0.20)</f>
        <v/>
      </c>
      <c r="K2736" s="8">
        <f>IF(G2736="","",G2736+J2736)</f>
        <v/>
      </c>
    </row>
    <row r="2737">
      <c r="F2737" s="8" t="n"/>
      <c r="G2737" s="8">
        <f>IF(E2737="","",E2737*F2737)</f>
        <v/>
      </c>
      <c r="H2737" s="8">
        <f>IF(G2737="","",G2737-I2737)</f>
        <v/>
      </c>
      <c r="I2737" s="8">
        <f>IF(D2737="","",VLOOKUP(D2737, RECETTES!B:G, 6, FALSE)*E2737)</f>
        <v/>
      </c>
      <c r="J2737" s="8">
        <f>IF(G2737="","",G2737*0.20)</f>
        <v/>
      </c>
      <c r="K2737" s="8">
        <f>IF(G2737="","",G2737+J2737)</f>
        <v/>
      </c>
    </row>
    <row r="2738">
      <c r="F2738" s="8" t="n"/>
      <c r="G2738" s="8">
        <f>IF(E2738="","",E2738*F2738)</f>
        <v/>
      </c>
      <c r="H2738" s="8">
        <f>IF(G2738="","",G2738-I2738)</f>
        <v/>
      </c>
      <c r="I2738" s="8">
        <f>IF(D2738="","",VLOOKUP(D2738, RECETTES!B:G, 6, FALSE)*E2738)</f>
        <v/>
      </c>
      <c r="J2738" s="8">
        <f>IF(G2738="","",G2738*0.20)</f>
        <v/>
      </c>
      <c r="K2738" s="8">
        <f>IF(G2738="","",G2738+J2738)</f>
        <v/>
      </c>
    </row>
    <row r="2739">
      <c r="F2739" s="8" t="n"/>
      <c r="G2739" s="8">
        <f>IF(E2739="","",E2739*F2739)</f>
        <v/>
      </c>
      <c r="H2739" s="8">
        <f>IF(G2739="","",G2739-I2739)</f>
        <v/>
      </c>
      <c r="I2739" s="8">
        <f>IF(D2739="","",VLOOKUP(D2739, RECETTES!B:G, 6, FALSE)*E2739)</f>
        <v/>
      </c>
      <c r="J2739" s="8">
        <f>IF(G2739="","",G2739*0.20)</f>
        <v/>
      </c>
      <c r="K2739" s="8">
        <f>IF(G2739="","",G2739+J2739)</f>
        <v/>
      </c>
    </row>
    <row r="2740">
      <c r="F2740" s="8" t="n"/>
      <c r="G2740" s="8">
        <f>IF(E2740="","",E2740*F2740)</f>
        <v/>
      </c>
      <c r="H2740" s="8">
        <f>IF(G2740="","",G2740-I2740)</f>
        <v/>
      </c>
      <c r="I2740" s="8">
        <f>IF(D2740="","",VLOOKUP(D2740, RECETTES!B:G, 6, FALSE)*E2740)</f>
        <v/>
      </c>
      <c r="J2740" s="8">
        <f>IF(G2740="","",G2740*0.20)</f>
        <v/>
      </c>
      <c r="K2740" s="8">
        <f>IF(G2740="","",G2740+J2740)</f>
        <v/>
      </c>
    </row>
    <row r="2741">
      <c r="F2741" s="8" t="n"/>
      <c r="G2741" s="8">
        <f>IF(E2741="","",E2741*F2741)</f>
        <v/>
      </c>
      <c r="H2741" s="8">
        <f>IF(G2741="","",G2741-I2741)</f>
        <v/>
      </c>
      <c r="I2741" s="8">
        <f>IF(D2741="","",VLOOKUP(D2741, RECETTES!B:G, 6, FALSE)*E2741)</f>
        <v/>
      </c>
      <c r="J2741" s="8">
        <f>IF(G2741="","",G2741*0.20)</f>
        <v/>
      </c>
      <c r="K2741" s="8">
        <f>IF(G2741="","",G2741+J2741)</f>
        <v/>
      </c>
    </row>
    <row r="2742">
      <c r="F2742" s="8" t="n"/>
      <c r="G2742" s="8">
        <f>IF(E2742="","",E2742*F2742)</f>
        <v/>
      </c>
      <c r="H2742" s="8">
        <f>IF(G2742="","",G2742-I2742)</f>
        <v/>
      </c>
      <c r="I2742" s="8">
        <f>IF(D2742="","",VLOOKUP(D2742, RECETTES!B:G, 6, FALSE)*E2742)</f>
        <v/>
      </c>
      <c r="J2742" s="8">
        <f>IF(G2742="","",G2742*0.20)</f>
        <v/>
      </c>
      <c r="K2742" s="8">
        <f>IF(G2742="","",G2742+J2742)</f>
        <v/>
      </c>
    </row>
    <row r="2743">
      <c r="F2743" s="8" t="n"/>
      <c r="G2743" s="8">
        <f>IF(E2743="","",E2743*F2743)</f>
        <v/>
      </c>
      <c r="H2743" s="8">
        <f>IF(G2743="","",G2743-I2743)</f>
        <v/>
      </c>
      <c r="I2743" s="8">
        <f>IF(D2743="","",VLOOKUP(D2743, RECETTES!B:G, 6, FALSE)*E2743)</f>
        <v/>
      </c>
      <c r="J2743" s="8">
        <f>IF(G2743="","",G2743*0.20)</f>
        <v/>
      </c>
      <c r="K2743" s="8">
        <f>IF(G2743="","",G2743+J2743)</f>
        <v/>
      </c>
    </row>
    <row r="2744">
      <c r="F2744" s="8" t="n"/>
      <c r="G2744" s="8">
        <f>IF(E2744="","",E2744*F2744)</f>
        <v/>
      </c>
      <c r="H2744" s="8">
        <f>IF(G2744="","",G2744-I2744)</f>
        <v/>
      </c>
      <c r="I2744" s="8">
        <f>IF(D2744="","",VLOOKUP(D2744, RECETTES!B:G, 6, FALSE)*E2744)</f>
        <v/>
      </c>
      <c r="J2744" s="8">
        <f>IF(G2744="","",G2744*0.20)</f>
        <v/>
      </c>
      <c r="K2744" s="8">
        <f>IF(G2744="","",G2744+J2744)</f>
        <v/>
      </c>
    </row>
    <row r="2745">
      <c r="F2745" s="8" t="n"/>
      <c r="G2745" s="8">
        <f>IF(E2745="","",E2745*F2745)</f>
        <v/>
      </c>
      <c r="H2745" s="8">
        <f>IF(G2745="","",G2745-I2745)</f>
        <v/>
      </c>
      <c r="I2745" s="8">
        <f>IF(D2745="","",VLOOKUP(D2745, RECETTES!B:G, 6, FALSE)*E2745)</f>
        <v/>
      </c>
      <c r="J2745" s="8">
        <f>IF(G2745="","",G2745*0.20)</f>
        <v/>
      </c>
      <c r="K2745" s="8">
        <f>IF(G2745="","",G2745+J2745)</f>
        <v/>
      </c>
    </row>
    <row r="2746">
      <c r="F2746" s="8" t="n"/>
      <c r="G2746" s="8">
        <f>IF(E2746="","",E2746*F2746)</f>
        <v/>
      </c>
      <c r="H2746" s="8">
        <f>IF(G2746="","",G2746-I2746)</f>
        <v/>
      </c>
      <c r="I2746" s="8">
        <f>IF(D2746="","",VLOOKUP(D2746, RECETTES!B:G, 6, FALSE)*E2746)</f>
        <v/>
      </c>
      <c r="J2746" s="8">
        <f>IF(G2746="","",G2746*0.20)</f>
        <v/>
      </c>
      <c r="K2746" s="8">
        <f>IF(G2746="","",G2746+J2746)</f>
        <v/>
      </c>
    </row>
    <row r="2747">
      <c r="F2747" s="8" t="n"/>
      <c r="G2747" s="8">
        <f>IF(E2747="","",E2747*F2747)</f>
        <v/>
      </c>
      <c r="H2747" s="8">
        <f>IF(G2747="","",G2747-I2747)</f>
        <v/>
      </c>
      <c r="I2747" s="8">
        <f>IF(D2747="","",VLOOKUP(D2747, RECETTES!B:G, 6, FALSE)*E2747)</f>
        <v/>
      </c>
      <c r="J2747" s="8">
        <f>IF(G2747="","",G2747*0.20)</f>
        <v/>
      </c>
      <c r="K2747" s="8">
        <f>IF(G2747="","",G2747+J2747)</f>
        <v/>
      </c>
    </row>
    <row r="2748">
      <c r="F2748" s="8" t="n"/>
      <c r="G2748" s="8">
        <f>IF(E2748="","",E2748*F2748)</f>
        <v/>
      </c>
      <c r="H2748" s="8">
        <f>IF(G2748="","",G2748-I2748)</f>
        <v/>
      </c>
      <c r="I2748" s="8">
        <f>IF(D2748="","",VLOOKUP(D2748, RECETTES!B:G, 6, FALSE)*E2748)</f>
        <v/>
      </c>
      <c r="J2748" s="8">
        <f>IF(G2748="","",G2748*0.20)</f>
        <v/>
      </c>
      <c r="K2748" s="8">
        <f>IF(G2748="","",G2748+J2748)</f>
        <v/>
      </c>
    </row>
    <row r="2749">
      <c r="F2749" s="8" t="n"/>
      <c r="G2749" s="8">
        <f>IF(E2749="","",E2749*F2749)</f>
        <v/>
      </c>
      <c r="H2749" s="8">
        <f>IF(G2749="","",G2749-I2749)</f>
        <v/>
      </c>
      <c r="I2749" s="8">
        <f>IF(D2749="","",VLOOKUP(D2749, RECETTES!B:G, 6, FALSE)*E2749)</f>
        <v/>
      </c>
      <c r="J2749" s="8">
        <f>IF(G2749="","",G2749*0.20)</f>
        <v/>
      </c>
      <c r="K2749" s="8">
        <f>IF(G2749="","",G2749+J2749)</f>
        <v/>
      </c>
    </row>
    <row r="2750">
      <c r="F2750" s="8" t="n"/>
      <c r="G2750" s="8">
        <f>IF(E2750="","",E2750*F2750)</f>
        <v/>
      </c>
      <c r="H2750" s="8">
        <f>IF(G2750="","",G2750-I2750)</f>
        <v/>
      </c>
      <c r="I2750" s="8">
        <f>IF(D2750="","",VLOOKUP(D2750, RECETTES!B:G, 6, FALSE)*E2750)</f>
        <v/>
      </c>
      <c r="J2750" s="8">
        <f>IF(G2750="","",G2750*0.20)</f>
        <v/>
      </c>
      <c r="K2750" s="8">
        <f>IF(G2750="","",G2750+J2750)</f>
        <v/>
      </c>
    </row>
    <row r="2751">
      <c r="F2751" s="8" t="n"/>
      <c r="G2751" s="8">
        <f>IF(E2751="","",E2751*F2751)</f>
        <v/>
      </c>
      <c r="H2751" s="8">
        <f>IF(G2751="","",G2751-I2751)</f>
        <v/>
      </c>
      <c r="I2751" s="8">
        <f>IF(D2751="","",VLOOKUP(D2751, RECETTES!B:G, 6, FALSE)*E2751)</f>
        <v/>
      </c>
      <c r="J2751" s="8">
        <f>IF(G2751="","",G2751*0.20)</f>
        <v/>
      </c>
      <c r="K2751" s="8">
        <f>IF(G2751="","",G2751+J2751)</f>
        <v/>
      </c>
    </row>
    <row r="2752">
      <c r="F2752" s="8" t="n"/>
      <c r="G2752" s="8">
        <f>IF(E2752="","",E2752*F2752)</f>
        <v/>
      </c>
      <c r="H2752" s="8">
        <f>IF(G2752="","",G2752-I2752)</f>
        <v/>
      </c>
      <c r="I2752" s="8">
        <f>IF(D2752="","",VLOOKUP(D2752, RECETTES!B:G, 6, FALSE)*E2752)</f>
        <v/>
      </c>
      <c r="J2752" s="8">
        <f>IF(G2752="","",G2752*0.20)</f>
        <v/>
      </c>
      <c r="K2752" s="8">
        <f>IF(G2752="","",G2752+J2752)</f>
        <v/>
      </c>
    </row>
    <row r="2753">
      <c r="F2753" s="8" t="n"/>
      <c r="G2753" s="8">
        <f>IF(E2753="","",E2753*F2753)</f>
        <v/>
      </c>
      <c r="H2753" s="8">
        <f>IF(G2753="","",G2753-I2753)</f>
        <v/>
      </c>
      <c r="I2753" s="8">
        <f>IF(D2753="","",VLOOKUP(D2753, RECETTES!B:G, 6, FALSE)*E2753)</f>
        <v/>
      </c>
      <c r="J2753" s="8">
        <f>IF(G2753="","",G2753*0.20)</f>
        <v/>
      </c>
      <c r="K2753" s="8">
        <f>IF(G2753="","",G2753+J2753)</f>
        <v/>
      </c>
    </row>
    <row r="2754">
      <c r="F2754" s="8" t="n"/>
      <c r="G2754" s="8">
        <f>IF(E2754="","",E2754*F2754)</f>
        <v/>
      </c>
      <c r="H2754" s="8">
        <f>IF(G2754="","",G2754-I2754)</f>
        <v/>
      </c>
      <c r="I2754" s="8">
        <f>IF(D2754="","",VLOOKUP(D2754, RECETTES!B:G, 6, FALSE)*E2754)</f>
        <v/>
      </c>
      <c r="J2754" s="8">
        <f>IF(G2754="","",G2754*0.20)</f>
        <v/>
      </c>
      <c r="K2754" s="8">
        <f>IF(G2754="","",G2754+J2754)</f>
        <v/>
      </c>
    </row>
    <row r="2755">
      <c r="F2755" s="8" t="n"/>
      <c r="G2755" s="8">
        <f>IF(E2755="","",E2755*F2755)</f>
        <v/>
      </c>
      <c r="H2755" s="8">
        <f>IF(G2755="","",G2755-I2755)</f>
        <v/>
      </c>
      <c r="I2755" s="8">
        <f>IF(D2755="","",VLOOKUP(D2755, RECETTES!B:G, 6, FALSE)*E2755)</f>
        <v/>
      </c>
      <c r="J2755" s="8">
        <f>IF(G2755="","",G2755*0.20)</f>
        <v/>
      </c>
      <c r="K2755" s="8">
        <f>IF(G2755="","",G2755+J2755)</f>
        <v/>
      </c>
    </row>
    <row r="2756">
      <c r="F2756" s="8" t="n"/>
      <c r="G2756" s="8">
        <f>IF(E2756="","",E2756*F2756)</f>
        <v/>
      </c>
      <c r="H2756" s="8">
        <f>IF(G2756="","",G2756-I2756)</f>
        <v/>
      </c>
      <c r="I2756" s="8">
        <f>IF(D2756="","",VLOOKUP(D2756, RECETTES!B:G, 6, FALSE)*E2756)</f>
        <v/>
      </c>
      <c r="J2756" s="8">
        <f>IF(G2756="","",G2756*0.20)</f>
        <v/>
      </c>
      <c r="K2756" s="8">
        <f>IF(G2756="","",G2756+J2756)</f>
        <v/>
      </c>
    </row>
    <row r="2757">
      <c r="F2757" s="8" t="n"/>
      <c r="G2757" s="8">
        <f>IF(E2757="","",E2757*F2757)</f>
        <v/>
      </c>
      <c r="H2757" s="8">
        <f>IF(G2757="","",G2757-I2757)</f>
        <v/>
      </c>
      <c r="I2757" s="8">
        <f>IF(D2757="","",VLOOKUP(D2757, RECETTES!B:G, 6, FALSE)*E2757)</f>
        <v/>
      </c>
      <c r="J2757" s="8">
        <f>IF(G2757="","",G2757*0.20)</f>
        <v/>
      </c>
      <c r="K2757" s="8">
        <f>IF(G2757="","",G2757+J2757)</f>
        <v/>
      </c>
    </row>
    <row r="2758">
      <c r="F2758" s="8" t="n"/>
      <c r="G2758" s="8">
        <f>IF(E2758="","",E2758*F2758)</f>
        <v/>
      </c>
      <c r="H2758" s="8">
        <f>IF(G2758="","",G2758-I2758)</f>
        <v/>
      </c>
      <c r="I2758" s="8">
        <f>IF(D2758="","",VLOOKUP(D2758, RECETTES!B:G, 6, FALSE)*E2758)</f>
        <v/>
      </c>
      <c r="J2758" s="8">
        <f>IF(G2758="","",G2758*0.20)</f>
        <v/>
      </c>
      <c r="K2758" s="8">
        <f>IF(G2758="","",G2758+J2758)</f>
        <v/>
      </c>
    </row>
    <row r="2759">
      <c r="F2759" s="8" t="n"/>
      <c r="G2759" s="8">
        <f>IF(E2759="","",E2759*F2759)</f>
        <v/>
      </c>
      <c r="H2759" s="8">
        <f>IF(G2759="","",G2759-I2759)</f>
        <v/>
      </c>
      <c r="I2759" s="8">
        <f>IF(D2759="","",VLOOKUP(D2759, RECETTES!B:G, 6, FALSE)*E2759)</f>
        <v/>
      </c>
      <c r="J2759" s="8">
        <f>IF(G2759="","",G2759*0.20)</f>
        <v/>
      </c>
      <c r="K2759" s="8">
        <f>IF(G2759="","",G2759+J2759)</f>
        <v/>
      </c>
    </row>
    <row r="2760">
      <c r="F2760" s="8" t="n"/>
      <c r="G2760" s="8">
        <f>IF(E2760="","",E2760*F2760)</f>
        <v/>
      </c>
      <c r="H2760" s="8">
        <f>IF(G2760="","",G2760-I2760)</f>
        <v/>
      </c>
      <c r="I2760" s="8">
        <f>IF(D2760="","",VLOOKUP(D2760, RECETTES!B:G, 6, FALSE)*E2760)</f>
        <v/>
      </c>
      <c r="J2760" s="8">
        <f>IF(G2760="","",G2760*0.20)</f>
        <v/>
      </c>
      <c r="K2760" s="8">
        <f>IF(G2760="","",G2760+J2760)</f>
        <v/>
      </c>
    </row>
    <row r="2761">
      <c r="F2761" s="8" t="n"/>
      <c r="G2761" s="8">
        <f>IF(E2761="","",E2761*F2761)</f>
        <v/>
      </c>
      <c r="H2761" s="8">
        <f>IF(G2761="","",G2761-I2761)</f>
        <v/>
      </c>
      <c r="I2761" s="8">
        <f>IF(D2761="","",VLOOKUP(D2761, RECETTES!B:G, 6, FALSE)*E2761)</f>
        <v/>
      </c>
      <c r="J2761" s="8">
        <f>IF(G2761="","",G2761*0.20)</f>
        <v/>
      </c>
      <c r="K2761" s="8">
        <f>IF(G2761="","",G2761+J2761)</f>
        <v/>
      </c>
    </row>
    <row r="2762">
      <c r="F2762" s="8" t="n"/>
      <c r="G2762" s="8">
        <f>IF(E2762="","",E2762*F2762)</f>
        <v/>
      </c>
      <c r="H2762" s="8">
        <f>IF(G2762="","",G2762-I2762)</f>
        <v/>
      </c>
      <c r="I2762" s="8">
        <f>IF(D2762="","",VLOOKUP(D2762, RECETTES!B:G, 6, FALSE)*E2762)</f>
        <v/>
      </c>
      <c r="J2762" s="8">
        <f>IF(G2762="","",G2762*0.20)</f>
        <v/>
      </c>
      <c r="K2762" s="8">
        <f>IF(G2762="","",G2762+J2762)</f>
        <v/>
      </c>
    </row>
    <row r="2763">
      <c r="F2763" s="8" t="n"/>
      <c r="G2763" s="8">
        <f>IF(E2763="","",E2763*F2763)</f>
        <v/>
      </c>
      <c r="H2763" s="8">
        <f>IF(G2763="","",G2763-I2763)</f>
        <v/>
      </c>
      <c r="I2763" s="8">
        <f>IF(D2763="","",VLOOKUP(D2763, RECETTES!B:G, 6, FALSE)*E2763)</f>
        <v/>
      </c>
      <c r="J2763" s="8">
        <f>IF(G2763="","",G2763*0.20)</f>
        <v/>
      </c>
      <c r="K2763" s="8">
        <f>IF(G2763="","",G2763+J2763)</f>
        <v/>
      </c>
    </row>
    <row r="2764">
      <c r="F2764" s="8" t="n"/>
      <c r="G2764" s="8">
        <f>IF(E2764="","",E2764*F2764)</f>
        <v/>
      </c>
      <c r="H2764" s="8">
        <f>IF(G2764="","",G2764-I2764)</f>
        <v/>
      </c>
      <c r="I2764" s="8">
        <f>IF(D2764="","",VLOOKUP(D2764, RECETTES!B:G, 6, FALSE)*E2764)</f>
        <v/>
      </c>
      <c r="J2764" s="8">
        <f>IF(G2764="","",G2764*0.20)</f>
        <v/>
      </c>
      <c r="K2764" s="8">
        <f>IF(G2764="","",G2764+J2764)</f>
        <v/>
      </c>
    </row>
    <row r="2765">
      <c r="F2765" s="8" t="n"/>
      <c r="G2765" s="8">
        <f>IF(E2765="","",E2765*F2765)</f>
        <v/>
      </c>
      <c r="H2765" s="8">
        <f>IF(G2765="","",G2765-I2765)</f>
        <v/>
      </c>
      <c r="I2765" s="8">
        <f>IF(D2765="","",VLOOKUP(D2765, RECETTES!B:G, 6, FALSE)*E2765)</f>
        <v/>
      </c>
      <c r="J2765" s="8">
        <f>IF(G2765="","",G2765*0.20)</f>
        <v/>
      </c>
      <c r="K2765" s="8">
        <f>IF(G2765="","",G2765+J2765)</f>
        <v/>
      </c>
    </row>
    <row r="2766">
      <c r="F2766" s="8" t="n"/>
      <c r="G2766" s="8">
        <f>IF(E2766="","",E2766*F2766)</f>
        <v/>
      </c>
      <c r="H2766" s="8">
        <f>IF(G2766="","",G2766-I2766)</f>
        <v/>
      </c>
      <c r="I2766" s="8">
        <f>IF(D2766="","",VLOOKUP(D2766, RECETTES!B:G, 6, FALSE)*E2766)</f>
        <v/>
      </c>
      <c r="J2766" s="8">
        <f>IF(G2766="","",G2766*0.20)</f>
        <v/>
      </c>
      <c r="K2766" s="8">
        <f>IF(G2766="","",G2766+J2766)</f>
        <v/>
      </c>
    </row>
    <row r="2767">
      <c r="F2767" s="8" t="n"/>
      <c r="G2767" s="8">
        <f>IF(E2767="","",E2767*F2767)</f>
        <v/>
      </c>
      <c r="H2767" s="8">
        <f>IF(G2767="","",G2767-I2767)</f>
        <v/>
      </c>
      <c r="I2767" s="8">
        <f>IF(D2767="","",VLOOKUP(D2767, RECETTES!B:G, 6, FALSE)*E2767)</f>
        <v/>
      </c>
      <c r="J2767" s="8">
        <f>IF(G2767="","",G2767*0.20)</f>
        <v/>
      </c>
      <c r="K2767" s="8">
        <f>IF(G2767="","",G2767+J2767)</f>
        <v/>
      </c>
    </row>
    <row r="2768">
      <c r="F2768" s="8" t="n"/>
      <c r="G2768" s="8">
        <f>IF(E2768="","",E2768*F2768)</f>
        <v/>
      </c>
      <c r="H2768" s="8">
        <f>IF(G2768="","",G2768-I2768)</f>
        <v/>
      </c>
      <c r="I2768" s="8">
        <f>IF(D2768="","",VLOOKUP(D2768, RECETTES!B:G, 6, FALSE)*E2768)</f>
        <v/>
      </c>
      <c r="J2768" s="8">
        <f>IF(G2768="","",G2768*0.20)</f>
        <v/>
      </c>
      <c r="K2768" s="8">
        <f>IF(G2768="","",G2768+J2768)</f>
        <v/>
      </c>
    </row>
    <row r="2769">
      <c r="F2769" s="8" t="n"/>
      <c r="G2769" s="8">
        <f>IF(E2769="","",E2769*F2769)</f>
        <v/>
      </c>
      <c r="H2769" s="8">
        <f>IF(G2769="","",G2769-I2769)</f>
        <v/>
      </c>
      <c r="I2769" s="8">
        <f>IF(D2769="","",VLOOKUP(D2769, RECETTES!B:G, 6, FALSE)*E2769)</f>
        <v/>
      </c>
      <c r="J2769" s="8">
        <f>IF(G2769="","",G2769*0.20)</f>
        <v/>
      </c>
      <c r="K2769" s="8">
        <f>IF(G2769="","",G2769+J2769)</f>
        <v/>
      </c>
    </row>
    <row r="2770">
      <c r="F2770" s="8" t="n"/>
      <c r="G2770" s="8">
        <f>IF(E2770="","",E2770*F2770)</f>
        <v/>
      </c>
      <c r="H2770" s="8">
        <f>IF(G2770="","",G2770-I2770)</f>
        <v/>
      </c>
      <c r="I2770" s="8">
        <f>IF(D2770="","",VLOOKUP(D2770, RECETTES!B:G, 6, FALSE)*E2770)</f>
        <v/>
      </c>
      <c r="J2770" s="8">
        <f>IF(G2770="","",G2770*0.20)</f>
        <v/>
      </c>
      <c r="K2770" s="8">
        <f>IF(G2770="","",G2770+J2770)</f>
        <v/>
      </c>
    </row>
    <row r="2771">
      <c r="F2771" s="8" t="n"/>
      <c r="G2771" s="8">
        <f>IF(E2771="","",E2771*F2771)</f>
        <v/>
      </c>
      <c r="H2771" s="8">
        <f>IF(G2771="","",G2771-I2771)</f>
        <v/>
      </c>
      <c r="I2771" s="8">
        <f>IF(D2771="","",VLOOKUP(D2771, RECETTES!B:G, 6, FALSE)*E2771)</f>
        <v/>
      </c>
      <c r="J2771" s="8">
        <f>IF(G2771="","",G2771*0.20)</f>
        <v/>
      </c>
      <c r="K2771" s="8">
        <f>IF(G2771="","",G2771+J2771)</f>
        <v/>
      </c>
    </row>
    <row r="2772">
      <c r="F2772" s="8" t="n"/>
      <c r="G2772" s="8">
        <f>IF(E2772="","",E2772*F2772)</f>
        <v/>
      </c>
      <c r="H2772" s="8">
        <f>IF(G2772="","",G2772-I2772)</f>
        <v/>
      </c>
      <c r="I2772" s="8">
        <f>IF(D2772="","",VLOOKUP(D2772, RECETTES!B:G, 6, FALSE)*E2772)</f>
        <v/>
      </c>
      <c r="J2772" s="8">
        <f>IF(G2772="","",G2772*0.20)</f>
        <v/>
      </c>
      <c r="K2772" s="8">
        <f>IF(G2772="","",G2772+J2772)</f>
        <v/>
      </c>
    </row>
    <row r="2773">
      <c r="F2773" s="8" t="n"/>
      <c r="G2773" s="8">
        <f>IF(E2773="","",E2773*F2773)</f>
        <v/>
      </c>
      <c r="H2773" s="8">
        <f>IF(G2773="","",G2773-I2773)</f>
        <v/>
      </c>
      <c r="I2773" s="8">
        <f>IF(D2773="","",VLOOKUP(D2773, RECETTES!B:G, 6, FALSE)*E2773)</f>
        <v/>
      </c>
      <c r="J2773" s="8">
        <f>IF(G2773="","",G2773*0.20)</f>
        <v/>
      </c>
      <c r="K2773" s="8">
        <f>IF(G2773="","",G2773+J2773)</f>
        <v/>
      </c>
    </row>
    <row r="2774">
      <c r="F2774" s="8" t="n"/>
      <c r="G2774" s="8">
        <f>IF(E2774="","",E2774*F2774)</f>
        <v/>
      </c>
      <c r="H2774" s="8">
        <f>IF(G2774="","",G2774-I2774)</f>
        <v/>
      </c>
      <c r="I2774" s="8">
        <f>IF(D2774="","",VLOOKUP(D2774, RECETTES!B:G, 6, FALSE)*E2774)</f>
        <v/>
      </c>
      <c r="J2774" s="8">
        <f>IF(G2774="","",G2774*0.20)</f>
        <v/>
      </c>
      <c r="K2774" s="8">
        <f>IF(G2774="","",G2774+J2774)</f>
        <v/>
      </c>
    </row>
    <row r="2775">
      <c r="F2775" s="8" t="n"/>
      <c r="G2775" s="8">
        <f>IF(E2775="","",E2775*F2775)</f>
        <v/>
      </c>
      <c r="H2775" s="8">
        <f>IF(G2775="","",G2775-I2775)</f>
        <v/>
      </c>
      <c r="I2775" s="8">
        <f>IF(D2775="","",VLOOKUP(D2775, RECETTES!B:G, 6, FALSE)*E2775)</f>
        <v/>
      </c>
      <c r="J2775" s="8">
        <f>IF(G2775="","",G2775*0.20)</f>
        <v/>
      </c>
      <c r="K2775" s="8">
        <f>IF(G2775="","",G2775+J2775)</f>
        <v/>
      </c>
    </row>
    <row r="2776">
      <c r="F2776" s="8" t="n"/>
      <c r="G2776" s="8">
        <f>IF(E2776="","",E2776*F2776)</f>
        <v/>
      </c>
      <c r="H2776" s="8">
        <f>IF(G2776="","",G2776-I2776)</f>
        <v/>
      </c>
      <c r="I2776" s="8">
        <f>IF(D2776="","",VLOOKUP(D2776, RECETTES!B:G, 6, FALSE)*E2776)</f>
        <v/>
      </c>
      <c r="J2776" s="8">
        <f>IF(G2776="","",G2776*0.20)</f>
        <v/>
      </c>
      <c r="K2776" s="8">
        <f>IF(G2776="","",G2776+J2776)</f>
        <v/>
      </c>
    </row>
    <row r="2777">
      <c r="F2777" s="8" t="n"/>
      <c r="G2777" s="8">
        <f>IF(E2777="","",E2777*F2777)</f>
        <v/>
      </c>
      <c r="H2777" s="8">
        <f>IF(G2777="","",G2777-I2777)</f>
        <v/>
      </c>
      <c r="I2777" s="8">
        <f>IF(D2777="","",VLOOKUP(D2777, RECETTES!B:G, 6, FALSE)*E2777)</f>
        <v/>
      </c>
      <c r="J2777" s="8">
        <f>IF(G2777="","",G2777*0.20)</f>
        <v/>
      </c>
      <c r="K2777" s="8">
        <f>IF(G2777="","",G2777+J2777)</f>
        <v/>
      </c>
    </row>
    <row r="2778">
      <c r="F2778" s="8" t="n"/>
      <c r="G2778" s="8">
        <f>IF(E2778="","",E2778*F2778)</f>
        <v/>
      </c>
      <c r="H2778" s="8">
        <f>IF(G2778="","",G2778-I2778)</f>
        <v/>
      </c>
      <c r="I2778" s="8">
        <f>IF(D2778="","",VLOOKUP(D2778, RECETTES!B:G, 6, FALSE)*E2778)</f>
        <v/>
      </c>
      <c r="J2778" s="8">
        <f>IF(G2778="","",G2778*0.20)</f>
        <v/>
      </c>
      <c r="K2778" s="8">
        <f>IF(G2778="","",G2778+J2778)</f>
        <v/>
      </c>
    </row>
    <row r="2779">
      <c r="F2779" s="8" t="n"/>
      <c r="G2779" s="8">
        <f>IF(E2779="","",E2779*F2779)</f>
        <v/>
      </c>
      <c r="H2779" s="8">
        <f>IF(G2779="","",G2779-I2779)</f>
        <v/>
      </c>
      <c r="I2779" s="8">
        <f>IF(D2779="","",VLOOKUP(D2779, RECETTES!B:G, 6, FALSE)*E2779)</f>
        <v/>
      </c>
      <c r="J2779" s="8">
        <f>IF(G2779="","",G2779*0.20)</f>
        <v/>
      </c>
      <c r="K2779" s="8">
        <f>IF(G2779="","",G2779+J2779)</f>
        <v/>
      </c>
    </row>
    <row r="2780">
      <c r="F2780" s="8" t="n"/>
      <c r="G2780" s="8">
        <f>IF(E2780="","",E2780*F2780)</f>
        <v/>
      </c>
      <c r="H2780" s="8">
        <f>IF(G2780="","",G2780-I2780)</f>
        <v/>
      </c>
      <c r="I2780" s="8">
        <f>IF(D2780="","",VLOOKUP(D2780, RECETTES!B:G, 6, FALSE)*E2780)</f>
        <v/>
      </c>
      <c r="J2780" s="8">
        <f>IF(G2780="","",G2780*0.20)</f>
        <v/>
      </c>
      <c r="K2780" s="8">
        <f>IF(G2780="","",G2780+J2780)</f>
        <v/>
      </c>
    </row>
    <row r="2781">
      <c r="F2781" s="8" t="n"/>
      <c r="G2781" s="8">
        <f>IF(E2781="","",E2781*F2781)</f>
        <v/>
      </c>
      <c r="H2781" s="8">
        <f>IF(G2781="","",G2781-I2781)</f>
        <v/>
      </c>
      <c r="I2781" s="8">
        <f>IF(D2781="","",VLOOKUP(D2781, RECETTES!B:G, 6, FALSE)*E2781)</f>
        <v/>
      </c>
      <c r="J2781" s="8">
        <f>IF(G2781="","",G2781*0.20)</f>
        <v/>
      </c>
      <c r="K2781" s="8">
        <f>IF(G2781="","",G2781+J2781)</f>
        <v/>
      </c>
    </row>
    <row r="2782">
      <c r="F2782" s="8" t="n"/>
      <c r="G2782" s="8">
        <f>IF(E2782="","",E2782*F2782)</f>
        <v/>
      </c>
      <c r="H2782" s="8">
        <f>IF(G2782="","",G2782-I2782)</f>
        <v/>
      </c>
      <c r="I2782" s="8">
        <f>IF(D2782="","",VLOOKUP(D2782, RECETTES!B:G, 6, FALSE)*E2782)</f>
        <v/>
      </c>
      <c r="J2782" s="8">
        <f>IF(G2782="","",G2782*0.20)</f>
        <v/>
      </c>
      <c r="K2782" s="8">
        <f>IF(G2782="","",G2782+J2782)</f>
        <v/>
      </c>
    </row>
    <row r="2783">
      <c r="F2783" s="8" t="n"/>
      <c r="G2783" s="8">
        <f>IF(E2783="","",E2783*F2783)</f>
        <v/>
      </c>
      <c r="H2783" s="8">
        <f>IF(G2783="","",G2783-I2783)</f>
        <v/>
      </c>
      <c r="I2783" s="8">
        <f>IF(D2783="","",VLOOKUP(D2783, RECETTES!B:G, 6, FALSE)*E2783)</f>
        <v/>
      </c>
      <c r="J2783" s="8">
        <f>IF(G2783="","",G2783*0.20)</f>
        <v/>
      </c>
      <c r="K2783" s="8">
        <f>IF(G2783="","",G2783+J2783)</f>
        <v/>
      </c>
    </row>
    <row r="2784">
      <c r="F2784" s="8" t="n"/>
      <c r="G2784" s="8">
        <f>IF(E2784="","",E2784*F2784)</f>
        <v/>
      </c>
      <c r="H2784" s="8">
        <f>IF(G2784="","",G2784-I2784)</f>
        <v/>
      </c>
      <c r="I2784" s="8">
        <f>IF(D2784="","",VLOOKUP(D2784, RECETTES!B:G, 6, FALSE)*E2784)</f>
        <v/>
      </c>
      <c r="J2784" s="8">
        <f>IF(G2784="","",G2784*0.20)</f>
        <v/>
      </c>
      <c r="K2784" s="8">
        <f>IF(G2784="","",G2784+J2784)</f>
        <v/>
      </c>
    </row>
    <row r="2785">
      <c r="F2785" s="8" t="n"/>
      <c r="G2785" s="8">
        <f>IF(E2785="","",E2785*F2785)</f>
        <v/>
      </c>
      <c r="H2785" s="8">
        <f>IF(G2785="","",G2785-I2785)</f>
        <v/>
      </c>
      <c r="I2785" s="8">
        <f>IF(D2785="","",VLOOKUP(D2785, RECETTES!B:G, 6, FALSE)*E2785)</f>
        <v/>
      </c>
      <c r="J2785" s="8">
        <f>IF(G2785="","",G2785*0.20)</f>
        <v/>
      </c>
      <c r="K2785" s="8">
        <f>IF(G2785="","",G2785+J2785)</f>
        <v/>
      </c>
    </row>
    <row r="2786">
      <c r="F2786" s="8" t="n"/>
      <c r="G2786" s="8">
        <f>IF(E2786="","",E2786*F2786)</f>
        <v/>
      </c>
      <c r="H2786" s="8">
        <f>IF(G2786="","",G2786-I2786)</f>
        <v/>
      </c>
      <c r="I2786" s="8">
        <f>IF(D2786="","",VLOOKUP(D2786, RECETTES!B:G, 6, FALSE)*E2786)</f>
        <v/>
      </c>
      <c r="J2786" s="8">
        <f>IF(G2786="","",G2786*0.20)</f>
        <v/>
      </c>
      <c r="K2786" s="8">
        <f>IF(G2786="","",G2786+J2786)</f>
        <v/>
      </c>
    </row>
    <row r="2787">
      <c r="F2787" s="8" t="n"/>
      <c r="G2787" s="8">
        <f>IF(E2787="","",E2787*F2787)</f>
        <v/>
      </c>
      <c r="H2787" s="8">
        <f>IF(G2787="","",G2787-I2787)</f>
        <v/>
      </c>
      <c r="I2787" s="8">
        <f>IF(D2787="","",VLOOKUP(D2787, RECETTES!B:G, 6, FALSE)*E2787)</f>
        <v/>
      </c>
      <c r="J2787" s="8">
        <f>IF(G2787="","",G2787*0.20)</f>
        <v/>
      </c>
      <c r="K2787" s="8">
        <f>IF(G2787="","",G2787+J2787)</f>
        <v/>
      </c>
    </row>
    <row r="2788">
      <c r="F2788" s="8" t="n"/>
      <c r="G2788" s="8">
        <f>IF(E2788="","",E2788*F2788)</f>
        <v/>
      </c>
      <c r="H2788" s="8">
        <f>IF(G2788="","",G2788-I2788)</f>
        <v/>
      </c>
      <c r="I2788" s="8">
        <f>IF(D2788="","",VLOOKUP(D2788, RECETTES!B:G, 6, FALSE)*E2788)</f>
        <v/>
      </c>
      <c r="J2788" s="8">
        <f>IF(G2788="","",G2788*0.20)</f>
        <v/>
      </c>
      <c r="K2788" s="8">
        <f>IF(G2788="","",G2788+J2788)</f>
        <v/>
      </c>
    </row>
    <row r="2789">
      <c r="F2789" s="8" t="n"/>
      <c r="G2789" s="8">
        <f>IF(E2789="","",E2789*F2789)</f>
        <v/>
      </c>
      <c r="H2789" s="8">
        <f>IF(G2789="","",G2789-I2789)</f>
        <v/>
      </c>
      <c r="I2789" s="8">
        <f>IF(D2789="","",VLOOKUP(D2789, RECETTES!B:G, 6, FALSE)*E2789)</f>
        <v/>
      </c>
      <c r="J2789" s="8">
        <f>IF(G2789="","",G2789*0.20)</f>
        <v/>
      </c>
      <c r="K2789" s="8">
        <f>IF(G2789="","",G2789+J2789)</f>
        <v/>
      </c>
    </row>
    <row r="2790">
      <c r="F2790" s="8" t="n"/>
      <c r="G2790" s="8">
        <f>IF(E2790="","",E2790*F2790)</f>
        <v/>
      </c>
      <c r="H2790" s="8">
        <f>IF(G2790="","",G2790-I2790)</f>
        <v/>
      </c>
      <c r="I2790" s="8">
        <f>IF(D2790="","",VLOOKUP(D2790, RECETTES!B:G, 6, FALSE)*E2790)</f>
        <v/>
      </c>
      <c r="J2790" s="8">
        <f>IF(G2790="","",G2790*0.20)</f>
        <v/>
      </c>
      <c r="K2790" s="8">
        <f>IF(G2790="","",G2790+J2790)</f>
        <v/>
      </c>
    </row>
    <row r="2791">
      <c r="F2791" s="8" t="n"/>
      <c r="G2791" s="8">
        <f>IF(E2791="","",E2791*F2791)</f>
        <v/>
      </c>
      <c r="H2791" s="8">
        <f>IF(G2791="","",G2791-I2791)</f>
        <v/>
      </c>
      <c r="I2791" s="8">
        <f>IF(D2791="","",VLOOKUP(D2791, RECETTES!B:G, 6, FALSE)*E2791)</f>
        <v/>
      </c>
      <c r="J2791" s="8">
        <f>IF(G2791="","",G2791*0.20)</f>
        <v/>
      </c>
      <c r="K2791" s="8">
        <f>IF(G2791="","",G2791+J2791)</f>
        <v/>
      </c>
    </row>
    <row r="2792">
      <c r="F2792" s="8" t="n"/>
      <c r="G2792" s="8">
        <f>IF(E2792="","",E2792*F2792)</f>
        <v/>
      </c>
      <c r="H2792" s="8">
        <f>IF(G2792="","",G2792-I2792)</f>
        <v/>
      </c>
      <c r="I2792" s="8">
        <f>IF(D2792="","",VLOOKUP(D2792, RECETTES!B:G, 6, FALSE)*E2792)</f>
        <v/>
      </c>
      <c r="J2792" s="8">
        <f>IF(G2792="","",G2792*0.20)</f>
        <v/>
      </c>
      <c r="K2792" s="8">
        <f>IF(G2792="","",G2792+J2792)</f>
        <v/>
      </c>
    </row>
    <row r="2793">
      <c r="F2793" s="8" t="n"/>
      <c r="G2793" s="8">
        <f>IF(E2793="","",E2793*F2793)</f>
        <v/>
      </c>
      <c r="H2793" s="8">
        <f>IF(G2793="","",G2793-I2793)</f>
        <v/>
      </c>
      <c r="I2793" s="8">
        <f>IF(D2793="","",VLOOKUP(D2793, RECETTES!B:G, 6, FALSE)*E2793)</f>
        <v/>
      </c>
      <c r="J2793" s="8">
        <f>IF(G2793="","",G2793*0.20)</f>
        <v/>
      </c>
      <c r="K2793" s="8">
        <f>IF(G2793="","",G2793+J2793)</f>
        <v/>
      </c>
    </row>
    <row r="2794">
      <c r="F2794" s="8" t="n"/>
      <c r="G2794" s="8">
        <f>IF(E2794="","",E2794*F2794)</f>
        <v/>
      </c>
      <c r="H2794" s="8">
        <f>IF(G2794="","",G2794-I2794)</f>
        <v/>
      </c>
      <c r="I2794" s="8">
        <f>IF(D2794="","",VLOOKUP(D2794, RECETTES!B:G, 6, FALSE)*E2794)</f>
        <v/>
      </c>
      <c r="J2794" s="8">
        <f>IF(G2794="","",G2794*0.20)</f>
        <v/>
      </c>
      <c r="K2794" s="8">
        <f>IF(G2794="","",G2794+J2794)</f>
        <v/>
      </c>
    </row>
    <row r="2795">
      <c r="F2795" s="8" t="n"/>
      <c r="G2795" s="8">
        <f>IF(E2795="","",E2795*F2795)</f>
        <v/>
      </c>
      <c r="H2795" s="8">
        <f>IF(G2795="","",G2795-I2795)</f>
        <v/>
      </c>
      <c r="I2795" s="8">
        <f>IF(D2795="","",VLOOKUP(D2795, RECETTES!B:G, 6, FALSE)*E2795)</f>
        <v/>
      </c>
      <c r="J2795" s="8">
        <f>IF(G2795="","",G2795*0.20)</f>
        <v/>
      </c>
      <c r="K2795" s="8">
        <f>IF(G2795="","",G2795+J2795)</f>
        <v/>
      </c>
    </row>
    <row r="2796">
      <c r="F2796" s="8" t="n"/>
      <c r="G2796" s="8">
        <f>IF(E2796="","",E2796*F2796)</f>
        <v/>
      </c>
      <c r="H2796" s="8">
        <f>IF(G2796="","",G2796-I2796)</f>
        <v/>
      </c>
      <c r="I2796" s="8">
        <f>IF(D2796="","",VLOOKUP(D2796, RECETTES!B:G, 6, FALSE)*E2796)</f>
        <v/>
      </c>
      <c r="J2796" s="8">
        <f>IF(G2796="","",G2796*0.20)</f>
        <v/>
      </c>
      <c r="K2796" s="8">
        <f>IF(G2796="","",G2796+J2796)</f>
        <v/>
      </c>
    </row>
    <row r="2797">
      <c r="F2797" s="8" t="n"/>
      <c r="G2797" s="8">
        <f>IF(E2797="","",E2797*F2797)</f>
        <v/>
      </c>
      <c r="H2797" s="8">
        <f>IF(G2797="","",G2797-I2797)</f>
        <v/>
      </c>
      <c r="I2797" s="8">
        <f>IF(D2797="","",VLOOKUP(D2797, RECETTES!B:G, 6, FALSE)*E2797)</f>
        <v/>
      </c>
      <c r="J2797" s="8">
        <f>IF(G2797="","",G2797*0.20)</f>
        <v/>
      </c>
      <c r="K2797" s="8">
        <f>IF(G2797="","",G2797+J2797)</f>
        <v/>
      </c>
    </row>
    <row r="2798">
      <c r="F2798" s="8" t="n"/>
      <c r="G2798" s="8">
        <f>IF(E2798="","",E2798*F2798)</f>
        <v/>
      </c>
      <c r="H2798" s="8">
        <f>IF(G2798="","",G2798-I2798)</f>
        <v/>
      </c>
      <c r="I2798" s="8">
        <f>IF(D2798="","",VLOOKUP(D2798, RECETTES!B:G, 6, FALSE)*E2798)</f>
        <v/>
      </c>
      <c r="J2798" s="8">
        <f>IF(G2798="","",G2798*0.20)</f>
        <v/>
      </c>
      <c r="K2798" s="8">
        <f>IF(G2798="","",G2798+J2798)</f>
        <v/>
      </c>
    </row>
    <row r="2799">
      <c r="F2799" s="8" t="n"/>
      <c r="G2799" s="8">
        <f>IF(E2799="","",E2799*F2799)</f>
        <v/>
      </c>
      <c r="H2799" s="8">
        <f>IF(G2799="","",G2799-I2799)</f>
        <v/>
      </c>
      <c r="I2799" s="8">
        <f>IF(D2799="","",VLOOKUP(D2799, RECETTES!B:G, 6, FALSE)*E2799)</f>
        <v/>
      </c>
      <c r="J2799" s="8">
        <f>IF(G2799="","",G2799*0.20)</f>
        <v/>
      </c>
      <c r="K2799" s="8">
        <f>IF(G2799="","",G2799+J2799)</f>
        <v/>
      </c>
    </row>
    <row r="2800">
      <c r="F2800" s="8" t="n"/>
      <c r="G2800" s="8">
        <f>IF(E2800="","",E2800*F2800)</f>
        <v/>
      </c>
      <c r="H2800" s="8">
        <f>IF(G2800="","",G2800-I2800)</f>
        <v/>
      </c>
      <c r="I2800" s="8">
        <f>IF(D2800="","",VLOOKUP(D2800, RECETTES!B:G, 6, FALSE)*E2800)</f>
        <v/>
      </c>
      <c r="J2800" s="8">
        <f>IF(G2800="","",G2800*0.20)</f>
        <v/>
      </c>
      <c r="K2800" s="8">
        <f>IF(G2800="","",G2800+J2800)</f>
        <v/>
      </c>
    </row>
    <row r="2801">
      <c r="F2801" s="8" t="n"/>
      <c r="G2801" s="8">
        <f>IF(E2801="","",E2801*F2801)</f>
        <v/>
      </c>
      <c r="H2801" s="8">
        <f>IF(G2801="","",G2801-I2801)</f>
        <v/>
      </c>
      <c r="I2801" s="8">
        <f>IF(D2801="","",VLOOKUP(D2801, RECETTES!B:G, 6, FALSE)*E2801)</f>
        <v/>
      </c>
      <c r="J2801" s="8">
        <f>IF(G2801="","",G2801*0.20)</f>
        <v/>
      </c>
      <c r="K2801" s="8">
        <f>IF(G2801="","",G2801+J2801)</f>
        <v/>
      </c>
    </row>
    <row r="2802">
      <c r="F2802" s="8" t="n"/>
      <c r="G2802" s="8">
        <f>IF(E2802="","",E2802*F2802)</f>
        <v/>
      </c>
      <c r="H2802" s="8">
        <f>IF(G2802="","",G2802-I2802)</f>
        <v/>
      </c>
      <c r="I2802" s="8">
        <f>IF(D2802="","",VLOOKUP(D2802, RECETTES!B:G, 6, FALSE)*E2802)</f>
        <v/>
      </c>
      <c r="J2802" s="8">
        <f>IF(G2802="","",G2802*0.20)</f>
        <v/>
      </c>
      <c r="K2802" s="8">
        <f>IF(G2802="","",G2802+J2802)</f>
        <v/>
      </c>
    </row>
    <row r="2803">
      <c r="F2803" s="8" t="n"/>
      <c r="G2803" s="8">
        <f>IF(E2803="","",E2803*F2803)</f>
        <v/>
      </c>
      <c r="H2803" s="8">
        <f>IF(G2803="","",G2803-I2803)</f>
        <v/>
      </c>
      <c r="I2803" s="8">
        <f>IF(D2803="","",VLOOKUP(D2803, RECETTES!B:G, 6, FALSE)*E2803)</f>
        <v/>
      </c>
      <c r="J2803" s="8">
        <f>IF(G2803="","",G2803*0.20)</f>
        <v/>
      </c>
      <c r="K2803" s="8">
        <f>IF(G2803="","",G2803+J2803)</f>
        <v/>
      </c>
    </row>
    <row r="2804">
      <c r="F2804" s="8" t="n"/>
      <c r="G2804" s="8">
        <f>IF(E2804="","",E2804*F2804)</f>
        <v/>
      </c>
      <c r="H2804" s="8">
        <f>IF(G2804="","",G2804-I2804)</f>
        <v/>
      </c>
      <c r="I2804" s="8">
        <f>IF(D2804="","",VLOOKUP(D2804, RECETTES!B:G, 6, FALSE)*E2804)</f>
        <v/>
      </c>
      <c r="J2804" s="8">
        <f>IF(G2804="","",G2804*0.20)</f>
        <v/>
      </c>
      <c r="K2804" s="8">
        <f>IF(G2804="","",G2804+J2804)</f>
        <v/>
      </c>
    </row>
    <row r="2805">
      <c r="F2805" s="8" t="n"/>
      <c r="G2805" s="8">
        <f>IF(E2805="","",E2805*F2805)</f>
        <v/>
      </c>
      <c r="H2805" s="8">
        <f>IF(G2805="","",G2805-I2805)</f>
        <v/>
      </c>
      <c r="I2805" s="8">
        <f>IF(D2805="","",VLOOKUP(D2805, RECETTES!B:G, 6, FALSE)*E2805)</f>
        <v/>
      </c>
      <c r="J2805" s="8">
        <f>IF(G2805="","",G2805*0.20)</f>
        <v/>
      </c>
      <c r="K2805" s="8">
        <f>IF(G2805="","",G2805+J2805)</f>
        <v/>
      </c>
    </row>
    <row r="2806">
      <c r="F2806" s="8" t="n"/>
      <c r="G2806" s="8">
        <f>IF(E2806="","",E2806*F2806)</f>
        <v/>
      </c>
      <c r="H2806" s="8">
        <f>IF(G2806="","",G2806-I2806)</f>
        <v/>
      </c>
      <c r="I2806" s="8">
        <f>IF(D2806="","",VLOOKUP(D2806, RECETTES!B:G, 6, FALSE)*E2806)</f>
        <v/>
      </c>
      <c r="J2806" s="8">
        <f>IF(G2806="","",G2806*0.20)</f>
        <v/>
      </c>
      <c r="K2806" s="8">
        <f>IF(G2806="","",G2806+J2806)</f>
        <v/>
      </c>
    </row>
    <row r="2807">
      <c r="F2807" s="8" t="n"/>
      <c r="G2807" s="8">
        <f>IF(E2807="","",E2807*F2807)</f>
        <v/>
      </c>
      <c r="H2807" s="8">
        <f>IF(G2807="","",G2807-I2807)</f>
        <v/>
      </c>
      <c r="I2807" s="8">
        <f>IF(D2807="","",VLOOKUP(D2807, RECETTES!B:G, 6, FALSE)*E2807)</f>
        <v/>
      </c>
      <c r="J2807" s="8">
        <f>IF(G2807="","",G2807*0.20)</f>
        <v/>
      </c>
      <c r="K2807" s="8">
        <f>IF(G2807="","",G2807+J2807)</f>
        <v/>
      </c>
    </row>
    <row r="2808">
      <c r="F2808" s="8" t="n"/>
      <c r="G2808" s="8">
        <f>IF(E2808="","",E2808*F2808)</f>
        <v/>
      </c>
      <c r="H2808" s="8">
        <f>IF(G2808="","",G2808-I2808)</f>
        <v/>
      </c>
      <c r="I2808" s="8">
        <f>IF(D2808="","",VLOOKUP(D2808, RECETTES!B:G, 6, FALSE)*E2808)</f>
        <v/>
      </c>
      <c r="J2808" s="8">
        <f>IF(G2808="","",G2808*0.20)</f>
        <v/>
      </c>
      <c r="K2808" s="8">
        <f>IF(G2808="","",G2808+J2808)</f>
        <v/>
      </c>
    </row>
    <row r="2809">
      <c r="F2809" s="8" t="n"/>
      <c r="G2809" s="8">
        <f>IF(E2809="","",E2809*F2809)</f>
        <v/>
      </c>
      <c r="H2809" s="8">
        <f>IF(G2809="","",G2809-I2809)</f>
        <v/>
      </c>
      <c r="I2809" s="8">
        <f>IF(D2809="","",VLOOKUP(D2809, RECETTES!B:G, 6, FALSE)*E2809)</f>
        <v/>
      </c>
      <c r="J2809" s="8">
        <f>IF(G2809="","",G2809*0.20)</f>
        <v/>
      </c>
      <c r="K2809" s="8">
        <f>IF(G2809="","",G2809+J2809)</f>
        <v/>
      </c>
    </row>
    <row r="2810">
      <c r="F2810" s="8" t="n"/>
      <c r="G2810" s="8">
        <f>IF(E2810="","",E2810*F2810)</f>
        <v/>
      </c>
      <c r="H2810" s="8">
        <f>IF(G2810="","",G2810-I2810)</f>
        <v/>
      </c>
      <c r="I2810" s="8">
        <f>IF(D2810="","",VLOOKUP(D2810, RECETTES!B:G, 6, FALSE)*E2810)</f>
        <v/>
      </c>
      <c r="J2810" s="8">
        <f>IF(G2810="","",G2810*0.20)</f>
        <v/>
      </c>
      <c r="K2810" s="8">
        <f>IF(G2810="","",G2810+J2810)</f>
        <v/>
      </c>
    </row>
    <row r="2811">
      <c r="F2811" s="8" t="n"/>
      <c r="G2811" s="8">
        <f>IF(E2811="","",E2811*F2811)</f>
        <v/>
      </c>
      <c r="H2811" s="8">
        <f>IF(G2811="","",G2811-I2811)</f>
        <v/>
      </c>
      <c r="I2811" s="8">
        <f>IF(D2811="","",VLOOKUP(D2811, RECETTES!B:G, 6, FALSE)*E2811)</f>
        <v/>
      </c>
      <c r="J2811" s="8">
        <f>IF(G2811="","",G2811*0.20)</f>
        <v/>
      </c>
      <c r="K2811" s="8">
        <f>IF(G2811="","",G2811+J2811)</f>
        <v/>
      </c>
    </row>
    <row r="2812">
      <c r="F2812" s="8" t="n"/>
      <c r="G2812" s="8">
        <f>IF(E2812="","",E2812*F2812)</f>
        <v/>
      </c>
      <c r="H2812" s="8">
        <f>IF(G2812="","",G2812-I2812)</f>
        <v/>
      </c>
      <c r="I2812" s="8">
        <f>IF(D2812="","",VLOOKUP(D2812, RECETTES!B:G, 6, FALSE)*E2812)</f>
        <v/>
      </c>
      <c r="J2812" s="8">
        <f>IF(G2812="","",G2812*0.20)</f>
        <v/>
      </c>
      <c r="K2812" s="8">
        <f>IF(G2812="","",G2812+J2812)</f>
        <v/>
      </c>
    </row>
    <row r="2813">
      <c r="F2813" s="8" t="n"/>
      <c r="G2813" s="8">
        <f>IF(E2813="","",E2813*F2813)</f>
        <v/>
      </c>
      <c r="H2813" s="8">
        <f>IF(G2813="","",G2813-I2813)</f>
        <v/>
      </c>
      <c r="I2813" s="8">
        <f>IF(D2813="","",VLOOKUP(D2813, RECETTES!B:G, 6, FALSE)*E2813)</f>
        <v/>
      </c>
      <c r="J2813" s="8">
        <f>IF(G2813="","",G2813*0.20)</f>
        <v/>
      </c>
      <c r="K2813" s="8">
        <f>IF(G2813="","",G2813+J2813)</f>
        <v/>
      </c>
    </row>
    <row r="2814">
      <c r="F2814" s="8" t="n"/>
      <c r="G2814" s="8">
        <f>IF(E2814="","",E2814*F2814)</f>
        <v/>
      </c>
      <c r="H2814" s="8">
        <f>IF(G2814="","",G2814-I2814)</f>
        <v/>
      </c>
      <c r="I2814" s="8">
        <f>IF(D2814="","",VLOOKUP(D2814, RECETTES!B:G, 6, FALSE)*E2814)</f>
        <v/>
      </c>
      <c r="J2814" s="8">
        <f>IF(G2814="","",G2814*0.20)</f>
        <v/>
      </c>
      <c r="K2814" s="8">
        <f>IF(G2814="","",G2814+J2814)</f>
        <v/>
      </c>
    </row>
    <row r="2815">
      <c r="F2815" s="8" t="n"/>
      <c r="G2815" s="8">
        <f>IF(E2815="","",E2815*F2815)</f>
        <v/>
      </c>
      <c r="H2815" s="8">
        <f>IF(G2815="","",G2815-I2815)</f>
        <v/>
      </c>
      <c r="I2815" s="8">
        <f>IF(D2815="","",VLOOKUP(D2815, RECETTES!B:G, 6, FALSE)*E2815)</f>
        <v/>
      </c>
      <c r="J2815" s="8">
        <f>IF(G2815="","",G2815*0.20)</f>
        <v/>
      </c>
      <c r="K2815" s="8">
        <f>IF(G2815="","",G2815+J2815)</f>
        <v/>
      </c>
    </row>
    <row r="2816">
      <c r="F2816" s="8" t="n"/>
      <c r="G2816" s="8">
        <f>IF(E2816="","",E2816*F2816)</f>
        <v/>
      </c>
      <c r="H2816" s="8">
        <f>IF(G2816="","",G2816-I2816)</f>
        <v/>
      </c>
      <c r="I2816" s="8">
        <f>IF(D2816="","",VLOOKUP(D2816, RECETTES!B:G, 6, FALSE)*E2816)</f>
        <v/>
      </c>
      <c r="J2816" s="8">
        <f>IF(G2816="","",G2816*0.20)</f>
        <v/>
      </c>
      <c r="K2816" s="8">
        <f>IF(G2816="","",G2816+J2816)</f>
        <v/>
      </c>
    </row>
    <row r="2817">
      <c r="F2817" s="8" t="n"/>
      <c r="G2817" s="8">
        <f>IF(E2817="","",E2817*F2817)</f>
        <v/>
      </c>
      <c r="H2817" s="8">
        <f>IF(G2817="","",G2817-I2817)</f>
        <v/>
      </c>
      <c r="I2817" s="8">
        <f>IF(D2817="","",VLOOKUP(D2817, RECETTES!B:G, 6, FALSE)*E2817)</f>
        <v/>
      </c>
      <c r="J2817" s="8">
        <f>IF(G2817="","",G2817*0.20)</f>
        <v/>
      </c>
      <c r="K2817" s="8">
        <f>IF(G2817="","",G2817+J2817)</f>
        <v/>
      </c>
    </row>
    <row r="2818">
      <c r="F2818" s="8" t="n"/>
      <c r="G2818" s="8">
        <f>IF(E2818="","",E2818*F2818)</f>
        <v/>
      </c>
      <c r="H2818" s="8">
        <f>IF(G2818="","",G2818-I2818)</f>
        <v/>
      </c>
      <c r="I2818" s="8">
        <f>IF(D2818="","",VLOOKUP(D2818, RECETTES!B:G, 6, FALSE)*E2818)</f>
        <v/>
      </c>
      <c r="J2818" s="8">
        <f>IF(G2818="","",G2818*0.20)</f>
        <v/>
      </c>
      <c r="K2818" s="8">
        <f>IF(G2818="","",G2818+J2818)</f>
        <v/>
      </c>
    </row>
    <row r="2819">
      <c r="F2819" s="8" t="n"/>
      <c r="G2819" s="8">
        <f>IF(E2819="","",E2819*F2819)</f>
        <v/>
      </c>
      <c r="H2819" s="8">
        <f>IF(G2819="","",G2819-I2819)</f>
        <v/>
      </c>
      <c r="I2819" s="8">
        <f>IF(D2819="","",VLOOKUP(D2819, RECETTES!B:G, 6, FALSE)*E2819)</f>
        <v/>
      </c>
      <c r="J2819" s="8">
        <f>IF(G2819="","",G2819*0.20)</f>
        <v/>
      </c>
      <c r="K2819" s="8">
        <f>IF(G2819="","",G2819+J2819)</f>
        <v/>
      </c>
    </row>
    <row r="2820">
      <c r="F2820" s="8" t="n"/>
      <c r="G2820" s="8">
        <f>IF(E2820="","",E2820*F2820)</f>
        <v/>
      </c>
      <c r="H2820" s="8">
        <f>IF(G2820="","",G2820-I2820)</f>
        <v/>
      </c>
      <c r="I2820" s="8">
        <f>IF(D2820="","",VLOOKUP(D2820, RECETTES!B:G, 6, FALSE)*E2820)</f>
        <v/>
      </c>
      <c r="J2820" s="8">
        <f>IF(G2820="","",G2820*0.20)</f>
        <v/>
      </c>
      <c r="K2820" s="8">
        <f>IF(G2820="","",G2820+J2820)</f>
        <v/>
      </c>
    </row>
    <row r="2821">
      <c r="F2821" s="8" t="n"/>
      <c r="G2821" s="8">
        <f>IF(E2821="","",E2821*F2821)</f>
        <v/>
      </c>
      <c r="H2821" s="8">
        <f>IF(G2821="","",G2821-I2821)</f>
        <v/>
      </c>
      <c r="I2821" s="8">
        <f>IF(D2821="","",VLOOKUP(D2821, RECETTES!B:G, 6, FALSE)*E2821)</f>
        <v/>
      </c>
      <c r="J2821" s="8">
        <f>IF(G2821="","",G2821*0.20)</f>
        <v/>
      </c>
      <c r="K2821" s="8">
        <f>IF(G2821="","",G2821+J2821)</f>
        <v/>
      </c>
    </row>
    <row r="2822">
      <c r="F2822" s="8" t="n"/>
      <c r="G2822" s="8">
        <f>IF(E2822="","",E2822*F2822)</f>
        <v/>
      </c>
      <c r="H2822" s="8">
        <f>IF(G2822="","",G2822-I2822)</f>
        <v/>
      </c>
      <c r="I2822" s="8">
        <f>IF(D2822="","",VLOOKUP(D2822, RECETTES!B:G, 6, FALSE)*E2822)</f>
        <v/>
      </c>
      <c r="J2822" s="8">
        <f>IF(G2822="","",G2822*0.20)</f>
        <v/>
      </c>
      <c r="K2822" s="8">
        <f>IF(G2822="","",G2822+J2822)</f>
        <v/>
      </c>
    </row>
    <row r="2823">
      <c r="F2823" s="8" t="n"/>
      <c r="G2823" s="8">
        <f>IF(E2823="","",E2823*F2823)</f>
        <v/>
      </c>
      <c r="H2823" s="8">
        <f>IF(G2823="","",G2823-I2823)</f>
        <v/>
      </c>
      <c r="I2823" s="8">
        <f>IF(D2823="","",VLOOKUP(D2823, RECETTES!B:G, 6, FALSE)*E2823)</f>
        <v/>
      </c>
      <c r="J2823" s="8">
        <f>IF(G2823="","",G2823*0.20)</f>
        <v/>
      </c>
      <c r="K2823" s="8">
        <f>IF(G2823="","",G2823+J2823)</f>
        <v/>
      </c>
    </row>
    <row r="2824">
      <c r="F2824" s="8" t="n"/>
      <c r="G2824" s="8">
        <f>IF(E2824="","",E2824*F2824)</f>
        <v/>
      </c>
      <c r="H2824" s="8">
        <f>IF(G2824="","",G2824-I2824)</f>
        <v/>
      </c>
      <c r="I2824" s="8">
        <f>IF(D2824="","",VLOOKUP(D2824, RECETTES!B:G, 6, FALSE)*E2824)</f>
        <v/>
      </c>
      <c r="J2824" s="8">
        <f>IF(G2824="","",G2824*0.20)</f>
        <v/>
      </c>
      <c r="K2824" s="8">
        <f>IF(G2824="","",G2824+J2824)</f>
        <v/>
      </c>
    </row>
    <row r="2825">
      <c r="F2825" s="8" t="n"/>
      <c r="G2825" s="8">
        <f>IF(E2825="","",E2825*F2825)</f>
        <v/>
      </c>
      <c r="H2825" s="8">
        <f>IF(G2825="","",G2825-I2825)</f>
        <v/>
      </c>
      <c r="I2825" s="8">
        <f>IF(D2825="","",VLOOKUP(D2825, RECETTES!B:G, 6, FALSE)*E2825)</f>
        <v/>
      </c>
      <c r="J2825" s="8">
        <f>IF(G2825="","",G2825*0.20)</f>
        <v/>
      </c>
      <c r="K2825" s="8">
        <f>IF(G2825="","",G2825+J2825)</f>
        <v/>
      </c>
    </row>
    <row r="2826">
      <c r="F2826" s="8" t="n"/>
      <c r="G2826" s="8">
        <f>IF(E2826="","",E2826*F2826)</f>
        <v/>
      </c>
      <c r="H2826" s="8">
        <f>IF(G2826="","",G2826-I2826)</f>
        <v/>
      </c>
      <c r="I2826" s="8">
        <f>IF(D2826="","",VLOOKUP(D2826, RECETTES!B:G, 6, FALSE)*E2826)</f>
        <v/>
      </c>
      <c r="J2826" s="8">
        <f>IF(G2826="","",G2826*0.20)</f>
        <v/>
      </c>
      <c r="K2826" s="8">
        <f>IF(G2826="","",G2826+J2826)</f>
        <v/>
      </c>
    </row>
    <row r="2827">
      <c r="F2827" s="8" t="n"/>
      <c r="G2827" s="8">
        <f>IF(E2827="","",E2827*F2827)</f>
        <v/>
      </c>
      <c r="H2827" s="8">
        <f>IF(G2827="","",G2827-I2827)</f>
        <v/>
      </c>
      <c r="I2827" s="8">
        <f>IF(D2827="","",VLOOKUP(D2827, RECETTES!B:G, 6, FALSE)*E2827)</f>
        <v/>
      </c>
      <c r="J2827" s="8">
        <f>IF(G2827="","",G2827*0.20)</f>
        <v/>
      </c>
      <c r="K2827" s="8">
        <f>IF(G2827="","",G2827+J2827)</f>
        <v/>
      </c>
    </row>
    <row r="2828">
      <c r="F2828" s="8" t="n"/>
      <c r="G2828" s="8">
        <f>IF(E2828="","",E2828*F2828)</f>
        <v/>
      </c>
      <c r="H2828" s="8">
        <f>IF(G2828="","",G2828-I2828)</f>
        <v/>
      </c>
      <c r="I2828" s="8">
        <f>IF(D2828="","",VLOOKUP(D2828, RECETTES!B:G, 6, FALSE)*E2828)</f>
        <v/>
      </c>
      <c r="J2828" s="8">
        <f>IF(G2828="","",G2828*0.20)</f>
        <v/>
      </c>
      <c r="K2828" s="8">
        <f>IF(G2828="","",G2828+J2828)</f>
        <v/>
      </c>
    </row>
    <row r="2829">
      <c r="F2829" s="8" t="n"/>
      <c r="G2829" s="8">
        <f>IF(E2829="","",E2829*F2829)</f>
        <v/>
      </c>
      <c r="H2829" s="8">
        <f>IF(G2829="","",G2829-I2829)</f>
        <v/>
      </c>
      <c r="I2829" s="8">
        <f>IF(D2829="","",VLOOKUP(D2829, RECETTES!B:G, 6, FALSE)*E2829)</f>
        <v/>
      </c>
      <c r="J2829" s="8">
        <f>IF(G2829="","",G2829*0.20)</f>
        <v/>
      </c>
      <c r="K2829" s="8">
        <f>IF(G2829="","",G2829+J2829)</f>
        <v/>
      </c>
    </row>
    <row r="2830">
      <c r="F2830" s="8" t="n"/>
      <c r="G2830" s="8">
        <f>IF(E2830="","",E2830*F2830)</f>
        <v/>
      </c>
      <c r="H2830" s="8">
        <f>IF(G2830="","",G2830-I2830)</f>
        <v/>
      </c>
      <c r="I2830" s="8">
        <f>IF(D2830="","",VLOOKUP(D2830, RECETTES!B:G, 6, FALSE)*E2830)</f>
        <v/>
      </c>
      <c r="J2830" s="8">
        <f>IF(G2830="","",G2830*0.20)</f>
        <v/>
      </c>
      <c r="K2830" s="8">
        <f>IF(G2830="","",G2830+J2830)</f>
        <v/>
      </c>
    </row>
    <row r="2831">
      <c r="F2831" s="8" t="n"/>
      <c r="G2831" s="8">
        <f>IF(E2831="","",E2831*F2831)</f>
        <v/>
      </c>
      <c r="H2831" s="8">
        <f>IF(G2831="","",G2831-I2831)</f>
        <v/>
      </c>
      <c r="I2831" s="8">
        <f>IF(D2831="","",VLOOKUP(D2831, RECETTES!B:G, 6, FALSE)*E2831)</f>
        <v/>
      </c>
      <c r="J2831" s="8">
        <f>IF(G2831="","",G2831*0.20)</f>
        <v/>
      </c>
      <c r="K2831" s="8">
        <f>IF(G2831="","",G2831+J2831)</f>
        <v/>
      </c>
    </row>
    <row r="2832">
      <c r="F2832" s="8" t="n"/>
      <c r="G2832" s="8">
        <f>IF(E2832="","",E2832*F2832)</f>
        <v/>
      </c>
      <c r="H2832" s="8">
        <f>IF(G2832="","",G2832-I2832)</f>
        <v/>
      </c>
      <c r="I2832" s="8">
        <f>IF(D2832="","",VLOOKUP(D2832, RECETTES!B:G, 6, FALSE)*E2832)</f>
        <v/>
      </c>
      <c r="J2832" s="8">
        <f>IF(G2832="","",G2832*0.20)</f>
        <v/>
      </c>
      <c r="K2832" s="8">
        <f>IF(G2832="","",G2832+J2832)</f>
        <v/>
      </c>
    </row>
    <row r="2833">
      <c r="F2833" s="8" t="n"/>
      <c r="G2833" s="8">
        <f>IF(E2833="","",E2833*F2833)</f>
        <v/>
      </c>
      <c r="H2833" s="8">
        <f>IF(G2833="","",G2833-I2833)</f>
        <v/>
      </c>
      <c r="I2833" s="8">
        <f>IF(D2833="","",VLOOKUP(D2833, RECETTES!B:G, 6, FALSE)*E2833)</f>
        <v/>
      </c>
      <c r="J2833" s="8">
        <f>IF(G2833="","",G2833*0.20)</f>
        <v/>
      </c>
      <c r="K2833" s="8">
        <f>IF(G2833="","",G2833+J2833)</f>
        <v/>
      </c>
    </row>
    <row r="2834">
      <c r="F2834" s="8" t="n"/>
      <c r="G2834" s="8">
        <f>IF(E2834="","",E2834*F2834)</f>
        <v/>
      </c>
      <c r="H2834" s="8">
        <f>IF(G2834="","",G2834-I2834)</f>
        <v/>
      </c>
      <c r="I2834" s="8">
        <f>IF(D2834="","",VLOOKUP(D2834, RECETTES!B:G, 6, FALSE)*E2834)</f>
        <v/>
      </c>
      <c r="J2834" s="8">
        <f>IF(G2834="","",G2834*0.20)</f>
        <v/>
      </c>
      <c r="K2834" s="8">
        <f>IF(G2834="","",G2834+J2834)</f>
        <v/>
      </c>
    </row>
    <row r="2835">
      <c r="F2835" s="8" t="n"/>
      <c r="G2835" s="8">
        <f>IF(E2835="","",E2835*F2835)</f>
        <v/>
      </c>
      <c r="H2835" s="8">
        <f>IF(G2835="","",G2835-I2835)</f>
        <v/>
      </c>
      <c r="I2835" s="8">
        <f>IF(D2835="","",VLOOKUP(D2835, RECETTES!B:G, 6, FALSE)*E2835)</f>
        <v/>
      </c>
      <c r="J2835" s="8">
        <f>IF(G2835="","",G2835*0.20)</f>
        <v/>
      </c>
      <c r="K2835" s="8">
        <f>IF(G2835="","",G2835+J2835)</f>
        <v/>
      </c>
    </row>
    <row r="2836">
      <c r="F2836" s="8" t="n"/>
      <c r="G2836" s="8">
        <f>IF(E2836="","",E2836*F2836)</f>
        <v/>
      </c>
      <c r="H2836" s="8">
        <f>IF(G2836="","",G2836-I2836)</f>
        <v/>
      </c>
      <c r="I2836" s="8">
        <f>IF(D2836="","",VLOOKUP(D2836, RECETTES!B:G, 6, FALSE)*E2836)</f>
        <v/>
      </c>
      <c r="J2836" s="8">
        <f>IF(G2836="","",G2836*0.20)</f>
        <v/>
      </c>
      <c r="K2836" s="8">
        <f>IF(G2836="","",G2836+J2836)</f>
        <v/>
      </c>
    </row>
    <row r="2837">
      <c r="F2837" s="8" t="n"/>
      <c r="G2837" s="8">
        <f>IF(E2837="","",E2837*F2837)</f>
        <v/>
      </c>
      <c r="H2837" s="8">
        <f>IF(G2837="","",G2837-I2837)</f>
        <v/>
      </c>
      <c r="I2837" s="8">
        <f>IF(D2837="","",VLOOKUP(D2837, RECETTES!B:G, 6, FALSE)*E2837)</f>
        <v/>
      </c>
      <c r="J2837" s="8">
        <f>IF(G2837="","",G2837*0.20)</f>
        <v/>
      </c>
      <c r="K2837" s="8">
        <f>IF(G2837="","",G2837+J2837)</f>
        <v/>
      </c>
    </row>
    <row r="2838">
      <c r="F2838" s="8" t="n"/>
      <c r="G2838" s="8">
        <f>IF(E2838="","",E2838*F2838)</f>
        <v/>
      </c>
      <c r="H2838" s="8">
        <f>IF(G2838="","",G2838-I2838)</f>
        <v/>
      </c>
      <c r="I2838" s="8">
        <f>IF(D2838="","",VLOOKUP(D2838, RECETTES!B:G, 6, FALSE)*E2838)</f>
        <v/>
      </c>
      <c r="J2838" s="8">
        <f>IF(G2838="","",G2838*0.20)</f>
        <v/>
      </c>
      <c r="K2838" s="8">
        <f>IF(G2838="","",G2838+J2838)</f>
        <v/>
      </c>
    </row>
    <row r="2839">
      <c r="F2839" s="8" t="n"/>
      <c r="G2839" s="8">
        <f>IF(E2839="","",E2839*F2839)</f>
        <v/>
      </c>
      <c r="H2839" s="8">
        <f>IF(G2839="","",G2839-I2839)</f>
        <v/>
      </c>
      <c r="I2839" s="8">
        <f>IF(D2839="","",VLOOKUP(D2839, RECETTES!B:G, 6, FALSE)*E2839)</f>
        <v/>
      </c>
      <c r="J2839" s="8">
        <f>IF(G2839="","",G2839*0.20)</f>
        <v/>
      </c>
      <c r="K2839" s="8">
        <f>IF(G2839="","",G2839+J2839)</f>
        <v/>
      </c>
    </row>
    <row r="2840">
      <c r="F2840" s="8" t="n"/>
      <c r="G2840" s="8">
        <f>IF(E2840="","",E2840*F2840)</f>
        <v/>
      </c>
      <c r="H2840" s="8">
        <f>IF(G2840="","",G2840-I2840)</f>
        <v/>
      </c>
      <c r="I2840" s="8">
        <f>IF(D2840="","",VLOOKUP(D2840, RECETTES!B:G, 6, FALSE)*E2840)</f>
        <v/>
      </c>
      <c r="J2840" s="8">
        <f>IF(G2840="","",G2840*0.20)</f>
        <v/>
      </c>
      <c r="K2840" s="8">
        <f>IF(G2840="","",G2840+J2840)</f>
        <v/>
      </c>
    </row>
    <row r="2841">
      <c r="F2841" s="8" t="n"/>
      <c r="G2841" s="8">
        <f>IF(E2841="","",E2841*F2841)</f>
        <v/>
      </c>
      <c r="H2841" s="8">
        <f>IF(G2841="","",G2841-I2841)</f>
        <v/>
      </c>
      <c r="I2841" s="8">
        <f>IF(D2841="","",VLOOKUP(D2841, RECETTES!B:G, 6, FALSE)*E2841)</f>
        <v/>
      </c>
      <c r="J2841" s="8">
        <f>IF(G2841="","",G2841*0.20)</f>
        <v/>
      </c>
      <c r="K2841" s="8">
        <f>IF(G2841="","",G2841+J2841)</f>
        <v/>
      </c>
    </row>
    <row r="2842">
      <c r="F2842" s="8" t="n"/>
      <c r="G2842" s="8">
        <f>IF(E2842="","",E2842*F2842)</f>
        <v/>
      </c>
      <c r="H2842" s="8">
        <f>IF(G2842="","",G2842-I2842)</f>
        <v/>
      </c>
      <c r="I2842" s="8">
        <f>IF(D2842="","",VLOOKUP(D2842, RECETTES!B:G, 6, FALSE)*E2842)</f>
        <v/>
      </c>
      <c r="J2842" s="8">
        <f>IF(G2842="","",G2842*0.20)</f>
        <v/>
      </c>
      <c r="K2842" s="8">
        <f>IF(G2842="","",G2842+J2842)</f>
        <v/>
      </c>
    </row>
    <row r="2843">
      <c r="F2843" s="8" t="n"/>
      <c r="G2843" s="8">
        <f>IF(E2843="","",E2843*F2843)</f>
        <v/>
      </c>
      <c r="H2843" s="8">
        <f>IF(G2843="","",G2843-I2843)</f>
        <v/>
      </c>
      <c r="I2843" s="8">
        <f>IF(D2843="","",VLOOKUP(D2843, RECETTES!B:G, 6, FALSE)*E2843)</f>
        <v/>
      </c>
      <c r="J2843" s="8">
        <f>IF(G2843="","",G2843*0.20)</f>
        <v/>
      </c>
      <c r="K2843" s="8">
        <f>IF(G2843="","",G2843+J2843)</f>
        <v/>
      </c>
    </row>
    <row r="2844">
      <c r="F2844" s="8" t="n"/>
      <c r="G2844" s="8">
        <f>IF(E2844="","",E2844*F2844)</f>
        <v/>
      </c>
      <c r="H2844" s="8">
        <f>IF(G2844="","",G2844-I2844)</f>
        <v/>
      </c>
      <c r="I2844" s="8">
        <f>IF(D2844="","",VLOOKUP(D2844, RECETTES!B:G, 6, FALSE)*E2844)</f>
        <v/>
      </c>
      <c r="J2844" s="8">
        <f>IF(G2844="","",G2844*0.20)</f>
        <v/>
      </c>
      <c r="K2844" s="8">
        <f>IF(G2844="","",G2844+J2844)</f>
        <v/>
      </c>
    </row>
    <row r="2845">
      <c r="F2845" s="8" t="n"/>
      <c r="G2845" s="8">
        <f>IF(E2845="","",E2845*F2845)</f>
        <v/>
      </c>
      <c r="H2845" s="8">
        <f>IF(G2845="","",G2845-I2845)</f>
        <v/>
      </c>
      <c r="I2845" s="8">
        <f>IF(D2845="","",VLOOKUP(D2845, RECETTES!B:G, 6, FALSE)*E2845)</f>
        <v/>
      </c>
      <c r="J2845" s="8">
        <f>IF(G2845="","",G2845*0.20)</f>
        <v/>
      </c>
      <c r="K2845" s="8">
        <f>IF(G2845="","",G2845+J2845)</f>
        <v/>
      </c>
    </row>
    <row r="2846">
      <c r="F2846" s="8" t="n"/>
      <c r="G2846" s="8">
        <f>IF(E2846="","",E2846*F2846)</f>
        <v/>
      </c>
      <c r="H2846" s="8">
        <f>IF(G2846="","",G2846-I2846)</f>
        <v/>
      </c>
      <c r="I2846" s="8">
        <f>IF(D2846="","",VLOOKUP(D2846, RECETTES!B:G, 6, FALSE)*E2846)</f>
        <v/>
      </c>
      <c r="J2846" s="8">
        <f>IF(G2846="","",G2846*0.20)</f>
        <v/>
      </c>
      <c r="K2846" s="8">
        <f>IF(G2846="","",G2846+J2846)</f>
        <v/>
      </c>
    </row>
    <row r="2847">
      <c r="F2847" s="8" t="n"/>
      <c r="G2847" s="8">
        <f>IF(E2847="","",E2847*F2847)</f>
        <v/>
      </c>
      <c r="H2847" s="8">
        <f>IF(G2847="","",G2847-I2847)</f>
        <v/>
      </c>
      <c r="I2847" s="8">
        <f>IF(D2847="","",VLOOKUP(D2847, RECETTES!B:G, 6, FALSE)*E2847)</f>
        <v/>
      </c>
      <c r="J2847" s="8">
        <f>IF(G2847="","",G2847*0.20)</f>
        <v/>
      </c>
      <c r="K2847" s="8">
        <f>IF(G2847="","",G2847+J2847)</f>
        <v/>
      </c>
    </row>
    <row r="2848">
      <c r="F2848" s="8" t="n"/>
      <c r="G2848" s="8">
        <f>IF(E2848="","",E2848*F2848)</f>
        <v/>
      </c>
      <c r="H2848" s="8">
        <f>IF(G2848="","",G2848-I2848)</f>
        <v/>
      </c>
      <c r="I2848" s="8">
        <f>IF(D2848="","",VLOOKUP(D2848, RECETTES!B:G, 6, FALSE)*E2848)</f>
        <v/>
      </c>
      <c r="J2848" s="8">
        <f>IF(G2848="","",G2848*0.20)</f>
        <v/>
      </c>
      <c r="K2848" s="8">
        <f>IF(G2848="","",G2848+J2848)</f>
        <v/>
      </c>
    </row>
    <row r="2849">
      <c r="F2849" s="8" t="n"/>
      <c r="G2849" s="8">
        <f>IF(E2849="","",E2849*F2849)</f>
        <v/>
      </c>
      <c r="H2849" s="8">
        <f>IF(G2849="","",G2849-I2849)</f>
        <v/>
      </c>
      <c r="I2849" s="8">
        <f>IF(D2849="","",VLOOKUP(D2849, RECETTES!B:G, 6, FALSE)*E2849)</f>
        <v/>
      </c>
      <c r="J2849" s="8">
        <f>IF(G2849="","",G2849*0.20)</f>
        <v/>
      </c>
      <c r="K2849" s="8">
        <f>IF(G2849="","",G2849+J2849)</f>
        <v/>
      </c>
    </row>
    <row r="2850">
      <c r="F2850" s="8" t="n"/>
      <c r="G2850" s="8">
        <f>IF(E2850="","",E2850*F2850)</f>
        <v/>
      </c>
      <c r="H2850" s="8">
        <f>IF(G2850="","",G2850-I2850)</f>
        <v/>
      </c>
      <c r="I2850" s="8">
        <f>IF(D2850="","",VLOOKUP(D2850, RECETTES!B:G, 6, FALSE)*E2850)</f>
        <v/>
      </c>
      <c r="J2850" s="8">
        <f>IF(G2850="","",G2850*0.20)</f>
        <v/>
      </c>
      <c r="K2850" s="8">
        <f>IF(G2850="","",G2850+J2850)</f>
        <v/>
      </c>
    </row>
    <row r="2851">
      <c r="F2851" s="8" t="n"/>
      <c r="G2851" s="8">
        <f>IF(E2851="","",E2851*F2851)</f>
        <v/>
      </c>
      <c r="H2851" s="8">
        <f>IF(G2851="","",G2851-I2851)</f>
        <v/>
      </c>
      <c r="I2851" s="8">
        <f>IF(D2851="","",VLOOKUP(D2851, RECETTES!B:G, 6, FALSE)*E2851)</f>
        <v/>
      </c>
      <c r="J2851" s="8">
        <f>IF(G2851="","",G2851*0.20)</f>
        <v/>
      </c>
      <c r="K2851" s="8">
        <f>IF(G2851="","",G2851+J2851)</f>
        <v/>
      </c>
    </row>
    <row r="2852">
      <c r="F2852" s="8" t="n"/>
      <c r="G2852" s="8">
        <f>IF(E2852="","",E2852*F2852)</f>
        <v/>
      </c>
      <c r="H2852" s="8">
        <f>IF(G2852="","",G2852-I2852)</f>
        <v/>
      </c>
      <c r="I2852" s="8">
        <f>IF(D2852="","",VLOOKUP(D2852, RECETTES!B:G, 6, FALSE)*E2852)</f>
        <v/>
      </c>
      <c r="J2852" s="8">
        <f>IF(G2852="","",G2852*0.20)</f>
        <v/>
      </c>
      <c r="K2852" s="8">
        <f>IF(G2852="","",G2852+J2852)</f>
        <v/>
      </c>
    </row>
    <row r="2853">
      <c r="F2853" s="8" t="n"/>
      <c r="G2853" s="8">
        <f>IF(E2853="","",E2853*F2853)</f>
        <v/>
      </c>
      <c r="H2853" s="8">
        <f>IF(G2853="","",G2853-I2853)</f>
        <v/>
      </c>
      <c r="I2853" s="8">
        <f>IF(D2853="","",VLOOKUP(D2853, RECETTES!B:G, 6, FALSE)*E2853)</f>
        <v/>
      </c>
      <c r="J2853" s="8">
        <f>IF(G2853="","",G2853*0.20)</f>
        <v/>
      </c>
      <c r="K2853" s="8">
        <f>IF(G2853="","",G2853+J2853)</f>
        <v/>
      </c>
    </row>
    <row r="2854">
      <c r="F2854" s="8" t="n"/>
      <c r="G2854" s="8">
        <f>IF(E2854="","",E2854*F2854)</f>
        <v/>
      </c>
      <c r="H2854" s="8">
        <f>IF(G2854="","",G2854-I2854)</f>
        <v/>
      </c>
      <c r="I2854" s="8">
        <f>IF(D2854="","",VLOOKUP(D2854, RECETTES!B:G, 6, FALSE)*E2854)</f>
        <v/>
      </c>
      <c r="J2854" s="8">
        <f>IF(G2854="","",G2854*0.20)</f>
        <v/>
      </c>
      <c r="K2854" s="8">
        <f>IF(G2854="","",G2854+J2854)</f>
        <v/>
      </c>
    </row>
    <row r="2855">
      <c r="F2855" s="8" t="n"/>
      <c r="G2855" s="8">
        <f>IF(E2855="","",E2855*F2855)</f>
        <v/>
      </c>
      <c r="H2855" s="8">
        <f>IF(G2855="","",G2855-I2855)</f>
        <v/>
      </c>
      <c r="I2855" s="8">
        <f>IF(D2855="","",VLOOKUP(D2855, RECETTES!B:G, 6, FALSE)*E2855)</f>
        <v/>
      </c>
      <c r="J2855" s="8">
        <f>IF(G2855="","",G2855*0.20)</f>
        <v/>
      </c>
      <c r="K2855" s="8">
        <f>IF(G2855="","",G2855+J2855)</f>
        <v/>
      </c>
    </row>
    <row r="2856">
      <c r="F2856" s="8" t="n"/>
      <c r="G2856" s="8">
        <f>IF(E2856="","",E2856*F2856)</f>
        <v/>
      </c>
      <c r="H2856" s="8">
        <f>IF(G2856="","",G2856-I2856)</f>
        <v/>
      </c>
      <c r="I2856" s="8">
        <f>IF(D2856="","",VLOOKUP(D2856, RECETTES!B:G, 6, FALSE)*E2856)</f>
        <v/>
      </c>
      <c r="J2856" s="8">
        <f>IF(G2856="","",G2856*0.20)</f>
        <v/>
      </c>
      <c r="K2856" s="8">
        <f>IF(G2856="","",G2856+J2856)</f>
        <v/>
      </c>
    </row>
    <row r="2857">
      <c r="F2857" s="8" t="n"/>
      <c r="G2857" s="8">
        <f>IF(E2857="","",E2857*F2857)</f>
        <v/>
      </c>
      <c r="H2857" s="8">
        <f>IF(G2857="","",G2857-I2857)</f>
        <v/>
      </c>
      <c r="I2857" s="8">
        <f>IF(D2857="","",VLOOKUP(D2857, RECETTES!B:G, 6, FALSE)*E2857)</f>
        <v/>
      </c>
      <c r="J2857" s="8">
        <f>IF(G2857="","",G2857*0.20)</f>
        <v/>
      </c>
      <c r="K2857" s="8">
        <f>IF(G2857="","",G2857+J2857)</f>
        <v/>
      </c>
    </row>
    <row r="2858">
      <c r="F2858" s="8" t="n"/>
      <c r="G2858" s="8">
        <f>IF(E2858="","",E2858*F2858)</f>
        <v/>
      </c>
      <c r="H2858" s="8">
        <f>IF(G2858="","",G2858-I2858)</f>
        <v/>
      </c>
      <c r="I2858" s="8">
        <f>IF(D2858="","",VLOOKUP(D2858, RECETTES!B:G, 6, FALSE)*E2858)</f>
        <v/>
      </c>
      <c r="J2858" s="8">
        <f>IF(G2858="","",G2858*0.20)</f>
        <v/>
      </c>
      <c r="K2858" s="8">
        <f>IF(G2858="","",G2858+J2858)</f>
        <v/>
      </c>
    </row>
    <row r="2859">
      <c r="F2859" s="8" t="n"/>
      <c r="G2859" s="8">
        <f>IF(E2859="","",E2859*F2859)</f>
        <v/>
      </c>
      <c r="H2859" s="8">
        <f>IF(G2859="","",G2859-I2859)</f>
        <v/>
      </c>
      <c r="I2859" s="8">
        <f>IF(D2859="","",VLOOKUP(D2859, RECETTES!B:G, 6, FALSE)*E2859)</f>
        <v/>
      </c>
      <c r="J2859" s="8">
        <f>IF(G2859="","",G2859*0.20)</f>
        <v/>
      </c>
      <c r="K2859" s="8">
        <f>IF(G2859="","",G2859+J2859)</f>
        <v/>
      </c>
    </row>
    <row r="2860">
      <c r="F2860" s="8" t="n"/>
      <c r="G2860" s="8">
        <f>IF(E2860="","",E2860*F2860)</f>
        <v/>
      </c>
      <c r="H2860" s="8">
        <f>IF(G2860="","",G2860-I2860)</f>
        <v/>
      </c>
      <c r="I2860" s="8">
        <f>IF(D2860="","",VLOOKUP(D2860, RECETTES!B:G, 6, FALSE)*E2860)</f>
        <v/>
      </c>
      <c r="J2860" s="8">
        <f>IF(G2860="","",G2860*0.20)</f>
        <v/>
      </c>
      <c r="K2860" s="8">
        <f>IF(G2860="","",G2860+J2860)</f>
        <v/>
      </c>
    </row>
    <row r="2861">
      <c r="F2861" s="8" t="n"/>
      <c r="G2861" s="8">
        <f>IF(E2861="","",E2861*F2861)</f>
        <v/>
      </c>
      <c r="H2861" s="8">
        <f>IF(G2861="","",G2861-I2861)</f>
        <v/>
      </c>
      <c r="I2861" s="8">
        <f>IF(D2861="","",VLOOKUP(D2861, RECETTES!B:G, 6, FALSE)*E2861)</f>
        <v/>
      </c>
      <c r="J2861" s="8">
        <f>IF(G2861="","",G2861*0.20)</f>
        <v/>
      </c>
      <c r="K2861" s="8">
        <f>IF(G2861="","",G2861+J2861)</f>
        <v/>
      </c>
    </row>
    <row r="2862">
      <c r="F2862" s="8" t="n"/>
      <c r="G2862" s="8">
        <f>IF(E2862="","",E2862*F2862)</f>
        <v/>
      </c>
      <c r="H2862" s="8">
        <f>IF(G2862="","",G2862-I2862)</f>
        <v/>
      </c>
      <c r="I2862" s="8">
        <f>IF(D2862="","",VLOOKUP(D2862, RECETTES!B:G, 6, FALSE)*E2862)</f>
        <v/>
      </c>
      <c r="J2862" s="8">
        <f>IF(G2862="","",G2862*0.20)</f>
        <v/>
      </c>
      <c r="K2862" s="8">
        <f>IF(G2862="","",G2862+J2862)</f>
        <v/>
      </c>
    </row>
    <row r="2863">
      <c r="F2863" s="8" t="n"/>
      <c r="G2863" s="8">
        <f>IF(E2863="","",E2863*F2863)</f>
        <v/>
      </c>
      <c r="H2863" s="8">
        <f>IF(G2863="","",G2863-I2863)</f>
        <v/>
      </c>
      <c r="I2863" s="8">
        <f>IF(D2863="","",VLOOKUP(D2863, RECETTES!B:G, 6, FALSE)*E2863)</f>
        <v/>
      </c>
      <c r="J2863" s="8">
        <f>IF(G2863="","",G2863*0.20)</f>
        <v/>
      </c>
      <c r="K2863" s="8">
        <f>IF(G2863="","",G2863+J2863)</f>
        <v/>
      </c>
    </row>
    <row r="2864">
      <c r="F2864" s="8" t="n"/>
      <c r="G2864" s="8">
        <f>IF(E2864="","",E2864*F2864)</f>
        <v/>
      </c>
      <c r="H2864" s="8">
        <f>IF(G2864="","",G2864-I2864)</f>
        <v/>
      </c>
      <c r="I2864" s="8">
        <f>IF(D2864="","",VLOOKUP(D2864, RECETTES!B:G, 6, FALSE)*E2864)</f>
        <v/>
      </c>
      <c r="J2864" s="8">
        <f>IF(G2864="","",G2864*0.20)</f>
        <v/>
      </c>
      <c r="K2864" s="8">
        <f>IF(G2864="","",G2864+J2864)</f>
        <v/>
      </c>
    </row>
    <row r="2865">
      <c r="F2865" s="8" t="n"/>
      <c r="G2865" s="8">
        <f>IF(E2865="","",E2865*F2865)</f>
        <v/>
      </c>
      <c r="H2865" s="8">
        <f>IF(G2865="","",G2865-I2865)</f>
        <v/>
      </c>
      <c r="I2865" s="8">
        <f>IF(D2865="","",VLOOKUP(D2865, RECETTES!B:G, 6, FALSE)*E2865)</f>
        <v/>
      </c>
      <c r="J2865" s="8">
        <f>IF(G2865="","",G2865*0.20)</f>
        <v/>
      </c>
      <c r="K2865" s="8">
        <f>IF(G2865="","",G2865+J2865)</f>
        <v/>
      </c>
    </row>
    <row r="2866">
      <c r="F2866" s="8" t="n"/>
      <c r="G2866" s="8">
        <f>IF(E2866="","",E2866*F2866)</f>
        <v/>
      </c>
      <c r="H2866" s="8">
        <f>IF(G2866="","",G2866-I2866)</f>
        <v/>
      </c>
      <c r="I2866" s="8">
        <f>IF(D2866="","",VLOOKUP(D2866, RECETTES!B:G, 6, FALSE)*E2866)</f>
        <v/>
      </c>
      <c r="J2866" s="8">
        <f>IF(G2866="","",G2866*0.20)</f>
        <v/>
      </c>
      <c r="K2866" s="8">
        <f>IF(G2866="","",G2866+J2866)</f>
        <v/>
      </c>
    </row>
    <row r="2867">
      <c r="F2867" s="8" t="n"/>
      <c r="G2867" s="8">
        <f>IF(E2867="","",E2867*F2867)</f>
        <v/>
      </c>
      <c r="H2867" s="8">
        <f>IF(G2867="","",G2867-I2867)</f>
        <v/>
      </c>
      <c r="I2867" s="8">
        <f>IF(D2867="","",VLOOKUP(D2867, RECETTES!B:G, 6, FALSE)*E2867)</f>
        <v/>
      </c>
      <c r="J2867" s="8">
        <f>IF(G2867="","",G2867*0.20)</f>
        <v/>
      </c>
      <c r="K2867" s="8">
        <f>IF(G2867="","",G2867+J2867)</f>
        <v/>
      </c>
    </row>
    <row r="2868">
      <c r="F2868" s="8" t="n"/>
      <c r="G2868" s="8">
        <f>IF(E2868="","",E2868*F2868)</f>
        <v/>
      </c>
      <c r="H2868" s="8">
        <f>IF(G2868="","",G2868-I2868)</f>
        <v/>
      </c>
      <c r="I2868" s="8">
        <f>IF(D2868="","",VLOOKUP(D2868, RECETTES!B:G, 6, FALSE)*E2868)</f>
        <v/>
      </c>
      <c r="J2868" s="8">
        <f>IF(G2868="","",G2868*0.20)</f>
        <v/>
      </c>
      <c r="K2868" s="8">
        <f>IF(G2868="","",G2868+J2868)</f>
        <v/>
      </c>
    </row>
    <row r="2869">
      <c r="F2869" s="8" t="n"/>
      <c r="G2869" s="8">
        <f>IF(E2869="","",E2869*F2869)</f>
        <v/>
      </c>
      <c r="H2869" s="8">
        <f>IF(G2869="","",G2869-I2869)</f>
        <v/>
      </c>
      <c r="I2869" s="8">
        <f>IF(D2869="","",VLOOKUP(D2869, RECETTES!B:G, 6, FALSE)*E2869)</f>
        <v/>
      </c>
      <c r="J2869" s="8">
        <f>IF(G2869="","",G2869*0.20)</f>
        <v/>
      </c>
      <c r="K2869" s="8">
        <f>IF(G2869="","",G2869+J2869)</f>
        <v/>
      </c>
    </row>
    <row r="2870">
      <c r="F2870" s="8" t="n"/>
      <c r="G2870" s="8">
        <f>IF(E2870="","",E2870*F2870)</f>
        <v/>
      </c>
      <c r="H2870" s="8">
        <f>IF(G2870="","",G2870-I2870)</f>
        <v/>
      </c>
      <c r="I2870" s="8">
        <f>IF(D2870="","",VLOOKUP(D2870, RECETTES!B:G, 6, FALSE)*E2870)</f>
        <v/>
      </c>
      <c r="J2870" s="8">
        <f>IF(G2870="","",G2870*0.20)</f>
        <v/>
      </c>
      <c r="K2870" s="8">
        <f>IF(G2870="","",G2870+J2870)</f>
        <v/>
      </c>
    </row>
    <row r="2871">
      <c r="F2871" s="8" t="n"/>
      <c r="G2871" s="8">
        <f>IF(E2871="","",E2871*F2871)</f>
        <v/>
      </c>
      <c r="H2871" s="8">
        <f>IF(G2871="","",G2871-I2871)</f>
        <v/>
      </c>
      <c r="I2871" s="8">
        <f>IF(D2871="","",VLOOKUP(D2871, RECETTES!B:G, 6, FALSE)*E2871)</f>
        <v/>
      </c>
      <c r="J2871" s="8">
        <f>IF(G2871="","",G2871*0.20)</f>
        <v/>
      </c>
      <c r="K2871" s="8">
        <f>IF(G2871="","",G2871+J2871)</f>
        <v/>
      </c>
    </row>
    <row r="2872">
      <c r="F2872" s="8" t="n"/>
      <c r="G2872" s="8">
        <f>IF(E2872="","",E2872*F2872)</f>
        <v/>
      </c>
      <c r="H2872" s="8">
        <f>IF(G2872="","",G2872-I2872)</f>
        <v/>
      </c>
      <c r="I2872" s="8">
        <f>IF(D2872="","",VLOOKUP(D2872, RECETTES!B:G, 6, FALSE)*E2872)</f>
        <v/>
      </c>
      <c r="J2872" s="8">
        <f>IF(G2872="","",G2872*0.20)</f>
        <v/>
      </c>
      <c r="K2872" s="8">
        <f>IF(G2872="","",G2872+J2872)</f>
        <v/>
      </c>
    </row>
    <row r="2873">
      <c r="F2873" s="8" t="n"/>
      <c r="G2873" s="8">
        <f>IF(E2873="","",E2873*F2873)</f>
        <v/>
      </c>
      <c r="H2873" s="8">
        <f>IF(G2873="","",G2873-I2873)</f>
        <v/>
      </c>
      <c r="I2873" s="8">
        <f>IF(D2873="","",VLOOKUP(D2873, RECETTES!B:G, 6, FALSE)*E2873)</f>
        <v/>
      </c>
      <c r="J2873" s="8">
        <f>IF(G2873="","",G2873*0.20)</f>
        <v/>
      </c>
      <c r="K2873" s="8">
        <f>IF(G2873="","",G2873+J2873)</f>
        <v/>
      </c>
    </row>
    <row r="2874">
      <c r="F2874" s="8" t="n"/>
      <c r="G2874" s="8">
        <f>IF(E2874="","",E2874*F2874)</f>
        <v/>
      </c>
      <c r="H2874" s="8">
        <f>IF(G2874="","",G2874-I2874)</f>
        <v/>
      </c>
      <c r="I2874" s="8">
        <f>IF(D2874="","",VLOOKUP(D2874, RECETTES!B:G, 6, FALSE)*E2874)</f>
        <v/>
      </c>
      <c r="J2874" s="8">
        <f>IF(G2874="","",G2874*0.20)</f>
        <v/>
      </c>
      <c r="K2874" s="8">
        <f>IF(G2874="","",G2874+J2874)</f>
        <v/>
      </c>
    </row>
    <row r="2875">
      <c r="F2875" s="8" t="n"/>
      <c r="G2875" s="8">
        <f>IF(E2875="","",E2875*F2875)</f>
        <v/>
      </c>
      <c r="H2875" s="8">
        <f>IF(G2875="","",G2875-I2875)</f>
        <v/>
      </c>
      <c r="I2875" s="8">
        <f>IF(D2875="","",VLOOKUP(D2875, RECETTES!B:G, 6, FALSE)*E2875)</f>
        <v/>
      </c>
      <c r="J2875" s="8">
        <f>IF(G2875="","",G2875*0.20)</f>
        <v/>
      </c>
      <c r="K2875" s="8">
        <f>IF(G2875="","",G2875+J2875)</f>
        <v/>
      </c>
    </row>
    <row r="2876">
      <c r="F2876" s="8" t="n"/>
      <c r="G2876" s="8">
        <f>IF(E2876="","",E2876*F2876)</f>
        <v/>
      </c>
      <c r="H2876" s="8">
        <f>IF(G2876="","",G2876-I2876)</f>
        <v/>
      </c>
      <c r="I2876" s="8">
        <f>IF(D2876="","",VLOOKUP(D2876, RECETTES!B:G, 6, FALSE)*E2876)</f>
        <v/>
      </c>
      <c r="J2876" s="8">
        <f>IF(G2876="","",G2876*0.20)</f>
        <v/>
      </c>
      <c r="K2876" s="8">
        <f>IF(G2876="","",G2876+J2876)</f>
        <v/>
      </c>
    </row>
    <row r="2877">
      <c r="F2877" s="8" t="n"/>
      <c r="G2877" s="8">
        <f>IF(E2877="","",E2877*F2877)</f>
        <v/>
      </c>
      <c r="H2877" s="8">
        <f>IF(G2877="","",G2877-I2877)</f>
        <v/>
      </c>
      <c r="I2877" s="8">
        <f>IF(D2877="","",VLOOKUP(D2877, RECETTES!B:G, 6, FALSE)*E2877)</f>
        <v/>
      </c>
      <c r="J2877" s="8">
        <f>IF(G2877="","",G2877*0.20)</f>
        <v/>
      </c>
      <c r="K2877" s="8">
        <f>IF(G2877="","",G2877+J2877)</f>
        <v/>
      </c>
    </row>
    <row r="2878">
      <c r="F2878" s="8" t="n"/>
      <c r="G2878" s="8">
        <f>IF(E2878="","",E2878*F2878)</f>
        <v/>
      </c>
      <c r="H2878" s="8">
        <f>IF(G2878="","",G2878-I2878)</f>
        <v/>
      </c>
      <c r="I2878" s="8">
        <f>IF(D2878="","",VLOOKUP(D2878, RECETTES!B:G, 6, FALSE)*E2878)</f>
        <v/>
      </c>
      <c r="J2878" s="8">
        <f>IF(G2878="","",G2878*0.20)</f>
        <v/>
      </c>
      <c r="K2878" s="8">
        <f>IF(G2878="","",G2878+J2878)</f>
        <v/>
      </c>
    </row>
    <row r="2879">
      <c r="F2879" s="8" t="n"/>
      <c r="G2879" s="8">
        <f>IF(E2879="","",E2879*F2879)</f>
        <v/>
      </c>
      <c r="H2879" s="8">
        <f>IF(G2879="","",G2879-I2879)</f>
        <v/>
      </c>
      <c r="I2879" s="8">
        <f>IF(D2879="","",VLOOKUP(D2879, RECETTES!B:G, 6, FALSE)*E2879)</f>
        <v/>
      </c>
      <c r="J2879" s="8">
        <f>IF(G2879="","",G2879*0.20)</f>
        <v/>
      </c>
      <c r="K2879" s="8">
        <f>IF(G2879="","",G2879+J2879)</f>
        <v/>
      </c>
    </row>
    <row r="2880">
      <c r="F2880" s="8" t="n"/>
      <c r="G2880" s="8">
        <f>IF(E2880="","",E2880*F2880)</f>
        <v/>
      </c>
      <c r="H2880" s="8">
        <f>IF(G2880="","",G2880-I2880)</f>
        <v/>
      </c>
      <c r="I2880" s="8">
        <f>IF(D2880="","",VLOOKUP(D2880, RECETTES!B:G, 6, FALSE)*E2880)</f>
        <v/>
      </c>
      <c r="J2880" s="8">
        <f>IF(G2880="","",G2880*0.20)</f>
        <v/>
      </c>
      <c r="K2880" s="8">
        <f>IF(G2880="","",G2880+J2880)</f>
        <v/>
      </c>
    </row>
    <row r="2881">
      <c r="F2881" s="8" t="n"/>
      <c r="G2881" s="8">
        <f>IF(E2881="","",E2881*F2881)</f>
        <v/>
      </c>
      <c r="H2881" s="8">
        <f>IF(G2881="","",G2881-I2881)</f>
        <v/>
      </c>
      <c r="I2881" s="8">
        <f>IF(D2881="","",VLOOKUP(D2881, RECETTES!B:G, 6, FALSE)*E2881)</f>
        <v/>
      </c>
      <c r="J2881" s="8">
        <f>IF(G2881="","",G2881*0.20)</f>
        <v/>
      </c>
      <c r="K2881" s="8">
        <f>IF(G2881="","",G2881+J2881)</f>
        <v/>
      </c>
    </row>
    <row r="2882">
      <c r="F2882" s="8" t="n"/>
      <c r="G2882" s="8">
        <f>IF(E2882="","",E2882*F2882)</f>
        <v/>
      </c>
      <c r="H2882" s="8">
        <f>IF(G2882="","",G2882-I2882)</f>
        <v/>
      </c>
      <c r="I2882" s="8">
        <f>IF(D2882="","",VLOOKUP(D2882, RECETTES!B:G, 6, FALSE)*E2882)</f>
        <v/>
      </c>
      <c r="J2882" s="8">
        <f>IF(G2882="","",G2882*0.20)</f>
        <v/>
      </c>
      <c r="K2882" s="8">
        <f>IF(G2882="","",G2882+J2882)</f>
        <v/>
      </c>
    </row>
    <row r="2883">
      <c r="F2883" s="8" t="n"/>
      <c r="G2883" s="8">
        <f>IF(E2883="","",E2883*F2883)</f>
        <v/>
      </c>
      <c r="H2883" s="8">
        <f>IF(G2883="","",G2883-I2883)</f>
        <v/>
      </c>
      <c r="I2883" s="8">
        <f>IF(D2883="","",VLOOKUP(D2883, RECETTES!B:G, 6, FALSE)*E2883)</f>
        <v/>
      </c>
      <c r="J2883" s="8">
        <f>IF(G2883="","",G2883*0.20)</f>
        <v/>
      </c>
      <c r="K2883" s="8">
        <f>IF(G2883="","",G2883+J2883)</f>
        <v/>
      </c>
    </row>
    <row r="2884">
      <c r="F2884" s="8" t="n"/>
      <c r="G2884" s="8">
        <f>IF(E2884="","",E2884*F2884)</f>
        <v/>
      </c>
      <c r="H2884" s="8">
        <f>IF(G2884="","",G2884-I2884)</f>
        <v/>
      </c>
      <c r="I2884" s="8">
        <f>IF(D2884="","",VLOOKUP(D2884, RECETTES!B:G, 6, FALSE)*E2884)</f>
        <v/>
      </c>
      <c r="J2884" s="8">
        <f>IF(G2884="","",G2884*0.20)</f>
        <v/>
      </c>
      <c r="K2884" s="8">
        <f>IF(G2884="","",G2884+J2884)</f>
        <v/>
      </c>
    </row>
    <row r="2885">
      <c r="F2885" s="8" t="n"/>
      <c r="G2885" s="8">
        <f>IF(E2885="","",E2885*F2885)</f>
        <v/>
      </c>
      <c r="H2885" s="8">
        <f>IF(G2885="","",G2885-I2885)</f>
        <v/>
      </c>
      <c r="I2885" s="8">
        <f>IF(D2885="","",VLOOKUP(D2885, RECETTES!B:G, 6, FALSE)*E2885)</f>
        <v/>
      </c>
      <c r="J2885" s="8">
        <f>IF(G2885="","",G2885*0.20)</f>
        <v/>
      </c>
      <c r="K2885" s="8">
        <f>IF(G2885="","",G2885+J2885)</f>
        <v/>
      </c>
    </row>
    <row r="2886">
      <c r="F2886" s="8" t="n"/>
      <c r="G2886" s="8">
        <f>IF(E2886="","",E2886*F2886)</f>
        <v/>
      </c>
      <c r="H2886" s="8">
        <f>IF(G2886="","",G2886-I2886)</f>
        <v/>
      </c>
      <c r="I2886" s="8">
        <f>IF(D2886="","",VLOOKUP(D2886, RECETTES!B:G, 6, FALSE)*E2886)</f>
        <v/>
      </c>
      <c r="J2886" s="8">
        <f>IF(G2886="","",G2886*0.20)</f>
        <v/>
      </c>
      <c r="K2886" s="8">
        <f>IF(G2886="","",G2886+J2886)</f>
        <v/>
      </c>
    </row>
    <row r="2887">
      <c r="F2887" s="8" t="n"/>
      <c r="G2887" s="8">
        <f>IF(E2887="","",E2887*F2887)</f>
        <v/>
      </c>
      <c r="H2887" s="8">
        <f>IF(G2887="","",G2887-I2887)</f>
        <v/>
      </c>
      <c r="I2887" s="8">
        <f>IF(D2887="","",VLOOKUP(D2887, RECETTES!B:G, 6, FALSE)*E2887)</f>
        <v/>
      </c>
      <c r="J2887" s="8">
        <f>IF(G2887="","",G2887*0.20)</f>
        <v/>
      </c>
      <c r="K2887" s="8">
        <f>IF(G2887="","",G2887+J2887)</f>
        <v/>
      </c>
    </row>
    <row r="2888">
      <c r="F2888" s="8" t="n"/>
      <c r="G2888" s="8">
        <f>IF(E2888="","",E2888*F2888)</f>
        <v/>
      </c>
      <c r="H2888" s="8">
        <f>IF(G2888="","",G2888-I2888)</f>
        <v/>
      </c>
      <c r="I2888" s="8">
        <f>IF(D2888="","",VLOOKUP(D2888, RECETTES!B:G, 6, FALSE)*E2888)</f>
        <v/>
      </c>
      <c r="J2888" s="8">
        <f>IF(G2888="","",G2888*0.20)</f>
        <v/>
      </c>
      <c r="K2888" s="8">
        <f>IF(G2888="","",G2888+J2888)</f>
        <v/>
      </c>
    </row>
    <row r="2889">
      <c r="F2889" s="8" t="n"/>
      <c r="G2889" s="8">
        <f>IF(E2889="","",E2889*F2889)</f>
        <v/>
      </c>
      <c r="H2889" s="8">
        <f>IF(G2889="","",G2889-I2889)</f>
        <v/>
      </c>
      <c r="I2889" s="8">
        <f>IF(D2889="","",VLOOKUP(D2889, RECETTES!B:G, 6, FALSE)*E2889)</f>
        <v/>
      </c>
      <c r="J2889" s="8">
        <f>IF(G2889="","",G2889*0.20)</f>
        <v/>
      </c>
      <c r="K2889" s="8">
        <f>IF(G2889="","",G2889+J2889)</f>
        <v/>
      </c>
    </row>
    <row r="2890">
      <c r="F2890" s="8" t="n"/>
      <c r="G2890" s="8">
        <f>IF(E2890="","",E2890*F2890)</f>
        <v/>
      </c>
      <c r="H2890" s="8">
        <f>IF(G2890="","",G2890-I2890)</f>
        <v/>
      </c>
      <c r="I2890" s="8">
        <f>IF(D2890="","",VLOOKUP(D2890, RECETTES!B:G, 6, FALSE)*E2890)</f>
        <v/>
      </c>
      <c r="J2890" s="8">
        <f>IF(G2890="","",G2890*0.20)</f>
        <v/>
      </c>
      <c r="K2890" s="8">
        <f>IF(G2890="","",G2890+J2890)</f>
        <v/>
      </c>
    </row>
    <row r="2891">
      <c r="F2891" s="8" t="n"/>
      <c r="G2891" s="8">
        <f>IF(E2891="","",E2891*F2891)</f>
        <v/>
      </c>
      <c r="H2891" s="8">
        <f>IF(G2891="","",G2891-I2891)</f>
        <v/>
      </c>
      <c r="I2891" s="8">
        <f>IF(D2891="","",VLOOKUP(D2891, RECETTES!B:G, 6, FALSE)*E2891)</f>
        <v/>
      </c>
      <c r="J2891" s="8">
        <f>IF(G2891="","",G2891*0.20)</f>
        <v/>
      </c>
      <c r="K2891" s="8">
        <f>IF(G2891="","",G2891+J2891)</f>
        <v/>
      </c>
    </row>
    <row r="2892">
      <c r="F2892" s="8" t="n"/>
      <c r="G2892" s="8">
        <f>IF(E2892="","",E2892*F2892)</f>
        <v/>
      </c>
      <c r="H2892" s="8">
        <f>IF(G2892="","",G2892-I2892)</f>
        <v/>
      </c>
      <c r="I2892" s="8">
        <f>IF(D2892="","",VLOOKUP(D2892, RECETTES!B:G, 6, FALSE)*E2892)</f>
        <v/>
      </c>
      <c r="J2892" s="8">
        <f>IF(G2892="","",G2892*0.20)</f>
        <v/>
      </c>
      <c r="K2892" s="8">
        <f>IF(G2892="","",G2892+J2892)</f>
        <v/>
      </c>
    </row>
    <row r="2893">
      <c r="F2893" s="8" t="n"/>
      <c r="G2893" s="8">
        <f>IF(E2893="","",E2893*F2893)</f>
        <v/>
      </c>
      <c r="H2893" s="8">
        <f>IF(G2893="","",G2893-I2893)</f>
        <v/>
      </c>
      <c r="I2893" s="8">
        <f>IF(D2893="","",VLOOKUP(D2893, RECETTES!B:G, 6, FALSE)*E2893)</f>
        <v/>
      </c>
      <c r="J2893" s="8">
        <f>IF(G2893="","",G2893*0.20)</f>
        <v/>
      </c>
      <c r="K2893" s="8">
        <f>IF(G2893="","",G2893+J2893)</f>
        <v/>
      </c>
    </row>
    <row r="2894">
      <c r="F2894" s="8" t="n"/>
      <c r="G2894" s="8">
        <f>IF(E2894="","",E2894*F2894)</f>
        <v/>
      </c>
      <c r="H2894" s="8">
        <f>IF(G2894="","",G2894-I2894)</f>
        <v/>
      </c>
      <c r="I2894" s="8">
        <f>IF(D2894="","",VLOOKUP(D2894, RECETTES!B:G, 6, FALSE)*E2894)</f>
        <v/>
      </c>
      <c r="J2894" s="8">
        <f>IF(G2894="","",G2894*0.20)</f>
        <v/>
      </c>
      <c r="K2894" s="8">
        <f>IF(G2894="","",G2894+J2894)</f>
        <v/>
      </c>
    </row>
    <row r="2895">
      <c r="F2895" s="8" t="n"/>
      <c r="G2895" s="8">
        <f>IF(E2895="","",E2895*F2895)</f>
        <v/>
      </c>
      <c r="H2895" s="8">
        <f>IF(G2895="","",G2895-I2895)</f>
        <v/>
      </c>
      <c r="I2895" s="8">
        <f>IF(D2895="","",VLOOKUP(D2895, RECETTES!B:G, 6, FALSE)*E2895)</f>
        <v/>
      </c>
      <c r="J2895" s="8">
        <f>IF(G2895="","",G2895*0.20)</f>
        <v/>
      </c>
      <c r="K2895" s="8">
        <f>IF(G2895="","",G2895+J2895)</f>
        <v/>
      </c>
    </row>
    <row r="2896">
      <c r="F2896" s="8" t="n"/>
      <c r="G2896" s="8">
        <f>IF(E2896="","",E2896*F2896)</f>
        <v/>
      </c>
      <c r="H2896" s="8">
        <f>IF(G2896="","",G2896-I2896)</f>
        <v/>
      </c>
      <c r="I2896" s="8">
        <f>IF(D2896="","",VLOOKUP(D2896, RECETTES!B:G, 6, FALSE)*E2896)</f>
        <v/>
      </c>
      <c r="J2896" s="8">
        <f>IF(G2896="","",G2896*0.20)</f>
        <v/>
      </c>
      <c r="K2896" s="8">
        <f>IF(G2896="","",G2896+J2896)</f>
        <v/>
      </c>
    </row>
    <row r="2897">
      <c r="F2897" s="8" t="n"/>
      <c r="G2897" s="8">
        <f>IF(E2897="","",E2897*F2897)</f>
        <v/>
      </c>
      <c r="H2897" s="8">
        <f>IF(G2897="","",G2897-I2897)</f>
        <v/>
      </c>
      <c r="I2897" s="8">
        <f>IF(D2897="","",VLOOKUP(D2897, RECETTES!B:G, 6, FALSE)*E2897)</f>
        <v/>
      </c>
      <c r="J2897" s="8">
        <f>IF(G2897="","",G2897*0.20)</f>
        <v/>
      </c>
      <c r="K2897" s="8">
        <f>IF(G2897="","",G2897+J2897)</f>
        <v/>
      </c>
    </row>
    <row r="2898">
      <c r="F2898" s="8" t="n"/>
      <c r="G2898" s="8">
        <f>IF(E2898="","",E2898*F2898)</f>
        <v/>
      </c>
      <c r="H2898" s="8">
        <f>IF(G2898="","",G2898-I2898)</f>
        <v/>
      </c>
      <c r="I2898" s="8">
        <f>IF(D2898="","",VLOOKUP(D2898, RECETTES!B:G, 6, FALSE)*E2898)</f>
        <v/>
      </c>
      <c r="J2898" s="8">
        <f>IF(G2898="","",G2898*0.20)</f>
        <v/>
      </c>
      <c r="K2898" s="8">
        <f>IF(G2898="","",G2898+J2898)</f>
        <v/>
      </c>
    </row>
    <row r="2899">
      <c r="F2899" s="8" t="n"/>
      <c r="G2899" s="8">
        <f>IF(E2899="","",E2899*F2899)</f>
        <v/>
      </c>
      <c r="H2899" s="8">
        <f>IF(G2899="","",G2899-I2899)</f>
        <v/>
      </c>
      <c r="I2899" s="8">
        <f>IF(D2899="","",VLOOKUP(D2899, RECETTES!B:G, 6, FALSE)*E2899)</f>
        <v/>
      </c>
      <c r="J2899" s="8">
        <f>IF(G2899="","",G2899*0.20)</f>
        <v/>
      </c>
      <c r="K2899" s="8">
        <f>IF(G2899="","",G2899+J2899)</f>
        <v/>
      </c>
    </row>
    <row r="2900">
      <c r="F2900" s="8" t="n"/>
      <c r="G2900" s="8">
        <f>IF(E2900="","",E2900*F2900)</f>
        <v/>
      </c>
      <c r="H2900" s="8">
        <f>IF(G2900="","",G2900-I2900)</f>
        <v/>
      </c>
      <c r="I2900" s="8">
        <f>IF(D2900="","",VLOOKUP(D2900, RECETTES!B:G, 6, FALSE)*E2900)</f>
        <v/>
      </c>
      <c r="J2900" s="8">
        <f>IF(G2900="","",G2900*0.20)</f>
        <v/>
      </c>
      <c r="K2900" s="8">
        <f>IF(G2900="","",G2900+J2900)</f>
        <v/>
      </c>
    </row>
    <row r="2901">
      <c r="F2901" s="8" t="n"/>
      <c r="G2901" s="8">
        <f>IF(E2901="","",E2901*F2901)</f>
        <v/>
      </c>
      <c r="H2901" s="8">
        <f>IF(G2901="","",G2901-I2901)</f>
        <v/>
      </c>
      <c r="I2901" s="8">
        <f>IF(D2901="","",VLOOKUP(D2901, RECETTES!B:G, 6, FALSE)*E2901)</f>
        <v/>
      </c>
      <c r="J2901" s="8">
        <f>IF(G2901="","",G2901*0.20)</f>
        <v/>
      </c>
      <c r="K2901" s="8">
        <f>IF(G2901="","",G2901+J2901)</f>
        <v/>
      </c>
    </row>
    <row r="2902">
      <c r="F2902" s="8" t="n"/>
      <c r="G2902" s="8">
        <f>IF(E2902="","",E2902*F2902)</f>
        <v/>
      </c>
      <c r="H2902" s="8">
        <f>IF(G2902="","",G2902-I2902)</f>
        <v/>
      </c>
      <c r="I2902" s="8">
        <f>IF(D2902="","",VLOOKUP(D2902, RECETTES!B:G, 6, FALSE)*E2902)</f>
        <v/>
      </c>
      <c r="J2902" s="8">
        <f>IF(G2902="","",G2902*0.20)</f>
        <v/>
      </c>
      <c r="K2902" s="8">
        <f>IF(G2902="","",G2902+J2902)</f>
        <v/>
      </c>
    </row>
    <row r="2903">
      <c r="F2903" s="8" t="n"/>
      <c r="G2903" s="8">
        <f>IF(E2903="","",E2903*F2903)</f>
        <v/>
      </c>
      <c r="H2903" s="8">
        <f>IF(G2903="","",G2903-I2903)</f>
        <v/>
      </c>
      <c r="I2903" s="8">
        <f>IF(D2903="","",VLOOKUP(D2903, RECETTES!B:G, 6, FALSE)*E2903)</f>
        <v/>
      </c>
      <c r="J2903" s="8">
        <f>IF(G2903="","",G2903*0.20)</f>
        <v/>
      </c>
      <c r="K2903" s="8">
        <f>IF(G2903="","",G2903+J2903)</f>
        <v/>
      </c>
    </row>
    <row r="2904">
      <c r="F2904" s="8" t="n"/>
      <c r="G2904" s="8">
        <f>IF(E2904="","",E2904*F2904)</f>
        <v/>
      </c>
      <c r="H2904" s="8">
        <f>IF(G2904="","",G2904-I2904)</f>
        <v/>
      </c>
      <c r="I2904" s="8">
        <f>IF(D2904="","",VLOOKUP(D2904, RECETTES!B:G, 6, FALSE)*E2904)</f>
        <v/>
      </c>
      <c r="J2904" s="8">
        <f>IF(G2904="","",G2904*0.20)</f>
        <v/>
      </c>
      <c r="K2904" s="8">
        <f>IF(G2904="","",G2904+J2904)</f>
        <v/>
      </c>
    </row>
    <row r="2905">
      <c r="F2905" s="8" t="n"/>
      <c r="G2905" s="8">
        <f>IF(E2905="","",E2905*F2905)</f>
        <v/>
      </c>
      <c r="H2905" s="8">
        <f>IF(G2905="","",G2905-I2905)</f>
        <v/>
      </c>
      <c r="I2905" s="8">
        <f>IF(D2905="","",VLOOKUP(D2905, RECETTES!B:G, 6, FALSE)*E2905)</f>
        <v/>
      </c>
      <c r="J2905" s="8">
        <f>IF(G2905="","",G2905*0.20)</f>
        <v/>
      </c>
      <c r="K2905" s="8">
        <f>IF(G2905="","",G2905+J2905)</f>
        <v/>
      </c>
    </row>
    <row r="2906">
      <c r="F2906" s="8" t="n"/>
      <c r="G2906" s="8">
        <f>IF(E2906="","",E2906*F2906)</f>
        <v/>
      </c>
      <c r="H2906" s="8">
        <f>IF(G2906="","",G2906-I2906)</f>
        <v/>
      </c>
      <c r="I2906" s="8">
        <f>IF(D2906="","",VLOOKUP(D2906, RECETTES!B:G, 6, FALSE)*E2906)</f>
        <v/>
      </c>
      <c r="J2906" s="8">
        <f>IF(G2906="","",G2906*0.20)</f>
        <v/>
      </c>
      <c r="K2906" s="8">
        <f>IF(G2906="","",G2906+J2906)</f>
        <v/>
      </c>
    </row>
    <row r="2907">
      <c r="F2907" s="8" t="n"/>
      <c r="G2907" s="8">
        <f>IF(E2907="","",E2907*F2907)</f>
        <v/>
      </c>
      <c r="H2907" s="8">
        <f>IF(G2907="","",G2907-I2907)</f>
        <v/>
      </c>
      <c r="I2907" s="8">
        <f>IF(D2907="","",VLOOKUP(D2907, RECETTES!B:G, 6, FALSE)*E2907)</f>
        <v/>
      </c>
      <c r="J2907" s="8">
        <f>IF(G2907="","",G2907*0.20)</f>
        <v/>
      </c>
      <c r="K2907" s="8">
        <f>IF(G2907="","",G2907+J2907)</f>
        <v/>
      </c>
    </row>
    <row r="2908">
      <c r="F2908" s="8" t="n"/>
      <c r="G2908" s="8">
        <f>IF(E2908="","",E2908*F2908)</f>
        <v/>
      </c>
      <c r="H2908" s="8">
        <f>IF(G2908="","",G2908-I2908)</f>
        <v/>
      </c>
      <c r="I2908" s="8">
        <f>IF(D2908="","",VLOOKUP(D2908, RECETTES!B:G, 6, FALSE)*E2908)</f>
        <v/>
      </c>
      <c r="J2908" s="8">
        <f>IF(G2908="","",G2908*0.20)</f>
        <v/>
      </c>
      <c r="K2908" s="8">
        <f>IF(G2908="","",G2908+J2908)</f>
        <v/>
      </c>
    </row>
    <row r="2909">
      <c r="F2909" s="8" t="n"/>
      <c r="G2909" s="8">
        <f>IF(E2909="","",E2909*F2909)</f>
        <v/>
      </c>
      <c r="H2909" s="8">
        <f>IF(G2909="","",G2909-I2909)</f>
        <v/>
      </c>
      <c r="I2909" s="8">
        <f>IF(D2909="","",VLOOKUP(D2909, RECETTES!B:G, 6, FALSE)*E2909)</f>
        <v/>
      </c>
      <c r="J2909" s="8">
        <f>IF(G2909="","",G2909*0.20)</f>
        <v/>
      </c>
      <c r="K2909" s="8">
        <f>IF(G2909="","",G2909+J2909)</f>
        <v/>
      </c>
    </row>
    <row r="2910">
      <c r="F2910" s="8" t="n"/>
      <c r="G2910" s="8">
        <f>IF(E2910="","",E2910*F2910)</f>
        <v/>
      </c>
      <c r="H2910" s="8">
        <f>IF(G2910="","",G2910-I2910)</f>
        <v/>
      </c>
      <c r="I2910" s="8">
        <f>IF(D2910="","",VLOOKUP(D2910, RECETTES!B:G, 6, FALSE)*E2910)</f>
        <v/>
      </c>
      <c r="J2910" s="8">
        <f>IF(G2910="","",G2910*0.20)</f>
        <v/>
      </c>
      <c r="K2910" s="8">
        <f>IF(G2910="","",G2910+J2910)</f>
        <v/>
      </c>
    </row>
    <row r="2911">
      <c r="F2911" s="8" t="n"/>
      <c r="G2911" s="8">
        <f>IF(E2911="","",E2911*F2911)</f>
        <v/>
      </c>
      <c r="H2911" s="8">
        <f>IF(G2911="","",G2911-I2911)</f>
        <v/>
      </c>
      <c r="I2911" s="8">
        <f>IF(D2911="","",VLOOKUP(D2911, RECETTES!B:G, 6, FALSE)*E2911)</f>
        <v/>
      </c>
      <c r="J2911" s="8">
        <f>IF(G2911="","",G2911*0.20)</f>
        <v/>
      </c>
      <c r="K2911" s="8">
        <f>IF(G2911="","",G2911+J2911)</f>
        <v/>
      </c>
    </row>
    <row r="2912">
      <c r="F2912" s="8" t="n"/>
      <c r="G2912" s="8">
        <f>IF(E2912="","",E2912*F2912)</f>
        <v/>
      </c>
      <c r="H2912" s="8">
        <f>IF(G2912="","",G2912-I2912)</f>
        <v/>
      </c>
      <c r="I2912" s="8">
        <f>IF(D2912="","",VLOOKUP(D2912, RECETTES!B:G, 6, FALSE)*E2912)</f>
        <v/>
      </c>
      <c r="J2912" s="8">
        <f>IF(G2912="","",G2912*0.20)</f>
        <v/>
      </c>
      <c r="K2912" s="8">
        <f>IF(G2912="","",G2912+J2912)</f>
        <v/>
      </c>
    </row>
    <row r="2913">
      <c r="F2913" s="8" t="n"/>
      <c r="G2913" s="8">
        <f>IF(E2913="","",E2913*F2913)</f>
        <v/>
      </c>
      <c r="H2913" s="8">
        <f>IF(G2913="","",G2913-I2913)</f>
        <v/>
      </c>
      <c r="I2913" s="8">
        <f>IF(D2913="","",VLOOKUP(D2913, RECETTES!B:G, 6, FALSE)*E2913)</f>
        <v/>
      </c>
      <c r="J2913" s="8">
        <f>IF(G2913="","",G2913*0.20)</f>
        <v/>
      </c>
      <c r="K2913" s="8">
        <f>IF(G2913="","",G2913+J2913)</f>
        <v/>
      </c>
    </row>
    <row r="2914">
      <c r="F2914" s="8" t="n"/>
      <c r="G2914" s="8">
        <f>IF(E2914="","",E2914*F2914)</f>
        <v/>
      </c>
      <c r="H2914" s="8">
        <f>IF(G2914="","",G2914-I2914)</f>
        <v/>
      </c>
      <c r="I2914" s="8">
        <f>IF(D2914="","",VLOOKUP(D2914, RECETTES!B:G, 6, FALSE)*E2914)</f>
        <v/>
      </c>
      <c r="J2914" s="8">
        <f>IF(G2914="","",G2914*0.20)</f>
        <v/>
      </c>
      <c r="K2914" s="8">
        <f>IF(G2914="","",G2914+J2914)</f>
        <v/>
      </c>
    </row>
    <row r="2915">
      <c r="F2915" s="8" t="n"/>
      <c r="G2915" s="8">
        <f>IF(E2915="","",E2915*F2915)</f>
        <v/>
      </c>
      <c r="H2915" s="8">
        <f>IF(G2915="","",G2915-I2915)</f>
        <v/>
      </c>
      <c r="I2915" s="8">
        <f>IF(D2915="","",VLOOKUP(D2915, RECETTES!B:G, 6, FALSE)*E2915)</f>
        <v/>
      </c>
      <c r="J2915" s="8">
        <f>IF(G2915="","",G2915*0.20)</f>
        <v/>
      </c>
      <c r="K2915" s="8">
        <f>IF(G2915="","",G2915+J2915)</f>
        <v/>
      </c>
    </row>
    <row r="2916">
      <c r="F2916" s="8" t="n"/>
      <c r="G2916" s="8">
        <f>IF(E2916="","",E2916*F2916)</f>
        <v/>
      </c>
      <c r="H2916" s="8">
        <f>IF(G2916="","",G2916-I2916)</f>
        <v/>
      </c>
      <c r="I2916" s="8">
        <f>IF(D2916="","",VLOOKUP(D2916, RECETTES!B:G, 6, FALSE)*E2916)</f>
        <v/>
      </c>
      <c r="J2916" s="8">
        <f>IF(G2916="","",G2916*0.20)</f>
        <v/>
      </c>
      <c r="K2916" s="8">
        <f>IF(G2916="","",G2916+J2916)</f>
        <v/>
      </c>
    </row>
    <row r="2917">
      <c r="F2917" s="8" t="n"/>
      <c r="G2917" s="8">
        <f>IF(E2917="","",E2917*F2917)</f>
        <v/>
      </c>
      <c r="H2917" s="8">
        <f>IF(G2917="","",G2917-I2917)</f>
        <v/>
      </c>
      <c r="I2917" s="8">
        <f>IF(D2917="","",VLOOKUP(D2917, RECETTES!B:G, 6, FALSE)*E2917)</f>
        <v/>
      </c>
      <c r="J2917" s="8">
        <f>IF(G2917="","",G2917*0.20)</f>
        <v/>
      </c>
      <c r="K2917" s="8">
        <f>IF(G2917="","",G2917+J2917)</f>
        <v/>
      </c>
    </row>
    <row r="2918">
      <c r="F2918" s="8" t="n"/>
      <c r="G2918" s="8">
        <f>IF(E2918="","",E2918*F2918)</f>
        <v/>
      </c>
      <c r="H2918" s="8">
        <f>IF(G2918="","",G2918-I2918)</f>
        <v/>
      </c>
      <c r="I2918" s="8">
        <f>IF(D2918="","",VLOOKUP(D2918, RECETTES!B:G, 6, FALSE)*E2918)</f>
        <v/>
      </c>
      <c r="J2918" s="8">
        <f>IF(G2918="","",G2918*0.20)</f>
        <v/>
      </c>
      <c r="K2918" s="8">
        <f>IF(G2918="","",G2918+J2918)</f>
        <v/>
      </c>
    </row>
    <row r="2919">
      <c r="F2919" s="8" t="n"/>
      <c r="G2919" s="8">
        <f>IF(E2919="","",E2919*F2919)</f>
        <v/>
      </c>
      <c r="H2919" s="8">
        <f>IF(G2919="","",G2919-I2919)</f>
        <v/>
      </c>
      <c r="I2919" s="8">
        <f>IF(D2919="","",VLOOKUP(D2919, RECETTES!B:G, 6, FALSE)*E2919)</f>
        <v/>
      </c>
      <c r="J2919" s="8">
        <f>IF(G2919="","",G2919*0.20)</f>
        <v/>
      </c>
      <c r="K2919" s="8">
        <f>IF(G2919="","",G2919+J2919)</f>
        <v/>
      </c>
    </row>
    <row r="2920">
      <c r="F2920" s="8" t="n"/>
      <c r="G2920" s="8">
        <f>IF(E2920="","",E2920*F2920)</f>
        <v/>
      </c>
      <c r="H2920" s="8">
        <f>IF(G2920="","",G2920-I2920)</f>
        <v/>
      </c>
      <c r="I2920" s="8">
        <f>IF(D2920="","",VLOOKUP(D2920, RECETTES!B:G, 6, FALSE)*E2920)</f>
        <v/>
      </c>
      <c r="J2920" s="8">
        <f>IF(G2920="","",G2920*0.20)</f>
        <v/>
      </c>
      <c r="K2920" s="8">
        <f>IF(G2920="","",G2920+J2920)</f>
        <v/>
      </c>
    </row>
    <row r="2921">
      <c r="F2921" s="8" t="n"/>
      <c r="G2921" s="8">
        <f>IF(E2921="","",E2921*F2921)</f>
        <v/>
      </c>
      <c r="H2921" s="8">
        <f>IF(G2921="","",G2921-I2921)</f>
        <v/>
      </c>
      <c r="I2921" s="8">
        <f>IF(D2921="","",VLOOKUP(D2921, RECETTES!B:G, 6, FALSE)*E2921)</f>
        <v/>
      </c>
      <c r="J2921" s="8">
        <f>IF(G2921="","",G2921*0.20)</f>
        <v/>
      </c>
      <c r="K2921" s="8">
        <f>IF(G2921="","",G2921+J2921)</f>
        <v/>
      </c>
    </row>
    <row r="2922">
      <c r="F2922" s="8" t="n"/>
      <c r="G2922" s="8">
        <f>IF(E2922="","",E2922*F2922)</f>
        <v/>
      </c>
      <c r="H2922" s="8">
        <f>IF(G2922="","",G2922-I2922)</f>
        <v/>
      </c>
      <c r="I2922" s="8">
        <f>IF(D2922="","",VLOOKUP(D2922, RECETTES!B:G, 6, FALSE)*E2922)</f>
        <v/>
      </c>
      <c r="J2922" s="8">
        <f>IF(G2922="","",G2922*0.20)</f>
        <v/>
      </c>
      <c r="K2922" s="8">
        <f>IF(G2922="","",G2922+J2922)</f>
        <v/>
      </c>
    </row>
    <row r="2923">
      <c r="F2923" s="8" t="n"/>
      <c r="G2923" s="8">
        <f>IF(E2923="","",E2923*F2923)</f>
        <v/>
      </c>
      <c r="H2923" s="8">
        <f>IF(G2923="","",G2923-I2923)</f>
        <v/>
      </c>
      <c r="I2923" s="8">
        <f>IF(D2923="","",VLOOKUP(D2923, RECETTES!B:G, 6, FALSE)*E2923)</f>
        <v/>
      </c>
      <c r="J2923" s="8">
        <f>IF(G2923="","",G2923*0.20)</f>
        <v/>
      </c>
      <c r="K2923" s="8">
        <f>IF(G2923="","",G2923+J2923)</f>
        <v/>
      </c>
    </row>
    <row r="2924">
      <c r="F2924" s="8" t="n"/>
      <c r="G2924" s="8">
        <f>IF(E2924="","",E2924*F2924)</f>
        <v/>
      </c>
      <c r="H2924" s="8">
        <f>IF(G2924="","",G2924-I2924)</f>
        <v/>
      </c>
      <c r="I2924" s="8">
        <f>IF(D2924="","",VLOOKUP(D2924, RECETTES!B:G, 6, FALSE)*E2924)</f>
        <v/>
      </c>
      <c r="J2924" s="8">
        <f>IF(G2924="","",G2924*0.20)</f>
        <v/>
      </c>
      <c r="K2924" s="8">
        <f>IF(G2924="","",G2924+J2924)</f>
        <v/>
      </c>
    </row>
    <row r="2925">
      <c r="F2925" s="8" t="n"/>
      <c r="G2925" s="8">
        <f>IF(E2925="","",E2925*F2925)</f>
        <v/>
      </c>
      <c r="H2925" s="8">
        <f>IF(G2925="","",G2925-I2925)</f>
        <v/>
      </c>
      <c r="I2925" s="8">
        <f>IF(D2925="","",VLOOKUP(D2925, RECETTES!B:G, 6, FALSE)*E2925)</f>
        <v/>
      </c>
      <c r="J2925" s="8">
        <f>IF(G2925="","",G2925*0.20)</f>
        <v/>
      </c>
      <c r="K2925" s="8">
        <f>IF(G2925="","",G2925+J2925)</f>
        <v/>
      </c>
    </row>
    <row r="2926">
      <c r="F2926" s="8" t="n"/>
      <c r="G2926" s="8">
        <f>IF(E2926="","",E2926*F2926)</f>
        <v/>
      </c>
      <c r="H2926" s="8">
        <f>IF(G2926="","",G2926-I2926)</f>
        <v/>
      </c>
      <c r="I2926" s="8">
        <f>IF(D2926="","",VLOOKUP(D2926, RECETTES!B:G, 6, FALSE)*E2926)</f>
        <v/>
      </c>
      <c r="J2926" s="8">
        <f>IF(G2926="","",G2926*0.20)</f>
        <v/>
      </c>
      <c r="K2926" s="8">
        <f>IF(G2926="","",G2926+J2926)</f>
        <v/>
      </c>
    </row>
    <row r="2927">
      <c r="F2927" s="8" t="n"/>
      <c r="G2927" s="8">
        <f>IF(E2927="","",E2927*F2927)</f>
        <v/>
      </c>
      <c r="H2927" s="8">
        <f>IF(G2927="","",G2927-I2927)</f>
        <v/>
      </c>
      <c r="I2927" s="8">
        <f>IF(D2927="","",VLOOKUP(D2927, RECETTES!B:G, 6, FALSE)*E2927)</f>
        <v/>
      </c>
      <c r="J2927" s="8">
        <f>IF(G2927="","",G2927*0.20)</f>
        <v/>
      </c>
      <c r="K2927" s="8">
        <f>IF(G2927="","",G2927+J2927)</f>
        <v/>
      </c>
    </row>
    <row r="2928">
      <c r="F2928" s="8" t="n"/>
      <c r="G2928" s="8">
        <f>IF(E2928="","",E2928*F2928)</f>
        <v/>
      </c>
      <c r="H2928" s="8">
        <f>IF(G2928="","",G2928-I2928)</f>
        <v/>
      </c>
      <c r="I2928" s="8">
        <f>IF(D2928="","",VLOOKUP(D2928, RECETTES!B:G, 6, FALSE)*E2928)</f>
        <v/>
      </c>
      <c r="J2928" s="8">
        <f>IF(G2928="","",G2928*0.20)</f>
        <v/>
      </c>
      <c r="K2928" s="8">
        <f>IF(G2928="","",G2928+J2928)</f>
        <v/>
      </c>
    </row>
    <row r="2929">
      <c r="F2929" s="8" t="n"/>
      <c r="G2929" s="8">
        <f>IF(E2929="","",E2929*F2929)</f>
        <v/>
      </c>
      <c r="H2929" s="8">
        <f>IF(G2929="","",G2929-I2929)</f>
        <v/>
      </c>
      <c r="I2929" s="8">
        <f>IF(D2929="","",VLOOKUP(D2929, RECETTES!B:G, 6, FALSE)*E2929)</f>
        <v/>
      </c>
      <c r="J2929" s="8">
        <f>IF(G2929="","",G2929*0.20)</f>
        <v/>
      </c>
      <c r="K2929" s="8">
        <f>IF(G2929="","",G2929+J2929)</f>
        <v/>
      </c>
    </row>
    <row r="2930">
      <c r="F2930" s="8" t="n"/>
      <c r="G2930" s="8">
        <f>IF(E2930="","",E2930*F2930)</f>
        <v/>
      </c>
      <c r="H2930" s="8">
        <f>IF(G2930="","",G2930-I2930)</f>
        <v/>
      </c>
      <c r="I2930" s="8">
        <f>IF(D2930="","",VLOOKUP(D2930, RECETTES!B:G, 6, FALSE)*E2930)</f>
        <v/>
      </c>
      <c r="J2930" s="8">
        <f>IF(G2930="","",G2930*0.20)</f>
        <v/>
      </c>
      <c r="K2930" s="8">
        <f>IF(G2930="","",G2930+J2930)</f>
        <v/>
      </c>
    </row>
    <row r="2931">
      <c r="F2931" s="8" t="n"/>
      <c r="G2931" s="8">
        <f>IF(E2931="","",E2931*F2931)</f>
        <v/>
      </c>
      <c r="H2931" s="8">
        <f>IF(G2931="","",G2931-I2931)</f>
        <v/>
      </c>
      <c r="I2931" s="8">
        <f>IF(D2931="","",VLOOKUP(D2931, RECETTES!B:G, 6, FALSE)*E2931)</f>
        <v/>
      </c>
      <c r="J2931" s="8">
        <f>IF(G2931="","",G2931*0.20)</f>
        <v/>
      </c>
      <c r="K2931" s="8">
        <f>IF(G2931="","",G2931+J2931)</f>
        <v/>
      </c>
    </row>
    <row r="2932">
      <c r="F2932" s="8" t="n"/>
      <c r="G2932" s="8">
        <f>IF(E2932="","",E2932*F2932)</f>
        <v/>
      </c>
      <c r="H2932" s="8">
        <f>IF(G2932="","",G2932-I2932)</f>
        <v/>
      </c>
      <c r="I2932" s="8">
        <f>IF(D2932="","",VLOOKUP(D2932, RECETTES!B:G, 6, FALSE)*E2932)</f>
        <v/>
      </c>
      <c r="J2932" s="8">
        <f>IF(G2932="","",G2932*0.20)</f>
        <v/>
      </c>
      <c r="K2932" s="8">
        <f>IF(G2932="","",G2932+J2932)</f>
        <v/>
      </c>
    </row>
    <row r="2933">
      <c r="F2933" s="8" t="n"/>
      <c r="G2933" s="8">
        <f>IF(E2933="","",E2933*F2933)</f>
        <v/>
      </c>
      <c r="H2933" s="8">
        <f>IF(G2933="","",G2933-I2933)</f>
        <v/>
      </c>
      <c r="I2933" s="8">
        <f>IF(D2933="","",VLOOKUP(D2933, RECETTES!B:G, 6, FALSE)*E2933)</f>
        <v/>
      </c>
      <c r="J2933" s="8">
        <f>IF(G2933="","",G2933*0.20)</f>
        <v/>
      </c>
      <c r="K2933" s="8">
        <f>IF(G2933="","",G2933+J2933)</f>
        <v/>
      </c>
    </row>
    <row r="2934">
      <c r="F2934" s="8" t="n"/>
      <c r="G2934" s="8">
        <f>IF(E2934="","",E2934*F2934)</f>
        <v/>
      </c>
      <c r="H2934" s="8">
        <f>IF(G2934="","",G2934-I2934)</f>
        <v/>
      </c>
      <c r="I2934" s="8">
        <f>IF(D2934="","",VLOOKUP(D2934, RECETTES!B:G, 6, FALSE)*E2934)</f>
        <v/>
      </c>
      <c r="J2934" s="8">
        <f>IF(G2934="","",G2934*0.20)</f>
        <v/>
      </c>
      <c r="K2934" s="8">
        <f>IF(G2934="","",G2934+J2934)</f>
        <v/>
      </c>
    </row>
    <row r="2935">
      <c r="F2935" s="8" t="n"/>
      <c r="G2935" s="8">
        <f>IF(E2935="","",E2935*F2935)</f>
        <v/>
      </c>
      <c r="H2935" s="8">
        <f>IF(G2935="","",G2935-I2935)</f>
        <v/>
      </c>
      <c r="I2935" s="8">
        <f>IF(D2935="","",VLOOKUP(D2935, RECETTES!B:G, 6, FALSE)*E2935)</f>
        <v/>
      </c>
      <c r="J2935" s="8">
        <f>IF(G2935="","",G2935*0.20)</f>
        <v/>
      </c>
      <c r="K2935" s="8">
        <f>IF(G2935="","",G2935+J2935)</f>
        <v/>
      </c>
    </row>
    <row r="2936">
      <c r="F2936" s="8" t="n"/>
      <c r="G2936" s="8">
        <f>IF(E2936="","",E2936*F2936)</f>
        <v/>
      </c>
      <c r="H2936" s="8">
        <f>IF(G2936="","",G2936-I2936)</f>
        <v/>
      </c>
      <c r="I2936" s="8">
        <f>IF(D2936="","",VLOOKUP(D2936, RECETTES!B:G, 6, FALSE)*E2936)</f>
        <v/>
      </c>
      <c r="J2936" s="8">
        <f>IF(G2936="","",G2936*0.20)</f>
        <v/>
      </c>
      <c r="K2936" s="8">
        <f>IF(G2936="","",G2936+J2936)</f>
        <v/>
      </c>
    </row>
    <row r="2937">
      <c r="F2937" s="8" t="n"/>
      <c r="G2937" s="8">
        <f>IF(E2937="","",E2937*F2937)</f>
        <v/>
      </c>
      <c r="H2937" s="8">
        <f>IF(G2937="","",G2937-I2937)</f>
        <v/>
      </c>
      <c r="I2937" s="8">
        <f>IF(D2937="","",VLOOKUP(D2937, RECETTES!B:G, 6, FALSE)*E2937)</f>
        <v/>
      </c>
      <c r="J2937" s="8">
        <f>IF(G2937="","",G2937*0.20)</f>
        <v/>
      </c>
      <c r="K2937" s="8">
        <f>IF(G2937="","",G2937+J2937)</f>
        <v/>
      </c>
    </row>
    <row r="2938">
      <c r="F2938" s="8" t="n"/>
      <c r="G2938" s="8">
        <f>IF(E2938="","",E2938*F2938)</f>
        <v/>
      </c>
      <c r="H2938" s="8">
        <f>IF(G2938="","",G2938-I2938)</f>
        <v/>
      </c>
      <c r="I2938" s="8">
        <f>IF(D2938="","",VLOOKUP(D2938, RECETTES!B:G, 6, FALSE)*E2938)</f>
        <v/>
      </c>
      <c r="J2938" s="8">
        <f>IF(G2938="","",G2938*0.20)</f>
        <v/>
      </c>
      <c r="K2938" s="8">
        <f>IF(G2938="","",G2938+J2938)</f>
        <v/>
      </c>
    </row>
    <row r="2939">
      <c r="F2939" s="8" t="n"/>
      <c r="G2939" s="8">
        <f>IF(E2939="","",E2939*F2939)</f>
        <v/>
      </c>
      <c r="H2939" s="8">
        <f>IF(G2939="","",G2939-I2939)</f>
        <v/>
      </c>
      <c r="I2939" s="8">
        <f>IF(D2939="","",VLOOKUP(D2939, RECETTES!B:G, 6, FALSE)*E2939)</f>
        <v/>
      </c>
      <c r="J2939" s="8">
        <f>IF(G2939="","",G2939*0.20)</f>
        <v/>
      </c>
      <c r="K2939" s="8">
        <f>IF(G2939="","",G2939+J2939)</f>
        <v/>
      </c>
    </row>
    <row r="2940">
      <c r="F2940" s="8" t="n"/>
      <c r="G2940" s="8">
        <f>IF(E2940="","",E2940*F2940)</f>
        <v/>
      </c>
      <c r="H2940" s="8">
        <f>IF(G2940="","",G2940-I2940)</f>
        <v/>
      </c>
      <c r="I2940" s="8">
        <f>IF(D2940="","",VLOOKUP(D2940, RECETTES!B:G, 6, FALSE)*E2940)</f>
        <v/>
      </c>
      <c r="J2940" s="8">
        <f>IF(G2940="","",G2940*0.20)</f>
        <v/>
      </c>
      <c r="K2940" s="8">
        <f>IF(G2940="","",G2940+J2940)</f>
        <v/>
      </c>
    </row>
    <row r="2941">
      <c r="F2941" s="8" t="n"/>
      <c r="G2941" s="8">
        <f>IF(E2941="","",E2941*F2941)</f>
        <v/>
      </c>
      <c r="H2941" s="8">
        <f>IF(G2941="","",G2941-I2941)</f>
        <v/>
      </c>
      <c r="I2941" s="8">
        <f>IF(D2941="","",VLOOKUP(D2941, RECETTES!B:G, 6, FALSE)*E2941)</f>
        <v/>
      </c>
      <c r="J2941" s="8">
        <f>IF(G2941="","",G2941*0.20)</f>
        <v/>
      </c>
      <c r="K2941" s="8">
        <f>IF(G2941="","",G2941+J2941)</f>
        <v/>
      </c>
    </row>
    <row r="2942">
      <c r="F2942" s="8" t="n"/>
      <c r="G2942" s="8">
        <f>IF(E2942="","",E2942*F2942)</f>
        <v/>
      </c>
      <c r="H2942" s="8">
        <f>IF(G2942="","",G2942-I2942)</f>
        <v/>
      </c>
      <c r="I2942" s="8">
        <f>IF(D2942="","",VLOOKUP(D2942, RECETTES!B:G, 6, FALSE)*E2942)</f>
        <v/>
      </c>
      <c r="J2942" s="8">
        <f>IF(G2942="","",G2942*0.20)</f>
        <v/>
      </c>
      <c r="K2942" s="8">
        <f>IF(G2942="","",G2942+J2942)</f>
        <v/>
      </c>
    </row>
    <row r="2943">
      <c r="F2943" s="8" t="n"/>
      <c r="G2943" s="8">
        <f>IF(E2943="","",E2943*F2943)</f>
        <v/>
      </c>
      <c r="H2943" s="8">
        <f>IF(G2943="","",G2943-I2943)</f>
        <v/>
      </c>
      <c r="I2943" s="8">
        <f>IF(D2943="","",VLOOKUP(D2943, RECETTES!B:G, 6, FALSE)*E2943)</f>
        <v/>
      </c>
      <c r="J2943" s="8">
        <f>IF(G2943="","",G2943*0.20)</f>
        <v/>
      </c>
      <c r="K2943" s="8">
        <f>IF(G2943="","",G2943+J2943)</f>
        <v/>
      </c>
    </row>
    <row r="2944">
      <c r="F2944" s="8" t="n"/>
      <c r="G2944" s="8">
        <f>IF(E2944="","",E2944*F2944)</f>
        <v/>
      </c>
      <c r="H2944" s="8">
        <f>IF(G2944="","",G2944-I2944)</f>
        <v/>
      </c>
      <c r="I2944" s="8">
        <f>IF(D2944="","",VLOOKUP(D2944, RECETTES!B:G, 6, FALSE)*E2944)</f>
        <v/>
      </c>
      <c r="J2944" s="8">
        <f>IF(G2944="","",G2944*0.20)</f>
        <v/>
      </c>
      <c r="K2944" s="8">
        <f>IF(G2944="","",G2944+J2944)</f>
        <v/>
      </c>
    </row>
    <row r="2945">
      <c r="F2945" s="8" t="n"/>
      <c r="G2945" s="8">
        <f>IF(E2945="","",E2945*F2945)</f>
        <v/>
      </c>
      <c r="H2945" s="8">
        <f>IF(G2945="","",G2945-I2945)</f>
        <v/>
      </c>
      <c r="I2945" s="8">
        <f>IF(D2945="","",VLOOKUP(D2945, RECETTES!B:G, 6, FALSE)*E2945)</f>
        <v/>
      </c>
      <c r="J2945" s="8">
        <f>IF(G2945="","",G2945*0.20)</f>
        <v/>
      </c>
      <c r="K2945" s="8">
        <f>IF(G2945="","",G2945+J2945)</f>
        <v/>
      </c>
    </row>
    <row r="2946">
      <c r="F2946" s="8" t="n"/>
      <c r="G2946" s="8">
        <f>IF(E2946="","",E2946*F2946)</f>
        <v/>
      </c>
      <c r="H2946" s="8">
        <f>IF(G2946="","",G2946-I2946)</f>
        <v/>
      </c>
      <c r="I2946" s="8">
        <f>IF(D2946="","",VLOOKUP(D2946, RECETTES!B:G, 6, FALSE)*E2946)</f>
        <v/>
      </c>
      <c r="J2946" s="8">
        <f>IF(G2946="","",G2946*0.20)</f>
        <v/>
      </c>
      <c r="K2946" s="8">
        <f>IF(G2946="","",G2946+J2946)</f>
        <v/>
      </c>
    </row>
    <row r="2947">
      <c r="F2947" s="8" t="n"/>
      <c r="G2947" s="8">
        <f>IF(E2947="","",E2947*F2947)</f>
        <v/>
      </c>
      <c r="H2947" s="8">
        <f>IF(G2947="","",G2947-I2947)</f>
        <v/>
      </c>
      <c r="I2947" s="8">
        <f>IF(D2947="","",VLOOKUP(D2947, RECETTES!B:G, 6, FALSE)*E2947)</f>
        <v/>
      </c>
      <c r="J2947" s="8">
        <f>IF(G2947="","",G2947*0.20)</f>
        <v/>
      </c>
      <c r="K2947" s="8">
        <f>IF(G2947="","",G2947+J2947)</f>
        <v/>
      </c>
    </row>
    <row r="2948">
      <c r="F2948" s="8" t="n"/>
      <c r="G2948" s="8">
        <f>IF(E2948="","",E2948*F2948)</f>
        <v/>
      </c>
      <c r="H2948" s="8">
        <f>IF(G2948="","",G2948-I2948)</f>
        <v/>
      </c>
      <c r="I2948" s="8">
        <f>IF(D2948="","",VLOOKUP(D2948, RECETTES!B:G, 6, FALSE)*E2948)</f>
        <v/>
      </c>
      <c r="J2948" s="8">
        <f>IF(G2948="","",G2948*0.20)</f>
        <v/>
      </c>
      <c r="K2948" s="8">
        <f>IF(G2948="","",G2948+J2948)</f>
        <v/>
      </c>
    </row>
    <row r="2949">
      <c r="F2949" s="8" t="n"/>
      <c r="G2949" s="8">
        <f>IF(E2949="","",E2949*F2949)</f>
        <v/>
      </c>
      <c r="H2949" s="8">
        <f>IF(G2949="","",G2949-I2949)</f>
        <v/>
      </c>
      <c r="I2949" s="8">
        <f>IF(D2949="","",VLOOKUP(D2949, RECETTES!B:G, 6, FALSE)*E2949)</f>
        <v/>
      </c>
      <c r="J2949" s="8">
        <f>IF(G2949="","",G2949*0.20)</f>
        <v/>
      </c>
      <c r="K2949" s="8">
        <f>IF(G2949="","",G2949+J2949)</f>
        <v/>
      </c>
    </row>
    <row r="2950">
      <c r="F2950" s="8" t="n"/>
      <c r="G2950" s="8">
        <f>IF(E2950="","",E2950*F2950)</f>
        <v/>
      </c>
      <c r="H2950" s="8">
        <f>IF(G2950="","",G2950-I2950)</f>
        <v/>
      </c>
      <c r="I2950" s="8">
        <f>IF(D2950="","",VLOOKUP(D2950, RECETTES!B:G, 6, FALSE)*E2950)</f>
        <v/>
      </c>
      <c r="J2950" s="8">
        <f>IF(G2950="","",G2950*0.20)</f>
        <v/>
      </c>
      <c r="K2950" s="8">
        <f>IF(G2950="","",G2950+J2950)</f>
        <v/>
      </c>
    </row>
    <row r="2951">
      <c r="F2951" s="8" t="n"/>
      <c r="G2951" s="8">
        <f>IF(E2951="","",E2951*F2951)</f>
        <v/>
      </c>
      <c r="H2951" s="8">
        <f>IF(G2951="","",G2951-I2951)</f>
        <v/>
      </c>
      <c r="I2951" s="8">
        <f>IF(D2951="","",VLOOKUP(D2951, RECETTES!B:G, 6, FALSE)*E2951)</f>
        <v/>
      </c>
      <c r="J2951" s="8">
        <f>IF(G2951="","",G2951*0.20)</f>
        <v/>
      </c>
      <c r="K2951" s="8">
        <f>IF(G2951="","",G2951+J2951)</f>
        <v/>
      </c>
    </row>
    <row r="2952">
      <c r="F2952" s="8" t="n"/>
      <c r="G2952" s="8">
        <f>IF(E2952="","",E2952*F2952)</f>
        <v/>
      </c>
      <c r="H2952" s="8">
        <f>IF(G2952="","",G2952-I2952)</f>
        <v/>
      </c>
      <c r="I2952" s="8">
        <f>IF(D2952="","",VLOOKUP(D2952, RECETTES!B:G, 6, FALSE)*E2952)</f>
        <v/>
      </c>
      <c r="J2952" s="8">
        <f>IF(G2952="","",G2952*0.20)</f>
        <v/>
      </c>
      <c r="K2952" s="8">
        <f>IF(G2952="","",G2952+J2952)</f>
        <v/>
      </c>
    </row>
    <row r="2953">
      <c r="F2953" s="8" t="n"/>
      <c r="G2953" s="8">
        <f>IF(E2953="","",E2953*F2953)</f>
        <v/>
      </c>
      <c r="H2953" s="8">
        <f>IF(G2953="","",G2953-I2953)</f>
        <v/>
      </c>
      <c r="I2953" s="8">
        <f>IF(D2953="","",VLOOKUP(D2953, RECETTES!B:G, 6, FALSE)*E2953)</f>
        <v/>
      </c>
      <c r="J2953" s="8">
        <f>IF(G2953="","",G2953*0.20)</f>
        <v/>
      </c>
      <c r="K2953" s="8">
        <f>IF(G2953="","",G2953+J2953)</f>
        <v/>
      </c>
    </row>
    <row r="2954">
      <c r="F2954" s="8" t="n"/>
      <c r="G2954" s="8">
        <f>IF(E2954="","",E2954*F2954)</f>
        <v/>
      </c>
      <c r="H2954" s="8">
        <f>IF(G2954="","",G2954-I2954)</f>
        <v/>
      </c>
      <c r="I2954" s="8">
        <f>IF(D2954="","",VLOOKUP(D2954, RECETTES!B:G, 6, FALSE)*E2954)</f>
        <v/>
      </c>
      <c r="J2954" s="8">
        <f>IF(G2954="","",G2954*0.20)</f>
        <v/>
      </c>
      <c r="K2954" s="8">
        <f>IF(G2954="","",G2954+J2954)</f>
        <v/>
      </c>
    </row>
    <row r="2955">
      <c r="F2955" s="8" t="n"/>
      <c r="G2955" s="8">
        <f>IF(E2955="","",E2955*F2955)</f>
        <v/>
      </c>
      <c r="H2955" s="8">
        <f>IF(G2955="","",G2955-I2955)</f>
        <v/>
      </c>
      <c r="I2955" s="8">
        <f>IF(D2955="","",VLOOKUP(D2955, RECETTES!B:G, 6, FALSE)*E2955)</f>
        <v/>
      </c>
      <c r="J2955" s="8">
        <f>IF(G2955="","",G2955*0.20)</f>
        <v/>
      </c>
      <c r="K2955" s="8">
        <f>IF(G2955="","",G2955+J2955)</f>
        <v/>
      </c>
    </row>
    <row r="2956">
      <c r="F2956" s="8" t="n"/>
      <c r="G2956" s="8">
        <f>IF(E2956="","",E2956*F2956)</f>
        <v/>
      </c>
      <c r="H2956" s="8">
        <f>IF(G2956="","",G2956-I2956)</f>
        <v/>
      </c>
      <c r="I2956" s="8">
        <f>IF(D2956="","",VLOOKUP(D2956, RECETTES!B:G, 6, FALSE)*E2956)</f>
        <v/>
      </c>
      <c r="J2956" s="8">
        <f>IF(G2956="","",G2956*0.20)</f>
        <v/>
      </c>
      <c r="K2956" s="8">
        <f>IF(G2956="","",G2956+J2956)</f>
        <v/>
      </c>
    </row>
    <row r="2957">
      <c r="F2957" s="8" t="n"/>
      <c r="G2957" s="8">
        <f>IF(E2957="","",E2957*F2957)</f>
        <v/>
      </c>
      <c r="H2957" s="8">
        <f>IF(G2957="","",G2957-I2957)</f>
        <v/>
      </c>
      <c r="I2957" s="8">
        <f>IF(D2957="","",VLOOKUP(D2957, RECETTES!B:G, 6, FALSE)*E2957)</f>
        <v/>
      </c>
      <c r="J2957" s="8">
        <f>IF(G2957="","",G2957*0.20)</f>
        <v/>
      </c>
      <c r="K2957" s="8">
        <f>IF(G2957="","",G2957+J2957)</f>
        <v/>
      </c>
    </row>
    <row r="2958">
      <c r="F2958" s="8" t="n"/>
      <c r="G2958" s="8">
        <f>IF(E2958="","",E2958*F2958)</f>
        <v/>
      </c>
      <c r="H2958" s="8">
        <f>IF(G2958="","",G2958-I2958)</f>
        <v/>
      </c>
      <c r="I2958" s="8">
        <f>IF(D2958="","",VLOOKUP(D2958, RECETTES!B:G, 6, FALSE)*E2958)</f>
        <v/>
      </c>
      <c r="J2958" s="8">
        <f>IF(G2958="","",G2958*0.20)</f>
        <v/>
      </c>
      <c r="K2958" s="8">
        <f>IF(G2958="","",G2958+J2958)</f>
        <v/>
      </c>
    </row>
    <row r="2959">
      <c r="F2959" s="8" t="n"/>
      <c r="G2959" s="8">
        <f>IF(E2959="","",E2959*F2959)</f>
        <v/>
      </c>
      <c r="H2959" s="8">
        <f>IF(G2959="","",G2959-I2959)</f>
        <v/>
      </c>
      <c r="I2959" s="8">
        <f>IF(D2959="","",VLOOKUP(D2959, RECETTES!B:G, 6, FALSE)*E2959)</f>
        <v/>
      </c>
      <c r="J2959" s="8">
        <f>IF(G2959="","",G2959*0.20)</f>
        <v/>
      </c>
      <c r="K2959" s="8">
        <f>IF(G2959="","",G2959+J2959)</f>
        <v/>
      </c>
    </row>
    <row r="2960">
      <c r="F2960" s="8" t="n"/>
      <c r="G2960" s="8">
        <f>IF(E2960="","",E2960*F2960)</f>
        <v/>
      </c>
      <c r="H2960" s="8">
        <f>IF(G2960="","",G2960-I2960)</f>
        <v/>
      </c>
      <c r="I2960" s="8">
        <f>IF(D2960="","",VLOOKUP(D2960, RECETTES!B:G, 6, FALSE)*E2960)</f>
        <v/>
      </c>
      <c r="J2960" s="8">
        <f>IF(G2960="","",G2960*0.20)</f>
        <v/>
      </c>
      <c r="K2960" s="8">
        <f>IF(G2960="","",G2960+J2960)</f>
        <v/>
      </c>
    </row>
    <row r="2961">
      <c r="F2961" s="8" t="n"/>
      <c r="G2961" s="8">
        <f>IF(E2961="","",E2961*F2961)</f>
        <v/>
      </c>
      <c r="H2961" s="8">
        <f>IF(G2961="","",G2961-I2961)</f>
        <v/>
      </c>
      <c r="I2961" s="8">
        <f>IF(D2961="","",VLOOKUP(D2961, RECETTES!B:G, 6, FALSE)*E2961)</f>
        <v/>
      </c>
      <c r="J2961" s="8">
        <f>IF(G2961="","",G2961*0.20)</f>
        <v/>
      </c>
      <c r="K2961" s="8">
        <f>IF(G2961="","",G2961+J2961)</f>
        <v/>
      </c>
    </row>
    <row r="2962">
      <c r="F2962" s="8" t="n"/>
      <c r="G2962" s="8">
        <f>IF(E2962="","",E2962*F2962)</f>
        <v/>
      </c>
      <c r="H2962" s="8">
        <f>IF(G2962="","",G2962-I2962)</f>
        <v/>
      </c>
      <c r="I2962" s="8">
        <f>IF(D2962="","",VLOOKUP(D2962, RECETTES!B:G, 6, FALSE)*E2962)</f>
        <v/>
      </c>
      <c r="J2962" s="8">
        <f>IF(G2962="","",G2962*0.20)</f>
        <v/>
      </c>
      <c r="K2962" s="8">
        <f>IF(G2962="","",G2962+J2962)</f>
        <v/>
      </c>
    </row>
    <row r="2963">
      <c r="F2963" s="8" t="n"/>
      <c r="G2963" s="8">
        <f>IF(E2963="","",E2963*F2963)</f>
        <v/>
      </c>
      <c r="H2963" s="8">
        <f>IF(G2963="","",G2963-I2963)</f>
        <v/>
      </c>
      <c r="I2963" s="8">
        <f>IF(D2963="","",VLOOKUP(D2963, RECETTES!B:G, 6, FALSE)*E2963)</f>
        <v/>
      </c>
      <c r="J2963" s="8">
        <f>IF(G2963="","",G2963*0.20)</f>
        <v/>
      </c>
      <c r="K2963" s="8">
        <f>IF(G2963="","",G2963+J2963)</f>
        <v/>
      </c>
    </row>
    <row r="2964">
      <c r="F2964" s="8" t="n"/>
      <c r="G2964" s="8">
        <f>IF(E2964="","",E2964*F2964)</f>
        <v/>
      </c>
      <c r="H2964" s="8">
        <f>IF(G2964="","",G2964-I2964)</f>
        <v/>
      </c>
      <c r="I2964" s="8">
        <f>IF(D2964="","",VLOOKUP(D2964, RECETTES!B:G, 6, FALSE)*E2964)</f>
        <v/>
      </c>
      <c r="J2964" s="8">
        <f>IF(G2964="","",G2964*0.20)</f>
        <v/>
      </c>
      <c r="K2964" s="8">
        <f>IF(G2964="","",G2964+J2964)</f>
        <v/>
      </c>
    </row>
    <row r="2965">
      <c r="F2965" s="8" t="n"/>
      <c r="G2965" s="8">
        <f>IF(E2965="","",E2965*F2965)</f>
        <v/>
      </c>
      <c r="H2965" s="8">
        <f>IF(G2965="","",G2965-I2965)</f>
        <v/>
      </c>
      <c r="I2965" s="8">
        <f>IF(D2965="","",VLOOKUP(D2965, RECETTES!B:G, 6, FALSE)*E2965)</f>
        <v/>
      </c>
      <c r="J2965" s="8">
        <f>IF(G2965="","",G2965*0.20)</f>
        <v/>
      </c>
      <c r="K2965" s="8">
        <f>IF(G2965="","",G2965+J2965)</f>
        <v/>
      </c>
    </row>
    <row r="2966">
      <c r="F2966" s="8" t="n"/>
      <c r="G2966" s="8">
        <f>IF(E2966="","",E2966*F2966)</f>
        <v/>
      </c>
      <c r="H2966" s="8">
        <f>IF(G2966="","",G2966-I2966)</f>
        <v/>
      </c>
      <c r="I2966" s="8">
        <f>IF(D2966="","",VLOOKUP(D2966, RECETTES!B:G, 6, FALSE)*E2966)</f>
        <v/>
      </c>
      <c r="J2966" s="8">
        <f>IF(G2966="","",G2966*0.20)</f>
        <v/>
      </c>
      <c r="K2966" s="8">
        <f>IF(G2966="","",G2966+J2966)</f>
        <v/>
      </c>
    </row>
    <row r="2967">
      <c r="F2967" s="8" t="n"/>
      <c r="G2967" s="8">
        <f>IF(E2967="","",E2967*F2967)</f>
        <v/>
      </c>
      <c r="H2967" s="8">
        <f>IF(G2967="","",G2967-I2967)</f>
        <v/>
      </c>
      <c r="I2967" s="8">
        <f>IF(D2967="","",VLOOKUP(D2967, RECETTES!B:G, 6, FALSE)*E2967)</f>
        <v/>
      </c>
      <c r="J2967" s="8">
        <f>IF(G2967="","",G2967*0.20)</f>
        <v/>
      </c>
      <c r="K2967" s="8">
        <f>IF(G2967="","",G2967+J2967)</f>
        <v/>
      </c>
    </row>
    <row r="2968">
      <c r="F2968" s="8" t="n"/>
      <c r="G2968" s="8">
        <f>IF(E2968="","",E2968*F2968)</f>
        <v/>
      </c>
      <c r="H2968" s="8">
        <f>IF(G2968="","",G2968-I2968)</f>
        <v/>
      </c>
      <c r="I2968" s="8">
        <f>IF(D2968="","",VLOOKUP(D2968, RECETTES!B:G, 6, FALSE)*E2968)</f>
        <v/>
      </c>
      <c r="J2968" s="8">
        <f>IF(G2968="","",G2968*0.20)</f>
        <v/>
      </c>
      <c r="K2968" s="8">
        <f>IF(G2968="","",G2968+J2968)</f>
        <v/>
      </c>
    </row>
    <row r="2969">
      <c r="F2969" s="8" t="n"/>
      <c r="G2969" s="8">
        <f>IF(E2969="","",E2969*F2969)</f>
        <v/>
      </c>
      <c r="H2969" s="8">
        <f>IF(G2969="","",G2969-I2969)</f>
        <v/>
      </c>
      <c r="I2969" s="8">
        <f>IF(D2969="","",VLOOKUP(D2969, RECETTES!B:G, 6, FALSE)*E2969)</f>
        <v/>
      </c>
      <c r="J2969" s="8">
        <f>IF(G2969="","",G2969*0.20)</f>
        <v/>
      </c>
      <c r="K2969" s="8">
        <f>IF(G2969="","",G2969+J2969)</f>
        <v/>
      </c>
    </row>
    <row r="2970">
      <c r="F2970" s="8" t="n"/>
      <c r="G2970" s="8">
        <f>IF(E2970="","",E2970*F2970)</f>
        <v/>
      </c>
      <c r="H2970" s="8">
        <f>IF(G2970="","",G2970-I2970)</f>
        <v/>
      </c>
      <c r="I2970" s="8">
        <f>IF(D2970="","",VLOOKUP(D2970, RECETTES!B:G, 6, FALSE)*E2970)</f>
        <v/>
      </c>
      <c r="J2970" s="8">
        <f>IF(G2970="","",G2970*0.20)</f>
        <v/>
      </c>
      <c r="K2970" s="8">
        <f>IF(G2970="","",G2970+J2970)</f>
        <v/>
      </c>
    </row>
    <row r="2971">
      <c r="F2971" s="8" t="n"/>
      <c r="G2971" s="8">
        <f>IF(E2971="","",E2971*F2971)</f>
        <v/>
      </c>
      <c r="H2971" s="8">
        <f>IF(G2971="","",G2971-I2971)</f>
        <v/>
      </c>
      <c r="I2971" s="8">
        <f>IF(D2971="","",VLOOKUP(D2971, RECETTES!B:G, 6, FALSE)*E2971)</f>
        <v/>
      </c>
      <c r="J2971" s="8">
        <f>IF(G2971="","",G2971*0.20)</f>
        <v/>
      </c>
      <c r="K2971" s="8">
        <f>IF(G2971="","",G2971+J2971)</f>
        <v/>
      </c>
    </row>
    <row r="2972">
      <c r="F2972" s="8" t="n"/>
      <c r="G2972" s="8">
        <f>IF(E2972="","",E2972*F2972)</f>
        <v/>
      </c>
      <c r="H2972" s="8">
        <f>IF(G2972="","",G2972-I2972)</f>
        <v/>
      </c>
      <c r="I2972" s="8">
        <f>IF(D2972="","",VLOOKUP(D2972, RECETTES!B:G, 6, FALSE)*E2972)</f>
        <v/>
      </c>
      <c r="J2972" s="8">
        <f>IF(G2972="","",G2972*0.20)</f>
        <v/>
      </c>
      <c r="K2972" s="8">
        <f>IF(G2972="","",G2972+J2972)</f>
        <v/>
      </c>
    </row>
    <row r="2973">
      <c r="F2973" s="8" t="n"/>
      <c r="G2973" s="8">
        <f>IF(E2973="","",E2973*F2973)</f>
        <v/>
      </c>
      <c r="H2973" s="8">
        <f>IF(G2973="","",G2973-I2973)</f>
        <v/>
      </c>
      <c r="I2973" s="8">
        <f>IF(D2973="","",VLOOKUP(D2973, RECETTES!B:G, 6, FALSE)*E2973)</f>
        <v/>
      </c>
      <c r="J2973" s="8">
        <f>IF(G2973="","",G2973*0.20)</f>
        <v/>
      </c>
      <c r="K2973" s="8">
        <f>IF(G2973="","",G2973+J2973)</f>
        <v/>
      </c>
    </row>
    <row r="2974">
      <c r="F2974" s="8" t="n"/>
      <c r="G2974" s="8">
        <f>IF(E2974="","",E2974*F2974)</f>
        <v/>
      </c>
      <c r="H2974" s="8">
        <f>IF(G2974="","",G2974-I2974)</f>
        <v/>
      </c>
      <c r="I2974" s="8">
        <f>IF(D2974="","",VLOOKUP(D2974, RECETTES!B:G, 6, FALSE)*E2974)</f>
        <v/>
      </c>
      <c r="J2974" s="8">
        <f>IF(G2974="","",G2974*0.20)</f>
        <v/>
      </c>
      <c r="K2974" s="8">
        <f>IF(G2974="","",G2974+J2974)</f>
        <v/>
      </c>
    </row>
    <row r="2975">
      <c r="F2975" s="8" t="n"/>
      <c r="G2975" s="8">
        <f>IF(E2975="","",E2975*F2975)</f>
        <v/>
      </c>
      <c r="H2975" s="8">
        <f>IF(G2975="","",G2975-I2975)</f>
        <v/>
      </c>
      <c r="I2975" s="8">
        <f>IF(D2975="","",VLOOKUP(D2975, RECETTES!B:G, 6, FALSE)*E2975)</f>
        <v/>
      </c>
      <c r="J2975" s="8">
        <f>IF(G2975="","",G2975*0.20)</f>
        <v/>
      </c>
      <c r="K2975" s="8">
        <f>IF(G2975="","",G2975+J2975)</f>
        <v/>
      </c>
    </row>
    <row r="2976">
      <c r="F2976" s="8" t="n"/>
      <c r="G2976" s="8">
        <f>IF(E2976="","",E2976*F2976)</f>
        <v/>
      </c>
      <c r="H2976" s="8">
        <f>IF(G2976="","",G2976-I2976)</f>
        <v/>
      </c>
      <c r="I2976" s="8">
        <f>IF(D2976="","",VLOOKUP(D2976, RECETTES!B:G, 6, FALSE)*E2976)</f>
        <v/>
      </c>
      <c r="J2976" s="8">
        <f>IF(G2976="","",G2976*0.20)</f>
        <v/>
      </c>
      <c r="K2976" s="8">
        <f>IF(G2976="","",G2976+J2976)</f>
        <v/>
      </c>
    </row>
    <row r="2977">
      <c r="F2977" s="8" t="n"/>
      <c r="G2977" s="8">
        <f>IF(E2977="","",E2977*F2977)</f>
        <v/>
      </c>
      <c r="H2977" s="8">
        <f>IF(G2977="","",G2977-I2977)</f>
        <v/>
      </c>
      <c r="I2977" s="8">
        <f>IF(D2977="","",VLOOKUP(D2977, RECETTES!B:G, 6, FALSE)*E2977)</f>
        <v/>
      </c>
      <c r="J2977" s="8">
        <f>IF(G2977="","",G2977*0.20)</f>
        <v/>
      </c>
      <c r="K2977" s="8">
        <f>IF(G2977="","",G2977+J2977)</f>
        <v/>
      </c>
    </row>
    <row r="2978">
      <c r="F2978" s="8" t="n"/>
      <c r="G2978" s="8">
        <f>IF(E2978="","",E2978*F2978)</f>
        <v/>
      </c>
      <c r="H2978" s="8">
        <f>IF(G2978="","",G2978-I2978)</f>
        <v/>
      </c>
      <c r="I2978" s="8">
        <f>IF(D2978="","",VLOOKUP(D2978, RECETTES!B:G, 6, FALSE)*E2978)</f>
        <v/>
      </c>
      <c r="J2978" s="8">
        <f>IF(G2978="","",G2978*0.20)</f>
        <v/>
      </c>
      <c r="K2978" s="8">
        <f>IF(G2978="","",G2978+J2978)</f>
        <v/>
      </c>
    </row>
    <row r="2979">
      <c r="F2979" s="8" t="n"/>
      <c r="G2979" s="8">
        <f>IF(E2979="","",E2979*F2979)</f>
        <v/>
      </c>
      <c r="H2979" s="8">
        <f>IF(G2979="","",G2979-I2979)</f>
        <v/>
      </c>
      <c r="I2979" s="8">
        <f>IF(D2979="","",VLOOKUP(D2979, RECETTES!B:G, 6, FALSE)*E2979)</f>
        <v/>
      </c>
      <c r="J2979" s="8">
        <f>IF(G2979="","",G2979*0.20)</f>
        <v/>
      </c>
      <c r="K2979" s="8">
        <f>IF(G2979="","",G2979+J2979)</f>
        <v/>
      </c>
    </row>
    <row r="2980">
      <c r="F2980" s="8" t="n"/>
      <c r="G2980" s="8">
        <f>IF(E2980="","",E2980*F2980)</f>
        <v/>
      </c>
      <c r="H2980" s="8">
        <f>IF(G2980="","",G2980-I2980)</f>
        <v/>
      </c>
      <c r="I2980" s="8">
        <f>IF(D2980="","",VLOOKUP(D2980, RECETTES!B:G, 6, FALSE)*E2980)</f>
        <v/>
      </c>
      <c r="J2980" s="8">
        <f>IF(G2980="","",G2980*0.20)</f>
        <v/>
      </c>
      <c r="K2980" s="8">
        <f>IF(G2980="","",G2980+J2980)</f>
        <v/>
      </c>
    </row>
    <row r="2981">
      <c r="F2981" s="8" t="n"/>
      <c r="G2981" s="8">
        <f>IF(E2981="","",E2981*F2981)</f>
        <v/>
      </c>
      <c r="H2981" s="8">
        <f>IF(G2981="","",G2981-I2981)</f>
        <v/>
      </c>
      <c r="I2981" s="8">
        <f>IF(D2981="","",VLOOKUP(D2981, RECETTES!B:G, 6, FALSE)*E2981)</f>
        <v/>
      </c>
      <c r="J2981" s="8">
        <f>IF(G2981="","",G2981*0.20)</f>
        <v/>
      </c>
      <c r="K2981" s="8">
        <f>IF(G2981="","",G2981+J2981)</f>
        <v/>
      </c>
    </row>
    <row r="2982">
      <c r="F2982" s="8" t="n"/>
      <c r="G2982" s="8">
        <f>IF(E2982="","",E2982*F2982)</f>
        <v/>
      </c>
      <c r="H2982" s="8">
        <f>IF(G2982="","",G2982-I2982)</f>
        <v/>
      </c>
      <c r="I2982" s="8">
        <f>IF(D2982="","",VLOOKUP(D2982, RECETTES!B:G, 6, FALSE)*E2982)</f>
        <v/>
      </c>
      <c r="J2982" s="8">
        <f>IF(G2982="","",G2982*0.20)</f>
        <v/>
      </c>
      <c r="K2982" s="8">
        <f>IF(G2982="","",G2982+J2982)</f>
        <v/>
      </c>
    </row>
    <row r="2983">
      <c r="F2983" s="8" t="n"/>
      <c r="G2983" s="8">
        <f>IF(E2983="","",E2983*F2983)</f>
        <v/>
      </c>
      <c r="H2983" s="8">
        <f>IF(G2983="","",G2983-I2983)</f>
        <v/>
      </c>
      <c r="I2983" s="8">
        <f>IF(D2983="","",VLOOKUP(D2983, RECETTES!B:G, 6, FALSE)*E2983)</f>
        <v/>
      </c>
      <c r="J2983" s="8">
        <f>IF(G2983="","",G2983*0.20)</f>
        <v/>
      </c>
      <c r="K2983" s="8">
        <f>IF(G2983="","",G2983+J2983)</f>
        <v/>
      </c>
    </row>
    <row r="2984">
      <c r="F2984" s="8" t="n"/>
      <c r="G2984" s="8">
        <f>IF(E2984="","",E2984*F2984)</f>
        <v/>
      </c>
      <c r="H2984" s="8">
        <f>IF(G2984="","",G2984-I2984)</f>
        <v/>
      </c>
      <c r="I2984" s="8">
        <f>IF(D2984="","",VLOOKUP(D2984, RECETTES!B:G, 6, FALSE)*E2984)</f>
        <v/>
      </c>
      <c r="J2984" s="8">
        <f>IF(G2984="","",G2984*0.20)</f>
        <v/>
      </c>
      <c r="K2984" s="8">
        <f>IF(G2984="","",G2984+J2984)</f>
        <v/>
      </c>
    </row>
    <row r="2985">
      <c r="F2985" s="8" t="n"/>
      <c r="G2985" s="8">
        <f>IF(E2985="","",E2985*F2985)</f>
        <v/>
      </c>
      <c r="H2985" s="8">
        <f>IF(G2985="","",G2985-I2985)</f>
        <v/>
      </c>
      <c r="I2985" s="8">
        <f>IF(D2985="","",VLOOKUP(D2985, RECETTES!B:G, 6, FALSE)*E2985)</f>
        <v/>
      </c>
      <c r="J2985" s="8">
        <f>IF(G2985="","",G2985*0.20)</f>
        <v/>
      </c>
      <c r="K2985" s="8">
        <f>IF(G2985="","",G2985+J2985)</f>
        <v/>
      </c>
    </row>
    <row r="2986">
      <c r="F2986" s="8" t="n"/>
      <c r="G2986" s="8">
        <f>IF(E2986="","",E2986*F2986)</f>
        <v/>
      </c>
      <c r="H2986" s="8">
        <f>IF(G2986="","",G2986-I2986)</f>
        <v/>
      </c>
      <c r="I2986" s="8">
        <f>IF(D2986="","",VLOOKUP(D2986, RECETTES!B:G, 6, FALSE)*E2986)</f>
        <v/>
      </c>
      <c r="J2986" s="8">
        <f>IF(G2986="","",G2986*0.20)</f>
        <v/>
      </c>
      <c r="K2986" s="8">
        <f>IF(G2986="","",G2986+J2986)</f>
        <v/>
      </c>
    </row>
    <row r="2987">
      <c r="F2987" s="8" t="n"/>
      <c r="G2987" s="8">
        <f>IF(E2987="","",E2987*F2987)</f>
        <v/>
      </c>
      <c r="H2987" s="8">
        <f>IF(G2987="","",G2987-I2987)</f>
        <v/>
      </c>
      <c r="I2987" s="8">
        <f>IF(D2987="","",VLOOKUP(D2987, RECETTES!B:G, 6, FALSE)*E2987)</f>
        <v/>
      </c>
      <c r="J2987" s="8">
        <f>IF(G2987="","",G2987*0.20)</f>
        <v/>
      </c>
      <c r="K2987" s="8">
        <f>IF(G2987="","",G2987+J2987)</f>
        <v/>
      </c>
    </row>
    <row r="2988">
      <c r="F2988" s="8" t="n"/>
      <c r="G2988" s="8">
        <f>IF(E2988="","",E2988*F2988)</f>
        <v/>
      </c>
      <c r="H2988" s="8">
        <f>IF(G2988="","",G2988-I2988)</f>
        <v/>
      </c>
      <c r="I2988" s="8">
        <f>IF(D2988="","",VLOOKUP(D2988, RECETTES!B:G, 6, FALSE)*E2988)</f>
        <v/>
      </c>
      <c r="J2988" s="8">
        <f>IF(G2988="","",G2988*0.20)</f>
        <v/>
      </c>
      <c r="K2988" s="8">
        <f>IF(G2988="","",G2988+J2988)</f>
        <v/>
      </c>
    </row>
    <row r="2989">
      <c r="F2989" s="8" t="n"/>
      <c r="G2989" s="8">
        <f>IF(E2989="","",E2989*F2989)</f>
        <v/>
      </c>
      <c r="H2989" s="8">
        <f>IF(G2989="","",G2989-I2989)</f>
        <v/>
      </c>
      <c r="I2989" s="8">
        <f>IF(D2989="","",VLOOKUP(D2989, RECETTES!B:G, 6, FALSE)*E2989)</f>
        <v/>
      </c>
      <c r="J2989" s="8">
        <f>IF(G2989="","",G2989*0.20)</f>
        <v/>
      </c>
      <c r="K2989" s="8">
        <f>IF(G2989="","",G2989+J2989)</f>
        <v/>
      </c>
    </row>
    <row r="2990">
      <c r="F2990" s="8" t="n"/>
      <c r="G2990" s="8">
        <f>IF(E2990="","",E2990*F2990)</f>
        <v/>
      </c>
      <c r="H2990" s="8">
        <f>IF(G2990="","",G2990-I2990)</f>
        <v/>
      </c>
      <c r="I2990" s="8">
        <f>IF(D2990="","",VLOOKUP(D2990, RECETTES!B:G, 6, FALSE)*E2990)</f>
        <v/>
      </c>
      <c r="J2990" s="8">
        <f>IF(G2990="","",G2990*0.20)</f>
        <v/>
      </c>
      <c r="K2990" s="8">
        <f>IF(G2990="","",G2990+J2990)</f>
        <v/>
      </c>
    </row>
    <row r="2991">
      <c r="F2991" s="8" t="n"/>
      <c r="G2991" s="8">
        <f>IF(E2991="","",E2991*F2991)</f>
        <v/>
      </c>
      <c r="H2991" s="8">
        <f>IF(G2991="","",G2991-I2991)</f>
        <v/>
      </c>
      <c r="I2991" s="8">
        <f>IF(D2991="","",VLOOKUP(D2991, RECETTES!B:G, 6, FALSE)*E2991)</f>
        <v/>
      </c>
      <c r="J2991" s="8">
        <f>IF(G2991="","",G2991*0.20)</f>
        <v/>
      </c>
      <c r="K2991" s="8">
        <f>IF(G2991="","",G2991+J2991)</f>
        <v/>
      </c>
    </row>
    <row r="2992">
      <c r="F2992" s="8" t="n"/>
      <c r="G2992" s="8">
        <f>IF(E2992="","",E2992*F2992)</f>
        <v/>
      </c>
      <c r="H2992" s="8">
        <f>IF(G2992="","",G2992-I2992)</f>
        <v/>
      </c>
      <c r="I2992" s="8">
        <f>IF(D2992="","",VLOOKUP(D2992, RECETTES!B:G, 6, FALSE)*E2992)</f>
        <v/>
      </c>
      <c r="J2992" s="8">
        <f>IF(G2992="","",G2992*0.20)</f>
        <v/>
      </c>
      <c r="K2992" s="8">
        <f>IF(G2992="","",G2992+J2992)</f>
        <v/>
      </c>
    </row>
    <row r="2993">
      <c r="F2993" s="8" t="n"/>
      <c r="G2993" s="8">
        <f>IF(E2993="","",E2993*F2993)</f>
        <v/>
      </c>
      <c r="H2993" s="8">
        <f>IF(G2993="","",G2993-I2993)</f>
        <v/>
      </c>
      <c r="I2993" s="8">
        <f>IF(D2993="","",VLOOKUP(D2993, RECETTES!B:G, 6, FALSE)*E2993)</f>
        <v/>
      </c>
      <c r="J2993" s="8">
        <f>IF(G2993="","",G2993*0.20)</f>
        <v/>
      </c>
      <c r="K2993" s="8">
        <f>IF(G2993="","",G2993+J2993)</f>
        <v/>
      </c>
    </row>
    <row r="2994">
      <c r="F2994" s="8" t="n"/>
      <c r="G2994" s="8">
        <f>IF(E2994="","",E2994*F2994)</f>
        <v/>
      </c>
      <c r="H2994" s="8">
        <f>IF(G2994="","",G2994-I2994)</f>
        <v/>
      </c>
      <c r="I2994" s="8">
        <f>IF(D2994="","",VLOOKUP(D2994, RECETTES!B:G, 6, FALSE)*E2994)</f>
        <v/>
      </c>
      <c r="J2994" s="8">
        <f>IF(G2994="","",G2994*0.20)</f>
        <v/>
      </c>
      <c r="K2994" s="8">
        <f>IF(G2994="","",G2994+J2994)</f>
        <v/>
      </c>
    </row>
    <row r="2995">
      <c r="F2995" s="8" t="n"/>
      <c r="G2995" s="8">
        <f>IF(E2995="","",E2995*F2995)</f>
        <v/>
      </c>
      <c r="H2995" s="8">
        <f>IF(G2995="","",G2995-I2995)</f>
        <v/>
      </c>
      <c r="I2995" s="8">
        <f>IF(D2995="","",VLOOKUP(D2995, RECETTES!B:G, 6, FALSE)*E2995)</f>
        <v/>
      </c>
      <c r="J2995" s="8">
        <f>IF(G2995="","",G2995*0.20)</f>
        <v/>
      </c>
      <c r="K2995" s="8">
        <f>IF(G2995="","",G2995+J2995)</f>
        <v/>
      </c>
    </row>
    <row r="2996">
      <c r="F2996" s="8" t="n"/>
      <c r="G2996" s="8">
        <f>IF(E2996="","",E2996*F2996)</f>
        <v/>
      </c>
      <c r="H2996" s="8">
        <f>IF(G2996="","",G2996-I2996)</f>
        <v/>
      </c>
      <c r="I2996" s="8">
        <f>IF(D2996="","",VLOOKUP(D2996, RECETTES!B:G, 6, FALSE)*E2996)</f>
        <v/>
      </c>
      <c r="J2996" s="8">
        <f>IF(G2996="","",G2996*0.20)</f>
        <v/>
      </c>
      <c r="K2996" s="8">
        <f>IF(G2996="","",G2996+J2996)</f>
        <v/>
      </c>
    </row>
    <row r="2997">
      <c r="F2997" s="8" t="n"/>
      <c r="G2997" s="8">
        <f>IF(E2997="","",E2997*F2997)</f>
        <v/>
      </c>
      <c r="H2997" s="8">
        <f>IF(G2997="","",G2997-I2997)</f>
        <v/>
      </c>
      <c r="I2997" s="8">
        <f>IF(D2997="","",VLOOKUP(D2997, RECETTES!B:G, 6, FALSE)*E2997)</f>
        <v/>
      </c>
      <c r="J2997" s="8">
        <f>IF(G2997="","",G2997*0.20)</f>
        <v/>
      </c>
      <c r="K2997" s="8">
        <f>IF(G2997="","",G2997+J2997)</f>
        <v/>
      </c>
    </row>
    <row r="2998">
      <c r="F2998" s="8" t="n"/>
      <c r="G2998" s="8">
        <f>IF(E2998="","",E2998*F2998)</f>
        <v/>
      </c>
      <c r="H2998" s="8">
        <f>IF(G2998="","",G2998-I2998)</f>
        <v/>
      </c>
      <c r="I2998" s="8">
        <f>IF(D2998="","",VLOOKUP(D2998, RECETTES!B:G, 6, FALSE)*E2998)</f>
        <v/>
      </c>
      <c r="J2998" s="8">
        <f>IF(G2998="","",G2998*0.20)</f>
        <v/>
      </c>
      <c r="K2998" s="8">
        <f>IF(G2998="","",G2998+J2998)</f>
        <v/>
      </c>
    </row>
    <row r="2999">
      <c r="F2999" s="8" t="n"/>
      <c r="G2999" s="8">
        <f>IF(E2999="","",E2999*F2999)</f>
        <v/>
      </c>
      <c r="H2999" s="8">
        <f>IF(G2999="","",G2999-I2999)</f>
        <v/>
      </c>
      <c r="I2999" s="8">
        <f>IF(D2999="","",VLOOKUP(D2999, RECETTES!B:G, 6, FALSE)*E2999)</f>
        <v/>
      </c>
      <c r="J2999" s="8">
        <f>IF(G2999="","",G2999*0.20)</f>
        <v/>
      </c>
      <c r="K2999" s="8">
        <f>IF(G2999="","",G2999+J2999)</f>
        <v/>
      </c>
    </row>
    <row r="3000">
      <c r="F3000" s="8" t="n"/>
      <c r="G3000" s="8">
        <f>IF(E3000="","",E3000*F3000)</f>
        <v/>
      </c>
      <c r="H3000" s="8">
        <f>IF(G3000="","",G3000-I3000)</f>
        <v/>
      </c>
      <c r="I3000" s="8">
        <f>IF(D3000="","",VLOOKUP(D3000, RECETTES!B:G, 6, FALSE)*E3000)</f>
        <v/>
      </c>
      <c r="J3000" s="8">
        <f>IF(G3000="","",G3000*0.20)</f>
        <v/>
      </c>
      <c r="K3000" s="8">
        <f>IF(G3000="","",G3000+J3000)</f>
        <v/>
      </c>
    </row>
    <row r="3001">
      <c r="F3001" s="8" t="n"/>
      <c r="G3001" s="8">
        <f>IF(E3001="","",E3001*F3001)</f>
        <v/>
      </c>
      <c r="H3001" s="8">
        <f>IF(G3001="","",G3001-I3001)</f>
        <v/>
      </c>
      <c r="I3001" s="8">
        <f>IF(D3001="","",VLOOKUP(D3001, RECETTES!B:G, 6, FALSE)*E3001)</f>
        <v/>
      </c>
      <c r="J3001" s="8">
        <f>IF(G3001="","",G3001*0.20)</f>
        <v/>
      </c>
      <c r="K3001" s="8">
        <f>IF(G3001="","",G3001+J3001)</f>
        <v/>
      </c>
    </row>
    <row r="3002">
      <c r="F3002" s="8" t="n"/>
      <c r="G3002" s="8">
        <f>IF(E3002="","",E3002*F3002)</f>
        <v/>
      </c>
      <c r="H3002" s="8">
        <f>IF(G3002="","",G3002-I3002)</f>
        <v/>
      </c>
      <c r="I3002" s="8">
        <f>IF(D3002="","",VLOOKUP(D3002, RECETTES!B:G, 6, FALSE)*E3002)</f>
        <v/>
      </c>
      <c r="J3002" s="8">
        <f>IF(G3002="","",G3002*0.20)</f>
        <v/>
      </c>
      <c r="K3002" s="8">
        <f>IF(G3002="","",G3002+J3002)</f>
        <v/>
      </c>
    </row>
    <row r="3003">
      <c r="F3003" s="8" t="n"/>
      <c r="G3003" s="8">
        <f>IF(E3003="","",E3003*F3003)</f>
        <v/>
      </c>
      <c r="H3003" s="8">
        <f>IF(G3003="","",G3003-I3003)</f>
        <v/>
      </c>
      <c r="I3003" s="8">
        <f>IF(D3003="","",VLOOKUP(D3003, RECETTES!B:G, 6, FALSE)*E3003)</f>
        <v/>
      </c>
      <c r="J3003" s="8">
        <f>IF(G3003="","",G3003*0.20)</f>
        <v/>
      </c>
      <c r="K3003" s="8">
        <f>IF(G3003="","",G3003+J3003)</f>
        <v/>
      </c>
    </row>
    <row r="3004">
      <c r="F3004" s="8" t="n"/>
      <c r="G3004" s="8">
        <f>IF(E3004="","",E3004*F3004)</f>
        <v/>
      </c>
      <c r="H3004" s="8">
        <f>IF(G3004="","",G3004-I3004)</f>
        <v/>
      </c>
      <c r="I3004" s="8">
        <f>IF(D3004="","",VLOOKUP(D3004, RECETTES!B:G, 6, FALSE)*E3004)</f>
        <v/>
      </c>
      <c r="J3004" s="8">
        <f>IF(G3004="","",G3004*0.20)</f>
        <v/>
      </c>
      <c r="K3004" s="8">
        <f>IF(G3004="","",G3004+J3004)</f>
        <v/>
      </c>
    </row>
    <row r="3005">
      <c r="F3005" s="8" t="n"/>
      <c r="G3005" s="8">
        <f>IF(E3005="","",E3005*F3005)</f>
        <v/>
      </c>
      <c r="H3005" s="8">
        <f>IF(G3005="","",G3005-I3005)</f>
        <v/>
      </c>
      <c r="I3005" s="8">
        <f>IF(D3005="","",VLOOKUP(D3005, RECETTES!B:G, 6, FALSE)*E3005)</f>
        <v/>
      </c>
      <c r="J3005" s="8">
        <f>IF(G3005="","",G3005*0.20)</f>
        <v/>
      </c>
      <c r="K3005" s="8">
        <f>IF(G3005="","",G3005+J3005)</f>
        <v/>
      </c>
    </row>
    <row r="3006">
      <c r="F3006" s="8" t="n"/>
      <c r="G3006" s="8">
        <f>IF(E3006="","",E3006*F3006)</f>
        <v/>
      </c>
      <c r="H3006" s="8">
        <f>IF(G3006="","",G3006-I3006)</f>
        <v/>
      </c>
      <c r="I3006" s="8">
        <f>IF(D3006="","",VLOOKUP(D3006, RECETTES!B:G, 6, FALSE)*E3006)</f>
        <v/>
      </c>
      <c r="J3006" s="8">
        <f>IF(G3006="","",G3006*0.20)</f>
        <v/>
      </c>
      <c r="K3006" s="8">
        <f>IF(G3006="","",G3006+J3006)</f>
        <v/>
      </c>
    </row>
    <row r="3007">
      <c r="F3007" s="8" t="n"/>
      <c r="G3007" s="8">
        <f>IF(E3007="","",E3007*F3007)</f>
        <v/>
      </c>
      <c r="H3007" s="8">
        <f>IF(G3007="","",G3007-I3007)</f>
        <v/>
      </c>
      <c r="I3007" s="8">
        <f>IF(D3007="","",VLOOKUP(D3007, RECETTES!B:G, 6, FALSE)*E3007)</f>
        <v/>
      </c>
      <c r="J3007" s="8">
        <f>IF(G3007="","",G3007*0.20)</f>
        <v/>
      </c>
      <c r="K3007" s="8">
        <f>IF(G3007="","",G3007+J3007)</f>
        <v/>
      </c>
    </row>
    <row r="3008">
      <c r="F3008" s="8" t="n"/>
      <c r="G3008" s="8">
        <f>IF(E3008="","",E3008*F3008)</f>
        <v/>
      </c>
      <c r="H3008" s="8">
        <f>IF(G3008="","",G3008-I3008)</f>
        <v/>
      </c>
      <c r="I3008" s="8">
        <f>IF(D3008="","",VLOOKUP(D3008, RECETTES!B:G, 6, FALSE)*E3008)</f>
        <v/>
      </c>
      <c r="J3008" s="8">
        <f>IF(G3008="","",G3008*0.20)</f>
        <v/>
      </c>
      <c r="K3008" s="8">
        <f>IF(G3008="","",G3008+J3008)</f>
        <v/>
      </c>
    </row>
    <row r="3009">
      <c r="F3009" s="8" t="n"/>
      <c r="G3009" s="8">
        <f>IF(E3009="","",E3009*F3009)</f>
        <v/>
      </c>
      <c r="H3009" s="8">
        <f>IF(G3009="","",G3009-I3009)</f>
        <v/>
      </c>
      <c r="I3009" s="8">
        <f>IF(D3009="","",VLOOKUP(D3009, RECETTES!B:G, 6, FALSE)*E3009)</f>
        <v/>
      </c>
      <c r="J3009" s="8">
        <f>IF(G3009="","",G3009*0.20)</f>
        <v/>
      </c>
      <c r="K3009" s="8">
        <f>IF(G3009="","",G3009+J3009)</f>
        <v/>
      </c>
    </row>
    <row r="3010">
      <c r="F3010" s="8" t="n"/>
      <c r="G3010" s="8">
        <f>IF(E3010="","",E3010*F3010)</f>
        <v/>
      </c>
      <c r="H3010" s="8">
        <f>IF(G3010="","",G3010-I3010)</f>
        <v/>
      </c>
      <c r="I3010" s="8">
        <f>IF(D3010="","",VLOOKUP(D3010, RECETTES!B:G, 6, FALSE)*E3010)</f>
        <v/>
      </c>
      <c r="J3010" s="8">
        <f>IF(G3010="","",G3010*0.20)</f>
        <v/>
      </c>
      <c r="K3010" s="8">
        <f>IF(G3010="","",G3010+J3010)</f>
        <v/>
      </c>
    </row>
    <row r="3011">
      <c r="F3011" s="8" t="n"/>
      <c r="G3011" s="8">
        <f>IF(E3011="","",E3011*F3011)</f>
        <v/>
      </c>
      <c r="H3011" s="8">
        <f>IF(G3011="","",G3011-I3011)</f>
        <v/>
      </c>
      <c r="I3011" s="8">
        <f>IF(D3011="","",VLOOKUP(D3011, RECETTES!B:G, 6, FALSE)*E3011)</f>
        <v/>
      </c>
      <c r="J3011" s="8">
        <f>IF(G3011="","",G3011*0.20)</f>
        <v/>
      </c>
      <c r="K3011" s="8">
        <f>IF(G3011="","",G3011+J3011)</f>
        <v/>
      </c>
    </row>
    <row r="3012">
      <c r="F3012" s="8" t="n"/>
      <c r="G3012" s="8">
        <f>IF(E3012="","",E3012*F3012)</f>
        <v/>
      </c>
      <c r="H3012" s="8">
        <f>IF(G3012="","",G3012-I3012)</f>
        <v/>
      </c>
      <c r="I3012" s="8">
        <f>IF(D3012="","",VLOOKUP(D3012, RECETTES!B:G, 6, FALSE)*E3012)</f>
        <v/>
      </c>
      <c r="J3012" s="8">
        <f>IF(G3012="","",G3012*0.20)</f>
        <v/>
      </c>
      <c r="K3012" s="8">
        <f>IF(G3012="","",G3012+J3012)</f>
        <v/>
      </c>
    </row>
    <row r="3013">
      <c r="F3013" s="8" t="n"/>
      <c r="G3013" s="8">
        <f>IF(E3013="","",E3013*F3013)</f>
        <v/>
      </c>
      <c r="H3013" s="8">
        <f>IF(G3013="","",G3013-I3013)</f>
        <v/>
      </c>
      <c r="I3013" s="8">
        <f>IF(D3013="","",VLOOKUP(D3013, RECETTES!B:G, 6, FALSE)*E3013)</f>
        <v/>
      </c>
      <c r="J3013" s="8">
        <f>IF(G3013="","",G3013*0.20)</f>
        <v/>
      </c>
      <c r="K3013" s="8">
        <f>IF(G3013="","",G3013+J3013)</f>
        <v/>
      </c>
    </row>
    <row r="3014">
      <c r="F3014" s="8" t="n"/>
      <c r="G3014" s="8">
        <f>IF(E3014="","",E3014*F3014)</f>
        <v/>
      </c>
      <c r="H3014" s="8">
        <f>IF(G3014="","",G3014-I3014)</f>
        <v/>
      </c>
      <c r="I3014" s="8">
        <f>IF(D3014="","",VLOOKUP(D3014, RECETTES!B:G, 6, FALSE)*E3014)</f>
        <v/>
      </c>
      <c r="J3014" s="8">
        <f>IF(G3014="","",G3014*0.20)</f>
        <v/>
      </c>
      <c r="K3014" s="8">
        <f>IF(G3014="","",G3014+J3014)</f>
        <v/>
      </c>
    </row>
    <row r="3015">
      <c r="F3015" s="8" t="n"/>
      <c r="G3015" s="8">
        <f>IF(E3015="","",E3015*F3015)</f>
        <v/>
      </c>
      <c r="H3015" s="8">
        <f>IF(G3015="","",G3015-I3015)</f>
        <v/>
      </c>
      <c r="I3015" s="8">
        <f>IF(D3015="","",VLOOKUP(D3015, RECETTES!B:G, 6, FALSE)*E3015)</f>
        <v/>
      </c>
      <c r="J3015" s="8">
        <f>IF(G3015="","",G3015*0.20)</f>
        <v/>
      </c>
      <c r="K3015" s="8">
        <f>IF(G3015="","",G3015+J3015)</f>
        <v/>
      </c>
    </row>
    <row r="3016">
      <c r="F3016" s="8" t="n"/>
      <c r="G3016" s="8">
        <f>IF(E3016="","",E3016*F3016)</f>
        <v/>
      </c>
      <c r="H3016" s="8">
        <f>IF(G3016="","",G3016-I3016)</f>
        <v/>
      </c>
      <c r="I3016" s="8">
        <f>IF(D3016="","",VLOOKUP(D3016, RECETTES!B:G, 6, FALSE)*E3016)</f>
        <v/>
      </c>
      <c r="J3016" s="8">
        <f>IF(G3016="","",G3016*0.20)</f>
        <v/>
      </c>
      <c r="K3016" s="8">
        <f>IF(G3016="","",G3016+J3016)</f>
        <v/>
      </c>
    </row>
    <row r="3017">
      <c r="F3017" s="8" t="n"/>
      <c r="G3017" s="8">
        <f>IF(E3017="","",E3017*F3017)</f>
        <v/>
      </c>
      <c r="H3017" s="8">
        <f>IF(G3017="","",G3017-I3017)</f>
        <v/>
      </c>
      <c r="I3017" s="8">
        <f>IF(D3017="","",VLOOKUP(D3017, RECETTES!B:G, 6, FALSE)*E3017)</f>
        <v/>
      </c>
      <c r="J3017" s="8">
        <f>IF(G3017="","",G3017*0.20)</f>
        <v/>
      </c>
      <c r="K3017" s="8">
        <f>IF(G3017="","",G3017+J3017)</f>
        <v/>
      </c>
    </row>
    <row r="3018">
      <c r="F3018" s="8" t="n"/>
      <c r="G3018" s="8">
        <f>IF(E3018="","",E3018*F3018)</f>
        <v/>
      </c>
      <c r="H3018" s="8">
        <f>IF(G3018="","",G3018-I3018)</f>
        <v/>
      </c>
      <c r="I3018" s="8">
        <f>IF(D3018="","",VLOOKUP(D3018, RECETTES!B:G, 6, FALSE)*E3018)</f>
        <v/>
      </c>
      <c r="J3018" s="8">
        <f>IF(G3018="","",G3018*0.20)</f>
        <v/>
      </c>
      <c r="K3018" s="8">
        <f>IF(G3018="","",G3018+J3018)</f>
        <v/>
      </c>
    </row>
    <row r="3019">
      <c r="F3019" s="8" t="n"/>
      <c r="G3019" s="8">
        <f>IF(E3019="","",E3019*F3019)</f>
        <v/>
      </c>
      <c r="H3019" s="8">
        <f>IF(G3019="","",G3019-I3019)</f>
        <v/>
      </c>
      <c r="I3019" s="8">
        <f>IF(D3019="","",VLOOKUP(D3019, RECETTES!B:G, 6, FALSE)*E3019)</f>
        <v/>
      </c>
      <c r="J3019" s="8">
        <f>IF(G3019="","",G3019*0.20)</f>
        <v/>
      </c>
      <c r="K3019" s="8">
        <f>IF(G3019="","",G3019+J3019)</f>
        <v/>
      </c>
    </row>
    <row r="3020">
      <c r="F3020" s="8" t="n"/>
      <c r="G3020" s="8">
        <f>IF(E3020="","",E3020*F3020)</f>
        <v/>
      </c>
      <c r="H3020" s="8">
        <f>IF(G3020="","",G3020-I3020)</f>
        <v/>
      </c>
      <c r="I3020" s="8">
        <f>IF(D3020="","",VLOOKUP(D3020, RECETTES!B:G, 6, FALSE)*E3020)</f>
        <v/>
      </c>
      <c r="J3020" s="8">
        <f>IF(G3020="","",G3020*0.20)</f>
        <v/>
      </c>
      <c r="K3020" s="8">
        <f>IF(G3020="","",G3020+J3020)</f>
        <v/>
      </c>
    </row>
    <row r="3021">
      <c r="F3021" s="8" t="n"/>
      <c r="G3021" s="8">
        <f>IF(E3021="","",E3021*F3021)</f>
        <v/>
      </c>
      <c r="H3021" s="8">
        <f>IF(G3021="","",G3021-I3021)</f>
        <v/>
      </c>
      <c r="I3021" s="8">
        <f>IF(D3021="","",VLOOKUP(D3021, RECETTES!B:G, 6, FALSE)*E3021)</f>
        <v/>
      </c>
      <c r="J3021" s="8">
        <f>IF(G3021="","",G3021*0.20)</f>
        <v/>
      </c>
      <c r="K3021" s="8">
        <f>IF(G3021="","",G3021+J3021)</f>
        <v/>
      </c>
    </row>
    <row r="3022">
      <c r="F3022" s="8" t="n"/>
      <c r="G3022" s="8">
        <f>IF(E3022="","",E3022*F3022)</f>
        <v/>
      </c>
      <c r="H3022" s="8">
        <f>IF(G3022="","",G3022-I3022)</f>
        <v/>
      </c>
      <c r="I3022" s="8">
        <f>IF(D3022="","",VLOOKUP(D3022, RECETTES!B:G, 6, FALSE)*E3022)</f>
        <v/>
      </c>
      <c r="J3022" s="8">
        <f>IF(G3022="","",G3022*0.20)</f>
        <v/>
      </c>
      <c r="K3022" s="8">
        <f>IF(G3022="","",G3022+J3022)</f>
        <v/>
      </c>
    </row>
    <row r="3023">
      <c r="F3023" s="8" t="n"/>
      <c r="G3023" s="8">
        <f>IF(E3023="","",E3023*F3023)</f>
        <v/>
      </c>
      <c r="H3023" s="8">
        <f>IF(G3023="","",G3023-I3023)</f>
        <v/>
      </c>
      <c r="I3023" s="8">
        <f>IF(D3023="","",VLOOKUP(D3023, RECETTES!B:G, 6, FALSE)*E3023)</f>
        <v/>
      </c>
      <c r="J3023" s="8">
        <f>IF(G3023="","",G3023*0.20)</f>
        <v/>
      </c>
      <c r="K3023" s="8">
        <f>IF(G3023="","",G3023+J3023)</f>
        <v/>
      </c>
    </row>
    <row r="3024">
      <c r="F3024" s="8" t="n"/>
      <c r="G3024" s="8">
        <f>IF(E3024="","",E3024*F3024)</f>
        <v/>
      </c>
      <c r="H3024" s="8">
        <f>IF(G3024="","",G3024-I3024)</f>
        <v/>
      </c>
      <c r="I3024" s="8">
        <f>IF(D3024="","",VLOOKUP(D3024, RECETTES!B:G, 6, FALSE)*E3024)</f>
        <v/>
      </c>
      <c r="J3024" s="8">
        <f>IF(G3024="","",G3024*0.20)</f>
        <v/>
      </c>
      <c r="K3024" s="8">
        <f>IF(G3024="","",G3024+J3024)</f>
        <v/>
      </c>
    </row>
    <row r="3025">
      <c r="F3025" s="8" t="n"/>
      <c r="G3025" s="8">
        <f>IF(E3025="","",E3025*F3025)</f>
        <v/>
      </c>
      <c r="H3025" s="8">
        <f>IF(G3025="","",G3025-I3025)</f>
        <v/>
      </c>
      <c r="I3025" s="8">
        <f>IF(D3025="","",VLOOKUP(D3025, RECETTES!B:G, 6, FALSE)*E3025)</f>
        <v/>
      </c>
      <c r="J3025" s="8">
        <f>IF(G3025="","",G3025*0.20)</f>
        <v/>
      </c>
      <c r="K3025" s="8">
        <f>IF(G3025="","",G3025+J3025)</f>
        <v/>
      </c>
    </row>
    <row r="3026">
      <c r="F3026" s="8" t="n"/>
      <c r="G3026" s="8">
        <f>IF(E3026="","",E3026*F3026)</f>
        <v/>
      </c>
      <c r="H3026" s="8">
        <f>IF(G3026="","",G3026-I3026)</f>
        <v/>
      </c>
      <c r="I3026" s="8">
        <f>IF(D3026="","",VLOOKUP(D3026, RECETTES!B:G, 6, FALSE)*E3026)</f>
        <v/>
      </c>
      <c r="J3026" s="8">
        <f>IF(G3026="","",G3026*0.20)</f>
        <v/>
      </c>
      <c r="K3026" s="8">
        <f>IF(G3026="","",G3026+J3026)</f>
        <v/>
      </c>
    </row>
    <row r="3027">
      <c r="F3027" s="8" t="n"/>
      <c r="G3027" s="8">
        <f>IF(E3027="","",E3027*F3027)</f>
        <v/>
      </c>
      <c r="H3027" s="8">
        <f>IF(G3027="","",G3027-I3027)</f>
        <v/>
      </c>
      <c r="I3027" s="8">
        <f>IF(D3027="","",VLOOKUP(D3027, RECETTES!B:G, 6, FALSE)*E3027)</f>
        <v/>
      </c>
      <c r="J3027" s="8">
        <f>IF(G3027="","",G3027*0.20)</f>
        <v/>
      </c>
      <c r="K3027" s="8">
        <f>IF(G3027="","",G3027+J3027)</f>
        <v/>
      </c>
    </row>
    <row r="3028">
      <c r="F3028" s="8" t="n"/>
      <c r="G3028" s="8">
        <f>IF(E3028="","",E3028*F3028)</f>
        <v/>
      </c>
      <c r="H3028" s="8">
        <f>IF(G3028="","",G3028-I3028)</f>
        <v/>
      </c>
      <c r="I3028" s="8">
        <f>IF(D3028="","",VLOOKUP(D3028, RECETTES!B:G, 6, FALSE)*E3028)</f>
        <v/>
      </c>
      <c r="J3028" s="8">
        <f>IF(G3028="","",G3028*0.20)</f>
        <v/>
      </c>
      <c r="K3028" s="8">
        <f>IF(G3028="","",G3028+J3028)</f>
        <v/>
      </c>
    </row>
    <row r="3029">
      <c r="F3029" s="8" t="n"/>
      <c r="G3029" s="8">
        <f>IF(E3029="","",E3029*F3029)</f>
        <v/>
      </c>
      <c r="H3029" s="8">
        <f>IF(G3029="","",G3029-I3029)</f>
        <v/>
      </c>
      <c r="I3029" s="8">
        <f>IF(D3029="","",VLOOKUP(D3029, RECETTES!B:G, 6, FALSE)*E3029)</f>
        <v/>
      </c>
      <c r="J3029" s="8">
        <f>IF(G3029="","",G3029*0.20)</f>
        <v/>
      </c>
      <c r="K3029" s="8">
        <f>IF(G3029="","",G3029+J3029)</f>
        <v/>
      </c>
    </row>
    <row r="3030">
      <c r="F3030" s="8" t="n"/>
      <c r="G3030" s="8">
        <f>IF(E3030="","",E3030*F3030)</f>
        <v/>
      </c>
      <c r="H3030" s="8">
        <f>IF(G3030="","",G3030-I3030)</f>
        <v/>
      </c>
      <c r="I3030" s="8">
        <f>IF(D3030="","",VLOOKUP(D3030, RECETTES!B:G, 6, FALSE)*E3030)</f>
        <v/>
      </c>
      <c r="J3030" s="8">
        <f>IF(G3030="","",G3030*0.20)</f>
        <v/>
      </c>
      <c r="K3030" s="8">
        <f>IF(G3030="","",G3030+J3030)</f>
        <v/>
      </c>
    </row>
    <row r="3031">
      <c r="F3031" s="8" t="n"/>
      <c r="G3031" s="8">
        <f>IF(E3031="","",E3031*F3031)</f>
        <v/>
      </c>
      <c r="H3031" s="8">
        <f>IF(G3031="","",G3031-I3031)</f>
        <v/>
      </c>
      <c r="I3031" s="8">
        <f>IF(D3031="","",VLOOKUP(D3031, RECETTES!B:G, 6, FALSE)*E3031)</f>
        <v/>
      </c>
      <c r="J3031" s="8">
        <f>IF(G3031="","",G3031*0.20)</f>
        <v/>
      </c>
      <c r="K3031" s="8">
        <f>IF(G3031="","",G3031+J3031)</f>
        <v/>
      </c>
    </row>
    <row r="3032">
      <c r="F3032" s="8" t="n"/>
      <c r="G3032" s="8">
        <f>IF(E3032="","",E3032*F3032)</f>
        <v/>
      </c>
      <c r="H3032" s="8">
        <f>IF(G3032="","",G3032-I3032)</f>
        <v/>
      </c>
      <c r="I3032" s="8">
        <f>IF(D3032="","",VLOOKUP(D3032, RECETTES!B:G, 6, FALSE)*E3032)</f>
        <v/>
      </c>
      <c r="J3032" s="8">
        <f>IF(G3032="","",G3032*0.20)</f>
        <v/>
      </c>
      <c r="K3032" s="8">
        <f>IF(G3032="","",G3032+J3032)</f>
        <v/>
      </c>
    </row>
    <row r="3033">
      <c r="F3033" s="8" t="n"/>
      <c r="G3033" s="8">
        <f>IF(E3033="","",E3033*F3033)</f>
        <v/>
      </c>
      <c r="H3033" s="8">
        <f>IF(G3033="","",G3033-I3033)</f>
        <v/>
      </c>
      <c r="I3033" s="8">
        <f>IF(D3033="","",VLOOKUP(D3033, RECETTES!B:G, 6, FALSE)*E3033)</f>
        <v/>
      </c>
      <c r="J3033" s="8">
        <f>IF(G3033="","",G3033*0.20)</f>
        <v/>
      </c>
      <c r="K3033" s="8">
        <f>IF(G3033="","",G3033+J3033)</f>
        <v/>
      </c>
    </row>
    <row r="3034">
      <c r="F3034" s="8" t="n"/>
      <c r="G3034" s="8">
        <f>IF(E3034="","",E3034*F3034)</f>
        <v/>
      </c>
      <c r="H3034" s="8">
        <f>IF(G3034="","",G3034-I3034)</f>
        <v/>
      </c>
      <c r="I3034" s="8">
        <f>IF(D3034="","",VLOOKUP(D3034, RECETTES!B:G, 6, FALSE)*E3034)</f>
        <v/>
      </c>
      <c r="J3034" s="8">
        <f>IF(G3034="","",G3034*0.20)</f>
        <v/>
      </c>
      <c r="K3034" s="8">
        <f>IF(G3034="","",G3034+J3034)</f>
        <v/>
      </c>
    </row>
    <row r="3035">
      <c r="F3035" s="8" t="n"/>
      <c r="G3035" s="8">
        <f>IF(E3035="","",E3035*F3035)</f>
        <v/>
      </c>
      <c r="H3035" s="8">
        <f>IF(G3035="","",G3035-I3035)</f>
        <v/>
      </c>
      <c r="I3035" s="8">
        <f>IF(D3035="","",VLOOKUP(D3035, RECETTES!B:G, 6, FALSE)*E3035)</f>
        <v/>
      </c>
      <c r="J3035" s="8">
        <f>IF(G3035="","",G3035*0.20)</f>
        <v/>
      </c>
      <c r="K3035" s="8">
        <f>IF(G3035="","",G3035+J3035)</f>
        <v/>
      </c>
    </row>
    <row r="3036">
      <c r="F3036" s="8" t="n"/>
      <c r="G3036" s="8">
        <f>IF(E3036="","",E3036*F3036)</f>
        <v/>
      </c>
      <c r="H3036" s="8">
        <f>IF(G3036="","",G3036-I3036)</f>
        <v/>
      </c>
      <c r="I3036" s="8">
        <f>IF(D3036="","",VLOOKUP(D3036, RECETTES!B:G, 6, FALSE)*E3036)</f>
        <v/>
      </c>
      <c r="J3036" s="8">
        <f>IF(G3036="","",G3036*0.20)</f>
        <v/>
      </c>
      <c r="K3036" s="8">
        <f>IF(G3036="","",G3036+J3036)</f>
        <v/>
      </c>
    </row>
    <row r="3037">
      <c r="F3037" s="8" t="n"/>
      <c r="G3037" s="8">
        <f>IF(E3037="","",E3037*F3037)</f>
        <v/>
      </c>
      <c r="H3037" s="8">
        <f>IF(G3037="","",G3037-I3037)</f>
        <v/>
      </c>
      <c r="I3037" s="8">
        <f>IF(D3037="","",VLOOKUP(D3037, RECETTES!B:G, 6, FALSE)*E3037)</f>
        <v/>
      </c>
      <c r="J3037" s="8">
        <f>IF(G3037="","",G3037*0.20)</f>
        <v/>
      </c>
      <c r="K3037" s="8">
        <f>IF(G3037="","",G3037+J3037)</f>
        <v/>
      </c>
    </row>
    <row r="3038">
      <c r="F3038" s="8" t="n"/>
      <c r="G3038" s="8">
        <f>IF(E3038="","",E3038*F3038)</f>
        <v/>
      </c>
      <c r="H3038" s="8">
        <f>IF(G3038="","",G3038-I3038)</f>
        <v/>
      </c>
      <c r="I3038" s="8">
        <f>IF(D3038="","",VLOOKUP(D3038, RECETTES!B:G, 6, FALSE)*E3038)</f>
        <v/>
      </c>
      <c r="J3038" s="8">
        <f>IF(G3038="","",G3038*0.20)</f>
        <v/>
      </c>
      <c r="K3038" s="8">
        <f>IF(G3038="","",G3038+J3038)</f>
        <v/>
      </c>
    </row>
    <row r="3039">
      <c r="F3039" s="8" t="n"/>
      <c r="G3039" s="8">
        <f>IF(E3039="","",E3039*F3039)</f>
        <v/>
      </c>
      <c r="H3039" s="8">
        <f>IF(G3039="","",G3039-I3039)</f>
        <v/>
      </c>
      <c r="I3039" s="8">
        <f>IF(D3039="","",VLOOKUP(D3039, RECETTES!B:G, 6, FALSE)*E3039)</f>
        <v/>
      </c>
      <c r="J3039" s="8">
        <f>IF(G3039="","",G3039*0.20)</f>
        <v/>
      </c>
      <c r="K3039" s="8">
        <f>IF(G3039="","",G3039+J3039)</f>
        <v/>
      </c>
    </row>
    <row r="3040">
      <c r="F3040" s="8" t="n"/>
      <c r="G3040" s="8">
        <f>IF(E3040="","",E3040*F3040)</f>
        <v/>
      </c>
      <c r="H3040" s="8">
        <f>IF(G3040="","",G3040-I3040)</f>
        <v/>
      </c>
      <c r="I3040" s="8">
        <f>IF(D3040="","",VLOOKUP(D3040, RECETTES!B:G, 6, FALSE)*E3040)</f>
        <v/>
      </c>
      <c r="J3040" s="8">
        <f>IF(G3040="","",G3040*0.20)</f>
        <v/>
      </c>
      <c r="K3040" s="8">
        <f>IF(G3040="","",G3040+J3040)</f>
        <v/>
      </c>
    </row>
    <row r="3041">
      <c r="F3041" s="8" t="n"/>
      <c r="G3041" s="8">
        <f>IF(E3041="","",E3041*F3041)</f>
        <v/>
      </c>
      <c r="H3041" s="8">
        <f>IF(G3041="","",G3041-I3041)</f>
        <v/>
      </c>
      <c r="I3041" s="8">
        <f>IF(D3041="","",VLOOKUP(D3041, RECETTES!B:G, 6, FALSE)*E3041)</f>
        <v/>
      </c>
      <c r="J3041" s="8">
        <f>IF(G3041="","",G3041*0.20)</f>
        <v/>
      </c>
      <c r="K3041" s="8">
        <f>IF(G3041="","",G3041+J3041)</f>
        <v/>
      </c>
    </row>
    <row r="3042">
      <c r="F3042" s="8" t="n"/>
      <c r="G3042" s="8">
        <f>IF(E3042="","",E3042*F3042)</f>
        <v/>
      </c>
      <c r="H3042" s="8">
        <f>IF(G3042="","",G3042-I3042)</f>
        <v/>
      </c>
      <c r="I3042" s="8">
        <f>IF(D3042="","",VLOOKUP(D3042, RECETTES!B:G, 6, FALSE)*E3042)</f>
        <v/>
      </c>
      <c r="J3042" s="8">
        <f>IF(G3042="","",G3042*0.20)</f>
        <v/>
      </c>
      <c r="K3042" s="8">
        <f>IF(G3042="","",G3042+J3042)</f>
        <v/>
      </c>
    </row>
    <row r="3043">
      <c r="F3043" s="8" t="n"/>
      <c r="G3043" s="8">
        <f>IF(E3043="","",E3043*F3043)</f>
        <v/>
      </c>
      <c r="H3043" s="8">
        <f>IF(G3043="","",G3043-I3043)</f>
        <v/>
      </c>
      <c r="I3043" s="8">
        <f>IF(D3043="","",VLOOKUP(D3043, RECETTES!B:G, 6, FALSE)*E3043)</f>
        <v/>
      </c>
      <c r="J3043" s="8">
        <f>IF(G3043="","",G3043*0.20)</f>
        <v/>
      </c>
      <c r="K3043" s="8">
        <f>IF(G3043="","",G3043+J3043)</f>
        <v/>
      </c>
    </row>
    <row r="3044">
      <c r="F3044" s="8" t="n"/>
      <c r="G3044" s="8">
        <f>IF(E3044="","",E3044*F3044)</f>
        <v/>
      </c>
      <c r="H3044" s="8">
        <f>IF(G3044="","",G3044-I3044)</f>
        <v/>
      </c>
      <c r="I3044" s="8">
        <f>IF(D3044="","",VLOOKUP(D3044, RECETTES!B:G, 6, FALSE)*E3044)</f>
        <v/>
      </c>
      <c r="J3044" s="8">
        <f>IF(G3044="","",G3044*0.20)</f>
        <v/>
      </c>
      <c r="K3044" s="8">
        <f>IF(G3044="","",G3044+J3044)</f>
        <v/>
      </c>
    </row>
    <row r="3045">
      <c r="F3045" s="8" t="n"/>
      <c r="G3045" s="8">
        <f>IF(E3045="","",E3045*F3045)</f>
        <v/>
      </c>
      <c r="H3045" s="8">
        <f>IF(G3045="","",G3045-I3045)</f>
        <v/>
      </c>
      <c r="I3045" s="8">
        <f>IF(D3045="","",VLOOKUP(D3045, RECETTES!B:G, 6, FALSE)*E3045)</f>
        <v/>
      </c>
      <c r="J3045" s="8">
        <f>IF(G3045="","",G3045*0.20)</f>
        <v/>
      </c>
      <c r="K3045" s="8">
        <f>IF(G3045="","",G3045+J3045)</f>
        <v/>
      </c>
    </row>
    <row r="3046">
      <c r="F3046" s="8" t="n"/>
      <c r="G3046" s="8">
        <f>IF(E3046="","",E3046*F3046)</f>
        <v/>
      </c>
      <c r="H3046" s="8">
        <f>IF(G3046="","",G3046-I3046)</f>
        <v/>
      </c>
      <c r="I3046" s="8">
        <f>IF(D3046="","",VLOOKUP(D3046, RECETTES!B:G, 6, FALSE)*E3046)</f>
        <v/>
      </c>
      <c r="J3046" s="8">
        <f>IF(G3046="","",G3046*0.20)</f>
        <v/>
      </c>
      <c r="K3046" s="8">
        <f>IF(G3046="","",G3046+J3046)</f>
        <v/>
      </c>
    </row>
    <row r="3047">
      <c r="F3047" s="8" t="n"/>
      <c r="G3047" s="8">
        <f>IF(E3047="","",E3047*F3047)</f>
        <v/>
      </c>
      <c r="H3047" s="8">
        <f>IF(G3047="","",G3047-I3047)</f>
        <v/>
      </c>
      <c r="I3047" s="8">
        <f>IF(D3047="","",VLOOKUP(D3047, RECETTES!B:G, 6, FALSE)*E3047)</f>
        <v/>
      </c>
      <c r="J3047" s="8">
        <f>IF(G3047="","",G3047*0.20)</f>
        <v/>
      </c>
      <c r="K3047" s="8">
        <f>IF(G3047="","",G3047+J3047)</f>
        <v/>
      </c>
    </row>
    <row r="3048">
      <c r="F3048" s="8" t="n"/>
      <c r="G3048" s="8">
        <f>IF(E3048="","",E3048*F3048)</f>
        <v/>
      </c>
      <c r="H3048" s="8">
        <f>IF(G3048="","",G3048-I3048)</f>
        <v/>
      </c>
      <c r="I3048" s="8">
        <f>IF(D3048="","",VLOOKUP(D3048, RECETTES!B:G, 6, FALSE)*E3048)</f>
        <v/>
      </c>
      <c r="J3048" s="8">
        <f>IF(G3048="","",G3048*0.20)</f>
        <v/>
      </c>
      <c r="K3048" s="8">
        <f>IF(G3048="","",G3048+J3048)</f>
        <v/>
      </c>
    </row>
    <row r="3049">
      <c r="F3049" s="8" t="n"/>
      <c r="G3049" s="8">
        <f>IF(E3049="","",E3049*F3049)</f>
        <v/>
      </c>
      <c r="H3049" s="8">
        <f>IF(G3049="","",G3049-I3049)</f>
        <v/>
      </c>
      <c r="I3049" s="8">
        <f>IF(D3049="","",VLOOKUP(D3049, RECETTES!B:G, 6, FALSE)*E3049)</f>
        <v/>
      </c>
      <c r="J3049" s="8">
        <f>IF(G3049="","",G3049*0.20)</f>
        <v/>
      </c>
      <c r="K3049" s="8">
        <f>IF(G3049="","",G3049+J3049)</f>
        <v/>
      </c>
    </row>
    <row r="3050">
      <c r="F3050" s="8" t="n"/>
      <c r="G3050" s="8">
        <f>IF(E3050="","",E3050*F3050)</f>
        <v/>
      </c>
      <c r="H3050" s="8">
        <f>IF(G3050="","",G3050-I3050)</f>
        <v/>
      </c>
      <c r="I3050" s="8">
        <f>IF(D3050="","",VLOOKUP(D3050, RECETTES!B:G, 6, FALSE)*E3050)</f>
        <v/>
      </c>
      <c r="J3050" s="8">
        <f>IF(G3050="","",G3050*0.20)</f>
        <v/>
      </c>
      <c r="K3050" s="8">
        <f>IF(G3050="","",G3050+J3050)</f>
        <v/>
      </c>
    </row>
    <row r="3051">
      <c r="F3051" s="8" t="n"/>
      <c r="G3051" s="8">
        <f>IF(E3051="","",E3051*F3051)</f>
        <v/>
      </c>
      <c r="H3051" s="8">
        <f>IF(G3051="","",G3051-I3051)</f>
        <v/>
      </c>
      <c r="I3051" s="8">
        <f>IF(D3051="","",VLOOKUP(D3051, RECETTES!B:G, 6, FALSE)*E3051)</f>
        <v/>
      </c>
      <c r="J3051" s="8">
        <f>IF(G3051="","",G3051*0.20)</f>
        <v/>
      </c>
      <c r="K3051" s="8">
        <f>IF(G3051="","",G3051+J3051)</f>
        <v/>
      </c>
    </row>
    <row r="3052">
      <c r="F3052" s="8" t="n"/>
      <c r="G3052" s="8">
        <f>IF(E3052="","",E3052*F3052)</f>
        <v/>
      </c>
      <c r="H3052" s="8">
        <f>IF(G3052="","",G3052-I3052)</f>
        <v/>
      </c>
      <c r="I3052" s="8">
        <f>IF(D3052="","",VLOOKUP(D3052, RECETTES!B:G, 6, FALSE)*E3052)</f>
        <v/>
      </c>
      <c r="J3052" s="8">
        <f>IF(G3052="","",G3052*0.20)</f>
        <v/>
      </c>
      <c r="K3052" s="8">
        <f>IF(G3052="","",G3052+J3052)</f>
        <v/>
      </c>
    </row>
    <row r="3053">
      <c r="F3053" s="8" t="n"/>
      <c r="G3053" s="8">
        <f>IF(E3053="","",E3053*F3053)</f>
        <v/>
      </c>
      <c r="H3053" s="8">
        <f>IF(G3053="","",G3053-I3053)</f>
        <v/>
      </c>
      <c r="I3053" s="8">
        <f>IF(D3053="","",VLOOKUP(D3053, RECETTES!B:G, 6, FALSE)*E3053)</f>
        <v/>
      </c>
      <c r="J3053" s="8">
        <f>IF(G3053="","",G3053*0.20)</f>
        <v/>
      </c>
      <c r="K3053" s="8">
        <f>IF(G3053="","",G3053+J3053)</f>
        <v/>
      </c>
    </row>
    <row r="3054">
      <c r="F3054" s="8" t="n"/>
      <c r="G3054" s="8">
        <f>IF(E3054="","",E3054*F3054)</f>
        <v/>
      </c>
      <c r="H3054" s="8">
        <f>IF(G3054="","",G3054-I3054)</f>
        <v/>
      </c>
      <c r="I3054" s="8">
        <f>IF(D3054="","",VLOOKUP(D3054, RECETTES!B:G, 6, FALSE)*E3054)</f>
        <v/>
      </c>
      <c r="J3054" s="8">
        <f>IF(G3054="","",G3054*0.20)</f>
        <v/>
      </c>
      <c r="K3054" s="8">
        <f>IF(G3054="","",G3054+J3054)</f>
        <v/>
      </c>
    </row>
    <row r="3055">
      <c r="F3055" s="8" t="n"/>
      <c r="G3055" s="8">
        <f>IF(E3055="","",E3055*F3055)</f>
        <v/>
      </c>
      <c r="H3055" s="8">
        <f>IF(G3055="","",G3055-I3055)</f>
        <v/>
      </c>
      <c r="I3055" s="8">
        <f>IF(D3055="","",VLOOKUP(D3055, RECETTES!B:G, 6, FALSE)*E3055)</f>
        <v/>
      </c>
      <c r="J3055" s="8">
        <f>IF(G3055="","",G3055*0.20)</f>
        <v/>
      </c>
      <c r="K3055" s="8">
        <f>IF(G3055="","",G3055+J3055)</f>
        <v/>
      </c>
    </row>
    <row r="3056">
      <c r="F3056" s="8" t="n"/>
      <c r="G3056" s="8">
        <f>IF(E3056="","",E3056*F3056)</f>
        <v/>
      </c>
      <c r="H3056" s="8">
        <f>IF(G3056="","",G3056-I3056)</f>
        <v/>
      </c>
      <c r="I3056" s="8">
        <f>IF(D3056="","",VLOOKUP(D3056, RECETTES!B:G, 6, FALSE)*E3056)</f>
        <v/>
      </c>
      <c r="J3056" s="8">
        <f>IF(G3056="","",G3056*0.20)</f>
        <v/>
      </c>
      <c r="K3056" s="8">
        <f>IF(G3056="","",G3056+J3056)</f>
        <v/>
      </c>
    </row>
    <row r="3057">
      <c r="F3057" s="8" t="n"/>
      <c r="G3057" s="8">
        <f>IF(E3057="","",E3057*F3057)</f>
        <v/>
      </c>
      <c r="H3057" s="8">
        <f>IF(G3057="","",G3057-I3057)</f>
        <v/>
      </c>
      <c r="I3057" s="8">
        <f>IF(D3057="","",VLOOKUP(D3057, RECETTES!B:G, 6, FALSE)*E3057)</f>
        <v/>
      </c>
      <c r="J3057" s="8">
        <f>IF(G3057="","",G3057*0.20)</f>
        <v/>
      </c>
      <c r="K3057" s="8">
        <f>IF(G3057="","",G3057+J3057)</f>
        <v/>
      </c>
    </row>
    <row r="3058">
      <c r="F3058" s="8" t="n"/>
      <c r="G3058" s="8">
        <f>IF(E3058="","",E3058*F3058)</f>
        <v/>
      </c>
      <c r="H3058" s="8">
        <f>IF(G3058="","",G3058-I3058)</f>
        <v/>
      </c>
      <c r="I3058" s="8">
        <f>IF(D3058="","",VLOOKUP(D3058, RECETTES!B:G, 6, FALSE)*E3058)</f>
        <v/>
      </c>
      <c r="J3058" s="8">
        <f>IF(G3058="","",G3058*0.20)</f>
        <v/>
      </c>
      <c r="K3058" s="8">
        <f>IF(G3058="","",G3058+J3058)</f>
        <v/>
      </c>
    </row>
    <row r="3059">
      <c r="F3059" s="8" t="n"/>
      <c r="G3059" s="8">
        <f>IF(E3059="","",E3059*F3059)</f>
        <v/>
      </c>
      <c r="H3059" s="8">
        <f>IF(G3059="","",G3059-I3059)</f>
        <v/>
      </c>
      <c r="I3059" s="8">
        <f>IF(D3059="","",VLOOKUP(D3059, RECETTES!B:G, 6, FALSE)*E3059)</f>
        <v/>
      </c>
      <c r="J3059" s="8">
        <f>IF(G3059="","",G3059*0.20)</f>
        <v/>
      </c>
      <c r="K3059" s="8">
        <f>IF(G3059="","",G3059+J3059)</f>
        <v/>
      </c>
    </row>
    <row r="3060">
      <c r="F3060" s="8" t="n"/>
      <c r="G3060" s="8">
        <f>IF(E3060="","",E3060*F3060)</f>
        <v/>
      </c>
      <c r="H3060" s="8">
        <f>IF(G3060="","",G3060-I3060)</f>
        <v/>
      </c>
      <c r="I3060" s="8">
        <f>IF(D3060="","",VLOOKUP(D3060, RECETTES!B:G, 6, FALSE)*E3060)</f>
        <v/>
      </c>
      <c r="J3060" s="8">
        <f>IF(G3060="","",G3060*0.20)</f>
        <v/>
      </c>
      <c r="K3060" s="8">
        <f>IF(G3060="","",G3060+J3060)</f>
        <v/>
      </c>
    </row>
    <row r="3061">
      <c r="F3061" s="8" t="n"/>
      <c r="G3061" s="8">
        <f>IF(E3061="","",E3061*F3061)</f>
        <v/>
      </c>
      <c r="H3061" s="8">
        <f>IF(G3061="","",G3061-I3061)</f>
        <v/>
      </c>
      <c r="I3061" s="8">
        <f>IF(D3061="","",VLOOKUP(D3061, RECETTES!B:G, 6, FALSE)*E3061)</f>
        <v/>
      </c>
      <c r="J3061" s="8">
        <f>IF(G3061="","",G3061*0.20)</f>
        <v/>
      </c>
      <c r="K3061" s="8">
        <f>IF(G3061="","",G3061+J3061)</f>
        <v/>
      </c>
    </row>
    <row r="3062">
      <c r="F3062" s="8" t="n"/>
      <c r="G3062" s="8">
        <f>IF(E3062="","",E3062*F3062)</f>
        <v/>
      </c>
      <c r="H3062" s="8">
        <f>IF(G3062="","",G3062-I3062)</f>
        <v/>
      </c>
      <c r="I3062" s="8">
        <f>IF(D3062="","",VLOOKUP(D3062, RECETTES!B:G, 6, FALSE)*E3062)</f>
        <v/>
      </c>
      <c r="J3062" s="8">
        <f>IF(G3062="","",G3062*0.20)</f>
        <v/>
      </c>
      <c r="K3062" s="8">
        <f>IF(G3062="","",G3062+J3062)</f>
        <v/>
      </c>
    </row>
    <row r="3063">
      <c r="F3063" s="8" t="n"/>
      <c r="G3063" s="8">
        <f>IF(E3063="","",E3063*F3063)</f>
        <v/>
      </c>
      <c r="H3063" s="8">
        <f>IF(G3063="","",G3063-I3063)</f>
        <v/>
      </c>
      <c r="I3063" s="8">
        <f>IF(D3063="","",VLOOKUP(D3063, RECETTES!B:G, 6, FALSE)*E3063)</f>
        <v/>
      </c>
      <c r="J3063" s="8">
        <f>IF(G3063="","",G3063*0.20)</f>
        <v/>
      </c>
      <c r="K3063" s="8">
        <f>IF(G3063="","",G3063+J3063)</f>
        <v/>
      </c>
    </row>
    <row r="3064">
      <c r="F3064" s="8" t="n"/>
      <c r="G3064" s="8">
        <f>IF(E3064="","",E3064*F3064)</f>
        <v/>
      </c>
      <c r="H3064" s="8">
        <f>IF(G3064="","",G3064-I3064)</f>
        <v/>
      </c>
      <c r="I3064" s="8">
        <f>IF(D3064="","",VLOOKUP(D3064, RECETTES!B:G, 6, FALSE)*E3064)</f>
        <v/>
      </c>
      <c r="J3064" s="8">
        <f>IF(G3064="","",G3064*0.20)</f>
        <v/>
      </c>
      <c r="K3064" s="8">
        <f>IF(G3064="","",G3064+J3064)</f>
        <v/>
      </c>
    </row>
    <row r="3065">
      <c r="F3065" s="8" t="n"/>
      <c r="G3065" s="8">
        <f>IF(E3065="","",E3065*F3065)</f>
        <v/>
      </c>
      <c r="H3065" s="8">
        <f>IF(G3065="","",G3065-I3065)</f>
        <v/>
      </c>
      <c r="I3065" s="8">
        <f>IF(D3065="","",VLOOKUP(D3065, RECETTES!B:G, 6, FALSE)*E3065)</f>
        <v/>
      </c>
      <c r="J3065" s="8">
        <f>IF(G3065="","",G3065*0.20)</f>
        <v/>
      </c>
      <c r="K3065" s="8">
        <f>IF(G3065="","",G3065+J3065)</f>
        <v/>
      </c>
    </row>
    <row r="3066">
      <c r="F3066" s="8" t="n"/>
      <c r="G3066" s="8">
        <f>IF(E3066="","",E3066*F3066)</f>
        <v/>
      </c>
      <c r="H3066" s="8">
        <f>IF(G3066="","",G3066-I3066)</f>
        <v/>
      </c>
      <c r="I3066" s="8">
        <f>IF(D3066="","",VLOOKUP(D3066, RECETTES!B:G, 6, FALSE)*E3066)</f>
        <v/>
      </c>
      <c r="J3066" s="8">
        <f>IF(G3066="","",G3066*0.20)</f>
        <v/>
      </c>
      <c r="K3066" s="8">
        <f>IF(G3066="","",G3066+J3066)</f>
        <v/>
      </c>
    </row>
    <row r="3067">
      <c r="F3067" s="8" t="n"/>
      <c r="G3067" s="8">
        <f>IF(E3067="","",E3067*F3067)</f>
        <v/>
      </c>
      <c r="H3067" s="8">
        <f>IF(G3067="","",G3067-I3067)</f>
        <v/>
      </c>
      <c r="I3067" s="8">
        <f>IF(D3067="","",VLOOKUP(D3067, RECETTES!B:G, 6, FALSE)*E3067)</f>
        <v/>
      </c>
      <c r="J3067" s="8">
        <f>IF(G3067="","",G3067*0.20)</f>
        <v/>
      </c>
      <c r="K3067" s="8">
        <f>IF(G3067="","",G3067+J3067)</f>
        <v/>
      </c>
    </row>
    <row r="3068">
      <c r="F3068" s="8" t="n"/>
      <c r="G3068" s="8">
        <f>IF(E3068="","",E3068*F3068)</f>
        <v/>
      </c>
      <c r="H3068" s="8">
        <f>IF(G3068="","",G3068-I3068)</f>
        <v/>
      </c>
      <c r="I3068" s="8">
        <f>IF(D3068="","",VLOOKUP(D3068, RECETTES!B:G, 6, FALSE)*E3068)</f>
        <v/>
      </c>
      <c r="J3068" s="8">
        <f>IF(G3068="","",G3068*0.20)</f>
        <v/>
      </c>
      <c r="K3068" s="8">
        <f>IF(G3068="","",G3068+J3068)</f>
        <v/>
      </c>
    </row>
    <row r="3069">
      <c r="F3069" s="8" t="n"/>
      <c r="G3069" s="8">
        <f>IF(E3069="","",E3069*F3069)</f>
        <v/>
      </c>
      <c r="H3069" s="8">
        <f>IF(G3069="","",G3069-I3069)</f>
        <v/>
      </c>
      <c r="I3069" s="8">
        <f>IF(D3069="","",VLOOKUP(D3069, RECETTES!B:G, 6, FALSE)*E3069)</f>
        <v/>
      </c>
      <c r="J3069" s="8">
        <f>IF(G3069="","",G3069*0.20)</f>
        <v/>
      </c>
      <c r="K3069" s="8">
        <f>IF(G3069="","",G3069+J3069)</f>
        <v/>
      </c>
    </row>
    <row r="3070">
      <c r="F3070" s="8" t="n"/>
      <c r="G3070" s="8">
        <f>IF(E3070="","",E3070*F3070)</f>
        <v/>
      </c>
      <c r="H3070" s="8">
        <f>IF(G3070="","",G3070-I3070)</f>
        <v/>
      </c>
      <c r="I3070" s="8">
        <f>IF(D3070="","",VLOOKUP(D3070, RECETTES!B:G, 6, FALSE)*E3070)</f>
        <v/>
      </c>
      <c r="J3070" s="8">
        <f>IF(G3070="","",G3070*0.20)</f>
        <v/>
      </c>
      <c r="K3070" s="8">
        <f>IF(G3070="","",G3070+J3070)</f>
        <v/>
      </c>
    </row>
    <row r="3071">
      <c r="F3071" s="8" t="n"/>
      <c r="G3071" s="8">
        <f>IF(E3071="","",E3071*F3071)</f>
        <v/>
      </c>
      <c r="H3071" s="8">
        <f>IF(G3071="","",G3071-I3071)</f>
        <v/>
      </c>
      <c r="I3071" s="8">
        <f>IF(D3071="","",VLOOKUP(D3071, RECETTES!B:G, 6, FALSE)*E3071)</f>
        <v/>
      </c>
      <c r="J3071" s="8">
        <f>IF(G3071="","",G3071*0.20)</f>
        <v/>
      </c>
      <c r="K3071" s="8">
        <f>IF(G3071="","",G3071+J3071)</f>
        <v/>
      </c>
    </row>
    <row r="3072">
      <c r="F3072" s="8" t="n"/>
      <c r="G3072" s="8">
        <f>IF(E3072="","",E3072*F3072)</f>
        <v/>
      </c>
      <c r="H3072" s="8">
        <f>IF(G3072="","",G3072-I3072)</f>
        <v/>
      </c>
      <c r="I3072" s="8">
        <f>IF(D3072="","",VLOOKUP(D3072, RECETTES!B:G, 6, FALSE)*E3072)</f>
        <v/>
      </c>
      <c r="J3072" s="8">
        <f>IF(G3072="","",G3072*0.20)</f>
        <v/>
      </c>
      <c r="K3072" s="8">
        <f>IF(G3072="","",G3072+J3072)</f>
        <v/>
      </c>
    </row>
    <row r="3073">
      <c r="F3073" s="8" t="n"/>
      <c r="G3073" s="8">
        <f>IF(E3073="","",E3073*F3073)</f>
        <v/>
      </c>
      <c r="H3073" s="8">
        <f>IF(G3073="","",G3073-I3073)</f>
        <v/>
      </c>
      <c r="I3073" s="8">
        <f>IF(D3073="","",VLOOKUP(D3073, RECETTES!B:G, 6, FALSE)*E3073)</f>
        <v/>
      </c>
      <c r="J3073" s="8">
        <f>IF(G3073="","",G3073*0.20)</f>
        <v/>
      </c>
      <c r="K3073" s="8">
        <f>IF(G3073="","",G3073+J3073)</f>
        <v/>
      </c>
    </row>
    <row r="3074">
      <c r="F3074" s="8" t="n"/>
      <c r="G3074" s="8">
        <f>IF(E3074="","",E3074*F3074)</f>
        <v/>
      </c>
      <c r="H3074" s="8">
        <f>IF(G3074="","",G3074-I3074)</f>
        <v/>
      </c>
      <c r="I3074" s="8">
        <f>IF(D3074="","",VLOOKUP(D3074, RECETTES!B:G, 6, FALSE)*E3074)</f>
        <v/>
      </c>
      <c r="J3074" s="8">
        <f>IF(G3074="","",G3074*0.20)</f>
        <v/>
      </c>
      <c r="K3074" s="8">
        <f>IF(G3074="","",G3074+J3074)</f>
        <v/>
      </c>
    </row>
    <row r="3075">
      <c r="F3075" s="8" t="n"/>
      <c r="G3075" s="8">
        <f>IF(E3075="","",E3075*F3075)</f>
        <v/>
      </c>
      <c r="H3075" s="8">
        <f>IF(G3075="","",G3075-I3075)</f>
        <v/>
      </c>
      <c r="I3075" s="8">
        <f>IF(D3075="","",VLOOKUP(D3075, RECETTES!B:G, 6, FALSE)*E3075)</f>
        <v/>
      </c>
      <c r="J3075" s="8">
        <f>IF(G3075="","",G3075*0.20)</f>
        <v/>
      </c>
      <c r="K3075" s="8">
        <f>IF(G3075="","",G3075+J3075)</f>
        <v/>
      </c>
    </row>
    <row r="3076">
      <c r="F3076" s="8" t="n"/>
      <c r="G3076" s="8">
        <f>IF(E3076="","",E3076*F3076)</f>
        <v/>
      </c>
      <c r="H3076" s="8">
        <f>IF(G3076="","",G3076-I3076)</f>
        <v/>
      </c>
      <c r="I3076" s="8">
        <f>IF(D3076="","",VLOOKUP(D3076, RECETTES!B:G, 6, FALSE)*E3076)</f>
        <v/>
      </c>
      <c r="J3076" s="8">
        <f>IF(G3076="","",G3076*0.20)</f>
        <v/>
      </c>
      <c r="K3076" s="8">
        <f>IF(G3076="","",G3076+J3076)</f>
        <v/>
      </c>
    </row>
    <row r="3077">
      <c r="F3077" s="8" t="n"/>
      <c r="G3077" s="8">
        <f>IF(E3077="","",E3077*F3077)</f>
        <v/>
      </c>
      <c r="H3077" s="8">
        <f>IF(G3077="","",G3077-I3077)</f>
        <v/>
      </c>
      <c r="I3077" s="8">
        <f>IF(D3077="","",VLOOKUP(D3077, RECETTES!B:G, 6, FALSE)*E3077)</f>
        <v/>
      </c>
      <c r="J3077" s="8">
        <f>IF(G3077="","",G3077*0.20)</f>
        <v/>
      </c>
      <c r="K3077" s="8">
        <f>IF(G3077="","",G3077+J3077)</f>
        <v/>
      </c>
    </row>
    <row r="3078">
      <c r="F3078" s="8" t="n"/>
      <c r="G3078" s="8">
        <f>IF(E3078="","",E3078*F3078)</f>
        <v/>
      </c>
      <c r="H3078" s="8">
        <f>IF(G3078="","",G3078-I3078)</f>
        <v/>
      </c>
      <c r="I3078" s="8">
        <f>IF(D3078="","",VLOOKUP(D3078, RECETTES!B:G, 6, FALSE)*E3078)</f>
        <v/>
      </c>
      <c r="J3078" s="8">
        <f>IF(G3078="","",G3078*0.20)</f>
        <v/>
      </c>
      <c r="K3078" s="8">
        <f>IF(G3078="","",G3078+J3078)</f>
        <v/>
      </c>
    </row>
    <row r="3079">
      <c r="F3079" s="8" t="n"/>
      <c r="G3079" s="8">
        <f>IF(E3079="","",E3079*F3079)</f>
        <v/>
      </c>
      <c r="H3079" s="8">
        <f>IF(G3079="","",G3079-I3079)</f>
        <v/>
      </c>
      <c r="I3079" s="8">
        <f>IF(D3079="","",VLOOKUP(D3079, RECETTES!B:G, 6, FALSE)*E3079)</f>
        <v/>
      </c>
      <c r="J3079" s="8">
        <f>IF(G3079="","",G3079*0.20)</f>
        <v/>
      </c>
      <c r="K3079" s="8">
        <f>IF(G3079="","",G3079+J3079)</f>
        <v/>
      </c>
    </row>
    <row r="3080">
      <c r="F3080" s="8" t="n"/>
      <c r="G3080" s="8">
        <f>IF(E3080="","",E3080*F3080)</f>
        <v/>
      </c>
      <c r="H3080" s="8">
        <f>IF(G3080="","",G3080-I3080)</f>
        <v/>
      </c>
      <c r="I3080" s="8">
        <f>IF(D3080="","",VLOOKUP(D3080, RECETTES!B:G, 6, FALSE)*E3080)</f>
        <v/>
      </c>
      <c r="J3080" s="8">
        <f>IF(G3080="","",G3080*0.20)</f>
        <v/>
      </c>
      <c r="K3080" s="8">
        <f>IF(G3080="","",G3080+J3080)</f>
        <v/>
      </c>
    </row>
    <row r="3081">
      <c r="F3081" s="8" t="n"/>
      <c r="G3081" s="8">
        <f>IF(E3081="","",E3081*F3081)</f>
        <v/>
      </c>
      <c r="H3081" s="8">
        <f>IF(G3081="","",G3081-I3081)</f>
        <v/>
      </c>
      <c r="I3081" s="8">
        <f>IF(D3081="","",VLOOKUP(D3081, RECETTES!B:G, 6, FALSE)*E3081)</f>
        <v/>
      </c>
      <c r="J3081" s="8">
        <f>IF(G3081="","",G3081*0.20)</f>
        <v/>
      </c>
      <c r="K3081" s="8">
        <f>IF(G3081="","",G3081+J3081)</f>
        <v/>
      </c>
    </row>
    <row r="3082">
      <c r="F3082" s="8" t="n"/>
      <c r="G3082" s="8">
        <f>IF(E3082="","",E3082*F3082)</f>
        <v/>
      </c>
      <c r="H3082" s="8">
        <f>IF(G3082="","",G3082-I3082)</f>
        <v/>
      </c>
      <c r="I3082" s="8">
        <f>IF(D3082="","",VLOOKUP(D3082, RECETTES!B:G, 6, FALSE)*E3082)</f>
        <v/>
      </c>
      <c r="J3082" s="8">
        <f>IF(G3082="","",G3082*0.20)</f>
        <v/>
      </c>
      <c r="K3082" s="8">
        <f>IF(G3082="","",G3082+J3082)</f>
        <v/>
      </c>
    </row>
    <row r="3083">
      <c r="F3083" s="8" t="n"/>
      <c r="G3083" s="8">
        <f>IF(E3083="","",E3083*F3083)</f>
        <v/>
      </c>
      <c r="H3083" s="8">
        <f>IF(G3083="","",G3083-I3083)</f>
        <v/>
      </c>
      <c r="I3083" s="8">
        <f>IF(D3083="","",VLOOKUP(D3083, RECETTES!B:G, 6, FALSE)*E3083)</f>
        <v/>
      </c>
      <c r="J3083" s="8">
        <f>IF(G3083="","",G3083*0.20)</f>
        <v/>
      </c>
      <c r="K3083" s="8">
        <f>IF(G3083="","",G3083+J3083)</f>
        <v/>
      </c>
    </row>
    <row r="3084">
      <c r="F3084" s="8" t="n"/>
      <c r="G3084" s="8">
        <f>IF(E3084="","",E3084*F3084)</f>
        <v/>
      </c>
      <c r="H3084" s="8">
        <f>IF(G3084="","",G3084-I3084)</f>
        <v/>
      </c>
      <c r="I3084" s="8">
        <f>IF(D3084="","",VLOOKUP(D3084, RECETTES!B:G, 6, FALSE)*E3084)</f>
        <v/>
      </c>
      <c r="J3084" s="8">
        <f>IF(G3084="","",G3084*0.20)</f>
        <v/>
      </c>
      <c r="K3084" s="8">
        <f>IF(G3084="","",G3084+J3084)</f>
        <v/>
      </c>
    </row>
    <row r="3085">
      <c r="F3085" s="8" t="n"/>
      <c r="G3085" s="8">
        <f>IF(E3085="","",E3085*F3085)</f>
        <v/>
      </c>
      <c r="H3085" s="8">
        <f>IF(G3085="","",G3085-I3085)</f>
        <v/>
      </c>
      <c r="I3085" s="8">
        <f>IF(D3085="","",VLOOKUP(D3085, RECETTES!B:G, 6, FALSE)*E3085)</f>
        <v/>
      </c>
      <c r="J3085" s="8">
        <f>IF(G3085="","",G3085*0.20)</f>
        <v/>
      </c>
      <c r="K3085" s="8">
        <f>IF(G3085="","",G3085+J3085)</f>
        <v/>
      </c>
    </row>
    <row r="3086">
      <c r="F3086" s="8" t="n"/>
      <c r="G3086" s="8">
        <f>IF(E3086="","",E3086*F3086)</f>
        <v/>
      </c>
      <c r="H3086" s="8">
        <f>IF(G3086="","",G3086-I3086)</f>
        <v/>
      </c>
      <c r="I3086" s="8">
        <f>IF(D3086="","",VLOOKUP(D3086, RECETTES!B:G, 6, FALSE)*E3086)</f>
        <v/>
      </c>
      <c r="J3086" s="8">
        <f>IF(G3086="","",G3086*0.20)</f>
        <v/>
      </c>
      <c r="K3086" s="8">
        <f>IF(G3086="","",G3086+J3086)</f>
        <v/>
      </c>
    </row>
    <row r="3087">
      <c r="F3087" s="8" t="n"/>
      <c r="G3087" s="8">
        <f>IF(E3087="","",E3087*F3087)</f>
        <v/>
      </c>
      <c r="H3087" s="8">
        <f>IF(G3087="","",G3087-I3087)</f>
        <v/>
      </c>
      <c r="I3087" s="8">
        <f>IF(D3087="","",VLOOKUP(D3087, RECETTES!B:G, 6, FALSE)*E3087)</f>
        <v/>
      </c>
      <c r="J3087" s="8">
        <f>IF(G3087="","",G3087*0.20)</f>
        <v/>
      </c>
      <c r="K3087" s="8">
        <f>IF(G3087="","",G3087+J3087)</f>
        <v/>
      </c>
    </row>
    <row r="3088">
      <c r="F3088" s="8" t="n"/>
      <c r="G3088" s="8">
        <f>IF(E3088="","",E3088*F3088)</f>
        <v/>
      </c>
      <c r="H3088" s="8">
        <f>IF(G3088="","",G3088-I3088)</f>
        <v/>
      </c>
      <c r="I3088" s="8">
        <f>IF(D3088="","",VLOOKUP(D3088, RECETTES!B:G, 6, FALSE)*E3088)</f>
        <v/>
      </c>
      <c r="J3088" s="8">
        <f>IF(G3088="","",G3088*0.20)</f>
        <v/>
      </c>
      <c r="K3088" s="8">
        <f>IF(G3088="","",G3088+J3088)</f>
        <v/>
      </c>
    </row>
    <row r="3089">
      <c r="F3089" s="8" t="n"/>
      <c r="G3089" s="8">
        <f>IF(E3089="","",E3089*F3089)</f>
        <v/>
      </c>
      <c r="H3089" s="8">
        <f>IF(G3089="","",G3089-I3089)</f>
        <v/>
      </c>
      <c r="I3089" s="8">
        <f>IF(D3089="","",VLOOKUP(D3089, RECETTES!B:G, 6, FALSE)*E3089)</f>
        <v/>
      </c>
      <c r="J3089" s="8">
        <f>IF(G3089="","",G3089*0.20)</f>
        <v/>
      </c>
      <c r="K3089" s="8">
        <f>IF(G3089="","",G3089+J3089)</f>
        <v/>
      </c>
    </row>
    <row r="3090">
      <c r="F3090" s="8" t="n"/>
      <c r="G3090" s="8">
        <f>IF(E3090="","",E3090*F3090)</f>
        <v/>
      </c>
      <c r="H3090" s="8">
        <f>IF(G3090="","",G3090-I3090)</f>
        <v/>
      </c>
      <c r="I3090" s="8">
        <f>IF(D3090="","",VLOOKUP(D3090, RECETTES!B:G, 6, FALSE)*E3090)</f>
        <v/>
      </c>
      <c r="J3090" s="8">
        <f>IF(G3090="","",G3090*0.20)</f>
        <v/>
      </c>
      <c r="K3090" s="8">
        <f>IF(G3090="","",G3090+J3090)</f>
        <v/>
      </c>
    </row>
    <row r="3091">
      <c r="F3091" s="8" t="n"/>
      <c r="G3091" s="8">
        <f>IF(E3091="","",E3091*F3091)</f>
        <v/>
      </c>
      <c r="H3091" s="8">
        <f>IF(G3091="","",G3091-I3091)</f>
        <v/>
      </c>
      <c r="I3091" s="8">
        <f>IF(D3091="","",VLOOKUP(D3091, RECETTES!B:G, 6, FALSE)*E3091)</f>
        <v/>
      </c>
      <c r="J3091" s="8">
        <f>IF(G3091="","",G3091*0.20)</f>
        <v/>
      </c>
      <c r="K3091" s="8">
        <f>IF(G3091="","",G3091+J3091)</f>
        <v/>
      </c>
    </row>
    <row r="3092">
      <c r="F3092" s="8" t="n"/>
      <c r="G3092" s="8">
        <f>IF(E3092="","",E3092*F3092)</f>
        <v/>
      </c>
      <c r="H3092" s="8">
        <f>IF(G3092="","",G3092-I3092)</f>
        <v/>
      </c>
      <c r="I3092" s="8">
        <f>IF(D3092="","",VLOOKUP(D3092, RECETTES!B:G, 6, FALSE)*E3092)</f>
        <v/>
      </c>
      <c r="J3092" s="8">
        <f>IF(G3092="","",G3092*0.20)</f>
        <v/>
      </c>
      <c r="K3092" s="8">
        <f>IF(G3092="","",G3092+J3092)</f>
        <v/>
      </c>
    </row>
    <row r="3093">
      <c r="F3093" s="8" t="n"/>
      <c r="G3093" s="8">
        <f>IF(E3093="","",E3093*F3093)</f>
        <v/>
      </c>
      <c r="H3093" s="8">
        <f>IF(G3093="","",G3093-I3093)</f>
        <v/>
      </c>
      <c r="I3093" s="8">
        <f>IF(D3093="","",VLOOKUP(D3093, RECETTES!B:G, 6, FALSE)*E3093)</f>
        <v/>
      </c>
      <c r="J3093" s="8">
        <f>IF(G3093="","",G3093*0.20)</f>
        <v/>
      </c>
      <c r="K3093" s="8">
        <f>IF(G3093="","",G3093+J3093)</f>
        <v/>
      </c>
    </row>
    <row r="3094">
      <c r="F3094" s="8" t="n"/>
      <c r="G3094" s="8">
        <f>IF(E3094="","",E3094*F3094)</f>
        <v/>
      </c>
      <c r="H3094" s="8">
        <f>IF(G3094="","",G3094-I3094)</f>
        <v/>
      </c>
      <c r="I3094" s="8">
        <f>IF(D3094="","",VLOOKUP(D3094, RECETTES!B:G, 6, FALSE)*E3094)</f>
        <v/>
      </c>
      <c r="J3094" s="8">
        <f>IF(G3094="","",G3094*0.20)</f>
        <v/>
      </c>
      <c r="K3094" s="8">
        <f>IF(G3094="","",G3094+J3094)</f>
        <v/>
      </c>
    </row>
    <row r="3095">
      <c r="F3095" s="8" t="n"/>
      <c r="G3095" s="8">
        <f>IF(E3095="","",E3095*F3095)</f>
        <v/>
      </c>
      <c r="H3095" s="8">
        <f>IF(G3095="","",G3095-I3095)</f>
        <v/>
      </c>
      <c r="I3095" s="8">
        <f>IF(D3095="","",VLOOKUP(D3095, RECETTES!B:G, 6, FALSE)*E3095)</f>
        <v/>
      </c>
      <c r="J3095" s="8">
        <f>IF(G3095="","",G3095*0.20)</f>
        <v/>
      </c>
      <c r="K3095" s="8">
        <f>IF(G3095="","",G3095+J3095)</f>
        <v/>
      </c>
    </row>
    <row r="3096">
      <c r="F3096" s="8" t="n"/>
      <c r="G3096" s="8">
        <f>IF(E3096="","",E3096*F3096)</f>
        <v/>
      </c>
      <c r="H3096" s="8">
        <f>IF(G3096="","",G3096-I3096)</f>
        <v/>
      </c>
      <c r="I3096" s="8">
        <f>IF(D3096="","",VLOOKUP(D3096, RECETTES!B:G, 6, FALSE)*E3096)</f>
        <v/>
      </c>
      <c r="J3096" s="8">
        <f>IF(G3096="","",G3096*0.20)</f>
        <v/>
      </c>
      <c r="K3096" s="8">
        <f>IF(G3096="","",G3096+J3096)</f>
        <v/>
      </c>
    </row>
    <row r="3097">
      <c r="F3097" s="8" t="n"/>
      <c r="G3097" s="8">
        <f>IF(E3097="","",E3097*F3097)</f>
        <v/>
      </c>
      <c r="H3097" s="8">
        <f>IF(G3097="","",G3097-I3097)</f>
        <v/>
      </c>
      <c r="I3097" s="8">
        <f>IF(D3097="","",VLOOKUP(D3097, RECETTES!B:G, 6, FALSE)*E3097)</f>
        <v/>
      </c>
      <c r="J3097" s="8">
        <f>IF(G3097="","",G3097*0.20)</f>
        <v/>
      </c>
      <c r="K3097" s="8">
        <f>IF(G3097="","",G3097+J3097)</f>
        <v/>
      </c>
    </row>
    <row r="3098">
      <c r="F3098" s="8" t="n"/>
      <c r="G3098" s="8">
        <f>IF(E3098="","",E3098*F3098)</f>
        <v/>
      </c>
      <c r="H3098" s="8">
        <f>IF(G3098="","",G3098-I3098)</f>
        <v/>
      </c>
      <c r="I3098" s="8">
        <f>IF(D3098="","",VLOOKUP(D3098, RECETTES!B:G, 6, FALSE)*E3098)</f>
        <v/>
      </c>
      <c r="J3098" s="8">
        <f>IF(G3098="","",G3098*0.20)</f>
        <v/>
      </c>
      <c r="K3098" s="8">
        <f>IF(G3098="","",G3098+J3098)</f>
        <v/>
      </c>
    </row>
    <row r="3099">
      <c r="F3099" s="8" t="n"/>
      <c r="G3099" s="8">
        <f>IF(E3099="","",E3099*F3099)</f>
        <v/>
      </c>
      <c r="H3099" s="8">
        <f>IF(G3099="","",G3099-I3099)</f>
        <v/>
      </c>
      <c r="I3099" s="8">
        <f>IF(D3099="","",VLOOKUP(D3099, RECETTES!B:G, 6, FALSE)*E3099)</f>
        <v/>
      </c>
      <c r="J3099" s="8">
        <f>IF(G3099="","",G3099*0.20)</f>
        <v/>
      </c>
      <c r="K3099" s="8">
        <f>IF(G3099="","",G3099+J3099)</f>
        <v/>
      </c>
    </row>
    <row r="3100">
      <c r="F3100" s="8" t="n"/>
      <c r="G3100" s="8">
        <f>IF(E3100="","",E3100*F3100)</f>
        <v/>
      </c>
      <c r="H3100" s="8">
        <f>IF(G3100="","",G3100-I3100)</f>
        <v/>
      </c>
      <c r="I3100" s="8">
        <f>IF(D3100="","",VLOOKUP(D3100, RECETTES!B:G, 6, FALSE)*E3100)</f>
        <v/>
      </c>
      <c r="J3100" s="8">
        <f>IF(G3100="","",G3100*0.20)</f>
        <v/>
      </c>
      <c r="K3100" s="8">
        <f>IF(G3100="","",G3100+J3100)</f>
        <v/>
      </c>
    </row>
    <row r="3101">
      <c r="F3101" s="8" t="n"/>
      <c r="G3101" s="8">
        <f>IF(E3101="","",E3101*F3101)</f>
        <v/>
      </c>
      <c r="H3101" s="8">
        <f>IF(G3101="","",G3101-I3101)</f>
        <v/>
      </c>
      <c r="I3101" s="8">
        <f>IF(D3101="","",VLOOKUP(D3101, RECETTES!B:G, 6, FALSE)*E3101)</f>
        <v/>
      </c>
      <c r="J3101" s="8">
        <f>IF(G3101="","",G3101*0.20)</f>
        <v/>
      </c>
      <c r="K3101" s="8">
        <f>IF(G3101="","",G3101+J3101)</f>
        <v/>
      </c>
    </row>
    <row r="3102">
      <c r="F3102" s="8" t="n"/>
      <c r="G3102" s="8">
        <f>IF(E3102="","",E3102*F3102)</f>
        <v/>
      </c>
      <c r="H3102" s="8">
        <f>IF(G3102="","",G3102-I3102)</f>
        <v/>
      </c>
      <c r="I3102" s="8">
        <f>IF(D3102="","",VLOOKUP(D3102, RECETTES!B:G, 6, FALSE)*E3102)</f>
        <v/>
      </c>
      <c r="J3102" s="8">
        <f>IF(G3102="","",G3102*0.20)</f>
        <v/>
      </c>
      <c r="K3102" s="8">
        <f>IF(G3102="","",G3102+J3102)</f>
        <v/>
      </c>
    </row>
    <row r="3103">
      <c r="F3103" s="8" t="n"/>
      <c r="G3103" s="8">
        <f>IF(E3103="","",E3103*F3103)</f>
        <v/>
      </c>
      <c r="H3103" s="8">
        <f>IF(G3103="","",G3103-I3103)</f>
        <v/>
      </c>
      <c r="I3103" s="8">
        <f>IF(D3103="","",VLOOKUP(D3103, RECETTES!B:G, 6, FALSE)*E3103)</f>
        <v/>
      </c>
      <c r="J3103" s="8">
        <f>IF(G3103="","",G3103*0.20)</f>
        <v/>
      </c>
      <c r="K3103" s="8">
        <f>IF(G3103="","",G3103+J3103)</f>
        <v/>
      </c>
    </row>
    <row r="3104">
      <c r="F3104" s="8" t="n"/>
      <c r="G3104" s="8">
        <f>IF(E3104="","",E3104*F3104)</f>
        <v/>
      </c>
      <c r="H3104" s="8">
        <f>IF(G3104="","",G3104-I3104)</f>
        <v/>
      </c>
      <c r="I3104" s="8">
        <f>IF(D3104="","",VLOOKUP(D3104, RECETTES!B:G, 6, FALSE)*E3104)</f>
        <v/>
      </c>
      <c r="J3104" s="8">
        <f>IF(G3104="","",G3104*0.20)</f>
        <v/>
      </c>
      <c r="K3104" s="8">
        <f>IF(G3104="","",G3104+J3104)</f>
        <v/>
      </c>
    </row>
    <row r="3105">
      <c r="F3105" s="8" t="n"/>
      <c r="G3105" s="8">
        <f>IF(E3105="","",E3105*F3105)</f>
        <v/>
      </c>
      <c r="H3105" s="8">
        <f>IF(G3105="","",G3105-I3105)</f>
        <v/>
      </c>
      <c r="I3105" s="8">
        <f>IF(D3105="","",VLOOKUP(D3105, RECETTES!B:G, 6, FALSE)*E3105)</f>
        <v/>
      </c>
      <c r="J3105" s="8">
        <f>IF(G3105="","",G3105*0.20)</f>
        <v/>
      </c>
      <c r="K3105" s="8">
        <f>IF(G3105="","",G3105+J3105)</f>
        <v/>
      </c>
    </row>
    <row r="3106">
      <c r="F3106" s="8" t="n"/>
      <c r="G3106" s="8">
        <f>IF(E3106="","",E3106*F3106)</f>
        <v/>
      </c>
      <c r="H3106" s="8">
        <f>IF(G3106="","",G3106-I3106)</f>
        <v/>
      </c>
      <c r="I3106" s="8">
        <f>IF(D3106="","",VLOOKUP(D3106, RECETTES!B:G, 6, FALSE)*E3106)</f>
        <v/>
      </c>
      <c r="J3106" s="8">
        <f>IF(G3106="","",G3106*0.20)</f>
        <v/>
      </c>
      <c r="K3106" s="8">
        <f>IF(G3106="","",G3106+J3106)</f>
        <v/>
      </c>
    </row>
    <row r="3107">
      <c r="F3107" s="8" t="n"/>
      <c r="G3107" s="8">
        <f>IF(E3107="","",E3107*F3107)</f>
        <v/>
      </c>
      <c r="H3107" s="8">
        <f>IF(G3107="","",G3107-I3107)</f>
        <v/>
      </c>
      <c r="I3107" s="8">
        <f>IF(D3107="","",VLOOKUP(D3107, RECETTES!B:G, 6, FALSE)*E3107)</f>
        <v/>
      </c>
      <c r="J3107" s="8">
        <f>IF(G3107="","",G3107*0.20)</f>
        <v/>
      </c>
      <c r="K3107" s="8">
        <f>IF(G3107="","",G3107+J3107)</f>
        <v/>
      </c>
    </row>
    <row r="3108">
      <c r="F3108" s="8" t="n"/>
      <c r="G3108" s="8">
        <f>IF(E3108="","",E3108*F3108)</f>
        <v/>
      </c>
      <c r="H3108" s="8">
        <f>IF(G3108="","",G3108-I3108)</f>
        <v/>
      </c>
      <c r="I3108" s="8">
        <f>IF(D3108="","",VLOOKUP(D3108, RECETTES!B:G, 6, FALSE)*E3108)</f>
        <v/>
      </c>
      <c r="J3108" s="8">
        <f>IF(G3108="","",G3108*0.20)</f>
        <v/>
      </c>
      <c r="K3108" s="8">
        <f>IF(G3108="","",G3108+J3108)</f>
        <v/>
      </c>
    </row>
    <row r="3109">
      <c r="F3109" s="8" t="n"/>
      <c r="G3109" s="8">
        <f>IF(E3109="","",E3109*F3109)</f>
        <v/>
      </c>
      <c r="H3109" s="8">
        <f>IF(G3109="","",G3109-I3109)</f>
        <v/>
      </c>
      <c r="I3109" s="8">
        <f>IF(D3109="","",VLOOKUP(D3109, RECETTES!B:G, 6, FALSE)*E3109)</f>
        <v/>
      </c>
      <c r="J3109" s="8">
        <f>IF(G3109="","",G3109*0.20)</f>
        <v/>
      </c>
      <c r="K3109" s="8">
        <f>IF(G3109="","",G3109+J3109)</f>
        <v/>
      </c>
    </row>
    <row r="3110">
      <c r="F3110" s="8" t="n"/>
      <c r="G3110" s="8">
        <f>IF(E3110="","",E3110*F3110)</f>
        <v/>
      </c>
      <c r="H3110" s="8">
        <f>IF(G3110="","",G3110-I3110)</f>
        <v/>
      </c>
      <c r="I3110" s="8">
        <f>IF(D3110="","",VLOOKUP(D3110, RECETTES!B:G, 6, FALSE)*E3110)</f>
        <v/>
      </c>
      <c r="J3110" s="8">
        <f>IF(G3110="","",G3110*0.20)</f>
        <v/>
      </c>
      <c r="K3110" s="8">
        <f>IF(G3110="","",G3110+J3110)</f>
        <v/>
      </c>
    </row>
    <row r="3111">
      <c r="F3111" s="8" t="n"/>
      <c r="G3111" s="8">
        <f>IF(E3111="","",E3111*F3111)</f>
        <v/>
      </c>
      <c r="H3111" s="8">
        <f>IF(G3111="","",G3111-I3111)</f>
        <v/>
      </c>
      <c r="I3111" s="8">
        <f>IF(D3111="","",VLOOKUP(D3111, RECETTES!B:G, 6, FALSE)*E3111)</f>
        <v/>
      </c>
      <c r="J3111" s="8">
        <f>IF(G3111="","",G3111*0.20)</f>
        <v/>
      </c>
      <c r="K3111" s="8">
        <f>IF(G3111="","",G3111+J3111)</f>
        <v/>
      </c>
    </row>
    <row r="3112">
      <c r="F3112" s="8" t="n"/>
      <c r="G3112" s="8">
        <f>IF(E3112="","",E3112*F3112)</f>
        <v/>
      </c>
      <c r="H3112" s="8">
        <f>IF(G3112="","",G3112-I3112)</f>
        <v/>
      </c>
      <c r="I3112" s="8">
        <f>IF(D3112="","",VLOOKUP(D3112, RECETTES!B:G, 6, FALSE)*E3112)</f>
        <v/>
      </c>
      <c r="J3112" s="8">
        <f>IF(G3112="","",G3112*0.20)</f>
        <v/>
      </c>
      <c r="K3112" s="8">
        <f>IF(G3112="","",G3112+J3112)</f>
        <v/>
      </c>
    </row>
    <row r="3113">
      <c r="F3113" s="8" t="n"/>
      <c r="G3113" s="8">
        <f>IF(E3113="","",E3113*F3113)</f>
        <v/>
      </c>
      <c r="H3113" s="8">
        <f>IF(G3113="","",G3113-I3113)</f>
        <v/>
      </c>
      <c r="I3113" s="8">
        <f>IF(D3113="","",VLOOKUP(D3113, RECETTES!B:G, 6, FALSE)*E3113)</f>
        <v/>
      </c>
      <c r="J3113" s="8">
        <f>IF(G3113="","",G3113*0.20)</f>
        <v/>
      </c>
      <c r="K3113" s="8">
        <f>IF(G3113="","",G3113+J3113)</f>
        <v/>
      </c>
    </row>
    <row r="3114">
      <c r="F3114" s="8" t="n"/>
      <c r="G3114" s="8">
        <f>IF(E3114="","",E3114*F3114)</f>
        <v/>
      </c>
      <c r="H3114" s="8">
        <f>IF(G3114="","",G3114-I3114)</f>
        <v/>
      </c>
      <c r="I3114" s="8">
        <f>IF(D3114="","",VLOOKUP(D3114, RECETTES!B:G, 6, FALSE)*E3114)</f>
        <v/>
      </c>
      <c r="J3114" s="8">
        <f>IF(G3114="","",G3114*0.20)</f>
        <v/>
      </c>
      <c r="K3114" s="8">
        <f>IF(G3114="","",G3114+J3114)</f>
        <v/>
      </c>
    </row>
    <row r="3115">
      <c r="F3115" s="8" t="n"/>
      <c r="G3115" s="8">
        <f>IF(E3115="","",E3115*F3115)</f>
        <v/>
      </c>
      <c r="H3115" s="8">
        <f>IF(G3115="","",G3115-I3115)</f>
        <v/>
      </c>
      <c r="I3115" s="8">
        <f>IF(D3115="","",VLOOKUP(D3115, RECETTES!B:G, 6, FALSE)*E3115)</f>
        <v/>
      </c>
      <c r="J3115" s="8">
        <f>IF(G3115="","",G3115*0.20)</f>
        <v/>
      </c>
      <c r="K3115" s="8">
        <f>IF(G3115="","",G3115+J3115)</f>
        <v/>
      </c>
    </row>
    <row r="3116">
      <c r="F3116" s="8" t="n"/>
      <c r="G3116" s="8">
        <f>IF(E3116="","",E3116*F3116)</f>
        <v/>
      </c>
      <c r="H3116" s="8">
        <f>IF(G3116="","",G3116-I3116)</f>
        <v/>
      </c>
      <c r="I3116" s="8">
        <f>IF(D3116="","",VLOOKUP(D3116, RECETTES!B:G, 6, FALSE)*E3116)</f>
        <v/>
      </c>
      <c r="J3116" s="8">
        <f>IF(G3116="","",G3116*0.20)</f>
        <v/>
      </c>
      <c r="K3116" s="8">
        <f>IF(G3116="","",G3116+J3116)</f>
        <v/>
      </c>
    </row>
    <row r="3117">
      <c r="F3117" s="8" t="n"/>
      <c r="G3117" s="8">
        <f>IF(E3117="","",E3117*F3117)</f>
        <v/>
      </c>
      <c r="H3117" s="8">
        <f>IF(G3117="","",G3117-I3117)</f>
        <v/>
      </c>
      <c r="I3117" s="8">
        <f>IF(D3117="","",VLOOKUP(D3117, RECETTES!B:G, 6, FALSE)*E3117)</f>
        <v/>
      </c>
      <c r="J3117" s="8">
        <f>IF(G3117="","",G3117*0.20)</f>
        <v/>
      </c>
      <c r="K3117" s="8">
        <f>IF(G3117="","",G3117+J3117)</f>
        <v/>
      </c>
    </row>
    <row r="3118">
      <c r="F3118" s="8" t="n"/>
      <c r="G3118" s="8">
        <f>IF(E3118="","",E3118*F3118)</f>
        <v/>
      </c>
      <c r="H3118" s="8">
        <f>IF(G3118="","",G3118-I3118)</f>
        <v/>
      </c>
      <c r="I3118" s="8">
        <f>IF(D3118="","",VLOOKUP(D3118, RECETTES!B:G, 6, FALSE)*E3118)</f>
        <v/>
      </c>
      <c r="J3118" s="8">
        <f>IF(G3118="","",G3118*0.20)</f>
        <v/>
      </c>
      <c r="K3118" s="8">
        <f>IF(G3118="","",G3118+J3118)</f>
        <v/>
      </c>
    </row>
    <row r="3119">
      <c r="F3119" s="8" t="n"/>
      <c r="G3119" s="8">
        <f>IF(E3119="","",E3119*F3119)</f>
        <v/>
      </c>
      <c r="H3119" s="8">
        <f>IF(G3119="","",G3119-I3119)</f>
        <v/>
      </c>
      <c r="I3119" s="8">
        <f>IF(D3119="","",VLOOKUP(D3119, RECETTES!B:G, 6, FALSE)*E3119)</f>
        <v/>
      </c>
      <c r="J3119" s="8">
        <f>IF(G3119="","",G3119*0.20)</f>
        <v/>
      </c>
      <c r="K3119" s="8">
        <f>IF(G3119="","",G3119+J3119)</f>
        <v/>
      </c>
    </row>
    <row r="3120">
      <c r="F3120" s="8" t="n"/>
      <c r="G3120" s="8">
        <f>IF(E3120="","",E3120*F3120)</f>
        <v/>
      </c>
      <c r="H3120" s="8">
        <f>IF(G3120="","",G3120-I3120)</f>
        <v/>
      </c>
      <c r="I3120" s="8">
        <f>IF(D3120="","",VLOOKUP(D3120, RECETTES!B:G, 6, FALSE)*E3120)</f>
        <v/>
      </c>
      <c r="J3120" s="8">
        <f>IF(G3120="","",G3120*0.20)</f>
        <v/>
      </c>
      <c r="K3120" s="8">
        <f>IF(G3120="","",G3120+J3120)</f>
        <v/>
      </c>
    </row>
    <row r="3121">
      <c r="F3121" s="8" t="n"/>
      <c r="G3121" s="8">
        <f>IF(E3121="","",E3121*F3121)</f>
        <v/>
      </c>
      <c r="H3121" s="8">
        <f>IF(G3121="","",G3121-I3121)</f>
        <v/>
      </c>
      <c r="I3121" s="8">
        <f>IF(D3121="","",VLOOKUP(D3121, RECETTES!B:G, 6, FALSE)*E3121)</f>
        <v/>
      </c>
      <c r="J3121" s="8">
        <f>IF(G3121="","",G3121*0.20)</f>
        <v/>
      </c>
      <c r="K3121" s="8">
        <f>IF(G3121="","",G3121+J3121)</f>
        <v/>
      </c>
    </row>
    <row r="3122">
      <c r="F3122" s="8" t="n"/>
      <c r="G3122" s="8">
        <f>IF(E3122="","",E3122*F3122)</f>
        <v/>
      </c>
      <c r="H3122" s="8">
        <f>IF(G3122="","",G3122-I3122)</f>
        <v/>
      </c>
      <c r="I3122" s="8">
        <f>IF(D3122="","",VLOOKUP(D3122, RECETTES!B:G, 6, FALSE)*E3122)</f>
        <v/>
      </c>
      <c r="J3122" s="8">
        <f>IF(G3122="","",G3122*0.20)</f>
        <v/>
      </c>
      <c r="K3122" s="8">
        <f>IF(G3122="","",G3122+J3122)</f>
        <v/>
      </c>
    </row>
    <row r="3123">
      <c r="F3123" s="8" t="n"/>
      <c r="G3123" s="8">
        <f>IF(E3123="","",E3123*F3123)</f>
        <v/>
      </c>
      <c r="H3123" s="8">
        <f>IF(G3123="","",G3123-I3123)</f>
        <v/>
      </c>
      <c r="I3123" s="8">
        <f>IF(D3123="","",VLOOKUP(D3123, RECETTES!B:G, 6, FALSE)*E3123)</f>
        <v/>
      </c>
      <c r="J3123" s="8">
        <f>IF(G3123="","",G3123*0.20)</f>
        <v/>
      </c>
      <c r="K3123" s="8">
        <f>IF(G3123="","",G3123+J3123)</f>
        <v/>
      </c>
    </row>
    <row r="3124">
      <c r="F3124" s="8" t="n"/>
      <c r="G3124" s="8">
        <f>IF(E3124="","",E3124*F3124)</f>
        <v/>
      </c>
      <c r="H3124" s="8">
        <f>IF(G3124="","",G3124-I3124)</f>
        <v/>
      </c>
      <c r="I3124" s="8">
        <f>IF(D3124="","",VLOOKUP(D3124, RECETTES!B:G, 6, FALSE)*E3124)</f>
        <v/>
      </c>
      <c r="J3124" s="8">
        <f>IF(G3124="","",G3124*0.20)</f>
        <v/>
      </c>
      <c r="K3124" s="8">
        <f>IF(G3124="","",G3124+J3124)</f>
        <v/>
      </c>
    </row>
    <row r="3125">
      <c r="F3125" s="8" t="n"/>
      <c r="G3125" s="8">
        <f>IF(E3125="","",E3125*F3125)</f>
        <v/>
      </c>
      <c r="H3125" s="8">
        <f>IF(G3125="","",G3125-I3125)</f>
        <v/>
      </c>
      <c r="I3125" s="8">
        <f>IF(D3125="","",VLOOKUP(D3125, RECETTES!B:G, 6, FALSE)*E3125)</f>
        <v/>
      </c>
      <c r="J3125" s="8">
        <f>IF(G3125="","",G3125*0.20)</f>
        <v/>
      </c>
      <c r="K3125" s="8">
        <f>IF(G3125="","",G3125+J3125)</f>
        <v/>
      </c>
    </row>
    <row r="3126">
      <c r="F3126" s="8" t="n"/>
      <c r="G3126" s="8">
        <f>IF(E3126="","",E3126*F3126)</f>
        <v/>
      </c>
      <c r="H3126" s="8">
        <f>IF(G3126="","",G3126-I3126)</f>
        <v/>
      </c>
      <c r="I3126" s="8">
        <f>IF(D3126="","",VLOOKUP(D3126, RECETTES!B:G, 6, FALSE)*E3126)</f>
        <v/>
      </c>
      <c r="J3126" s="8">
        <f>IF(G3126="","",G3126*0.20)</f>
        <v/>
      </c>
      <c r="K3126" s="8">
        <f>IF(G3126="","",G3126+J3126)</f>
        <v/>
      </c>
    </row>
    <row r="3127">
      <c r="F3127" s="8" t="n"/>
      <c r="G3127" s="8">
        <f>IF(E3127="","",E3127*F3127)</f>
        <v/>
      </c>
      <c r="H3127" s="8">
        <f>IF(G3127="","",G3127-I3127)</f>
        <v/>
      </c>
      <c r="I3127" s="8">
        <f>IF(D3127="","",VLOOKUP(D3127, RECETTES!B:G, 6, FALSE)*E3127)</f>
        <v/>
      </c>
      <c r="J3127" s="8">
        <f>IF(G3127="","",G3127*0.20)</f>
        <v/>
      </c>
      <c r="K3127" s="8">
        <f>IF(G3127="","",G3127+J3127)</f>
        <v/>
      </c>
    </row>
    <row r="3128">
      <c r="F3128" s="8" t="n"/>
      <c r="G3128" s="8">
        <f>IF(E3128="","",E3128*F3128)</f>
        <v/>
      </c>
      <c r="H3128" s="8">
        <f>IF(G3128="","",G3128-I3128)</f>
        <v/>
      </c>
      <c r="I3128" s="8">
        <f>IF(D3128="","",VLOOKUP(D3128, RECETTES!B:G, 6, FALSE)*E3128)</f>
        <v/>
      </c>
      <c r="J3128" s="8">
        <f>IF(G3128="","",G3128*0.20)</f>
        <v/>
      </c>
      <c r="K3128" s="8">
        <f>IF(G3128="","",G3128+J3128)</f>
        <v/>
      </c>
    </row>
    <row r="3129">
      <c r="F3129" s="8" t="n"/>
      <c r="G3129" s="8">
        <f>IF(E3129="","",E3129*F3129)</f>
        <v/>
      </c>
      <c r="H3129" s="8">
        <f>IF(G3129="","",G3129-I3129)</f>
        <v/>
      </c>
      <c r="I3129" s="8">
        <f>IF(D3129="","",VLOOKUP(D3129, RECETTES!B:G, 6, FALSE)*E3129)</f>
        <v/>
      </c>
      <c r="J3129" s="8">
        <f>IF(G3129="","",G3129*0.20)</f>
        <v/>
      </c>
      <c r="K3129" s="8">
        <f>IF(G3129="","",G3129+J3129)</f>
        <v/>
      </c>
    </row>
    <row r="3130">
      <c r="F3130" s="8" t="n"/>
      <c r="G3130" s="8">
        <f>IF(E3130="","",E3130*F3130)</f>
        <v/>
      </c>
      <c r="H3130" s="8">
        <f>IF(G3130="","",G3130-I3130)</f>
        <v/>
      </c>
      <c r="I3130" s="8">
        <f>IF(D3130="","",VLOOKUP(D3130, RECETTES!B:G, 6, FALSE)*E3130)</f>
        <v/>
      </c>
      <c r="J3130" s="8">
        <f>IF(G3130="","",G3130*0.20)</f>
        <v/>
      </c>
      <c r="K3130" s="8">
        <f>IF(G3130="","",G3130+J3130)</f>
        <v/>
      </c>
    </row>
    <row r="3131">
      <c r="F3131" s="8" t="n"/>
      <c r="G3131" s="8">
        <f>IF(E3131="","",E3131*F3131)</f>
        <v/>
      </c>
      <c r="H3131" s="8">
        <f>IF(G3131="","",G3131-I3131)</f>
        <v/>
      </c>
      <c r="I3131" s="8">
        <f>IF(D3131="","",VLOOKUP(D3131, RECETTES!B:G, 6, FALSE)*E3131)</f>
        <v/>
      </c>
      <c r="J3131" s="8">
        <f>IF(G3131="","",G3131*0.20)</f>
        <v/>
      </c>
      <c r="K3131" s="8">
        <f>IF(G3131="","",G3131+J3131)</f>
        <v/>
      </c>
    </row>
    <row r="3132">
      <c r="F3132" s="8" t="n"/>
      <c r="G3132" s="8">
        <f>IF(E3132="","",E3132*F3132)</f>
        <v/>
      </c>
      <c r="H3132" s="8">
        <f>IF(G3132="","",G3132-I3132)</f>
        <v/>
      </c>
      <c r="I3132" s="8">
        <f>IF(D3132="","",VLOOKUP(D3132, RECETTES!B:G, 6, FALSE)*E3132)</f>
        <v/>
      </c>
      <c r="J3132" s="8">
        <f>IF(G3132="","",G3132*0.20)</f>
        <v/>
      </c>
      <c r="K3132" s="8">
        <f>IF(G3132="","",G3132+J3132)</f>
        <v/>
      </c>
    </row>
    <row r="3133">
      <c r="F3133" s="8" t="n"/>
      <c r="G3133" s="8">
        <f>IF(E3133="","",E3133*F3133)</f>
        <v/>
      </c>
      <c r="H3133" s="8">
        <f>IF(G3133="","",G3133-I3133)</f>
        <v/>
      </c>
      <c r="I3133" s="8">
        <f>IF(D3133="","",VLOOKUP(D3133, RECETTES!B:G, 6, FALSE)*E3133)</f>
        <v/>
      </c>
      <c r="J3133" s="8">
        <f>IF(G3133="","",G3133*0.20)</f>
        <v/>
      </c>
      <c r="K3133" s="8">
        <f>IF(G3133="","",G3133+J3133)</f>
        <v/>
      </c>
    </row>
    <row r="3134">
      <c r="F3134" s="8" t="n"/>
      <c r="G3134" s="8">
        <f>IF(E3134="","",E3134*F3134)</f>
        <v/>
      </c>
      <c r="H3134" s="8">
        <f>IF(G3134="","",G3134-I3134)</f>
        <v/>
      </c>
      <c r="I3134" s="8">
        <f>IF(D3134="","",VLOOKUP(D3134, RECETTES!B:G, 6, FALSE)*E3134)</f>
        <v/>
      </c>
      <c r="J3134" s="8">
        <f>IF(G3134="","",G3134*0.20)</f>
        <v/>
      </c>
      <c r="K3134" s="8">
        <f>IF(G3134="","",G3134+J3134)</f>
        <v/>
      </c>
    </row>
    <row r="3135">
      <c r="F3135" s="8" t="n"/>
      <c r="G3135" s="8">
        <f>IF(E3135="","",E3135*F3135)</f>
        <v/>
      </c>
      <c r="H3135" s="8">
        <f>IF(G3135="","",G3135-I3135)</f>
        <v/>
      </c>
      <c r="I3135" s="8">
        <f>IF(D3135="","",VLOOKUP(D3135, RECETTES!B:G, 6, FALSE)*E3135)</f>
        <v/>
      </c>
      <c r="J3135" s="8">
        <f>IF(G3135="","",G3135*0.20)</f>
        <v/>
      </c>
      <c r="K3135" s="8">
        <f>IF(G3135="","",G3135+J3135)</f>
        <v/>
      </c>
    </row>
    <row r="3136">
      <c r="F3136" s="8" t="n"/>
      <c r="G3136" s="8">
        <f>IF(E3136="","",E3136*F3136)</f>
        <v/>
      </c>
      <c r="H3136" s="8">
        <f>IF(G3136="","",G3136-I3136)</f>
        <v/>
      </c>
      <c r="I3136" s="8">
        <f>IF(D3136="","",VLOOKUP(D3136, RECETTES!B:G, 6, FALSE)*E3136)</f>
        <v/>
      </c>
      <c r="J3136" s="8">
        <f>IF(G3136="","",G3136*0.20)</f>
        <v/>
      </c>
      <c r="K3136" s="8">
        <f>IF(G3136="","",G3136+J3136)</f>
        <v/>
      </c>
    </row>
    <row r="3137">
      <c r="F3137" s="8" t="n"/>
      <c r="G3137" s="8">
        <f>IF(E3137="","",E3137*F3137)</f>
        <v/>
      </c>
      <c r="H3137" s="8">
        <f>IF(G3137="","",G3137-I3137)</f>
        <v/>
      </c>
      <c r="I3137" s="8">
        <f>IF(D3137="","",VLOOKUP(D3137, RECETTES!B:G, 6, FALSE)*E3137)</f>
        <v/>
      </c>
      <c r="J3137" s="8">
        <f>IF(G3137="","",G3137*0.20)</f>
        <v/>
      </c>
      <c r="K3137" s="8">
        <f>IF(G3137="","",G3137+J3137)</f>
        <v/>
      </c>
    </row>
    <row r="3138">
      <c r="F3138" s="8" t="n"/>
      <c r="G3138" s="8">
        <f>IF(E3138="","",E3138*F3138)</f>
        <v/>
      </c>
      <c r="H3138" s="8">
        <f>IF(G3138="","",G3138-I3138)</f>
        <v/>
      </c>
      <c r="I3138" s="8">
        <f>IF(D3138="","",VLOOKUP(D3138, RECETTES!B:G, 6, FALSE)*E3138)</f>
        <v/>
      </c>
      <c r="J3138" s="8">
        <f>IF(G3138="","",G3138*0.20)</f>
        <v/>
      </c>
      <c r="K3138" s="8">
        <f>IF(G3138="","",G3138+J3138)</f>
        <v/>
      </c>
    </row>
    <row r="3139">
      <c r="F3139" s="8" t="n"/>
      <c r="G3139" s="8">
        <f>IF(E3139="","",E3139*F3139)</f>
        <v/>
      </c>
      <c r="H3139" s="8">
        <f>IF(G3139="","",G3139-I3139)</f>
        <v/>
      </c>
      <c r="I3139" s="8">
        <f>IF(D3139="","",VLOOKUP(D3139, RECETTES!B:G, 6, FALSE)*E3139)</f>
        <v/>
      </c>
      <c r="J3139" s="8">
        <f>IF(G3139="","",G3139*0.20)</f>
        <v/>
      </c>
      <c r="K3139" s="8">
        <f>IF(G3139="","",G3139+J3139)</f>
        <v/>
      </c>
    </row>
    <row r="3140">
      <c r="F3140" s="8" t="n"/>
      <c r="G3140" s="8">
        <f>IF(E3140="","",E3140*F3140)</f>
        <v/>
      </c>
      <c r="H3140" s="8">
        <f>IF(G3140="","",G3140-I3140)</f>
        <v/>
      </c>
      <c r="I3140" s="8">
        <f>IF(D3140="","",VLOOKUP(D3140, RECETTES!B:G, 6, FALSE)*E3140)</f>
        <v/>
      </c>
      <c r="J3140" s="8">
        <f>IF(G3140="","",G3140*0.20)</f>
        <v/>
      </c>
      <c r="K3140" s="8">
        <f>IF(G3140="","",G3140+J3140)</f>
        <v/>
      </c>
    </row>
    <row r="3141">
      <c r="F3141" s="8" t="n"/>
      <c r="G3141" s="8">
        <f>IF(E3141="","",E3141*F3141)</f>
        <v/>
      </c>
      <c r="H3141" s="8">
        <f>IF(G3141="","",G3141-I3141)</f>
        <v/>
      </c>
      <c r="I3141" s="8">
        <f>IF(D3141="","",VLOOKUP(D3141, RECETTES!B:G, 6, FALSE)*E3141)</f>
        <v/>
      </c>
      <c r="J3141" s="8">
        <f>IF(G3141="","",G3141*0.20)</f>
        <v/>
      </c>
      <c r="K3141" s="8">
        <f>IF(G3141="","",G3141+J3141)</f>
        <v/>
      </c>
    </row>
    <row r="3142">
      <c r="F3142" s="8" t="n"/>
      <c r="G3142" s="8">
        <f>IF(E3142="","",E3142*F3142)</f>
        <v/>
      </c>
      <c r="H3142" s="8">
        <f>IF(G3142="","",G3142-I3142)</f>
        <v/>
      </c>
      <c r="I3142" s="8">
        <f>IF(D3142="","",VLOOKUP(D3142, RECETTES!B:G, 6, FALSE)*E3142)</f>
        <v/>
      </c>
      <c r="J3142" s="8">
        <f>IF(G3142="","",G3142*0.20)</f>
        <v/>
      </c>
      <c r="K3142" s="8">
        <f>IF(G3142="","",G3142+J3142)</f>
        <v/>
      </c>
    </row>
    <row r="3143">
      <c r="F3143" s="8" t="n"/>
      <c r="G3143" s="8">
        <f>IF(E3143="","",E3143*F3143)</f>
        <v/>
      </c>
      <c r="H3143" s="8">
        <f>IF(G3143="","",G3143-I3143)</f>
        <v/>
      </c>
      <c r="I3143" s="8">
        <f>IF(D3143="","",VLOOKUP(D3143, RECETTES!B:G, 6, FALSE)*E3143)</f>
        <v/>
      </c>
      <c r="J3143" s="8">
        <f>IF(G3143="","",G3143*0.20)</f>
        <v/>
      </c>
      <c r="K3143" s="8">
        <f>IF(G3143="","",G3143+J3143)</f>
        <v/>
      </c>
    </row>
    <row r="3144">
      <c r="F3144" s="8" t="n"/>
      <c r="G3144" s="8">
        <f>IF(E3144="","",E3144*F3144)</f>
        <v/>
      </c>
      <c r="H3144" s="8">
        <f>IF(G3144="","",G3144-I3144)</f>
        <v/>
      </c>
      <c r="I3144" s="8">
        <f>IF(D3144="","",VLOOKUP(D3144, RECETTES!B:G, 6, FALSE)*E3144)</f>
        <v/>
      </c>
      <c r="J3144" s="8">
        <f>IF(G3144="","",G3144*0.20)</f>
        <v/>
      </c>
      <c r="K3144" s="8">
        <f>IF(G3144="","",G3144+J3144)</f>
        <v/>
      </c>
    </row>
    <row r="3145">
      <c r="F3145" s="8" t="n"/>
      <c r="G3145" s="8">
        <f>IF(E3145="","",E3145*F3145)</f>
        <v/>
      </c>
      <c r="H3145" s="8">
        <f>IF(G3145="","",G3145-I3145)</f>
        <v/>
      </c>
      <c r="I3145" s="8">
        <f>IF(D3145="","",VLOOKUP(D3145, RECETTES!B:G, 6, FALSE)*E3145)</f>
        <v/>
      </c>
      <c r="J3145" s="8">
        <f>IF(G3145="","",G3145*0.20)</f>
        <v/>
      </c>
      <c r="K3145" s="8">
        <f>IF(G3145="","",G3145+J3145)</f>
        <v/>
      </c>
    </row>
    <row r="3146">
      <c r="F3146" s="8" t="n"/>
      <c r="G3146" s="8">
        <f>IF(E3146="","",E3146*F3146)</f>
        <v/>
      </c>
      <c r="H3146" s="8">
        <f>IF(G3146="","",G3146-I3146)</f>
        <v/>
      </c>
      <c r="I3146" s="8">
        <f>IF(D3146="","",VLOOKUP(D3146, RECETTES!B:G, 6, FALSE)*E3146)</f>
        <v/>
      </c>
      <c r="J3146" s="8">
        <f>IF(G3146="","",G3146*0.20)</f>
        <v/>
      </c>
      <c r="K3146" s="8">
        <f>IF(G3146="","",G3146+J3146)</f>
        <v/>
      </c>
    </row>
    <row r="3147">
      <c r="F3147" s="8" t="n"/>
      <c r="G3147" s="8">
        <f>IF(E3147="","",E3147*F3147)</f>
        <v/>
      </c>
      <c r="H3147" s="8">
        <f>IF(G3147="","",G3147-I3147)</f>
        <v/>
      </c>
      <c r="I3147" s="8">
        <f>IF(D3147="","",VLOOKUP(D3147, RECETTES!B:G, 6, FALSE)*E3147)</f>
        <v/>
      </c>
      <c r="J3147" s="8">
        <f>IF(G3147="","",G3147*0.20)</f>
        <v/>
      </c>
      <c r="K3147" s="8">
        <f>IF(G3147="","",G3147+J3147)</f>
        <v/>
      </c>
    </row>
    <row r="3148">
      <c r="F3148" s="8" t="n"/>
      <c r="G3148" s="8">
        <f>IF(E3148="","",E3148*F3148)</f>
        <v/>
      </c>
      <c r="H3148" s="8">
        <f>IF(G3148="","",G3148-I3148)</f>
        <v/>
      </c>
      <c r="I3148" s="8">
        <f>IF(D3148="","",VLOOKUP(D3148, RECETTES!B:G, 6, FALSE)*E3148)</f>
        <v/>
      </c>
      <c r="J3148" s="8">
        <f>IF(G3148="","",G3148*0.20)</f>
        <v/>
      </c>
      <c r="K3148" s="8">
        <f>IF(G3148="","",G3148+J3148)</f>
        <v/>
      </c>
    </row>
    <row r="3149">
      <c r="F3149" s="8" t="n"/>
      <c r="G3149" s="8">
        <f>IF(E3149="","",E3149*F3149)</f>
        <v/>
      </c>
      <c r="H3149" s="8">
        <f>IF(G3149="","",G3149-I3149)</f>
        <v/>
      </c>
      <c r="I3149" s="8">
        <f>IF(D3149="","",VLOOKUP(D3149, RECETTES!B:G, 6, FALSE)*E3149)</f>
        <v/>
      </c>
      <c r="J3149" s="8">
        <f>IF(G3149="","",G3149*0.20)</f>
        <v/>
      </c>
      <c r="K3149" s="8">
        <f>IF(G3149="","",G3149+J3149)</f>
        <v/>
      </c>
    </row>
    <row r="3150">
      <c r="F3150" s="8" t="n"/>
      <c r="G3150" s="8">
        <f>IF(E3150="","",E3150*F3150)</f>
        <v/>
      </c>
      <c r="H3150" s="8">
        <f>IF(G3150="","",G3150-I3150)</f>
        <v/>
      </c>
      <c r="I3150" s="8">
        <f>IF(D3150="","",VLOOKUP(D3150, RECETTES!B:G, 6, FALSE)*E3150)</f>
        <v/>
      </c>
      <c r="J3150" s="8">
        <f>IF(G3150="","",G3150*0.20)</f>
        <v/>
      </c>
      <c r="K3150" s="8">
        <f>IF(G3150="","",G3150+J3150)</f>
        <v/>
      </c>
    </row>
    <row r="3151">
      <c r="F3151" s="8" t="n"/>
      <c r="G3151" s="8">
        <f>IF(E3151="","",E3151*F3151)</f>
        <v/>
      </c>
      <c r="H3151" s="8">
        <f>IF(G3151="","",G3151-I3151)</f>
        <v/>
      </c>
      <c r="I3151" s="8">
        <f>IF(D3151="","",VLOOKUP(D3151, RECETTES!B:G, 6, FALSE)*E3151)</f>
        <v/>
      </c>
      <c r="J3151" s="8">
        <f>IF(G3151="","",G3151*0.20)</f>
        <v/>
      </c>
      <c r="K3151" s="8">
        <f>IF(G3151="","",G3151+J3151)</f>
        <v/>
      </c>
    </row>
    <row r="3152">
      <c r="F3152" s="8" t="n"/>
      <c r="G3152" s="8">
        <f>IF(E3152="","",E3152*F3152)</f>
        <v/>
      </c>
      <c r="H3152" s="8">
        <f>IF(G3152="","",G3152-I3152)</f>
        <v/>
      </c>
      <c r="I3152" s="8">
        <f>IF(D3152="","",VLOOKUP(D3152, RECETTES!B:G, 6, FALSE)*E3152)</f>
        <v/>
      </c>
      <c r="J3152" s="8">
        <f>IF(G3152="","",G3152*0.20)</f>
        <v/>
      </c>
      <c r="K3152" s="8">
        <f>IF(G3152="","",G3152+J3152)</f>
        <v/>
      </c>
    </row>
    <row r="3153">
      <c r="F3153" s="8" t="n"/>
      <c r="G3153" s="8">
        <f>IF(E3153="","",E3153*F3153)</f>
        <v/>
      </c>
      <c r="H3153" s="8">
        <f>IF(G3153="","",G3153-I3153)</f>
        <v/>
      </c>
      <c r="I3153" s="8">
        <f>IF(D3153="","",VLOOKUP(D3153, RECETTES!B:G, 6, FALSE)*E3153)</f>
        <v/>
      </c>
      <c r="J3153" s="8">
        <f>IF(G3153="","",G3153*0.20)</f>
        <v/>
      </c>
      <c r="K3153" s="8">
        <f>IF(G3153="","",G3153+J3153)</f>
        <v/>
      </c>
    </row>
    <row r="3154">
      <c r="F3154" s="8" t="n"/>
      <c r="G3154" s="8">
        <f>IF(E3154="","",E3154*F3154)</f>
        <v/>
      </c>
      <c r="H3154" s="8">
        <f>IF(G3154="","",G3154-I3154)</f>
        <v/>
      </c>
      <c r="I3154" s="8">
        <f>IF(D3154="","",VLOOKUP(D3154, RECETTES!B:G, 6, FALSE)*E3154)</f>
        <v/>
      </c>
      <c r="J3154" s="8">
        <f>IF(G3154="","",G3154*0.20)</f>
        <v/>
      </c>
      <c r="K3154" s="8">
        <f>IF(G3154="","",G3154+J3154)</f>
        <v/>
      </c>
    </row>
    <row r="3155">
      <c r="F3155" s="8" t="n"/>
      <c r="G3155" s="8">
        <f>IF(E3155="","",E3155*F3155)</f>
        <v/>
      </c>
      <c r="H3155" s="8">
        <f>IF(G3155="","",G3155-I3155)</f>
        <v/>
      </c>
      <c r="I3155" s="8">
        <f>IF(D3155="","",VLOOKUP(D3155, RECETTES!B:G, 6, FALSE)*E3155)</f>
        <v/>
      </c>
      <c r="J3155" s="8">
        <f>IF(G3155="","",G3155*0.20)</f>
        <v/>
      </c>
      <c r="K3155" s="8">
        <f>IF(G3155="","",G3155+J3155)</f>
        <v/>
      </c>
    </row>
    <row r="3156">
      <c r="F3156" s="8" t="n"/>
      <c r="G3156" s="8">
        <f>IF(E3156="","",E3156*F3156)</f>
        <v/>
      </c>
      <c r="H3156" s="8">
        <f>IF(G3156="","",G3156-I3156)</f>
        <v/>
      </c>
      <c r="I3156" s="8">
        <f>IF(D3156="","",VLOOKUP(D3156, RECETTES!B:G, 6, FALSE)*E3156)</f>
        <v/>
      </c>
      <c r="J3156" s="8">
        <f>IF(G3156="","",G3156*0.20)</f>
        <v/>
      </c>
      <c r="K3156" s="8">
        <f>IF(G3156="","",G3156+J3156)</f>
        <v/>
      </c>
    </row>
    <row r="3157">
      <c r="F3157" s="8" t="n"/>
      <c r="G3157" s="8">
        <f>IF(E3157="","",E3157*F3157)</f>
        <v/>
      </c>
      <c r="H3157" s="8">
        <f>IF(G3157="","",G3157-I3157)</f>
        <v/>
      </c>
      <c r="I3157" s="8">
        <f>IF(D3157="","",VLOOKUP(D3157, RECETTES!B:G, 6, FALSE)*E3157)</f>
        <v/>
      </c>
      <c r="J3157" s="8">
        <f>IF(G3157="","",G3157*0.20)</f>
        <v/>
      </c>
      <c r="K3157" s="8">
        <f>IF(G3157="","",G3157+J3157)</f>
        <v/>
      </c>
    </row>
    <row r="3158">
      <c r="F3158" s="8" t="n"/>
      <c r="G3158" s="8">
        <f>IF(E3158="","",E3158*F3158)</f>
        <v/>
      </c>
      <c r="H3158" s="8">
        <f>IF(G3158="","",G3158-I3158)</f>
        <v/>
      </c>
      <c r="I3158" s="8">
        <f>IF(D3158="","",VLOOKUP(D3158, RECETTES!B:G, 6, FALSE)*E3158)</f>
        <v/>
      </c>
      <c r="J3158" s="8">
        <f>IF(G3158="","",G3158*0.20)</f>
        <v/>
      </c>
      <c r="K3158" s="8">
        <f>IF(G3158="","",G3158+J3158)</f>
        <v/>
      </c>
    </row>
    <row r="3159">
      <c r="F3159" s="8" t="n"/>
      <c r="G3159" s="8">
        <f>IF(E3159="","",E3159*F3159)</f>
        <v/>
      </c>
      <c r="H3159" s="8">
        <f>IF(G3159="","",G3159-I3159)</f>
        <v/>
      </c>
      <c r="I3159" s="8">
        <f>IF(D3159="","",VLOOKUP(D3159, RECETTES!B:G, 6, FALSE)*E3159)</f>
        <v/>
      </c>
      <c r="J3159" s="8">
        <f>IF(G3159="","",G3159*0.20)</f>
        <v/>
      </c>
      <c r="K3159" s="8">
        <f>IF(G3159="","",G3159+J3159)</f>
        <v/>
      </c>
    </row>
    <row r="3160">
      <c r="F3160" s="8" t="n"/>
      <c r="G3160" s="8">
        <f>IF(E3160="","",E3160*F3160)</f>
        <v/>
      </c>
      <c r="H3160" s="8">
        <f>IF(G3160="","",G3160-I3160)</f>
        <v/>
      </c>
      <c r="I3160" s="8">
        <f>IF(D3160="","",VLOOKUP(D3160, RECETTES!B:G, 6, FALSE)*E3160)</f>
        <v/>
      </c>
      <c r="J3160" s="8">
        <f>IF(G3160="","",G3160*0.20)</f>
        <v/>
      </c>
      <c r="K3160" s="8">
        <f>IF(G3160="","",G3160+J3160)</f>
        <v/>
      </c>
    </row>
    <row r="3161">
      <c r="F3161" s="8" t="n"/>
      <c r="G3161" s="8">
        <f>IF(E3161="","",E3161*F3161)</f>
        <v/>
      </c>
      <c r="H3161" s="8">
        <f>IF(G3161="","",G3161-I3161)</f>
        <v/>
      </c>
      <c r="I3161" s="8">
        <f>IF(D3161="","",VLOOKUP(D3161, RECETTES!B:G, 6, FALSE)*E3161)</f>
        <v/>
      </c>
      <c r="J3161" s="8">
        <f>IF(G3161="","",G3161*0.20)</f>
        <v/>
      </c>
      <c r="K3161" s="8">
        <f>IF(G3161="","",G3161+J3161)</f>
        <v/>
      </c>
    </row>
    <row r="3162">
      <c r="F3162" s="8" t="n"/>
      <c r="G3162" s="8">
        <f>IF(E3162="","",E3162*F3162)</f>
        <v/>
      </c>
      <c r="H3162" s="8">
        <f>IF(G3162="","",G3162-I3162)</f>
        <v/>
      </c>
      <c r="I3162" s="8">
        <f>IF(D3162="","",VLOOKUP(D3162, RECETTES!B:G, 6, FALSE)*E3162)</f>
        <v/>
      </c>
      <c r="J3162" s="8">
        <f>IF(G3162="","",G3162*0.20)</f>
        <v/>
      </c>
      <c r="K3162" s="8">
        <f>IF(G3162="","",G3162+J3162)</f>
        <v/>
      </c>
    </row>
    <row r="3163">
      <c r="F3163" s="8" t="n"/>
      <c r="G3163" s="8">
        <f>IF(E3163="","",E3163*F3163)</f>
        <v/>
      </c>
      <c r="H3163" s="8">
        <f>IF(G3163="","",G3163-I3163)</f>
        <v/>
      </c>
      <c r="I3163" s="8">
        <f>IF(D3163="","",VLOOKUP(D3163, RECETTES!B:G, 6, FALSE)*E3163)</f>
        <v/>
      </c>
      <c r="J3163" s="8">
        <f>IF(G3163="","",G3163*0.20)</f>
        <v/>
      </c>
      <c r="K3163" s="8">
        <f>IF(G3163="","",G3163+J3163)</f>
        <v/>
      </c>
    </row>
    <row r="3164">
      <c r="F3164" s="8" t="n"/>
      <c r="G3164" s="8">
        <f>IF(E3164="","",E3164*F3164)</f>
        <v/>
      </c>
      <c r="H3164" s="8">
        <f>IF(G3164="","",G3164-I3164)</f>
        <v/>
      </c>
      <c r="I3164" s="8">
        <f>IF(D3164="","",VLOOKUP(D3164, RECETTES!B:G, 6, FALSE)*E3164)</f>
        <v/>
      </c>
      <c r="J3164" s="8">
        <f>IF(G3164="","",G3164*0.20)</f>
        <v/>
      </c>
      <c r="K3164" s="8">
        <f>IF(G3164="","",G3164+J3164)</f>
        <v/>
      </c>
    </row>
    <row r="3165">
      <c r="F3165" s="8" t="n"/>
      <c r="G3165" s="8">
        <f>IF(E3165="","",E3165*F3165)</f>
        <v/>
      </c>
      <c r="H3165" s="8">
        <f>IF(G3165="","",G3165-I3165)</f>
        <v/>
      </c>
      <c r="I3165" s="8">
        <f>IF(D3165="","",VLOOKUP(D3165, RECETTES!B:G, 6, FALSE)*E3165)</f>
        <v/>
      </c>
      <c r="J3165" s="8">
        <f>IF(G3165="","",G3165*0.20)</f>
        <v/>
      </c>
      <c r="K3165" s="8">
        <f>IF(G3165="","",G3165+J3165)</f>
        <v/>
      </c>
    </row>
    <row r="3166">
      <c r="F3166" s="8" t="n"/>
      <c r="G3166" s="8">
        <f>IF(E3166="","",E3166*F3166)</f>
        <v/>
      </c>
      <c r="H3166" s="8">
        <f>IF(G3166="","",G3166-I3166)</f>
        <v/>
      </c>
      <c r="I3166" s="8">
        <f>IF(D3166="","",VLOOKUP(D3166, RECETTES!B:G, 6, FALSE)*E3166)</f>
        <v/>
      </c>
      <c r="J3166" s="8">
        <f>IF(G3166="","",G3166*0.20)</f>
        <v/>
      </c>
      <c r="K3166" s="8">
        <f>IF(G3166="","",G3166+J3166)</f>
        <v/>
      </c>
    </row>
    <row r="3167">
      <c r="F3167" s="8" t="n"/>
      <c r="G3167" s="8">
        <f>IF(E3167="","",E3167*F3167)</f>
        <v/>
      </c>
      <c r="H3167" s="8">
        <f>IF(G3167="","",G3167-I3167)</f>
        <v/>
      </c>
      <c r="I3167" s="8">
        <f>IF(D3167="","",VLOOKUP(D3167, RECETTES!B:G, 6, FALSE)*E3167)</f>
        <v/>
      </c>
      <c r="J3167" s="8">
        <f>IF(G3167="","",G3167*0.20)</f>
        <v/>
      </c>
      <c r="K3167" s="8">
        <f>IF(G3167="","",G3167+J3167)</f>
        <v/>
      </c>
    </row>
    <row r="3168">
      <c r="F3168" s="8" t="n"/>
      <c r="G3168" s="8">
        <f>IF(E3168="","",E3168*F3168)</f>
        <v/>
      </c>
      <c r="H3168" s="8">
        <f>IF(G3168="","",G3168-I3168)</f>
        <v/>
      </c>
      <c r="I3168" s="8">
        <f>IF(D3168="","",VLOOKUP(D3168, RECETTES!B:G, 6, FALSE)*E3168)</f>
        <v/>
      </c>
      <c r="J3168" s="8">
        <f>IF(G3168="","",G3168*0.20)</f>
        <v/>
      </c>
      <c r="K3168" s="8">
        <f>IF(G3168="","",G3168+J3168)</f>
        <v/>
      </c>
    </row>
    <row r="3169">
      <c r="F3169" s="8" t="n"/>
      <c r="G3169" s="8">
        <f>IF(E3169="","",E3169*F3169)</f>
        <v/>
      </c>
      <c r="H3169" s="8">
        <f>IF(G3169="","",G3169-I3169)</f>
        <v/>
      </c>
      <c r="I3169" s="8">
        <f>IF(D3169="","",VLOOKUP(D3169, RECETTES!B:G, 6, FALSE)*E3169)</f>
        <v/>
      </c>
      <c r="J3169" s="8">
        <f>IF(G3169="","",G3169*0.20)</f>
        <v/>
      </c>
      <c r="K3169" s="8">
        <f>IF(G3169="","",G3169+J3169)</f>
        <v/>
      </c>
    </row>
    <row r="3170">
      <c r="F3170" s="8" t="n"/>
      <c r="G3170" s="8">
        <f>IF(E3170="","",E3170*F3170)</f>
        <v/>
      </c>
      <c r="H3170" s="8">
        <f>IF(G3170="","",G3170-I3170)</f>
        <v/>
      </c>
      <c r="I3170" s="8">
        <f>IF(D3170="","",VLOOKUP(D3170, RECETTES!B:G, 6, FALSE)*E3170)</f>
        <v/>
      </c>
      <c r="J3170" s="8">
        <f>IF(G3170="","",G3170*0.20)</f>
        <v/>
      </c>
      <c r="K3170" s="8">
        <f>IF(G3170="","",G3170+J3170)</f>
        <v/>
      </c>
    </row>
    <row r="3171">
      <c r="F3171" s="8" t="n"/>
      <c r="G3171" s="8">
        <f>IF(E3171="","",E3171*F3171)</f>
        <v/>
      </c>
      <c r="H3171" s="8">
        <f>IF(G3171="","",G3171-I3171)</f>
        <v/>
      </c>
      <c r="I3171" s="8">
        <f>IF(D3171="","",VLOOKUP(D3171, RECETTES!B:G, 6, FALSE)*E3171)</f>
        <v/>
      </c>
      <c r="J3171" s="8">
        <f>IF(G3171="","",G3171*0.20)</f>
        <v/>
      </c>
      <c r="K3171" s="8">
        <f>IF(G3171="","",G3171+J3171)</f>
        <v/>
      </c>
    </row>
    <row r="3172">
      <c r="F3172" s="8" t="n"/>
      <c r="G3172" s="8">
        <f>IF(E3172="","",E3172*F3172)</f>
        <v/>
      </c>
      <c r="H3172" s="8">
        <f>IF(G3172="","",G3172-I3172)</f>
        <v/>
      </c>
      <c r="I3172" s="8">
        <f>IF(D3172="","",VLOOKUP(D3172, RECETTES!B:G, 6, FALSE)*E3172)</f>
        <v/>
      </c>
      <c r="J3172" s="8">
        <f>IF(G3172="","",G3172*0.20)</f>
        <v/>
      </c>
      <c r="K3172" s="8">
        <f>IF(G3172="","",G3172+J3172)</f>
        <v/>
      </c>
    </row>
    <row r="3173">
      <c r="F3173" s="8" t="n"/>
      <c r="G3173" s="8">
        <f>IF(E3173="","",E3173*F3173)</f>
        <v/>
      </c>
      <c r="H3173" s="8">
        <f>IF(G3173="","",G3173-I3173)</f>
        <v/>
      </c>
      <c r="I3173" s="8">
        <f>IF(D3173="","",VLOOKUP(D3173, RECETTES!B:G, 6, FALSE)*E3173)</f>
        <v/>
      </c>
      <c r="J3173" s="8">
        <f>IF(G3173="","",G3173*0.20)</f>
        <v/>
      </c>
      <c r="K3173" s="8">
        <f>IF(G3173="","",G3173+J3173)</f>
        <v/>
      </c>
    </row>
    <row r="3174">
      <c r="F3174" s="8" t="n"/>
      <c r="G3174" s="8">
        <f>IF(E3174="","",E3174*F3174)</f>
        <v/>
      </c>
      <c r="H3174" s="8">
        <f>IF(G3174="","",G3174-I3174)</f>
        <v/>
      </c>
      <c r="I3174" s="8">
        <f>IF(D3174="","",VLOOKUP(D3174, RECETTES!B:G, 6, FALSE)*E3174)</f>
        <v/>
      </c>
      <c r="J3174" s="8">
        <f>IF(G3174="","",G3174*0.20)</f>
        <v/>
      </c>
      <c r="K3174" s="8">
        <f>IF(G3174="","",G3174+J3174)</f>
        <v/>
      </c>
    </row>
    <row r="3175">
      <c r="F3175" s="8" t="n"/>
      <c r="G3175" s="8">
        <f>IF(E3175="","",E3175*F3175)</f>
        <v/>
      </c>
      <c r="H3175" s="8">
        <f>IF(G3175="","",G3175-I3175)</f>
        <v/>
      </c>
      <c r="I3175" s="8">
        <f>IF(D3175="","",VLOOKUP(D3175, RECETTES!B:G, 6, FALSE)*E3175)</f>
        <v/>
      </c>
      <c r="J3175" s="8">
        <f>IF(G3175="","",G3175*0.20)</f>
        <v/>
      </c>
      <c r="K3175" s="8">
        <f>IF(G3175="","",G3175+J3175)</f>
        <v/>
      </c>
    </row>
    <row r="3176">
      <c r="F3176" s="8" t="n"/>
      <c r="G3176" s="8">
        <f>IF(E3176="","",E3176*F3176)</f>
        <v/>
      </c>
      <c r="H3176" s="8">
        <f>IF(G3176="","",G3176-I3176)</f>
        <v/>
      </c>
      <c r="I3176" s="8">
        <f>IF(D3176="","",VLOOKUP(D3176, RECETTES!B:G, 6, FALSE)*E3176)</f>
        <v/>
      </c>
      <c r="J3176" s="8">
        <f>IF(G3176="","",G3176*0.20)</f>
        <v/>
      </c>
      <c r="K3176" s="8">
        <f>IF(G3176="","",G3176+J3176)</f>
        <v/>
      </c>
    </row>
    <row r="3177">
      <c r="F3177" s="8" t="n"/>
      <c r="G3177" s="8">
        <f>IF(E3177="","",E3177*F3177)</f>
        <v/>
      </c>
      <c r="H3177" s="8">
        <f>IF(G3177="","",G3177-I3177)</f>
        <v/>
      </c>
      <c r="I3177" s="8">
        <f>IF(D3177="","",VLOOKUP(D3177, RECETTES!B:G, 6, FALSE)*E3177)</f>
        <v/>
      </c>
      <c r="J3177" s="8">
        <f>IF(G3177="","",G3177*0.20)</f>
        <v/>
      </c>
      <c r="K3177" s="8">
        <f>IF(G3177="","",G3177+J3177)</f>
        <v/>
      </c>
    </row>
    <row r="3178">
      <c r="F3178" s="8" t="n"/>
      <c r="G3178" s="8">
        <f>IF(E3178="","",E3178*F3178)</f>
        <v/>
      </c>
      <c r="H3178" s="8">
        <f>IF(G3178="","",G3178-I3178)</f>
        <v/>
      </c>
      <c r="I3178" s="8">
        <f>IF(D3178="","",VLOOKUP(D3178, RECETTES!B:G, 6, FALSE)*E3178)</f>
        <v/>
      </c>
      <c r="J3178" s="8">
        <f>IF(G3178="","",G3178*0.20)</f>
        <v/>
      </c>
      <c r="K3178" s="8">
        <f>IF(G3178="","",G3178+J3178)</f>
        <v/>
      </c>
    </row>
    <row r="3179">
      <c r="F3179" s="8" t="n"/>
      <c r="G3179" s="8">
        <f>IF(E3179="","",E3179*F3179)</f>
        <v/>
      </c>
      <c r="H3179" s="8">
        <f>IF(G3179="","",G3179-I3179)</f>
        <v/>
      </c>
      <c r="I3179" s="8">
        <f>IF(D3179="","",VLOOKUP(D3179, RECETTES!B:G, 6, FALSE)*E3179)</f>
        <v/>
      </c>
      <c r="J3179" s="8">
        <f>IF(G3179="","",G3179*0.20)</f>
        <v/>
      </c>
      <c r="K3179" s="8">
        <f>IF(G3179="","",G3179+J3179)</f>
        <v/>
      </c>
    </row>
    <row r="3180">
      <c r="F3180" s="8" t="n"/>
      <c r="G3180" s="8">
        <f>IF(E3180="","",E3180*F3180)</f>
        <v/>
      </c>
      <c r="H3180" s="8">
        <f>IF(G3180="","",G3180-I3180)</f>
        <v/>
      </c>
      <c r="I3180" s="8">
        <f>IF(D3180="","",VLOOKUP(D3180, RECETTES!B:G, 6, FALSE)*E3180)</f>
        <v/>
      </c>
      <c r="J3180" s="8">
        <f>IF(G3180="","",G3180*0.20)</f>
        <v/>
      </c>
      <c r="K3180" s="8">
        <f>IF(G3180="","",G3180+J3180)</f>
        <v/>
      </c>
    </row>
    <row r="3181">
      <c r="F3181" s="8" t="n"/>
      <c r="G3181" s="8">
        <f>IF(E3181="","",E3181*F3181)</f>
        <v/>
      </c>
      <c r="H3181" s="8">
        <f>IF(G3181="","",G3181-I3181)</f>
        <v/>
      </c>
      <c r="I3181" s="8">
        <f>IF(D3181="","",VLOOKUP(D3181, RECETTES!B:G, 6, FALSE)*E3181)</f>
        <v/>
      </c>
      <c r="J3181" s="8">
        <f>IF(G3181="","",G3181*0.20)</f>
        <v/>
      </c>
      <c r="K3181" s="8">
        <f>IF(G3181="","",G3181+J3181)</f>
        <v/>
      </c>
    </row>
    <row r="3182">
      <c r="F3182" s="8" t="n"/>
      <c r="G3182" s="8">
        <f>IF(E3182="","",E3182*F3182)</f>
        <v/>
      </c>
      <c r="H3182" s="8">
        <f>IF(G3182="","",G3182-I3182)</f>
        <v/>
      </c>
      <c r="I3182" s="8">
        <f>IF(D3182="","",VLOOKUP(D3182, RECETTES!B:G, 6, FALSE)*E3182)</f>
        <v/>
      </c>
      <c r="J3182" s="8">
        <f>IF(G3182="","",G3182*0.20)</f>
        <v/>
      </c>
      <c r="K3182" s="8">
        <f>IF(G3182="","",G3182+J3182)</f>
        <v/>
      </c>
    </row>
    <row r="3183">
      <c r="F3183" s="8" t="n"/>
      <c r="G3183" s="8">
        <f>IF(E3183="","",E3183*F3183)</f>
        <v/>
      </c>
      <c r="H3183" s="8">
        <f>IF(G3183="","",G3183-I3183)</f>
        <v/>
      </c>
      <c r="I3183" s="8">
        <f>IF(D3183="","",VLOOKUP(D3183, RECETTES!B:G, 6, FALSE)*E3183)</f>
        <v/>
      </c>
      <c r="J3183" s="8">
        <f>IF(G3183="","",G3183*0.20)</f>
        <v/>
      </c>
      <c r="K3183" s="8">
        <f>IF(G3183="","",G3183+J3183)</f>
        <v/>
      </c>
    </row>
    <row r="3184">
      <c r="F3184" s="8" t="n"/>
      <c r="G3184" s="8">
        <f>IF(E3184="","",E3184*F3184)</f>
        <v/>
      </c>
      <c r="H3184" s="8">
        <f>IF(G3184="","",G3184-I3184)</f>
        <v/>
      </c>
      <c r="I3184" s="8">
        <f>IF(D3184="","",VLOOKUP(D3184, RECETTES!B:G, 6, FALSE)*E3184)</f>
        <v/>
      </c>
      <c r="J3184" s="8">
        <f>IF(G3184="","",G3184*0.20)</f>
        <v/>
      </c>
      <c r="K3184" s="8">
        <f>IF(G3184="","",G3184+J3184)</f>
        <v/>
      </c>
    </row>
    <row r="3185">
      <c r="F3185" s="8" t="n"/>
      <c r="G3185" s="8">
        <f>IF(E3185="","",E3185*F3185)</f>
        <v/>
      </c>
      <c r="H3185" s="8">
        <f>IF(G3185="","",G3185-I3185)</f>
        <v/>
      </c>
      <c r="I3185" s="8">
        <f>IF(D3185="","",VLOOKUP(D3185, RECETTES!B:G, 6, FALSE)*E3185)</f>
        <v/>
      </c>
      <c r="J3185" s="8">
        <f>IF(G3185="","",G3185*0.20)</f>
        <v/>
      </c>
      <c r="K3185" s="8">
        <f>IF(G3185="","",G3185+J3185)</f>
        <v/>
      </c>
    </row>
    <row r="3186">
      <c r="F3186" s="8" t="n"/>
      <c r="G3186" s="8">
        <f>IF(E3186="","",E3186*F3186)</f>
        <v/>
      </c>
      <c r="H3186" s="8">
        <f>IF(G3186="","",G3186-I3186)</f>
        <v/>
      </c>
      <c r="I3186" s="8">
        <f>IF(D3186="","",VLOOKUP(D3186, RECETTES!B:G, 6, FALSE)*E3186)</f>
        <v/>
      </c>
      <c r="J3186" s="8">
        <f>IF(G3186="","",G3186*0.20)</f>
        <v/>
      </c>
      <c r="K3186" s="8">
        <f>IF(G3186="","",G3186+J3186)</f>
        <v/>
      </c>
    </row>
    <row r="3187">
      <c r="F3187" s="8" t="n"/>
      <c r="G3187" s="8">
        <f>IF(E3187="","",E3187*F3187)</f>
        <v/>
      </c>
      <c r="H3187" s="8">
        <f>IF(G3187="","",G3187-I3187)</f>
        <v/>
      </c>
      <c r="I3187" s="8">
        <f>IF(D3187="","",VLOOKUP(D3187, RECETTES!B:G, 6, FALSE)*E3187)</f>
        <v/>
      </c>
      <c r="J3187" s="8">
        <f>IF(G3187="","",G3187*0.20)</f>
        <v/>
      </c>
      <c r="K3187" s="8">
        <f>IF(G3187="","",G3187+J3187)</f>
        <v/>
      </c>
    </row>
    <row r="3188">
      <c r="F3188" s="8" t="n"/>
      <c r="G3188" s="8">
        <f>IF(E3188="","",E3188*F3188)</f>
        <v/>
      </c>
      <c r="H3188" s="8">
        <f>IF(G3188="","",G3188-I3188)</f>
        <v/>
      </c>
      <c r="I3188" s="8">
        <f>IF(D3188="","",VLOOKUP(D3188, RECETTES!B:G, 6, FALSE)*E3188)</f>
        <v/>
      </c>
      <c r="J3188" s="8">
        <f>IF(G3188="","",G3188*0.20)</f>
        <v/>
      </c>
      <c r="K3188" s="8">
        <f>IF(G3188="","",G3188+J3188)</f>
        <v/>
      </c>
    </row>
    <row r="3189">
      <c r="F3189" s="8" t="n"/>
      <c r="G3189" s="8">
        <f>IF(E3189="","",E3189*F3189)</f>
        <v/>
      </c>
      <c r="H3189" s="8">
        <f>IF(G3189="","",G3189-I3189)</f>
        <v/>
      </c>
      <c r="I3189" s="8">
        <f>IF(D3189="","",VLOOKUP(D3189, RECETTES!B:G, 6, FALSE)*E3189)</f>
        <v/>
      </c>
      <c r="J3189" s="8">
        <f>IF(G3189="","",G3189*0.20)</f>
        <v/>
      </c>
      <c r="K3189" s="8">
        <f>IF(G3189="","",G3189+J3189)</f>
        <v/>
      </c>
    </row>
    <row r="3190">
      <c r="F3190" s="8" t="n"/>
      <c r="G3190" s="8">
        <f>IF(E3190="","",E3190*F3190)</f>
        <v/>
      </c>
      <c r="H3190" s="8">
        <f>IF(G3190="","",G3190-I3190)</f>
        <v/>
      </c>
      <c r="I3190" s="8">
        <f>IF(D3190="","",VLOOKUP(D3190, RECETTES!B:G, 6, FALSE)*E3190)</f>
        <v/>
      </c>
      <c r="J3190" s="8">
        <f>IF(G3190="","",G3190*0.20)</f>
        <v/>
      </c>
      <c r="K3190" s="8">
        <f>IF(G3190="","",G3190+J3190)</f>
        <v/>
      </c>
    </row>
    <row r="3191">
      <c r="F3191" s="8" t="n"/>
      <c r="G3191" s="8">
        <f>IF(E3191="","",E3191*F3191)</f>
        <v/>
      </c>
      <c r="H3191" s="8">
        <f>IF(G3191="","",G3191-I3191)</f>
        <v/>
      </c>
      <c r="I3191" s="8">
        <f>IF(D3191="","",VLOOKUP(D3191, RECETTES!B:G, 6, FALSE)*E3191)</f>
        <v/>
      </c>
      <c r="J3191" s="8">
        <f>IF(G3191="","",G3191*0.20)</f>
        <v/>
      </c>
      <c r="K3191" s="8">
        <f>IF(G3191="","",G3191+J3191)</f>
        <v/>
      </c>
    </row>
    <row r="3192">
      <c r="F3192" s="8" t="n"/>
      <c r="G3192" s="8">
        <f>IF(E3192="","",E3192*F3192)</f>
        <v/>
      </c>
      <c r="H3192" s="8">
        <f>IF(G3192="","",G3192-I3192)</f>
        <v/>
      </c>
      <c r="I3192" s="8">
        <f>IF(D3192="","",VLOOKUP(D3192, RECETTES!B:G, 6, FALSE)*E3192)</f>
        <v/>
      </c>
      <c r="J3192" s="8">
        <f>IF(G3192="","",G3192*0.20)</f>
        <v/>
      </c>
      <c r="K3192" s="8">
        <f>IF(G3192="","",G3192+J3192)</f>
        <v/>
      </c>
    </row>
    <row r="3193">
      <c r="F3193" s="8" t="n"/>
      <c r="G3193" s="8">
        <f>IF(E3193="","",E3193*F3193)</f>
        <v/>
      </c>
      <c r="H3193" s="8">
        <f>IF(G3193="","",G3193-I3193)</f>
        <v/>
      </c>
      <c r="I3193" s="8">
        <f>IF(D3193="","",VLOOKUP(D3193, RECETTES!B:G, 6, FALSE)*E3193)</f>
        <v/>
      </c>
      <c r="J3193" s="8">
        <f>IF(G3193="","",G3193*0.20)</f>
        <v/>
      </c>
      <c r="K3193" s="8">
        <f>IF(G3193="","",G3193+J3193)</f>
        <v/>
      </c>
    </row>
    <row r="3194">
      <c r="F3194" s="8" t="n"/>
      <c r="G3194" s="8">
        <f>IF(E3194="","",E3194*F3194)</f>
        <v/>
      </c>
      <c r="H3194" s="8">
        <f>IF(G3194="","",G3194-I3194)</f>
        <v/>
      </c>
      <c r="I3194" s="8">
        <f>IF(D3194="","",VLOOKUP(D3194, RECETTES!B:G, 6, FALSE)*E3194)</f>
        <v/>
      </c>
      <c r="J3194" s="8">
        <f>IF(G3194="","",G3194*0.20)</f>
        <v/>
      </c>
      <c r="K3194" s="8">
        <f>IF(G3194="","",G3194+J3194)</f>
        <v/>
      </c>
    </row>
    <row r="3195">
      <c r="F3195" s="8" t="n"/>
      <c r="G3195" s="8">
        <f>IF(E3195="","",E3195*F3195)</f>
        <v/>
      </c>
      <c r="H3195" s="8">
        <f>IF(G3195="","",G3195-I3195)</f>
        <v/>
      </c>
      <c r="I3195" s="8">
        <f>IF(D3195="","",VLOOKUP(D3195, RECETTES!B:G, 6, FALSE)*E3195)</f>
        <v/>
      </c>
      <c r="J3195" s="8">
        <f>IF(G3195="","",G3195*0.20)</f>
        <v/>
      </c>
      <c r="K3195" s="8">
        <f>IF(G3195="","",G3195+J3195)</f>
        <v/>
      </c>
    </row>
    <row r="3196">
      <c r="F3196" s="8" t="n"/>
      <c r="G3196" s="8">
        <f>IF(E3196="","",E3196*F3196)</f>
        <v/>
      </c>
      <c r="H3196" s="8">
        <f>IF(G3196="","",G3196-I3196)</f>
        <v/>
      </c>
      <c r="I3196" s="8">
        <f>IF(D3196="","",VLOOKUP(D3196, RECETTES!B:G, 6, FALSE)*E3196)</f>
        <v/>
      </c>
      <c r="J3196" s="8">
        <f>IF(G3196="","",G3196*0.20)</f>
        <v/>
      </c>
      <c r="K3196" s="8">
        <f>IF(G3196="","",G3196+J3196)</f>
        <v/>
      </c>
    </row>
    <row r="3197">
      <c r="F3197" s="8" t="n"/>
      <c r="G3197" s="8">
        <f>IF(E3197="","",E3197*F3197)</f>
        <v/>
      </c>
      <c r="H3197" s="8">
        <f>IF(G3197="","",G3197-I3197)</f>
        <v/>
      </c>
      <c r="I3197" s="8">
        <f>IF(D3197="","",VLOOKUP(D3197, RECETTES!B:G, 6, FALSE)*E3197)</f>
        <v/>
      </c>
      <c r="J3197" s="8">
        <f>IF(G3197="","",G3197*0.20)</f>
        <v/>
      </c>
      <c r="K3197" s="8">
        <f>IF(G3197="","",G3197+J3197)</f>
        <v/>
      </c>
    </row>
    <row r="3198">
      <c r="F3198" s="8" t="n"/>
      <c r="G3198" s="8">
        <f>IF(E3198="","",E3198*F3198)</f>
        <v/>
      </c>
      <c r="H3198" s="8">
        <f>IF(G3198="","",G3198-I3198)</f>
        <v/>
      </c>
      <c r="I3198" s="8">
        <f>IF(D3198="","",VLOOKUP(D3198, RECETTES!B:G, 6, FALSE)*E3198)</f>
        <v/>
      </c>
      <c r="J3198" s="8">
        <f>IF(G3198="","",G3198*0.20)</f>
        <v/>
      </c>
      <c r="K3198" s="8">
        <f>IF(G3198="","",G3198+J3198)</f>
        <v/>
      </c>
    </row>
    <row r="3199">
      <c r="F3199" s="8" t="n"/>
      <c r="G3199" s="8">
        <f>IF(E3199="","",E3199*F3199)</f>
        <v/>
      </c>
      <c r="H3199" s="8">
        <f>IF(G3199="","",G3199-I3199)</f>
        <v/>
      </c>
      <c r="I3199" s="8">
        <f>IF(D3199="","",VLOOKUP(D3199, RECETTES!B:G, 6, FALSE)*E3199)</f>
        <v/>
      </c>
      <c r="J3199" s="8">
        <f>IF(G3199="","",G3199*0.20)</f>
        <v/>
      </c>
      <c r="K3199" s="8">
        <f>IF(G3199="","",G3199+J3199)</f>
        <v/>
      </c>
    </row>
    <row r="3200">
      <c r="F3200" s="8" t="n"/>
      <c r="G3200" s="8">
        <f>IF(E3200="","",E3200*F3200)</f>
        <v/>
      </c>
      <c r="H3200" s="8">
        <f>IF(G3200="","",G3200-I3200)</f>
        <v/>
      </c>
      <c r="I3200" s="8">
        <f>IF(D3200="","",VLOOKUP(D3200, RECETTES!B:G, 6, FALSE)*E3200)</f>
        <v/>
      </c>
      <c r="J3200" s="8">
        <f>IF(G3200="","",G3200*0.20)</f>
        <v/>
      </c>
      <c r="K3200" s="8">
        <f>IF(G3200="","",G3200+J3200)</f>
        <v/>
      </c>
    </row>
    <row r="3201">
      <c r="F3201" s="8" t="n"/>
      <c r="G3201" s="8">
        <f>IF(E3201="","",E3201*F3201)</f>
        <v/>
      </c>
      <c r="H3201" s="8">
        <f>IF(G3201="","",G3201-I3201)</f>
        <v/>
      </c>
      <c r="I3201" s="8">
        <f>IF(D3201="","",VLOOKUP(D3201, RECETTES!B:G, 6, FALSE)*E3201)</f>
        <v/>
      </c>
      <c r="J3201" s="8">
        <f>IF(G3201="","",G3201*0.20)</f>
        <v/>
      </c>
      <c r="K3201" s="8">
        <f>IF(G3201="","",G3201+J3201)</f>
        <v/>
      </c>
    </row>
    <row r="3202">
      <c r="F3202" s="8" t="n"/>
      <c r="G3202" s="8">
        <f>IF(E3202="","",E3202*F3202)</f>
        <v/>
      </c>
      <c r="H3202" s="8">
        <f>IF(G3202="","",G3202-I3202)</f>
        <v/>
      </c>
      <c r="I3202" s="8">
        <f>IF(D3202="","",VLOOKUP(D3202, RECETTES!B:G, 6, FALSE)*E3202)</f>
        <v/>
      </c>
      <c r="J3202" s="8">
        <f>IF(G3202="","",G3202*0.20)</f>
        <v/>
      </c>
      <c r="K3202" s="8">
        <f>IF(G3202="","",G3202+J3202)</f>
        <v/>
      </c>
    </row>
    <row r="3203">
      <c r="F3203" s="8" t="n"/>
      <c r="G3203" s="8">
        <f>IF(E3203="","",E3203*F3203)</f>
        <v/>
      </c>
      <c r="H3203" s="8">
        <f>IF(G3203="","",G3203-I3203)</f>
        <v/>
      </c>
      <c r="I3203" s="8">
        <f>IF(D3203="","",VLOOKUP(D3203, RECETTES!B:G, 6, FALSE)*E3203)</f>
        <v/>
      </c>
      <c r="J3203" s="8">
        <f>IF(G3203="","",G3203*0.20)</f>
        <v/>
      </c>
      <c r="K3203" s="8">
        <f>IF(G3203="","",G3203+J3203)</f>
        <v/>
      </c>
    </row>
    <row r="3204">
      <c r="F3204" s="8" t="n"/>
      <c r="G3204" s="8">
        <f>IF(E3204="","",E3204*F3204)</f>
        <v/>
      </c>
      <c r="H3204" s="8">
        <f>IF(G3204="","",G3204-I3204)</f>
        <v/>
      </c>
      <c r="I3204" s="8">
        <f>IF(D3204="","",VLOOKUP(D3204, RECETTES!B:G, 6, FALSE)*E3204)</f>
        <v/>
      </c>
      <c r="J3204" s="8">
        <f>IF(G3204="","",G3204*0.20)</f>
        <v/>
      </c>
      <c r="K3204" s="8">
        <f>IF(G3204="","",G3204+J3204)</f>
        <v/>
      </c>
    </row>
    <row r="3205">
      <c r="F3205" s="8" t="n"/>
      <c r="G3205" s="8">
        <f>IF(E3205="","",E3205*F3205)</f>
        <v/>
      </c>
      <c r="H3205" s="8">
        <f>IF(G3205="","",G3205-I3205)</f>
        <v/>
      </c>
      <c r="I3205" s="8">
        <f>IF(D3205="","",VLOOKUP(D3205, RECETTES!B:G, 6, FALSE)*E3205)</f>
        <v/>
      </c>
      <c r="J3205" s="8">
        <f>IF(G3205="","",G3205*0.20)</f>
        <v/>
      </c>
      <c r="K3205" s="8">
        <f>IF(G3205="","",G3205+J3205)</f>
        <v/>
      </c>
    </row>
    <row r="3206">
      <c r="F3206" s="8" t="n"/>
      <c r="G3206" s="8">
        <f>IF(E3206="","",E3206*F3206)</f>
        <v/>
      </c>
      <c r="H3206" s="8">
        <f>IF(G3206="","",G3206-I3206)</f>
        <v/>
      </c>
      <c r="I3206" s="8">
        <f>IF(D3206="","",VLOOKUP(D3206, RECETTES!B:G, 6, FALSE)*E3206)</f>
        <v/>
      </c>
      <c r="J3206" s="8">
        <f>IF(G3206="","",G3206*0.20)</f>
        <v/>
      </c>
      <c r="K3206" s="8">
        <f>IF(G3206="","",G3206+J3206)</f>
        <v/>
      </c>
    </row>
    <row r="3207">
      <c r="F3207" s="8" t="n"/>
      <c r="G3207" s="8">
        <f>IF(E3207="","",E3207*F3207)</f>
        <v/>
      </c>
      <c r="H3207" s="8">
        <f>IF(G3207="","",G3207-I3207)</f>
        <v/>
      </c>
      <c r="I3207" s="8">
        <f>IF(D3207="","",VLOOKUP(D3207, RECETTES!B:G, 6, FALSE)*E3207)</f>
        <v/>
      </c>
      <c r="J3207" s="8">
        <f>IF(G3207="","",G3207*0.20)</f>
        <v/>
      </c>
      <c r="K3207" s="8">
        <f>IF(G3207="","",G3207+J3207)</f>
        <v/>
      </c>
    </row>
    <row r="3208">
      <c r="F3208" s="8" t="n"/>
      <c r="G3208" s="8">
        <f>IF(E3208="","",E3208*F3208)</f>
        <v/>
      </c>
      <c r="H3208" s="8">
        <f>IF(G3208="","",G3208-I3208)</f>
        <v/>
      </c>
      <c r="I3208" s="8">
        <f>IF(D3208="","",VLOOKUP(D3208, RECETTES!B:G, 6, FALSE)*E3208)</f>
        <v/>
      </c>
      <c r="J3208" s="8">
        <f>IF(G3208="","",G3208*0.20)</f>
        <v/>
      </c>
      <c r="K3208" s="8">
        <f>IF(G3208="","",G3208+J3208)</f>
        <v/>
      </c>
    </row>
    <row r="3209">
      <c r="F3209" s="8" t="n"/>
      <c r="G3209" s="8">
        <f>IF(E3209="","",E3209*F3209)</f>
        <v/>
      </c>
      <c r="H3209" s="8">
        <f>IF(G3209="","",G3209-I3209)</f>
        <v/>
      </c>
      <c r="I3209" s="8">
        <f>IF(D3209="","",VLOOKUP(D3209, RECETTES!B:G, 6, FALSE)*E3209)</f>
        <v/>
      </c>
      <c r="J3209" s="8">
        <f>IF(G3209="","",G3209*0.20)</f>
        <v/>
      </c>
      <c r="K3209" s="8">
        <f>IF(G3209="","",G3209+J3209)</f>
        <v/>
      </c>
    </row>
    <row r="3210">
      <c r="F3210" s="8" t="n"/>
      <c r="G3210" s="8">
        <f>IF(E3210="","",E3210*F3210)</f>
        <v/>
      </c>
      <c r="H3210" s="8">
        <f>IF(G3210="","",G3210-I3210)</f>
        <v/>
      </c>
      <c r="I3210" s="8">
        <f>IF(D3210="","",VLOOKUP(D3210, RECETTES!B:G, 6, FALSE)*E3210)</f>
        <v/>
      </c>
      <c r="J3210" s="8">
        <f>IF(G3210="","",G3210*0.20)</f>
        <v/>
      </c>
      <c r="K3210" s="8">
        <f>IF(G3210="","",G3210+J3210)</f>
        <v/>
      </c>
    </row>
    <row r="3211">
      <c r="F3211" s="8" t="n"/>
      <c r="G3211" s="8">
        <f>IF(E3211="","",E3211*F3211)</f>
        <v/>
      </c>
      <c r="H3211" s="8">
        <f>IF(G3211="","",G3211-I3211)</f>
        <v/>
      </c>
      <c r="I3211" s="8">
        <f>IF(D3211="","",VLOOKUP(D3211, RECETTES!B:G, 6, FALSE)*E3211)</f>
        <v/>
      </c>
      <c r="J3211" s="8">
        <f>IF(G3211="","",G3211*0.20)</f>
        <v/>
      </c>
      <c r="K3211" s="8">
        <f>IF(G3211="","",G3211+J3211)</f>
        <v/>
      </c>
    </row>
    <row r="3212">
      <c r="F3212" s="8" t="n"/>
      <c r="G3212" s="8">
        <f>IF(E3212="","",E3212*F3212)</f>
        <v/>
      </c>
      <c r="H3212" s="8">
        <f>IF(G3212="","",G3212-I3212)</f>
        <v/>
      </c>
      <c r="I3212" s="8">
        <f>IF(D3212="","",VLOOKUP(D3212, RECETTES!B:G, 6, FALSE)*E3212)</f>
        <v/>
      </c>
      <c r="J3212" s="8">
        <f>IF(G3212="","",G3212*0.20)</f>
        <v/>
      </c>
      <c r="K3212" s="8">
        <f>IF(G3212="","",G3212+J3212)</f>
        <v/>
      </c>
    </row>
    <row r="3213">
      <c r="F3213" s="8" t="n"/>
      <c r="G3213" s="8">
        <f>IF(E3213="","",E3213*F3213)</f>
        <v/>
      </c>
      <c r="H3213" s="8">
        <f>IF(G3213="","",G3213-I3213)</f>
        <v/>
      </c>
      <c r="I3213" s="8">
        <f>IF(D3213="","",VLOOKUP(D3213, RECETTES!B:G, 6, FALSE)*E3213)</f>
        <v/>
      </c>
      <c r="J3213" s="8">
        <f>IF(G3213="","",G3213*0.20)</f>
        <v/>
      </c>
      <c r="K3213" s="8">
        <f>IF(G3213="","",G3213+J3213)</f>
        <v/>
      </c>
    </row>
    <row r="3214">
      <c r="F3214" s="8" t="n"/>
      <c r="G3214" s="8">
        <f>IF(E3214="","",E3214*F3214)</f>
        <v/>
      </c>
      <c r="H3214" s="8">
        <f>IF(G3214="","",G3214-I3214)</f>
        <v/>
      </c>
      <c r="I3214" s="8">
        <f>IF(D3214="","",VLOOKUP(D3214, RECETTES!B:G, 6, FALSE)*E3214)</f>
        <v/>
      </c>
      <c r="J3214" s="8">
        <f>IF(G3214="","",G3214*0.20)</f>
        <v/>
      </c>
      <c r="K3214" s="8">
        <f>IF(G3214="","",G3214+J3214)</f>
        <v/>
      </c>
    </row>
    <row r="3215">
      <c r="F3215" s="8" t="n"/>
      <c r="G3215" s="8">
        <f>IF(E3215="","",E3215*F3215)</f>
        <v/>
      </c>
      <c r="H3215" s="8">
        <f>IF(G3215="","",G3215-I3215)</f>
        <v/>
      </c>
      <c r="I3215" s="8">
        <f>IF(D3215="","",VLOOKUP(D3215, RECETTES!B:G, 6, FALSE)*E3215)</f>
        <v/>
      </c>
      <c r="J3215" s="8">
        <f>IF(G3215="","",G3215*0.20)</f>
        <v/>
      </c>
      <c r="K3215" s="8">
        <f>IF(G3215="","",G3215+J3215)</f>
        <v/>
      </c>
    </row>
    <row r="3216">
      <c r="F3216" s="8" t="n"/>
      <c r="G3216" s="8">
        <f>IF(E3216="","",E3216*F3216)</f>
        <v/>
      </c>
      <c r="H3216" s="8">
        <f>IF(G3216="","",G3216-I3216)</f>
        <v/>
      </c>
      <c r="I3216" s="8">
        <f>IF(D3216="","",VLOOKUP(D3216, RECETTES!B:G, 6, FALSE)*E3216)</f>
        <v/>
      </c>
      <c r="J3216" s="8">
        <f>IF(G3216="","",G3216*0.20)</f>
        <v/>
      </c>
      <c r="K3216" s="8">
        <f>IF(G3216="","",G3216+J3216)</f>
        <v/>
      </c>
    </row>
    <row r="3217">
      <c r="F3217" s="8" t="n"/>
      <c r="G3217" s="8">
        <f>IF(E3217="","",E3217*F3217)</f>
        <v/>
      </c>
      <c r="H3217" s="8">
        <f>IF(G3217="","",G3217-I3217)</f>
        <v/>
      </c>
      <c r="I3217" s="8">
        <f>IF(D3217="","",VLOOKUP(D3217, RECETTES!B:G, 6, FALSE)*E3217)</f>
        <v/>
      </c>
      <c r="J3217" s="8">
        <f>IF(G3217="","",G3217*0.20)</f>
        <v/>
      </c>
      <c r="K3217" s="8">
        <f>IF(G3217="","",G3217+J3217)</f>
        <v/>
      </c>
    </row>
    <row r="3218">
      <c r="F3218" s="8" t="n"/>
      <c r="G3218" s="8">
        <f>IF(E3218="","",E3218*F3218)</f>
        <v/>
      </c>
      <c r="H3218" s="8">
        <f>IF(G3218="","",G3218-I3218)</f>
        <v/>
      </c>
      <c r="I3218" s="8">
        <f>IF(D3218="","",VLOOKUP(D3218, RECETTES!B:G, 6, FALSE)*E3218)</f>
        <v/>
      </c>
      <c r="J3218" s="8">
        <f>IF(G3218="","",G3218*0.20)</f>
        <v/>
      </c>
      <c r="K3218" s="8">
        <f>IF(G3218="","",G3218+J3218)</f>
        <v/>
      </c>
    </row>
    <row r="3219">
      <c r="F3219" s="8" t="n"/>
      <c r="G3219" s="8">
        <f>IF(E3219="","",E3219*F3219)</f>
        <v/>
      </c>
      <c r="H3219" s="8">
        <f>IF(G3219="","",G3219-I3219)</f>
        <v/>
      </c>
      <c r="I3219" s="8">
        <f>IF(D3219="","",VLOOKUP(D3219, RECETTES!B:G, 6, FALSE)*E3219)</f>
        <v/>
      </c>
      <c r="J3219" s="8">
        <f>IF(G3219="","",G3219*0.20)</f>
        <v/>
      </c>
      <c r="K3219" s="8">
        <f>IF(G3219="","",G3219+J3219)</f>
        <v/>
      </c>
    </row>
    <row r="3220">
      <c r="F3220" s="8" t="n"/>
      <c r="G3220" s="8">
        <f>IF(E3220="","",E3220*F3220)</f>
        <v/>
      </c>
      <c r="H3220" s="8">
        <f>IF(G3220="","",G3220-I3220)</f>
        <v/>
      </c>
      <c r="I3220" s="8">
        <f>IF(D3220="","",VLOOKUP(D3220, RECETTES!B:G, 6, FALSE)*E3220)</f>
        <v/>
      </c>
      <c r="J3220" s="8">
        <f>IF(G3220="","",G3220*0.20)</f>
        <v/>
      </c>
      <c r="K3220" s="8">
        <f>IF(G3220="","",G3220+J3220)</f>
        <v/>
      </c>
    </row>
    <row r="3221">
      <c r="F3221" s="8" t="n"/>
      <c r="G3221" s="8">
        <f>IF(E3221="","",E3221*F3221)</f>
        <v/>
      </c>
      <c r="H3221" s="8">
        <f>IF(G3221="","",G3221-I3221)</f>
        <v/>
      </c>
      <c r="I3221" s="8">
        <f>IF(D3221="","",VLOOKUP(D3221, RECETTES!B:G, 6, FALSE)*E3221)</f>
        <v/>
      </c>
      <c r="J3221" s="8">
        <f>IF(G3221="","",G3221*0.20)</f>
        <v/>
      </c>
      <c r="K3221" s="8">
        <f>IF(G3221="","",G3221+J3221)</f>
        <v/>
      </c>
    </row>
    <row r="3222">
      <c r="F3222" s="8" t="n"/>
      <c r="G3222" s="8">
        <f>IF(E3222="","",E3222*F3222)</f>
        <v/>
      </c>
      <c r="H3222" s="8">
        <f>IF(G3222="","",G3222-I3222)</f>
        <v/>
      </c>
      <c r="I3222" s="8">
        <f>IF(D3222="","",VLOOKUP(D3222, RECETTES!B:G, 6, FALSE)*E3222)</f>
        <v/>
      </c>
      <c r="J3222" s="8">
        <f>IF(G3222="","",G3222*0.20)</f>
        <v/>
      </c>
      <c r="K3222" s="8">
        <f>IF(G3222="","",G3222+J3222)</f>
        <v/>
      </c>
    </row>
    <row r="3223">
      <c r="F3223" s="8" t="n"/>
      <c r="G3223" s="8">
        <f>IF(E3223="","",E3223*F3223)</f>
        <v/>
      </c>
      <c r="H3223" s="8">
        <f>IF(G3223="","",G3223-I3223)</f>
        <v/>
      </c>
      <c r="I3223" s="8">
        <f>IF(D3223="","",VLOOKUP(D3223, RECETTES!B:G, 6, FALSE)*E3223)</f>
        <v/>
      </c>
      <c r="J3223" s="8">
        <f>IF(G3223="","",G3223*0.20)</f>
        <v/>
      </c>
      <c r="K3223" s="8">
        <f>IF(G3223="","",G3223+J3223)</f>
        <v/>
      </c>
    </row>
    <row r="3224">
      <c r="F3224" s="8" t="n"/>
      <c r="G3224" s="8">
        <f>IF(E3224="","",E3224*F3224)</f>
        <v/>
      </c>
      <c r="H3224" s="8">
        <f>IF(G3224="","",G3224-I3224)</f>
        <v/>
      </c>
      <c r="I3224" s="8">
        <f>IF(D3224="","",VLOOKUP(D3224, RECETTES!B:G, 6, FALSE)*E3224)</f>
        <v/>
      </c>
      <c r="J3224" s="8">
        <f>IF(G3224="","",G3224*0.20)</f>
        <v/>
      </c>
      <c r="K3224" s="8">
        <f>IF(G3224="","",G3224+J3224)</f>
        <v/>
      </c>
    </row>
    <row r="3225">
      <c r="F3225" s="8" t="n"/>
      <c r="G3225" s="8">
        <f>IF(E3225="","",E3225*F3225)</f>
        <v/>
      </c>
      <c r="H3225" s="8">
        <f>IF(G3225="","",G3225-I3225)</f>
        <v/>
      </c>
      <c r="I3225" s="8">
        <f>IF(D3225="","",VLOOKUP(D3225, RECETTES!B:G, 6, FALSE)*E3225)</f>
        <v/>
      </c>
      <c r="J3225" s="8">
        <f>IF(G3225="","",G3225*0.20)</f>
        <v/>
      </c>
      <c r="K3225" s="8">
        <f>IF(G3225="","",G3225+J3225)</f>
        <v/>
      </c>
    </row>
    <row r="3226">
      <c r="F3226" s="8" t="n"/>
      <c r="G3226" s="8">
        <f>IF(E3226="","",E3226*F3226)</f>
        <v/>
      </c>
      <c r="H3226" s="8">
        <f>IF(G3226="","",G3226-I3226)</f>
        <v/>
      </c>
      <c r="I3226" s="8">
        <f>IF(D3226="","",VLOOKUP(D3226, RECETTES!B:G, 6, FALSE)*E3226)</f>
        <v/>
      </c>
      <c r="J3226" s="8">
        <f>IF(G3226="","",G3226*0.20)</f>
        <v/>
      </c>
      <c r="K3226" s="8">
        <f>IF(G3226="","",G3226+J3226)</f>
        <v/>
      </c>
    </row>
    <row r="3227">
      <c r="F3227" s="8" t="n"/>
      <c r="G3227" s="8">
        <f>IF(E3227="","",E3227*F3227)</f>
        <v/>
      </c>
      <c r="H3227" s="8">
        <f>IF(G3227="","",G3227-I3227)</f>
        <v/>
      </c>
      <c r="I3227" s="8">
        <f>IF(D3227="","",VLOOKUP(D3227, RECETTES!B:G, 6, FALSE)*E3227)</f>
        <v/>
      </c>
      <c r="J3227" s="8">
        <f>IF(G3227="","",G3227*0.20)</f>
        <v/>
      </c>
      <c r="K3227" s="8">
        <f>IF(G3227="","",G3227+J3227)</f>
        <v/>
      </c>
    </row>
    <row r="3228">
      <c r="F3228" s="8" t="n"/>
      <c r="G3228" s="8">
        <f>IF(E3228="","",E3228*F3228)</f>
        <v/>
      </c>
      <c r="H3228" s="8">
        <f>IF(G3228="","",G3228-I3228)</f>
        <v/>
      </c>
      <c r="I3228" s="8">
        <f>IF(D3228="","",VLOOKUP(D3228, RECETTES!B:G, 6, FALSE)*E3228)</f>
        <v/>
      </c>
      <c r="J3228" s="8">
        <f>IF(G3228="","",G3228*0.20)</f>
        <v/>
      </c>
      <c r="K3228" s="8">
        <f>IF(G3228="","",G3228+J3228)</f>
        <v/>
      </c>
    </row>
    <row r="3229">
      <c r="F3229" s="8" t="n"/>
      <c r="G3229" s="8">
        <f>IF(E3229="","",E3229*F3229)</f>
        <v/>
      </c>
      <c r="H3229" s="8">
        <f>IF(G3229="","",G3229-I3229)</f>
        <v/>
      </c>
      <c r="I3229" s="8">
        <f>IF(D3229="","",VLOOKUP(D3229, RECETTES!B:G, 6, FALSE)*E3229)</f>
        <v/>
      </c>
      <c r="J3229" s="8">
        <f>IF(G3229="","",G3229*0.20)</f>
        <v/>
      </c>
      <c r="K3229" s="8">
        <f>IF(G3229="","",G3229+J3229)</f>
        <v/>
      </c>
    </row>
    <row r="3230">
      <c r="F3230" s="8" t="n"/>
      <c r="G3230" s="8">
        <f>IF(E3230="","",E3230*F3230)</f>
        <v/>
      </c>
      <c r="H3230" s="8">
        <f>IF(G3230="","",G3230-I3230)</f>
        <v/>
      </c>
      <c r="I3230" s="8">
        <f>IF(D3230="","",VLOOKUP(D3230, RECETTES!B:G, 6, FALSE)*E3230)</f>
        <v/>
      </c>
      <c r="J3230" s="8">
        <f>IF(G3230="","",G3230*0.20)</f>
        <v/>
      </c>
      <c r="K3230" s="8">
        <f>IF(G3230="","",G3230+J3230)</f>
        <v/>
      </c>
    </row>
    <row r="3231">
      <c r="F3231" s="8" t="n"/>
      <c r="G3231" s="8">
        <f>IF(E3231="","",E3231*F3231)</f>
        <v/>
      </c>
      <c r="H3231" s="8">
        <f>IF(G3231="","",G3231-I3231)</f>
        <v/>
      </c>
      <c r="I3231" s="8">
        <f>IF(D3231="","",VLOOKUP(D3231, RECETTES!B:G, 6, FALSE)*E3231)</f>
        <v/>
      </c>
      <c r="J3231" s="8">
        <f>IF(G3231="","",G3231*0.20)</f>
        <v/>
      </c>
      <c r="K3231" s="8">
        <f>IF(G3231="","",G3231+J3231)</f>
        <v/>
      </c>
    </row>
    <row r="3232">
      <c r="F3232" s="8" t="n"/>
      <c r="G3232" s="8">
        <f>IF(E3232="","",E3232*F3232)</f>
        <v/>
      </c>
      <c r="H3232" s="8">
        <f>IF(G3232="","",G3232-I3232)</f>
        <v/>
      </c>
      <c r="I3232" s="8">
        <f>IF(D3232="","",VLOOKUP(D3232, RECETTES!B:G, 6, FALSE)*E3232)</f>
        <v/>
      </c>
      <c r="J3232" s="8">
        <f>IF(G3232="","",G3232*0.20)</f>
        <v/>
      </c>
      <c r="K3232" s="8">
        <f>IF(G3232="","",G3232+J3232)</f>
        <v/>
      </c>
    </row>
    <row r="3233">
      <c r="F3233" s="8" t="n"/>
      <c r="G3233" s="8">
        <f>IF(E3233="","",E3233*F3233)</f>
        <v/>
      </c>
      <c r="H3233" s="8">
        <f>IF(G3233="","",G3233-I3233)</f>
        <v/>
      </c>
      <c r="I3233" s="8">
        <f>IF(D3233="","",VLOOKUP(D3233, RECETTES!B:G, 6, FALSE)*E3233)</f>
        <v/>
      </c>
      <c r="J3233" s="8">
        <f>IF(G3233="","",G3233*0.20)</f>
        <v/>
      </c>
      <c r="K3233" s="8">
        <f>IF(G3233="","",G3233+J3233)</f>
        <v/>
      </c>
    </row>
    <row r="3234">
      <c r="F3234" s="8" t="n"/>
      <c r="G3234" s="8">
        <f>IF(E3234="","",E3234*F3234)</f>
        <v/>
      </c>
      <c r="H3234" s="8">
        <f>IF(G3234="","",G3234-I3234)</f>
        <v/>
      </c>
      <c r="I3234" s="8">
        <f>IF(D3234="","",VLOOKUP(D3234, RECETTES!B:G, 6, FALSE)*E3234)</f>
        <v/>
      </c>
      <c r="J3234" s="8">
        <f>IF(G3234="","",G3234*0.20)</f>
        <v/>
      </c>
      <c r="K3234" s="8">
        <f>IF(G3234="","",G3234+J3234)</f>
        <v/>
      </c>
    </row>
    <row r="3235">
      <c r="F3235" s="8" t="n"/>
      <c r="G3235" s="8">
        <f>IF(E3235="","",E3235*F3235)</f>
        <v/>
      </c>
      <c r="H3235" s="8">
        <f>IF(G3235="","",G3235-I3235)</f>
        <v/>
      </c>
      <c r="I3235" s="8">
        <f>IF(D3235="","",VLOOKUP(D3235, RECETTES!B:G, 6, FALSE)*E3235)</f>
        <v/>
      </c>
      <c r="J3235" s="8">
        <f>IF(G3235="","",G3235*0.20)</f>
        <v/>
      </c>
      <c r="K3235" s="8">
        <f>IF(G3235="","",G3235+J3235)</f>
        <v/>
      </c>
    </row>
    <row r="3236">
      <c r="F3236" s="8" t="n"/>
      <c r="G3236" s="8">
        <f>IF(E3236="","",E3236*F3236)</f>
        <v/>
      </c>
      <c r="H3236" s="8">
        <f>IF(G3236="","",G3236-I3236)</f>
        <v/>
      </c>
      <c r="I3236" s="8">
        <f>IF(D3236="","",VLOOKUP(D3236, RECETTES!B:G, 6, FALSE)*E3236)</f>
        <v/>
      </c>
      <c r="J3236" s="8">
        <f>IF(G3236="","",G3236*0.20)</f>
        <v/>
      </c>
      <c r="K3236" s="8">
        <f>IF(G3236="","",G3236+J3236)</f>
        <v/>
      </c>
    </row>
    <row r="3237">
      <c r="F3237" s="8" t="n"/>
      <c r="G3237" s="8">
        <f>IF(E3237="","",E3237*F3237)</f>
        <v/>
      </c>
      <c r="H3237" s="8">
        <f>IF(G3237="","",G3237-I3237)</f>
        <v/>
      </c>
      <c r="I3237" s="8">
        <f>IF(D3237="","",VLOOKUP(D3237, RECETTES!B:G, 6, FALSE)*E3237)</f>
        <v/>
      </c>
      <c r="J3237" s="8">
        <f>IF(G3237="","",G3237*0.20)</f>
        <v/>
      </c>
      <c r="K3237" s="8">
        <f>IF(G3237="","",G3237+J3237)</f>
        <v/>
      </c>
    </row>
    <row r="3238">
      <c r="F3238" s="8" t="n"/>
      <c r="G3238" s="8">
        <f>IF(E3238="","",E3238*F3238)</f>
        <v/>
      </c>
      <c r="H3238" s="8">
        <f>IF(G3238="","",G3238-I3238)</f>
        <v/>
      </c>
      <c r="I3238" s="8">
        <f>IF(D3238="","",VLOOKUP(D3238, RECETTES!B:G, 6, FALSE)*E3238)</f>
        <v/>
      </c>
      <c r="J3238" s="8">
        <f>IF(G3238="","",G3238*0.20)</f>
        <v/>
      </c>
      <c r="K3238" s="8">
        <f>IF(G3238="","",G3238+J3238)</f>
        <v/>
      </c>
    </row>
    <row r="3239">
      <c r="F3239" s="8" t="n"/>
      <c r="G3239" s="8">
        <f>IF(E3239="","",E3239*F3239)</f>
        <v/>
      </c>
      <c r="H3239" s="8">
        <f>IF(G3239="","",G3239-I3239)</f>
        <v/>
      </c>
      <c r="I3239" s="8">
        <f>IF(D3239="","",VLOOKUP(D3239, RECETTES!B:G, 6, FALSE)*E3239)</f>
        <v/>
      </c>
      <c r="J3239" s="8">
        <f>IF(G3239="","",G3239*0.20)</f>
        <v/>
      </c>
      <c r="K3239" s="8">
        <f>IF(G3239="","",G3239+J3239)</f>
        <v/>
      </c>
    </row>
    <row r="3240">
      <c r="F3240" s="8" t="n"/>
      <c r="G3240" s="8">
        <f>IF(E3240="","",E3240*F3240)</f>
        <v/>
      </c>
      <c r="H3240" s="8">
        <f>IF(G3240="","",G3240-I3240)</f>
        <v/>
      </c>
      <c r="I3240" s="8">
        <f>IF(D3240="","",VLOOKUP(D3240, RECETTES!B:G, 6, FALSE)*E3240)</f>
        <v/>
      </c>
      <c r="J3240" s="8">
        <f>IF(G3240="","",G3240*0.20)</f>
        <v/>
      </c>
      <c r="K3240" s="8">
        <f>IF(G3240="","",G3240+J3240)</f>
        <v/>
      </c>
    </row>
    <row r="3241">
      <c r="F3241" s="8" t="n"/>
      <c r="G3241" s="8">
        <f>IF(E3241="","",E3241*F3241)</f>
        <v/>
      </c>
      <c r="H3241" s="8">
        <f>IF(G3241="","",G3241-I3241)</f>
        <v/>
      </c>
      <c r="I3241" s="8">
        <f>IF(D3241="","",VLOOKUP(D3241, RECETTES!B:G, 6, FALSE)*E3241)</f>
        <v/>
      </c>
      <c r="J3241" s="8">
        <f>IF(G3241="","",G3241*0.20)</f>
        <v/>
      </c>
      <c r="K3241" s="8">
        <f>IF(G3241="","",G3241+J3241)</f>
        <v/>
      </c>
    </row>
    <row r="3242">
      <c r="F3242" s="8" t="n"/>
      <c r="G3242" s="8">
        <f>IF(E3242="","",E3242*F3242)</f>
        <v/>
      </c>
      <c r="H3242" s="8">
        <f>IF(G3242="","",G3242-I3242)</f>
        <v/>
      </c>
      <c r="I3242" s="8">
        <f>IF(D3242="","",VLOOKUP(D3242, RECETTES!B:G, 6, FALSE)*E3242)</f>
        <v/>
      </c>
      <c r="J3242" s="8">
        <f>IF(G3242="","",G3242*0.20)</f>
        <v/>
      </c>
      <c r="K3242" s="8">
        <f>IF(G3242="","",G3242+J3242)</f>
        <v/>
      </c>
    </row>
    <row r="3243">
      <c r="F3243" s="8" t="n"/>
      <c r="G3243" s="8">
        <f>IF(E3243="","",E3243*F3243)</f>
        <v/>
      </c>
      <c r="H3243" s="8">
        <f>IF(G3243="","",G3243-I3243)</f>
        <v/>
      </c>
      <c r="I3243" s="8">
        <f>IF(D3243="","",VLOOKUP(D3243, RECETTES!B:G, 6, FALSE)*E3243)</f>
        <v/>
      </c>
      <c r="J3243" s="8">
        <f>IF(G3243="","",G3243*0.20)</f>
        <v/>
      </c>
      <c r="K3243" s="8">
        <f>IF(G3243="","",G3243+J3243)</f>
        <v/>
      </c>
    </row>
    <row r="3244">
      <c r="F3244" s="8" t="n"/>
      <c r="G3244" s="8">
        <f>IF(E3244="","",E3244*F3244)</f>
        <v/>
      </c>
      <c r="H3244" s="8">
        <f>IF(G3244="","",G3244-I3244)</f>
        <v/>
      </c>
      <c r="I3244" s="8">
        <f>IF(D3244="","",VLOOKUP(D3244, RECETTES!B:G, 6, FALSE)*E3244)</f>
        <v/>
      </c>
      <c r="J3244" s="8">
        <f>IF(G3244="","",G3244*0.20)</f>
        <v/>
      </c>
      <c r="K3244" s="8">
        <f>IF(G3244="","",G3244+J3244)</f>
        <v/>
      </c>
    </row>
    <row r="3245">
      <c r="F3245" s="8" t="n"/>
      <c r="G3245" s="8">
        <f>IF(E3245="","",E3245*F3245)</f>
        <v/>
      </c>
      <c r="H3245" s="8">
        <f>IF(G3245="","",G3245-I3245)</f>
        <v/>
      </c>
      <c r="I3245" s="8">
        <f>IF(D3245="","",VLOOKUP(D3245, RECETTES!B:G, 6, FALSE)*E3245)</f>
        <v/>
      </c>
      <c r="J3245" s="8">
        <f>IF(G3245="","",G3245*0.20)</f>
        <v/>
      </c>
      <c r="K3245" s="8">
        <f>IF(G3245="","",G3245+J3245)</f>
        <v/>
      </c>
    </row>
    <row r="3246">
      <c r="F3246" s="8" t="n"/>
      <c r="G3246" s="8">
        <f>IF(E3246="","",E3246*F3246)</f>
        <v/>
      </c>
      <c r="H3246" s="8">
        <f>IF(G3246="","",G3246-I3246)</f>
        <v/>
      </c>
      <c r="I3246" s="8">
        <f>IF(D3246="","",VLOOKUP(D3246, RECETTES!B:G, 6, FALSE)*E3246)</f>
        <v/>
      </c>
      <c r="J3246" s="8">
        <f>IF(G3246="","",G3246*0.20)</f>
        <v/>
      </c>
      <c r="K3246" s="8">
        <f>IF(G3246="","",G3246+J3246)</f>
        <v/>
      </c>
    </row>
    <row r="3247">
      <c r="F3247" s="8" t="n"/>
      <c r="G3247" s="8">
        <f>IF(E3247="","",E3247*F3247)</f>
        <v/>
      </c>
      <c r="H3247" s="8">
        <f>IF(G3247="","",G3247-I3247)</f>
        <v/>
      </c>
      <c r="I3247" s="8">
        <f>IF(D3247="","",VLOOKUP(D3247, RECETTES!B:G, 6, FALSE)*E3247)</f>
        <v/>
      </c>
      <c r="J3247" s="8">
        <f>IF(G3247="","",G3247*0.20)</f>
        <v/>
      </c>
      <c r="K3247" s="8">
        <f>IF(G3247="","",G3247+J3247)</f>
        <v/>
      </c>
    </row>
    <row r="3248">
      <c r="F3248" s="8" t="n"/>
      <c r="G3248" s="8">
        <f>IF(E3248="","",E3248*F3248)</f>
        <v/>
      </c>
      <c r="H3248" s="8">
        <f>IF(G3248="","",G3248-I3248)</f>
        <v/>
      </c>
      <c r="I3248" s="8">
        <f>IF(D3248="","",VLOOKUP(D3248, RECETTES!B:G, 6, FALSE)*E3248)</f>
        <v/>
      </c>
      <c r="J3248" s="8">
        <f>IF(G3248="","",G3248*0.20)</f>
        <v/>
      </c>
      <c r="K3248" s="8">
        <f>IF(G3248="","",G3248+J3248)</f>
        <v/>
      </c>
    </row>
    <row r="3249">
      <c r="F3249" s="8" t="n"/>
      <c r="G3249" s="8">
        <f>IF(E3249="","",E3249*F3249)</f>
        <v/>
      </c>
      <c r="H3249" s="8">
        <f>IF(G3249="","",G3249-I3249)</f>
        <v/>
      </c>
      <c r="I3249" s="8">
        <f>IF(D3249="","",VLOOKUP(D3249, RECETTES!B:G, 6, FALSE)*E3249)</f>
        <v/>
      </c>
      <c r="J3249" s="8">
        <f>IF(G3249="","",G3249*0.20)</f>
        <v/>
      </c>
      <c r="K3249" s="8">
        <f>IF(G3249="","",G3249+J3249)</f>
        <v/>
      </c>
    </row>
    <row r="3250">
      <c r="F3250" s="8" t="n"/>
      <c r="G3250" s="8">
        <f>IF(E3250="","",E3250*F3250)</f>
        <v/>
      </c>
      <c r="H3250" s="8">
        <f>IF(G3250="","",G3250-I3250)</f>
        <v/>
      </c>
      <c r="I3250" s="8">
        <f>IF(D3250="","",VLOOKUP(D3250, RECETTES!B:G, 6, FALSE)*E3250)</f>
        <v/>
      </c>
      <c r="J3250" s="8">
        <f>IF(G3250="","",G3250*0.20)</f>
        <v/>
      </c>
      <c r="K3250" s="8">
        <f>IF(G3250="","",G3250+J3250)</f>
        <v/>
      </c>
    </row>
    <row r="3251">
      <c r="F3251" s="8" t="n"/>
      <c r="G3251" s="8">
        <f>IF(E3251="","",E3251*F3251)</f>
        <v/>
      </c>
      <c r="H3251" s="8">
        <f>IF(G3251="","",G3251-I3251)</f>
        <v/>
      </c>
      <c r="I3251" s="8">
        <f>IF(D3251="","",VLOOKUP(D3251, RECETTES!B:G, 6, FALSE)*E3251)</f>
        <v/>
      </c>
      <c r="J3251" s="8">
        <f>IF(G3251="","",G3251*0.20)</f>
        <v/>
      </c>
      <c r="K3251" s="8">
        <f>IF(G3251="","",G3251+J3251)</f>
        <v/>
      </c>
    </row>
    <row r="3252">
      <c r="F3252" s="8" t="n"/>
      <c r="G3252" s="8">
        <f>IF(E3252="","",E3252*F3252)</f>
        <v/>
      </c>
      <c r="H3252" s="8">
        <f>IF(G3252="","",G3252-I3252)</f>
        <v/>
      </c>
      <c r="I3252" s="8">
        <f>IF(D3252="","",VLOOKUP(D3252, RECETTES!B:G, 6, FALSE)*E3252)</f>
        <v/>
      </c>
      <c r="J3252" s="8">
        <f>IF(G3252="","",G3252*0.20)</f>
        <v/>
      </c>
      <c r="K3252" s="8">
        <f>IF(G3252="","",G3252+J3252)</f>
        <v/>
      </c>
    </row>
    <row r="3253">
      <c r="F3253" s="8" t="n"/>
      <c r="G3253" s="8">
        <f>IF(E3253="","",E3253*F3253)</f>
        <v/>
      </c>
      <c r="H3253" s="8">
        <f>IF(G3253="","",G3253-I3253)</f>
        <v/>
      </c>
      <c r="I3253" s="8">
        <f>IF(D3253="","",VLOOKUP(D3253, RECETTES!B:G, 6, FALSE)*E3253)</f>
        <v/>
      </c>
      <c r="J3253" s="8">
        <f>IF(G3253="","",G3253*0.20)</f>
        <v/>
      </c>
      <c r="K3253" s="8">
        <f>IF(G3253="","",G3253+J3253)</f>
        <v/>
      </c>
    </row>
    <row r="3254">
      <c r="F3254" s="8" t="n"/>
      <c r="G3254" s="8">
        <f>IF(E3254="","",E3254*F3254)</f>
        <v/>
      </c>
      <c r="H3254" s="8">
        <f>IF(G3254="","",G3254-I3254)</f>
        <v/>
      </c>
      <c r="I3254" s="8">
        <f>IF(D3254="","",VLOOKUP(D3254, RECETTES!B:G, 6, FALSE)*E3254)</f>
        <v/>
      </c>
      <c r="J3254" s="8">
        <f>IF(G3254="","",G3254*0.20)</f>
        <v/>
      </c>
      <c r="K3254" s="8">
        <f>IF(G3254="","",G3254+J3254)</f>
        <v/>
      </c>
    </row>
    <row r="3255">
      <c r="F3255" s="8" t="n"/>
      <c r="G3255" s="8">
        <f>IF(E3255="","",E3255*F3255)</f>
        <v/>
      </c>
      <c r="H3255" s="8">
        <f>IF(G3255="","",G3255-I3255)</f>
        <v/>
      </c>
      <c r="I3255" s="8">
        <f>IF(D3255="","",VLOOKUP(D3255, RECETTES!B:G, 6, FALSE)*E3255)</f>
        <v/>
      </c>
      <c r="J3255" s="8">
        <f>IF(G3255="","",G3255*0.20)</f>
        <v/>
      </c>
      <c r="K3255" s="8">
        <f>IF(G3255="","",G3255+J3255)</f>
        <v/>
      </c>
    </row>
    <row r="3256">
      <c r="F3256" s="8" t="n"/>
      <c r="G3256" s="8">
        <f>IF(E3256="","",E3256*F3256)</f>
        <v/>
      </c>
      <c r="H3256" s="8">
        <f>IF(G3256="","",G3256-I3256)</f>
        <v/>
      </c>
      <c r="I3256" s="8">
        <f>IF(D3256="","",VLOOKUP(D3256, RECETTES!B:G, 6, FALSE)*E3256)</f>
        <v/>
      </c>
      <c r="J3256" s="8">
        <f>IF(G3256="","",G3256*0.20)</f>
        <v/>
      </c>
      <c r="K3256" s="8">
        <f>IF(G3256="","",G3256+J3256)</f>
        <v/>
      </c>
    </row>
    <row r="3257">
      <c r="F3257" s="8" t="n"/>
      <c r="G3257" s="8">
        <f>IF(E3257="","",E3257*F3257)</f>
        <v/>
      </c>
      <c r="H3257" s="8">
        <f>IF(G3257="","",G3257-I3257)</f>
        <v/>
      </c>
      <c r="I3257" s="8">
        <f>IF(D3257="","",VLOOKUP(D3257, RECETTES!B:G, 6, FALSE)*E3257)</f>
        <v/>
      </c>
      <c r="J3257" s="8">
        <f>IF(G3257="","",G3257*0.20)</f>
        <v/>
      </c>
      <c r="K3257" s="8">
        <f>IF(G3257="","",G3257+J3257)</f>
        <v/>
      </c>
    </row>
    <row r="3258">
      <c r="F3258" s="8" t="n"/>
      <c r="G3258" s="8">
        <f>IF(E3258="","",E3258*F3258)</f>
        <v/>
      </c>
      <c r="H3258" s="8">
        <f>IF(G3258="","",G3258-I3258)</f>
        <v/>
      </c>
      <c r="I3258" s="8">
        <f>IF(D3258="","",VLOOKUP(D3258, RECETTES!B:G, 6, FALSE)*E3258)</f>
        <v/>
      </c>
      <c r="J3258" s="8">
        <f>IF(G3258="","",G3258*0.20)</f>
        <v/>
      </c>
      <c r="K3258" s="8">
        <f>IF(G3258="","",G3258+J3258)</f>
        <v/>
      </c>
    </row>
    <row r="3259">
      <c r="F3259" s="8" t="n"/>
      <c r="G3259" s="8">
        <f>IF(E3259="","",E3259*F3259)</f>
        <v/>
      </c>
      <c r="H3259" s="8">
        <f>IF(G3259="","",G3259-I3259)</f>
        <v/>
      </c>
      <c r="I3259" s="8">
        <f>IF(D3259="","",VLOOKUP(D3259, RECETTES!B:G, 6, FALSE)*E3259)</f>
        <v/>
      </c>
      <c r="J3259" s="8">
        <f>IF(G3259="","",G3259*0.20)</f>
        <v/>
      </c>
      <c r="K3259" s="8">
        <f>IF(G3259="","",G3259+J3259)</f>
        <v/>
      </c>
    </row>
    <row r="3260">
      <c r="F3260" s="8" t="n"/>
      <c r="G3260" s="8">
        <f>IF(E3260="","",E3260*F3260)</f>
        <v/>
      </c>
      <c r="H3260" s="8">
        <f>IF(G3260="","",G3260-I3260)</f>
        <v/>
      </c>
      <c r="I3260" s="8">
        <f>IF(D3260="","",VLOOKUP(D3260, RECETTES!B:G, 6, FALSE)*E3260)</f>
        <v/>
      </c>
      <c r="J3260" s="8">
        <f>IF(G3260="","",G3260*0.20)</f>
        <v/>
      </c>
      <c r="K3260" s="8">
        <f>IF(G3260="","",G3260+J3260)</f>
        <v/>
      </c>
    </row>
    <row r="3261">
      <c r="F3261" s="8" t="n"/>
      <c r="G3261" s="8">
        <f>IF(E3261="","",E3261*F3261)</f>
        <v/>
      </c>
      <c r="H3261" s="8">
        <f>IF(G3261="","",G3261-I3261)</f>
        <v/>
      </c>
      <c r="I3261" s="8">
        <f>IF(D3261="","",VLOOKUP(D3261, RECETTES!B:G, 6, FALSE)*E3261)</f>
        <v/>
      </c>
      <c r="J3261" s="8">
        <f>IF(G3261="","",G3261*0.20)</f>
        <v/>
      </c>
      <c r="K3261" s="8">
        <f>IF(G3261="","",G3261+J3261)</f>
        <v/>
      </c>
    </row>
    <row r="3262">
      <c r="F3262" s="8" t="n"/>
      <c r="G3262" s="8">
        <f>IF(E3262="","",E3262*F3262)</f>
        <v/>
      </c>
      <c r="H3262" s="8">
        <f>IF(G3262="","",G3262-I3262)</f>
        <v/>
      </c>
      <c r="I3262" s="8">
        <f>IF(D3262="","",VLOOKUP(D3262, RECETTES!B:G, 6, FALSE)*E3262)</f>
        <v/>
      </c>
      <c r="J3262" s="8">
        <f>IF(G3262="","",G3262*0.20)</f>
        <v/>
      </c>
      <c r="K3262" s="8">
        <f>IF(G3262="","",G3262+J3262)</f>
        <v/>
      </c>
    </row>
    <row r="3263">
      <c r="F3263" s="8" t="n"/>
      <c r="G3263" s="8">
        <f>IF(E3263="","",E3263*F3263)</f>
        <v/>
      </c>
      <c r="H3263" s="8">
        <f>IF(G3263="","",G3263-I3263)</f>
        <v/>
      </c>
      <c r="I3263" s="8">
        <f>IF(D3263="","",VLOOKUP(D3263, RECETTES!B:G, 6, FALSE)*E3263)</f>
        <v/>
      </c>
      <c r="J3263" s="8">
        <f>IF(G3263="","",G3263*0.20)</f>
        <v/>
      </c>
      <c r="K3263" s="8">
        <f>IF(G3263="","",G3263+J3263)</f>
        <v/>
      </c>
    </row>
    <row r="3264">
      <c r="F3264" s="8" t="n"/>
      <c r="G3264" s="8">
        <f>IF(E3264="","",E3264*F3264)</f>
        <v/>
      </c>
      <c r="H3264" s="8">
        <f>IF(G3264="","",G3264-I3264)</f>
        <v/>
      </c>
      <c r="I3264" s="8">
        <f>IF(D3264="","",VLOOKUP(D3264, RECETTES!B:G, 6, FALSE)*E3264)</f>
        <v/>
      </c>
      <c r="J3264" s="8">
        <f>IF(G3264="","",G3264*0.20)</f>
        <v/>
      </c>
      <c r="K3264" s="8">
        <f>IF(G3264="","",G3264+J3264)</f>
        <v/>
      </c>
    </row>
    <row r="3265">
      <c r="F3265" s="8" t="n"/>
      <c r="G3265" s="8">
        <f>IF(E3265="","",E3265*F3265)</f>
        <v/>
      </c>
      <c r="H3265" s="8">
        <f>IF(G3265="","",G3265-I3265)</f>
        <v/>
      </c>
      <c r="I3265" s="8">
        <f>IF(D3265="","",VLOOKUP(D3265, RECETTES!B:G, 6, FALSE)*E3265)</f>
        <v/>
      </c>
      <c r="J3265" s="8">
        <f>IF(G3265="","",G3265*0.20)</f>
        <v/>
      </c>
      <c r="K3265" s="8">
        <f>IF(G3265="","",G3265+J3265)</f>
        <v/>
      </c>
    </row>
    <row r="3266">
      <c r="F3266" s="8" t="n"/>
      <c r="G3266" s="8">
        <f>IF(E3266="","",E3266*F3266)</f>
        <v/>
      </c>
      <c r="H3266" s="8">
        <f>IF(G3266="","",G3266-I3266)</f>
        <v/>
      </c>
      <c r="I3266" s="8">
        <f>IF(D3266="","",VLOOKUP(D3266, RECETTES!B:G, 6, FALSE)*E3266)</f>
        <v/>
      </c>
      <c r="J3266" s="8">
        <f>IF(G3266="","",G3266*0.20)</f>
        <v/>
      </c>
      <c r="K3266" s="8">
        <f>IF(G3266="","",G3266+J3266)</f>
        <v/>
      </c>
    </row>
    <row r="3267">
      <c r="F3267" s="8" t="n"/>
      <c r="G3267" s="8">
        <f>IF(E3267="","",E3267*F3267)</f>
        <v/>
      </c>
      <c r="H3267" s="8">
        <f>IF(G3267="","",G3267-I3267)</f>
        <v/>
      </c>
      <c r="I3267" s="8">
        <f>IF(D3267="","",VLOOKUP(D3267, RECETTES!B:G, 6, FALSE)*E3267)</f>
        <v/>
      </c>
      <c r="J3267" s="8">
        <f>IF(G3267="","",G3267*0.20)</f>
        <v/>
      </c>
      <c r="K3267" s="8">
        <f>IF(G3267="","",G3267+J3267)</f>
        <v/>
      </c>
    </row>
    <row r="3268">
      <c r="F3268" s="8" t="n"/>
      <c r="G3268" s="8">
        <f>IF(E3268="","",E3268*F3268)</f>
        <v/>
      </c>
      <c r="H3268" s="8">
        <f>IF(G3268="","",G3268-I3268)</f>
        <v/>
      </c>
      <c r="I3268" s="8">
        <f>IF(D3268="","",VLOOKUP(D3268, RECETTES!B:G, 6, FALSE)*E3268)</f>
        <v/>
      </c>
      <c r="J3268" s="8">
        <f>IF(G3268="","",G3268*0.20)</f>
        <v/>
      </c>
      <c r="K3268" s="8">
        <f>IF(G3268="","",G3268+J3268)</f>
        <v/>
      </c>
    </row>
    <row r="3269">
      <c r="F3269" s="8" t="n"/>
      <c r="G3269" s="8">
        <f>IF(E3269="","",E3269*F3269)</f>
        <v/>
      </c>
      <c r="H3269" s="8">
        <f>IF(G3269="","",G3269-I3269)</f>
        <v/>
      </c>
      <c r="I3269" s="8">
        <f>IF(D3269="","",VLOOKUP(D3269, RECETTES!B:G, 6, FALSE)*E3269)</f>
        <v/>
      </c>
      <c r="J3269" s="8">
        <f>IF(G3269="","",G3269*0.20)</f>
        <v/>
      </c>
      <c r="K3269" s="8">
        <f>IF(G3269="","",G3269+J3269)</f>
        <v/>
      </c>
    </row>
    <row r="3270">
      <c r="F3270" s="8" t="n"/>
      <c r="G3270" s="8">
        <f>IF(E3270="","",E3270*F3270)</f>
        <v/>
      </c>
      <c r="H3270" s="8">
        <f>IF(G3270="","",G3270-I3270)</f>
        <v/>
      </c>
      <c r="I3270" s="8">
        <f>IF(D3270="","",VLOOKUP(D3270, RECETTES!B:G, 6, FALSE)*E3270)</f>
        <v/>
      </c>
      <c r="J3270" s="8">
        <f>IF(G3270="","",G3270*0.20)</f>
        <v/>
      </c>
      <c r="K3270" s="8">
        <f>IF(G3270="","",G3270+J3270)</f>
        <v/>
      </c>
    </row>
    <row r="3271">
      <c r="F3271" s="8" t="n"/>
      <c r="G3271" s="8">
        <f>IF(E3271="","",E3271*F3271)</f>
        <v/>
      </c>
      <c r="H3271" s="8">
        <f>IF(G3271="","",G3271-I3271)</f>
        <v/>
      </c>
      <c r="I3271" s="8">
        <f>IF(D3271="","",VLOOKUP(D3271, RECETTES!B:G, 6, FALSE)*E3271)</f>
        <v/>
      </c>
      <c r="J3271" s="8">
        <f>IF(G3271="","",G3271*0.20)</f>
        <v/>
      </c>
      <c r="K3271" s="8">
        <f>IF(G3271="","",G3271+J3271)</f>
        <v/>
      </c>
    </row>
    <row r="3272">
      <c r="F3272" s="8" t="n"/>
      <c r="G3272" s="8">
        <f>IF(E3272="","",E3272*F3272)</f>
        <v/>
      </c>
      <c r="H3272" s="8">
        <f>IF(G3272="","",G3272-I3272)</f>
        <v/>
      </c>
      <c r="I3272" s="8">
        <f>IF(D3272="","",VLOOKUP(D3272, RECETTES!B:G, 6, FALSE)*E3272)</f>
        <v/>
      </c>
      <c r="J3272" s="8">
        <f>IF(G3272="","",G3272*0.20)</f>
        <v/>
      </c>
      <c r="K3272" s="8">
        <f>IF(G3272="","",G3272+J3272)</f>
        <v/>
      </c>
    </row>
    <row r="3273">
      <c r="F3273" s="8" t="n"/>
      <c r="G3273" s="8">
        <f>IF(E3273="","",E3273*F3273)</f>
        <v/>
      </c>
      <c r="H3273" s="8">
        <f>IF(G3273="","",G3273-I3273)</f>
        <v/>
      </c>
      <c r="I3273" s="8">
        <f>IF(D3273="","",VLOOKUP(D3273, RECETTES!B:G, 6, FALSE)*E3273)</f>
        <v/>
      </c>
      <c r="J3273" s="8">
        <f>IF(G3273="","",G3273*0.20)</f>
        <v/>
      </c>
      <c r="K3273" s="8">
        <f>IF(G3273="","",G3273+J3273)</f>
        <v/>
      </c>
    </row>
    <row r="3274">
      <c r="F3274" s="8" t="n"/>
      <c r="G3274" s="8">
        <f>IF(E3274="","",E3274*F3274)</f>
        <v/>
      </c>
      <c r="H3274" s="8">
        <f>IF(G3274="","",G3274-I3274)</f>
        <v/>
      </c>
      <c r="I3274" s="8">
        <f>IF(D3274="","",VLOOKUP(D3274, RECETTES!B:G, 6, FALSE)*E3274)</f>
        <v/>
      </c>
      <c r="J3274" s="8">
        <f>IF(G3274="","",G3274*0.20)</f>
        <v/>
      </c>
      <c r="K3274" s="8">
        <f>IF(G3274="","",G3274+J3274)</f>
        <v/>
      </c>
    </row>
    <row r="3275">
      <c r="F3275" s="8" t="n"/>
      <c r="G3275" s="8">
        <f>IF(E3275="","",E3275*F3275)</f>
        <v/>
      </c>
      <c r="H3275" s="8">
        <f>IF(G3275="","",G3275-I3275)</f>
        <v/>
      </c>
      <c r="I3275" s="8">
        <f>IF(D3275="","",VLOOKUP(D3275, RECETTES!B:G, 6, FALSE)*E3275)</f>
        <v/>
      </c>
      <c r="J3275" s="8">
        <f>IF(G3275="","",G3275*0.20)</f>
        <v/>
      </c>
      <c r="K3275" s="8">
        <f>IF(G3275="","",G3275+J3275)</f>
        <v/>
      </c>
    </row>
    <row r="3276">
      <c r="F3276" s="8" t="n"/>
      <c r="G3276" s="8">
        <f>IF(E3276="","",E3276*F3276)</f>
        <v/>
      </c>
      <c r="H3276" s="8">
        <f>IF(G3276="","",G3276-I3276)</f>
        <v/>
      </c>
      <c r="I3276" s="8">
        <f>IF(D3276="","",VLOOKUP(D3276, RECETTES!B:G, 6, FALSE)*E3276)</f>
        <v/>
      </c>
      <c r="J3276" s="8">
        <f>IF(G3276="","",G3276*0.20)</f>
        <v/>
      </c>
      <c r="K3276" s="8">
        <f>IF(G3276="","",G3276+J3276)</f>
        <v/>
      </c>
    </row>
    <row r="3277">
      <c r="F3277" s="8" t="n"/>
      <c r="G3277" s="8">
        <f>IF(E3277="","",E3277*F3277)</f>
        <v/>
      </c>
      <c r="H3277" s="8">
        <f>IF(G3277="","",G3277-I3277)</f>
        <v/>
      </c>
      <c r="I3277" s="8">
        <f>IF(D3277="","",VLOOKUP(D3277, RECETTES!B:G, 6, FALSE)*E3277)</f>
        <v/>
      </c>
      <c r="J3277" s="8">
        <f>IF(G3277="","",G3277*0.20)</f>
        <v/>
      </c>
      <c r="K3277" s="8">
        <f>IF(G3277="","",G3277+J3277)</f>
        <v/>
      </c>
    </row>
    <row r="3278">
      <c r="F3278" s="8" t="n"/>
      <c r="G3278" s="8">
        <f>IF(E3278="","",E3278*F3278)</f>
        <v/>
      </c>
      <c r="H3278" s="8">
        <f>IF(G3278="","",G3278-I3278)</f>
        <v/>
      </c>
      <c r="I3278" s="8">
        <f>IF(D3278="","",VLOOKUP(D3278, RECETTES!B:G, 6, FALSE)*E3278)</f>
        <v/>
      </c>
      <c r="J3278" s="8">
        <f>IF(G3278="","",G3278*0.20)</f>
        <v/>
      </c>
      <c r="K3278" s="8">
        <f>IF(G3278="","",G3278+J3278)</f>
        <v/>
      </c>
    </row>
    <row r="3279">
      <c r="F3279" s="8" t="n"/>
      <c r="G3279" s="8">
        <f>IF(E3279="","",E3279*F3279)</f>
        <v/>
      </c>
      <c r="H3279" s="8">
        <f>IF(G3279="","",G3279-I3279)</f>
        <v/>
      </c>
      <c r="I3279" s="8">
        <f>IF(D3279="","",VLOOKUP(D3279, RECETTES!B:G, 6, FALSE)*E3279)</f>
        <v/>
      </c>
      <c r="J3279" s="8">
        <f>IF(G3279="","",G3279*0.20)</f>
        <v/>
      </c>
      <c r="K3279" s="8">
        <f>IF(G3279="","",G3279+J3279)</f>
        <v/>
      </c>
    </row>
    <row r="3280">
      <c r="F3280" s="8" t="n"/>
      <c r="G3280" s="8">
        <f>IF(E3280="","",E3280*F3280)</f>
        <v/>
      </c>
      <c r="H3280" s="8">
        <f>IF(G3280="","",G3280-I3280)</f>
        <v/>
      </c>
      <c r="I3280" s="8">
        <f>IF(D3280="","",VLOOKUP(D3280, RECETTES!B:G, 6, FALSE)*E3280)</f>
        <v/>
      </c>
      <c r="J3280" s="8">
        <f>IF(G3280="","",G3280*0.20)</f>
        <v/>
      </c>
      <c r="K3280" s="8">
        <f>IF(G3280="","",G3280+J3280)</f>
        <v/>
      </c>
    </row>
    <row r="3281">
      <c r="F3281" s="8" t="n"/>
      <c r="G3281" s="8">
        <f>IF(E3281="","",E3281*F3281)</f>
        <v/>
      </c>
      <c r="H3281" s="8">
        <f>IF(G3281="","",G3281-I3281)</f>
        <v/>
      </c>
      <c r="I3281" s="8">
        <f>IF(D3281="","",VLOOKUP(D3281, RECETTES!B:G, 6, FALSE)*E3281)</f>
        <v/>
      </c>
      <c r="J3281" s="8">
        <f>IF(G3281="","",G3281*0.20)</f>
        <v/>
      </c>
      <c r="K3281" s="8">
        <f>IF(G3281="","",G3281+J3281)</f>
        <v/>
      </c>
    </row>
    <row r="3282">
      <c r="F3282" s="8" t="n"/>
      <c r="G3282" s="8">
        <f>IF(E3282="","",E3282*F3282)</f>
        <v/>
      </c>
      <c r="H3282" s="8">
        <f>IF(G3282="","",G3282-I3282)</f>
        <v/>
      </c>
      <c r="I3282" s="8">
        <f>IF(D3282="","",VLOOKUP(D3282, RECETTES!B:G, 6, FALSE)*E3282)</f>
        <v/>
      </c>
      <c r="J3282" s="8">
        <f>IF(G3282="","",G3282*0.20)</f>
        <v/>
      </c>
      <c r="K3282" s="8">
        <f>IF(G3282="","",G3282+J3282)</f>
        <v/>
      </c>
    </row>
    <row r="3283">
      <c r="F3283" s="8" t="n"/>
      <c r="G3283" s="8">
        <f>IF(E3283="","",E3283*F3283)</f>
        <v/>
      </c>
      <c r="H3283" s="8">
        <f>IF(G3283="","",G3283-I3283)</f>
        <v/>
      </c>
      <c r="I3283" s="8">
        <f>IF(D3283="","",VLOOKUP(D3283, RECETTES!B:G, 6, FALSE)*E3283)</f>
        <v/>
      </c>
      <c r="J3283" s="8">
        <f>IF(G3283="","",G3283*0.20)</f>
        <v/>
      </c>
      <c r="K3283" s="8">
        <f>IF(G3283="","",G3283+J3283)</f>
        <v/>
      </c>
    </row>
    <row r="3284">
      <c r="F3284" s="8" t="n"/>
      <c r="G3284" s="8">
        <f>IF(E3284="","",E3284*F3284)</f>
        <v/>
      </c>
      <c r="H3284" s="8">
        <f>IF(G3284="","",G3284-I3284)</f>
        <v/>
      </c>
      <c r="I3284" s="8">
        <f>IF(D3284="","",VLOOKUP(D3284, RECETTES!B:G, 6, FALSE)*E3284)</f>
        <v/>
      </c>
      <c r="J3284" s="8">
        <f>IF(G3284="","",G3284*0.20)</f>
        <v/>
      </c>
      <c r="K3284" s="8">
        <f>IF(G3284="","",G3284+J3284)</f>
        <v/>
      </c>
    </row>
    <row r="3285">
      <c r="F3285" s="8" t="n"/>
      <c r="G3285" s="8">
        <f>IF(E3285="","",E3285*F3285)</f>
        <v/>
      </c>
      <c r="H3285" s="8">
        <f>IF(G3285="","",G3285-I3285)</f>
        <v/>
      </c>
      <c r="I3285" s="8">
        <f>IF(D3285="","",VLOOKUP(D3285, RECETTES!B:G, 6, FALSE)*E3285)</f>
        <v/>
      </c>
      <c r="J3285" s="8">
        <f>IF(G3285="","",G3285*0.20)</f>
        <v/>
      </c>
      <c r="K3285" s="8">
        <f>IF(G3285="","",G3285+J3285)</f>
        <v/>
      </c>
    </row>
    <row r="3286">
      <c r="F3286" s="8" t="n"/>
      <c r="G3286" s="8">
        <f>IF(E3286="","",E3286*F3286)</f>
        <v/>
      </c>
      <c r="H3286" s="8">
        <f>IF(G3286="","",G3286-I3286)</f>
        <v/>
      </c>
      <c r="I3286" s="8">
        <f>IF(D3286="","",VLOOKUP(D3286, RECETTES!B:G, 6, FALSE)*E3286)</f>
        <v/>
      </c>
      <c r="J3286" s="8">
        <f>IF(G3286="","",G3286*0.20)</f>
        <v/>
      </c>
      <c r="K3286" s="8">
        <f>IF(G3286="","",G3286+J3286)</f>
        <v/>
      </c>
    </row>
    <row r="3287">
      <c r="F3287" s="8" t="n"/>
      <c r="G3287" s="8">
        <f>IF(E3287="","",E3287*F3287)</f>
        <v/>
      </c>
      <c r="H3287" s="8">
        <f>IF(G3287="","",G3287-I3287)</f>
        <v/>
      </c>
      <c r="I3287" s="8">
        <f>IF(D3287="","",VLOOKUP(D3287, RECETTES!B:G, 6, FALSE)*E3287)</f>
        <v/>
      </c>
      <c r="J3287" s="8">
        <f>IF(G3287="","",G3287*0.20)</f>
        <v/>
      </c>
      <c r="K3287" s="8">
        <f>IF(G3287="","",G3287+J3287)</f>
        <v/>
      </c>
    </row>
    <row r="3288">
      <c r="F3288" s="8" t="n"/>
      <c r="G3288" s="8">
        <f>IF(E3288="","",E3288*F3288)</f>
        <v/>
      </c>
      <c r="H3288" s="8">
        <f>IF(G3288="","",G3288-I3288)</f>
        <v/>
      </c>
      <c r="I3288" s="8">
        <f>IF(D3288="","",VLOOKUP(D3288, RECETTES!B:G, 6, FALSE)*E3288)</f>
        <v/>
      </c>
      <c r="J3288" s="8">
        <f>IF(G3288="","",G3288*0.20)</f>
        <v/>
      </c>
      <c r="K3288" s="8">
        <f>IF(G3288="","",G3288+J3288)</f>
        <v/>
      </c>
    </row>
    <row r="3289">
      <c r="F3289" s="8" t="n"/>
      <c r="G3289" s="8">
        <f>IF(E3289="","",E3289*F3289)</f>
        <v/>
      </c>
      <c r="H3289" s="8">
        <f>IF(G3289="","",G3289-I3289)</f>
        <v/>
      </c>
      <c r="I3289" s="8">
        <f>IF(D3289="","",VLOOKUP(D3289, RECETTES!B:G, 6, FALSE)*E3289)</f>
        <v/>
      </c>
      <c r="J3289" s="8">
        <f>IF(G3289="","",G3289*0.20)</f>
        <v/>
      </c>
      <c r="K3289" s="8">
        <f>IF(G3289="","",G3289+J3289)</f>
        <v/>
      </c>
    </row>
    <row r="3290">
      <c r="F3290" s="8" t="n"/>
      <c r="G3290" s="8">
        <f>IF(E3290="","",E3290*F3290)</f>
        <v/>
      </c>
      <c r="H3290" s="8">
        <f>IF(G3290="","",G3290-I3290)</f>
        <v/>
      </c>
      <c r="I3290" s="8">
        <f>IF(D3290="","",VLOOKUP(D3290, RECETTES!B:G, 6, FALSE)*E3290)</f>
        <v/>
      </c>
      <c r="J3290" s="8">
        <f>IF(G3290="","",G3290*0.20)</f>
        <v/>
      </c>
      <c r="K3290" s="8">
        <f>IF(G3290="","",G3290+J3290)</f>
        <v/>
      </c>
    </row>
    <row r="3291">
      <c r="F3291" s="8" t="n"/>
      <c r="G3291" s="8">
        <f>IF(E3291="","",E3291*F3291)</f>
        <v/>
      </c>
      <c r="H3291" s="8">
        <f>IF(G3291="","",G3291-I3291)</f>
        <v/>
      </c>
      <c r="I3291" s="8">
        <f>IF(D3291="","",VLOOKUP(D3291, RECETTES!B:G, 6, FALSE)*E3291)</f>
        <v/>
      </c>
      <c r="J3291" s="8">
        <f>IF(G3291="","",G3291*0.20)</f>
        <v/>
      </c>
      <c r="K3291" s="8">
        <f>IF(G3291="","",G3291+J3291)</f>
        <v/>
      </c>
    </row>
    <row r="3292">
      <c r="F3292" s="8" t="n"/>
      <c r="G3292" s="8">
        <f>IF(E3292="","",E3292*F3292)</f>
        <v/>
      </c>
      <c r="H3292" s="8">
        <f>IF(G3292="","",G3292-I3292)</f>
        <v/>
      </c>
      <c r="I3292" s="8">
        <f>IF(D3292="","",VLOOKUP(D3292, RECETTES!B:G, 6, FALSE)*E3292)</f>
        <v/>
      </c>
      <c r="J3292" s="8">
        <f>IF(G3292="","",G3292*0.20)</f>
        <v/>
      </c>
      <c r="K3292" s="8">
        <f>IF(G3292="","",G3292+J3292)</f>
        <v/>
      </c>
    </row>
    <row r="3293">
      <c r="F3293" s="8" t="n"/>
      <c r="G3293" s="8">
        <f>IF(E3293="","",E3293*F3293)</f>
        <v/>
      </c>
      <c r="H3293" s="8">
        <f>IF(G3293="","",G3293-I3293)</f>
        <v/>
      </c>
      <c r="I3293" s="8">
        <f>IF(D3293="","",VLOOKUP(D3293, RECETTES!B:G, 6, FALSE)*E3293)</f>
        <v/>
      </c>
      <c r="J3293" s="8">
        <f>IF(G3293="","",G3293*0.20)</f>
        <v/>
      </c>
      <c r="K3293" s="8">
        <f>IF(G3293="","",G3293+J3293)</f>
        <v/>
      </c>
    </row>
    <row r="3294">
      <c r="F3294" s="8" t="n"/>
      <c r="G3294" s="8">
        <f>IF(E3294="","",E3294*F3294)</f>
        <v/>
      </c>
      <c r="H3294" s="8">
        <f>IF(G3294="","",G3294-I3294)</f>
        <v/>
      </c>
      <c r="I3294" s="8">
        <f>IF(D3294="","",VLOOKUP(D3294, RECETTES!B:G, 6, FALSE)*E3294)</f>
        <v/>
      </c>
      <c r="J3294" s="8">
        <f>IF(G3294="","",G3294*0.20)</f>
        <v/>
      </c>
      <c r="K3294" s="8">
        <f>IF(G3294="","",G3294+J3294)</f>
        <v/>
      </c>
    </row>
    <row r="3295">
      <c r="F3295" s="8" t="n"/>
      <c r="G3295" s="8">
        <f>IF(E3295="","",E3295*F3295)</f>
        <v/>
      </c>
      <c r="H3295" s="8">
        <f>IF(G3295="","",G3295-I3295)</f>
        <v/>
      </c>
      <c r="I3295" s="8">
        <f>IF(D3295="","",VLOOKUP(D3295, RECETTES!B:G, 6, FALSE)*E3295)</f>
        <v/>
      </c>
      <c r="J3295" s="8">
        <f>IF(G3295="","",G3295*0.20)</f>
        <v/>
      </c>
      <c r="K3295" s="8">
        <f>IF(G3295="","",G3295+J3295)</f>
        <v/>
      </c>
    </row>
    <row r="3296">
      <c r="F3296" s="8" t="n"/>
      <c r="G3296" s="8">
        <f>IF(E3296="","",E3296*F3296)</f>
        <v/>
      </c>
      <c r="H3296" s="8">
        <f>IF(G3296="","",G3296-I3296)</f>
        <v/>
      </c>
      <c r="I3296" s="8">
        <f>IF(D3296="","",VLOOKUP(D3296, RECETTES!B:G, 6, FALSE)*E3296)</f>
        <v/>
      </c>
      <c r="J3296" s="8">
        <f>IF(G3296="","",G3296*0.20)</f>
        <v/>
      </c>
      <c r="K3296" s="8">
        <f>IF(G3296="","",G3296+J3296)</f>
        <v/>
      </c>
    </row>
    <row r="3297">
      <c r="F3297" s="8" t="n"/>
      <c r="G3297" s="8">
        <f>IF(E3297="","",E3297*F3297)</f>
        <v/>
      </c>
      <c r="H3297" s="8">
        <f>IF(G3297="","",G3297-I3297)</f>
        <v/>
      </c>
      <c r="I3297" s="8">
        <f>IF(D3297="","",VLOOKUP(D3297, RECETTES!B:G, 6, FALSE)*E3297)</f>
        <v/>
      </c>
      <c r="J3297" s="8">
        <f>IF(G3297="","",G3297*0.20)</f>
        <v/>
      </c>
      <c r="K3297" s="8">
        <f>IF(G3297="","",G3297+J3297)</f>
        <v/>
      </c>
    </row>
    <row r="3298">
      <c r="F3298" s="8" t="n"/>
      <c r="G3298" s="8">
        <f>IF(E3298="","",E3298*F3298)</f>
        <v/>
      </c>
      <c r="H3298" s="8">
        <f>IF(G3298="","",G3298-I3298)</f>
        <v/>
      </c>
      <c r="I3298" s="8">
        <f>IF(D3298="","",VLOOKUP(D3298, RECETTES!B:G, 6, FALSE)*E3298)</f>
        <v/>
      </c>
      <c r="J3298" s="8">
        <f>IF(G3298="","",G3298*0.20)</f>
        <v/>
      </c>
      <c r="K3298" s="8">
        <f>IF(G3298="","",G3298+J3298)</f>
        <v/>
      </c>
    </row>
    <row r="3299">
      <c r="F3299" s="8" t="n"/>
      <c r="G3299" s="8">
        <f>IF(E3299="","",E3299*F3299)</f>
        <v/>
      </c>
      <c r="H3299" s="8">
        <f>IF(G3299="","",G3299-I3299)</f>
        <v/>
      </c>
      <c r="I3299" s="8">
        <f>IF(D3299="","",VLOOKUP(D3299, RECETTES!B:G, 6, FALSE)*E3299)</f>
        <v/>
      </c>
      <c r="J3299" s="8">
        <f>IF(G3299="","",G3299*0.20)</f>
        <v/>
      </c>
      <c r="K3299" s="8">
        <f>IF(G3299="","",G3299+J3299)</f>
        <v/>
      </c>
    </row>
    <row r="3300">
      <c r="F3300" s="8" t="n"/>
      <c r="G3300" s="8">
        <f>IF(E3300="","",E3300*F3300)</f>
        <v/>
      </c>
      <c r="H3300" s="8">
        <f>IF(G3300="","",G3300-I3300)</f>
        <v/>
      </c>
      <c r="I3300" s="8">
        <f>IF(D3300="","",VLOOKUP(D3300, RECETTES!B:G, 6, FALSE)*E3300)</f>
        <v/>
      </c>
      <c r="J3300" s="8">
        <f>IF(G3300="","",G3300*0.20)</f>
        <v/>
      </c>
      <c r="K3300" s="8">
        <f>IF(G3300="","",G3300+J3300)</f>
        <v/>
      </c>
    </row>
    <row r="3301">
      <c r="F3301" s="8" t="n"/>
      <c r="G3301" s="8">
        <f>IF(E3301="","",E3301*F3301)</f>
        <v/>
      </c>
      <c r="H3301" s="8">
        <f>IF(G3301="","",G3301-I3301)</f>
        <v/>
      </c>
      <c r="I3301" s="8">
        <f>IF(D3301="","",VLOOKUP(D3301, RECETTES!B:G, 6, FALSE)*E3301)</f>
        <v/>
      </c>
      <c r="J3301" s="8">
        <f>IF(G3301="","",G3301*0.20)</f>
        <v/>
      </c>
      <c r="K3301" s="8">
        <f>IF(G3301="","",G3301+J3301)</f>
        <v/>
      </c>
    </row>
    <row r="3302">
      <c r="F3302" s="8" t="n"/>
      <c r="G3302" s="8">
        <f>IF(E3302="","",E3302*F3302)</f>
        <v/>
      </c>
      <c r="H3302" s="8">
        <f>IF(G3302="","",G3302-I3302)</f>
        <v/>
      </c>
      <c r="I3302" s="8">
        <f>IF(D3302="","",VLOOKUP(D3302, RECETTES!B:G, 6, FALSE)*E3302)</f>
        <v/>
      </c>
      <c r="J3302" s="8">
        <f>IF(G3302="","",G3302*0.20)</f>
        <v/>
      </c>
      <c r="K3302" s="8">
        <f>IF(G3302="","",G3302+J3302)</f>
        <v/>
      </c>
    </row>
    <row r="3303">
      <c r="F3303" s="8" t="n"/>
      <c r="G3303" s="8">
        <f>IF(E3303="","",E3303*F3303)</f>
        <v/>
      </c>
      <c r="H3303" s="8">
        <f>IF(G3303="","",G3303-I3303)</f>
        <v/>
      </c>
      <c r="I3303" s="8">
        <f>IF(D3303="","",VLOOKUP(D3303, RECETTES!B:G, 6, FALSE)*E3303)</f>
        <v/>
      </c>
      <c r="J3303" s="8">
        <f>IF(G3303="","",G3303*0.20)</f>
        <v/>
      </c>
      <c r="K3303" s="8">
        <f>IF(G3303="","",G3303+J3303)</f>
        <v/>
      </c>
    </row>
    <row r="3304">
      <c r="F3304" s="8" t="n"/>
      <c r="G3304" s="8">
        <f>IF(E3304="","",E3304*F3304)</f>
        <v/>
      </c>
      <c r="H3304" s="8">
        <f>IF(G3304="","",G3304-I3304)</f>
        <v/>
      </c>
      <c r="I3304" s="8">
        <f>IF(D3304="","",VLOOKUP(D3304, RECETTES!B:G, 6, FALSE)*E3304)</f>
        <v/>
      </c>
      <c r="J3304" s="8">
        <f>IF(G3304="","",G3304*0.20)</f>
        <v/>
      </c>
      <c r="K3304" s="8">
        <f>IF(G3304="","",G3304+J3304)</f>
        <v/>
      </c>
    </row>
    <row r="3305">
      <c r="F3305" s="8" t="n"/>
      <c r="G3305" s="8">
        <f>IF(E3305="","",E3305*F3305)</f>
        <v/>
      </c>
      <c r="H3305" s="8">
        <f>IF(G3305="","",G3305-I3305)</f>
        <v/>
      </c>
      <c r="I3305" s="8">
        <f>IF(D3305="","",VLOOKUP(D3305, RECETTES!B:G, 6, FALSE)*E3305)</f>
        <v/>
      </c>
      <c r="J3305" s="8">
        <f>IF(G3305="","",G3305*0.20)</f>
        <v/>
      </c>
      <c r="K3305" s="8">
        <f>IF(G3305="","",G3305+J3305)</f>
        <v/>
      </c>
    </row>
    <row r="3306">
      <c r="F3306" s="8" t="n"/>
      <c r="G3306" s="8">
        <f>IF(E3306="","",E3306*F3306)</f>
        <v/>
      </c>
      <c r="H3306" s="8">
        <f>IF(G3306="","",G3306-I3306)</f>
        <v/>
      </c>
      <c r="I3306" s="8">
        <f>IF(D3306="","",VLOOKUP(D3306, RECETTES!B:G, 6, FALSE)*E3306)</f>
        <v/>
      </c>
      <c r="J3306" s="8">
        <f>IF(G3306="","",G3306*0.20)</f>
        <v/>
      </c>
      <c r="K3306" s="8">
        <f>IF(G3306="","",G3306+J3306)</f>
        <v/>
      </c>
    </row>
    <row r="3307">
      <c r="F3307" s="8" t="n"/>
      <c r="G3307" s="8">
        <f>IF(E3307="","",E3307*F3307)</f>
        <v/>
      </c>
      <c r="H3307" s="8">
        <f>IF(G3307="","",G3307-I3307)</f>
        <v/>
      </c>
      <c r="I3307" s="8">
        <f>IF(D3307="","",VLOOKUP(D3307, RECETTES!B:G, 6, FALSE)*E3307)</f>
        <v/>
      </c>
      <c r="J3307" s="8">
        <f>IF(G3307="","",G3307*0.20)</f>
        <v/>
      </c>
      <c r="K3307" s="8">
        <f>IF(G3307="","",G3307+J3307)</f>
        <v/>
      </c>
    </row>
    <row r="3308">
      <c r="F3308" s="8" t="n"/>
      <c r="G3308" s="8">
        <f>IF(E3308="","",E3308*F3308)</f>
        <v/>
      </c>
      <c r="H3308" s="8">
        <f>IF(G3308="","",G3308-I3308)</f>
        <v/>
      </c>
      <c r="I3308" s="8">
        <f>IF(D3308="","",VLOOKUP(D3308, RECETTES!B:G, 6, FALSE)*E3308)</f>
        <v/>
      </c>
      <c r="J3308" s="8">
        <f>IF(G3308="","",G3308*0.20)</f>
        <v/>
      </c>
      <c r="K3308" s="8">
        <f>IF(G3308="","",G3308+J3308)</f>
        <v/>
      </c>
    </row>
    <row r="3309">
      <c r="F3309" s="8" t="n"/>
      <c r="G3309" s="8">
        <f>IF(E3309="","",E3309*F3309)</f>
        <v/>
      </c>
      <c r="H3309" s="8">
        <f>IF(G3309="","",G3309-I3309)</f>
        <v/>
      </c>
      <c r="I3309" s="8">
        <f>IF(D3309="","",VLOOKUP(D3309, RECETTES!B:G, 6, FALSE)*E3309)</f>
        <v/>
      </c>
      <c r="J3309" s="8">
        <f>IF(G3309="","",G3309*0.20)</f>
        <v/>
      </c>
      <c r="K3309" s="8">
        <f>IF(G3309="","",G3309+J3309)</f>
        <v/>
      </c>
    </row>
    <row r="3310">
      <c r="F3310" s="8" t="n"/>
      <c r="G3310" s="8">
        <f>IF(E3310="","",E3310*F3310)</f>
        <v/>
      </c>
      <c r="H3310" s="8">
        <f>IF(G3310="","",G3310-I3310)</f>
        <v/>
      </c>
      <c r="I3310" s="8">
        <f>IF(D3310="","",VLOOKUP(D3310, RECETTES!B:G, 6, FALSE)*E3310)</f>
        <v/>
      </c>
      <c r="J3310" s="8">
        <f>IF(G3310="","",G3310*0.20)</f>
        <v/>
      </c>
      <c r="K3310" s="8">
        <f>IF(G3310="","",G3310+J3310)</f>
        <v/>
      </c>
    </row>
    <row r="3311">
      <c r="F3311" s="8" t="n"/>
      <c r="G3311" s="8">
        <f>IF(E3311="","",E3311*F3311)</f>
        <v/>
      </c>
      <c r="H3311" s="8">
        <f>IF(G3311="","",G3311-I3311)</f>
        <v/>
      </c>
      <c r="I3311" s="8">
        <f>IF(D3311="","",VLOOKUP(D3311, RECETTES!B:G, 6, FALSE)*E3311)</f>
        <v/>
      </c>
      <c r="J3311" s="8">
        <f>IF(G3311="","",G3311*0.20)</f>
        <v/>
      </c>
      <c r="K3311" s="8">
        <f>IF(G3311="","",G3311+J3311)</f>
        <v/>
      </c>
    </row>
    <row r="3312">
      <c r="F3312" s="8" t="n"/>
      <c r="G3312" s="8">
        <f>IF(E3312="","",E3312*F3312)</f>
        <v/>
      </c>
      <c r="H3312" s="8">
        <f>IF(G3312="","",G3312-I3312)</f>
        <v/>
      </c>
      <c r="I3312" s="8">
        <f>IF(D3312="","",VLOOKUP(D3312, RECETTES!B:G, 6, FALSE)*E3312)</f>
        <v/>
      </c>
      <c r="J3312" s="8">
        <f>IF(G3312="","",G3312*0.20)</f>
        <v/>
      </c>
      <c r="K3312" s="8">
        <f>IF(G3312="","",G3312+J3312)</f>
        <v/>
      </c>
    </row>
    <row r="3313">
      <c r="F3313" s="8" t="n"/>
      <c r="G3313" s="8">
        <f>IF(E3313="","",E3313*F3313)</f>
        <v/>
      </c>
      <c r="H3313" s="8">
        <f>IF(G3313="","",G3313-I3313)</f>
        <v/>
      </c>
      <c r="I3313" s="8">
        <f>IF(D3313="","",VLOOKUP(D3313, RECETTES!B:G, 6, FALSE)*E3313)</f>
        <v/>
      </c>
      <c r="J3313" s="8">
        <f>IF(G3313="","",G3313*0.20)</f>
        <v/>
      </c>
      <c r="K3313" s="8">
        <f>IF(G3313="","",G3313+J3313)</f>
        <v/>
      </c>
    </row>
    <row r="3314">
      <c r="F3314" s="8" t="n"/>
      <c r="G3314" s="8">
        <f>IF(E3314="","",E3314*F3314)</f>
        <v/>
      </c>
      <c r="H3314" s="8">
        <f>IF(G3314="","",G3314-I3314)</f>
        <v/>
      </c>
      <c r="I3314" s="8">
        <f>IF(D3314="","",VLOOKUP(D3314, RECETTES!B:G, 6, FALSE)*E3314)</f>
        <v/>
      </c>
      <c r="J3314" s="8">
        <f>IF(G3314="","",G3314*0.20)</f>
        <v/>
      </c>
      <c r="K3314" s="8">
        <f>IF(G3314="","",G3314+J3314)</f>
        <v/>
      </c>
    </row>
    <row r="3315">
      <c r="F3315" s="8" t="n"/>
      <c r="G3315" s="8">
        <f>IF(E3315="","",E3315*F3315)</f>
        <v/>
      </c>
      <c r="H3315" s="8">
        <f>IF(G3315="","",G3315-I3315)</f>
        <v/>
      </c>
      <c r="I3315" s="8">
        <f>IF(D3315="","",VLOOKUP(D3315, RECETTES!B:G, 6, FALSE)*E3315)</f>
        <v/>
      </c>
      <c r="J3315" s="8">
        <f>IF(G3315="","",G3315*0.20)</f>
        <v/>
      </c>
      <c r="K3315" s="8">
        <f>IF(G3315="","",G3315+J3315)</f>
        <v/>
      </c>
    </row>
    <row r="3316">
      <c r="F3316" s="8" t="n"/>
      <c r="G3316" s="8">
        <f>IF(E3316="","",E3316*F3316)</f>
        <v/>
      </c>
      <c r="H3316" s="8">
        <f>IF(G3316="","",G3316-I3316)</f>
        <v/>
      </c>
      <c r="I3316" s="8">
        <f>IF(D3316="","",VLOOKUP(D3316, RECETTES!B:G, 6, FALSE)*E3316)</f>
        <v/>
      </c>
      <c r="J3316" s="8">
        <f>IF(G3316="","",G3316*0.20)</f>
        <v/>
      </c>
      <c r="K3316" s="8">
        <f>IF(G3316="","",G3316+J3316)</f>
        <v/>
      </c>
    </row>
    <row r="3317">
      <c r="F3317" s="8" t="n"/>
      <c r="G3317" s="8">
        <f>IF(E3317="","",E3317*F3317)</f>
        <v/>
      </c>
      <c r="H3317" s="8">
        <f>IF(G3317="","",G3317-I3317)</f>
        <v/>
      </c>
      <c r="I3317" s="8">
        <f>IF(D3317="","",VLOOKUP(D3317, RECETTES!B:G, 6, FALSE)*E3317)</f>
        <v/>
      </c>
      <c r="J3317" s="8">
        <f>IF(G3317="","",G3317*0.20)</f>
        <v/>
      </c>
      <c r="K3317" s="8">
        <f>IF(G3317="","",G3317+J3317)</f>
        <v/>
      </c>
    </row>
    <row r="3318">
      <c r="F3318" s="8" t="n"/>
      <c r="G3318" s="8">
        <f>IF(E3318="","",E3318*F3318)</f>
        <v/>
      </c>
      <c r="H3318" s="8">
        <f>IF(G3318="","",G3318-I3318)</f>
        <v/>
      </c>
      <c r="I3318" s="8">
        <f>IF(D3318="","",VLOOKUP(D3318, RECETTES!B:G, 6, FALSE)*E3318)</f>
        <v/>
      </c>
      <c r="J3318" s="8">
        <f>IF(G3318="","",G3318*0.20)</f>
        <v/>
      </c>
      <c r="K3318" s="8">
        <f>IF(G3318="","",G3318+J3318)</f>
        <v/>
      </c>
    </row>
    <row r="3319">
      <c r="F3319" s="8" t="n"/>
      <c r="G3319" s="8">
        <f>IF(E3319="","",E3319*F3319)</f>
        <v/>
      </c>
      <c r="H3319" s="8">
        <f>IF(G3319="","",G3319-I3319)</f>
        <v/>
      </c>
      <c r="I3319" s="8">
        <f>IF(D3319="","",VLOOKUP(D3319, RECETTES!B:G, 6, FALSE)*E3319)</f>
        <v/>
      </c>
      <c r="J3319" s="8">
        <f>IF(G3319="","",G3319*0.20)</f>
        <v/>
      </c>
      <c r="K3319" s="8">
        <f>IF(G3319="","",G3319+J3319)</f>
        <v/>
      </c>
    </row>
    <row r="3320">
      <c r="F3320" s="8" t="n"/>
      <c r="G3320" s="8">
        <f>IF(E3320="","",E3320*F3320)</f>
        <v/>
      </c>
      <c r="H3320" s="8">
        <f>IF(G3320="","",G3320-I3320)</f>
        <v/>
      </c>
      <c r="I3320" s="8">
        <f>IF(D3320="","",VLOOKUP(D3320, RECETTES!B:G, 6, FALSE)*E3320)</f>
        <v/>
      </c>
      <c r="J3320" s="8">
        <f>IF(G3320="","",G3320*0.20)</f>
        <v/>
      </c>
      <c r="K3320" s="8">
        <f>IF(G3320="","",G3320+J3320)</f>
        <v/>
      </c>
    </row>
    <row r="3321">
      <c r="F3321" s="8" t="n"/>
      <c r="G3321" s="8">
        <f>IF(E3321="","",E3321*F3321)</f>
        <v/>
      </c>
      <c r="H3321" s="8">
        <f>IF(G3321="","",G3321-I3321)</f>
        <v/>
      </c>
      <c r="I3321" s="8">
        <f>IF(D3321="","",VLOOKUP(D3321, RECETTES!B:G, 6, FALSE)*E3321)</f>
        <v/>
      </c>
      <c r="J3321" s="8">
        <f>IF(G3321="","",G3321*0.20)</f>
        <v/>
      </c>
      <c r="K3321" s="8">
        <f>IF(G3321="","",G3321+J3321)</f>
        <v/>
      </c>
    </row>
    <row r="3322">
      <c r="F3322" s="8" t="n"/>
      <c r="G3322" s="8">
        <f>IF(E3322="","",E3322*F3322)</f>
        <v/>
      </c>
      <c r="H3322" s="8">
        <f>IF(G3322="","",G3322-I3322)</f>
        <v/>
      </c>
      <c r="I3322" s="8">
        <f>IF(D3322="","",VLOOKUP(D3322, RECETTES!B:G, 6, FALSE)*E3322)</f>
        <v/>
      </c>
      <c r="J3322" s="8">
        <f>IF(G3322="","",G3322*0.20)</f>
        <v/>
      </c>
      <c r="K3322" s="8">
        <f>IF(G3322="","",G3322+J3322)</f>
        <v/>
      </c>
    </row>
    <row r="3323">
      <c r="F3323" s="8" t="n"/>
      <c r="G3323" s="8">
        <f>IF(E3323="","",E3323*F3323)</f>
        <v/>
      </c>
      <c r="H3323" s="8">
        <f>IF(G3323="","",G3323-I3323)</f>
        <v/>
      </c>
      <c r="I3323" s="8">
        <f>IF(D3323="","",VLOOKUP(D3323, RECETTES!B:G, 6, FALSE)*E3323)</f>
        <v/>
      </c>
      <c r="J3323" s="8">
        <f>IF(G3323="","",G3323*0.20)</f>
        <v/>
      </c>
      <c r="K3323" s="8">
        <f>IF(G3323="","",G3323+J3323)</f>
        <v/>
      </c>
    </row>
    <row r="3324">
      <c r="F3324" s="8" t="n"/>
      <c r="G3324" s="8">
        <f>IF(E3324="","",E3324*F3324)</f>
        <v/>
      </c>
      <c r="H3324" s="8">
        <f>IF(G3324="","",G3324-I3324)</f>
        <v/>
      </c>
      <c r="I3324" s="8">
        <f>IF(D3324="","",VLOOKUP(D3324, RECETTES!B:G, 6, FALSE)*E3324)</f>
        <v/>
      </c>
      <c r="J3324" s="8">
        <f>IF(G3324="","",G3324*0.20)</f>
        <v/>
      </c>
      <c r="K3324" s="8">
        <f>IF(G3324="","",G3324+J3324)</f>
        <v/>
      </c>
    </row>
    <row r="3325">
      <c r="F3325" s="8" t="n"/>
      <c r="G3325" s="8">
        <f>IF(E3325="","",E3325*F3325)</f>
        <v/>
      </c>
      <c r="H3325" s="8">
        <f>IF(G3325="","",G3325-I3325)</f>
        <v/>
      </c>
      <c r="I3325" s="8">
        <f>IF(D3325="","",VLOOKUP(D3325, RECETTES!B:G, 6, FALSE)*E3325)</f>
        <v/>
      </c>
      <c r="J3325" s="8">
        <f>IF(G3325="","",G3325*0.20)</f>
        <v/>
      </c>
      <c r="K3325" s="8">
        <f>IF(G3325="","",G3325+J3325)</f>
        <v/>
      </c>
    </row>
    <row r="3326">
      <c r="F3326" s="8" t="n"/>
      <c r="G3326" s="8">
        <f>IF(E3326="","",E3326*F3326)</f>
        <v/>
      </c>
      <c r="H3326" s="8">
        <f>IF(G3326="","",G3326-I3326)</f>
        <v/>
      </c>
      <c r="I3326" s="8">
        <f>IF(D3326="","",VLOOKUP(D3326, RECETTES!B:G, 6, FALSE)*E3326)</f>
        <v/>
      </c>
      <c r="J3326" s="8">
        <f>IF(G3326="","",G3326*0.20)</f>
        <v/>
      </c>
      <c r="K3326" s="8">
        <f>IF(G3326="","",G3326+J3326)</f>
        <v/>
      </c>
    </row>
    <row r="3327">
      <c r="F3327" s="8" t="n"/>
      <c r="G3327" s="8">
        <f>IF(E3327="","",E3327*F3327)</f>
        <v/>
      </c>
      <c r="H3327" s="8">
        <f>IF(G3327="","",G3327-I3327)</f>
        <v/>
      </c>
      <c r="I3327" s="8">
        <f>IF(D3327="","",VLOOKUP(D3327, RECETTES!B:G, 6, FALSE)*E3327)</f>
        <v/>
      </c>
      <c r="J3327" s="8">
        <f>IF(G3327="","",G3327*0.20)</f>
        <v/>
      </c>
      <c r="K3327" s="8">
        <f>IF(G3327="","",G3327+J3327)</f>
        <v/>
      </c>
    </row>
    <row r="3328">
      <c r="F3328" s="8" t="n"/>
      <c r="G3328" s="8">
        <f>IF(E3328="","",E3328*F3328)</f>
        <v/>
      </c>
      <c r="H3328" s="8">
        <f>IF(G3328="","",G3328-I3328)</f>
        <v/>
      </c>
      <c r="I3328" s="8">
        <f>IF(D3328="","",VLOOKUP(D3328, RECETTES!B:G, 6, FALSE)*E3328)</f>
        <v/>
      </c>
      <c r="J3328" s="8">
        <f>IF(G3328="","",G3328*0.20)</f>
        <v/>
      </c>
      <c r="K3328" s="8">
        <f>IF(G3328="","",G3328+J3328)</f>
        <v/>
      </c>
    </row>
    <row r="3329">
      <c r="F3329" s="8" t="n"/>
      <c r="G3329" s="8">
        <f>IF(E3329="","",E3329*F3329)</f>
        <v/>
      </c>
      <c r="H3329" s="8">
        <f>IF(G3329="","",G3329-I3329)</f>
        <v/>
      </c>
      <c r="I3329" s="8">
        <f>IF(D3329="","",VLOOKUP(D3329, RECETTES!B:G, 6, FALSE)*E3329)</f>
        <v/>
      </c>
      <c r="J3329" s="8">
        <f>IF(G3329="","",G3329*0.20)</f>
        <v/>
      </c>
      <c r="K3329" s="8">
        <f>IF(G3329="","",G3329+J3329)</f>
        <v/>
      </c>
    </row>
    <row r="3330">
      <c r="F3330" s="8" t="n"/>
      <c r="G3330" s="8">
        <f>IF(E3330="","",E3330*F3330)</f>
        <v/>
      </c>
      <c r="H3330" s="8">
        <f>IF(G3330="","",G3330-I3330)</f>
        <v/>
      </c>
      <c r="I3330" s="8">
        <f>IF(D3330="","",VLOOKUP(D3330, RECETTES!B:G, 6, FALSE)*E3330)</f>
        <v/>
      </c>
      <c r="J3330" s="8">
        <f>IF(G3330="","",G3330*0.20)</f>
        <v/>
      </c>
      <c r="K3330" s="8">
        <f>IF(G3330="","",G3330+J3330)</f>
        <v/>
      </c>
    </row>
    <row r="3331">
      <c r="F3331" s="8" t="n"/>
      <c r="G3331" s="8">
        <f>IF(E3331="","",E3331*F3331)</f>
        <v/>
      </c>
      <c r="H3331" s="8">
        <f>IF(G3331="","",G3331-I3331)</f>
        <v/>
      </c>
      <c r="I3331" s="8">
        <f>IF(D3331="","",VLOOKUP(D3331, RECETTES!B:G, 6, FALSE)*E3331)</f>
        <v/>
      </c>
      <c r="J3331" s="8">
        <f>IF(G3331="","",G3331*0.20)</f>
        <v/>
      </c>
      <c r="K3331" s="8">
        <f>IF(G3331="","",G3331+J3331)</f>
        <v/>
      </c>
    </row>
    <row r="3332">
      <c r="F3332" s="8" t="n"/>
      <c r="G3332" s="8">
        <f>IF(E3332="","",E3332*F3332)</f>
        <v/>
      </c>
      <c r="H3332" s="8">
        <f>IF(G3332="","",G3332-I3332)</f>
        <v/>
      </c>
      <c r="I3332" s="8">
        <f>IF(D3332="","",VLOOKUP(D3332, RECETTES!B:G, 6, FALSE)*E3332)</f>
        <v/>
      </c>
      <c r="J3332" s="8">
        <f>IF(G3332="","",G3332*0.20)</f>
        <v/>
      </c>
      <c r="K3332" s="8">
        <f>IF(G3332="","",G3332+J3332)</f>
        <v/>
      </c>
    </row>
    <row r="3333">
      <c r="F3333" s="8" t="n"/>
      <c r="G3333" s="8">
        <f>IF(E3333="","",E3333*F3333)</f>
        <v/>
      </c>
      <c r="H3333" s="8">
        <f>IF(G3333="","",G3333-I3333)</f>
        <v/>
      </c>
      <c r="I3333" s="8">
        <f>IF(D3333="","",VLOOKUP(D3333, RECETTES!B:G, 6, FALSE)*E3333)</f>
        <v/>
      </c>
      <c r="J3333" s="8">
        <f>IF(G3333="","",G3333*0.20)</f>
        <v/>
      </c>
      <c r="K3333" s="8">
        <f>IF(G3333="","",G3333+J3333)</f>
        <v/>
      </c>
    </row>
    <row r="3334">
      <c r="F3334" s="8" t="n"/>
      <c r="G3334" s="8">
        <f>IF(E3334="","",E3334*F3334)</f>
        <v/>
      </c>
      <c r="H3334" s="8">
        <f>IF(G3334="","",G3334-I3334)</f>
        <v/>
      </c>
      <c r="I3334" s="8">
        <f>IF(D3334="","",VLOOKUP(D3334, RECETTES!B:G, 6, FALSE)*E3334)</f>
        <v/>
      </c>
      <c r="J3334" s="8">
        <f>IF(G3334="","",G3334*0.20)</f>
        <v/>
      </c>
      <c r="K3334" s="8">
        <f>IF(G3334="","",G3334+J3334)</f>
        <v/>
      </c>
    </row>
    <row r="3335">
      <c r="F3335" s="8" t="n"/>
      <c r="G3335" s="8">
        <f>IF(E3335="","",E3335*F3335)</f>
        <v/>
      </c>
      <c r="H3335" s="8">
        <f>IF(G3335="","",G3335-I3335)</f>
        <v/>
      </c>
      <c r="I3335" s="8">
        <f>IF(D3335="","",VLOOKUP(D3335, RECETTES!B:G, 6, FALSE)*E3335)</f>
        <v/>
      </c>
      <c r="J3335" s="8">
        <f>IF(G3335="","",G3335*0.20)</f>
        <v/>
      </c>
      <c r="K3335" s="8">
        <f>IF(G3335="","",G3335+J3335)</f>
        <v/>
      </c>
    </row>
    <row r="3336">
      <c r="F3336" s="8" t="n"/>
      <c r="G3336" s="8">
        <f>IF(E3336="","",E3336*F3336)</f>
        <v/>
      </c>
      <c r="H3336" s="8">
        <f>IF(G3336="","",G3336-I3336)</f>
        <v/>
      </c>
      <c r="I3336" s="8">
        <f>IF(D3336="","",VLOOKUP(D3336, RECETTES!B:G, 6, FALSE)*E3336)</f>
        <v/>
      </c>
      <c r="J3336" s="8">
        <f>IF(G3336="","",G3336*0.20)</f>
        <v/>
      </c>
      <c r="K3336" s="8">
        <f>IF(G3336="","",G3336+J3336)</f>
        <v/>
      </c>
    </row>
    <row r="3337">
      <c r="F3337" s="8" t="n"/>
      <c r="G3337" s="8">
        <f>IF(E3337="","",E3337*F3337)</f>
        <v/>
      </c>
      <c r="H3337" s="8">
        <f>IF(G3337="","",G3337-I3337)</f>
        <v/>
      </c>
      <c r="I3337" s="8">
        <f>IF(D3337="","",VLOOKUP(D3337, RECETTES!B:G, 6, FALSE)*E3337)</f>
        <v/>
      </c>
      <c r="J3337" s="8">
        <f>IF(G3337="","",G3337*0.20)</f>
        <v/>
      </c>
      <c r="K3337" s="8">
        <f>IF(G3337="","",G3337+J3337)</f>
        <v/>
      </c>
    </row>
    <row r="3338">
      <c r="F3338" s="8" t="n"/>
      <c r="G3338" s="8">
        <f>IF(E3338="","",E3338*F3338)</f>
        <v/>
      </c>
      <c r="H3338" s="8">
        <f>IF(G3338="","",G3338-I3338)</f>
        <v/>
      </c>
      <c r="I3338" s="8">
        <f>IF(D3338="","",VLOOKUP(D3338, RECETTES!B:G, 6, FALSE)*E3338)</f>
        <v/>
      </c>
      <c r="J3338" s="8">
        <f>IF(G3338="","",G3338*0.20)</f>
        <v/>
      </c>
      <c r="K3338" s="8">
        <f>IF(G3338="","",G3338+J3338)</f>
        <v/>
      </c>
    </row>
    <row r="3339">
      <c r="F3339" s="8" t="n"/>
      <c r="G3339" s="8">
        <f>IF(E3339="","",E3339*F3339)</f>
        <v/>
      </c>
      <c r="H3339" s="8">
        <f>IF(G3339="","",G3339-I3339)</f>
        <v/>
      </c>
      <c r="I3339" s="8">
        <f>IF(D3339="","",VLOOKUP(D3339, RECETTES!B:G, 6, FALSE)*E3339)</f>
        <v/>
      </c>
      <c r="J3339" s="8">
        <f>IF(G3339="","",G3339*0.20)</f>
        <v/>
      </c>
      <c r="K3339" s="8">
        <f>IF(G3339="","",G3339+J3339)</f>
        <v/>
      </c>
    </row>
    <row r="3340">
      <c r="F3340" s="8" t="n"/>
      <c r="G3340" s="8">
        <f>IF(E3340="","",E3340*F3340)</f>
        <v/>
      </c>
      <c r="H3340" s="8">
        <f>IF(G3340="","",G3340-I3340)</f>
        <v/>
      </c>
      <c r="I3340" s="8">
        <f>IF(D3340="","",VLOOKUP(D3340, RECETTES!B:G, 6, FALSE)*E3340)</f>
        <v/>
      </c>
      <c r="J3340" s="8">
        <f>IF(G3340="","",G3340*0.20)</f>
        <v/>
      </c>
      <c r="K3340" s="8">
        <f>IF(G3340="","",G3340+J3340)</f>
        <v/>
      </c>
    </row>
    <row r="3341">
      <c r="F3341" s="8" t="n"/>
      <c r="G3341" s="8">
        <f>IF(E3341="","",E3341*F3341)</f>
        <v/>
      </c>
      <c r="H3341" s="8">
        <f>IF(G3341="","",G3341-I3341)</f>
        <v/>
      </c>
      <c r="I3341" s="8">
        <f>IF(D3341="","",VLOOKUP(D3341, RECETTES!B:G, 6, FALSE)*E3341)</f>
        <v/>
      </c>
      <c r="J3341" s="8">
        <f>IF(G3341="","",G3341*0.20)</f>
        <v/>
      </c>
      <c r="K3341" s="8">
        <f>IF(G3341="","",G3341+J3341)</f>
        <v/>
      </c>
    </row>
    <row r="3342">
      <c r="F3342" s="8" t="n"/>
      <c r="G3342" s="8">
        <f>IF(E3342="","",E3342*F3342)</f>
        <v/>
      </c>
      <c r="H3342" s="8">
        <f>IF(G3342="","",G3342-I3342)</f>
        <v/>
      </c>
      <c r="I3342" s="8">
        <f>IF(D3342="","",VLOOKUP(D3342, RECETTES!B:G, 6, FALSE)*E3342)</f>
        <v/>
      </c>
      <c r="J3342" s="8">
        <f>IF(G3342="","",G3342*0.20)</f>
        <v/>
      </c>
      <c r="K3342" s="8">
        <f>IF(G3342="","",G3342+J3342)</f>
        <v/>
      </c>
    </row>
    <row r="3343">
      <c r="F3343" s="8" t="n"/>
      <c r="G3343" s="8">
        <f>IF(E3343="","",E3343*F3343)</f>
        <v/>
      </c>
      <c r="H3343" s="8">
        <f>IF(G3343="","",G3343-I3343)</f>
        <v/>
      </c>
      <c r="I3343" s="8">
        <f>IF(D3343="","",VLOOKUP(D3343, RECETTES!B:G, 6, FALSE)*E3343)</f>
        <v/>
      </c>
      <c r="J3343" s="8">
        <f>IF(G3343="","",G3343*0.20)</f>
        <v/>
      </c>
      <c r="K3343" s="8">
        <f>IF(G3343="","",G3343+J3343)</f>
        <v/>
      </c>
    </row>
    <row r="3344">
      <c r="F3344" s="8" t="n"/>
      <c r="G3344" s="8">
        <f>IF(E3344="","",E3344*F3344)</f>
        <v/>
      </c>
      <c r="H3344" s="8">
        <f>IF(G3344="","",G3344-I3344)</f>
        <v/>
      </c>
      <c r="I3344" s="8">
        <f>IF(D3344="","",VLOOKUP(D3344, RECETTES!B:G, 6, FALSE)*E3344)</f>
        <v/>
      </c>
      <c r="J3344" s="8">
        <f>IF(G3344="","",G3344*0.20)</f>
        <v/>
      </c>
      <c r="K3344" s="8">
        <f>IF(G3344="","",G3344+J3344)</f>
        <v/>
      </c>
    </row>
    <row r="3345">
      <c r="F3345" s="8" t="n"/>
      <c r="G3345" s="8">
        <f>IF(E3345="","",E3345*F3345)</f>
        <v/>
      </c>
      <c r="H3345" s="8">
        <f>IF(G3345="","",G3345-I3345)</f>
        <v/>
      </c>
      <c r="I3345" s="8">
        <f>IF(D3345="","",VLOOKUP(D3345, RECETTES!B:G, 6, FALSE)*E3345)</f>
        <v/>
      </c>
      <c r="J3345" s="8">
        <f>IF(G3345="","",G3345*0.20)</f>
        <v/>
      </c>
      <c r="K3345" s="8">
        <f>IF(G3345="","",G3345+J3345)</f>
        <v/>
      </c>
    </row>
    <row r="3346">
      <c r="F3346" s="8" t="n"/>
      <c r="G3346" s="8">
        <f>IF(E3346="","",E3346*F3346)</f>
        <v/>
      </c>
      <c r="H3346" s="8">
        <f>IF(G3346="","",G3346-I3346)</f>
        <v/>
      </c>
      <c r="I3346" s="8">
        <f>IF(D3346="","",VLOOKUP(D3346, RECETTES!B:G, 6, FALSE)*E3346)</f>
        <v/>
      </c>
      <c r="J3346" s="8">
        <f>IF(G3346="","",G3346*0.20)</f>
        <v/>
      </c>
      <c r="K3346" s="8">
        <f>IF(G3346="","",G3346+J3346)</f>
        <v/>
      </c>
    </row>
    <row r="3347">
      <c r="F3347" s="8" t="n"/>
      <c r="G3347" s="8">
        <f>IF(E3347="","",E3347*F3347)</f>
        <v/>
      </c>
      <c r="H3347" s="8">
        <f>IF(G3347="","",G3347-I3347)</f>
        <v/>
      </c>
      <c r="I3347" s="8">
        <f>IF(D3347="","",VLOOKUP(D3347, RECETTES!B:G, 6, FALSE)*E3347)</f>
        <v/>
      </c>
      <c r="J3347" s="8">
        <f>IF(G3347="","",G3347*0.20)</f>
        <v/>
      </c>
      <c r="K3347" s="8">
        <f>IF(G3347="","",G3347+J3347)</f>
        <v/>
      </c>
    </row>
    <row r="3348">
      <c r="F3348" s="8" t="n"/>
      <c r="G3348" s="8">
        <f>IF(E3348="","",E3348*F3348)</f>
        <v/>
      </c>
      <c r="H3348" s="8">
        <f>IF(G3348="","",G3348-I3348)</f>
        <v/>
      </c>
      <c r="I3348" s="8">
        <f>IF(D3348="","",VLOOKUP(D3348, RECETTES!B:G, 6, FALSE)*E3348)</f>
        <v/>
      </c>
      <c r="J3348" s="8">
        <f>IF(G3348="","",G3348*0.20)</f>
        <v/>
      </c>
      <c r="K3348" s="8">
        <f>IF(G3348="","",G3348+J3348)</f>
        <v/>
      </c>
    </row>
    <row r="3349">
      <c r="F3349" s="8" t="n"/>
      <c r="G3349" s="8">
        <f>IF(E3349="","",E3349*F3349)</f>
        <v/>
      </c>
      <c r="H3349" s="8">
        <f>IF(G3349="","",G3349-I3349)</f>
        <v/>
      </c>
      <c r="I3349" s="8">
        <f>IF(D3349="","",VLOOKUP(D3349, RECETTES!B:G, 6, FALSE)*E3349)</f>
        <v/>
      </c>
      <c r="J3349" s="8">
        <f>IF(G3349="","",G3349*0.20)</f>
        <v/>
      </c>
      <c r="K3349" s="8">
        <f>IF(G3349="","",G3349+J3349)</f>
        <v/>
      </c>
    </row>
    <row r="3350">
      <c r="F3350" s="8" t="n"/>
      <c r="G3350" s="8">
        <f>IF(E3350="","",E3350*F3350)</f>
        <v/>
      </c>
      <c r="H3350" s="8">
        <f>IF(G3350="","",G3350-I3350)</f>
        <v/>
      </c>
      <c r="I3350" s="8">
        <f>IF(D3350="","",VLOOKUP(D3350, RECETTES!B:G, 6, FALSE)*E3350)</f>
        <v/>
      </c>
      <c r="J3350" s="8">
        <f>IF(G3350="","",G3350*0.20)</f>
        <v/>
      </c>
      <c r="K3350" s="8">
        <f>IF(G3350="","",G3350+J3350)</f>
        <v/>
      </c>
    </row>
    <row r="3351">
      <c r="F3351" s="8" t="n"/>
      <c r="G3351" s="8">
        <f>IF(E3351="","",E3351*F3351)</f>
        <v/>
      </c>
      <c r="H3351" s="8">
        <f>IF(G3351="","",G3351-I3351)</f>
        <v/>
      </c>
      <c r="I3351" s="8">
        <f>IF(D3351="","",VLOOKUP(D3351, RECETTES!B:G, 6, FALSE)*E3351)</f>
        <v/>
      </c>
      <c r="J3351" s="8">
        <f>IF(G3351="","",G3351*0.20)</f>
        <v/>
      </c>
      <c r="K3351" s="8">
        <f>IF(G3351="","",G3351+J3351)</f>
        <v/>
      </c>
    </row>
    <row r="3352">
      <c r="F3352" s="8" t="n"/>
      <c r="G3352" s="8">
        <f>IF(E3352="","",E3352*F3352)</f>
        <v/>
      </c>
      <c r="H3352" s="8">
        <f>IF(G3352="","",G3352-I3352)</f>
        <v/>
      </c>
      <c r="I3352" s="8">
        <f>IF(D3352="","",VLOOKUP(D3352, RECETTES!B:G, 6, FALSE)*E3352)</f>
        <v/>
      </c>
      <c r="J3352" s="8">
        <f>IF(G3352="","",G3352*0.20)</f>
        <v/>
      </c>
      <c r="K3352" s="8">
        <f>IF(G3352="","",G3352+J3352)</f>
        <v/>
      </c>
    </row>
    <row r="3353">
      <c r="F3353" s="8" t="n"/>
      <c r="G3353" s="8">
        <f>IF(E3353="","",E3353*F3353)</f>
        <v/>
      </c>
      <c r="H3353" s="8">
        <f>IF(G3353="","",G3353-I3353)</f>
        <v/>
      </c>
      <c r="I3353" s="8">
        <f>IF(D3353="","",VLOOKUP(D3353, RECETTES!B:G, 6, FALSE)*E3353)</f>
        <v/>
      </c>
      <c r="J3353" s="8">
        <f>IF(G3353="","",G3353*0.20)</f>
        <v/>
      </c>
      <c r="K3353" s="8">
        <f>IF(G3353="","",G3353+J3353)</f>
        <v/>
      </c>
    </row>
    <row r="3354">
      <c r="F3354" s="8" t="n"/>
      <c r="G3354" s="8">
        <f>IF(E3354="","",E3354*F3354)</f>
        <v/>
      </c>
      <c r="H3354" s="8">
        <f>IF(G3354="","",G3354-I3354)</f>
        <v/>
      </c>
      <c r="I3354" s="8">
        <f>IF(D3354="","",VLOOKUP(D3354, RECETTES!B:G, 6, FALSE)*E3354)</f>
        <v/>
      </c>
      <c r="J3354" s="8">
        <f>IF(G3354="","",G3354*0.20)</f>
        <v/>
      </c>
      <c r="K3354" s="8">
        <f>IF(G3354="","",G3354+J3354)</f>
        <v/>
      </c>
    </row>
    <row r="3355">
      <c r="F3355" s="8" t="n"/>
      <c r="G3355" s="8">
        <f>IF(E3355="","",E3355*F3355)</f>
        <v/>
      </c>
      <c r="H3355" s="8">
        <f>IF(G3355="","",G3355-I3355)</f>
        <v/>
      </c>
      <c r="I3355" s="8">
        <f>IF(D3355="","",VLOOKUP(D3355, RECETTES!B:G, 6, FALSE)*E3355)</f>
        <v/>
      </c>
      <c r="J3355" s="8">
        <f>IF(G3355="","",G3355*0.20)</f>
        <v/>
      </c>
      <c r="K3355" s="8">
        <f>IF(G3355="","",G3355+J3355)</f>
        <v/>
      </c>
    </row>
    <row r="3356">
      <c r="F3356" s="8" t="n"/>
      <c r="G3356" s="8">
        <f>IF(E3356="","",E3356*F3356)</f>
        <v/>
      </c>
      <c r="H3356" s="8">
        <f>IF(G3356="","",G3356-I3356)</f>
        <v/>
      </c>
      <c r="I3356" s="8">
        <f>IF(D3356="","",VLOOKUP(D3356, RECETTES!B:G, 6, FALSE)*E3356)</f>
        <v/>
      </c>
      <c r="J3356" s="8">
        <f>IF(G3356="","",G3356*0.20)</f>
        <v/>
      </c>
      <c r="K3356" s="8">
        <f>IF(G3356="","",G3356+J3356)</f>
        <v/>
      </c>
    </row>
    <row r="3357">
      <c r="F3357" s="8" t="n"/>
      <c r="G3357" s="8">
        <f>IF(E3357="","",E3357*F3357)</f>
        <v/>
      </c>
      <c r="H3357" s="8">
        <f>IF(G3357="","",G3357-I3357)</f>
        <v/>
      </c>
      <c r="I3357" s="8">
        <f>IF(D3357="","",VLOOKUP(D3357, RECETTES!B:G, 6, FALSE)*E3357)</f>
        <v/>
      </c>
      <c r="J3357" s="8">
        <f>IF(G3357="","",G3357*0.20)</f>
        <v/>
      </c>
      <c r="K3357" s="8">
        <f>IF(G3357="","",G3357+J3357)</f>
        <v/>
      </c>
    </row>
    <row r="3358">
      <c r="F3358" s="8" t="n"/>
      <c r="G3358" s="8">
        <f>IF(E3358="","",E3358*F3358)</f>
        <v/>
      </c>
      <c r="H3358" s="8">
        <f>IF(G3358="","",G3358-I3358)</f>
        <v/>
      </c>
      <c r="I3358" s="8">
        <f>IF(D3358="","",VLOOKUP(D3358, RECETTES!B:G, 6, FALSE)*E3358)</f>
        <v/>
      </c>
      <c r="J3358" s="8">
        <f>IF(G3358="","",G3358*0.20)</f>
        <v/>
      </c>
      <c r="K3358" s="8">
        <f>IF(G3358="","",G3358+J3358)</f>
        <v/>
      </c>
    </row>
    <row r="3359">
      <c r="F3359" s="8" t="n"/>
      <c r="G3359" s="8">
        <f>IF(E3359="","",E3359*F3359)</f>
        <v/>
      </c>
      <c r="H3359" s="8">
        <f>IF(G3359="","",G3359-I3359)</f>
        <v/>
      </c>
      <c r="I3359" s="8">
        <f>IF(D3359="","",VLOOKUP(D3359, RECETTES!B:G, 6, FALSE)*E3359)</f>
        <v/>
      </c>
      <c r="J3359" s="8">
        <f>IF(G3359="","",G3359*0.20)</f>
        <v/>
      </c>
      <c r="K3359" s="8">
        <f>IF(G3359="","",G3359+J3359)</f>
        <v/>
      </c>
    </row>
    <row r="3360">
      <c r="F3360" s="8" t="n"/>
      <c r="G3360" s="8">
        <f>IF(E3360="","",E3360*F3360)</f>
        <v/>
      </c>
      <c r="H3360" s="8">
        <f>IF(G3360="","",G3360-I3360)</f>
        <v/>
      </c>
      <c r="I3360" s="8">
        <f>IF(D3360="","",VLOOKUP(D3360, RECETTES!B:G, 6, FALSE)*E3360)</f>
        <v/>
      </c>
      <c r="J3360" s="8">
        <f>IF(G3360="","",G3360*0.20)</f>
        <v/>
      </c>
      <c r="K3360" s="8">
        <f>IF(G3360="","",G3360+J3360)</f>
        <v/>
      </c>
    </row>
    <row r="3361">
      <c r="F3361" s="8" t="n"/>
      <c r="G3361" s="8">
        <f>IF(E3361="","",E3361*F3361)</f>
        <v/>
      </c>
      <c r="H3361" s="8">
        <f>IF(G3361="","",G3361-I3361)</f>
        <v/>
      </c>
      <c r="I3361" s="8">
        <f>IF(D3361="","",VLOOKUP(D3361, RECETTES!B:G, 6, FALSE)*E3361)</f>
        <v/>
      </c>
      <c r="J3361" s="8">
        <f>IF(G3361="","",G3361*0.20)</f>
        <v/>
      </c>
      <c r="K3361" s="8">
        <f>IF(G3361="","",G3361+J3361)</f>
        <v/>
      </c>
    </row>
    <row r="3362">
      <c r="F3362" s="8" t="n"/>
      <c r="G3362" s="8">
        <f>IF(E3362="","",E3362*F3362)</f>
        <v/>
      </c>
      <c r="H3362" s="8">
        <f>IF(G3362="","",G3362-I3362)</f>
        <v/>
      </c>
      <c r="I3362" s="8">
        <f>IF(D3362="","",VLOOKUP(D3362, RECETTES!B:G, 6, FALSE)*E3362)</f>
        <v/>
      </c>
      <c r="J3362" s="8">
        <f>IF(G3362="","",G3362*0.20)</f>
        <v/>
      </c>
      <c r="K3362" s="8">
        <f>IF(G3362="","",G3362+J3362)</f>
        <v/>
      </c>
    </row>
    <row r="3363">
      <c r="F3363" s="8" t="n"/>
      <c r="G3363" s="8">
        <f>IF(E3363="","",E3363*F3363)</f>
        <v/>
      </c>
      <c r="H3363" s="8">
        <f>IF(G3363="","",G3363-I3363)</f>
        <v/>
      </c>
      <c r="I3363" s="8">
        <f>IF(D3363="","",VLOOKUP(D3363, RECETTES!B:G, 6, FALSE)*E3363)</f>
        <v/>
      </c>
      <c r="J3363" s="8">
        <f>IF(G3363="","",G3363*0.20)</f>
        <v/>
      </c>
      <c r="K3363" s="8">
        <f>IF(G3363="","",G3363+J3363)</f>
        <v/>
      </c>
    </row>
    <row r="3364">
      <c r="F3364" s="8" t="n"/>
      <c r="G3364" s="8">
        <f>IF(E3364="","",E3364*F3364)</f>
        <v/>
      </c>
      <c r="H3364" s="8">
        <f>IF(G3364="","",G3364-I3364)</f>
        <v/>
      </c>
      <c r="I3364" s="8">
        <f>IF(D3364="","",VLOOKUP(D3364, RECETTES!B:G, 6, FALSE)*E3364)</f>
        <v/>
      </c>
      <c r="J3364" s="8">
        <f>IF(G3364="","",G3364*0.20)</f>
        <v/>
      </c>
      <c r="K3364" s="8">
        <f>IF(G3364="","",G3364+J3364)</f>
        <v/>
      </c>
    </row>
    <row r="3365">
      <c r="F3365" s="8" t="n"/>
      <c r="G3365" s="8">
        <f>IF(E3365="","",E3365*F3365)</f>
        <v/>
      </c>
      <c r="H3365" s="8">
        <f>IF(G3365="","",G3365-I3365)</f>
        <v/>
      </c>
      <c r="I3365" s="8">
        <f>IF(D3365="","",VLOOKUP(D3365, RECETTES!B:G, 6, FALSE)*E3365)</f>
        <v/>
      </c>
      <c r="J3365" s="8">
        <f>IF(G3365="","",G3365*0.20)</f>
        <v/>
      </c>
      <c r="K3365" s="8">
        <f>IF(G3365="","",G3365+J3365)</f>
        <v/>
      </c>
    </row>
    <row r="3366">
      <c r="F3366" s="8" t="n"/>
      <c r="G3366" s="8">
        <f>IF(E3366="","",E3366*F3366)</f>
        <v/>
      </c>
      <c r="H3366" s="8">
        <f>IF(G3366="","",G3366-I3366)</f>
        <v/>
      </c>
      <c r="I3366" s="8">
        <f>IF(D3366="","",VLOOKUP(D3366, RECETTES!B:G, 6, FALSE)*E3366)</f>
        <v/>
      </c>
      <c r="J3366" s="8">
        <f>IF(G3366="","",G3366*0.20)</f>
        <v/>
      </c>
      <c r="K3366" s="8">
        <f>IF(G3366="","",G3366+J3366)</f>
        <v/>
      </c>
    </row>
    <row r="3367">
      <c r="F3367" s="8" t="n"/>
      <c r="G3367" s="8">
        <f>IF(E3367="","",E3367*F3367)</f>
        <v/>
      </c>
      <c r="H3367" s="8">
        <f>IF(G3367="","",G3367-I3367)</f>
        <v/>
      </c>
      <c r="I3367" s="8">
        <f>IF(D3367="","",VLOOKUP(D3367, RECETTES!B:G, 6, FALSE)*E3367)</f>
        <v/>
      </c>
      <c r="J3367" s="8">
        <f>IF(G3367="","",G3367*0.20)</f>
        <v/>
      </c>
      <c r="K3367" s="8">
        <f>IF(G3367="","",G3367+J3367)</f>
        <v/>
      </c>
    </row>
    <row r="3368">
      <c r="F3368" s="8" t="n"/>
      <c r="G3368" s="8">
        <f>IF(E3368="","",E3368*F3368)</f>
        <v/>
      </c>
      <c r="H3368" s="8">
        <f>IF(G3368="","",G3368-I3368)</f>
        <v/>
      </c>
      <c r="I3368" s="8">
        <f>IF(D3368="","",VLOOKUP(D3368, RECETTES!B:G, 6, FALSE)*E3368)</f>
        <v/>
      </c>
      <c r="J3368" s="8">
        <f>IF(G3368="","",G3368*0.20)</f>
        <v/>
      </c>
      <c r="K3368" s="8">
        <f>IF(G3368="","",G3368+J3368)</f>
        <v/>
      </c>
    </row>
    <row r="3369">
      <c r="F3369" s="8" t="n"/>
      <c r="G3369" s="8">
        <f>IF(E3369="","",E3369*F3369)</f>
        <v/>
      </c>
      <c r="H3369" s="8">
        <f>IF(G3369="","",G3369-I3369)</f>
        <v/>
      </c>
      <c r="I3369" s="8">
        <f>IF(D3369="","",VLOOKUP(D3369, RECETTES!B:G, 6, FALSE)*E3369)</f>
        <v/>
      </c>
      <c r="J3369" s="8">
        <f>IF(G3369="","",G3369*0.20)</f>
        <v/>
      </c>
      <c r="K3369" s="8">
        <f>IF(G3369="","",G3369+J3369)</f>
        <v/>
      </c>
    </row>
    <row r="3370">
      <c r="F3370" s="8" t="n"/>
      <c r="G3370" s="8">
        <f>IF(E3370="","",E3370*F3370)</f>
        <v/>
      </c>
      <c r="H3370" s="8">
        <f>IF(G3370="","",G3370-I3370)</f>
        <v/>
      </c>
      <c r="I3370" s="8">
        <f>IF(D3370="","",VLOOKUP(D3370, RECETTES!B:G, 6, FALSE)*E3370)</f>
        <v/>
      </c>
      <c r="J3370" s="8">
        <f>IF(G3370="","",G3370*0.20)</f>
        <v/>
      </c>
      <c r="K3370" s="8">
        <f>IF(G3370="","",G3370+J3370)</f>
        <v/>
      </c>
    </row>
    <row r="3371">
      <c r="F3371" s="8" t="n"/>
      <c r="G3371" s="8">
        <f>IF(E3371="","",E3371*F3371)</f>
        <v/>
      </c>
      <c r="H3371" s="8">
        <f>IF(G3371="","",G3371-I3371)</f>
        <v/>
      </c>
      <c r="I3371" s="8">
        <f>IF(D3371="","",VLOOKUP(D3371, RECETTES!B:G, 6, FALSE)*E3371)</f>
        <v/>
      </c>
      <c r="J3371" s="8">
        <f>IF(G3371="","",G3371*0.20)</f>
        <v/>
      </c>
      <c r="K3371" s="8">
        <f>IF(G3371="","",G3371+J3371)</f>
        <v/>
      </c>
    </row>
    <row r="3372">
      <c r="F3372" s="8" t="n"/>
      <c r="G3372" s="8">
        <f>IF(E3372="","",E3372*F3372)</f>
        <v/>
      </c>
      <c r="H3372" s="8">
        <f>IF(G3372="","",G3372-I3372)</f>
        <v/>
      </c>
      <c r="I3372" s="8">
        <f>IF(D3372="","",VLOOKUP(D3372, RECETTES!B:G, 6, FALSE)*E3372)</f>
        <v/>
      </c>
      <c r="J3372" s="8">
        <f>IF(G3372="","",G3372*0.20)</f>
        <v/>
      </c>
      <c r="K3372" s="8">
        <f>IF(G3372="","",G3372+J3372)</f>
        <v/>
      </c>
    </row>
    <row r="3373">
      <c r="F3373" s="8" t="n"/>
      <c r="G3373" s="8">
        <f>IF(E3373="","",E3373*F3373)</f>
        <v/>
      </c>
      <c r="H3373" s="8">
        <f>IF(G3373="","",G3373-I3373)</f>
        <v/>
      </c>
      <c r="I3373" s="8">
        <f>IF(D3373="","",VLOOKUP(D3373, RECETTES!B:G, 6, FALSE)*E3373)</f>
        <v/>
      </c>
      <c r="J3373" s="8">
        <f>IF(G3373="","",G3373*0.20)</f>
        <v/>
      </c>
      <c r="K3373" s="8">
        <f>IF(G3373="","",G3373+J3373)</f>
        <v/>
      </c>
    </row>
    <row r="3374">
      <c r="F3374" s="8" t="n"/>
      <c r="G3374" s="8">
        <f>IF(E3374="","",E3374*F3374)</f>
        <v/>
      </c>
      <c r="H3374" s="8">
        <f>IF(G3374="","",G3374-I3374)</f>
        <v/>
      </c>
      <c r="I3374" s="8">
        <f>IF(D3374="","",VLOOKUP(D3374, RECETTES!B:G, 6, FALSE)*E3374)</f>
        <v/>
      </c>
      <c r="J3374" s="8">
        <f>IF(G3374="","",G3374*0.20)</f>
        <v/>
      </c>
      <c r="K3374" s="8">
        <f>IF(G3374="","",G3374+J3374)</f>
        <v/>
      </c>
    </row>
    <row r="3375">
      <c r="F3375" s="8" t="n"/>
      <c r="G3375" s="8">
        <f>IF(E3375="","",E3375*F3375)</f>
        <v/>
      </c>
      <c r="H3375" s="8">
        <f>IF(G3375="","",G3375-I3375)</f>
        <v/>
      </c>
      <c r="I3375" s="8">
        <f>IF(D3375="","",VLOOKUP(D3375, RECETTES!B:G, 6, FALSE)*E3375)</f>
        <v/>
      </c>
      <c r="J3375" s="8">
        <f>IF(G3375="","",G3375*0.20)</f>
        <v/>
      </c>
      <c r="K3375" s="8">
        <f>IF(G3375="","",G3375+J3375)</f>
        <v/>
      </c>
    </row>
    <row r="3376">
      <c r="F3376" s="8" t="n"/>
      <c r="G3376" s="8">
        <f>IF(E3376="","",E3376*F3376)</f>
        <v/>
      </c>
      <c r="H3376" s="8">
        <f>IF(G3376="","",G3376-I3376)</f>
        <v/>
      </c>
      <c r="I3376" s="8">
        <f>IF(D3376="","",VLOOKUP(D3376, RECETTES!B:G, 6, FALSE)*E3376)</f>
        <v/>
      </c>
      <c r="J3376" s="8">
        <f>IF(G3376="","",G3376*0.20)</f>
        <v/>
      </c>
      <c r="K3376" s="8">
        <f>IF(G3376="","",G3376+J3376)</f>
        <v/>
      </c>
    </row>
    <row r="3377">
      <c r="F3377" s="8" t="n"/>
      <c r="G3377" s="8">
        <f>IF(E3377="","",E3377*F3377)</f>
        <v/>
      </c>
      <c r="H3377" s="8">
        <f>IF(G3377="","",G3377-I3377)</f>
        <v/>
      </c>
      <c r="I3377" s="8">
        <f>IF(D3377="","",VLOOKUP(D3377, RECETTES!B:G, 6, FALSE)*E3377)</f>
        <v/>
      </c>
      <c r="J3377" s="8">
        <f>IF(G3377="","",G3377*0.20)</f>
        <v/>
      </c>
      <c r="K3377" s="8">
        <f>IF(G3377="","",G3377+J3377)</f>
        <v/>
      </c>
    </row>
    <row r="3378">
      <c r="F3378" s="8" t="n"/>
      <c r="G3378" s="8">
        <f>IF(E3378="","",E3378*F3378)</f>
        <v/>
      </c>
      <c r="H3378" s="8">
        <f>IF(G3378="","",G3378-I3378)</f>
        <v/>
      </c>
      <c r="I3378" s="8">
        <f>IF(D3378="","",VLOOKUP(D3378, RECETTES!B:G, 6, FALSE)*E3378)</f>
        <v/>
      </c>
      <c r="J3378" s="8">
        <f>IF(G3378="","",G3378*0.20)</f>
        <v/>
      </c>
      <c r="K3378" s="8">
        <f>IF(G3378="","",G3378+J3378)</f>
        <v/>
      </c>
    </row>
    <row r="3379">
      <c r="F3379" s="8" t="n"/>
      <c r="G3379" s="8">
        <f>IF(E3379="","",E3379*F3379)</f>
        <v/>
      </c>
      <c r="H3379" s="8">
        <f>IF(G3379="","",G3379-I3379)</f>
        <v/>
      </c>
      <c r="I3379" s="8">
        <f>IF(D3379="","",VLOOKUP(D3379, RECETTES!B:G, 6, FALSE)*E3379)</f>
        <v/>
      </c>
      <c r="J3379" s="8">
        <f>IF(G3379="","",G3379*0.20)</f>
        <v/>
      </c>
      <c r="K3379" s="8">
        <f>IF(G3379="","",G3379+J3379)</f>
        <v/>
      </c>
    </row>
    <row r="3380">
      <c r="F3380" s="8" t="n"/>
      <c r="G3380" s="8">
        <f>IF(E3380="","",E3380*F3380)</f>
        <v/>
      </c>
      <c r="H3380" s="8">
        <f>IF(G3380="","",G3380-I3380)</f>
        <v/>
      </c>
      <c r="I3380" s="8">
        <f>IF(D3380="","",VLOOKUP(D3380, RECETTES!B:G, 6, FALSE)*E3380)</f>
        <v/>
      </c>
      <c r="J3380" s="8">
        <f>IF(G3380="","",G3380*0.20)</f>
        <v/>
      </c>
      <c r="K3380" s="8">
        <f>IF(G3380="","",G3380+J3380)</f>
        <v/>
      </c>
    </row>
    <row r="3381">
      <c r="F3381" s="8" t="n"/>
      <c r="G3381" s="8">
        <f>IF(E3381="","",E3381*F3381)</f>
        <v/>
      </c>
      <c r="H3381" s="8">
        <f>IF(G3381="","",G3381-I3381)</f>
        <v/>
      </c>
      <c r="I3381" s="8">
        <f>IF(D3381="","",VLOOKUP(D3381, RECETTES!B:G, 6, FALSE)*E3381)</f>
        <v/>
      </c>
      <c r="J3381" s="8">
        <f>IF(G3381="","",G3381*0.20)</f>
        <v/>
      </c>
      <c r="K3381" s="8">
        <f>IF(G3381="","",G3381+J3381)</f>
        <v/>
      </c>
    </row>
    <row r="3382">
      <c r="F3382" s="8" t="n"/>
      <c r="G3382" s="8">
        <f>IF(E3382="","",E3382*F3382)</f>
        <v/>
      </c>
      <c r="H3382" s="8">
        <f>IF(G3382="","",G3382-I3382)</f>
        <v/>
      </c>
      <c r="I3382" s="8">
        <f>IF(D3382="","",VLOOKUP(D3382, RECETTES!B:G, 6, FALSE)*E3382)</f>
        <v/>
      </c>
      <c r="J3382" s="8">
        <f>IF(G3382="","",G3382*0.20)</f>
        <v/>
      </c>
      <c r="K3382" s="8">
        <f>IF(G3382="","",G3382+J3382)</f>
        <v/>
      </c>
    </row>
    <row r="3383">
      <c r="F3383" s="8" t="n"/>
      <c r="G3383" s="8">
        <f>IF(E3383="","",E3383*F3383)</f>
        <v/>
      </c>
      <c r="H3383" s="8">
        <f>IF(G3383="","",G3383-I3383)</f>
        <v/>
      </c>
      <c r="I3383" s="8">
        <f>IF(D3383="","",VLOOKUP(D3383, RECETTES!B:G, 6, FALSE)*E3383)</f>
        <v/>
      </c>
      <c r="J3383" s="8">
        <f>IF(G3383="","",G3383*0.20)</f>
        <v/>
      </c>
      <c r="K3383" s="8">
        <f>IF(G3383="","",G3383+J3383)</f>
        <v/>
      </c>
    </row>
    <row r="3384">
      <c r="F3384" s="8" t="n"/>
      <c r="G3384" s="8">
        <f>IF(E3384="","",E3384*F3384)</f>
        <v/>
      </c>
      <c r="H3384" s="8">
        <f>IF(G3384="","",G3384-I3384)</f>
        <v/>
      </c>
      <c r="I3384" s="8">
        <f>IF(D3384="","",VLOOKUP(D3384, RECETTES!B:G, 6, FALSE)*E3384)</f>
        <v/>
      </c>
      <c r="J3384" s="8">
        <f>IF(G3384="","",G3384*0.20)</f>
        <v/>
      </c>
      <c r="K3384" s="8">
        <f>IF(G3384="","",G3384+J3384)</f>
        <v/>
      </c>
    </row>
    <row r="3385">
      <c r="F3385" s="8" t="n"/>
      <c r="G3385" s="8">
        <f>IF(E3385="","",E3385*F3385)</f>
        <v/>
      </c>
      <c r="H3385" s="8">
        <f>IF(G3385="","",G3385-I3385)</f>
        <v/>
      </c>
      <c r="I3385" s="8">
        <f>IF(D3385="","",VLOOKUP(D3385, RECETTES!B:G, 6, FALSE)*E3385)</f>
        <v/>
      </c>
      <c r="J3385" s="8">
        <f>IF(G3385="","",G3385*0.20)</f>
        <v/>
      </c>
      <c r="K3385" s="8">
        <f>IF(G3385="","",G3385+J3385)</f>
        <v/>
      </c>
    </row>
    <row r="3386">
      <c r="F3386" s="8" t="n"/>
      <c r="G3386" s="8">
        <f>IF(E3386="","",E3386*F3386)</f>
        <v/>
      </c>
      <c r="H3386" s="8">
        <f>IF(G3386="","",G3386-I3386)</f>
        <v/>
      </c>
      <c r="I3386" s="8">
        <f>IF(D3386="","",VLOOKUP(D3386, RECETTES!B:G, 6, FALSE)*E3386)</f>
        <v/>
      </c>
      <c r="J3386" s="8">
        <f>IF(G3386="","",G3386*0.20)</f>
        <v/>
      </c>
      <c r="K3386" s="8">
        <f>IF(G3386="","",G3386+J3386)</f>
        <v/>
      </c>
    </row>
    <row r="3387">
      <c r="F3387" s="8" t="n"/>
      <c r="G3387" s="8">
        <f>IF(E3387="","",E3387*F3387)</f>
        <v/>
      </c>
      <c r="H3387" s="8">
        <f>IF(G3387="","",G3387-I3387)</f>
        <v/>
      </c>
      <c r="I3387" s="8">
        <f>IF(D3387="","",VLOOKUP(D3387, RECETTES!B:G, 6, FALSE)*E3387)</f>
        <v/>
      </c>
      <c r="J3387" s="8">
        <f>IF(G3387="","",G3387*0.20)</f>
        <v/>
      </c>
      <c r="K3387" s="8">
        <f>IF(G3387="","",G3387+J3387)</f>
        <v/>
      </c>
    </row>
    <row r="3388">
      <c r="F3388" s="8" t="n"/>
      <c r="G3388" s="8">
        <f>IF(E3388="","",E3388*F3388)</f>
        <v/>
      </c>
      <c r="H3388" s="8">
        <f>IF(G3388="","",G3388-I3388)</f>
        <v/>
      </c>
      <c r="I3388" s="8">
        <f>IF(D3388="","",VLOOKUP(D3388, RECETTES!B:G, 6, FALSE)*E3388)</f>
        <v/>
      </c>
      <c r="J3388" s="8">
        <f>IF(G3388="","",G3388*0.20)</f>
        <v/>
      </c>
      <c r="K3388" s="8">
        <f>IF(G3388="","",G3388+J3388)</f>
        <v/>
      </c>
    </row>
    <row r="3389">
      <c r="F3389" s="8" t="n"/>
      <c r="G3389" s="8">
        <f>IF(E3389="","",E3389*F3389)</f>
        <v/>
      </c>
      <c r="H3389" s="8">
        <f>IF(G3389="","",G3389-I3389)</f>
        <v/>
      </c>
      <c r="I3389" s="8">
        <f>IF(D3389="","",VLOOKUP(D3389, RECETTES!B:G, 6, FALSE)*E3389)</f>
        <v/>
      </c>
      <c r="J3389" s="8">
        <f>IF(G3389="","",G3389*0.20)</f>
        <v/>
      </c>
      <c r="K3389" s="8">
        <f>IF(G3389="","",G3389+J3389)</f>
        <v/>
      </c>
    </row>
    <row r="3390">
      <c r="F3390" s="8" t="n"/>
      <c r="G3390" s="8">
        <f>IF(E3390="","",E3390*F3390)</f>
        <v/>
      </c>
      <c r="H3390" s="8">
        <f>IF(G3390="","",G3390-I3390)</f>
        <v/>
      </c>
      <c r="I3390" s="8">
        <f>IF(D3390="","",VLOOKUP(D3390, RECETTES!B:G, 6, FALSE)*E3390)</f>
        <v/>
      </c>
      <c r="J3390" s="8">
        <f>IF(G3390="","",G3390*0.20)</f>
        <v/>
      </c>
      <c r="K3390" s="8">
        <f>IF(G3390="","",G3390+J3390)</f>
        <v/>
      </c>
    </row>
    <row r="3391">
      <c r="F3391" s="8" t="n"/>
      <c r="G3391" s="8">
        <f>IF(E3391="","",E3391*F3391)</f>
        <v/>
      </c>
      <c r="H3391" s="8">
        <f>IF(G3391="","",G3391-I3391)</f>
        <v/>
      </c>
      <c r="I3391" s="8">
        <f>IF(D3391="","",VLOOKUP(D3391, RECETTES!B:G, 6, FALSE)*E3391)</f>
        <v/>
      </c>
      <c r="J3391" s="8">
        <f>IF(G3391="","",G3391*0.20)</f>
        <v/>
      </c>
      <c r="K3391" s="8">
        <f>IF(G3391="","",G3391+J3391)</f>
        <v/>
      </c>
    </row>
    <row r="3392">
      <c r="F3392" s="8" t="n"/>
      <c r="G3392" s="8">
        <f>IF(E3392="","",E3392*F3392)</f>
        <v/>
      </c>
      <c r="H3392" s="8">
        <f>IF(G3392="","",G3392-I3392)</f>
        <v/>
      </c>
      <c r="I3392" s="8">
        <f>IF(D3392="","",VLOOKUP(D3392, RECETTES!B:G, 6, FALSE)*E3392)</f>
        <v/>
      </c>
      <c r="J3392" s="8">
        <f>IF(G3392="","",G3392*0.20)</f>
        <v/>
      </c>
      <c r="K3392" s="8">
        <f>IF(G3392="","",G3392+J3392)</f>
        <v/>
      </c>
    </row>
    <row r="3393">
      <c r="F3393" s="8" t="n"/>
      <c r="G3393" s="8">
        <f>IF(E3393="","",E3393*F3393)</f>
        <v/>
      </c>
      <c r="H3393" s="8">
        <f>IF(G3393="","",G3393-I3393)</f>
        <v/>
      </c>
      <c r="I3393" s="8">
        <f>IF(D3393="","",VLOOKUP(D3393, RECETTES!B:G, 6, FALSE)*E3393)</f>
        <v/>
      </c>
      <c r="J3393" s="8">
        <f>IF(G3393="","",G3393*0.20)</f>
        <v/>
      </c>
      <c r="K3393" s="8">
        <f>IF(G3393="","",G3393+J3393)</f>
        <v/>
      </c>
    </row>
    <row r="3394">
      <c r="F3394" s="8" t="n"/>
      <c r="G3394" s="8">
        <f>IF(E3394="","",E3394*F3394)</f>
        <v/>
      </c>
      <c r="H3394" s="8">
        <f>IF(G3394="","",G3394-I3394)</f>
        <v/>
      </c>
      <c r="I3394" s="8">
        <f>IF(D3394="","",VLOOKUP(D3394, RECETTES!B:G, 6, FALSE)*E3394)</f>
        <v/>
      </c>
      <c r="J3394" s="8">
        <f>IF(G3394="","",G3394*0.20)</f>
        <v/>
      </c>
      <c r="K3394" s="8">
        <f>IF(G3394="","",G3394+J3394)</f>
        <v/>
      </c>
    </row>
    <row r="3395">
      <c r="F3395" s="8" t="n"/>
      <c r="G3395" s="8">
        <f>IF(E3395="","",E3395*F3395)</f>
        <v/>
      </c>
      <c r="H3395" s="8">
        <f>IF(G3395="","",G3395-I3395)</f>
        <v/>
      </c>
      <c r="I3395" s="8">
        <f>IF(D3395="","",VLOOKUP(D3395, RECETTES!B:G, 6, FALSE)*E3395)</f>
        <v/>
      </c>
      <c r="J3395" s="8">
        <f>IF(G3395="","",G3395*0.20)</f>
        <v/>
      </c>
      <c r="K3395" s="8">
        <f>IF(G3395="","",G3395+J3395)</f>
        <v/>
      </c>
    </row>
    <row r="3396">
      <c r="F3396" s="8" t="n"/>
      <c r="G3396" s="8">
        <f>IF(E3396="","",E3396*F3396)</f>
        <v/>
      </c>
      <c r="H3396" s="8">
        <f>IF(G3396="","",G3396-I3396)</f>
        <v/>
      </c>
      <c r="I3396" s="8">
        <f>IF(D3396="","",VLOOKUP(D3396, RECETTES!B:G, 6, FALSE)*E3396)</f>
        <v/>
      </c>
      <c r="J3396" s="8">
        <f>IF(G3396="","",G3396*0.20)</f>
        <v/>
      </c>
      <c r="K3396" s="8">
        <f>IF(G3396="","",G3396+J3396)</f>
        <v/>
      </c>
    </row>
    <row r="3397">
      <c r="F3397" s="8" t="n"/>
      <c r="G3397" s="8">
        <f>IF(E3397="","",E3397*F3397)</f>
        <v/>
      </c>
      <c r="H3397" s="8">
        <f>IF(G3397="","",G3397-I3397)</f>
        <v/>
      </c>
      <c r="I3397" s="8">
        <f>IF(D3397="","",VLOOKUP(D3397, RECETTES!B:G, 6, FALSE)*E3397)</f>
        <v/>
      </c>
      <c r="J3397" s="8">
        <f>IF(G3397="","",G3397*0.20)</f>
        <v/>
      </c>
      <c r="K3397" s="8">
        <f>IF(G3397="","",G3397+J3397)</f>
        <v/>
      </c>
    </row>
    <row r="3398">
      <c r="F3398" s="8" t="n"/>
      <c r="G3398" s="8">
        <f>IF(E3398="","",E3398*F3398)</f>
        <v/>
      </c>
      <c r="H3398" s="8">
        <f>IF(G3398="","",G3398-I3398)</f>
        <v/>
      </c>
      <c r="I3398" s="8">
        <f>IF(D3398="","",VLOOKUP(D3398, RECETTES!B:G, 6, FALSE)*E3398)</f>
        <v/>
      </c>
      <c r="J3398" s="8">
        <f>IF(G3398="","",G3398*0.20)</f>
        <v/>
      </c>
      <c r="K3398" s="8">
        <f>IF(G3398="","",G3398+J3398)</f>
        <v/>
      </c>
    </row>
    <row r="3399">
      <c r="F3399" s="8" t="n"/>
      <c r="G3399" s="8">
        <f>IF(E3399="","",E3399*F3399)</f>
        <v/>
      </c>
      <c r="H3399" s="8">
        <f>IF(G3399="","",G3399-I3399)</f>
        <v/>
      </c>
      <c r="I3399" s="8">
        <f>IF(D3399="","",VLOOKUP(D3399, RECETTES!B:G, 6, FALSE)*E3399)</f>
        <v/>
      </c>
      <c r="J3399" s="8">
        <f>IF(G3399="","",G3399*0.20)</f>
        <v/>
      </c>
      <c r="K3399" s="8">
        <f>IF(G3399="","",G3399+J3399)</f>
        <v/>
      </c>
    </row>
    <row r="3400">
      <c r="F3400" s="8" t="n"/>
      <c r="G3400" s="8">
        <f>IF(E3400="","",E3400*F3400)</f>
        <v/>
      </c>
      <c r="H3400" s="8">
        <f>IF(G3400="","",G3400-I3400)</f>
        <v/>
      </c>
      <c r="I3400" s="8">
        <f>IF(D3400="","",VLOOKUP(D3400, RECETTES!B:G, 6, FALSE)*E3400)</f>
        <v/>
      </c>
      <c r="J3400" s="8">
        <f>IF(G3400="","",G3400*0.20)</f>
        <v/>
      </c>
      <c r="K3400" s="8">
        <f>IF(G3400="","",G3400+J3400)</f>
        <v/>
      </c>
    </row>
    <row r="3401">
      <c r="F3401" s="8" t="n"/>
      <c r="G3401" s="8">
        <f>IF(E3401="","",E3401*F3401)</f>
        <v/>
      </c>
      <c r="H3401" s="8">
        <f>IF(G3401="","",G3401-I3401)</f>
        <v/>
      </c>
      <c r="I3401" s="8">
        <f>IF(D3401="","",VLOOKUP(D3401, RECETTES!B:G, 6, FALSE)*E3401)</f>
        <v/>
      </c>
      <c r="J3401" s="8">
        <f>IF(G3401="","",G3401*0.20)</f>
        <v/>
      </c>
      <c r="K3401" s="8">
        <f>IF(G3401="","",G3401+J3401)</f>
        <v/>
      </c>
    </row>
    <row r="3402">
      <c r="F3402" s="8" t="n"/>
      <c r="G3402" s="8">
        <f>IF(E3402="","",E3402*F3402)</f>
        <v/>
      </c>
      <c r="H3402" s="8">
        <f>IF(G3402="","",G3402-I3402)</f>
        <v/>
      </c>
      <c r="I3402" s="8">
        <f>IF(D3402="","",VLOOKUP(D3402, RECETTES!B:G, 6, FALSE)*E3402)</f>
        <v/>
      </c>
      <c r="J3402" s="8">
        <f>IF(G3402="","",G3402*0.20)</f>
        <v/>
      </c>
      <c r="K3402" s="8">
        <f>IF(G3402="","",G3402+J3402)</f>
        <v/>
      </c>
    </row>
    <row r="3403">
      <c r="F3403" s="8" t="n"/>
      <c r="G3403" s="8">
        <f>IF(E3403="","",E3403*F3403)</f>
        <v/>
      </c>
      <c r="H3403" s="8">
        <f>IF(G3403="","",G3403-I3403)</f>
        <v/>
      </c>
      <c r="I3403" s="8">
        <f>IF(D3403="","",VLOOKUP(D3403, RECETTES!B:G, 6, FALSE)*E3403)</f>
        <v/>
      </c>
      <c r="J3403" s="8">
        <f>IF(G3403="","",G3403*0.20)</f>
        <v/>
      </c>
      <c r="K3403" s="8">
        <f>IF(G3403="","",G3403+J3403)</f>
        <v/>
      </c>
    </row>
    <row r="3404">
      <c r="F3404" s="8" t="n"/>
      <c r="G3404" s="8">
        <f>IF(E3404="","",E3404*F3404)</f>
        <v/>
      </c>
      <c r="H3404" s="8">
        <f>IF(G3404="","",G3404-I3404)</f>
        <v/>
      </c>
      <c r="I3404" s="8">
        <f>IF(D3404="","",VLOOKUP(D3404, RECETTES!B:G, 6, FALSE)*E3404)</f>
        <v/>
      </c>
      <c r="J3404" s="8">
        <f>IF(G3404="","",G3404*0.20)</f>
        <v/>
      </c>
      <c r="K3404" s="8">
        <f>IF(G3404="","",G3404+J3404)</f>
        <v/>
      </c>
    </row>
    <row r="3405">
      <c r="F3405" s="8" t="n"/>
      <c r="G3405" s="8">
        <f>IF(E3405="","",E3405*F3405)</f>
        <v/>
      </c>
      <c r="H3405" s="8">
        <f>IF(G3405="","",G3405-I3405)</f>
        <v/>
      </c>
      <c r="I3405" s="8">
        <f>IF(D3405="","",VLOOKUP(D3405, RECETTES!B:G, 6, FALSE)*E3405)</f>
        <v/>
      </c>
      <c r="J3405" s="8">
        <f>IF(G3405="","",G3405*0.20)</f>
        <v/>
      </c>
      <c r="K3405" s="8">
        <f>IF(G3405="","",G3405+J3405)</f>
        <v/>
      </c>
    </row>
    <row r="3406">
      <c r="F3406" s="8" t="n"/>
      <c r="G3406" s="8">
        <f>IF(E3406="","",E3406*F3406)</f>
        <v/>
      </c>
      <c r="H3406" s="8">
        <f>IF(G3406="","",G3406-I3406)</f>
        <v/>
      </c>
      <c r="I3406" s="8">
        <f>IF(D3406="","",VLOOKUP(D3406, RECETTES!B:G, 6, FALSE)*E3406)</f>
        <v/>
      </c>
      <c r="J3406" s="8">
        <f>IF(G3406="","",G3406*0.20)</f>
        <v/>
      </c>
      <c r="K3406" s="8">
        <f>IF(G3406="","",G3406+J3406)</f>
        <v/>
      </c>
    </row>
    <row r="3407">
      <c r="F3407" s="8" t="n"/>
      <c r="G3407" s="8">
        <f>IF(E3407="","",E3407*F3407)</f>
        <v/>
      </c>
      <c r="H3407" s="8">
        <f>IF(G3407="","",G3407-I3407)</f>
        <v/>
      </c>
      <c r="I3407" s="8">
        <f>IF(D3407="","",VLOOKUP(D3407, RECETTES!B:G, 6, FALSE)*E3407)</f>
        <v/>
      </c>
      <c r="J3407" s="8">
        <f>IF(G3407="","",G3407*0.20)</f>
        <v/>
      </c>
      <c r="K3407" s="8">
        <f>IF(G3407="","",G3407+J3407)</f>
        <v/>
      </c>
    </row>
    <row r="3408">
      <c r="F3408" s="8" t="n"/>
      <c r="G3408" s="8">
        <f>IF(E3408="","",E3408*F3408)</f>
        <v/>
      </c>
      <c r="H3408" s="8">
        <f>IF(G3408="","",G3408-I3408)</f>
        <v/>
      </c>
      <c r="I3408" s="8">
        <f>IF(D3408="","",VLOOKUP(D3408, RECETTES!B:G, 6, FALSE)*E3408)</f>
        <v/>
      </c>
      <c r="J3408" s="8">
        <f>IF(G3408="","",G3408*0.20)</f>
        <v/>
      </c>
      <c r="K3408" s="8">
        <f>IF(G3408="","",G3408+J3408)</f>
        <v/>
      </c>
    </row>
    <row r="3409">
      <c r="F3409" s="8" t="n"/>
      <c r="G3409" s="8">
        <f>IF(E3409="","",E3409*F3409)</f>
        <v/>
      </c>
      <c r="H3409" s="8">
        <f>IF(G3409="","",G3409-I3409)</f>
        <v/>
      </c>
      <c r="I3409" s="8">
        <f>IF(D3409="","",VLOOKUP(D3409, RECETTES!B:G, 6, FALSE)*E3409)</f>
        <v/>
      </c>
      <c r="J3409" s="8">
        <f>IF(G3409="","",G3409*0.20)</f>
        <v/>
      </c>
      <c r="K3409" s="8">
        <f>IF(G3409="","",G3409+J3409)</f>
        <v/>
      </c>
    </row>
    <row r="3410">
      <c r="F3410" s="8" t="n"/>
      <c r="G3410" s="8">
        <f>IF(E3410="","",E3410*F3410)</f>
        <v/>
      </c>
      <c r="H3410" s="8">
        <f>IF(G3410="","",G3410-I3410)</f>
        <v/>
      </c>
      <c r="I3410" s="8">
        <f>IF(D3410="","",VLOOKUP(D3410, RECETTES!B:G, 6, FALSE)*E3410)</f>
        <v/>
      </c>
      <c r="J3410" s="8">
        <f>IF(G3410="","",G3410*0.20)</f>
        <v/>
      </c>
      <c r="K3410" s="8">
        <f>IF(G3410="","",G3410+J3410)</f>
        <v/>
      </c>
    </row>
    <row r="3411">
      <c r="F3411" s="8" t="n"/>
      <c r="G3411" s="8">
        <f>IF(E3411="","",E3411*F3411)</f>
        <v/>
      </c>
      <c r="H3411" s="8">
        <f>IF(G3411="","",G3411-I3411)</f>
        <v/>
      </c>
      <c r="I3411" s="8">
        <f>IF(D3411="","",VLOOKUP(D3411, RECETTES!B:G, 6, FALSE)*E3411)</f>
        <v/>
      </c>
      <c r="J3411" s="8">
        <f>IF(G3411="","",G3411*0.20)</f>
        <v/>
      </c>
      <c r="K3411" s="8">
        <f>IF(G3411="","",G3411+J3411)</f>
        <v/>
      </c>
    </row>
    <row r="3412">
      <c r="F3412" s="8" t="n"/>
      <c r="G3412" s="8">
        <f>IF(E3412="","",E3412*F3412)</f>
        <v/>
      </c>
      <c r="H3412" s="8">
        <f>IF(G3412="","",G3412-I3412)</f>
        <v/>
      </c>
      <c r="I3412" s="8">
        <f>IF(D3412="","",VLOOKUP(D3412, RECETTES!B:G, 6, FALSE)*E3412)</f>
        <v/>
      </c>
      <c r="J3412" s="8">
        <f>IF(G3412="","",G3412*0.20)</f>
        <v/>
      </c>
      <c r="K3412" s="8">
        <f>IF(G3412="","",G3412+J3412)</f>
        <v/>
      </c>
    </row>
    <row r="3413">
      <c r="F3413" s="8" t="n"/>
      <c r="G3413" s="8">
        <f>IF(E3413="","",E3413*F3413)</f>
        <v/>
      </c>
      <c r="H3413" s="8">
        <f>IF(G3413="","",G3413-I3413)</f>
        <v/>
      </c>
      <c r="I3413" s="8">
        <f>IF(D3413="","",VLOOKUP(D3413, RECETTES!B:G, 6, FALSE)*E3413)</f>
        <v/>
      </c>
      <c r="J3413" s="8">
        <f>IF(G3413="","",G3413*0.20)</f>
        <v/>
      </c>
      <c r="K3413" s="8">
        <f>IF(G3413="","",G3413+J3413)</f>
        <v/>
      </c>
    </row>
    <row r="3414">
      <c r="F3414" s="8" t="n"/>
      <c r="G3414" s="8">
        <f>IF(E3414="","",E3414*F3414)</f>
        <v/>
      </c>
      <c r="H3414" s="8">
        <f>IF(G3414="","",G3414-I3414)</f>
        <v/>
      </c>
      <c r="I3414" s="8">
        <f>IF(D3414="","",VLOOKUP(D3414, RECETTES!B:G, 6, FALSE)*E3414)</f>
        <v/>
      </c>
      <c r="J3414" s="8">
        <f>IF(G3414="","",G3414*0.20)</f>
        <v/>
      </c>
      <c r="K3414" s="8">
        <f>IF(G3414="","",G3414+J3414)</f>
        <v/>
      </c>
    </row>
    <row r="3415">
      <c r="F3415" s="8" t="n"/>
      <c r="G3415" s="8">
        <f>IF(E3415="","",E3415*F3415)</f>
        <v/>
      </c>
      <c r="H3415" s="8">
        <f>IF(G3415="","",G3415-I3415)</f>
        <v/>
      </c>
      <c r="I3415" s="8">
        <f>IF(D3415="","",VLOOKUP(D3415, RECETTES!B:G, 6, FALSE)*E3415)</f>
        <v/>
      </c>
      <c r="J3415" s="8">
        <f>IF(G3415="","",G3415*0.20)</f>
        <v/>
      </c>
      <c r="K3415" s="8">
        <f>IF(G3415="","",G3415+J3415)</f>
        <v/>
      </c>
    </row>
    <row r="3416">
      <c r="F3416" s="8" t="n"/>
      <c r="G3416" s="8">
        <f>IF(E3416="","",E3416*F3416)</f>
        <v/>
      </c>
      <c r="H3416" s="8">
        <f>IF(G3416="","",G3416-I3416)</f>
        <v/>
      </c>
      <c r="I3416" s="8">
        <f>IF(D3416="","",VLOOKUP(D3416, RECETTES!B:G, 6, FALSE)*E3416)</f>
        <v/>
      </c>
      <c r="J3416" s="8">
        <f>IF(G3416="","",G3416*0.20)</f>
        <v/>
      </c>
      <c r="K3416" s="8">
        <f>IF(G3416="","",G3416+J3416)</f>
        <v/>
      </c>
    </row>
    <row r="3417">
      <c r="F3417" s="8" t="n"/>
      <c r="G3417" s="8">
        <f>IF(E3417="","",E3417*F3417)</f>
        <v/>
      </c>
      <c r="H3417" s="8">
        <f>IF(G3417="","",G3417-I3417)</f>
        <v/>
      </c>
      <c r="I3417" s="8">
        <f>IF(D3417="","",VLOOKUP(D3417, RECETTES!B:G, 6, FALSE)*E3417)</f>
        <v/>
      </c>
      <c r="J3417" s="8">
        <f>IF(G3417="","",G3417*0.20)</f>
        <v/>
      </c>
      <c r="K3417" s="8">
        <f>IF(G3417="","",G3417+J3417)</f>
        <v/>
      </c>
    </row>
    <row r="3418">
      <c r="F3418" s="8" t="n"/>
      <c r="G3418" s="8">
        <f>IF(E3418="","",E3418*F3418)</f>
        <v/>
      </c>
      <c r="H3418" s="8">
        <f>IF(G3418="","",G3418-I3418)</f>
        <v/>
      </c>
      <c r="I3418" s="8">
        <f>IF(D3418="","",VLOOKUP(D3418, RECETTES!B:G, 6, FALSE)*E3418)</f>
        <v/>
      </c>
      <c r="J3418" s="8">
        <f>IF(G3418="","",G3418*0.20)</f>
        <v/>
      </c>
      <c r="K3418" s="8">
        <f>IF(G3418="","",G3418+J3418)</f>
        <v/>
      </c>
    </row>
    <row r="3419">
      <c r="F3419" s="8" t="n"/>
      <c r="G3419" s="8">
        <f>IF(E3419="","",E3419*F3419)</f>
        <v/>
      </c>
      <c r="H3419" s="8">
        <f>IF(G3419="","",G3419-I3419)</f>
        <v/>
      </c>
      <c r="I3419" s="8">
        <f>IF(D3419="","",VLOOKUP(D3419, RECETTES!B:G, 6, FALSE)*E3419)</f>
        <v/>
      </c>
      <c r="J3419" s="8">
        <f>IF(G3419="","",G3419*0.20)</f>
        <v/>
      </c>
      <c r="K3419" s="8">
        <f>IF(G3419="","",G3419+J3419)</f>
        <v/>
      </c>
    </row>
    <row r="3420">
      <c r="F3420" s="8" t="n"/>
      <c r="G3420" s="8">
        <f>IF(E3420="","",E3420*F3420)</f>
        <v/>
      </c>
      <c r="H3420" s="8">
        <f>IF(G3420="","",G3420-I3420)</f>
        <v/>
      </c>
      <c r="I3420" s="8">
        <f>IF(D3420="","",VLOOKUP(D3420, RECETTES!B:G, 6, FALSE)*E3420)</f>
        <v/>
      </c>
      <c r="J3420" s="8">
        <f>IF(G3420="","",G3420*0.20)</f>
        <v/>
      </c>
      <c r="K3420" s="8">
        <f>IF(G3420="","",G3420+J3420)</f>
        <v/>
      </c>
    </row>
    <row r="3421">
      <c r="F3421" s="8" t="n"/>
      <c r="G3421" s="8">
        <f>IF(E3421="","",E3421*F3421)</f>
        <v/>
      </c>
      <c r="H3421" s="8">
        <f>IF(G3421="","",G3421-I3421)</f>
        <v/>
      </c>
      <c r="I3421" s="8">
        <f>IF(D3421="","",VLOOKUP(D3421, RECETTES!B:G, 6, FALSE)*E3421)</f>
        <v/>
      </c>
      <c r="J3421" s="8">
        <f>IF(G3421="","",G3421*0.20)</f>
        <v/>
      </c>
      <c r="K3421" s="8">
        <f>IF(G3421="","",G3421+J3421)</f>
        <v/>
      </c>
    </row>
    <row r="3422">
      <c r="F3422" s="8" t="n"/>
      <c r="G3422" s="8">
        <f>IF(E3422="","",E3422*F3422)</f>
        <v/>
      </c>
      <c r="H3422" s="8">
        <f>IF(G3422="","",G3422-I3422)</f>
        <v/>
      </c>
      <c r="I3422" s="8">
        <f>IF(D3422="","",VLOOKUP(D3422, RECETTES!B:G, 6, FALSE)*E3422)</f>
        <v/>
      </c>
      <c r="J3422" s="8">
        <f>IF(G3422="","",G3422*0.20)</f>
        <v/>
      </c>
      <c r="K3422" s="8">
        <f>IF(G3422="","",G3422+J3422)</f>
        <v/>
      </c>
    </row>
    <row r="3423">
      <c r="F3423" s="8" t="n"/>
      <c r="G3423" s="8">
        <f>IF(E3423="","",E3423*F3423)</f>
        <v/>
      </c>
      <c r="H3423" s="8">
        <f>IF(G3423="","",G3423-I3423)</f>
        <v/>
      </c>
      <c r="I3423" s="8">
        <f>IF(D3423="","",VLOOKUP(D3423, RECETTES!B:G, 6, FALSE)*E3423)</f>
        <v/>
      </c>
      <c r="J3423" s="8">
        <f>IF(G3423="","",G3423*0.20)</f>
        <v/>
      </c>
      <c r="K3423" s="8">
        <f>IF(G3423="","",G3423+J3423)</f>
        <v/>
      </c>
    </row>
    <row r="3424">
      <c r="F3424" s="8" t="n"/>
      <c r="G3424" s="8">
        <f>IF(E3424="","",E3424*F3424)</f>
        <v/>
      </c>
      <c r="H3424" s="8">
        <f>IF(G3424="","",G3424-I3424)</f>
        <v/>
      </c>
      <c r="I3424" s="8">
        <f>IF(D3424="","",VLOOKUP(D3424, RECETTES!B:G, 6, FALSE)*E3424)</f>
        <v/>
      </c>
      <c r="J3424" s="8">
        <f>IF(G3424="","",G3424*0.20)</f>
        <v/>
      </c>
      <c r="K3424" s="8">
        <f>IF(G3424="","",G3424+J3424)</f>
        <v/>
      </c>
    </row>
    <row r="3425">
      <c r="F3425" s="8" t="n"/>
      <c r="G3425" s="8">
        <f>IF(E3425="","",E3425*F3425)</f>
        <v/>
      </c>
      <c r="H3425" s="8">
        <f>IF(G3425="","",G3425-I3425)</f>
        <v/>
      </c>
      <c r="I3425" s="8">
        <f>IF(D3425="","",VLOOKUP(D3425, RECETTES!B:G, 6, FALSE)*E3425)</f>
        <v/>
      </c>
      <c r="J3425" s="8">
        <f>IF(G3425="","",G3425*0.20)</f>
        <v/>
      </c>
      <c r="K3425" s="8">
        <f>IF(G3425="","",G3425+J3425)</f>
        <v/>
      </c>
    </row>
    <row r="3426">
      <c r="F3426" s="8" t="n"/>
      <c r="G3426" s="8">
        <f>IF(E3426="","",E3426*F3426)</f>
        <v/>
      </c>
      <c r="H3426" s="8">
        <f>IF(G3426="","",G3426-I3426)</f>
        <v/>
      </c>
      <c r="I3426" s="8">
        <f>IF(D3426="","",VLOOKUP(D3426, RECETTES!B:G, 6, FALSE)*E3426)</f>
        <v/>
      </c>
      <c r="J3426" s="8">
        <f>IF(G3426="","",G3426*0.20)</f>
        <v/>
      </c>
      <c r="K3426" s="8">
        <f>IF(G3426="","",G3426+J3426)</f>
        <v/>
      </c>
    </row>
    <row r="3427">
      <c r="F3427" s="8" t="n"/>
      <c r="G3427" s="8">
        <f>IF(E3427="","",E3427*F3427)</f>
        <v/>
      </c>
      <c r="H3427" s="8">
        <f>IF(G3427="","",G3427-I3427)</f>
        <v/>
      </c>
      <c r="I3427" s="8">
        <f>IF(D3427="","",VLOOKUP(D3427, RECETTES!B:G, 6, FALSE)*E3427)</f>
        <v/>
      </c>
      <c r="J3427" s="8">
        <f>IF(G3427="","",G3427*0.20)</f>
        <v/>
      </c>
      <c r="K3427" s="8">
        <f>IF(G3427="","",G3427+J3427)</f>
        <v/>
      </c>
    </row>
    <row r="3428">
      <c r="F3428" s="8" t="n"/>
      <c r="G3428" s="8">
        <f>IF(E3428="","",E3428*F3428)</f>
        <v/>
      </c>
      <c r="H3428" s="8">
        <f>IF(G3428="","",G3428-I3428)</f>
        <v/>
      </c>
      <c r="I3428" s="8">
        <f>IF(D3428="","",VLOOKUP(D3428, RECETTES!B:G, 6, FALSE)*E3428)</f>
        <v/>
      </c>
      <c r="J3428" s="8">
        <f>IF(G3428="","",G3428*0.20)</f>
        <v/>
      </c>
      <c r="K3428" s="8">
        <f>IF(G3428="","",G3428+J3428)</f>
        <v/>
      </c>
    </row>
    <row r="3429">
      <c r="F3429" s="8" t="n"/>
      <c r="G3429" s="8">
        <f>IF(E3429="","",E3429*F3429)</f>
        <v/>
      </c>
      <c r="H3429" s="8">
        <f>IF(G3429="","",G3429-I3429)</f>
        <v/>
      </c>
      <c r="I3429" s="8">
        <f>IF(D3429="","",VLOOKUP(D3429, RECETTES!B:G, 6, FALSE)*E3429)</f>
        <v/>
      </c>
      <c r="J3429" s="8">
        <f>IF(G3429="","",G3429*0.20)</f>
        <v/>
      </c>
      <c r="K3429" s="8">
        <f>IF(G3429="","",G3429+J3429)</f>
        <v/>
      </c>
    </row>
    <row r="3430">
      <c r="F3430" s="8" t="n"/>
      <c r="G3430" s="8">
        <f>IF(E3430="","",E3430*F3430)</f>
        <v/>
      </c>
      <c r="H3430" s="8">
        <f>IF(G3430="","",G3430-I3430)</f>
        <v/>
      </c>
      <c r="I3430" s="8">
        <f>IF(D3430="","",VLOOKUP(D3430, RECETTES!B:G, 6, FALSE)*E3430)</f>
        <v/>
      </c>
      <c r="J3430" s="8">
        <f>IF(G3430="","",G3430*0.20)</f>
        <v/>
      </c>
      <c r="K3430" s="8">
        <f>IF(G3430="","",G3430+J3430)</f>
        <v/>
      </c>
    </row>
    <row r="3431">
      <c r="F3431" s="8" t="n"/>
      <c r="G3431" s="8">
        <f>IF(E3431="","",E3431*F3431)</f>
        <v/>
      </c>
      <c r="H3431" s="8">
        <f>IF(G3431="","",G3431-I3431)</f>
        <v/>
      </c>
      <c r="I3431" s="8">
        <f>IF(D3431="","",VLOOKUP(D3431, RECETTES!B:G, 6, FALSE)*E3431)</f>
        <v/>
      </c>
      <c r="J3431" s="8">
        <f>IF(G3431="","",G3431*0.20)</f>
        <v/>
      </c>
      <c r="K3431" s="8">
        <f>IF(G3431="","",G3431+J3431)</f>
        <v/>
      </c>
    </row>
    <row r="3432">
      <c r="F3432" s="8" t="n"/>
      <c r="G3432" s="8">
        <f>IF(E3432="","",E3432*F3432)</f>
        <v/>
      </c>
      <c r="H3432" s="8">
        <f>IF(G3432="","",G3432-I3432)</f>
        <v/>
      </c>
      <c r="I3432" s="8">
        <f>IF(D3432="","",VLOOKUP(D3432, RECETTES!B:G, 6, FALSE)*E3432)</f>
        <v/>
      </c>
      <c r="J3432" s="8">
        <f>IF(G3432="","",G3432*0.20)</f>
        <v/>
      </c>
      <c r="K3432" s="8">
        <f>IF(G3432="","",G3432+J3432)</f>
        <v/>
      </c>
    </row>
    <row r="3433">
      <c r="F3433" s="8" t="n"/>
      <c r="G3433" s="8">
        <f>IF(E3433="","",E3433*F3433)</f>
        <v/>
      </c>
      <c r="H3433" s="8">
        <f>IF(G3433="","",G3433-I3433)</f>
        <v/>
      </c>
      <c r="I3433" s="8">
        <f>IF(D3433="","",VLOOKUP(D3433, RECETTES!B:G, 6, FALSE)*E3433)</f>
        <v/>
      </c>
      <c r="J3433" s="8">
        <f>IF(G3433="","",G3433*0.20)</f>
        <v/>
      </c>
      <c r="K3433" s="8">
        <f>IF(G3433="","",G3433+J3433)</f>
        <v/>
      </c>
    </row>
    <row r="3434">
      <c r="F3434" s="8" t="n"/>
      <c r="G3434" s="8">
        <f>IF(E3434="","",E3434*F3434)</f>
        <v/>
      </c>
      <c r="H3434" s="8">
        <f>IF(G3434="","",G3434-I3434)</f>
        <v/>
      </c>
      <c r="I3434" s="8">
        <f>IF(D3434="","",VLOOKUP(D3434, RECETTES!B:G, 6, FALSE)*E3434)</f>
        <v/>
      </c>
      <c r="J3434" s="8">
        <f>IF(G3434="","",G3434*0.20)</f>
        <v/>
      </c>
      <c r="K3434" s="8">
        <f>IF(G3434="","",G3434+J3434)</f>
        <v/>
      </c>
    </row>
    <row r="3435">
      <c r="F3435" s="8" t="n"/>
      <c r="G3435" s="8">
        <f>IF(E3435="","",E3435*F3435)</f>
        <v/>
      </c>
      <c r="H3435" s="8">
        <f>IF(G3435="","",G3435-I3435)</f>
        <v/>
      </c>
      <c r="I3435" s="8">
        <f>IF(D3435="","",VLOOKUP(D3435, RECETTES!B:G, 6, FALSE)*E3435)</f>
        <v/>
      </c>
      <c r="J3435" s="8">
        <f>IF(G3435="","",G3435*0.20)</f>
        <v/>
      </c>
      <c r="K3435" s="8">
        <f>IF(G3435="","",G3435+J3435)</f>
        <v/>
      </c>
    </row>
    <row r="3436">
      <c r="F3436" s="8" t="n"/>
      <c r="G3436" s="8">
        <f>IF(E3436="","",E3436*F3436)</f>
        <v/>
      </c>
      <c r="H3436" s="8">
        <f>IF(G3436="","",G3436-I3436)</f>
        <v/>
      </c>
      <c r="I3436" s="8">
        <f>IF(D3436="","",VLOOKUP(D3436, RECETTES!B:G, 6, FALSE)*E3436)</f>
        <v/>
      </c>
      <c r="J3436" s="8">
        <f>IF(G3436="","",G3436*0.20)</f>
        <v/>
      </c>
      <c r="K3436" s="8">
        <f>IF(G3436="","",G3436+J3436)</f>
        <v/>
      </c>
    </row>
    <row r="3437">
      <c r="F3437" s="8" t="n"/>
      <c r="G3437" s="8">
        <f>IF(E3437="","",E3437*F3437)</f>
        <v/>
      </c>
      <c r="H3437" s="8">
        <f>IF(G3437="","",G3437-I3437)</f>
        <v/>
      </c>
      <c r="I3437" s="8">
        <f>IF(D3437="","",VLOOKUP(D3437, RECETTES!B:G, 6, FALSE)*E3437)</f>
        <v/>
      </c>
      <c r="J3437" s="8">
        <f>IF(G3437="","",G3437*0.20)</f>
        <v/>
      </c>
      <c r="K3437" s="8">
        <f>IF(G3437="","",G3437+J3437)</f>
        <v/>
      </c>
    </row>
    <row r="3438">
      <c r="F3438" s="8" t="n"/>
      <c r="G3438" s="8">
        <f>IF(E3438="","",E3438*F3438)</f>
        <v/>
      </c>
      <c r="H3438" s="8">
        <f>IF(G3438="","",G3438-I3438)</f>
        <v/>
      </c>
      <c r="I3438" s="8">
        <f>IF(D3438="","",VLOOKUP(D3438, RECETTES!B:G, 6, FALSE)*E3438)</f>
        <v/>
      </c>
      <c r="J3438" s="8">
        <f>IF(G3438="","",G3438*0.20)</f>
        <v/>
      </c>
      <c r="K3438" s="8">
        <f>IF(G3438="","",G3438+J3438)</f>
        <v/>
      </c>
    </row>
    <row r="3439">
      <c r="F3439" s="8" t="n"/>
      <c r="G3439" s="8">
        <f>IF(E3439="","",E3439*F3439)</f>
        <v/>
      </c>
      <c r="H3439" s="8">
        <f>IF(G3439="","",G3439-I3439)</f>
        <v/>
      </c>
      <c r="I3439" s="8">
        <f>IF(D3439="","",VLOOKUP(D3439, RECETTES!B:G, 6, FALSE)*E3439)</f>
        <v/>
      </c>
      <c r="J3439" s="8">
        <f>IF(G3439="","",G3439*0.20)</f>
        <v/>
      </c>
      <c r="K3439" s="8">
        <f>IF(G3439="","",G3439+J3439)</f>
        <v/>
      </c>
    </row>
    <row r="3440">
      <c r="F3440" s="8" t="n"/>
      <c r="G3440" s="8">
        <f>IF(E3440="","",E3440*F3440)</f>
        <v/>
      </c>
      <c r="H3440" s="8">
        <f>IF(G3440="","",G3440-I3440)</f>
        <v/>
      </c>
      <c r="I3440" s="8">
        <f>IF(D3440="","",VLOOKUP(D3440, RECETTES!B:G, 6, FALSE)*E3440)</f>
        <v/>
      </c>
      <c r="J3440" s="8">
        <f>IF(G3440="","",G3440*0.20)</f>
        <v/>
      </c>
      <c r="K3440" s="8">
        <f>IF(G3440="","",G3440+J3440)</f>
        <v/>
      </c>
    </row>
    <row r="3441">
      <c r="F3441" s="8" t="n"/>
      <c r="G3441" s="8">
        <f>IF(E3441="","",E3441*F3441)</f>
        <v/>
      </c>
      <c r="H3441" s="8">
        <f>IF(G3441="","",G3441-I3441)</f>
        <v/>
      </c>
      <c r="I3441" s="8">
        <f>IF(D3441="","",VLOOKUP(D3441, RECETTES!B:G, 6, FALSE)*E3441)</f>
        <v/>
      </c>
      <c r="J3441" s="8">
        <f>IF(G3441="","",G3441*0.20)</f>
        <v/>
      </c>
      <c r="K3441" s="8">
        <f>IF(G3441="","",G3441+J3441)</f>
        <v/>
      </c>
    </row>
    <row r="3442">
      <c r="F3442" s="8" t="n"/>
      <c r="G3442" s="8">
        <f>IF(E3442="","",E3442*F3442)</f>
        <v/>
      </c>
      <c r="H3442" s="8">
        <f>IF(G3442="","",G3442-I3442)</f>
        <v/>
      </c>
      <c r="I3442" s="8">
        <f>IF(D3442="","",VLOOKUP(D3442, RECETTES!B:G, 6, FALSE)*E3442)</f>
        <v/>
      </c>
      <c r="J3442" s="8">
        <f>IF(G3442="","",G3442*0.20)</f>
        <v/>
      </c>
      <c r="K3442" s="8">
        <f>IF(G3442="","",G3442+J3442)</f>
        <v/>
      </c>
    </row>
    <row r="3443">
      <c r="F3443" s="8" t="n"/>
      <c r="G3443" s="8">
        <f>IF(E3443="","",E3443*F3443)</f>
        <v/>
      </c>
      <c r="H3443" s="8">
        <f>IF(G3443="","",G3443-I3443)</f>
        <v/>
      </c>
      <c r="I3443" s="8">
        <f>IF(D3443="","",VLOOKUP(D3443, RECETTES!B:G, 6, FALSE)*E3443)</f>
        <v/>
      </c>
      <c r="J3443" s="8">
        <f>IF(G3443="","",G3443*0.20)</f>
        <v/>
      </c>
      <c r="K3443" s="8">
        <f>IF(G3443="","",G3443+J3443)</f>
        <v/>
      </c>
    </row>
    <row r="3444">
      <c r="F3444" s="8" t="n"/>
      <c r="G3444" s="8">
        <f>IF(E3444="","",E3444*F3444)</f>
        <v/>
      </c>
      <c r="H3444" s="8">
        <f>IF(G3444="","",G3444-I3444)</f>
        <v/>
      </c>
      <c r="I3444" s="8">
        <f>IF(D3444="","",VLOOKUP(D3444, RECETTES!B:G, 6, FALSE)*E3444)</f>
        <v/>
      </c>
      <c r="J3444" s="8">
        <f>IF(G3444="","",G3444*0.20)</f>
        <v/>
      </c>
      <c r="K3444" s="8">
        <f>IF(G3444="","",G3444+J3444)</f>
        <v/>
      </c>
    </row>
    <row r="3445">
      <c r="F3445" s="8" t="n"/>
      <c r="G3445" s="8">
        <f>IF(E3445="","",E3445*F3445)</f>
        <v/>
      </c>
      <c r="H3445" s="8">
        <f>IF(G3445="","",G3445-I3445)</f>
        <v/>
      </c>
      <c r="I3445" s="8">
        <f>IF(D3445="","",VLOOKUP(D3445, RECETTES!B:G, 6, FALSE)*E3445)</f>
        <v/>
      </c>
      <c r="J3445" s="8">
        <f>IF(G3445="","",G3445*0.20)</f>
        <v/>
      </c>
      <c r="K3445" s="8">
        <f>IF(G3445="","",G3445+J3445)</f>
        <v/>
      </c>
    </row>
    <row r="3446">
      <c r="F3446" s="8" t="n"/>
      <c r="G3446" s="8">
        <f>IF(E3446="","",E3446*F3446)</f>
        <v/>
      </c>
      <c r="H3446" s="8">
        <f>IF(G3446="","",G3446-I3446)</f>
        <v/>
      </c>
      <c r="I3446" s="8">
        <f>IF(D3446="","",VLOOKUP(D3446, RECETTES!B:G, 6, FALSE)*E3446)</f>
        <v/>
      </c>
      <c r="J3446" s="8">
        <f>IF(G3446="","",G3446*0.20)</f>
        <v/>
      </c>
      <c r="K3446" s="8">
        <f>IF(G3446="","",G3446+J3446)</f>
        <v/>
      </c>
    </row>
    <row r="3447">
      <c r="F3447" s="8" t="n"/>
      <c r="G3447" s="8">
        <f>IF(E3447="","",E3447*F3447)</f>
        <v/>
      </c>
      <c r="H3447" s="8">
        <f>IF(G3447="","",G3447-I3447)</f>
        <v/>
      </c>
      <c r="I3447" s="8">
        <f>IF(D3447="","",VLOOKUP(D3447, RECETTES!B:G, 6, FALSE)*E3447)</f>
        <v/>
      </c>
      <c r="J3447" s="8">
        <f>IF(G3447="","",G3447*0.20)</f>
        <v/>
      </c>
      <c r="K3447" s="8">
        <f>IF(G3447="","",G3447+J3447)</f>
        <v/>
      </c>
    </row>
    <row r="3448">
      <c r="F3448" s="8" t="n"/>
      <c r="G3448" s="8">
        <f>IF(E3448="","",E3448*F3448)</f>
        <v/>
      </c>
      <c r="H3448" s="8">
        <f>IF(G3448="","",G3448-I3448)</f>
        <v/>
      </c>
      <c r="I3448" s="8">
        <f>IF(D3448="","",VLOOKUP(D3448, RECETTES!B:G, 6, FALSE)*E3448)</f>
        <v/>
      </c>
      <c r="J3448" s="8">
        <f>IF(G3448="","",G3448*0.20)</f>
        <v/>
      </c>
      <c r="K3448" s="8">
        <f>IF(G3448="","",G3448+J3448)</f>
        <v/>
      </c>
    </row>
    <row r="3449">
      <c r="F3449" s="8" t="n"/>
      <c r="G3449" s="8">
        <f>IF(E3449="","",E3449*F3449)</f>
        <v/>
      </c>
      <c r="H3449" s="8">
        <f>IF(G3449="","",G3449-I3449)</f>
        <v/>
      </c>
      <c r="I3449" s="8">
        <f>IF(D3449="","",VLOOKUP(D3449, RECETTES!B:G, 6, FALSE)*E3449)</f>
        <v/>
      </c>
      <c r="J3449" s="8">
        <f>IF(G3449="","",G3449*0.20)</f>
        <v/>
      </c>
      <c r="K3449" s="8">
        <f>IF(G3449="","",G3449+J3449)</f>
        <v/>
      </c>
    </row>
    <row r="3450">
      <c r="F3450" s="8" t="n"/>
      <c r="G3450" s="8">
        <f>IF(E3450="","",E3450*F3450)</f>
        <v/>
      </c>
      <c r="H3450" s="8">
        <f>IF(G3450="","",G3450-I3450)</f>
        <v/>
      </c>
      <c r="I3450" s="8">
        <f>IF(D3450="","",VLOOKUP(D3450, RECETTES!B:G, 6, FALSE)*E3450)</f>
        <v/>
      </c>
      <c r="J3450" s="8">
        <f>IF(G3450="","",G3450*0.20)</f>
        <v/>
      </c>
      <c r="K3450" s="8">
        <f>IF(G3450="","",G3450+J3450)</f>
        <v/>
      </c>
    </row>
    <row r="3451">
      <c r="F3451" s="8" t="n"/>
      <c r="G3451" s="8">
        <f>IF(E3451="","",E3451*F3451)</f>
        <v/>
      </c>
      <c r="H3451" s="8">
        <f>IF(G3451="","",G3451-I3451)</f>
        <v/>
      </c>
      <c r="I3451" s="8">
        <f>IF(D3451="","",VLOOKUP(D3451, RECETTES!B:G, 6, FALSE)*E3451)</f>
        <v/>
      </c>
      <c r="J3451" s="8">
        <f>IF(G3451="","",G3451*0.20)</f>
        <v/>
      </c>
      <c r="K3451" s="8">
        <f>IF(G3451="","",G3451+J3451)</f>
        <v/>
      </c>
    </row>
    <row r="3452">
      <c r="F3452" s="8" t="n"/>
      <c r="G3452" s="8">
        <f>IF(E3452="","",E3452*F3452)</f>
        <v/>
      </c>
      <c r="H3452" s="8">
        <f>IF(G3452="","",G3452-I3452)</f>
        <v/>
      </c>
      <c r="I3452" s="8">
        <f>IF(D3452="","",VLOOKUP(D3452, RECETTES!B:G, 6, FALSE)*E3452)</f>
        <v/>
      </c>
      <c r="J3452" s="8">
        <f>IF(G3452="","",G3452*0.20)</f>
        <v/>
      </c>
      <c r="K3452" s="8">
        <f>IF(G3452="","",G3452+J3452)</f>
        <v/>
      </c>
    </row>
    <row r="3453">
      <c r="F3453" s="8" t="n"/>
      <c r="G3453" s="8">
        <f>IF(E3453="","",E3453*F3453)</f>
        <v/>
      </c>
      <c r="H3453" s="8">
        <f>IF(G3453="","",G3453-I3453)</f>
        <v/>
      </c>
      <c r="I3453" s="8">
        <f>IF(D3453="","",VLOOKUP(D3453, RECETTES!B:G, 6, FALSE)*E3453)</f>
        <v/>
      </c>
      <c r="J3453" s="8">
        <f>IF(G3453="","",G3453*0.20)</f>
        <v/>
      </c>
      <c r="K3453" s="8">
        <f>IF(G3453="","",G3453+J3453)</f>
        <v/>
      </c>
    </row>
    <row r="3454">
      <c r="F3454" s="8" t="n"/>
      <c r="G3454" s="8">
        <f>IF(E3454="","",E3454*F3454)</f>
        <v/>
      </c>
      <c r="H3454" s="8">
        <f>IF(G3454="","",G3454-I3454)</f>
        <v/>
      </c>
      <c r="I3454" s="8">
        <f>IF(D3454="","",VLOOKUP(D3454, RECETTES!B:G, 6, FALSE)*E3454)</f>
        <v/>
      </c>
      <c r="J3454" s="8">
        <f>IF(G3454="","",G3454*0.20)</f>
        <v/>
      </c>
      <c r="K3454" s="8">
        <f>IF(G3454="","",G3454+J3454)</f>
        <v/>
      </c>
    </row>
    <row r="3455">
      <c r="F3455" s="8" t="n"/>
      <c r="G3455" s="8">
        <f>IF(E3455="","",E3455*F3455)</f>
        <v/>
      </c>
      <c r="H3455" s="8">
        <f>IF(G3455="","",G3455-I3455)</f>
        <v/>
      </c>
      <c r="I3455" s="8">
        <f>IF(D3455="","",VLOOKUP(D3455, RECETTES!B:G, 6, FALSE)*E3455)</f>
        <v/>
      </c>
      <c r="J3455" s="8">
        <f>IF(G3455="","",G3455*0.20)</f>
        <v/>
      </c>
      <c r="K3455" s="8">
        <f>IF(G3455="","",G3455+J3455)</f>
        <v/>
      </c>
    </row>
    <row r="3456">
      <c r="F3456" s="8" t="n"/>
      <c r="G3456" s="8">
        <f>IF(E3456="","",E3456*F3456)</f>
        <v/>
      </c>
      <c r="H3456" s="8">
        <f>IF(G3456="","",G3456-I3456)</f>
        <v/>
      </c>
      <c r="I3456" s="8">
        <f>IF(D3456="","",VLOOKUP(D3456, RECETTES!B:G, 6, FALSE)*E3456)</f>
        <v/>
      </c>
      <c r="J3456" s="8">
        <f>IF(G3456="","",G3456*0.20)</f>
        <v/>
      </c>
      <c r="K3456" s="8">
        <f>IF(G3456="","",G3456+J3456)</f>
        <v/>
      </c>
    </row>
    <row r="3457">
      <c r="F3457" s="8" t="n"/>
      <c r="G3457" s="8">
        <f>IF(E3457="","",E3457*F3457)</f>
        <v/>
      </c>
      <c r="H3457" s="8">
        <f>IF(G3457="","",G3457-I3457)</f>
        <v/>
      </c>
      <c r="I3457" s="8">
        <f>IF(D3457="","",VLOOKUP(D3457, RECETTES!B:G, 6, FALSE)*E3457)</f>
        <v/>
      </c>
      <c r="J3457" s="8">
        <f>IF(G3457="","",G3457*0.20)</f>
        <v/>
      </c>
      <c r="K3457" s="8">
        <f>IF(G3457="","",G3457+J3457)</f>
        <v/>
      </c>
    </row>
    <row r="3458">
      <c r="F3458" s="8" t="n"/>
      <c r="G3458" s="8">
        <f>IF(E3458="","",E3458*F3458)</f>
        <v/>
      </c>
      <c r="H3458" s="8">
        <f>IF(G3458="","",G3458-I3458)</f>
        <v/>
      </c>
      <c r="I3458" s="8">
        <f>IF(D3458="","",VLOOKUP(D3458, RECETTES!B:G, 6, FALSE)*E3458)</f>
        <v/>
      </c>
      <c r="J3458" s="8">
        <f>IF(G3458="","",G3458*0.20)</f>
        <v/>
      </c>
      <c r="K3458" s="8">
        <f>IF(G3458="","",G3458+J3458)</f>
        <v/>
      </c>
    </row>
    <row r="3459">
      <c r="F3459" s="8" t="n"/>
      <c r="G3459" s="8">
        <f>IF(E3459="","",E3459*F3459)</f>
        <v/>
      </c>
      <c r="H3459" s="8">
        <f>IF(G3459="","",G3459-I3459)</f>
        <v/>
      </c>
      <c r="I3459" s="8">
        <f>IF(D3459="","",VLOOKUP(D3459, RECETTES!B:G, 6, FALSE)*E3459)</f>
        <v/>
      </c>
      <c r="J3459" s="8">
        <f>IF(G3459="","",G3459*0.20)</f>
        <v/>
      </c>
      <c r="K3459" s="8">
        <f>IF(G3459="","",G3459+J3459)</f>
        <v/>
      </c>
    </row>
    <row r="3460">
      <c r="F3460" s="8" t="n"/>
      <c r="G3460" s="8">
        <f>IF(E3460="","",E3460*F3460)</f>
        <v/>
      </c>
      <c r="H3460" s="8">
        <f>IF(G3460="","",G3460-I3460)</f>
        <v/>
      </c>
      <c r="I3460" s="8">
        <f>IF(D3460="","",VLOOKUP(D3460, RECETTES!B:G, 6, FALSE)*E3460)</f>
        <v/>
      </c>
      <c r="J3460" s="8">
        <f>IF(G3460="","",G3460*0.20)</f>
        <v/>
      </c>
      <c r="K3460" s="8">
        <f>IF(G3460="","",G3460+J3460)</f>
        <v/>
      </c>
    </row>
    <row r="3461">
      <c r="F3461" s="8" t="n"/>
      <c r="G3461" s="8">
        <f>IF(E3461="","",E3461*F3461)</f>
        <v/>
      </c>
      <c r="H3461" s="8">
        <f>IF(G3461="","",G3461-I3461)</f>
        <v/>
      </c>
      <c r="I3461" s="8">
        <f>IF(D3461="","",VLOOKUP(D3461, RECETTES!B:G, 6, FALSE)*E3461)</f>
        <v/>
      </c>
      <c r="J3461" s="8">
        <f>IF(G3461="","",G3461*0.20)</f>
        <v/>
      </c>
      <c r="K3461" s="8">
        <f>IF(G3461="","",G3461+J3461)</f>
        <v/>
      </c>
    </row>
    <row r="3462">
      <c r="F3462" s="8" t="n"/>
      <c r="G3462" s="8">
        <f>IF(E3462="","",E3462*F3462)</f>
        <v/>
      </c>
      <c r="H3462" s="8">
        <f>IF(G3462="","",G3462-I3462)</f>
        <v/>
      </c>
      <c r="I3462" s="8">
        <f>IF(D3462="","",VLOOKUP(D3462, RECETTES!B:G, 6, FALSE)*E3462)</f>
        <v/>
      </c>
      <c r="J3462" s="8">
        <f>IF(G3462="","",G3462*0.20)</f>
        <v/>
      </c>
      <c r="K3462" s="8">
        <f>IF(G3462="","",G3462+J3462)</f>
        <v/>
      </c>
    </row>
    <row r="3463">
      <c r="F3463" s="8" t="n"/>
      <c r="G3463" s="8">
        <f>IF(E3463="","",E3463*F3463)</f>
        <v/>
      </c>
      <c r="H3463" s="8">
        <f>IF(G3463="","",G3463-I3463)</f>
        <v/>
      </c>
      <c r="I3463" s="8">
        <f>IF(D3463="","",VLOOKUP(D3463, RECETTES!B:G, 6, FALSE)*E3463)</f>
        <v/>
      </c>
      <c r="J3463" s="8">
        <f>IF(G3463="","",G3463*0.20)</f>
        <v/>
      </c>
      <c r="K3463" s="8">
        <f>IF(G3463="","",G3463+J3463)</f>
        <v/>
      </c>
    </row>
    <row r="3464">
      <c r="F3464" s="8" t="n"/>
      <c r="G3464" s="8">
        <f>IF(E3464="","",E3464*F3464)</f>
        <v/>
      </c>
      <c r="H3464" s="8">
        <f>IF(G3464="","",G3464-I3464)</f>
        <v/>
      </c>
      <c r="I3464" s="8">
        <f>IF(D3464="","",VLOOKUP(D3464, RECETTES!B:G, 6, FALSE)*E3464)</f>
        <v/>
      </c>
      <c r="J3464" s="8">
        <f>IF(G3464="","",G3464*0.20)</f>
        <v/>
      </c>
      <c r="K3464" s="8">
        <f>IF(G3464="","",G3464+J3464)</f>
        <v/>
      </c>
    </row>
    <row r="3465">
      <c r="F3465" s="8" t="n"/>
      <c r="G3465" s="8">
        <f>IF(E3465="","",E3465*F3465)</f>
        <v/>
      </c>
      <c r="H3465" s="8">
        <f>IF(G3465="","",G3465-I3465)</f>
        <v/>
      </c>
      <c r="I3465" s="8">
        <f>IF(D3465="","",VLOOKUP(D3465, RECETTES!B:G, 6, FALSE)*E3465)</f>
        <v/>
      </c>
      <c r="J3465" s="8">
        <f>IF(G3465="","",G3465*0.20)</f>
        <v/>
      </c>
      <c r="K3465" s="8">
        <f>IF(G3465="","",G3465+J3465)</f>
        <v/>
      </c>
    </row>
    <row r="3466">
      <c r="F3466" s="8" t="n"/>
      <c r="G3466" s="8">
        <f>IF(E3466="","",E3466*F3466)</f>
        <v/>
      </c>
      <c r="H3466" s="8">
        <f>IF(G3466="","",G3466-I3466)</f>
        <v/>
      </c>
      <c r="I3466" s="8">
        <f>IF(D3466="","",VLOOKUP(D3466, RECETTES!B:G, 6, FALSE)*E3466)</f>
        <v/>
      </c>
      <c r="J3466" s="8">
        <f>IF(G3466="","",G3466*0.20)</f>
        <v/>
      </c>
      <c r="K3466" s="8">
        <f>IF(G3466="","",G3466+J3466)</f>
        <v/>
      </c>
    </row>
    <row r="3467">
      <c r="F3467" s="8" t="n"/>
      <c r="G3467" s="8">
        <f>IF(E3467="","",E3467*F3467)</f>
        <v/>
      </c>
      <c r="H3467" s="8">
        <f>IF(G3467="","",G3467-I3467)</f>
        <v/>
      </c>
      <c r="I3467" s="8">
        <f>IF(D3467="","",VLOOKUP(D3467, RECETTES!B:G, 6, FALSE)*E3467)</f>
        <v/>
      </c>
      <c r="J3467" s="8">
        <f>IF(G3467="","",G3467*0.20)</f>
        <v/>
      </c>
      <c r="K3467" s="8">
        <f>IF(G3467="","",G3467+J3467)</f>
        <v/>
      </c>
    </row>
    <row r="3468">
      <c r="F3468" s="8" t="n"/>
      <c r="G3468" s="8">
        <f>IF(E3468="","",E3468*F3468)</f>
        <v/>
      </c>
      <c r="H3468" s="8">
        <f>IF(G3468="","",G3468-I3468)</f>
        <v/>
      </c>
      <c r="I3468" s="8">
        <f>IF(D3468="","",VLOOKUP(D3468, RECETTES!B:G, 6, FALSE)*E3468)</f>
        <v/>
      </c>
      <c r="J3468" s="8">
        <f>IF(G3468="","",G3468*0.20)</f>
        <v/>
      </c>
      <c r="K3468" s="8">
        <f>IF(G3468="","",G3468+J3468)</f>
        <v/>
      </c>
    </row>
    <row r="3469">
      <c r="F3469" s="8" t="n"/>
      <c r="G3469" s="8">
        <f>IF(E3469="","",E3469*F3469)</f>
        <v/>
      </c>
      <c r="H3469" s="8">
        <f>IF(G3469="","",G3469-I3469)</f>
        <v/>
      </c>
      <c r="I3469" s="8">
        <f>IF(D3469="","",VLOOKUP(D3469, RECETTES!B:G, 6, FALSE)*E3469)</f>
        <v/>
      </c>
      <c r="J3469" s="8">
        <f>IF(G3469="","",G3469*0.20)</f>
        <v/>
      </c>
      <c r="K3469" s="8">
        <f>IF(G3469="","",G3469+J3469)</f>
        <v/>
      </c>
    </row>
    <row r="3470">
      <c r="F3470" s="8" t="n"/>
      <c r="G3470" s="8">
        <f>IF(E3470="","",E3470*F3470)</f>
        <v/>
      </c>
      <c r="H3470" s="8">
        <f>IF(G3470="","",G3470-I3470)</f>
        <v/>
      </c>
      <c r="I3470" s="8">
        <f>IF(D3470="","",VLOOKUP(D3470, RECETTES!B:G, 6, FALSE)*E3470)</f>
        <v/>
      </c>
      <c r="J3470" s="8">
        <f>IF(G3470="","",G3470*0.20)</f>
        <v/>
      </c>
      <c r="K3470" s="8">
        <f>IF(G3470="","",G3470+J3470)</f>
        <v/>
      </c>
    </row>
    <row r="3471">
      <c r="F3471" s="8" t="n"/>
      <c r="G3471" s="8">
        <f>IF(E3471="","",E3471*F3471)</f>
        <v/>
      </c>
      <c r="H3471" s="8">
        <f>IF(G3471="","",G3471-I3471)</f>
        <v/>
      </c>
      <c r="I3471" s="8">
        <f>IF(D3471="","",VLOOKUP(D3471, RECETTES!B:G, 6, FALSE)*E3471)</f>
        <v/>
      </c>
      <c r="J3471" s="8">
        <f>IF(G3471="","",G3471*0.20)</f>
        <v/>
      </c>
      <c r="K3471" s="8">
        <f>IF(G3471="","",G3471+J3471)</f>
        <v/>
      </c>
    </row>
    <row r="3472">
      <c r="F3472" s="8" t="n"/>
      <c r="G3472" s="8">
        <f>IF(E3472="","",E3472*F3472)</f>
        <v/>
      </c>
      <c r="H3472" s="8">
        <f>IF(G3472="","",G3472-I3472)</f>
        <v/>
      </c>
      <c r="I3472" s="8">
        <f>IF(D3472="","",VLOOKUP(D3472, RECETTES!B:G, 6, FALSE)*E3472)</f>
        <v/>
      </c>
      <c r="J3472" s="8">
        <f>IF(G3472="","",G3472*0.20)</f>
        <v/>
      </c>
      <c r="K3472" s="8">
        <f>IF(G3472="","",G3472+J3472)</f>
        <v/>
      </c>
    </row>
    <row r="3473">
      <c r="F3473" s="8" t="n"/>
      <c r="G3473" s="8">
        <f>IF(E3473="","",E3473*F3473)</f>
        <v/>
      </c>
      <c r="H3473" s="8">
        <f>IF(G3473="","",G3473-I3473)</f>
        <v/>
      </c>
      <c r="I3473" s="8">
        <f>IF(D3473="","",VLOOKUP(D3473, RECETTES!B:G, 6, FALSE)*E3473)</f>
        <v/>
      </c>
      <c r="J3473" s="8">
        <f>IF(G3473="","",G3473*0.20)</f>
        <v/>
      </c>
      <c r="K3473" s="8">
        <f>IF(G3473="","",G3473+J3473)</f>
        <v/>
      </c>
    </row>
    <row r="3474">
      <c r="F3474" s="8" t="n"/>
      <c r="G3474" s="8">
        <f>IF(E3474="","",E3474*F3474)</f>
        <v/>
      </c>
      <c r="H3474" s="8">
        <f>IF(G3474="","",G3474-I3474)</f>
        <v/>
      </c>
      <c r="I3474" s="8">
        <f>IF(D3474="","",VLOOKUP(D3474, RECETTES!B:G, 6, FALSE)*E3474)</f>
        <v/>
      </c>
      <c r="J3474" s="8">
        <f>IF(G3474="","",G3474*0.20)</f>
        <v/>
      </c>
      <c r="K3474" s="8">
        <f>IF(G3474="","",G3474+J3474)</f>
        <v/>
      </c>
    </row>
    <row r="3475">
      <c r="F3475" s="8" t="n"/>
      <c r="G3475" s="8">
        <f>IF(E3475="","",E3475*F3475)</f>
        <v/>
      </c>
      <c r="H3475" s="8">
        <f>IF(G3475="","",G3475-I3475)</f>
        <v/>
      </c>
      <c r="I3475" s="8">
        <f>IF(D3475="","",VLOOKUP(D3475, RECETTES!B:G, 6, FALSE)*E3475)</f>
        <v/>
      </c>
      <c r="J3475" s="8">
        <f>IF(G3475="","",G3475*0.20)</f>
        <v/>
      </c>
      <c r="K3475" s="8">
        <f>IF(G3475="","",G3475+J3475)</f>
        <v/>
      </c>
    </row>
    <row r="3476">
      <c r="F3476" s="8" t="n"/>
      <c r="G3476" s="8">
        <f>IF(E3476="","",E3476*F3476)</f>
        <v/>
      </c>
      <c r="H3476" s="8">
        <f>IF(G3476="","",G3476-I3476)</f>
        <v/>
      </c>
      <c r="I3476" s="8">
        <f>IF(D3476="","",VLOOKUP(D3476, RECETTES!B:G, 6, FALSE)*E3476)</f>
        <v/>
      </c>
      <c r="J3476" s="8">
        <f>IF(G3476="","",G3476*0.20)</f>
        <v/>
      </c>
      <c r="K3476" s="8">
        <f>IF(G3476="","",G3476+J3476)</f>
        <v/>
      </c>
    </row>
    <row r="3477">
      <c r="F3477" s="8" t="n"/>
      <c r="G3477" s="8">
        <f>IF(E3477="","",E3477*F3477)</f>
        <v/>
      </c>
      <c r="H3477" s="8">
        <f>IF(G3477="","",G3477-I3477)</f>
        <v/>
      </c>
      <c r="I3477" s="8">
        <f>IF(D3477="","",VLOOKUP(D3477, RECETTES!B:G, 6, FALSE)*E3477)</f>
        <v/>
      </c>
      <c r="J3477" s="8">
        <f>IF(G3477="","",G3477*0.20)</f>
        <v/>
      </c>
      <c r="K3477" s="8">
        <f>IF(G3477="","",G3477+J3477)</f>
        <v/>
      </c>
    </row>
    <row r="3478">
      <c r="F3478" s="8" t="n"/>
      <c r="G3478" s="8">
        <f>IF(E3478="","",E3478*F3478)</f>
        <v/>
      </c>
      <c r="H3478" s="8">
        <f>IF(G3478="","",G3478-I3478)</f>
        <v/>
      </c>
      <c r="I3478" s="8">
        <f>IF(D3478="","",VLOOKUP(D3478, RECETTES!B:G, 6, FALSE)*E3478)</f>
        <v/>
      </c>
      <c r="J3478" s="8">
        <f>IF(G3478="","",G3478*0.20)</f>
        <v/>
      </c>
      <c r="K3478" s="8">
        <f>IF(G3478="","",G3478+J3478)</f>
        <v/>
      </c>
    </row>
    <row r="3479">
      <c r="F3479" s="8" t="n"/>
      <c r="G3479" s="8">
        <f>IF(E3479="","",E3479*F3479)</f>
        <v/>
      </c>
      <c r="H3479" s="8">
        <f>IF(G3479="","",G3479-I3479)</f>
        <v/>
      </c>
      <c r="I3479" s="8">
        <f>IF(D3479="","",VLOOKUP(D3479, RECETTES!B:G, 6, FALSE)*E3479)</f>
        <v/>
      </c>
      <c r="J3479" s="8">
        <f>IF(G3479="","",G3479*0.20)</f>
        <v/>
      </c>
      <c r="K3479" s="8">
        <f>IF(G3479="","",G3479+J3479)</f>
        <v/>
      </c>
    </row>
    <row r="3480">
      <c r="F3480" s="8" t="n"/>
      <c r="G3480" s="8">
        <f>IF(E3480="","",E3480*F3480)</f>
        <v/>
      </c>
      <c r="H3480" s="8">
        <f>IF(G3480="","",G3480-I3480)</f>
        <v/>
      </c>
      <c r="I3480" s="8">
        <f>IF(D3480="","",VLOOKUP(D3480, RECETTES!B:G, 6, FALSE)*E3480)</f>
        <v/>
      </c>
      <c r="J3480" s="8">
        <f>IF(G3480="","",G3480*0.20)</f>
        <v/>
      </c>
      <c r="K3480" s="8">
        <f>IF(G3480="","",G3480+J3480)</f>
        <v/>
      </c>
    </row>
    <row r="3481">
      <c r="F3481" s="8" t="n"/>
      <c r="G3481" s="8">
        <f>IF(E3481="","",E3481*F3481)</f>
        <v/>
      </c>
      <c r="H3481" s="8">
        <f>IF(G3481="","",G3481-I3481)</f>
        <v/>
      </c>
      <c r="I3481" s="8">
        <f>IF(D3481="","",VLOOKUP(D3481, RECETTES!B:G, 6, FALSE)*E3481)</f>
        <v/>
      </c>
      <c r="J3481" s="8">
        <f>IF(G3481="","",G3481*0.20)</f>
        <v/>
      </c>
      <c r="K3481" s="8">
        <f>IF(G3481="","",G3481+J3481)</f>
        <v/>
      </c>
    </row>
    <row r="3482">
      <c r="F3482" s="8" t="n"/>
      <c r="G3482" s="8">
        <f>IF(E3482="","",E3482*F3482)</f>
        <v/>
      </c>
      <c r="H3482" s="8">
        <f>IF(G3482="","",G3482-I3482)</f>
        <v/>
      </c>
      <c r="I3482" s="8">
        <f>IF(D3482="","",VLOOKUP(D3482, RECETTES!B:G, 6, FALSE)*E3482)</f>
        <v/>
      </c>
      <c r="J3482" s="8">
        <f>IF(G3482="","",G3482*0.20)</f>
        <v/>
      </c>
      <c r="K3482" s="8">
        <f>IF(G3482="","",G3482+J3482)</f>
        <v/>
      </c>
    </row>
    <row r="3483">
      <c r="F3483" s="8" t="n"/>
      <c r="G3483" s="8">
        <f>IF(E3483="","",E3483*F3483)</f>
        <v/>
      </c>
      <c r="H3483" s="8">
        <f>IF(G3483="","",G3483-I3483)</f>
        <v/>
      </c>
      <c r="I3483" s="8">
        <f>IF(D3483="","",VLOOKUP(D3483, RECETTES!B:G, 6, FALSE)*E3483)</f>
        <v/>
      </c>
      <c r="J3483" s="8">
        <f>IF(G3483="","",G3483*0.20)</f>
        <v/>
      </c>
      <c r="K3483" s="8">
        <f>IF(G3483="","",G3483+J3483)</f>
        <v/>
      </c>
    </row>
    <row r="3484">
      <c r="F3484" s="8" t="n"/>
      <c r="G3484" s="8">
        <f>IF(E3484="","",E3484*F3484)</f>
        <v/>
      </c>
      <c r="H3484" s="8">
        <f>IF(G3484="","",G3484-I3484)</f>
        <v/>
      </c>
      <c r="I3484" s="8">
        <f>IF(D3484="","",VLOOKUP(D3484, RECETTES!B:G, 6, FALSE)*E3484)</f>
        <v/>
      </c>
      <c r="J3484" s="8">
        <f>IF(G3484="","",G3484*0.20)</f>
        <v/>
      </c>
      <c r="K3484" s="8">
        <f>IF(G3484="","",G3484+J3484)</f>
        <v/>
      </c>
    </row>
    <row r="3485">
      <c r="F3485" s="8" t="n"/>
      <c r="G3485" s="8">
        <f>IF(E3485="","",E3485*F3485)</f>
        <v/>
      </c>
      <c r="H3485" s="8">
        <f>IF(G3485="","",G3485-I3485)</f>
        <v/>
      </c>
      <c r="I3485" s="8">
        <f>IF(D3485="","",VLOOKUP(D3485, RECETTES!B:G, 6, FALSE)*E3485)</f>
        <v/>
      </c>
      <c r="J3485" s="8">
        <f>IF(G3485="","",G3485*0.20)</f>
        <v/>
      </c>
      <c r="K3485" s="8">
        <f>IF(G3485="","",G3485+J3485)</f>
        <v/>
      </c>
    </row>
    <row r="3486">
      <c r="F3486" s="8" t="n"/>
      <c r="G3486" s="8">
        <f>IF(E3486="","",E3486*F3486)</f>
        <v/>
      </c>
      <c r="H3486" s="8">
        <f>IF(G3486="","",G3486-I3486)</f>
        <v/>
      </c>
      <c r="I3486" s="8">
        <f>IF(D3486="","",VLOOKUP(D3486, RECETTES!B:G, 6, FALSE)*E3486)</f>
        <v/>
      </c>
      <c r="J3486" s="8">
        <f>IF(G3486="","",G3486*0.20)</f>
        <v/>
      </c>
      <c r="K3486" s="8">
        <f>IF(G3486="","",G3486+J3486)</f>
        <v/>
      </c>
    </row>
    <row r="3487">
      <c r="F3487" s="8" t="n"/>
      <c r="G3487" s="8">
        <f>IF(E3487="","",E3487*F3487)</f>
        <v/>
      </c>
      <c r="H3487" s="8">
        <f>IF(G3487="","",G3487-I3487)</f>
        <v/>
      </c>
      <c r="I3487" s="8">
        <f>IF(D3487="","",VLOOKUP(D3487, RECETTES!B:G, 6, FALSE)*E3487)</f>
        <v/>
      </c>
      <c r="J3487" s="8">
        <f>IF(G3487="","",G3487*0.20)</f>
        <v/>
      </c>
      <c r="K3487" s="8">
        <f>IF(G3487="","",G3487+J3487)</f>
        <v/>
      </c>
    </row>
    <row r="3488">
      <c r="F3488" s="8" t="n"/>
      <c r="G3488" s="8">
        <f>IF(E3488="","",E3488*F3488)</f>
        <v/>
      </c>
      <c r="H3488" s="8">
        <f>IF(G3488="","",G3488-I3488)</f>
        <v/>
      </c>
      <c r="I3488" s="8">
        <f>IF(D3488="","",VLOOKUP(D3488, RECETTES!B:G, 6, FALSE)*E3488)</f>
        <v/>
      </c>
      <c r="J3488" s="8">
        <f>IF(G3488="","",G3488*0.20)</f>
        <v/>
      </c>
      <c r="K3488" s="8">
        <f>IF(G3488="","",G3488+J3488)</f>
        <v/>
      </c>
    </row>
    <row r="3489">
      <c r="F3489" s="8" t="n"/>
      <c r="G3489" s="8">
        <f>IF(E3489="","",E3489*F3489)</f>
        <v/>
      </c>
      <c r="H3489" s="8">
        <f>IF(G3489="","",G3489-I3489)</f>
        <v/>
      </c>
      <c r="I3489" s="8">
        <f>IF(D3489="","",VLOOKUP(D3489, RECETTES!B:G, 6, FALSE)*E3489)</f>
        <v/>
      </c>
      <c r="J3489" s="8">
        <f>IF(G3489="","",G3489*0.20)</f>
        <v/>
      </c>
      <c r="K3489" s="8">
        <f>IF(G3489="","",G3489+J3489)</f>
        <v/>
      </c>
    </row>
    <row r="3490">
      <c r="F3490" s="8" t="n"/>
      <c r="G3490" s="8">
        <f>IF(E3490="","",E3490*F3490)</f>
        <v/>
      </c>
      <c r="H3490" s="8">
        <f>IF(G3490="","",G3490-I3490)</f>
        <v/>
      </c>
      <c r="I3490" s="8">
        <f>IF(D3490="","",VLOOKUP(D3490, RECETTES!B:G, 6, FALSE)*E3490)</f>
        <v/>
      </c>
      <c r="J3490" s="8">
        <f>IF(G3490="","",G3490*0.20)</f>
        <v/>
      </c>
      <c r="K3490" s="8">
        <f>IF(G3490="","",G3490+J3490)</f>
        <v/>
      </c>
    </row>
    <row r="3491">
      <c r="F3491" s="8" t="n"/>
      <c r="G3491" s="8">
        <f>IF(E3491="","",E3491*F3491)</f>
        <v/>
      </c>
      <c r="H3491" s="8">
        <f>IF(G3491="","",G3491-I3491)</f>
        <v/>
      </c>
      <c r="I3491" s="8">
        <f>IF(D3491="","",VLOOKUP(D3491, RECETTES!B:G, 6, FALSE)*E3491)</f>
        <v/>
      </c>
      <c r="J3491" s="8">
        <f>IF(G3491="","",G3491*0.20)</f>
        <v/>
      </c>
      <c r="K3491" s="8">
        <f>IF(G3491="","",G3491+J3491)</f>
        <v/>
      </c>
    </row>
    <row r="3492">
      <c r="F3492" s="8" t="n"/>
      <c r="G3492" s="8">
        <f>IF(E3492="","",E3492*F3492)</f>
        <v/>
      </c>
      <c r="H3492" s="8">
        <f>IF(G3492="","",G3492-I3492)</f>
        <v/>
      </c>
      <c r="I3492" s="8">
        <f>IF(D3492="","",VLOOKUP(D3492, RECETTES!B:G, 6, FALSE)*E3492)</f>
        <v/>
      </c>
      <c r="J3492" s="8">
        <f>IF(G3492="","",G3492*0.20)</f>
        <v/>
      </c>
      <c r="K3492" s="8">
        <f>IF(G3492="","",G3492+J3492)</f>
        <v/>
      </c>
    </row>
    <row r="3493">
      <c r="F3493" s="8" t="n"/>
      <c r="G3493" s="8">
        <f>IF(E3493="","",E3493*F3493)</f>
        <v/>
      </c>
      <c r="H3493" s="8">
        <f>IF(G3493="","",G3493-I3493)</f>
        <v/>
      </c>
      <c r="I3493" s="8">
        <f>IF(D3493="","",VLOOKUP(D3493, RECETTES!B:G, 6, FALSE)*E3493)</f>
        <v/>
      </c>
      <c r="J3493" s="8">
        <f>IF(G3493="","",G3493*0.20)</f>
        <v/>
      </c>
      <c r="K3493" s="8">
        <f>IF(G3493="","",G3493+J3493)</f>
        <v/>
      </c>
    </row>
    <row r="3494">
      <c r="F3494" s="8" t="n"/>
      <c r="G3494" s="8">
        <f>IF(E3494="","",E3494*F3494)</f>
        <v/>
      </c>
      <c r="H3494" s="8">
        <f>IF(G3494="","",G3494-I3494)</f>
        <v/>
      </c>
      <c r="I3494" s="8">
        <f>IF(D3494="","",VLOOKUP(D3494, RECETTES!B:G, 6, FALSE)*E3494)</f>
        <v/>
      </c>
      <c r="J3494" s="8">
        <f>IF(G3494="","",G3494*0.20)</f>
        <v/>
      </c>
      <c r="K3494" s="8">
        <f>IF(G3494="","",G3494+J3494)</f>
        <v/>
      </c>
    </row>
    <row r="3495">
      <c r="F3495" s="8" t="n"/>
      <c r="G3495" s="8">
        <f>IF(E3495="","",E3495*F3495)</f>
        <v/>
      </c>
      <c r="H3495" s="8">
        <f>IF(G3495="","",G3495-I3495)</f>
        <v/>
      </c>
      <c r="I3495" s="8">
        <f>IF(D3495="","",VLOOKUP(D3495, RECETTES!B:G, 6, FALSE)*E3495)</f>
        <v/>
      </c>
      <c r="J3495" s="8">
        <f>IF(G3495="","",G3495*0.20)</f>
        <v/>
      </c>
      <c r="K3495" s="8">
        <f>IF(G3495="","",G3495+J3495)</f>
        <v/>
      </c>
    </row>
    <row r="3496">
      <c r="F3496" s="8" t="n"/>
      <c r="G3496" s="8">
        <f>IF(E3496="","",E3496*F3496)</f>
        <v/>
      </c>
      <c r="H3496" s="8">
        <f>IF(G3496="","",G3496-I3496)</f>
        <v/>
      </c>
      <c r="I3496" s="8">
        <f>IF(D3496="","",VLOOKUP(D3496, RECETTES!B:G, 6, FALSE)*E3496)</f>
        <v/>
      </c>
      <c r="J3496" s="8">
        <f>IF(G3496="","",G3496*0.20)</f>
        <v/>
      </c>
      <c r="K3496" s="8">
        <f>IF(G3496="","",G3496+J3496)</f>
        <v/>
      </c>
    </row>
    <row r="3497">
      <c r="F3497" s="8" t="n"/>
      <c r="G3497" s="8">
        <f>IF(E3497="","",E3497*F3497)</f>
        <v/>
      </c>
      <c r="H3497" s="8">
        <f>IF(G3497="","",G3497-I3497)</f>
        <v/>
      </c>
      <c r="I3497" s="8">
        <f>IF(D3497="","",VLOOKUP(D3497, RECETTES!B:G, 6, FALSE)*E3497)</f>
        <v/>
      </c>
      <c r="J3497" s="8">
        <f>IF(G3497="","",G3497*0.20)</f>
        <v/>
      </c>
      <c r="K3497" s="8">
        <f>IF(G3497="","",G3497+J3497)</f>
        <v/>
      </c>
    </row>
    <row r="3498">
      <c r="F3498" s="8" t="n"/>
      <c r="G3498" s="8">
        <f>IF(E3498="","",E3498*F3498)</f>
        <v/>
      </c>
      <c r="H3498" s="8">
        <f>IF(G3498="","",G3498-I3498)</f>
        <v/>
      </c>
      <c r="I3498" s="8">
        <f>IF(D3498="","",VLOOKUP(D3498, RECETTES!B:G, 6, FALSE)*E3498)</f>
        <v/>
      </c>
      <c r="J3498" s="8">
        <f>IF(G3498="","",G3498*0.20)</f>
        <v/>
      </c>
      <c r="K3498" s="8">
        <f>IF(G3498="","",G3498+J3498)</f>
        <v/>
      </c>
    </row>
    <row r="3499">
      <c r="F3499" s="8" t="n"/>
      <c r="G3499" s="8">
        <f>IF(E3499="","",E3499*F3499)</f>
        <v/>
      </c>
      <c r="H3499" s="8">
        <f>IF(G3499="","",G3499-I3499)</f>
        <v/>
      </c>
      <c r="I3499" s="8">
        <f>IF(D3499="","",VLOOKUP(D3499, RECETTES!B:G, 6, FALSE)*E3499)</f>
        <v/>
      </c>
      <c r="J3499" s="8">
        <f>IF(G3499="","",G3499*0.20)</f>
        <v/>
      </c>
      <c r="K3499" s="8">
        <f>IF(G3499="","",G3499+J3499)</f>
        <v/>
      </c>
    </row>
    <row r="3500">
      <c r="F3500" s="8" t="n"/>
      <c r="G3500" s="8">
        <f>IF(E3500="","",E3500*F3500)</f>
        <v/>
      </c>
      <c r="H3500" s="8">
        <f>IF(G3500="","",G3500-I3500)</f>
        <v/>
      </c>
      <c r="I3500" s="8">
        <f>IF(D3500="","",VLOOKUP(D3500, RECETTES!B:G, 6, FALSE)*E3500)</f>
        <v/>
      </c>
      <c r="J3500" s="8">
        <f>IF(G3500="","",G3500*0.20)</f>
        <v/>
      </c>
      <c r="K3500" s="8">
        <f>IF(G3500="","",G3500+J3500)</f>
        <v/>
      </c>
    </row>
    <row r="3501">
      <c r="F3501" s="8" t="n"/>
      <c r="G3501" s="8">
        <f>IF(E3501="","",E3501*F3501)</f>
        <v/>
      </c>
      <c r="H3501" s="8">
        <f>IF(G3501="","",G3501-I3501)</f>
        <v/>
      </c>
      <c r="I3501" s="8">
        <f>IF(D3501="","",VLOOKUP(D3501, RECETTES!B:G, 6, FALSE)*E3501)</f>
        <v/>
      </c>
      <c r="J3501" s="8">
        <f>IF(G3501="","",G3501*0.20)</f>
        <v/>
      </c>
      <c r="K3501" s="8">
        <f>IF(G3501="","",G3501+J3501)</f>
        <v/>
      </c>
    </row>
    <row r="3502">
      <c r="F3502" s="8" t="n"/>
      <c r="G3502" s="8">
        <f>IF(E3502="","",E3502*F3502)</f>
        <v/>
      </c>
      <c r="H3502" s="8">
        <f>IF(G3502="","",G3502-I3502)</f>
        <v/>
      </c>
      <c r="I3502" s="8">
        <f>IF(D3502="","",VLOOKUP(D3502, RECETTES!B:G, 6, FALSE)*E3502)</f>
        <v/>
      </c>
      <c r="J3502" s="8">
        <f>IF(G3502="","",G3502*0.20)</f>
        <v/>
      </c>
      <c r="K3502" s="8">
        <f>IF(G3502="","",G3502+J3502)</f>
        <v/>
      </c>
    </row>
    <row r="3503">
      <c r="F3503" s="8" t="n"/>
      <c r="G3503" s="8">
        <f>IF(E3503="","",E3503*F3503)</f>
        <v/>
      </c>
      <c r="H3503" s="8">
        <f>IF(G3503="","",G3503-I3503)</f>
        <v/>
      </c>
      <c r="I3503" s="8">
        <f>IF(D3503="","",VLOOKUP(D3503, RECETTES!B:G, 6, FALSE)*E3503)</f>
        <v/>
      </c>
      <c r="J3503" s="8">
        <f>IF(G3503="","",G3503*0.20)</f>
        <v/>
      </c>
      <c r="K3503" s="8">
        <f>IF(G3503="","",G3503+J3503)</f>
        <v/>
      </c>
    </row>
    <row r="3504">
      <c r="F3504" s="8" t="n"/>
      <c r="G3504" s="8">
        <f>IF(E3504="","",E3504*F3504)</f>
        <v/>
      </c>
      <c r="H3504" s="8">
        <f>IF(G3504="","",G3504-I3504)</f>
        <v/>
      </c>
      <c r="I3504" s="8">
        <f>IF(D3504="","",VLOOKUP(D3504, RECETTES!B:G, 6, FALSE)*E3504)</f>
        <v/>
      </c>
      <c r="J3504" s="8">
        <f>IF(G3504="","",G3504*0.20)</f>
        <v/>
      </c>
      <c r="K3504" s="8">
        <f>IF(G3504="","",G3504+J3504)</f>
        <v/>
      </c>
    </row>
    <row r="3505">
      <c r="F3505" s="8" t="n"/>
      <c r="G3505" s="8">
        <f>IF(E3505="","",E3505*F3505)</f>
        <v/>
      </c>
      <c r="H3505" s="8">
        <f>IF(G3505="","",G3505-I3505)</f>
        <v/>
      </c>
      <c r="I3505" s="8">
        <f>IF(D3505="","",VLOOKUP(D3505, RECETTES!B:G, 6, FALSE)*E3505)</f>
        <v/>
      </c>
      <c r="J3505" s="8">
        <f>IF(G3505="","",G3505*0.20)</f>
        <v/>
      </c>
      <c r="K3505" s="8">
        <f>IF(G3505="","",G3505+J3505)</f>
        <v/>
      </c>
    </row>
    <row r="3506">
      <c r="F3506" s="8" t="n"/>
      <c r="G3506" s="8">
        <f>IF(E3506="","",E3506*F3506)</f>
        <v/>
      </c>
      <c r="H3506" s="8">
        <f>IF(G3506="","",G3506-I3506)</f>
        <v/>
      </c>
      <c r="I3506" s="8">
        <f>IF(D3506="","",VLOOKUP(D3506, RECETTES!B:G, 6, FALSE)*E3506)</f>
        <v/>
      </c>
      <c r="J3506" s="8">
        <f>IF(G3506="","",G3506*0.20)</f>
        <v/>
      </c>
      <c r="K3506" s="8">
        <f>IF(G3506="","",G3506+J3506)</f>
        <v/>
      </c>
    </row>
    <row r="3507">
      <c r="F3507" s="8" t="n"/>
      <c r="G3507" s="8">
        <f>IF(E3507="","",E3507*F3507)</f>
        <v/>
      </c>
      <c r="H3507" s="8">
        <f>IF(G3507="","",G3507-I3507)</f>
        <v/>
      </c>
      <c r="I3507" s="8">
        <f>IF(D3507="","",VLOOKUP(D3507, RECETTES!B:G, 6, FALSE)*E3507)</f>
        <v/>
      </c>
      <c r="J3507" s="8">
        <f>IF(G3507="","",G3507*0.20)</f>
        <v/>
      </c>
      <c r="K3507" s="8">
        <f>IF(G3507="","",G3507+J3507)</f>
        <v/>
      </c>
    </row>
    <row r="3508">
      <c r="F3508" s="8" t="n"/>
      <c r="G3508" s="8">
        <f>IF(E3508="","",E3508*F3508)</f>
        <v/>
      </c>
      <c r="H3508" s="8">
        <f>IF(G3508="","",G3508-I3508)</f>
        <v/>
      </c>
      <c r="I3508" s="8">
        <f>IF(D3508="","",VLOOKUP(D3508, RECETTES!B:G, 6, FALSE)*E3508)</f>
        <v/>
      </c>
      <c r="J3508" s="8">
        <f>IF(G3508="","",G3508*0.20)</f>
        <v/>
      </c>
      <c r="K3508" s="8">
        <f>IF(G3508="","",G3508+J3508)</f>
        <v/>
      </c>
    </row>
    <row r="3509">
      <c r="F3509" s="8" t="n"/>
      <c r="G3509" s="8">
        <f>IF(E3509="","",E3509*F3509)</f>
        <v/>
      </c>
      <c r="H3509" s="8">
        <f>IF(G3509="","",G3509-I3509)</f>
        <v/>
      </c>
      <c r="I3509" s="8">
        <f>IF(D3509="","",VLOOKUP(D3509, RECETTES!B:G, 6, FALSE)*E3509)</f>
        <v/>
      </c>
      <c r="J3509" s="8">
        <f>IF(G3509="","",G3509*0.20)</f>
        <v/>
      </c>
      <c r="K3509" s="8">
        <f>IF(G3509="","",G3509+J3509)</f>
        <v/>
      </c>
    </row>
    <row r="3510">
      <c r="F3510" s="8" t="n"/>
      <c r="G3510" s="8">
        <f>IF(E3510="","",E3510*F3510)</f>
        <v/>
      </c>
      <c r="H3510" s="8">
        <f>IF(G3510="","",G3510-I3510)</f>
        <v/>
      </c>
      <c r="I3510" s="8">
        <f>IF(D3510="","",VLOOKUP(D3510, RECETTES!B:G, 6, FALSE)*E3510)</f>
        <v/>
      </c>
      <c r="J3510" s="8">
        <f>IF(G3510="","",G3510*0.20)</f>
        <v/>
      </c>
      <c r="K3510" s="8">
        <f>IF(G3510="","",G3510+J3510)</f>
        <v/>
      </c>
    </row>
    <row r="3511">
      <c r="F3511" s="8" t="n"/>
      <c r="G3511" s="8">
        <f>IF(E3511="","",E3511*F3511)</f>
        <v/>
      </c>
      <c r="H3511" s="8">
        <f>IF(G3511="","",G3511-I3511)</f>
        <v/>
      </c>
      <c r="I3511" s="8">
        <f>IF(D3511="","",VLOOKUP(D3511, RECETTES!B:G, 6, FALSE)*E3511)</f>
        <v/>
      </c>
      <c r="J3511" s="8">
        <f>IF(G3511="","",G3511*0.20)</f>
        <v/>
      </c>
      <c r="K3511" s="8">
        <f>IF(G3511="","",G3511+J3511)</f>
        <v/>
      </c>
    </row>
    <row r="3512">
      <c r="F3512" s="8" t="n"/>
      <c r="G3512" s="8">
        <f>IF(E3512="","",E3512*F3512)</f>
        <v/>
      </c>
      <c r="H3512" s="8">
        <f>IF(G3512="","",G3512-I3512)</f>
        <v/>
      </c>
      <c r="I3512" s="8">
        <f>IF(D3512="","",VLOOKUP(D3512, RECETTES!B:G, 6, FALSE)*E3512)</f>
        <v/>
      </c>
      <c r="J3512" s="8">
        <f>IF(G3512="","",G3512*0.20)</f>
        <v/>
      </c>
      <c r="K3512" s="8">
        <f>IF(G3512="","",G3512+J3512)</f>
        <v/>
      </c>
    </row>
    <row r="3513">
      <c r="F3513" s="8" t="n"/>
      <c r="G3513" s="8">
        <f>IF(E3513="","",E3513*F3513)</f>
        <v/>
      </c>
      <c r="H3513" s="8">
        <f>IF(G3513="","",G3513-I3513)</f>
        <v/>
      </c>
      <c r="I3513" s="8">
        <f>IF(D3513="","",VLOOKUP(D3513, RECETTES!B:G, 6, FALSE)*E3513)</f>
        <v/>
      </c>
      <c r="J3513" s="8">
        <f>IF(G3513="","",G3513*0.20)</f>
        <v/>
      </c>
      <c r="K3513" s="8">
        <f>IF(G3513="","",G3513+J3513)</f>
        <v/>
      </c>
    </row>
    <row r="3514">
      <c r="F3514" s="8" t="n"/>
      <c r="G3514" s="8">
        <f>IF(E3514="","",E3514*F3514)</f>
        <v/>
      </c>
      <c r="H3514" s="8">
        <f>IF(G3514="","",G3514-I3514)</f>
        <v/>
      </c>
      <c r="I3514" s="8">
        <f>IF(D3514="","",VLOOKUP(D3514, RECETTES!B:G, 6, FALSE)*E3514)</f>
        <v/>
      </c>
      <c r="J3514" s="8">
        <f>IF(G3514="","",G3514*0.20)</f>
        <v/>
      </c>
      <c r="K3514" s="8">
        <f>IF(G3514="","",G3514+J3514)</f>
        <v/>
      </c>
    </row>
    <row r="3515">
      <c r="F3515" s="8" t="n"/>
      <c r="G3515" s="8">
        <f>IF(E3515="","",E3515*F3515)</f>
        <v/>
      </c>
      <c r="H3515" s="8">
        <f>IF(G3515="","",G3515-I3515)</f>
        <v/>
      </c>
      <c r="I3515" s="8">
        <f>IF(D3515="","",VLOOKUP(D3515, RECETTES!B:G, 6, FALSE)*E3515)</f>
        <v/>
      </c>
      <c r="J3515" s="8">
        <f>IF(G3515="","",G3515*0.20)</f>
        <v/>
      </c>
      <c r="K3515" s="8">
        <f>IF(G3515="","",G3515+J3515)</f>
        <v/>
      </c>
    </row>
    <row r="3516">
      <c r="F3516" s="8" t="n"/>
      <c r="G3516" s="8">
        <f>IF(E3516="","",E3516*F3516)</f>
        <v/>
      </c>
      <c r="H3516" s="8">
        <f>IF(G3516="","",G3516-I3516)</f>
        <v/>
      </c>
      <c r="I3516" s="8">
        <f>IF(D3516="","",VLOOKUP(D3516, RECETTES!B:G, 6, FALSE)*E3516)</f>
        <v/>
      </c>
      <c r="J3516" s="8">
        <f>IF(G3516="","",G3516*0.20)</f>
        <v/>
      </c>
      <c r="K3516" s="8">
        <f>IF(G3516="","",G3516+J3516)</f>
        <v/>
      </c>
    </row>
    <row r="3517">
      <c r="F3517" s="8" t="n"/>
      <c r="G3517" s="8">
        <f>IF(E3517="","",E3517*F3517)</f>
        <v/>
      </c>
      <c r="H3517" s="8">
        <f>IF(G3517="","",G3517-I3517)</f>
        <v/>
      </c>
      <c r="I3517" s="8">
        <f>IF(D3517="","",VLOOKUP(D3517, RECETTES!B:G, 6, FALSE)*E3517)</f>
        <v/>
      </c>
      <c r="J3517" s="8">
        <f>IF(G3517="","",G3517*0.20)</f>
        <v/>
      </c>
      <c r="K3517" s="8">
        <f>IF(G3517="","",G3517+J3517)</f>
        <v/>
      </c>
    </row>
    <row r="3518">
      <c r="F3518" s="8" t="n"/>
      <c r="G3518" s="8">
        <f>IF(E3518="","",E3518*F3518)</f>
        <v/>
      </c>
      <c r="H3518" s="8">
        <f>IF(G3518="","",G3518-I3518)</f>
        <v/>
      </c>
      <c r="I3518" s="8">
        <f>IF(D3518="","",VLOOKUP(D3518, RECETTES!B:G, 6, FALSE)*E3518)</f>
        <v/>
      </c>
      <c r="J3518" s="8">
        <f>IF(G3518="","",G3518*0.20)</f>
        <v/>
      </c>
      <c r="K3518" s="8">
        <f>IF(G3518="","",G3518+J3518)</f>
        <v/>
      </c>
    </row>
    <row r="3519">
      <c r="F3519" s="8" t="n"/>
      <c r="G3519" s="8">
        <f>IF(E3519="","",E3519*F3519)</f>
        <v/>
      </c>
      <c r="H3519" s="8">
        <f>IF(G3519="","",G3519-I3519)</f>
        <v/>
      </c>
      <c r="I3519" s="8">
        <f>IF(D3519="","",VLOOKUP(D3519, RECETTES!B:G, 6, FALSE)*E3519)</f>
        <v/>
      </c>
      <c r="J3519" s="8">
        <f>IF(G3519="","",G3519*0.20)</f>
        <v/>
      </c>
      <c r="K3519" s="8">
        <f>IF(G3519="","",G3519+J3519)</f>
        <v/>
      </c>
    </row>
    <row r="3520">
      <c r="F3520" s="8" t="n"/>
      <c r="G3520" s="8">
        <f>IF(E3520="","",E3520*F3520)</f>
        <v/>
      </c>
      <c r="H3520" s="8">
        <f>IF(G3520="","",G3520-I3520)</f>
        <v/>
      </c>
      <c r="I3520" s="8">
        <f>IF(D3520="","",VLOOKUP(D3520, RECETTES!B:G, 6, FALSE)*E3520)</f>
        <v/>
      </c>
      <c r="J3520" s="8">
        <f>IF(G3520="","",G3520*0.20)</f>
        <v/>
      </c>
      <c r="K3520" s="8">
        <f>IF(G3520="","",G3520+J3520)</f>
        <v/>
      </c>
    </row>
    <row r="3521">
      <c r="F3521" s="8" t="n"/>
      <c r="G3521" s="8">
        <f>IF(E3521="","",E3521*F3521)</f>
        <v/>
      </c>
      <c r="H3521" s="8">
        <f>IF(G3521="","",G3521-I3521)</f>
        <v/>
      </c>
      <c r="I3521" s="8">
        <f>IF(D3521="","",VLOOKUP(D3521, RECETTES!B:G, 6, FALSE)*E3521)</f>
        <v/>
      </c>
      <c r="J3521" s="8">
        <f>IF(G3521="","",G3521*0.20)</f>
        <v/>
      </c>
      <c r="K3521" s="8">
        <f>IF(G3521="","",G3521+J3521)</f>
        <v/>
      </c>
    </row>
    <row r="3522">
      <c r="F3522" s="8" t="n"/>
      <c r="G3522" s="8">
        <f>IF(E3522="","",E3522*F3522)</f>
        <v/>
      </c>
      <c r="H3522" s="8">
        <f>IF(G3522="","",G3522-I3522)</f>
        <v/>
      </c>
      <c r="I3522" s="8">
        <f>IF(D3522="","",VLOOKUP(D3522, RECETTES!B:G, 6, FALSE)*E3522)</f>
        <v/>
      </c>
      <c r="J3522" s="8">
        <f>IF(G3522="","",G3522*0.20)</f>
        <v/>
      </c>
      <c r="K3522" s="8">
        <f>IF(G3522="","",G3522+J3522)</f>
        <v/>
      </c>
    </row>
    <row r="3523">
      <c r="F3523" s="8" t="n"/>
      <c r="G3523" s="8">
        <f>IF(E3523="","",E3523*F3523)</f>
        <v/>
      </c>
      <c r="H3523" s="8">
        <f>IF(G3523="","",G3523-I3523)</f>
        <v/>
      </c>
      <c r="I3523" s="8">
        <f>IF(D3523="","",VLOOKUP(D3523, RECETTES!B:G, 6, FALSE)*E3523)</f>
        <v/>
      </c>
      <c r="J3523" s="8">
        <f>IF(G3523="","",G3523*0.20)</f>
        <v/>
      </c>
      <c r="K3523" s="8">
        <f>IF(G3523="","",G3523+J3523)</f>
        <v/>
      </c>
    </row>
    <row r="3524">
      <c r="F3524" s="8" t="n"/>
      <c r="G3524" s="8">
        <f>IF(E3524="","",E3524*F3524)</f>
        <v/>
      </c>
      <c r="H3524" s="8">
        <f>IF(G3524="","",G3524-I3524)</f>
        <v/>
      </c>
      <c r="I3524" s="8">
        <f>IF(D3524="","",VLOOKUP(D3524, RECETTES!B:G, 6, FALSE)*E3524)</f>
        <v/>
      </c>
      <c r="J3524" s="8">
        <f>IF(G3524="","",G3524*0.20)</f>
        <v/>
      </c>
      <c r="K3524" s="8">
        <f>IF(G3524="","",G3524+J3524)</f>
        <v/>
      </c>
    </row>
    <row r="3525">
      <c r="F3525" s="8" t="n"/>
      <c r="G3525" s="8">
        <f>IF(E3525="","",E3525*F3525)</f>
        <v/>
      </c>
      <c r="H3525" s="8">
        <f>IF(G3525="","",G3525-I3525)</f>
        <v/>
      </c>
      <c r="I3525" s="8">
        <f>IF(D3525="","",VLOOKUP(D3525, RECETTES!B:G, 6, FALSE)*E3525)</f>
        <v/>
      </c>
      <c r="J3525" s="8">
        <f>IF(G3525="","",G3525*0.20)</f>
        <v/>
      </c>
      <c r="K3525" s="8">
        <f>IF(G3525="","",G3525+J3525)</f>
        <v/>
      </c>
    </row>
    <row r="3526">
      <c r="F3526" s="8" t="n"/>
      <c r="G3526" s="8">
        <f>IF(E3526="","",E3526*F3526)</f>
        <v/>
      </c>
      <c r="H3526" s="8">
        <f>IF(G3526="","",G3526-I3526)</f>
        <v/>
      </c>
      <c r="I3526" s="8">
        <f>IF(D3526="","",VLOOKUP(D3526, RECETTES!B:G, 6, FALSE)*E3526)</f>
        <v/>
      </c>
      <c r="J3526" s="8">
        <f>IF(G3526="","",G3526*0.20)</f>
        <v/>
      </c>
      <c r="K3526" s="8">
        <f>IF(G3526="","",G3526+J3526)</f>
        <v/>
      </c>
    </row>
    <row r="3527">
      <c r="F3527" s="8" t="n"/>
      <c r="G3527" s="8">
        <f>IF(E3527="","",E3527*F3527)</f>
        <v/>
      </c>
      <c r="H3527" s="8">
        <f>IF(G3527="","",G3527-I3527)</f>
        <v/>
      </c>
      <c r="I3527" s="8">
        <f>IF(D3527="","",VLOOKUP(D3527, RECETTES!B:G, 6, FALSE)*E3527)</f>
        <v/>
      </c>
      <c r="J3527" s="8">
        <f>IF(G3527="","",G3527*0.20)</f>
        <v/>
      </c>
      <c r="K3527" s="8">
        <f>IF(G3527="","",G3527+J3527)</f>
        <v/>
      </c>
    </row>
    <row r="3528">
      <c r="F3528" s="8" t="n"/>
      <c r="G3528" s="8">
        <f>IF(E3528="","",E3528*F3528)</f>
        <v/>
      </c>
      <c r="H3528" s="8">
        <f>IF(G3528="","",G3528-I3528)</f>
        <v/>
      </c>
      <c r="I3528" s="8">
        <f>IF(D3528="","",VLOOKUP(D3528, RECETTES!B:G, 6, FALSE)*E3528)</f>
        <v/>
      </c>
      <c r="J3528" s="8">
        <f>IF(G3528="","",G3528*0.20)</f>
        <v/>
      </c>
      <c r="K3528" s="8">
        <f>IF(G3528="","",G3528+J3528)</f>
        <v/>
      </c>
    </row>
    <row r="3529">
      <c r="F3529" s="8" t="n"/>
      <c r="G3529" s="8">
        <f>IF(E3529="","",E3529*F3529)</f>
        <v/>
      </c>
      <c r="H3529" s="8">
        <f>IF(G3529="","",G3529-I3529)</f>
        <v/>
      </c>
      <c r="I3529" s="8">
        <f>IF(D3529="","",VLOOKUP(D3529, RECETTES!B:G, 6, FALSE)*E3529)</f>
        <v/>
      </c>
      <c r="J3529" s="8">
        <f>IF(G3529="","",G3529*0.20)</f>
        <v/>
      </c>
      <c r="K3529" s="8">
        <f>IF(G3529="","",G3529+J3529)</f>
        <v/>
      </c>
    </row>
    <row r="3530">
      <c r="F3530" s="8" t="n"/>
      <c r="G3530" s="8">
        <f>IF(E3530="","",E3530*F3530)</f>
        <v/>
      </c>
      <c r="H3530" s="8">
        <f>IF(G3530="","",G3530-I3530)</f>
        <v/>
      </c>
      <c r="I3530" s="8">
        <f>IF(D3530="","",VLOOKUP(D3530, RECETTES!B:G, 6, FALSE)*E3530)</f>
        <v/>
      </c>
      <c r="J3530" s="8">
        <f>IF(G3530="","",G3530*0.20)</f>
        <v/>
      </c>
      <c r="K3530" s="8">
        <f>IF(G3530="","",G3530+J3530)</f>
        <v/>
      </c>
    </row>
    <row r="3531">
      <c r="F3531" s="8" t="n"/>
      <c r="G3531" s="8">
        <f>IF(E3531="","",E3531*F3531)</f>
        <v/>
      </c>
      <c r="H3531" s="8">
        <f>IF(G3531="","",G3531-I3531)</f>
        <v/>
      </c>
      <c r="I3531" s="8">
        <f>IF(D3531="","",VLOOKUP(D3531, RECETTES!B:G, 6, FALSE)*E3531)</f>
        <v/>
      </c>
      <c r="J3531" s="8">
        <f>IF(G3531="","",G3531*0.20)</f>
        <v/>
      </c>
      <c r="K3531" s="8">
        <f>IF(G3531="","",G3531+J3531)</f>
        <v/>
      </c>
    </row>
    <row r="3532">
      <c r="F3532" s="8" t="n"/>
      <c r="G3532" s="8">
        <f>IF(E3532="","",E3532*F3532)</f>
        <v/>
      </c>
      <c r="H3532" s="8">
        <f>IF(G3532="","",G3532-I3532)</f>
        <v/>
      </c>
      <c r="I3532" s="8">
        <f>IF(D3532="","",VLOOKUP(D3532, RECETTES!B:G, 6, FALSE)*E3532)</f>
        <v/>
      </c>
      <c r="J3532" s="8">
        <f>IF(G3532="","",G3532*0.20)</f>
        <v/>
      </c>
      <c r="K3532" s="8">
        <f>IF(G3532="","",G3532+J3532)</f>
        <v/>
      </c>
    </row>
    <row r="3533">
      <c r="F3533" s="8" t="n"/>
      <c r="G3533" s="8">
        <f>IF(E3533="","",E3533*F3533)</f>
        <v/>
      </c>
      <c r="H3533" s="8">
        <f>IF(G3533="","",G3533-I3533)</f>
        <v/>
      </c>
      <c r="I3533" s="8">
        <f>IF(D3533="","",VLOOKUP(D3533, RECETTES!B:G, 6, FALSE)*E3533)</f>
        <v/>
      </c>
      <c r="J3533" s="8">
        <f>IF(G3533="","",G3533*0.20)</f>
        <v/>
      </c>
      <c r="K3533" s="8">
        <f>IF(G3533="","",G3533+J3533)</f>
        <v/>
      </c>
    </row>
    <row r="3534">
      <c r="F3534" s="8" t="n"/>
      <c r="G3534" s="8">
        <f>IF(E3534="","",E3534*F3534)</f>
        <v/>
      </c>
      <c r="H3534" s="8">
        <f>IF(G3534="","",G3534-I3534)</f>
        <v/>
      </c>
      <c r="I3534" s="8">
        <f>IF(D3534="","",VLOOKUP(D3534, RECETTES!B:G, 6, FALSE)*E3534)</f>
        <v/>
      </c>
      <c r="J3534" s="8">
        <f>IF(G3534="","",G3534*0.20)</f>
        <v/>
      </c>
      <c r="K3534" s="8">
        <f>IF(G3534="","",G3534+J3534)</f>
        <v/>
      </c>
    </row>
    <row r="3535">
      <c r="F3535" s="8" t="n"/>
      <c r="G3535" s="8">
        <f>IF(E3535="","",E3535*F3535)</f>
        <v/>
      </c>
      <c r="H3535" s="8">
        <f>IF(G3535="","",G3535-I3535)</f>
        <v/>
      </c>
      <c r="I3535" s="8">
        <f>IF(D3535="","",VLOOKUP(D3535, RECETTES!B:G, 6, FALSE)*E3535)</f>
        <v/>
      </c>
      <c r="J3535" s="8">
        <f>IF(G3535="","",G3535*0.20)</f>
        <v/>
      </c>
      <c r="K3535" s="8">
        <f>IF(G3535="","",G3535+J3535)</f>
        <v/>
      </c>
    </row>
    <row r="3536">
      <c r="F3536" s="8" t="n"/>
      <c r="G3536" s="8">
        <f>IF(E3536="","",E3536*F3536)</f>
        <v/>
      </c>
      <c r="H3536" s="8">
        <f>IF(G3536="","",G3536-I3536)</f>
        <v/>
      </c>
      <c r="I3536" s="8">
        <f>IF(D3536="","",VLOOKUP(D3536, RECETTES!B:G, 6, FALSE)*E3536)</f>
        <v/>
      </c>
      <c r="J3536" s="8">
        <f>IF(G3536="","",G3536*0.20)</f>
        <v/>
      </c>
      <c r="K3536" s="8">
        <f>IF(G3536="","",G3536+J3536)</f>
        <v/>
      </c>
    </row>
    <row r="3537">
      <c r="F3537" s="8" t="n"/>
      <c r="G3537" s="8">
        <f>IF(E3537="","",E3537*F3537)</f>
        <v/>
      </c>
      <c r="H3537" s="8">
        <f>IF(G3537="","",G3537-I3537)</f>
        <v/>
      </c>
      <c r="I3537" s="8">
        <f>IF(D3537="","",VLOOKUP(D3537, RECETTES!B:G, 6, FALSE)*E3537)</f>
        <v/>
      </c>
      <c r="J3537" s="8">
        <f>IF(G3537="","",G3537*0.20)</f>
        <v/>
      </c>
      <c r="K3537" s="8">
        <f>IF(G3537="","",G3537+J3537)</f>
        <v/>
      </c>
    </row>
    <row r="3538">
      <c r="F3538" s="8" t="n"/>
      <c r="G3538" s="8">
        <f>IF(E3538="","",E3538*F3538)</f>
        <v/>
      </c>
      <c r="H3538" s="8">
        <f>IF(G3538="","",G3538-I3538)</f>
        <v/>
      </c>
      <c r="I3538" s="8">
        <f>IF(D3538="","",VLOOKUP(D3538, RECETTES!B:G, 6, FALSE)*E3538)</f>
        <v/>
      </c>
      <c r="J3538" s="8">
        <f>IF(G3538="","",G3538*0.20)</f>
        <v/>
      </c>
      <c r="K3538" s="8">
        <f>IF(G3538="","",G3538+J3538)</f>
        <v/>
      </c>
    </row>
    <row r="3539">
      <c r="F3539" s="8" t="n"/>
      <c r="G3539" s="8">
        <f>IF(E3539="","",E3539*F3539)</f>
        <v/>
      </c>
      <c r="H3539" s="8">
        <f>IF(G3539="","",G3539-I3539)</f>
        <v/>
      </c>
      <c r="I3539" s="8">
        <f>IF(D3539="","",VLOOKUP(D3539, RECETTES!B:G, 6, FALSE)*E3539)</f>
        <v/>
      </c>
      <c r="J3539" s="8">
        <f>IF(G3539="","",G3539*0.20)</f>
        <v/>
      </c>
      <c r="K3539" s="8">
        <f>IF(G3539="","",G3539+J3539)</f>
        <v/>
      </c>
    </row>
    <row r="3540">
      <c r="F3540" s="8" t="n"/>
      <c r="G3540" s="8">
        <f>IF(E3540="","",E3540*F3540)</f>
        <v/>
      </c>
      <c r="H3540" s="8">
        <f>IF(G3540="","",G3540-I3540)</f>
        <v/>
      </c>
      <c r="I3540" s="8">
        <f>IF(D3540="","",VLOOKUP(D3540, RECETTES!B:G, 6, FALSE)*E3540)</f>
        <v/>
      </c>
      <c r="J3540" s="8">
        <f>IF(G3540="","",G3540*0.20)</f>
        <v/>
      </c>
      <c r="K3540" s="8">
        <f>IF(G3540="","",G3540+J3540)</f>
        <v/>
      </c>
    </row>
    <row r="3541">
      <c r="F3541" s="8" t="n"/>
      <c r="G3541" s="8">
        <f>IF(E3541="","",E3541*F3541)</f>
        <v/>
      </c>
      <c r="H3541" s="8">
        <f>IF(G3541="","",G3541-I3541)</f>
        <v/>
      </c>
      <c r="I3541" s="8">
        <f>IF(D3541="","",VLOOKUP(D3541, RECETTES!B:G, 6, FALSE)*E3541)</f>
        <v/>
      </c>
      <c r="J3541" s="8">
        <f>IF(G3541="","",G3541*0.20)</f>
        <v/>
      </c>
      <c r="K3541" s="8">
        <f>IF(G3541="","",G3541+J3541)</f>
        <v/>
      </c>
    </row>
    <row r="3542">
      <c r="F3542" s="8" t="n"/>
      <c r="G3542" s="8">
        <f>IF(E3542="","",E3542*F3542)</f>
        <v/>
      </c>
      <c r="H3542" s="8">
        <f>IF(G3542="","",G3542-I3542)</f>
        <v/>
      </c>
      <c r="I3542" s="8">
        <f>IF(D3542="","",VLOOKUP(D3542, RECETTES!B:G, 6, FALSE)*E3542)</f>
        <v/>
      </c>
      <c r="J3542" s="8">
        <f>IF(G3542="","",G3542*0.20)</f>
        <v/>
      </c>
      <c r="K3542" s="8">
        <f>IF(G3542="","",G3542+J3542)</f>
        <v/>
      </c>
    </row>
    <row r="3543">
      <c r="F3543" s="8" t="n"/>
      <c r="G3543" s="8">
        <f>IF(E3543="","",E3543*F3543)</f>
        <v/>
      </c>
      <c r="H3543" s="8">
        <f>IF(G3543="","",G3543-I3543)</f>
        <v/>
      </c>
      <c r="I3543" s="8">
        <f>IF(D3543="","",VLOOKUP(D3543, RECETTES!B:G, 6, FALSE)*E3543)</f>
        <v/>
      </c>
      <c r="J3543" s="8">
        <f>IF(G3543="","",G3543*0.20)</f>
        <v/>
      </c>
      <c r="K3543" s="8">
        <f>IF(G3543="","",G3543+J3543)</f>
        <v/>
      </c>
    </row>
    <row r="3544">
      <c r="F3544" s="8" t="n"/>
      <c r="G3544" s="8">
        <f>IF(E3544="","",E3544*F3544)</f>
        <v/>
      </c>
      <c r="H3544" s="8">
        <f>IF(G3544="","",G3544-I3544)</f>
        <v/>
      </c>
      <c r="I3544" s="8">
        <f>IF(D3544="","",VLOOKUP(D3544, RECETTES!B:G, 6, FALSE)*E3544)</f>
        <v/>
      </c>
      <c r="J3544" s="8">
        <f>IF(G3544="","",G3544*0.20)</f>
        <v/>
      </c>
      <c r="K3544" s="8">
        <f>IF(G3544="","",G3544+J3544)</f>
        <v/>
      </c>
    </row>
    <row r="3545">
      <c r="F3545" s="8" t="n"/>
      <c r="G3545" s="8">
        <f>IF(E3545="","",E3545*F3545)</f>
        <v/>
      </c>
      <c r="H3545" s="8">
        <f>IF(G3545="","",G3545-I3545)</f>
        <v/>
      </c>
      <c r="I3545" s="8">
        <f>IF(D3545="","",VLOOKUP(D3545, RECETTES!B:G, 6, FALSE)*E3545)</f>
        <v/>
      </c>
      <c r="J3545" s="8">
        <f>IF(G3545="","",G3545*0.20)</f>
        <v/>
      </c>
      <c r="K3545" s="8">
        <f>IF(G3545="","",G3545+J3545)</f>
        <v/>
      </c>
    </row>
    <row r="3546">
      <c r="F3546" s="8" t="n"/>
      <c r="G3546" s="8">
        <f>IF(E3546="","",E3546*F3546)</f>
        <v/>
      </c>
      <c r="H3546" s="8">
        <f>IF(G3546="","",G3546-I3546)</f>
        <v/>
      </c>
      <c r="I3546" s="8">
        <f>IF(D3546="","",VLOOKUP(D3546, RECETTES!B:G, 6, FALSE)*E3546)</f>
        <v/>
      </c>
      <c r="J3546" s="8">
        <f>IF(G3546="","",G3546*0.20)</f>
        <v/>
      </c>
      <c r="K3546" s="8">
        <f>IF(G3546="","",G3546+J3546)</f>
        <v/>
      </c>
    </row>
    <row r="3547">
      <c r="F3547" s="8" t="n"/>
      <c r="G3547" s="8">
        <f>IF(E3547="","",E3547*F3547)</f>
        <v/>
      </c>
      <c r="H3547" s="8">
        <f>IF(G3547="","",G3547-I3547)</f>
        <v/>
      </c>
      <c r="I3547" s="8">
        <f>IF(D3547="","",VLOOKUP(D3547, RECETTES!B:G, 6, FALSE)*E3547)</f>
        <v/>
      </c>
      <c r="J3547" s="8">
        <f>IF(G3547="","",G3547*0.20)</f>
        <v/>
      </c>
      <c r="K3547" s="8">
        <f>IF(G3547="","",G3547+J3547)</f>
        <v/>
      </c>
    </row>
    <row r="3548">
      <c r="F3548" s="8" t="n"/>
      <c r="G3548" s="8">
        <f>IF(E3548="","",E3548*F3548)</f>
        <v/>
      </c>
      <c r="H3548" s="8">
        <f>IF(G3548="","",G3548-I3548)</f>
        <v/>
      </c>
      <c r="I3548" s="8">
        <f>IF(D3548="","",VLOOKUP(D3548, RECETTES!B:G, 6, FALSE)*E3548)</f>
        <v/>
      </c>
      <c r="J3548" s="8">
        <f>IF(G3548="","",G3548*0.20)</f>
        <v/>
      </c>
      <c r="K3548" s="8">
        <f>IF(G3548="","",G3548+J3548)</f>
        <v/>
      </c>
    </row>
    <row r="3549">
      <c r="F3549" s="8" t="n"/>
      <c r="G3549" s="8">
        <f>IF(E3549="","",E3549*F3549)</f>
        <v/>
      </c>
      <c r="H3549" s="8">
        <f>IF(G3549="","",G3549-I3549)</f>
        <v/>
      </c>
      <c r="I3549" s="8">
        <f>IF(D3549="","",VLOOKUP(D3549, RECETTES!B:G, 6, FALSE)*E3549)</f>
        <v/>
      </c>
      <c r="J3549" s="8">
        <f>IF(G3549="","",G3549*0.20)</f>
        <v/>
      </c>
      <c r="K3549" s="8">
        <f>IF(G3549="","",G3549+J3549)</f>
        <v/>
      </c>
    </row>
    <row r="3550">
      <c r="F3550" s="8" t="n"/>
      <c r="G3550" s="8">
        <f>IF(E3550="","",E3550*F3550)</f>
        <v/>
      </c>
      <c r="H3550" s="8">
        <f>IF(G3550="","",G3550-I3550)</f>
        <v/>
      </c>
      <c r="I3550" s="8">
        <f>IF(D3550="","",VLOOKUP(D3550, RECETTES!B:G, 6, FALSE)*E3550)</f>
        <v/>
      </c>
      <c r="J3550" s="8">
        <f>IF(G3550="","",G3550*0.20)</f>
        <v/>
      </c>
      <c r="K3550" s="8">
        <f>IF(G3550="","",G3550+J3550)</f>
        <v/>
      </c>
    </row>
    <row r="3551">
      <c r="F3551" s="8" t="n"/>
      <c r="G3551" s="8">
        <f>IF(E3551="","",E3551*F3551)</f>
        <v/>
      </c>
      <c r="H3551" s="8">
        <f>IF(G3551="","",G3551-I3551)</f>
        <v/>
      </c>
      <c r="I3551" s="8">
        <f>IF(D3551="","",VLOOKUP(D3551, RECETTES!B:G, 6, FALSE)*E3551)</f>
        <v/>
      </c>
      <c r="J3551" s="8">
        <f>IF(G3551="","",G3551*0.20)</f>
        <v/>
      </c>
      <c r="K3551" s="8">
        <f>IF(G3551="","",G3551+J3551)</f>
        <v/>
      </c>
    </row>
    <row r="3552">
      <c r="F3552" s="8" t="n"/>
      <c r="G3552" s="8">
        <f>IF(E3552="","",E3552*F3552)</f>
        <v/>
      </c>
      <c r="H3552" s="8">
        <f>IF(G3552="","",G3552-I3552)</f>
        <v/>
      </c>
      <c r="I3552" s="8">
        <f>IF(D3552="","",VLOOKUP(D3552, RECETTES!B:G, 6, FALSE)*E3552)</f>
        <v/>
      </c>
      <c r="J3552" s="8">
        <f>IF(G3552="","",G3552*0.20)</f>
        <v/>
      </c>
      <c r="K3552" s="8">
        <f>IF(G3552="","",G3552+J3552)</f>
        <v/>
      </c>
    </row>
    <row r="3553">
      <c r="F3553" s="8" t="n"/>
      <c r="G3553" s="8">
        <f>IF(E3553="","",E3553*F3553)</f>
        <v/>
      </c>
      <c r="H3553" s="8">
        <f>IF(G3553="","",G3553-I3553)</f>
        <v/>
      </c>
      <c r="I3553" s="8">
        <f>IF(D3553="","",VLOOKUP(D3553, RECETTES!B:G, 6, FALSE)*E3553)</f>
        <v/>
      </c>
      <c r="J3553" s="8">
        <f>IF(G3553="","",G3553*0.20)</f>
        <v/>
      </c>
      <c r="K3553" s="8">
        <f>IF(G3553="","",G3553+J3553)</f>
        <v/>
      </c>
    </row>
    <row r="3554">
      <c r="F3554" s="8" t="n"/>
      <c r="G3554" s="8">
        <f>IF(E3554="","",E3554*F3554)</f>
        <v/>
      </c>
      <c r="H3554" s="8">
        <f>IF(G3554="","",G3554-I3554)</f>
        <v/>
      </c>
      <c r="I3554" s="8">
        <f>IF(D3554="","",VLOOKUP(D3554, RECETTES!B:G, 6, FALSE)*E3554)</f>
        <v/>
      </c>
      <c r="J3554" s="8">
        <f>IF(G3554="","",G3554*0.20)</f>
        <v/>
      </c>
      <c r="K3554" s="8">
        <f>IF(G3554="","",G3554+J3554)</f>
        <v/>
      </c>
    </row>
    <row r="3555">
      <c r="F3555" s="8" t="n"/>
      <c r="G3555" s="8">
        <f>IF(E3555="","",E3555*F3555)</f>
        <v/>
      </c>
      <c r="H3555" s="8">
        <f>IF(G3555="","",G3555-I3555)</f>
        <v/>
      </c>
      <c r="I3555" s="8">
        <f>IF(D3555="","",VLOOKUP(D3555, RECETTES!B:G, 6, FALSE)*E3555)</f>
        <v/>
      </c>
      <c r="J3555" s="8">
        <f>IF(G3555="","",G3555*0.20)</f>
        <v/>
      </c>
      <c r="K3555" s="8">
        <f>IF(G3555="","",G3555+J3555)</f>
        <v/>
      </c>
    </row>
    <row r="3556">
      <c r="F3556" s="8" t="n"/>
      <c r="G3556" s="8">
        <f>IF(E3556="","",E3556*F3556)</f>
        <v/>
      </c>
      <c r="H3556" s="8">
        <f>IF(G3556="","",G3556-I3556)</f>
        <v/>
      </c>
      <c r="I3556" s="8">
        <f>IF(D3556="","",VLOOKUP(D3556, RECETTES!B:G, 6, FALSE)*E3556)</f>
        <v/>
      </c>
      <c r="J3556" s="8">
        <f>IF(G3556="","",G3556*0.20)</f>
        <v/>
      </c>
      <c r="K3556" s="8">
        <f>IF(G3556="","",G3556+J3556)</f>
        <v/>
      </c>
    </row>
    <row r="3557">
      <c r="F3557" s="8" t="n"/>
      <c r="G3557" s="8">
        <f>IF(E3557="","",E3557*F3557)</f>
        <v/>
      </c>
      <c r="H3557" s="8">
        <f>IF(G3557="","",G3557-I3557)</f>
        <v/>
      </c>
      <c r="I3557" s="8">
        <f>IF(D3557="","",VLOOKUP(D3557, RECETTES!B:G, 6, FALSE)*E3557)</f>
        <v/>
      </c>
      <c r="J3557" s="8">
        <f>IF(G3557="","",G3557*0.20)</f>
        <v/>
      </c>
      <c r="K3557" s="8">
        <f>IF(G3557="","",G3557+J3557)</f>
        <v/>
      </c>
    </row>
    <row r="3558">
      <c r="F3558" s="8" t="n"/>
      <c r="G3558" s="8">
        <f>IF(E3558="","",E3558*F3558)</f>
        <v/>
      </c>
      <c r="H3558" s="8">
        <f>IF(G3558="","",G3558-I3558)</f>
        <v/>
      </c>
      <c r="I3558" s="8">
        <f>IF(D3558="","",VLOOKUP(D3558, RECETTES!B:G, 6, FALSE)*E3558)</f>
        <v/>
      </c>
      <c r="J3558" s="8">
        <f>IF(G3558="","",G3558*0.20)</f>
        <v/>
      </c>
      <c r="K3558" s="8">
        <f>IF(G3558="","",G3558+J3558)</f>
        <v/>
      </c>
    </row>
    <row r="3559">
      <c r="F3559" s="8" t="n"/>
      <c r="G3559" s="8">
        <f>IF(E3559="","",E3559*F3559)</f>
        <v/>
      </c>
      <c r="H3559" s="8">
        <f>IF(G3559="","",G3559-I3559)</f>
        <v/>
      </c>
      <c r="I3559" s="8">
        <f>IF(D3559="","",VLOOKUP(D3559, RECETTES!B:G, 6, FALSE)*E3559)</f>
        <v/>
      </c>
      <c r="J3559" s="8">
        <f>IF(G3559="","",G3559*0.20)</f>
        <v/>
      </c>
      <c r="K3559" s="8">
        <f>IF(G3559="","",G3559+J3559)</f>
        <v/>
      </c>
    </row>
    <row r="3560">
      <c r="F3560" s="8" t="n"/>
      <c r="G3560" s="8">
        <f>IF(E3560="","",E3560*F3560)</f>
        <v/>
      </c>
      <c r="H3560" s="8">
        <f>IF(G3560="","",G3560-I3560)</f>
        <v/>
      </c>
      <c r="I3560" s="8">
        <f>IF(D3560="","",VLOOKUP(D3560, RECETTES!B:G, 6, FALSE)*E3560)</f>
        <v/>
      </c>
      <c r="J3560" s="8">
        <f>IF(G3560="","",G3560*0.20)</f>
        <v/>
      </c>
      <c r="K3560" s="8">
        <f>IF(G3560="","",G3560+J3560)</f>
        <v/>
      </c>
    </row>
    <row r="3561">
      <c r="F3561" s="8" t="n"/>
      <c r="G3561" s="8">
        <f>IF(E3561="","",E3561*F3561)</f>
        <v/>
      </c>
      <c r="H3561" s="8">
        <f>IF(G3561="","",G3561-I3561)</f>
        <v/>
      </c>
      <c r="I3561" s="8">
        <f>IF(D3561="","",VLOOKUP(D3561, RECETTES!B:G, 6, FALSE)*E3561)</f>
        <v/>
      </c>
      <c r="J3561" s="8">
        <f>IF(G3561="","",G3561*0.20)</f>
        <v/>
      </c>
      <c r="K3561" s="8">
        <f>IF(G3561="","",G3561+J3561)</f>
        <v/>
      </c>
    </row>
    <row r="3562">
      <c r="F3562" s="8" t="n"/>
      <c r="G3562" s="8">
        <f>IF(E3562="","",E3562*F3562)</f>
        <v/>
      </c>
      <c r="H3562" s="8">
        <f>IF(G3562="","",G3562-I3562)</f>
        <v/>
      </c>
      <c r="I3562" s="8">
        <f>IF(D3562="","",VLOOKUP(D3562, RECETTES!B:G, 6, FALSE)*E3562)</f>
        <v/>
      </c>
      <c r="J3562" s="8">
        <f>IF(G3562="","",G3562*0.20)</f>
        <v/>
      </c>
      <c r="K3562" s="8">
        <f>IF(G3562="","",G3562+J3562)</f>
        <v/>
      </c>
    </row>
    <row r="3563">
      <c r="F3563" s="8" t="n"/>
      <c r="G3563" s="8">
        <f>IF(E3563="","",E3563*F3563)</f>
        <v/>
      </c>
      <c r="H3563" s="8">
        <f>IF(G3563="","",G3563-I3563)</f>
        <v/>
      </c>
      <c r="I3563" s="8">
        <f>IF(D3563="","",VLOOKUP(D3563, RECETTES!B:G, 6, FALSE)*E3563)</f>
        <v/>
      </c>
      <c r="J3563" s="8">
        <f>IF(G3563="","",G3563*0.20)</f>
        <v/>
      </c>
      <c r="K3563" s="8">
        <f>IF(G3563="","",G3563+J3563)</f>
        <v/>
      </c>
    </row>
    <row r="3564">
      <c r="F3564" s="8" t="n"/>
      <c r="G3564" s="8">
        <f>IF(E3564="","",E3564*F3564)</f>
        <v/>
      </c>
      <c r="H3564" s="8">
        <f>IF(G3564="","",G3564-I3564)</f>
        <v/>
      </c>
      <c r="I3564" s="8">
        <f>IF(D3564="","",VLOOKUP(D3564, RECETTES!B:G, 6, FALSE)*E3564)</f>
        <v/>
      </c>
      <c r="J3564" s="8">
        <f>IF(G3564="","",G3564*0.20)</f>
        <v/>
      </c>
      <c r="K3564" s="8">
        <f>IF(G3564="","",G3564+J3564)</f>
        <v/>
      </c>
    </row>
    <row r="3565">
      <c r="F3565" s="8" t="n"/>
      <c r="G3565" s="8">
        <f>IF(E3565="","",E3565*F3565)</f>
        <v/>
      </c>
      <c r="H3565" s="8">
        <f>IF(G3565="","",G3565-I3565)</f>
        <v/>
      </c>
      <c r="I3565" s="8">
        <f>IF(D3565="","",VLOOKUP(D3565, RECETTES!B:G, 6, FALSE)*E3565)</f>
        <v/>
      </c>
      <c r="J3565" s="8">
        <f>IF(G3565="","",G3565*0.20)</f>
        <v/>
      </c>
      <c r="K3565" s="8">
        <f>IF(G3565="","",G3565+J3565)</f>
        <v/>
      </c>
    </row>
    <row r="3566">
      <c r="F3566" s="8" t="n"/>
      <c r="G3566" s="8">
        <f>IF(E3566="","",E3566*F3566)</f>
        <v/>
      </c>
      <c r="H3566" s="8">
        <f>IF(G3566="","",G3566-I3566)</f>
        <v/>
      </c>
      <c r="I3566" s="8">
        <f>IF(D3566="","",VLOOKUP(D3566, RECETTES!B:G, 6, FALSE)*E3566)</f>
        <v/>
      </c>
      <c r="J3566" s="8">
        <f>IF(G3566="","",G3566*0.20)</f>
        <v/>
      </c>
      <c r="K3566" s="8">
        <f>IF(G3566="","",G3566+J3566)</f>
        <v/>
      </c>
    </row>
    <row r="3567">
      <c r="F3567" s="8" t="n"/>
      <c r="G3567" s="8">
        <f>IF(E3567="","",E3567*F3567)</f>
        <v/>
      </c>
      <c r="H3567" s="8">
        <f>IF(G3567="","",G3567-I3567)</f>
        <v/>
      </c>
      <c r="I3567" s="8">
        <f>IF(D3567="","",VLOOKUP(D3567, RECETTES!B:G, 6, FALSE)*E3567)</f>
        <v/>
      </c>
      <c r="J3567" s="8">
        <f>IF(G3567="","",G3567*0.20)</f>
        <v/>
      </c>
      <c r="K3567" s="8">
        <f>IF(G3567="","",G3567+J3567)</f>
        <v/>
      </c>
    </row>
    <row r="3568">
      <c r="F3568" s="8" t="n"/>
      <c r="G3568" s="8">
        <f>IF(E3568="","",E3568*F3568)</f>
        <v/>
      </c>
      <c r="H3568" s="8">
        <f>IF(G3568="","",G3568-I3568)</f>
        <v/>
      </c>
      <c r="I3568" s="8">
        <f>IF(D3568="","",VLOOKUP(D3568, RECETTES!B:G, 6, FALSE)*E3568)</f>
        <v/>
      </c>
      <c r="J3568" s="8">
        <f>IF(G3568="","",G3568*0.20)</f>
        <v/>
      </c>
      <c r="K3568" s="8">
        <f>IF(G3568="","",G3568+J3568)</f>
        <v/>
      </c>
    </row>
    <row r="3569">
      <c r="F3569" s="8" t="n"/>
      <c r="G3569" s="8">
        <f>IF(E3569="","",E3569*F3569)</f>
        <v/>
      </c>
      <c r="H3569" s="8">
        <f>IF(G3569="","",G3569-I3569)</f>
        <v/>
      </c>
      <c r="I3569" s="8">
        <f>IF(D3569="","",VLOOKUP(D3569, RECETTES!B:G, 6, FALSE)*E3569)</f>
        <v/>
      </c>
      <c r="J3569" s="8">
        <f>IF(G3569="","",G3569*0.20)</f>
        <v/>
      </c>
      <c r="K3569" s="8">
        <f>IF(G3569="","",G3569+J3569)</f>
        <v/>
      </c>
    </row>
    <row r="3570">
      <c r="F3570" s="8" t="n"/>
      <c r="G3570" s="8">
        <f>IF(E3570="","",E3570*F3570)</f>
        <v/>
      </c>
      <c r="H3570" s="8">
        <f>IF(G3570="","",G3570-I3570)</f>
        <v/>
      </c>
      <c r="I3570" s="8">
        <f>IF(D3570="","",VLOOKUP(D3570, RECETTES!B:G, 6, FALSE)*E3570)</f>
        <v/>
      </c>
      <c r="J3570" s="8">
        <f>IF(G3570="","",G3570*0.20)</f>
        <v/>
      </c>
      <c r="K3570" s="8">
        <f>IF(G3570="","",G3570+J3570)</f>
        <v/>
      </c>
    </row>
    <row r="3571">
      <c r="F3571" s="8" t="n"/>
      <c r="G3571" s="8">
        <f>IF(E3571="","",E3571*F3571)</f>
        <v/>
      </c>
      <c r="H3571" s="8">
        <f>IF(G3571="","",G3571-I3571)</f>
        <v/>
      </c>
      <c r="I3571" s="8">
        <f>IF(D3571="","",VLOOKUP(D3571, RECETTES!B:G, 6, FALSE)*E3571)</f>
        <v/>
      </c>
      <c r="J3571" s="8">
        <f>IF(G3571="","",G3571*0.20)</f>
        <v/>
      </c>
      <c r="K3571" s="8">
        <f>IF(G3571="","",G3571+J3571)</f>
        <v/>
      </c>
    </row>
    <row r="3572">
      <c r="F3572" s="8" t="n"/>
      <c r="G3572" s="8">
        <f>IF(E3572="","",E3572*F3572)</f>
        <v/>
      </c>
      <c r="H3572" s="8">
        <f>IF(G3572="","",G3572-I3572)</f>
        <v/>
      </c>
      <c r="I3572" s="8">
        <f>IF(D3572="","",VLOOKUP(D3572, RECETTES!B:G, 6, FALSE)*E3572)</f>
        <v/>
      </c>
      <c r="J3572" s="8">
        <f>IF(G3572="","",G3572*0.20)</f>
        <v/>
      </c>
      <c r="K3572" s="8">
        <f>IF(G3572="","",G3572+J3572)</f>
        <v/>
      </c>
    </row>
    <row r="3573">
      <c r="F3573" s="8" t="n"/>
      <c r="G3573" s="8">
        <f>IF(E3573="","",E3573*F3573)</f>
        <v/>
      </c>
      <c r="H3573" s="8">
        <f>IF(G3573="","",G3573-I3573)</f>
        <v/>
      </c>
      <c r="I3573" s="8">
        <f>IF(D3573="","",VLOOKUP(D3573, RECETTES!B:G, 6, FALSE)*E3573)</f>
        <v/>
      </c>
      <c r="J3573" s="8">
        <f>IF(G3573="","",G3573*0.20)</f>
        <v/>
      </c>
      <c r="K3573" s="8">
        <f>IF(G3573="","",G3573+J3573)</f>
        <v/>
      </c>
    </row>
    <row r="3574">
      <c r="F3574" s="8" t="n"/>
      <c r="G3574" s="8">
        <f>IF(E3574="","",E3574*F3574)</f>
        <v/>
      </c>
      <c r="H3574" s="8">
        <f>IF(G3574="","",G3574-I3574)</f>
        <v/>
      </c>
      <c r="I3574" s="8">
        <f>IF(D3574="","",VLOOKUP(D3574, RECETTES!B:G, 6, FALSE)*E3574)</f>
        <v/>
      </c>
      <c r="J3574" s="8">
        <f>IF(G3574="","",G3574*0.20)</f>
        <v/>
      </c>
      <c r="K3574" s="8">
        <f>IF(G3574="","",G3574+J3574)</f>
        <v/>
      </c>
    </row>
    <row r="3575">
      <c r="F3575" s="8" t="n"/>
      <c r="G3575" s="8">
        <f>IF(E3575="","",E3575*F3575)</f>
        <v/>
      </c>
      <c r="H3575" s="8">
        <f>IF(G3575="","",G3575-I3575)</f>
        <v/>
      </c>
      <c r="I3575" s="8">
        <f>IF(D3575="","",VLOOKUP(D3575, RECETTES!B:G, 6, FALSE)*E3575)</f>
        <v/>
      </c>
      <c r="J3575" s="8">
        <f>IF(G3575="","",G3575*0.20)</f>
        <v/>
      </c>
      <c r="K3575" s="8">
        <f>IF(G3575="","",G3575+J3575)</f>
        <v/>
      </c>
    </row>
    <row r="3576">
      <c r="F3576" s="8" t="n"/>
      <c r="G3576" s="8">
        <f>IF(E3576="","",E3576*F3576)</f>
        <v/>
      </c>
      <c r="H3576" s="8">
        <f>IF(G3576="","",G3576-I3576)</f>
        <v/>
      </c>
      <c r="I3576" s="8">
        <f>IF(D3576="","",VLOOKUP(D3576, RECETTES!B:G, 6, FALSE)*E3576)</f>
        <v/>
      </c>
      <c r="J3576" s="8">
        <f>IF(G3576="","",G3576*0.20)</f>
        <v/>
      </c>
      <c r="K3576" s="8">
        <f>IF(G3576="","",G3576+J3576)</f>
        <v/>
      </c>
    </row>
    <row r="3577">
      <c r="F3577" s="8" t="n"/>
      <c r="G3577" s="8">
        <f>IF(E3577="","",E3577*F3577)</f>
        <v/>
      </c>
      <c r="H3577" s="8">
        <f>IF(G3577="","",G3577-I3577)</f>
        <v/>
      </c>
      <c r="I3577" s="8">
        <f>IF(D3577="","",VLOOKUP(D3577, RECETTES!B:G, 6, FALSE)*E3577)</f>
        <v/>
      </c>
      <c r="J3577" s="8">
        <f>IF(G3577="","",G3577*0.20)</f>
        <v/>
      </c>
      <c r="K3577" s="8">
        <f>IF(G3577="","",G3577+J3577)</f>
        <v/>
      </c>
    </row>
    <row r="3578">
      <c r="F3578" s="8" t="n"/>
      <c r="G3578" s="8">
        <f>IF(E3578="","",E3578*F3578)</f>
        <v/>
      </c>
      <c r="H3578" s="8">
        <f>IF(G3578="","",G3578-I3578)</f>
        <v/>
      </c>
      <c r="I3578" s="8">
        <f>IF(D3578="","",VLOOKUP(D3578, RECETTES!B:G, 6, FALSE)*E3578)</f>
        <v/>
      </c>
      <c r="J3578" s="8">
        <f>IF(G3578="","",G3578*0.20)</f>
        <v/>
      </c>
      <c r="K3578" s="8">
        <f>IF(G3578="","",G3578+J3578)</f>
        <v/>
      </c>
    </row>
    <row r="3579">
      <c r="F3579" s="8" t="n"/>
      <c r="G3579" s="8">
        <f>IF(E3579="","",E3579*F3579)</f>
        <v/>
      </c>
      <c r="H3579" s="8">
        <f>IF(G3579="","",G3579-I3579)</f>
        <v/>
      </c>
      <c r="I3579" s="8">
        <f>IF(D3579="","",VLOOKUP(D3579, RECETTES!B:G, 6, FALSE)*E3579)</f>
        <v/>
      </c>
      <c r="J3579" s="8">
        <f>IF(G3579="","",G3579*0.20)</f>
        <v/>
      </c>
      <c r="K3579" s="8">
        <f>IF(G3579="","",G3579+J3579)</f>
        <v/>
      </c>
    </row>
    <row r="3580">
      <c r="F3580" s="8" t="n"/>
      <c r="G3580" s="8">
        <f>IF(E3580="","",E3580*F3580)</f>
        <v/>
      </c>
      <c r="H3580" s="8">
        <f>IF(G3580="","",G3580-I3580)</f>
        <v/>
      </c>
      <c r="I3580" s="8">
        <f>IF(D3580="","",VLOOKUP(D3580, RECETTES!B:G, 6, FALSE)*E3580)</f>
        <v/>
      </c>
      <c r="J3580" s="8">
        <f>IF(G3580="","",G3580*0.20)</f>
        <v/>
      </c>
      <c r="K3580" s="8">
        <f>IF(G3580="","",G3580+J3580)</f>
        <v/>
      </c>
    </row>
    <row r="3581">
      <c r="F3581" s="8" t="n"/>
      <c r="G3581" s="8">
        <f>IF(E3581="","",E3581*F3581)</f>
        <v/>
      </c>
      <c r="H3581" s="8">
        <f>IF(G3581="","",G3581-I3581)</f>
        <v/>
      </c>
      <c r="I3581" s="8">
        <f>IF(D3581="","",VLOOKUP(D3581, RECETTES!B:G, 6, FALSE)*E3581)</f>
        <v/>
      </c>
      <c r="J3581" s="8">
        <f>IF(G3581="","",G3581*0.20)</f>
        <v/>
      </c>
      <c r="K3581" s="8">
        <f>IF(G3581="","",G3581+J3581)</f>
        <v/>
      </c>
    </row>
    <row r="3582">
      <c r="F3582" s="8" t="n"/>
      <c r="G3582" s="8">
        <f>IF(E3582="","",E3582*F3582)</f>
        <v/>
      </c>
      <c r="H3582" s="8">
        <f>IF(G3582="","",G3582-I3582)</f>
        <v/>
      </c>
      <c r="I3582" s="8">
        <f>IF(D3582="","",VLOOKUP(D3582, RECETTES!B:G, 6, FALSE)*E3582)</f>
        <v/>
      </c>
      <c r="J3582" s="8">
        <f>IF(G3582="","",G3582*0.20)</f>
        <v/>
      </c>
      <c r="K3582" s="8">
        <f>IF(G3582="","",G3582+J3582)</f>
        <v/>
      </c>
    </row>
    <row r="3583">
      <c r="F3583" s="8" t="n"/>
      <c r="G3583" s="8">
        <f>IF(E3583="","",E3583*F3583)</f>
        <v/>
      </c>
      <c r="H3583" s="8">
        <f>IF(G3583="","",G3583-I3583)</f>
        <v/>
      </c>
      <c r="I3583" s="8">
        <f>IF(D3583="","",VLOOKUP(D3583, RECETTES!B:G, 6, FALSE)*E3583)</f>
        <v/>
      </c>
      <c r="J3583" s="8">
        <f>IF(G3583="","",G3583*0.20)</f>
        <v/>
      </c>
      <c r="K3583" s="8">
        <f>IF(G3583="","",G3583+J3583)</f>
        <v/>
      </c>
    </row>
    <row r="3584">
      <c r="F3584" s="8" t="n"/>
      <c r="G3584" s="8">
        <f>IF(E3584="","",E3584*F3584)</f>
        <v/>
      </c>
      <c r="H3584" s="8">
        <f>IF(G3584="","",G3584-I3584)</f>
        <v/>
      </c>
      <c r="I3584" s="8">
        <f>IF(D3584="","",VLOOKUP(D3584, RECETTES!B:G, 6, FALSE)*E3584)</f>
        <v/>
      </c>
      <c r="J3584" s="8">
        <f>IF(G3584="","",G3584*0.20)</f>
        <v/>
      </c>
      <c r="K3584" s="8">
        <f>IF(G3584="","",G3584+J3584)</f>
        <v/>
      </c>
    </row>
    <row r="3585">
      <c r="F3585" s="8" t="n"/>
      <c r="G3585" s="8">
        <f>IF(E3585="","",E3585*F3585)</f>
        <v/>
      </c>
      <c r="H3585" s="8">
        <f>IF(G3585="","",G3585-I3585)</f>
        <v/>
      </c>
      <c r="I3585" s="8">
        <f>IF(D3585="","",VLOOKUP(D3585, RECETTES!B:G, 6, FALSE)*E3585)</f>
        <v/>
      </c>
      <c r="J3585" s="8">
        <f>IF(G3585="","",G3585*0.20)</f>
        <v/>
      </c>
      <c r="K3585" s="8">
        <f>IF(G3585="","",G3585+J3585)</f>
        <v/>
      </c>
    </row>
    <row r="3586">
      <c r="F3586" s="8" t="n"/>
      <c r="G3586" s="8">
        <f>IF(E3586="","",E3586*F3586)</f>
        <v/>
      </c>
      <c r="H3586" s="8">
        <f>IF(G3586="","",G3586-I3586)</f>
        <v/>
      </c>
      <c r="I3586" s="8">
        <f>IF(D3586="","",VLOOKUP(D3586, RECETTES!B:G, 6, FALSE)*E3586)</f>
        <v/>
      </c>
      <c r="J3586" s="8">
        <f>IF(G3586="","",G3586*0.20)</f>
        <v/>
      </c>
      <c r="K3586" s="8">
        <f>IF(G3586="","",G3586+J3586)</f>
        <v/>
      </c>
    </row>
    <row r="3587">
      <c r="F3587" s="8" t="n"/>
      <c r="G3587" s="8">
        <f>IF(E3587="","",E3587*F3587)</f>
        <v/>
      </c>
      <c r="H3587" s="8">
        <f>IF(G3587="","",G3587-I3587)</f>
        <v/>
      </c>
      <c r="I3587" s="8">
        <f>IF(D3587="","",VLOOKUP(D3587, RECETTES!B:G, 6, FALSE)*E3587)</f>
        <v/>
      </c>
      <c r="J3587" s="8">
        <f>IF(G3587="","",G3587*0.20)</f>
        <v/>
      </c>
      <c r="K3587" s="8">
        <f>IF(G3587="","",G3587+J3587)</f>
        <v/>
      </c>
    </row>
    <row r="3588">
      <c r="F3588" s="8" t="n"/>
      <c r="G3588" s="8">
        <f>IF(E3588="","",E3588*F3588)</f>
        <v/>
      </c>
      <c r="H3588" s="8">
        <f>IF(G3588="","",G3588-I3588)</f>
        <v/>
      </c>
      <c r="I3588" s="8">
        <f>IF(D3588="","",VLOOKUP(D3588, RECETTES!B:G, 6, FALSE)*E3588)</f>
        <v/>
      </c>
      <c r="J3588" s="8">
        <f>IF(G3588="","",G3588*0.20)</f>
        <v/>
      </c>
      <c r="K3588" s="8">
        <f>IF(G3588="","",G3588+J3588)</f>
        <v/>
      </c>
    </row>
    <row r="3589">
      <c r="F3589" s="8" t="n"/>
      <c r="G3589" s="8">
        <f>IF(E3589="","",E3589*F3589)</f>
        <v/>
      </c>
      <c r="H3589" s="8">
        <f>IF(G3589="","",G3589-I3589)</f>
        <v/>
      </c>
      <c r="I3589" s="8">
        <f>IF(D3589="","",VLOOKUP(D3589, RECETTES!B:G, 6, FALSE)*E3589)</f>
        <v/>
      </c>
      <c r="J3589" s="8">
        <f>IF(G3589="","",G3589*0.20)</f>
        <v/>
      </c>
      <c r="K3589" s="8">
        <f>IF(G3589="","",G3589+J3589)</f>
        <v/>
      </c>
    </row>
    <row r="3590">
      <c r="F3590" s="8" t="n"/>
      <c r="G3590" s="8">
        <f>IF(E3590="","",E3590*F3590)</f>
        <v/>
      </c>
      <c r="H3590" s="8">
        <f>IF(G3590="","",G3590-I3590)</f>
        <v/>
      </c>
      <c r="I3590" s="8">
        <f>IF(D3590="","",VLOOKUP(D3590, RECETTES!B:G, 6, FALSE)*E3590)</f>
        <v/>
      </c>
      <c r="J3590" s="8">
        <f>IF(G3590="","",G3590*0.20)</f>
        <v/>
      </c>
      <c r="K3590" s="8">
        <f>IF(G3590="","",G3590+J3590)</f>
        <v/>
      </c>
    </row>
    <row r="3591">
      <c r="F3591" s="8" t="n"/>
      <c r="G3591" s="8">
        <f>IF(E3591="","",E3591*F3591)</f>
        <v/>
      </c>
      <c r="H3591" s="8">
        <f>IF(G3591="","",G3591-I3591)</f>
        <v/>
      </c>
      <c r="I3591" s="8">
        <f>IF(D3591="","",VLOOKUP(D3591, RECETTES!B:G, 6, FALSE)*E3591)</f>
        <v/>
      </c>
      <c r="J3591" s="8">
        <f>IF(G3591="","",G3591*0.20)</f>
        <v/>
      </c>
      <c r="K3591" s="8">
        <f>IF(G3591="","",G3591+J3591)</f>
        <v/>
      </c>
    </row>
    <row r="3592">
      <c r="F3592" s="8" t="n"/>
      <c r="G3592" s="8">
        <f>IF(E3592="","",E3592*F3592)</f>
        <v/>
      </c>
      <c r="H3592" s="8">
        <f>IF(G3592="","",G3592-I3592)</f>
        <v/>
      </c>
      <c r="I3592" s="8">
        <f>IF(D3592="","",VLOOKUP(D3592, RECETTES!B:G, 6, FALSE)*E3592)</f>
        <v/>
      </c>
      <c r="J3592" s="8">
        <f>IF(G3592="","",G3592*0.20)</f>
        <v/>
      </c>
      <c r="K3592" s="8">
        <f>IF(G3592="","",G3592+J3592)</f>
        <v/>
      </c>
    </row>
    <row r="3593">
      <c r="F3593" s="8" t="n"/>
      <c r="G3593" s="8">
        <f>IF(E3593="","",E3593*F3593)</f>
        <v/>
      </c>
      <c r="H3593" s="8">
        <f>IF(G3593="","",G3593-I3593)</f>
        <v/>
      </c>
      <c r="I3593" s="8">
        <f>IF(D3593="","",VLOOKUP(D3593, RECETTES!B:G, 6, FALSE)*E3593)</f>
        <v/>
      </c>
      <c r="J3593" s="8">
        <f>IF(G3593="","",G3593*0.20)</f>
        <v/>
      </c>
      <c r="K3593" s="8">
        <f>IF(G3593="","",G3593+J3593)</f>
        <v/>
      </c>
    </row>
    <row r="3594">
      <c r="F3594" s="8" t="n"/>
      <c r="G3594" s="8">
        <f>IF(E3594="","",E3594*F3594)</f>
        <v/>
      </c>
      <c r="H3594" s="8">
        <f>IF(G3594="","",G3594-I3594)</f>
        <v/>
      </c>
      <c r="I3594" s="8">
        <f>IF(D3594="","",VLOOKUP(D3594, RECETTES!B:G, 6, FALSE)*E3594)</f>
        <v/>
      </c>
      <c r="J3594" s="8">
        <f>IF(G3594="","",G3594*0.20)</f>
        <v/>
      </c>
      <c r="K3594" s="8">
        <f>IF(G3594="","",G3594+J3594)</f>
        <v/>
      </c>
    </row>
    <row r="3595">
      <c r="F3595" s="8" t="n"/>
      <c r="G3595" s="8">
        <f>IF(E3595="","",E3595*F3595)</f>
        <v/>
      </c>
      <c r="H3595" s="8">
        <f>IF(G3595="","",G3595-I3595)</f>
        <v/>
      </c>
      <c r="I3595" s="8">
        <f>IF(D3595="","",VLOOKUP(D3595, RECETTES!B:G, 6, FALSE)*E3595)</f>
        <v/>
      </c>
      <c r="J3595" s="8">
        <f>IF(G3595="","",G3595*0.20)</f>
        <v/>
      </c>
      <c r="K3595" s="8">
        <f>IF(G3595="","",G3595+J3595)</f>
        <v/>
      </c>
    </row>
    <row r="3596">
      <c r="F3596" s="8" t="n"/>
      <c r="G3596" s="8">
        <f>IF(E3596="","",E3596*F3596)</f>
        <v/>
      </c>
      <c r="H3596" s="8">
        <f>IF(G3596="","",G3596-I3596)</f>
        <v/>
      </c>
      <c r="I3596" s="8">
        <f>IF(D3596="","",VLOOKUP(D3596, RECETTES!B:G, 6, FALSE)*E3596)</f>
        <v/>
      </c>
      <c r="J3596" s="8">
        <f>IF(G3596="","",G3596*0.20)</f>
        <v/>
      </c>
      <c r="K3596" s="8">
        <f>IF(G3596="","",G3596+J3596)</f>
        <v/>
      </c>
    </row>
    <row r="3597">
      <c r="F3597" s="8" t="n"/>
      <c r="G3597" s="8">
        <f>IF(E3597="","",E3597*F3597)</f>
        <v/>
      </c>
      <c r="H3597" s="8">
        <f>IF(G3597="","",G3597-I3597)</f>
        <v/>
      </c>
      <c r="I3597" s="8">
        <f>IF(D3597="","",VLOOKUP(D3597, RECETTES!B:G, 6, FALSE)*E3597)</f>
        <v/>
      </c>
      <c r="J3597" s="8">
        <f>IF(G3597="","",G3597*0.20)</f>
        <v/>
      </c>
      <c r="K3597" s="8">
        <f>IF(G3597="","",G3597+J3597)</f>
        <v/>
      </c>
    </row>
    <row r="3598">
      <c r="F3598" s="8" t="n"/>
      <c r="G3598" s="8">
        <f>IF(E3598="","",E3598*F3598)</f>
        <v/>
      </c>
      <c r="H3598" s="8">
        <f>IF(G3598="","",G3598-I3598)</f>
        <v/>
      </c>
      <c r="I3598" s="8">
        <f>IF(D3598="","",VLOOKUP(D3598, RECETTES!B:G, 6, FALSE)*E3598)</f>
        <v/>
      </c>
      <c r="J3598" s="8">
        <f>IF(G3598="","",G3598*0.20)</f>
        <v/>
      </c>
      <c r="K3598" s="8">
        <f>IF(G3598="","",G3598+J3598)</f>
        <v/>
      </c>
    </row>
    <row r="3599">
      <c r="F3599" s="8" t="n"/>
      <c r="G3599" s="8">
        <f>IF(E3599="","",E3599*F3599)</f>
        <v/>
      </c>
      <c r="H3599" s="8">
        <f>IF(G3599="","",G3599-I3599)</f>
        <v/>
      </c>
      <c r="I3599" s="8">
        <f>IF(D3599="","",VLOOKUP(D3599, RECETTES!B:G, 6, FALSE)*E3599)</f>
        <v/>
      </c>
      <c r="J3599" s="8">
        <f>IF(G3599="","",G3599*0.20)</f>
        <v/>
      </c>
      <c r="K3599" s="8">
        <f>IF(G3599="","",G3599+J3599)</f>
        <v/>
      </c>
    </row>
    <row r="3600">
      <c r="F3600" s="8" t="n"/>
      <c r="G3600" s="8">
        <f>IF(E3600="","",E3600*F3600)</f>
        <v/>
      </c>
      <c r="H3600" s="8">
        <f>IF(G3600="","",G3600-I3600)</f>
        <v/>
      </c>
      <c r="I3600" s="8">
        <f>IF(D3600="","",VLOOKUP(D3600, RECETTES!B:G, 6, FALSE)*E3600)</f>
        <v/>
      </c>
      <c r="J3600" s="8">
        <f>IF(G3600="","",G3600*0.20)</f>
        <v/>
      </c>
      <c r="K3600" s="8">
        <f>IF(G3600="","",G3600+J3600)</f>
        <v/>
      </c>
    </row>
    <row r="3601">
      <c r="F3601" s="8" t="n"/>
      <c r="G3601" s="8">
        <f>IF(E3601="","",E3601*F3601)</f>
        <v/>
      </c>
      <c r="H3601" s="8">
        <f>IF(G3601="","",G3601-I3601)</f>
        <v/>
      </c>
      <c r="I3601" s="8">
        <f>IF(D3601="","",VLOOKUP(D3601, RECETTES!B:G, 6, FALSE)*E3601)</f>
        <v/>
      </c>
      <c r="J3601" s="8">
        <f>IF(G3601="","",G3601*0.20)</f>
        <v/>
      </c>
      <c r="K3601" s="8">
        <f>IF(G3601="","",G3601+J3601)</f>
        <v/>
      </c>
    </row>
    <row r="3602">
      <c r="F3602" s="8" t="n"/>
      <c r="G3602" s="8">
        <f>IF(E3602="","",E3602*F3602)</f>
        <v/>
      </c>
      <c r="H3602" s="8">
        <f>IF(G3602="","",G3602-I3602)</f>
        <v/>
      </c>
      <c r="I3602" s="8">
        <f>IF(D3602="","",VLOOKUP(D3602, RECETTES!B:G, 6, FALSE)*E3602)</f>
        <v/>
      </c>
      <c r="J3602" s="8">
        <f>IF(G3602="","",G3602*0.20)</f>
        <v/>
      </c>
      <c r="K3602" s="8">
        <f>IF(G3602="","",G3602+J3602)</f>
        <v/>
      </c>
    </row>
    <row r="3603">
      <c r="F3603" s="8" t="n"/>
      <c r="G3603" s="8">
        <f>IF(E3603="","",E3603*F3603)</f>
        <v/>
      </c>
      <c r="H3603" s="8">
        <f>IF(G3603="","",G3603-I3603)</f>
        <v/>
      </c>
      <c r="I3603" s="8">
        <f>IF(D3603="","",VLOOKUP(D3603, RECETTES!B:G, 6, FALSE)*E3603)</f>
        <v/>
      </c>
      <c r="J3603" s="8">
        <f>IF(G3603="","",G3603*0.20)</f>
        <v/>
      </c>
      <c r="K3603" s="8">
        <f>IF(G3603="","",G3603+J3603)</f>
        <v/>
      </c>
    </row>
    <row r="3604">
      <c r="F3604" s="8" t="n"/>
      <c r="G3604" s="8">
        <f>IF(E3604="","",E3604*F3604)</f>
        <v/>
      </c>
      <c r="H3604" s="8">
        <f>IF(G3604="","",G3604-I3604)</f>
        <v/>
      </c>
      <c r="I3604" s="8">
        <f>IF(D3604="","",VLOOKUP(D3604, RECETTES!B:G, 6, FALSE)*E3604)</f>
        <v/>
      </c>
      <c r="J3604" s="8">
        <f>IF(G3604="","",G3604*0.20)</f>
        <v/>
      </c>
      <c r="K3604" s="8">
        <f>IF(G3604="","",G3604+J3604)</f>
        <v/>
      </c>
    </row>
    <row r="3605">
      <c r="F3605" s="8" t="n"/>
      <c r="G3605" s="8">
        <f>IF(E3605="","",E3605*F3605)</f>
        <v/>
      </c>
      <c r="H3605" s="8">
        <f>IF(G3605="","",G3605-I3605)</f>
        <v/>
      </c>
      <c r="I3605" s="8">
        <f>IF(D3605="","",VLOOKUP(D3605, RECETTES!B:G, 6, FALSE)*E3605)</f>
        <v/>
      </c>
      <c r="J3605" s="8">
        <f>IF(G3605="","",G3605*0.20)</f>
        <v/>
      </c>
      <c r="K3605" s="8">
        <f>IF(G3605="","",G3605+J3605)</f>
        <v/>
      </c>
    </row>
    <row r="3606">
      <c r="F3606" s="8" t="n"/>
      <c r="G3606" s="8">
        <f>IF(E3606="","",E3606*F3606)</f>
        <v/>
      </c>
      <c r="H3606" s="8">
        <f>IF(G3606="","",G3606-I3606)</f>
        <v/>
      </c>
      <c r="I3606" s="8">
        <f>IF(D3606="","",VLOOKUP(D3606, RECETTES!B:G, 6, FALSE)*E3606)</f>
        <v/>
      </c>
      <c r="J3606" s="8">
        <f>IF(G3606="","",G3606*0.20)</f>
        <v/>
      </c>
      <c r="K3606" s="8">
        <f>IF(G3606="","",G3606+J3606)</f>
        <v/>
      </c>
    </row>
    <row r="3607">
      <c r="F3607" s="8" t="n"/>
      <c r="G3607" s="8">
        <f>IF(E3607="","",E3607*F3607)</f>
        <v/>
      </c>
      <c r="H3607" s="8">
        <f>IF(G3607="","",G3607-I3607)</f>
        <v/>
      </c>
      <c r="I3607" s="8">
        <f>IF(D3607="","",VLOOKUP(D3607, RECETTES!B:G, 6, FALSE)*E3607)</f>
        <v/>
      </c>
      <c r="J3607" s="8">
        <f>IF(G3607="","",G3607*0.20)</f>
        <v/>
      </c>
      <c r="K3607" s="8">
        <f>IF(G3607="","",G3607+J3607)</f>
        <v/>
      </c>
    </row>
    <row r="3608">
      <c r="F3608" s="8" t="n"/>
      <c r="G3608" s="8">
        <f>IF(E3608="","",E3608*F3608)</f>
        <v/>
      </c>
      <c r="H3608" s="8">
        <f>IF(G3608="","",G3608-I3608)</f>
        <v/>
      </c>
      <c r="I3608" s="8">
        <f>IF(D3608="","",VLOOKUP(D3608, RECETTES!B:G, 6, FALSE)*E3608)</f>
        <v/>
      </c>
      <c r="J3608" s="8">
        <f>IF(G3608="","",G3608*0.20)</f>
        <v/>
      </c>
      <c r="K3608" s="8">
        <f>IF(G3608="","",G3608+J3608)</f>
        <v/>
      </c>
    </row>
    <row r="3609">
      <c r="F3609" s="8" t="n"/>
      <c r="G3609" s="8">
        <f>IF(E3609="","",E3609*F3609)</f>
        <v/>
      </c>
      <c r="H3609" s="8">
        <f>IF(G3609="","",G3609-I3609)</f>
        <v/>
      </c>
      <c r="I3609" s="8">
        <f>IF(D3609="","",VLOOKUP(D3609, RECETTES!B:G, 6, FALSE)*E3609)</f>
        <v/>
      </c>
      <c r="J3609" s="8">
        <f>IF(G3609="","",G3609*0.20)</f>
        <v/>
      </c>
      <c r="K3609" s="8">
        <f>IF(G3609="","",G3609+J3609)</f>
        <v/>
      </c>
    </row>
    <row r="3610">
      <c r="F3610" s="8" t="n"/>
      <c r="G3610" s="8">
        <f>IF(E3610="","",E3610*F3610)</f>
        <v/>
      </c>
      <c r="H3610" s="8">
        <f>IF(G3610="","",G3610-I3610)</f>
        <v/>
      </c>
      <c r="I3610" s="8">
        <f>IF(D3610="","",VLOOKUP(D3610, RECETTES!B:G, 6, FALSE)*E3610)</f>
        <v/>
      </c>
      <c r="J3610" s="8">
        <f>IF(G3610="","",G3610*0.20)</f>
        <v/>
      </c>
      <c r="K3610" s="8">
        <f>IF(G3610="","",G3610+J3610)</f>
        <v/>
      </c>
    </row>
    <row r="3611">
      <c r="F3611" s="8" t="n"/>
      <c r="G3611" s="8">
        <f>IF(E3611="","",E3611*F3611)</f>
        <v/>
      </c>
      <c r="H3611" s="8">
        <f>IF(G3611="","",G3611-I3611)</f>
        <v/>
      </c>
      <c r="I3611" s="8">
        <f>IF(D3611="","",VLOOKUP(D3611, RECETTES!B:G, 6, FALSE)*E3611)</f>
        <v/>
      </c>
      <c r="J3611" s="8">
        <f>IF(G3611="","",G3611*0.20)</f>
        <v/>
      </c>
      <c r="K3611" s="8">
        <f>IF(G3611="","",G3611+J3611)</f>
        <v/>
      </c>
    </row>
    <row r="3612">
      <c r="F3612" s="8" t="n"/>
      <c r="G3612" s="8">
        <f>IF(E3612="","",E3612*F3612)</f>
        <v/>
      </c>
      <c r="H3612" s="8">
        <f>IF(G3612="","",G3612-I3612)</f>
        <v/>
      </c>
      <c r="I3612" s="8">
        <f>IF(D3612="","",VLOOKUP(D3612, RECETTES!B:G, 6, FALSE)*E3612)</f>
        <v/>
      </c>
      <c r="J3612" s="8">
        <f>IF(G3612="","",G3612*0.20)</f>
        <v/>
      </c>
      <c r="K3612" s="8">
        <f>IF(G3612="","",G3612+J3612)</f>
        <v/>
      </c>
    </row>
    <row r="3613">
      <c r="F3613" s="8" t="n"/>
      <c r="G3613" s="8">
        <f>IF(E3613="","",E3613*F3613)</f>
        <v/>
      </c>
      <c r="H3613" s="8">
        <f>IF(G3613="","",G3613-I3613)</f>
        <v/>
      </c>
      <c r="I3613" s="8">
        <f>IF(D3613="","",VLOOKUP(D3613, RECETTES!B:G, 6, FALSE)*E3613)</f>
        <v/>
      </c>
      <c r="J3613" s="8">
        <f>IF(G3613="","",G3613*0.20)</f>
        <v/>
      </c>
      <c r="K3613" s="8">
        <f>IF(G3613="","",G3613+J3613)</f>
        <v/>
      </c>
    </row>
    <row r="3614">
      <c r="F3614" s="8" t="n"/>
      <c r="G3614" s="8">
        <f>IF(E3614="","",E3614*F3614)</f>
        <v/>
      </c>
      <c r="H3614" s="8">
        <f>IF(G3614="","",G3614-I3614)</f>
        <v/>
      </c>
      <c r="I3614" s="8">
        <f>IF(D3614="","",VLOOKUP(D3614, RECETTES!B:G, 6, FALSE)*E3614)</f>
        <v/>
      </c>
      <c r="J3614" s="8">
        <f>IF(G3614="","",G3614*0.20)</f>
        <v/>
      </c>
      <c r="K3614" s="8">
        <f>IF(G3614="","",G3614+J3614)</f>
        <v/>
      </c>
    </row>
    <row r="3615">
      <c r="F3615" s="8" t="n"/>
      <c r="G3615" s="8">
        <f>IF(E3615="","",E3615*F3615)</f>
        <v/>
      </c>
      <c r="H3615" s="8">
        <f>IF(G3615="","",G3615-I3615)</f>
        <v/>
      </c>
      <c r="I3615" s="8">
        <f>IF(D3615="","",VLOOKUP(D3615, RECETTES!B:G, 6, FALSE)*E3615)</f>
        <v/>
      </c>
      <c r="J3615" s="8">
        <f>IF(G3615="","",G3615*0.20)</f>
        <v/>
      </c>
      <c r="K3615" s="8">
        <f>IF(G3615="","",G3615+J3615)</f>
        <v/>
      </c>
    </row>
    <row r="3616">
      <c r="F3616" s="8" t="n"/>
      <c r="G3616" s="8">
        <f>IF(E3616="","",E3616*F3616)</f>
        <v/>
      </c>
      <c r="H3616" s="8">
        <f>IF(G3616="","",G3616-I3616)</f>
        <v/>
      </c>
      <c r="I3616" s="8">
        <f>IF(D3616="","",VLOOKUP(D3616, RECETTES!B:G, 6, FALSE)*E3616)</f>
        <v/>
      </c>
      <c r="J3616" s="8">
        <f>IF(G3616="","",G3616*0.20)</f>
        <v/>
      </c>
      <c r="K3616" s="8">
        <f>IF(G3616="","",G3616+J3616)</f>
        <v/>
      </c>
    </row>
    <row r="3617">
      <c r="F3617" s="8" t="n"/>
      <c r="G3617" s="8">
        <f>IF(E3617="","",E3617*F3617)</f>
        <v/>
      </c>
      <c r="H3617" s="8">
        <f>IF(G3617="","",G3617-I3617)</f>
        <v/>
      </c>
      <c r="I3617" s="8">
        <f>IF(D3617="","",VLOOKUP(D3617, RECETTES!B:G, 6, FALSE)*E3617)</f>
        <v/>
      </c>
      <c r="J3617" s="8">
        <f>IF(G3617="","",G3617*0.20)</f>
        <v/>
      </c>
      <c r="K3617" s="8">
        <f>IF(G3617="","",G3617+J3617)</f>
        <v/>
      </c>
    </row>
    <row r="3618">
      <c r="F3618" s="8" t="n"/>
      <c r="G3618" s="8">
        <f>IF(E3618="","",E3618*F3618)</f>
        <v/>
      </c>
      <c r="H3618" s="8">
        <f>IF(G3618="","",G3618-I3618)</f>
        <v/>
      </c>
      <c r="I3618" s="8">
        <f>IF(D3618="","",VLOOKUP(D3618, RECETTES!B:G, 6, FALSE)*E3618)</f>
        <v/>
      </c>
      <c r="J3618" s="8">
        <f>IF(G3618="","",G3618*0.20)</f>
        <v/>
      </c>
      <c r="K3618" s="8">
        <f>IF(G3618="","",G3618+J3618)</f>
        <v/>
      </c>
    </row>
    <row r="3619">
      <c r="F3619" s="8" t="n"/>
      <c r="G3619" s="8">
        <f>IF(E3619="","",E3619*F3619)</f>
        <v/>
      </c>
      <c r="H3619" s="8">
        <f>IF(G3619="","",G3619-I3619)</f>
        <v/>
      </c>
      <c r="I3619" s="8">
        <f>IF(D3619="","",VLOOKUP(D3619, RECETTES!B:G, 6, FALSE)*E3619)</f>
        <v/>
      </c>
      <c r="J3619" s="8">
        <f>IF(G3619="","",G3619*0.20)</f>
        <v/>
      </c>
      <c r="K3619" s="8">
        <f>IF(G3619="","",G3619+J3619)</f>
        <v/>
      </c>
    </row>
    <row r="3620">
      <c r="F3620" s="8" t="n"/>
      <c r="G3620" s="8">
        <f>IF(E3620="","",E3620*F3620)</f>
        <v/>
      </c>
      <c r="H3620" s="8">
        <f>IF(G3620="","",G3620-I3620)</f>
        <v/>
      </c>
      <c r="I3620" s="8">
        <f>IF(D3620="","",VLOOKUP(D3620, RECETTES!B:G, 6, FALSE)*E3620)</f>
        <v/>
      </c>
      <c r="J3620" s="8">
        <f>IF(G3620="","",G3620*0.20)</f>
        <v/>
      </c>
      <c r="K3620" s="8">
        <f>IF(G3620="","",G3620+J3620)</f>
        <v/>
      </c>
    </row>
    <row r="3621">
      <c r="F3621" s="8" t="n"/>
      <c r="G3621" s="8">
        <f>IF(E3621="","",E3621*F3621)</f>
        <v/>
      </c>
      <c r="H3621" s="8">
        <f>IF(G3621="","",G3621-I3621)</f>
        <v/>
      </c>
      <c r="I3621" s="8">
        <f>IF(D3621="","",VLOOKUP(D3621, RECETTES!B:G, 6, FALSE)*E3621)</f>
        <v/>
      </c>
      <c r="J3621" s="8">
        <f>IF(G3621="","",G3621*0.20)</f>
        <v/>
      </c>
      <c r="K3621" s="8">
        <f>IF(G3621="","",G3621+J3621)</f>
        <v/>
      </c>
    </row>
    <row r="3622">
      <c r="F3622" s="8" t="n"/>
      <c r="G3622" s="8">
        <f>IF(E3622="","",E3622*F3622)</f>
        <v/>
      </c>
      <c r="H3622" s="8">
        <f>IF(G3622="","",G3622-I3622)</f>
        <v/>
      </c>
      <c r="I3622" s="8">
        <f>IF(D3622="","",VLOOKUP(D3622, RECETTES!B:G, 6, FALSE)*E3622)</f>
        <v/>
      </c>
      <c r="J3622" s="8">
        <f>IF(G3622="","",G3622*0.20)</f>
        <v/>
      </c>
      <c r="K3622" s="8">
        <f>IF(G3622="","",G3622+J3622)</f>
        <v/>
      </c>
    </row>
    <row r="3623">
      <c r="F3623" s="8" t="n"/>
      <c r="G3623" s="8">
        <f>IF(E3623="","",E3623*F3623)</f>
        <v/>
      </c>
      <c r="H3623" s="8">
        <f>IF(G3623="","",G3623-I3623)</f>
        <v/>
      </c>
      <c r="I3623" s="8">
        <f>IF(D3623="","",VLOOKUP(D3623, RECETTES!B:G, 6, FALSE)*E3623)</f>
        <v/>
      </c>
      <c r="J3623" s="8">
        <f>IF(G3623="","",G3623*0.20)</f>
        <v/>
      </c>
      <c r="K3623" s="8">
        <f>IF(G3623="","",G3623+J3623)</f>
        <v/>
      </c>
    </row>
    <row r="3624">
      <c r="F3624" s="8" t="n"/>
      <c r="G3624" s="8">
        <f>IF(E3624="","",E3624*F3624)</f>
        <v/>
      </c>
      <c r="H3624" s="8">
        <f>IF(G3624="","",G3624-I3624)</f>
        <v/>
      </c>
      <c r="I3624" s="8">
        <f>IF(D3624="","",VLOOKUP(D3624, RECETTES!B:G, 6, FALSE)*E3624)</f>
        <v/>
      </c>
      <c r="J3624" s="8">
        <f>IF(G3624="","",G3624*0.20)</f>
        <v/>
      </c>
      <c r="K3624" s="8">
        <f>IF(G3624="","",G3624+J3624)</f>
        <v/>
      </c>
    </row>
    <row r="3625">
      <c r="F3625" s="8" t="n"/>
      <c r="G3625" s="8">
        <f>IF(E3625="","",E3625*F3625)</f>
        <v/>
      </c>
      <c r="H3625" s="8">
        <f>IF(G3625="","",G3625-I3625)</f>
        <v/>
      </c>
      <c r="I3625" s="8">
        <f>IF(D3625="","",VLOOKUP(D3625, RECETTES!B:G, 6, FALSE)*E3625)</f>
        <v/>
      </c>
      <c r="J3625" s="8">
        <f>IF(G3625="","",G3625*0.20)</f>
        <v/>
      </c>
      <c r="K3625" s="8">
        <f>IF(G3625="","",G3625+J3625)</f>
        <v/>
      </c>
    </row>
    <row r="3626">
      <c r="F3626" s="8" t="n"/>
      <c r="G3626" s="8">
        <f>IF(E3626="","",E3626*F3626)</f>
        <v/>
      </c>
      <c r="H3626" s="8">
        <f>IF(G3626="","",G3626-I3626)</f>
        <v/>
      </c>
      <c r="I3626" s="8">
        <f>IF(D3626="","",VLOOKUP(D3626, RECETTES!B:G, 6, FALSE)*E3626)</f>
        <v/>
      </c>
      <c r="J3626" s="8">
        <f>IF(G3626="","",G3626*0.20)</f>
        <v/>
      </c>
      <c r="K3626" s="8">
        <f>IF(G3626="","",G3626+J3626)</f>
        <v/>
      </c>
    </row>
    <row r="3627">
      <c r="F3627" s="8" t="n"/>
      <c r="G3627" s="8">
        <f>IF(E3627="","",E3627*F3627)</f>
        <v/>
      </c>
      <c r="H3627" s="8">
        <f>IF(G3627="","",G3627-I3627)</f>
        <v/>
      </c>
      <c r="I3627" s="8">
        <f>IF(D3627="","",VLOOKUP(D3627, RECETTES!B:G, 6, FALSE)*E3627)</f>
        <v/>
      </c>
      <c r="J3627" s="8">
        <f>IF(G3627="","",G3627*0.20)</f>
        <v/>
      </c>
      <c r="K3627" s="8">
        <f>IF(G3627="","",G3627+J3627)</f>
        <v/>
      </c>
    </row>
    <row r="3628">
      <c r="F3628" s="8" t="n"/>
      <c r="G3628" s="8">
        <f>IF(E3628="","",E3628*F3628)</f>
        <v/>
      </c>
      <c r="H3628" s="8">
        <f>IF(G3628="","",G3628-I3628)</f>
        <v/>
      </c>
      <c r="I3628" s="8">
        <f>IF(D3628="","",VLOOKUP(D3628, RECETTES!B:G, 6, FALSE)*E3628)</f>
        <v/>
      </c>
      <c r="J3628" s="8">
        <f>IF(G3628="","",G3628*0.20)</f>
        <v/>
      </c>
      <c r="K3628" s="8">
        <f>IF(G3628="","",G3628+J3628)</f>
        <v/>
      </c>
    </row>
    <row r="3629">
      <c r="F3629" s="8" t="n"/>
      <c r="G3629" s="8">
        <f>IF(E3629="","",E3629*F3629)</f>
        <v/>
      </c>
      <c r="H3629" s="8">
        <f>IF(G3629="","",G3629-I3629)</f>
        <v/>
      </c>
      <c r="I3629" s="8">
        <f>IF(D3629="","",VLOOKUP(D3629, RECETTES!B:G, 6, FALSE)*E3629)</f>
        <v/>
      </c>
      <c r="J3629" s="8">
        <f>IF(G3629="","",G3629*0.20)</f>
        <v/>
      </c>
      <c r="K3629" s="8">
        <f>IF(G3629="","",G3629+J3629)</f>
        <v/>
      </c>
    </row>
    <row r="3630">
      <c r="F3630" s="8" t="n"/>
      <c r="G3630" s="8">
        <f>IF(E3630="","",E3630*F3630)</f>
        <v/>
      </c>
      <c r="H3630" s="8">
        <f>IF(G3630="","",G3630-I3630)</f>
        <v/>
      </c>
      <c r="I3630" s="8">
        <f>IF(D3630="","",VLOOKUP(D3630, RECETTES!B:G, 6, FALSE)*E3630)</f>
        <v/>
      </c>
      <c r="J3630" s="8">
        <f>IF(G3630="","",G3630*0.20)</f>
        <v/>
      </c>
      <c r="K3630" s="8">
        <f>IF(G3630="","",G3630+J3630)</f>
        <v/>
      </c>
    </row>
    <row r="3631">
      <c r="F3631" s="8" t="n"/>
      <c r="G3631" s="8">
        <f>IF(E3631="","",E3631*F3631)</f>
        <v/>
      </c>
      <c r="H3631" s="8">
        <f>IF(G3631="","",G3631-I3631)</f>
        <v/>
      </c>
      <c r="I3631" s="8">
        <f>IF(D3631="","",VLOOKUP(D3631, RECETTES!B:G, 6, FALSE)*E3631)</f>
        <v/>
      </c>
      <c r="J3631" s="8">
        <f>IF(G3631="","",G3631*0.20)</f>
        <v/>
      </c>
      <c r="K3631" s="8">
        <f>IF(G3631="","",G3631+J3631)</f>
        <v/>
      </c>
    </row>
    <row r="3632">
      <c r="F3632" s="8" t="n"/>
      <c r="G3632" s="8">
        <f>IF(E3632="","",E3632*F3632)</f>
        <v/>
      </c>
      <c r="H3632" s="8">
        <f>IF(G3632="","",G3632-I3632)</f>
        <v/>
      </c>
      <c r="I3632" s="8">
        <f>IF(D3632="","",VLOOKUP(D3632, RECETTES!B:G, 6, FALSE)*E3632)</f>
        <v/>
      </c>
      <c r="J3632" s="8">
        <f>IF(G3632="","",G3632*0.20)</f>
        <v/>
      </c>
      <c r="K3632" s="8">
        <f>IF(G3632="","",G3632+J3632)</f>
        <v/>
      </c>
    </row>
    <row r="3633">
      <c r="F3633" s="8" t="n"/>
      <c r="G3633" s="8">
        <f>IF(E3633="","",E3633*F3633)</f>
        <v/>
      </c>
      <c r="H3633" s="8">
        <f>IF(G3633="","",G3633-I3633)</f>
        <v/>
      </c>
      <c r="I3633" s="8">
        <f>IF(D3633="","",VLOOKUP(D3633, RECETTES!B:G, 6, FALSE)*E3633)</f>
        <v/>
      </c>
      <c r="J3633" s="8">
        <f>IF(G3633="","",G3633*0.20)</f>
        <v/>
      </c>
      <c r="K3633" s="8">
        <f>IF(G3633="","",G3633+J3633)</f>
        <v/>
      </c>
    </row>
    <row r="3634">
      <c r="F3634" s="8" t="n"/>
      <c r="G3634" s="8">
        <f>IF(E3634="","",E3634*F3634)</f>
        <v/>
      </c>
      <c r="H3634" s="8">
        <f>IF(G3634="","",G3634-I3634)</f>
        <v/>
      </c>
      <c r="I3634" s="8">
        <f>IF(D3634="","",VLOOKUP(D3634, RECETTES!B:G, 6, FALSE)*E3634)</f>
        <v/>
      </c>
      <c r="J3634" s="8">
        <f>IF(G3634="","",G3634*0.20)</f>
        <v/>
      </c>
      <c r="K3634" s="8">
        <f>IF(G3634="","",G3634+J3634)</f>
        <v/>
      </c>
    </row>
    <row r="3635">
      <c r="F3635" s="8" t="n"/>
      <c r="G3635" s="8">
        <f>IF(E3635="","",E3635*F3635)</f>
        <v/>
      </c>
      <c r="H3635" s="8">
        <f>IF(G3635="","",G3635-I3635)</f>
        <v/>
      </c>
      <c r="I3635" s="8">
        <f>IF(D3635="","",VLOOKUP(D3635, RECETTES!B:G, 6, FALSE)*E3635)</f>
        <v/>
      </c>
      <c r="J3635" s="8">
        <f>IF(G3635="","",G3635*0.20)</f>
        <v/>
      </c>
      <c r="K3635" s="8">
        <f>IF(G3635="","",G3635+J3635)</f>
        <v/>
      </c>
    </row>
    <row r="3636">
      <c r="F3636" s="8" t="n"/>
      <c r="G3636" s="8">
        <f>IF(E3636="","",E3636*F3636)</f>
        <v/>
      </c>
      <c r="H3636" s="8">
        <f>IF(G3636="","",G3636-I3636)</f>
        <v/>
      </c>
      <c r="I3636" s="8">
        <f>IF(D3636="","",VLOOKUP(D3636, RECETTES!B:G, 6, FALSE)*E3636)</f>
        <v/>
      </c>
      <c r="J3636" s="8">
        <f>IF(G3636="","",G3636*0.20)</f>
        <v/>
      </c>
      <c r="K3636" s="8">
        <f>IF(G3636="","",G3636+J3636)</f>
        <v/>
      </c>
    </row>
    <row r="3637">
      <c r="F3637" s="8" t="n"/>
      <c r="G3637" s="8">
        <f>IF(E3637="","",E3637*F3637)</f>
        <v/>
      </c>
      <c r="H3637" s="8">
        <f>IF(G3637="","",G3637-I3637)</f>
        <v/>
      </c>
      <c r="I3637" s="8">
        <f>IF(D3637="","",VLOOKUP(D3637, RECETTES!B:G, 6, FALSE)*E3637)</f>
        <v/>
      </c>
      <c r="J3637" s="8">
        <f>IF(G3637="","",G3637*0.20)</f>
        <v/>
      </c>
      <c r="K3637" s="8">
        <f>IF(G3637="","",G3637+J3637)</f>
        <v/>
      </c>
    </row>
    <row r="3638">
      <c r="F3638" s="8" t="n"/>
      <c r="G3638" s="8">
        <f>IF(E3638="","",E3638*F3638)</f>
        <v/>
      </c>
      <c r="H3638" s="8">
        <f>IF(G3638="","",G3638-I3638)</f>
        <v/>
      </c>
      <c r="I3638" s="8">
        <f>IF(D3638="","",VLOOKUP(D3638, RECETTES!B:G, 6, FALSE)*E3638)</f>
        <v/>
      </c>
      <c r="J3638" s="8">
        <f>IF(G3638="","",G3638*0.20)</f>
        <v/>
      </c>
      <c r="K3638" s="8">
        <f>IF(G3638="","",G3638+J3638)</f>
        <v/>
      </c>
    </row>
    <row r="3639">
      <c r="F3639" s="8" t="n"/>
      <c r="G3639" s="8">
        <f>IF(E3639="","",E3639*F3639)</f>
        <v/>
      </c>
      <c r="H3639" s="8">
        <f>IF(G3639="","",G3639-I3639)</f>
        <v/>
      </c>
      <c r="I3639" s="8">
        <f>IF(D3639="","",VLOOKUP(D3639, RECETTES!B:G, 6, FALSE)*E3639)</f>
        <v/>
      </c>
      <c r="J3639" s="8">
        <f>IF(G3639="","",G3639*0.20)</f>
        <v/>
      </c>
      <c r="K3639" s="8">
        <f>IF(G3639="","",G3639+J3639)</f>
        <v/>
      </c>
    </row>
    <row r="3640">
      <c r="F3640" s="8" t="n"/>
      <c r="G3640" s="8">
        <f>IF(E3640="","",E3640*F3640)</f>
        <v/>
      </c>
      <c r="H3640" s="8">
        <f>IF(G3640="","",G3640-I3640)</f>
        <v/>
      </c>
      <c r="I3640" s="8">
        <f>IF(D3640="","",VLOOKUP(D3640, RECETTES!B:G, 6, FALSE)*E3640)</f>
        <v/>
      </c>
      <c r="J3640" s="8">
        <f>IF(G3640="","",G3640*0.20)</f>
        <v/>
      </c>
      <c r="K3640" s="8">
        <f>IF(G3640="","",G3640+J3640)</f>
        <v/>
      </c>
    </row>
    <row r="3641">
      <c r="F3641" s="8" t="n"/>
      <c r="G3641" s="8">
        <f>IF(E3641="","",E3641*F3641)</f>
        <v/>
      </c>
      <c r="H3641" s="8">
        <f>IF(G3641="","",G3641-I3641)</f>
        <v/>
      </c>
      <c r="I3641" s="8">
        <f>IF(D3641="","",VLOOKUP(D3641, RECETTES!B:G, 6, FALSE)*E3641)</f>
        <v/>
      </c>
      <c r="J3641" s="8">
        <f>IF(G3641="","",G3641*0.20)</f>
        <v/>
      </c>
      <c r="K3641" s="8">
        <f>IF(G3641="","",G3641+J3641)</f>
        <v/>
      </c>
    </row>
    <row r="3642">
      <c r="F3642" s="8" t="n"/>
      <c r="G3642" s="8">
        <f>IF(E3642="","",E3642*F3642)</f>
        <v/>
      </c>
      <c r="H3642" s="8">
        <f>IF(G3642="","",G3642-I3642)</f>
        <v/>
      </c>
      <c r="I3642" s="8">
        <f>IF(D3642="","",VLOOKUP(D3642, RECETTES!B:G, 6, FALSE)*E3642)</f>
        <v/>
      </c>
      <c r="J3642" s="8">
        <f>IF(G3642="","",G3642*0.20)</f>
        <v/>
      </c>
      <c r="K3642" s="8">
        <f>IF(G3642="","",G3642+J3642)</f>
        <v/>
      </c>
    </row>
    <row r="3643">
      <c r="F3643" s="8" t="n"/>
      <c r="G3643" s="8">
        <f>IF(E3643="","",E3643*F3643)</f>
        <v/>
      </c>
      <c r="H3643" s="8">
        <f>IF(G3643="","",G3643-I3643)</f>
        <v/>
      </c>
      <c r="I3643" s="8">
        <f>IF(D3643="","",VLOOKUP(D3643, RECETTES!B:G, 6, FALSE)*E3643)</f>
        <v/>
      </c>
      <c r="J3643" s="8">
        <f>IF(G3643="","",G3643*0.20)</f>
        <v/>
      </c>
      <c r="K3643" s="8">
        <f>IF(G3643="","",G3643+J3643)</f>
        <v/>
      </c>
    </row>
    <row r="3644">
      <c r="F3644" s="8" t="n"/>
      <c r="G3644" s="8">
        <f>IF(E3644="","",E3644*F3644)</f>
        <v/>
      </c>
      <c r="H3644" s="8">
        <f>IF(G3644="","",G3644-I3644)</f>
        <v/>
      </c>
      <c r="I3644" s="8">
        <f>IF(D3644="","",VLOOKUP(D3644, RECETTES!B:G, 6, FALSE)*E3644)</f>
        <v/>
      </c>
      <c r="J3644" s="8">
        <f>IF(G3644="","",G3644*0.20)</f>
        <v/>
      </c>
      <c r="K3644" s="8">
        <f>IF(G3644="","",G3644+J3644)</f>
        <v/>
      </c>
    </row>
    <row r="3645">
      <c r="F3645" s="8" t="n"/>
      <c r="G3645" s="8">
        <f>IF(E3645="","",E3645*F3645)</f>
        <v/>
      </c>
      <c r="H3645" s="8">
        <f>IF(G3645="","",G3645-I3645)</f>
        <v/>
      </c>
      <c r="I3645" s="8">
        <f>IF(D3645="","",VLOOKUP(D3645, RECETTES!B:G, 6, FALSE)*E3645)</f>
        <v/>
      </c>
      <c r="J3645" s="8">
        <f>IF(G3645="","",G3645*0.20)</f>
        <v/>
      </c>
      <c r="K3645" s="8">
        <f>IF(G3645="","",G3645+J3645)</f>
        <v/>
      </c>
    </row>
    <row r="3646">
      <c r="F3646" s="8" t="n"/>
      <c r="G3646" s="8">
        <f>IF(E3646="","",E3646*F3646)</f>
        <v/>
      </c>
      <c r="H3646" s="8">
        <f>IF(G3646="","",G3646-I3646)</f>
        <v/>
      </c>
      <c r="I3646" s="8">
        <f>IF(D3646="","",VLOOKUP(D3646, RECETTES!B:G, 6, FALSE)*E3646)</f>
        <v/>
      </c>
      <c r="J3646" s="8">
        <f>IF(G3646="","",G3646*0.20)</f>
        <v/>
      </c>
      <c r="K3646" s="8">
        <f>IF(G3646="","",G3646+J3646)</f>
        <v/>
      </c>
    </row>
    <row r="3647">
      <c r="F3647" s="8" t="n"/>
      <c r="G3647" s="8">
        <f>IF(E3647="","",E3647*F3647)</f>
        <v/>
      </c>
      <c r="H3647" s="8">
        <f>IF(G3647="","",G3647-I3647)</f>
        <v/>
      </c>
      <c r="I3647" s="8">
        <f>IF(D3647="","",VLOOKUP(D3647, RECETTES!B:G, 6, FALSE)*E3647)</f>
        <v/>
      </c>
      <c r="J3647" s="8">
        <f>IF(G3647="","",G3647*0.20)</f>
        <v/>
      </c>
      <c r="K3647" s="8">
        <f>IF(G3647="","",G3647+J3647)</f>
        <v/>
      </c>
    </row>
    <row r="3648">
      <c r="F3648" s="8" t="n"/>
      <c r="G3648" s="8">
        <f>IF(E3648="","",E3648*F3648)</f>
        <v/>
      </c>
      <c r="H3648" s="8">
        <f>IF(G3648="","",G3648-I3648)</f>
        <v/>
      </c>
      <c r="I3648" s="8">
        <f>IF(D3648="","",VLOOKUP(D3648, RECETTES!B:G, 6, FALSE)*E3648)</f>
        <v/>
      </c>
      <c r="J3648" s="8">
        <f>IF(G3648="","",G3648*0.20)</f>
        <v/>
      </c>
      <c r="K3648" s="8">
        <f>IF(G3648="","",G3648+J3648)</f>
        <v/>
      </c>
    </row>
    <row r="3649">
      <c r="F3649" s="8" t="n"/>
      <c r="G3649" s="8">
        <f>IF(E3649="","",E3649*F3649)</f>
        <v/>
      </c>
      <c r="H3649" s="8">
        <f>IF(G3649="","",G3649-I3649)</f>
        <v/>
      </c>
      <c r="I3649" s="8">
        <f>IF(D3649="","",VLOOKUP(D3649, RECETTES!B:G, 6, FALSE)*E3649)</f>
        <v/>
      </c>
      <c r="J3649" s="8">
        <f>IF(G3649="","",G3649*0.20)</f>
        <v/>
      </c>
      <c r="K3649" s="8">
        <f>IF(G3649="","",G3649+J3649)</f>
        <v/>
      </c>
    </row>
    <row r="3650">
      <c r="F3650" s="8" t="n"/>
      <c r="G3650" s="8">
        <f>IF(E3650="","",E3650*F3650)</f>
        <v/>
      </c>
      <c r="H3650" s="8">
        <f>IF(G3650="","",G3650-I3650)</f>
        <v/>
      </c>
      <c r="I3650" s="8">
        <f>IF(D3650="","",VLOOKUP(D3650, RECETTES!B:G, 6, FALSE)*E3650)</f>
        <v/>
      </c>
      <c r="J3650" s="8">
        <f>IF(G3650="","",G3650*0.20)</f>
        <v/>
      </c>
      <c r="K3650" s="8">
        <f>IF(G3650="","",G3650+J3650)</f>
        <v/>
      </c>
    </row>
    <row r="3651">
      <c r="F3651" s="8" t="n"/>
      <c r="G3651" s="8">
        <f>IF(E3651="","",E3651*F3651)</f>
        <v/>
      </c>
      <c r="H3651" s="8">
        <f>IF(G3651="","",G3651-I3651)</f>
        <v/>
      </c>
      <c r="I3651" s="8">
        <f>IF(D3651="","",VLOOKUP(D3651, RECETTES!B:G, 6, FALSE)*E3651)</f>
        <v/>
      </c>
      <c r="J3651" s="8">
        <f>IF(G3651="","",G3651*0.20)</f>
        <v/>
      </c>
      <c r="K3651" s="8">
        <f>IF(G3651="","",G3651+J3651)</f>
        <v/>
      </c>
    </row>
    <row r="3652">
      <c r="F3652" s="8" t="n"/>
      <c r="G3652" s="8">
        <f>IF(E3652="","",E3652*F3652)</f>
        <v/>
      </c>
      <c r="H3652" s="8">
        <f>IF(G3652="","",G3652-I3652)</f>
        <v/>
      </c>
      <c r="I3652" s="8">
        <f>IF(D3652="","",VLOOKUP(D3652, RECETTES!B:G, 6, FALSE)*E3652)</f>
        <v/>
      </c>
      <c r="J3652" s="8">
        <f>IF(G3652="","",G3652*0.20)</f>
        <v/>
      </c>
      <c r="K3652" s="8">
        <f>IF(G3652="","",G3652+J3652)</f>
        <v/>
      </c>
    </row>
    <row r="3653">
      <c r="F3653" s="8" t="n"/>
      <c r="G3653" s="8">
        <f>IF(E3653="","",E3653*F3653)</f>
        <v/>
      </c>
      <c r="H3653" s="8">
        <f>IF(G3653="","",G3653-I3653)</f>
        <v/>
      </c>
      <c r="I3653" s="8">
        <f>IF(D3653="","",VLOOKUP(D3653, RECETTES!B:G, 6, FALSE)*E3653)</f>
        <v/>
      </c>
      <c r="J3653" s="8">
        <f>IF(G3653="","",G3653*0.20)</f>
        <v/>
      </c>
      <c r="K3653" s="8">
        <f>IF(G3653="","",G3653+J3653)</f>
        <v/>
      </c>
    </row>
    <row r="3654">
      <c r="F3654" s="8" t="n"/>
      <c r="G3654" s="8">
        <f>IF(E3654="","",E3654*F3654)</f>
        <v/>
      </c>
      <c r="H3654" s="8">
        <f>IF(G3654="","",G3654-I3654)</f>
        <v/>
      </c>
      <c r="I3654" s="8">
        <f>IF(D3654="","",VLOOKUP(D3654, RECETTES!B:G, 6, FALSE)*E3654)</f>
        <v/>
      </c>
      <c r="J3654" s="8">
        <f>IF(G3654="","",G3654*0.20)</f>
        <v/>
      </c>
      <c r="K3654" s="8">
        <f>IF(G3654="","",G3654+J3654)</f>
        <v/>
      </c>
    </row>
    <row r="3655">
      <c r="F3655" s="8" t="n"/>
      <c r="G3655" s="8">
        <f>IF(E3655="","",E3655*F3655)</f>
        <v/>
      </c>
      <c r="H3655" s="8">
        <f>IF(G3655="","",G3655-I3655)</f>
        <v/>
      </c>
      <c r="I3655" s="8">
        <f>IF(D3655="","",VLOOKUP(D3655, RECETTES!B:G, 6, FALSE)*E3655)</f>
        <v/>
      </c>
      <c r="J3655" s="8">
        <f>IF(G3655="","",G3655*0.20)</f>
        <v/>
      </c>
      <c r="K3655" s="8">
        <f>IF(G3655="","",G3655+J3655)</f>
        <v/>
      </c>
    </row>
    <row r="3656">
      <c r="F3656" s="8" t="n"/>
      <c r="G3656" s="8">
        <f>IF(E3656="","",E3656*F3656)</f>
        <v/>
      </c>
      <c r="H3656" s="8">
        <f>IF(G3656="","",G3656-I3656)</f>
        <v/>
      </c>
      <c r="I3656" s="8">
        <f>IF(D3656="","",VLOOKUP(D3656, RECETTES!B:G, 6, FALSE)*E3656)</f>
        <v/>
      </c>
      <c r="J3656" s="8">
        <f>IF(G3656="","",G3656*0.20)</f>
        <v/>
      </c>
      <c r="K3656" s="8">
        <f>IF(G3656="","",G3656+J3656)</f>
        <v/>
      </c>
    </row>
    <row r="3657">
      <c r="F3657" s="8" t="n"/>
      <c r="G3657" s="8">
        <f>IF(E3657="","",E3657*F3657)</f>
        <v/>
      </c>
      <c r="H3657" s="8">
        <f>IF(G3657="","",G3657-I3657)</f>
        <v/>
      </c>
      <c r="I3657" s="8">
        <f>IF(D3657="","",VLOOKUP(D3657, RECETTES!B:G, 6, FALSE)*E3657)</f>
        <v/>
      </c>
      <c r="J3657" s="8">
        <f>IF(G3657="","",G3657*0.20)</f>
        <v/>
      </c>
      <c r="K3657" s="8">
        <f>IF(G3657="","",G3657+J3657)</f>
        <v/>
      </c>
    </row>
    <row r="3658">
      <c r="F3658" s="8" t="n"/>
      <c r="G3658" s="8">
        <f>IF(E3658="","",E3658*F3658)</f>
        <v/>
      </c>
      <c r="H3658" s="8">
        <f>IF(G3658="","",G3658-I3658)</f>
        <v/>
      </c>
      <c r="I3658" s="8">
        <f>IF(D3658="","",VLOOKUP(D3658, RECETTES!B:G, 6, FALSE)*E3658)</f>
        <v/>
      </c>
      <c r="J3658" s="8">
        <f>IF(G3658="","",G3658*0.20)</f>
        <v/>
      </c>
      <c r="K3658" s="8">
        <f>IF(G3658="","",G3658+J3658)</f>
        <v/>
      </c>
    </row>
    <row r="3659">
      <c r="F3659" s="8" t="n"/>
      <c r="G3659" s="8">
        <f>IF(E3659="","",E3659*F3659)</f>
        <v/>
      </c>
      <c r="H3659" s="8">
        <f>IF(G3659="","",G3659-I3659)</f>
        <v/>
      </c>
      <c r="I3659" s="8">
        <f>IF(D3659="","",VLOOKUP(D3659, RECETTES!B:G, 6, FALSE)*E3659)</f>
        <v/>
      </c>
      <c r="J3659" s="8">
        <f>IF(G3659="","",G3659*0.20)</f>
        <v/>
      </c>
      <c r="K3659" s="8">
        <f>IF(G3659="","",G3659+J3659)</f>
        <v/>
      </c>
    </row>
    <row r="3660">
      <c r="F3660" s="8" t="n"/>
      <c r="G3660" s="8">
        <f>IF(E3660="","",E3660*F3660)</f>
        <v/>
      </c>
      <c r="H3660" s="8">
        <f>IF(G3660="","",G3660-I3660)</f>
        <v/>
      </c>
      <c r="I3660" s="8">
        <f>IF(D3660="","",VLOOKUP(D3660, RECETTES!B:G, 6, FALSE)*E3660)</f>
        <v/>
      </c>
      <c r="J3660" s="8">
        <f>IF(G3660="","",G3660*0.20)</f>
        <v/>
      </c>
      <c r="K3660" s="8">
        <f>IF(G3660="","",G3660+J3660)</f>
        <v/>
      </c>
    </row>
    <row r="3661">
      <c r="F3661" s="8" t="n"/>
      <c r="G3661" s="8">
        <f>IF(E3661="","",E3661*F3661)</f>
        <v/>
      </c>
      <c r="H3661" s="8">
        <f>IF(G3661="","",G3661-I3661)</f>
        <v/>
      </c>
      <c r="I3661" s="8">
        <f>IF(D3661="","",VLOOKUP(D3661, RECETTES!B:G, 6, FALSE)*E3661)</f>
        <v/>
      </c>
      <c r="J3661" s="8">
        <f>IF(G3661="","",G3661*0.20)</f>
        <v/>
      </c>
      <c r="K3661" s="8">
        <f>IF(G3661="","",G3661+J3661)</f>
        <v/>
      </c>
    </row>
    <row r="3662">
      <c r="F3662" s="8" t="n"/>
      <c r="G3662" s="8">
        <f>IF(E3662="","",E3662*F3662)</f>
        <v/>
      </c>
      <c r="H3662" s="8">
        <f>IF(G3662="","",G3662-I3662)</f>
        <v/>
      </c>
      <c r="I3662" s="8">
        <f>IF(D3662="","",VLOOKUP(D3662, RECETTES!B:G, 6, FALSE)*E3662)</f>
        <v/>
      </c>
      <c r="J3662" s="8">
        <f>IF(G3662="","",G3662*0.20)</f>
        <v/>
      </c>
      <c r="K3662" s="8">
        <f>IF(G3662="","",G3662+J3662)</f>
        <v/>
      </c>
    </row>
    <row r="3663">
      <c r="F3663" s="8" t="n"/>
      <c r="G3663" s="8">
        <f>IF(E3663="","",E3663*F3663)</f>
        <v/>
      </c>
      <c r="H3663" s="8">
        <f>IF(G3663="","",G3663-I3663)</f>
        <v/>
      </c>
      <c r="I3663" s="8">
        <f>IF(D3663="","",VLOOKUP(D3663, RECETTES!B:G, 6, FALSE)*E3663)</f>
        <v/>
      </c>
      <c r="J3663" s="8">
        <f>IF(G3663="","",G3663*0.20)</f>
        <v/>
      </c>
      <c r="K3663" s="8">
        <f>IF(G3663="","",G3663+J3663)</f>
        <v/>
      </c>
    </row>
    <row r="3664">
      <c r="F3664" s="8" t="n"/>
      <c r="G3664" s="8">
        <f>IF(E3664="","",E3664*F3664)</f>
        <v/>
      </c>
      <c r="H3664" s="8">
        <f>IF(G3664="","",G3664-I3664)</f>
        <v/>
      </c>
      <c r="I3664" s="8">
        <f>IF(D3664="","",VLOOKUP(D3664, RECETTES!B:G, 6, FALSE)*E3664)</f>
        <v/>
      </c>
      <c r="J3664" s="8">
        <f>IF(G3664="","",G3664*0.20)</f>
        <v/>
      </c>
      <c r="K3664" s="8">
        <f>IF(G3664="","",G3664+J3664)</f>
        <v/>
      </c>
    </row>
    <row r="3665">
      <c r="F3665" s="8" t="n"/>
      <c r="G3665" s="8">
        <f>IF(E3665="","",E3665*F3665)</f>
        <v/>
      </c>
      <c r="H3665" s="8">
        <f>IF(G3665="","",G3665-I3665)</f>
        <v/>
      </c>
      <c r="I3665" s="8">
        <f>IF(D3665="","",VLOOKUP(D3665, RECETTES!B:G, 6, FALSE)*E3665)</f>
        <v/>
      </c>
      <c r="J3665" s="8">
        <f>IF(G3665="","",G3665*0.20)</f>
        <v/>
      </c>
      <c r="K3665" s="8">
        <f>IF(G3665="","",G3665+J3665)</f>
        <v/>
      </c>
    </row>
    <row r="3666">
      <c r="F3666" s="8" t="n"/>
      <c r="G3666" s="8">
        <f>IF(E3666="","",E3666*F3666)</f>
        <v/>
      </c>
      <c r="H3666" s="8">
        <f>IF(G3666="","",G3666-I3666)</f>
        <v/>
      </c>
      <c r="I3666" s="8">
        <f>IF(D3666="","",VLOOKUP(D3666, RECETTES!B:G, 6, FALSE)*E3666)</f>
        <v/>
      </c>
      <c r="J3666" s="8">
        <f>IF(G3666="","",G3666*0.20)</f>
        <v/>
      </c>
      <c r="K3666" s="8">
        <f>IF(G3666="","",G3666+J3666)</f>
        <v/>
      </c>
    </row>
    <row r="3667">
      <c r="F3667" s="8" t="n"/>
      <c r="G3667" s="8">
        <f>IF(E3667="","",E3667*F3667)</f>
        <v/>
      </c>
      <c r="H3667" s="8">
        <f>IF(G3667="","",G3667-I3667)</f>
        <v/>
      </c>
      <c r="I3667" s="8">
        <f>IF(D3667="","",VLOOKUP(D3667, RECETTES!B:G, 6, FALSE)*E3667)</f>
        <v/>
      </c>
      <c r="J3667" s="8">
        <f>IF(G3667="","",G3667*0.20)</f>
        <v/>
      </c>
      <c r="K3667" s="8">
        <f>IF(G3667="","",G3667+J3667)</f>
        <v/>
      </c>
    </row>
    <row r="3668">
      <c r="F3668" s="8" t="n"/>
      <c r="G3668" s="8">
        <f>IF(E3668="","",E3668*F3668)</f>
        <v/>
      </c>
      <c r="H3668" s="8">
        <f>IF(G3668="","",G3668-I3668)</f>
        <v/>
      </c>
      <c r="I3668" s="8">
        <f>IF(D3668="","",VLOOKUP(D3668, RECETTES!B:G, 6, FALSE)*E3668)</f>
        <v/>
      </c>
      <c r="J3668" s="8">
        <f>IF(G3668="","",G3668*0.20)</f>
        <v/>
      </c>
      <c r="K3668" s="8">
        <f>IF(G3668="","",G3668+J3668)</f>
        <v/>
      </c>
    </row>
    <row r="3669">
      <c r="F3669" s="8" t="n"/>
      <c r="G3669" s="8">
        <f>IF(E3669="","",E3669*F3669)</f>
        <v/>
      </c>
      <c r="H3669" s="8">
        <f>IF(G3669="","",G3669-I3669)</f>
        <v/>
      </c>
      <c r="I3669" s="8">
        <f>IF(D3669="","",VLOOKUP(D3669, RECETTES!B:G, 6, FALSE)*E3669)</f>
        <v/>
      </c>
      <c r="J3669" s="8">
        <f>IF(G3669="","",G3669*0.20)</f>
        <v/>
      </c>
      <c r="K3669" s="8">
        <f>IF(G3669="","",G3669+J3669)</f>
        <v/>
      </c>
    </row>
    <row r="3670">
      <c r="F3670" s="8" t="n"/>
      <c r="G3670" s="8">
        <f>IF(E3670="","",E3670*F3670)</f>
        <v/>
      </c>
      <c r="H3670" s="8">
        <f>IF(G3670="","",G3670-I3670)</f>
        <v/>
      </c>
      <c r="I3670" s="8">
        <f>IF(D3670="","",VLOOKUP(D3670, RECETTES!B:G, 6, FALSE)*E3670)</f>
        <v/>
      </c>
      <c r="J3670" s="8">
        <f>IF(G3670="","",G3670*0.20)</f>
        <v/>
      </c>
      <c r="K3670" s="8">
        <f>IF(G3670="","",G3670+J3670)</f>
        <v/>
      </c>
    </row>
    <row r="3671">
      <c r="F3671" s="8" t="n"/>
      <c r="G3671" s="8">
        <f>IF(E3671="","",E3671*F3671)</f>
        <v/>
      </c>
      <c r="H3671" s="8">
        <f>IF(G3671="","",G3671-I3671)</f>
        <v/>
      </c>
      <c r="I3671" s="8">
        <f>IF(D3671="","",VLOOKUP(D3671, RECETTES!B:G, 6, FALSE)*E3671)</f>
        <v/>
      </c>
      <c r="J3671" s="8">
        <f>IF(G3671="","",G3671*0.20)</f>
        <v/>
      </c>
      <c r="K3671" s="8">
        <f>IF(G3671="","",G3671+J3671)</f>
        <v/>
      </c>
    </row>
    <row r="3672">
      <c r="F3672" s="8" t="n"/>
      <c r="G3672" s="8">
        <f>IF(E3672="","",E3672*F3672)</f>
        <v/>
      </c>
      <c r="H3672" s="8">
        <f>IF(G3672="","",G3672-I3672)</f>
        <v/>
      </c>
      <c r="I3672" s="8">
        <f>IF(D3672="","",VLOOKUP(D3672, RECETTES!B:G, 6, FALSE)*E3672)</f>
        <v/>
      </c>
      <c r="J3672" s="8">
        <f>IF(G3672="","",G3672*0.20)</f>
        <v/>
      </c>
      <c r="K3672" s="8">
        <f>IF(G3672="","",G3672+J3672)</f>
        <v/>
      </c>
    </row>
    <row r="3673">
      <c r="F3673" s="8" t="n"/>
      <c r="G3673" s="8">
        <f>IF(E3673="","",E3673*F3673)</f>
        <v/>
      </c>
      <c r="H3673" s="8">
        <f>IF(G3673="","",G3673-I3673)</f>
        <v/>
      </c>
      <c r="I3673" s="8">
        <f>IF(D3673="","",VLOOKUP(D3673, RECETTES!B:G, 6, FALSE)*E3673)</f>
        <v/>
      </c>
      <c r="J3673" s="8">
        <f>IF(G3673="","",G3673*0.20)</f>
        <v/>
      </c>
      <c r="K3673" s="8">
        <f>IF(G3673="","",G3673+J3673)</f>
        <v/>
      </c>
    </row>
    <row r="3674">
      <c r="F3674" s="8" t="n"/>
      <c r="G3674" s="8">
        <f>IF(E3674="","",E3674*F3674)</f>
        <v/>
      </c>
      <c r="H3674" s="8">
        <f>IF(G3674="","",G3674-I3674)</f>
        <v/>
      </c>
      <c r="I3674" s="8">
        <f>IF(D3674="","",VLOOKUP(D3674, RECETTES!B:G, 6, FALSE)*E3674)</f>
        <v/>
      </c>
      <c r="J3674" s="8">
        <f>IF(G3674="","",G3674*0.20)</f>
        <v/>
      </c>
      <c r="K3674" s="8">
        <f>IF(G3674="","",G3674+J3674)</f>
        <v/>
      </c>
    </row>
    <row r="3675">
      <c r="F3675" s="8" t="n"/>
      <c r="G3675" s="8">
        <f>IF(E3675="","",E3675*F3675)</f>
        <v/>
      </c>
      <c r="H3675" s="8">
        <f>IF(G3675="","",G3675-I3675)</f>
        <v/>
      </c>
      <c r="I3675" s="8">
        <f>IF(D3675="","",VLOOKUP(D3675, RECETTES!B:G, 6, FALSE)*E3675)</f>
        <v/>
      </c>
      <c r="J3675" s="8">
        <f>IF(G3675="","",G3675*0.20)</f>
        <v/>
      </c>
      <c r="K3675" s="8">
        <f>IF(G3675="","",G3675+J3675)</f>
        <v/>
      </c>
    </row>
    <row r="3676">
      <c r="F3676" s="8" t="n"/>
      <c r="G3676" s="8">
        <f>IF(E3676="","",E3676*F3676)</f>
        <v/>
      </c>
      <c r="H3676" s="8">
        <f>IF(G3676="","",G3676-I3676)</f>
        <v/>
      </c>
      <c r="I3676" s="8">
        <f>IF(D3676="","",VLOOKUP(D3676, RECETTES!B:G, 6, FALSE)*E3676)</f>
        <v/>
      </c>
      <c r="J3676" s="8">
        <f>IF(G3676="","",G3676*0.20)</f>
        <v/>
      </c>
      <c r="K3676" s="8">
        <f>IF(G3676="","",G3676+J3676)</f>
        <v/>
      </c>
    </row>
    <row r="3677">
      <c r="F3677" s="8" t="n"/>
      <c r="G3677" s="8">
        <f>IF(E3677="","",E3677*F3677)</f>
        <v/>
      </c>
      <c r="H3677" s="8">
        <f>IF(G3677="","",G3677-I3677)</f>
        <v/>
      </c>
      <c r="I3677" s="8">
        <f>IF(D3677="","",VLOOKUP(D3677, RECETTES!B:G, 6, FALSE)*E3677)</f>
        <v/>
      </c>
      <c r="J3677" s="8">
        <f>IF(G3677="","",G3677*0.20)</f>
        <v/>
      </c>
      <c r="K3677" s="8">
        <f>IF(G3677="","",G3677+J3677)</f>
        <v/>
      </c>
    </row>
    <row r="3678">
      <c r="F3678" s="8" t="n"/>
      <c r="G3678" s="8">
        <f>IF(E3678="","",E3678*F3678)</f>
        <v/>
      </c>
      <c r="H3678" s="8">
        <f>IF(G3678="","",G3678-I3678)</f>
        <v/>
      </c>
      <c r="I3678" s="8">
        <f>IF(D3678="","",VLOOKUP(D3678, RECETTES!B:G, 6, FALSE)*E3678)</f>
        <v/>
      </c>
      <c r="J3678" s="8">
        <f>IF(G3678="","",G3678*0.20)</f>
        <v/>
      </c>
      <c r="K3678" s="8">
        <f>IF(G3678="","",G3678+J3678)</f>
        <v/>
      </c>
    </row>
    <row r="3679">
      <c r="F3679" s="8" t="n"/>
      <c r="G3679" s="8">
        <f>IF(E3679="","",E3679*F3679)</f>
        <v/>
      </c>
      <c r="H3679" s="8">
        <f>IF(G3679="","",G3679-I3679)</f>
        <v/>
      </c>
      <c r="I3679" s="8">
        <f>IF(D3679="","",VLOOKUP(D3679, RECETTES!B:G, 6, FALSE)*E3679)</f>
        <v/>
      </c>
      <c r="J3679" s="8">
        <f>IF(G3679="","",G3679*0.20)</f>
        <v/>
      </c>
      <c r="K3679" s="8">
        <f>IF(G3679="","",G3679+J3679)</f>
        <v/>
      </c>
    </row>
    <row r="3680">
      <c r="F3680" s="8" t="n"/>
      <c r="G3680" s="8">
        <f>IF(E3680="","",E3680*F3680)</f>
        <v/>
      </c>
      <c r="H3680" s="8">
        <f>IF(G3680="","",G3680-I3680)</f>
        <v/>
      </c>
      <c r="I3680" s="8">
        <f>IF(D3680="","",VLOOKUP(D3680, RECETTES!B:G, 6, FALSE)*E3680)</f>
        <v/>
      </c>
      <c r="J3680" s="8">
        <f>IF(G3680="","",G3680*0.20)</f>
        <v/>
      </c>
      <c r="K3680" s="8">
        <f>IF(G3680="","",G3680+J3680)</f>
        <v/>
      </c>
    </row>
    <row r="3681">
      <c r="F3681" s="8" t="n"/>
      <c r="G3681" s="8">
        <f>IF(E3681="","",E3681*F3681)</f>
        <v/>
      </c>
      <c r="H3681" s="8">
        <f>IF(G3681="","",G3681-I3681)</f>
        <v/>
      </c>
      <c r="I3681" s="8">
        <f>IF(D3681="","",VLOOKUP(D3681, RECETTES!B:G, 6, FALSE)*E3681)</f>
        <v/>
      </c>
      <c r="J3681" s="8">
        <f>IF(G3681="","",G3681*0.20)</f>
        <v/>
      </c>
      <c r="K3681" s="8">
        <f>IF(G3681="","",G3681+J3681)</f>
        <v/>
      </c>
    </row>
    <row r="3682">
      <c r="F3682" s="8" t="n"/>
      <c r="G3682" s="8">
        <f>IF(E3682="","",E3682*F3682)</f>
        <v/>
      </c>
      <c r="H3682" s="8">
        <f>IF(G3682="","",G3682-I3682)</f>
        <v/>
      </c>
      <c r="I3682" s="8">
        <f>IF(D3682="","",VLOOKUP(D3682, RECETTES!B:G, 6, FALSE)*E3682)</f>
        <v/>
      </c>
      <c r="J3682" s="8">
        <f>IF(G3682="","",G3682*0.20)</f>
        <v/>
      </c>
      <c r="K3682" s="8">
        <f>IF(G3682="","",G3682+J3682)</f>
        <v/>
      </c>
    </row>
    <row r="3683">
      <c r="F3683" s="8" t="n"/>
      <c r="G3683" s="8">
        <f>IF(E3683="","",E3683*F3683)</f>
        <v/>
      </c>
      <c r="H3683" s="8">
        <f>IF(G3683="","",G3683-I3683)</f>
        <v/>
      </c>
      <c r="I3683" s="8">
        <f>IF(D3683="","",VLOOKUP(D3683, RECETTES!B:G, 6, FALSE)*E3683)</f>
        <v/>
      </c>
      <c r="J3683" s="8">
        <f>IF(G3683="","",G3683*0.20)</f>
        <v/>
      </c>
      <c r="K3683" s="8">
        <f>IF(G3683="","",G3683+J3683)</f>
        <v/>
      </c>
    </row>
    <row r="3684">
      <c r="F3684" s="8" t="n"/>
      <c r="G3684" s="8">
        <f>IF(E3684="","",E3684*F3684)</f>
        <v/>
      </c>
      <c r="H3684" s="8">
        <f>IF(G3684="","",G3684-I3684)</f>
        <v/>
      </c>
      <c r="I3684" s="8">
        <f>IF(D3684="","",VLOOKUP(D3684, RECETTES!B:G, 6, FALSE)*E3684)</f>
        <v/>
      </c>
      <c r="J3684" s="8">
        <f>IF(G3684="","",G3684*0.20)</f>
        <v/>
      </c>
      <c r="K3684" s="8">
        <f>IF(G3684="","",G3684+J3684)</f>
        <v/>
      </c>
    </row>
    <row r="3685">
      <c r="F3685" s="8" t="n"/>
      <c r="G3685" s="8">
        <f>IF(E3685="","",E3685*F3685)</f>
        <v/>
      </c>
      <c r="H3685" s="8">
        <f>IF(G3685="","",G3685-I3685)</f>
        <v/>
      </c>
      <c r="I3685" s="8">
        <f>IF(D3685="","",VLOOKUP(D3685, RECETTES!B:G, 6, FALSE)*E3685)</f>
        <v/>
      </c>
      <c r="J3685" s="8">
        <f>IF(G3685="","",G3685*0.20)</f>
        <v/>
      </c>
      <c r="K3685" s="8">
        <f>IF(G3685="","",G3685+J3685)</f>
        <v/>
      </c>
    </row>
    <row r="3686">
      <c r="F3686" s="8" t="n"/>
      <c r="G3686" s="8">
        <f>IF(E3686="","",E3686*F3686)</f>
        <v/>
      </c>
      <c r="H3686" s="8">
        <f>IF(G3686="","",G3686-I3686)</f>
        <v/>
      </c>
      <c r="I3686" s="8">
        <f>IF(D3686="","",VLOOKUP(D3686, RECETTES!B:G, 6, FALSE)*E3686)</f>
        <v/>
      </c>
      <c r="J3686" s="8">
        <f>IF(G3686="","",G3686*0.20)</f>
        <v/>
      </c>
      <c r="K3686" s="8">
        <f>IF(G3686="","",G3686+J3686)</f>
        <v/>
      </c>
    </row>
    <row r="3687">
      <c r="F3687" s="8" t="n"/>
      <c r="G3687" s="8">
        <f>IF(E3687="","",E3687*F3687)</f>
        <v/>
      </c>
      <c r="H3687" s="8">
        <f>IF(G3687="","",G3687-I3687)</f>
        <v/>
      </c>
      <c r="I3687" s="8">
        <f>IF(D3687="","",VLOOKUP(D3687, RECETTES!B:G, 6, FALSE)*E3687)</f>
        <v/>
      </c>
      <c r="J3687" s="8">
        <f>IF(G3687="","",G3687*0.20)</f>
        <v/>
      </c>
      <c r="K3687" s="8">
        <f>IF(G3687="","",G3687+J3687)</f>
        <v/>
      </c>
    </row>
    <row r="3688">
      <c r="F3688" s="8" t="n"/>
      <c r="G3688" s="8">
        <f>IF(E3688="","",E3688*F3688)</f>
        <v/>
      </c>
      <c r="H3688" s="8">
        <f>IF(G3688="","",G3688-I3688)</f>
        <v/>
      </c>
      <c r="I3688" s="8">
        <f>IF(D3688="","",VLOOKUP(D3688, RECETTES!B:G, 6, FALSE)*E3688)</f>
        <v/>
      </c>
      <c r="J3688" s="8">
        <f>IF(G3688="","",G3688*0.20)</f>
        <v/>
      </c>
      <c r="K3688" s="8">
        <f>IF(G3688="","",G3688+J3688)</f>
        <v/>
      </c>
    </row>
    <row r="3689">
      <c r="F3689" s="8" t="n"/>
      <c r="G3689" s="8">
        <f>IF(E3689="","",E3689*F3689)</f>
        <v/>
      </c>
      <c r="H3689" s="8">
        <f>IF(G3689="","",G3689-I3689)</f>
        <v/>
      </c>
      <c r="I3689" s="8">
        <f>IF(D3689="","",VLOOKUP(D3689, RECETTES!B:G, 6, FALSE)*E3689)</f>
        <v/>
      </c>
      <c r="J3689" s="8">
        <f>IF(G3689="","",G3689*0.20)</f>
        <v/>
      </c>
      <c r="K3689" s="8">
        <f>IF(G3689="","",G3689+J3689)</f>
        <v/>
      </c>
    </row>
    <row r="3690">
      <c r="F3690" s="8" t="n"/>
      <c r="G3690" s="8">
        <f>IF(E3690="","",E3690*F3690)</f>
        <v/>
      </c>
      <c r="H3690" s="8">
        <f>IF(G3690="","",G3690-I3690)</f>
        <v/>
      </c>
      <c r="I3690" s="8">
        <f>IF(D3690="","",VLOOKUP(D3690, RECETTES!B:G, 6, FALSE)*E3690)</f>
        <v/>
      </c>
      <c r="J3690" s="8">
        <f>IF(G3690="","",G3690*0.20)</f>
        <v/>
      </c>
      <c r="K3690" s="8">
        <f>IF(G3690="","",G3690+J3690)</f>
        <v/>
      </c>
    </row>
    <row r="3691">
      <c r="F3691" s="8" t="n"/>
      <c r="G3691" s="8">
        <f>IF(E3691="","",E3691*F3691)</f>
        <v/>
      </c>
      <c r="H3691" s="8">
        <f>IF(G3691="","",G3691-I3691)</f>
        <v/>
      </c>
      <c r="I3691" s="8">
        <f>IF(D3691="","",VLOOKUP(D3691, RECETTES!B:G, 6, FALSE)*E3691)</f>
        <v/>
      </c>
      <c r="J3691" s="8">
        <f>IF(G3691="","",G3691*0.20)</f>
        <v/>
      </c>
      <c r="K3691" s="8">
        <f>IF(G3691="","",G3691+J3691)</f>
        <v/>
      </c>
    </row>
    <row r="3692">
      <c r="F3692" s="8" t="n"/>
      <c r="G3692" s="8">
        <f>IF(E3692="","",E3692*F3692)</f>
        <v/>
      </c>
      <c r="H3692" s="8">
        <f>IF(G3692="","",G3692-I3692)</f>
        <v/>
      </c>
      <c r="I3692" s="8">
        <f>IF(D3692="","",VLOOKUP(D3692, RECETTES!B:G, 6, FALSE)*E3692)</f>
        <v/>
      </c>
      <c r="J3692" s="8">
        <f>IF(G3692="","",G3692*0.20)</f>
        <v/>
      </c>
      <c r="K3692" s="8">
        <f>IF(G3692="","",G3692+J3692)</f>
        <v/>
      </c>
    </row>
    <row r="3693">
      <c r="F3693" s="8" t="n"/>
      <c r="G3693" s="8">
        <f>IF(E3693="","",E3693*F3693)</f>
        <v/>
      </c>
      <c r="H3693" s="8">
        <f>IF(G3693="","",G3693-I3693)</f>
        <v/>
      </c>
      <c r="I3693" s="8">
        <f>IF(D3693="","",VLOOKUP(D3693, RECETTES!B:G, 6, FALSE)*E3693)</f>
        <v/>
      </c>
      <c r="J3693" s="8">
        <f>IF(G3693="","",G3693*0.20)</f>
        <v/>
      </c>
      <c r="K3693" s="8">
        <f>IF(G3693="","",G3693+J3693)</f>
        <v/>
      </c>
    </row>
    <row r="3694">
      <c r="F3694" s="8" t="n"/>
      <c r="G3694" s="8">
        <f>IF(E3694="","",E3694*F3694)</f>
        <v/>
      </c>
      <c r="H3694" s="8">
        <f>IF(G3694="","",G3694-I3694)</f>
        <v/>
      </c>
      <c r="I3694" s="8">
        <f>IF(D3694="","",VLOOKUP(D3694, RECETTES!B:G, 6, FALSE)*E3694)</f>
        <v/>
      </c>
      <c r="J3694" s="8">
        <f>IF(G3694="","",G3694*0.20)</f>
        <v/>
      </c>
      <c r="K3694" s="8">
        <f>IF(G3694="","",G3694+J3694)</f>
        <v/>
      </c>
    </row>
    <row r="3695">
      <c r="F3695" s="8" t="n"/>
      <c r="G3695" s="8">
        <f>IF(E3695="","",E3695*F3695)</f>
        <v/>
      </c>
      <c r="H3695" s="8">
        <f>IF(G3695="","",G3695-I3695)</f>
        <v/>
      </c>
      <c r="I3695" s="8">
        <f>IF(D3695="","",VLOOKUP(D3695, RECETTES!B:G, 6, FALSE)*E3695)</f>
        <v/>
      </c>
      <c r="J3695" s="8">
        <f>IF(G3695="","",G3695*0.20)</f>
        <v/>
      </c>
      <c r="K3695" s="8">
        <f>IF(G3695="","",G3695+J3695)</f>
        <v/>
      </c>
    </row>
    <row r="3696">
      <c r="F3696" s="8" t="n"/>
      <c r="G3696" s="8">
        <f>IF(E3696="","",E3696*F3696)</f>
        <v/>
      </c>
      <c r="H3696" s="8">
        <f>IF(G3696="","",G3696-I3696)</f>
        <v/>
      </c>
      <c r="I3696" s="8">
        <f>IF(D3696="","",VLOOKUP(D3696, RECETTES!B:G, 6, FALSE)*E3696)</f>
        <v/>
      </c>
      <c r="J3696" s="8">
        <f>IF(G3696="","",G3696*0.20)</f>
        <v/>
      </c>
      <c r="K3696" s="8">
        <f>IF(G3696="","",G3696+J3696)</f>
        <v/>
      </c>
    </row>
    <row r="3697">
      <c r="F3697" s="8" t="n"/>
      <c r="G3697" s="8">
        <f>IF(E3697="","",E3697*F3697)</f>
        <v/>
      </c>
      <c r="H3697" s="8">
        <f>IF(G3697="","",G3697-I3697)</f>
        <v/>
      </c>
      <c r="I3697" s="8">
        <f>IF(D3697="","",VLOOKUP(D3697, RECETTES!B:G, 6, FALSE)*E3697)</f>
        <v/>
      </c>
      <c r="J3697" s="8">
        <f>IF(G3697="","",G3697*0.20)</f>
        <v/>
      </c>
      <c r="K3697" s="8">
        <f>IF(G3697="","",G3697+J3697)</f>
        <v/>
      </c>
    </row>
    <row r="3698">
      <c r="F3698" s="8" t="n"/>
      <c r="G3698" s="8">
        <f>IF(E3698="","",E3698*F3698)</f>
        <v/>
      </c>
      <c r="H3698" s="8">
        <f>IF(G3698="","",G3698-I3698)</f>
        <v/>
      </c>
      <c r="I3698" s="8">
        <f>IF(D3698="","",VLOOKUP(D3698, RECETTES!B:G, 6, FALSE)*E3698)</f>
        <v/>
      </c>
      <c r="J3698" s="8">
        <f>IF(G3698="","",G3698*0.20)</f>
        <v/>
      </c>
      <c r="K3698" s="8">
        <f>IF(G3698="","",G3698+J3698)</f>
        <v/>
      </c>
    </row>
    <row r="3699">
      <c r="F3699" s="8" t="n"/>
      <c r="G3699" s="8">
        <f>IF(E3699="","",E3699*F3699)</f>
        <v/>
      </c>
      <c r="H3699" s="8">
        <f>IF(G3699="","",G3699-I3699)</f>
        <v/>
      </c>
      <c r="I3699" s="8">
        <f>IF(D3699="","",VLOOKUP(D3699, RECETTES!B:G, 6, FALSE)*E3699)</f>
        <v/>
      </c>
      <c r="J3699" s="8">
        <f>IF(G3699="","",G3699*0.20)</f>
        <v/>
      </c>
      <c r="K3699" s="8">
        <f>IF(G3699="","",G3699+J3699)</f>
        <v/>
      </c>
    </row>
    <row r="3700">
      <c r="F3700" s="8" t="n"/>
      <c r="G3700" s="8">
        <f>IF(E3700="","",E3700*F3700)</f>
        <v/>
      </c>
      <c r="H3700" s="8">
        <f>IF(G3700="","",G3700-I3700)</f>
        <v/>
      </c>
      <c r="I3700" s="8">
        <f>IF(D3700="","",VLOOKUP(D3700, RECETTES!B:G, 6, FALSE)*E3700)</f>
        <v/>
      </c>
      <c r="J3700" s="8">
        <f>IF(G3700="","",G3700*0.20)</f>
        <v/>
      </c>
      <c r="K3700" s="8">
        <f>IF(G3700="","",G3700+J3700)</f>
        <v/>
      </c>
    </row>
    <row r="3701">
      <c r="F3701" s="8" t="n"/>
      <c r="G3701" s="8">
        <f>IF(E3701="","",E3701*F3701)</f>
        <v/>
      </c>
      <c r="H3701" s="8">
        <f>IF(G3701="","",G3701-I3701)</f>
        <v/>
      </c>
      <c r="I3701" s="8">
        <f>IF(D3701="","",VLOOKUP(D3701, RECETTES!B:G, 6, FALSE)*E3701)</f>
        <v/>
      </c>
      <c r="J3701" s="8">
        <f>IF(G3701="","",G3701*0.20)</f>
        <v/>
      </c>
      <c r="K3701" s="8">
        <f>IF(G3701="","",G3701+J3701)</f>
        <v/>
      </c>
    </row>
    <row r="3702">
      <c r="F3702" s="8" t="n"/>
      <c r="G3702" s="8">
        <f>IF(E3702="","",E3702*F3702)</f>
        <v/>
      </c>
      <c r="H3702" s="8">
        <f>IF(G3702="","",G3702-I3702)</f>
        <v/>
      </c>
      <c r="I3702" s="8">
        <f>IF(D3702="","",VLOOKUP(D3702, RECETTES!B:G, 6, FALSE)*E3702)</f>
        <v/>
      </c>
      <c r="J3702" s="8">
        <f>IF(G3702="","",G3702*0.20)</f>
        <v/>
      </c>
      <c r="K3702" s="8">
        <f>IF(G3702="","",G3702+J3702)</f>
        <v/>
      </c>
    </row>
    <row r="3703">
      <c r="F3703" s="8" t="n"/>
      <c r="G3703" s="8">
        <f>IF(E3703="","",E3703*F3703)</f>
        <v/>
      </c>
      <c r="H3703" s="8">
        <f>IF(G3703="","",G3703-I3703)</f>
        <v/>
      </c>
      <c r="I3703" s="8">
        <f>IF(D3703="","",VLOOKUP(D3703, RECETTES!B:G, 6, FALSE)*E3703)</f>
        <v/>
      </c>
      <c r="J3703" s="8">
        <f>IF(G3703="","",G3703*0.20)</f>
        <v/>
      </c>
      <c r="K3703" s="8">
        <f>IF(G3703="","",G3703+J3703)</f>
        <v/>
      </c>
    </row>
    <row r="3704">
      <c r="F3704" s="8" t="n"/>
      <c r="G3704" s="8">
        <f>IF(E3704="","",E3704*F3704)</f>
        <v/>
      </c>
      <c r="H3704" s="8">
        <f>IF(G3704="","",G3704-I3704)</f>
        <v/>
      </c>
      <c r="I3704" s="8">
        <f>IF(D3704="","",VLOOKUP(D3704, RECETTES!B:G, 6, FALSE)*E3704)</f>
        <v/>
      </c>
      <c r="J3704" s="8">
        <f>IF(G3704="","",G3704*0.20)</f>
        <v/>
      </c>
      <c r="K3704" s="8">
        <f>IF(G3704="","",G3704+J3704)</f>
        <v/>
      </c>
    </row>
    <row r="3705">
      <c r="F3705" s="8" t="n"/>
      <c r="G3705" s="8">
        <f>IF(E3705="","",E3705*F3705)</f>
        <v/>
      </c>
      <c r="H3705" s="8">
        <f>IF(G3705="","",G3705-I3705)</f>
        <v/>
      </c>
      <c r="I3705" s="8">
        <f>IF(D3705="","",VLOOKUP(D3705, RECETTES!B:G, 6, FALSE)*E3705)</f>
        <v/>
      </c>
      <c r="J3705" s="8">
        <f>IF(G3705="","",G3705*0.20)</f>
        <v/>
      </c>
      <c r="K3705" s="8">
        <f>IF(G3705="","",G3705+J3705)</f>
        <v/>
      </c>
    </row>
    <row r="3706">
      <c r="F3706" s="8" t="n"/>
      <c r="G3706" s="8">
        <f>IF(E3706="","",E3706*F3706)</f>
        <v/>
      </c>
      <c r="H3706" s="8">
        <f>IF(G3706="","",G3706-I3706)</f>
        <v/>
      </c>
      <c r="I3706" s="8">
        <f>IF(D3706="","",VLOOKUP(D3706, RECETTES!B:G, 6, FALSE)*E3706)</f>
        <v/>
      </c>
      <c r="J3706" s="8">
        <f>IF(G3706="","",G3706*0.20)</f>
        <v/>
      </c>
      <c r="K3706" s="8">
        <f>IF(G3706="","",G3706+J3706)</f>
        <v/>
      </c>
    </row>
    <row r="3707">
      <c r="F3707" s="8" t="n"/>
      <c r="G3707" s="8">
        <f>IF(E3707="","",E3707*F3707)</f>
        <v/>
      </c>
      <c r="H3707" s="8">
        <f>IF(G3707="","",G3707-I3707)</f>
        <v/>
      </c>
      <c r="I3707" s="8">
        <f>IF(D3707="","",VLOOKUP(D3707, RECETTES!B:G, 6, FALSE)*E3707)</f>
        <v/>
      </c>
      <c r="J3707" s="8">
        <f>IF(G3707="","",G3707*0.20)</f>
        <v/>
      </c>
      <c r="K3707" s="8">
        <f>IF(G3707="","",G3707+J3707)</f>
        <v/>
      </c>
    </row>
    <row r="3708">
      <c r="F3708" s="8" t="n"/>
      <c r="G3708" s="8">
        <f>IF(E3708="","",E3708*F3708)</f>
        <v/>
      </c>
      <c r="H3708" s="8">
        <f>IF(G3708="","",G3708-I3708)</f>
        <v/>
      </c>
      <c r="I3708" s="8">
        <f>IF(D3708="","",VLOOKUP(D3708, RECETTES!B:G, 6, FALSE)*E3708)</f>
        <v/>
      </c>
      <c r="J3708" s="8">
        <f>IF(G3708="","",G3708*0.20)</f>
        <v/>
      </c>
      <c r="K3708" s="8">
        <f>IF(G3708="","",G3708+J3708)</f>
        <v/>
      </c>
    </row>
    <row r="3709">
      <c r="F3709" s="8" t="n"/>
      <c r="G3709" s="8">
        <f>IF(E3709="","",E3709*F3709)</f>
        <v/>
      </c>
      <c r="H3709" s="8">
        <f>IF(G3709="","",G3709-I3709)</f>
        <v/>
      </c>
      <c r="I3709" s="8">
        <f>IF(D3709="","",VLOOKUP(D3709, RECETTES!B:G, 6, FALSE)*E3709)</f>
        <v/>
      </c>
      <c r="J3709" s="8">
        <f>IF(G3709="","",G3709*0.20)</f>
        <v/>
      </c>
      <c r="K3709" s="8">
        <f>IF(G3709="","",G3709+J3709)</f>
        <v/>
      </c>
    </row>
    <row r="3710">
      <c r="F3710" s="8" t="n"/>
      <c r="G3710" s="8">
        <f>IF(E3710="","",E3710*F3710)</f>
        <v/>
      </c>
      <c r="H3710" s="8">
        <f>IF(G3710="","",G3710-I3710)</f>
        <v/>
      </c>
      <c r="I3710" s="8">
        <f>IF(D3710="","",VLOOKUP(D3710, RECETTES!B:G, 6, FALSE)*E3710)</f>
        <v/>
      </c>
      <c r="J3710" s="8">
        <f>IF(G3710="","",G3710*0.20)</f>
        <v/>
      </c>
      <c r="K3710" s="8">
        <f>IF(G3710="","",G3710+J3710)</f>
        <v/>
      </c>
    </row>
    <row r="3711">
      <c r="F3711" s="8" t="n"/>
      <c r="G3711" s="8">
        <f>IF(E3711="","",E3711*F3711)</f>
        <v/>
      </c>
      <c r="H3711" s="8">
        <f>IF(G3711="","",G3711-I3711)</f>
        <v/>
      </c>
      <c r="I3711" s="8">
        <f>IF(D3711="","",VLOOKUP(D3711, RECETTES!B:G, 6, FALSE)*E3711)</f>
        <v/>
      </c>
      <c r="J3711" s="8">
        <f>IF(G3711="","",G3711*0.20)</f>
        <v/>
      </c>
      <c r="K3711" s="8">
        <f>IF(G3711="","",G3711+J3711)</f>
        <v/>
      </c>
    </row>
    <row r="3712">
      <c r="F3712" s="8" t="n"/>
      <c r="G3712" s="8">
        <f>IF(E3712="","",E3712*F3712)</f>
        <v/>
      </c>
      <c r="H3712" s="8">
        <f>IF(G3712="","",G3712-I3712)</f>
        <v/>
      </c>
      <c r="I3712" s="8">
        <f>IF(D3712="","",VLOOKUP(D3712, RECETTES!B:G, 6, FALSE)*E3712)</f>
        <v/>
      </c>
      <c r="J3712" s="8">
        <f>IF(G3712="","",G3712*0.20)</f>
        <v/>
      </c>
      <c r="K3712" s="8">
        <f>IF(G3712="","",G3712+J3712)</f>
        <v/>
      </c>
    </row>
    <row r="3713">
      <c r="F3713" s="8" t="n"/>
      <c r="G3713" s="8">
        <f>IF(E3713="","",E3713*F3713)</f>
        <v/>
      </c>
      <c r="H3713" s="8">
        <f>IF(G3713="","",G3713-I3713)</f>
        <v/>
      </c>
      <c r="I3713" s="8">
        <f>IF(D3713="","",VLOOKUP(D3713, RECETTES!B:G, 6, FALSE)*E3713)</f>
        <v/>
      </c>
      <c r="J3713" s="8">
        <f>IF(G3713="","",G3713*0.20)</f>
        <v/>
      </c>
      <c r="K3713" s="8">
        <f>IF(G3713="","",G3713+J3713)</f>
        <v/>
      </c>
    </row>
    <row r="3714">
      <c r="F3714" s="8" t="n"/>
      <c r="G3714" s="8">
        <f>IF(E3714="","",E3714*F3714)</f>
        <v/>
      </c>
      <c r="H3714" s="8">
        <f>IF(G3714="","",G3714-I3714)</f>
        <v/>
      </c>
      <c r="I3714" s="8">
        <f>IF(D3714="","",VLOOKUP(D3714, RECETTES!B:G, 6, FALSE)*E3714)</f>
        <v/>
      </c>
      <c r="J3714" s="8">
        <f>IF(G3714="","",G3714*0.20)</f>
        <v/>
      </c>
      <c r="K3714" s="8">
        <f>IF(G3714="","",G3714+J3714)</f>
        <v/>
      </c>
    </row>
    <row r="3715">
      <c r="F3715" s="8" t="n"/>
      <c r="G3715" s="8">
        <f>IF(E3715="","",E3715*F3715)</f>
        <v/>
      </c>
      <c r="H3715" s="8">
        <f>IF(G3715="","",G3715-I3715)</f>
        <v/>
      </c>
      <c r="I3715" s="8">
        <f>IF(D3715="","",VLOOKUP(D3715, RECETTES!B:G, 6, FALSE)*E3715)</f>
        <v/>
      </c>
      <c r="J3715" s="8">
        <f>IF(G3715="","",G3715*0.20)</f>
        <v/>
      </c>
      <c r="K3715" s="8">
        <f>IF(G3715="","",G3715+J3715)</f>
        <v/>
      </c>
    </row>
    <row r="3716">
      <c r="F3716" s="8" t="n"/>
      <c r="G3716" s="8">
        <f>IF(E3716="","",E3716*F3716)</f>
        <v/>
      </c>
      <c r="H3716" s="8">
        <f>IF(G3716="","",G3716-I3716)</f>
        <v/>
      </c>
      <c r="I3716" s="8">
        <f>IF(D3716="","",VLOOKUP(D3716, RECETTES!B:G, 6, FALSE)*E3716)</f>
        <v/>
      </c>
      <c r="J3716" s="8">
        <f>IF(G3716="","",G3716*0.20)</f>
        <v/>
      </c>
      <c r="K3716" s="8">
        <f>IF(G3716="","",G3716+J3716)</f>
        <v/>
      </c>
    </row>
    <row r="3717">
      <c r="F3717" s="8" t="n"/>
      <c r="G3717" s="8">
        <f>IF(E3717="","",E3717*F3717)</f>
        <v/>
      </c>
      <c r="H3717" s="8">
        <f>IF(G3717="","",G3717-I3717)</f>
        <v/>
      </c>
      <c r="I3717" s="8">
        <f>IF(D3717="","",VLOOKUP(D3717, RECETTES!B:G, 6, FALSE)*E3717)</f>
        <v/>
      </c>
      <c r="J3717" s="8">
        <f>IF(G3717="","",G3717*0.20)</f>
        <v/>
      </c>
      <c r="K3717" s="8">
        <f>IF(G3717="","",G3717+J3717)</f>
        <v/>
      </c>
    </row>
    <row r="3718">
      <c r="F3718" s="8" t="n"/>
      <c r="G3718" s="8">
        <f>IF(E3718="","",E3718*F3718)</f>
        <v/>
      </c>
      <c r="H3718" s="8">
        <f>IF(G3718="","",G3718-I3718)</f>
        <v/>
      </c>
      <c r="I3718" s="8">
        <f>IF(D3718="","",VLOOKUP(D3718, RECETTES!B:G, 6, FALSE)*E3718)</f>
        <v/>
      </c>
      <c r="J3718" s="8">
        <f>IF(G3718="","",G3718*0.20)</f>
        <v/>
      </c>
      <c r="K3718" s="8">
        <f>IF(G3718="","",G3718+J3718)</f>
        <v/>
      </c>
    </row>
    <row r="3719">
      <c r="F3719" s="8" t="n"/>
      <c r="G3719" s="8">
        <f>IF(E3719="","",E3719*F3719)</f>
        <v/>
      </c>
      <c r="H3719" s="8">
        <f>IF(G3719="","",G3719-I3719)</f>
        <v/>
      </c>
      <c r="I3719" s="8">
        <f>IF(D3719="","",VLOOKUP(D3719, RECETTES!B:G, 6, FALSE)*E3719)</f>
        <v/>
      </c>
      <c r="J3719" s="8">
        <f>IF(G3719="","",G3719*0.20)</f>
        <v/>
      </c>
      <c r="K3719" s="8">
        <f>IF(G3719="","",G3719+J3719)</f>
        <v/>
      </c>
    </row>
    <row r="3720">
      <c r="F3720" s="8" t="n"/>
      <c r="G3720" s="8">
        <f>IF(E3720="","",E3720*F3720)</f>
        <v/>
      </c>
      <c r="H3720" s="8">
        <f>IF(G3720="","",G3720-I3720)</f>
        <v/>
      </c>
      <c r="I3720" s="8">
        <f>IF(D3720="","",VLOOKUP(D3720, RECETTES!B:G, 6, FALSE)*E3720)</f>
        <v/>
      </c>
      <c r="J3720" s="8">
        <f>IF(G3720="","",G3720*0.20)</f>
        <v/>
      </c>
      <c r="K3720" s="8">
        <f>IF(G3720="","",G3720+J3720)</f>
        <v/>
      </c>
    </row>
    <row r="3721">
      <c r="F3721" s="8" t="n"/>
      <c r="G3721" s="8">
        <f>IF(E3721="","",E3721*F3721)</f>
        <v/>
      </c>
      <c r="H3721" s="8">
        <f>IF(G3721="","",G3721-I3721)</f>
        <v/>
      </c>
      <c r="I3721" s="8">
        <f>IF(D3721="","",VLOOKUP(D3721, RECETTES!B:G, 6, FALSE)*E3721)</f>
        <v/>
      </c>
      <c r="J3721" s="8">
        <f>IF(G3721="","",G3721*0.20)</f>
        <v/>
      </c>
      <c r="K3721" s="8">
        <f>IF(G3721="","",G3721+J3721)</f>
        <v/>
      </c>
    </row>
    <row r="3722">
      <c r="F3722" s="8" t="n"/>
      <c r="G3722" s="8">
        <f>IF(E3722="","",E3722*F3722)</f>
        <v/>
      </c>
      <c r="H3722" s="8">
        <f>IF(G3722="","",G3722-I3722)</f>
        <v/>
      </c>
      <c r="I3722" s="8">
        <f>IF(D3722="","",VLOOKUP(D3722, RECETTES!B:G, 6, FALSE)*E3722)</f>
        <v/>
      </c>
      <c r="J3722" s="8">
        <f>IF(G3722="","",G3722*0.20)</f>
        <v/>
      </c>
      <c r="K3722" s="8">
        <f>IF(G3722="","",G3722+J3722)</f>
        <v/>
      </c>
    </row>
    <row r="3723">
      <c r="F3723" s="8" t="n"/>
      <c r="G3723" s="8">
        <f>IF(E3723="","",E3723*F3723)</f>
        <v/>
      </c>
      <c r="H3723" s="8">
        <f>IF(G3723="","",G3723-I3723)</f>
        <v/>
      </c>
      <c r="I3723" s="8">
        <f>IF(D3723="","",VLOOKUP(D3723, RECETTES!B:G, 6, FALSE)*E3723)</f>
        <v/>
      </c>
      <c r="J3723" s="8">
        <f>IF(G3723="","",G3723*0.20)</f>
        <v/>
      </c>
      <c r="K3723" s="8">
        <f>IF(G3723="","",G3723+J3723)</f>
        <v/>
      </c>
    </row>
    <row r="3724">
      <c r="F3724" s="8" t="n"/>
      <c r="G3724" s="8">
        <f>IF(E3724="","",E3724*F3724)</f>
        <v/>
      </c>
      <c r="H3724" s="8">
        <f>IF(G3724="","",G3724-I3724)</f>
        <v/>
      </c>
      <c r="I3724" s="8">
        <f>IF(D3724="","",VLOOKUP(D3724, RECETTES!B:G, 6, FALSE)*E3724)</f>
        <v/>
      </c>
      <c r="J3724" s="8">
        <f>IF(G3724="","",G3724*0.20)</f>
        <v/>
      </c>
      <c r="K3724" s="8">
        <f>IF(G3724="","",G3724+J3724)</f>
        <v/>
      </c>
    </row>
    <row r="3725">
      <c r="F3725" s="8" t="n"/>
      <c r="G3725" s="8">
        <f>IF(E3725="","",E3725*F3725)</f>
        <v/>
      </c>
      <c r="H3725" s="8">
        <f>IF(G3725="","",G3725-I3725)</f>
        <v/>
      </c>
      <c r="I3725" s="8">
        <f>IF(D3725="","",VLOOKUP(D3725, RECETTES!B:G, 6, FALSE)*E3725)</f>
        <v/>
      </c>
      <c r="J3725" s="8">
        <f>IF(G3725="","",G3725*0.20)</f>
        <v/>
      </c>
      <c r="K3725" s="8">
        <f>IF(G3725="","",G3725+J3725)</f>
        <v/>
      </c>
    </row>
    <row r="3726">
      <c r="F3726" s="8" t="n"/>
      <c r="G3726" s="8">
        <f>IF(E3726="","",E3726*F3726)</f>
        <v/>
      </c>
      <c r="H3726" s="8">
        <f>IF(G3726="","",G3726-I3726)</f>
        <v/>
      </c>
      <c r="I3726" s="8">
        <f>IF(D3726="","",VLOOKUP(D3726, RECETTES!B:G, 6, FALSE)*E3726)</f>
        <v/>
      </c>
      <c r="J3726" s="8">
        <f>IF(G3726="","",G3726*0.20)</f>
        <v/>
      </c>
      <c r="K3726" s="8">
        <f>IF(G3726="","",G3726+J3726)</f>
        <v/>
      </c>
    </row>
    <row r="3727">
      <c r="F3727" s="8" t="n"/>
      <c r="G3727" s="8">
        <f>IF(E3727="","",E3727*F3727)</f>
        <v/>
      </c>
      <c r="H3727" s="8">
        <f>IF(G3727="","",G3727-I3727)</f>
        <v/>
      </c>
      <c r="I3727" s="8">
        <f>IF(D3727="","",VLOOKUP(D3727, RECETTES!B:G, 6, FALSE)*E3727)</f>
        <v/>
      </c>
      <c r="J3727" s="8">
        <f>IF(G3727="","",G3727*0.20)</f>
        <v/>
      </c>
      <c r="K3727" s="8">
        <f>IF(G3727="","",G3727+J3727)</f>
        <v/>
      </c>
    </row>
    <row r="3728">
      <c r="F3728" s="8" t="n"/>
      <c r="G3728" s="8">
        <f>IF(E3728="","",E3728*F3728)</f>
        <v/>
      </c>
      <c r="H3728" s="8">
        <f>IF(G3728="","",G3728-I3728)</f>
        <v/>
      </c>
      <c r="I3728" s="8">
        <f>IF(D3728="","",VLOOKUP(D3728, RECETTES!B:G, 6, FALSE)*E3728)</f>
        <v/>
      </c>
      <c r="J3728" s="8">
        <f>IF(G3728="","",G3728*0.20)</f>
        <v/>
      </c>
      <c r="K3728" s="8">
        <f>IF(G3728="","",G3728+J3728)</f>
        <v/>
      </c>
    </row>
    <row r="3729">
      <c r="F3729" s="8" t="n"/>
      <c r="G3729" s="8">
        <f>IF(E3729="","",E3729*F3729)</f>
        <v/>
      </c>
      <c r="H3729" s="8">
        <f>IF(G3729="","",G3729-I3729)</f>
        <v/>
      </c>
      <c r="I3729" s="8">
        <f>IF(D3729="","",VLOOKUP(D3729, RECETTES!B:G, 6, FALSE)*E3729)</f>
        <v/>
      </c>
      <c r="J3729" s="8">
        <f>IF(G3729="","",G3729*0.20)</f>
        <v/>
      </c>
      <c r="K3729" s="8">
        <f>IF(G3729="","",G3729+J3729)</f>
        <v/>
      </c>
    </row>
    <row r="3730">
      <c r="F3730" s="8" t="n"/>
      <c r="G3730" s="8">
        <f>IF(E3730="","",E3730*F3730)</f>
        <v/>
      </c>
      <c r="H3730" s="8">
        <f>IF(G3730="","",G3730-I3730)</f>
        <v/>
      </c>
      <c r="I3730" s="8">
        <f>IF(D3730="","",VLOOKUP(D3730, RECETTES!B:G, 6, FALSE)*E3730)</f>
        <v/>
      </c>
      <c r="J3730" s="8">
        <f>IF(G3730="","",G3730*0.20)</f>
        <v/>
      </c>
      <c r="K3730" s="8">
        <f>IF(G3730="","",G3730+J3730)</f>
        <v/>
      </c>
    </row>
    <row r="3731">
      <c r="F3731" s="8" t="n"/>
      <c r="G3731" s="8">
        <f>IF(E3731="","",E3731*F3731)</f>
        <v/>
      </c>
      <c r="H3731" s="8">
        <f>IF(G3731="","",G3731-I3731)</f>
        <v/>
      </c>
      <c r="I3731" s="8">
        <f>IF(D3731="","",VLOOKUP(D3731, RECETTES!B:G, 6, FALSE)*E3731)</f>
        <v/>
      </c>
      <c r="J3731" s="8">
        <f>IF(G3731="","",G3731*0.20)</f>
        <v/>
      </c>
      <c r="K3731" s="8">
        <f>IF(G3731="","",G3731+J3731)</f>
        <v/>
      </c>
    </row>
    <row r="3732">
      <c r="F3732" s="8" t="n"/>
      <c r="G3732" s="8">
        <f>IF(E3732="","",E3732*F3732)</f>
        <v/>
      </c>
      <c r="H3732" s="8">
        <f>IF(G3732="","",G3732-I3732)</f>
        <v/>
      </c>
      <c r="I3732" s="8">
        <f>IF(D3732="","",VLOOKUP(D3732, RECETTES!B:G, 6, FALSE)*E3732)</f>
        <v/>
      </c>
      <c r="J3732" s="8">
        <f>IF(G3732="","",G3732*0.20)</f>
        <v/>
      </c>
      <c r="K3732" s="8">
        <f>IF(G3732="","",G3732+J3732)</f>
        <v/>
      </c>
    </row>
    <row r="3733">
      <c r="F3733" s="8" t="n"/>
      <c r="G3733" s="8">
        <f>IF(E3733="","",E3733*F3733)</f>
        <v/>
      </c>
      <c r="H3733" s="8">
        <f>IF(G3733="","",G3733-I3733)</f>
        <v/>
      </c>
      <c r="I3733" s="8">
        <f>IF(D3733="","",VLOOKUP(D3733, RECETTES!B:G, 6, FALSE)*E3733)</f>
        <v/>
      </c>
      <c r="J3733" s="8">
        <f>IF(G3733="","",G3733*0.20)</f>
        <v/>
      </c>
      <c r="K3733" s="8">
        <f>IF(G3733="","",G3733+J3733)</f>
        <v/>
      </c>
    </row>
    <row r="3734">
      <c r="F3734" s="8" t="n"/>
      <c r="G3734" s="8">
        <f>IF(E3734="","",E3734*F3734)</f>
        <v/>
      </c>
      <c r="H3734" s="8">
        <f>IF(G3734="","",G3734-I3734)</f>
        <v/>
      </c>
      <c r="I3734" s="8">
        <f>IF(D3734="","",VLOOKUP(D3734, RECETTES!B:G, 6, FALSE)*E3734)</f>
        <v/>
      </c>
      <c r="J3734" s="8">
        <f>IF(G3734="","",G3734*0.20)</f>
        <v/>
      </c>
      <c r="K3734" s="8">
        <f>IF(G3734="","",G3734+J3734)</f>
        <v/>
      </c>
    </row>
    <row r="3735">
      <c r="F3735" s="8" t="n"/>
      <c r="G3735" s="8">
        <f>IF(E3735="","",E3735*F3735)</f>
        <v/>
      </c>
      <c r="H3735" s="8">
        <f>IF(G3735="","",G3735-I3735)</f>
        <v/>
      </c>
      <c r="I3735" s="8">
        <f>IF(D3735="","",VLOOKUP(D3735, RECETTES!B:G, 6, FALSE)*E3735)</f>
        <v/>
      </c>
      <c r="J3735" s="8">
        <f>IF(G3735="","",G3735*0.20)</f>
        <v/>
      </c>
      <c r="K3735" s="8">
        <f>IF(G3735="","",G3735+J3735)</f>
        <v/>
      </c>
    </row>
    <row r="3736">
      <c r="F3736" s="8" t="n"/>
      <c r="G3736" s="8">
        <f>IF(E3736="","",E3736*F3736)</f>
        <v/>
      </c>
      <c r="H3736" s="8">
        <f>IF(G3736="","",G3736-I3736)</f>
        <v/>
      </c>
      <c r="I3736" s="8">
        <f>IF(D3736="","",VLOOKUP(D3736, RECETTES!B:G, 6, FALSE)*E3736)</f>
        <v/>
      </c>
      <c r="J3736" s="8">
        <f>IF(G3736="","",G3736*0.20)</f>
        <v/>
      </c>
      <c r="K3736" s="8">
        <f>IF(G3736="","",G3736+J3736)</f>
        <v/>
      </c>
    </row>
    <row r="3737">
      <c r="F3737" s="8" t="n"/>
      <c r="G3737" s="8">
        <f>IF(E3737="","",E3737*F3737)</f>
        <v/>
      </c>
      <c r="H3737" s="8">
        <f>IF(G3737="","",G3737-I3737)</f>
        <v/>
      </c>
      <c r="I3737" s="8">
        <f>IF(D3737="","",VLOOKUP(D3737, RECETTES!B:G, 6, FALSE)*E3737)</f>
        <v/>
      </c>
      <c r="J3737" s="8">
        <f>IF(G3737="","",G3737*0.20)</f>
        <v/>
      </c>
      <c r="K3737" s="8">
        <f>IF(G3737="","",G3737+J3737)</f>
        <v/>
      </c>
    </row>
    <row r="3738">
      <c r="F3738" s="8" t="n"/>
      <c r="G3738" s="8">
        <f>IF(E3738="","",E3738*F3738)</f>
        <v/>
      </c>
      <c r="H3738" s="8">
        <f>IF(G3738="","",G3738-I3738)</f>
        <v/>
      </c>
      <c r="I3738" s="8">
        <f>IF(D3738="","",VLOOKUP(D3738, RECETTES!B:G, 6, FALSE)*E3738)</f>
        <v/>
      </c>
      <c r="J3738" s="8">
        <f>IF(G3738="","",G3738*0.20)</f>
        <v/>
      </c>
      <c r="K3738" s="8">
        <f>IF(G3738="","",G3738+J3738)</f>
        <v/>
      </c>
    </row>
    <row r="3739">
      <c r="F3739" s="8" t="n"/>
      <c r="G3739" s="8">
        <f>IF(E3739="","",E3739*F3739)</f>
        <v/>
      </c>
      <c r="H3739" s="8">
        <f>IF(G3739="","",G3739-I3739)</f>
        <v/>
      </c>
      <c r="I3739" s="8">
        <f>IF(D3739="","",VLOOKUP(D3739, RECETTES!B:G, 6, FALSE)*E3739)</f>
        <v/>
      </c>
      <c r="J3739" s="8">
        <f>IF(G3739="","",G3739*0.20)</f>
        <v/>
      </c>
      <c r="K3739" s="8">
        <f>IF(G3739="","",G3739+J3739)</f>
        <v/>
      </c>
    </row>
    <row r="3740">
      <c r="F3740" s="8" t="n"/>
      <c r="G3740" s="8">
        <f>IF(E3740="","",E3740*F3740)</f>
        <v/>
      </c>
      <c r="H3740" s="8">
        <f>IF(G3740="","",G3740-I3740)</f>
        <v/>
      </c>
      <c r="I3740" s="8">
        <f>IF(D3740="","",VLOOKUP(D3740, RECETTES!B:G, 6, FALSE)*E3740)</f>
        <v/>
      </c>
      <c r="J3740" s="8">
        <f>IF(G3740="","",G3740*0.20)</f>
        <v/>
      </c>
      <c r="K3740" s="8">
        <f>IF(G3740="","",G3740+J3740)</f>
        <v/>
      </c>
    </row>
    <row r="3741">
      <c r="F3741" s="8" t="n"/>
      <c r="G3741" s="8">
        <f>IF(E3741="","",E3741*F3741)</f>
        <v/>
      </c>
      <c r="H3741" s="8">
        <f>IF(G3741="","",G3741-I3741)</f>
        <v/>
      </c>
      <c r="I3741" s="8">
        <f>IF(D3741="","",VLOOKUP(D3741, RECETTES!B:G, 6, FALSE)*E3741)</f>
        <v/>
      </c>
      <c r="J3741" s="8">
        <f>IF(G3741="","",G3741*0.20)</f>
        <v/>
      </c>
      <c r="K3741" s="8">
        <f>IF(G3741="","",G3741+J3741)</f>
        <v/>
      </c>
    </row>
    <row r="3742">
      <c r="F3742" s="8" t="n"/>
      <c r="G3742" s="8">
        <f>IF(E3742="","",E3742*F3742)</f>
        <v/>
      </c>
      <c r="H3742" s="8">
        <f>IF(G3742="","",G3742-I3742)</f>
        <v/>
      </c>
      <c r="I3742" s="8">
        <f>IF(D3742="","",VLOOKUP(D3742, RECETTES!B:G, 6, FALSE)*E3742)</f>
        <v/>
      </c>
      <c r="J3742" s="8">
        <f>IF(G3742="","",G3742*0.20)</f>
        <v/>
      </c>
      <c r="K3742" s="8">
        <f>IF(G3742="","",G3742+J3742)</f>
        <v/>
      </c>
    </row>
    <row r="3743">
      <c r="F3743" s="8" t="n"/>
      <c r="G3743" s="8">
        <f>IF(E3743="","",E3743*F3743)</f>
        <v/>
      </c>
      <c r="H3743" s="8">
        <f>IF(G3743="","",G3743-I3743)</f>
        <v/>
      </c>
      <c r="I3743" s="8">
        <f>IF(D3743="","",VLOOKUP(D3743, RECETTES!B:G, 6, FALSE)*E3743)</f>
        <v/>
      </c>
      <c r="J3743" s="8">
        <f>IF(G3743="","",G3743*0.20)</f>
        <v/>
      </c>
      <c r="K3743" s="8">
        <f>IF(G3743="","",G3743+J3743)</f>
        <v/>
      </c>
    </row>
    <row r="3744">
      <c r="F3744" s="8" t="n"/>
      <c r="G3744" s="8">
        <f>IF(E3744="","",E3744*F3744)</f>
        <v/>
      </c>
      <c r="H3744" s="8">
        <f>IF(G3744="","",G3744-I3744)</f>
        <v/>
      </c>
      <c r="I3744" s="8">
        <f>IF(D3744="","",VLOOKUP(D3744, RECETTES!B:G, 6, FALSE)*E3744)</f>
        <v/>
      </c>
      <c r="J3744" s="8">
        <f>IF(G3744="","",G3744*0.20)</f>
        <v/>
      </c>
      <c r="K3744" s="8">
        <f>IF(G3744="","",G3744+J3744)</f>
        <v/>
      </c>
    </row>
    <row r="3745">
      <c r="F3745" s="8" t="n"/>
      <c r="G3745" s="8">
        <f>IF(E3745="","",E3745*F3745)</f>
        <v/>
      </c>
      <c r="H3745" s="8">
        <f>IF(G3745="","",G3745-I3745)</f>
        <v/>
      </c>
      <c r="I3745" s="8">
        <f>IF(D3745="","",VLOOKUP(D3745, RECETTES!B:G, 6, FALSE)*E3745)</f>
        <v/>
      </c>
      <c r="J3745" s="8">
        <f>IF(G3745="","",G3745*0.20)</f>
        <v/>
      </c>
      <c r="K3745" s="8">
        <f>IF(G3745="","",G3745+J3745)</f>
        <v/>
      </c>
    </row>
    <row r="3746">
      <c r="F3746" s="8" t="n"/>
      <c r="G3746" s="8">
        <f>IF(E3746="","",E3746*F3746)</f>
        <v/>
      </c>
      <c r="H3746" s="8">
        <f>IF(G3746="","",G3746-I3746)</f>
        <v/>
      </c>
      <c r="I3746" s="8">
        <f>IF(D3746="","",VLOOKUP(D3746, RECETTES!B:G, 6, FALSE)*E3746)</f>
        <v/>
      </c>
      <c r="J3746" s="8">
        <f>IF(G3746="","",G3746*0.20)</f>
        <v/>
      </c>
      <c r="K3746" s="8">
        <f>IF(G3746="","",G3746+J3746)</f>
        <v/>
      </c>
    </row>
    <row r="3747">
      <c r="F3747" s="8" t="n"/>
      <c r="G3747" s="8">
        <f>IF(E3747="","",E3747*F3747)</f>
        <v/>
      </c>
      <c r="H3747" s="8">
        <f>IF(G3747="","",G3747-I3747)</f>
        <v/>
      </c>
      <c r="I3747" s="8">
        <f>IF(D3747="","",VLOOKUP(D3747, RECETTES!B:G, 6, FALSE)*E3747)</f>
        <v/>
      </c>
      <c r="J3747" s="8">
        <f>IF(G3747="","",G3747*0.20)</f>
        <v/>
      </c>
      <c r="K3747" s="8">
        <f>IF(G3747="","",G3747+J3747)</f>
        <v/>
      </c>
    </row>
    <row r="3748">
      <c r="F3748" s="8" t="n"/>
      <c r="G3748" s="8">
        <f>IF(E3748="","",E3748*F3748)</f>
        <v/>
      </c>
      <c r="H3748" s="8">
        <f>IF(G3748="","",G3748-I3748)</f>
        <v/>
      </c>
      <c r="I3748" s="8">
        <f>IF(D3748="","",VLOOKUP(D3748, RECETTES!B:G, 6, FALSE)*E3748)</f>
        <v/>
      </c>
      <c r="J3748" s="8">
        <f>IF(G3748="","",G3748*0.20)</f>
        <v/>
      </c>
      <c r="K3748" s="8">
        <f>IF(G3748="","",G3748+J3748)</f>
        <v/>
      </c>
    </row>
    <row r="3749">
      <c r="F3749" s="8" t="n"/>
      <c r="G3749" s="8">
        <f>IF(E3749="","",E3749*F3749)</f>
        <v/>
      </c>
      <c r="H3749" s="8">
        <f>IF(G3749="","",G3749-I3749)</f>
        <v/>
      </c>
      <c r="I3749" s="8">
        <f>IF(D3749="","",VLOOKUP(D3749, RECETTES!B:G, 6, FALSE)*E3749)</f>
        <v/>
      </c>
      <c r="J3749" s="8">
        <f>IF(G3749="","",G3749*0.20)</f>
        <v/>
      </c>
      <c r="K3749" s="8">
        <f>IF(G3749="","",G3749+J3749)</f>
        <v/>
      </c>
    </row>
    <row r="3750">
      <c r="F3750" s="8" t="n"/>
      <c r="G3750" s="8">
        <f>IF(E3750="","",E3750*F3750)</f>
        <v/>
      </c>
      <c r="H3750" s="8">
        <f>IF(G3750="","",G3750-I3750)</f>
        <v/>
      </c>
      <c r="I3750" s="8">
        <f>IF(D3750="","",VLOOKUP(D3750, RECETTES!B:G, 6, FALSE)*E3750)</f>
        <v/>
      </c>
      <c r="J3750" s="8">
        <f>IF(G3750="","",G3750*0.20)</f>
        <v/>
      </c>
      <c r="K3750" s="8">
        <f>IF(G3750="","",G3750+J3750)</f>
        <v/>
      </c>
    </row>
    <row r="3751">
      <c r="F3751" s="8" t="n"/>
      <c r="G3751" s="8">
        <f>IF(E3751="","",E3751*F3751)</f>
        <v/>
      </c>
      <c r="H3751" s="8">
        <f>IF(G3751="","",G3751-I3751)</f>
        <v/>
      </c>
      <c r="I3751" s="8">
        <f>IF(D3751="","",VLOOKUP(D3751, RECETTES!B:G, 6, FALSE)*E3751)</f>
        <v/>
      </c>
      <c r="J3751" s="8">
        <f>IF(G3751="","",G3751*0.20)</f>
        <v/>
      </c>
      <c r="K3751" s="8">
        <f>IF(G3751="","",G3751+J3751)</f>
        <v/>
      </c>
    </row>
    <row r="3752">
      <c r="F3752" s="8" t="n"/>
      <c r="G3752" s="8">
        <f>IF(E3752="","",E3752*F3752)</f>
        <v/>
      </c>
      <c r="H3752" s="8">
        <f>IF(G3752="","",G3752-I3752)</f>
        <v/>
      </c>
      <c r="I3752" s="8">
        <f>IF(D3752="","",VLOOKUP(D3752, RECETTES!B:G, 6, FALSE)*E3752)</f>
        <v/>
      </c>
      <c r="J3752" s="8">
        <f>IF(G3752="","",G3752*0.20)</f>
        <v/>
      </c>
      <c r="K3752" s="8">
        <f>IF(G3752="","",G3752+J3752)</f>
        <v/>
      </c>
    </row>
    <row r="3753">
      <c r="F3753" s="8" t="n"/>
      <c r="G3753" s="8">
        <f>IF(E3753="","",E3753*F3753)</f>
        <v/>
      </c>
      <c r="H3753" s="8">
        <f>IF(G3753="","",G3753-I3753)</f>
        <v/>
      </c>
      <c r="I3753" s="8">
        <f>IF(D3753="","",VLOOKUP(D3753, RECETTES!B:G, 6, FALSE)*E3753)</f>
        <v/>
      </c>
      <c r="J3753" s="8">
        <f>IF(G3753="","",G3753*0.20)</f>
        <v/>
      </c>
      <c r="K3753" s="8">
        <f>IF(G3753="","",G3753+J3753)</f>
        <v/>
      </c>
    </row>
    <row r="3754">
      <c r="F3754" s="8" t="n"/>
      <c r="G3754" s="8">
        <f>IF(E3754="","",E3754*F3754)</f>
        <v/>
      </c>
      <c r="H3754" s="8">
        <f>IF(G3754="","",G3754-I3754)</f>
        <v/>
      </c>
      <c r="I3754" s="8">
        <f>IF(D3754="","",VLOOKUP(D3754, RECETTES!B:G, 6, FALSE)*E3754)</f>
        <v/>
      </c>
      <c r="J3754" s="8">
        <f>IF(G3754="","",G3754*0.20)</f>
        <v/>
      </c>
      <c r="K3754" s="8">
        <f>IF(G3754="","",G3754+J3754)</f>
        <v/>
      </c>
    </row>
    <row r="3755">
      <c r="F3755" s="8" t="n"/>
      <c r="G3755" s="8">
        <f>IF(E3755="","",E3755*F3755)</f>
        <v/>
      </c>
      <c r="H3755" s="8">
        <f>IF(G3755="","",G3755-I3755)</f>
        <v/>
      </c>
      <c r="I3755" s="8">
        <f>IF(D3755="","",VLOOKUP(D3755, RECETTES!B:G, 6, FALSE)*E3755)</f>
        <v/>
      </c>
      <c r="J3755" s="8">
        <f>IF(G3755="","",G3755*0.20)</f>
        <v/>
      </c>
      <c r="K3755" s="8">
        <f>IF(G3755="","",G3755+J3755)</f>
        <v/>
      </c>
    </row>
    <row r="3756">
      <c r="F3756" s="8" t="n"/>
      <c r="G3756" s="8">
        <f>IF(E3756="","",E3756*F3756)</f>
        <v/>
      </c>
      <c r="H3756" s="8">
        <f>IF(G3756="","",G3756-I3756)</f>
        <v/>
      </c>
      <c r="I3756" s="8">
        <f>IF(D3756="","",VLOOKUP(D3756, RECETTES!B:G, 6, FALSE)*E3756)</f>
        <v/>
      </c>
      <c r="J3756" s="8">
        <f>IF(G3756="","",G3756*0.20)</f>
        <v/>
      </c>
      <c r="K3756" s="8">
        <f>IF(G3756="","",G3756+J3756)</f>
        <v/>
      </c>
    </row>
    <row r="3757">
      <c r="F3757" s="8" t="n"/>
      <c r="G3757" s="8">
        <f>IF(E3757="","",E3757*F3757)</f>
        <v/>
      </c>
      <c r="H3757" s="8">
        <f>IF(G3757="","",G3757-I3757)</f>
        <v/>
      </c>
      <c r="I3757" s="8">
        <f>IF(D3757="","",VLOOKUP(D3757, RECETTES!B:G, 6, FALSE)*E3757)</f>
        <v/>
      </c>
      <c r="J3757" s="8">
        <f>IF(G3757="","",G3757*0.20)</f>
        <v/>
      </c>
      <c r="K3757" s="8">
        <f>IF(G3757="","",G3757+J3757)</f>
        <v/>
      </c>
    </row>
    <row r="3758">
      <c r="F3758" s="8" t="n"/>
      <c r="G3758" s="8">
        <f>IF(E3758="","",E3758*F3758)</f>
        <v/>
      </c>
      <c r="H3758" s="8">
        <f>IF(G3758="","",G3758-I3758)</f>
        <v/>
      </c>
      <c r="I3758" s="8">
        <f>IF(D3758="","",VLOOKUP(D3758, RECETTES!B:G, 6, FALSE)*E3758)</f>
        <v/>
      </c>
      <c r="J3758" s="8">
        <f>IF(G3758="","",G3758*0.20)</f>
        <v/>
      </c>
      <c r="K3758" s="8">
        <f>IF(G3758="","",G3758+J3758)</f>
        <v/>
      </c>
    </row>
    <row r="3759">
      <c r="F3759" s="8" t="n"/>
      <c r="G3759" s="8">
        <f>IF(E3759="","",E3759*F3759)</f>
        <v/>
      </c>
      <c r="H3759" s="8">
        <f>IF(G3759="","",G3759-I3759)</f>
        <v/>
      </c>
      <c r="I3759" s="8">
        <f>IF(D3759="","",VLOOKUP(D3759, RECETTES!B:G, 6, FALSE)*E3759)</f>
        <v/>
      </c>
      <c r="J3759" s="8">
        <f>IF(G3759="","",G3759*0.20)</f>
        <v/>
      </c>
      <c r="K3759" s="8">
        <f>IF(G3759="","",G3759+J3759)</f>
        <v/>
      </c>
    </row>
    <row r="3760">
      <c r="F3760" s="8" t="n"/>
      <c r="G3760" s="8">
        <f>IF(E3760="","",E3760*F3760)</f>
        <v/>
      </c>
      <c r="H3760" s="8">
        <f>IF(G3760="","",G3760-I3760)</f>
        <v/>
      </c>
      <c r="I3760" s="8">
        <f>IF(D3760="","",VLOOKUP(D3760, RECETTES!B:G, 6, FALSE)*E3760)</f>
        <v/>
      </c>
      <c r="J3760" s="8">
        <f>IF(G3760="","",G3760*0.20)</f>
        <v/>
      </c>
      <c r="K3760" s="8">
        <f>IF(G3760="","",G3760+J3760)</f>
        <v/>
      </c>
    </row>
    <row r="3761">
      <c r="F3761" s="8" t="n"/>
      <c r="G3761" s="8">
        <f>IF(E3761="","",E3761*F3761)</f>
        <v/>
      </c>
      <c r="H3761" s="8">
        <f>IF(G3761="","",G3761-I3761)</f>
        <v/>
      </c>
      <c r="I3761" s="8">
        <f>IF(D3761="","",VLOOKUP(D3761, RECETTES!B:G, 6, FALSE)*E3761)</f>
        <v/>
      </c>
      <c r="J3761" s="8">
        <f>IF(G3761="","",G3761*0.20)</f>
        <v/>
      </c>
      <c r="K3761" s="8">
        <f>IF(G3761="","",G3761+J3761)</f>
        <v/>
      </c>
    </row>
    <row r="3762">
      <c r="F3762" s="8" t="n"/>
      <c r="G3762" s="8">
        <f>IF(E3762="","",E3762*F3762)</f>
        <v/>
      </c>
      <c r="H3762" s="8">
        <f>IF(G3762="","",G3762-I3762)</f>
        <v/>
      </c>
      <c r="I3762" s="8">
        <f>IF(D3762="","",VLOOKUP(D3762, RECETTES!B:G, 6, FALSE)*E3762)</f>
        <v/>
      </c>
      <c r="J3762" s="8">
        <f>IF(G3762="","",G3762*0.20)</f>
        <v/>
      </c>
      <c r="K3762" s="8">
        <f>IF(G3762="","",G3762+J3762)</f>
        <v/>
      </c>
    </row>
    <row r="3763">
      <c r="F3763" s="8" t="n"/>
      <c r="G3763" s="8">
        <f>IF(E3763="","",E3763*F3763)</f>
        <v/>
      </c>
      <c r="H3763" s="8">
        <f>IF(G3763="","",G3763-I3763)</f>
        <v/>
      </c>
      <c r="I3763" s="8">
        <f>IF(D3763="","",VLOOKUP(D3763, RECETTES!B:G, 6, FALSE)*E3763)</f>
        <v/>
      </c>
      <c r="J3763" s="8">
        <f>IF(G3763="","",G3763*0.20)</f>
        <v/>
      </c>
      <c r="K3763" s="8">
        <f>IF(G3763="","",G3763+J3763)</f>
        <v/>
      </c>
    </row>
    <row r="3764">
      <c r="F3764" s="8" t="n"/>
      <c r="G3764" s="8">
        <f>IF(E3764="","",E3764*F3764)</f>
        <v/>
      </c>
      <c r="H3764" s="8">
        <f>IF(G3764="","",G3764-I3764)</f>
        <v/>
      </c>
      <c r="I3764" s="8">
        <f>IF(D3764="","",VLOOKUP(D3764, RECETTES!B:G, 6, FALSE)*E3764)</f>
        <v/>
      </c>
      <c r="J3764" s="8">
        <f>IF(G3764="","",G3764*0.20)</f>
        <v/>
      </c>
      <c r="K3764" s="8">
        <f>IF(G3764="","",G3764+J3764)</f>
        <v/>
      </c>
    </row>
    <row r="3765">
      <c r="F3765" s="8" t="n"/>
      <c r="G3765" s="8">
        <f>IF(E3765="","",E3765*F3765)</f>
        <v/>
      </c>
      <c r="H3765" s="8">
        <f>IF(G3765="","",G3765-I3765)</f>
        <v/>
      </c>
      <c r="I3765" s="8">
        <f>IF(D3765="","",VLOOKUP(D3765, RECETTES!B:G, 6, FALSE)*E3765)</f>
        <v/>
      </c>
      <c r="J3765" s="8">
        <f>IF(G3765="","",G3765*0.20)</f>
        <v/>
      </c>
      <c r="K3765" s="8">
        <f>IF(G3765="","",G3765+J3765)</f>
        <v/>
      </c>
    </row>
    <row r="3766">
      <c r="F3766" s="8" t="n"/>
      <c r="G3766" s="8">
        <f>IF(E3766="","",E3766*F3766)</f>
        <v/>
      </c>
      <c r="H3766" s="8">
        <f>IF(G3766="","",G3766-I3766)</f>
        <v/>
      </c>
      <c r="I3766" s="8">
        <f>IF(D3766="","",VLOOKUP(D3766, RECETTES!B:G, 6, FALSE)*E3766)</f>
        <v/>
      </c>
      <c r="J3766" s="8">
        <f>IF(G3766="","",G3766*0.20)</f>
        <v/>
      </c>
      <c r="K3766" s="8">
        <f>IF(G3766="","",G3766+J3766)</f>
        <v/>
      </c>
    </row>
    <row r="3767">
      <c r="F3767" s="8" t="n"/>
      <c r="G3767" s="8">
        <f>IF(E3767="","",E3767*F3767)</f>
        <v/>
      </c>
      <c r="H3767" s="8">
        <f>IF(G3767="","",G3767-I3767)</f>
        <v/>
      </c>
      <c r="I3767" s="8">
        <f>IF(D3767="","",VLOOKUP(D3767, RECETTES!B:G, 6, FALSE)*E3767)</f>
        <v/>
      </c>
      <c r="J3767" s="8">
        <f>IF(G3767="","",G3767*0.20)</f>
        <v/>
      </c>
      <c r="K3767" s="8">
        <f>IF(G3767="","",G3767+J3767)</f>
        <v/>
      </c>
    </row>
    <row r="3768">
      <c r="F3768" s="8" t="n"/>
      <c r="G3768" s="8">
        <f>IF(E3768="","",E3768*F3768)</f>
        <v/>
      </c>
      <c r="H3768" s="8">
        <f>IF(G3768="","",G3768-I3768)</f>
        <v/>
      </c>
      <c r="I3768" s="8">
        <f>IF(D3768="","",VLOOKUP(D3768, RECETTES!B:G, 6, FALSE)*E3768)</f>
        <v/>
      </c>
      <c r="J3768" s="8">
        <f>IF(G3768="","",G3768*0.20)</f>
        <v/>
      </c>
      <c r="K3768" s="8">
        <f>IF(G3768="","",G3768+J3768)</f>
        <v/>
      </c>
    </row>
    <row r="3769">
      <c r="F3769" s="8" t="n"/>
      <c r="G3769" s="8">
        <f>IF(E3769="","",E3769*F3769)</f>
        <v/>
      </c>
      <c r="H3769" s="8">
        <f>IF(G3769="","",G3769-I3769)</f>
        <v/>
      </c>
      <c r="I3769" s="8">
        <f>IF(D3769="","",VLOOKUP(D3769, RECETTES!B:G, 6, FALSE)*E3769)</f>
        <v/>
      </c>
      <c r="J3769" s="8">
        <f>IF(G3769="","",G3769*0.20)</f>
        <v/>
      </c>
      <c r="K3769" s="8">
        <f>IF(G3769="","",G3769+J3769)</f>
        <v/>
      </c>
    </row>
    <row r="3770">
      <c r="F3770" s="8" t="n"/>
      <c r="G3770" s="8">
        <f>IF(E3770="","",E3770*F3770)</f>
        <v/>
      </c>
      <c r="H3770" s="8">
        <f>IF(G3770="","",G3770-I3770)</f>
        <v/>
      </c>
      <c r="I3770" s="8">
        <f>IF(D3770="","",VLOOKUP(D3770, RECETTES!B:G, 6, FALSE)*E3770)</f>
        <v/>
      </c>
      <c r="J3770" s="8">
        <f>IF(G3770="","",G3770*0.20)</f>
        <v/>
      </c>
      <c r="K3770" s="8">
        <f>IF(G3770="","",G3770+J3770)</f>
        <v/>
      </c>
    </row>
    <row r="3771">
      <c r="F3771" s="8" t="n"/>
      <c r="G3771" s="8">
        <f>IF(E3771="","",E3771*F3771)</f>
        <v/>
      </c>
      <c r="H3771" s="8">
        <f>IF(G3771="","",G3771-I3771)</f>
        <v/>
      </c>
      <c r="I3771" s="8">
        <f>IF(D3771="","",VLOOKUP(D3771, RECETTES!B:G, 6, FALSE)*E3771)</f>
        <v/>
      </c>
      <c r="J3771" s="8">
        <f>IF(G3771="","",G3771*0.20)</f>
        <v/>
      </c>
      <c r="K3771" s="8">
        <f>IF(G3771="","",G3771+J3771)</f>
        <v/>
      </c>
    </row>
    <row r="3772">
      <c r="F3772" s="8" t="n"/>
      <c r="G3772" s="8">
        <f>IF(E3772="","",E3772*F3772)</f>
        <v/>
      </c>
      <c r="H3772" s="8">
        <f>IF(G3772="","",G3772-I3772)</f>
        <v/>
      </c>
      <c r="I3772" s="8">
        <f>IF(D3772="","",VLOOKUP(D3772, RECETTES!B:G, 6, FALSE)*E3772)</f>
        <v/>
      </c>
      <c r="J3772" s="8">
        <f>IF(G3772="","",G3772*0.20)</f>
        <v/>
      </c>
      <c r="K3772" s="8">
        <f>IF(G3772="","",G3772+J3772)</f>
        <v/>
      </c>
    </row>
    <row r="3773">
      <c r="F3773" s="8" t="n"/>
      <c r="G3773" s="8">
        <f>IF(E3773="","",E3773*F3773)</f>
        <v/>
      </c>
      <c r="H3773" s="8">
        <f>IF(G3773="","",G3773-I3773)</f>
        <v/>
      </c>
      <c r="I3773" s="8">
        <f>IF(D3773="","",VLOOKUP(D3773, RECETTES!B:G, 6, FALSE)*E3773)</f>
        <v/>
      </c>
      <c r="J3773" s="8">
        <f>IF(G3773="","",G3773*0.20)</f>
        <v/>
      </c>
      <c r="K3773" s="8">
        <f>IF(G3773="","",G3773+J3773)</f>
        <v/>
      </c>
    </row>
    <row r="3774">
      <c r="F3774" s="8" t="n"/>
      <c r="G3774" s="8">
        <f>IF(E3774="","",E3774*F3774)</f>
        <v/>
      </c>
      <c r="H3774" s="8">
        <f>IF(G3774="","",G3774-I3774)</f>
        <v/>
      </c>
      <c r="I3774" s="8">
        <f>IF(D3774="","",VLOOKUP(D3774, RECETTES!B:G, 6, FALSE)*E3774)</f>
        <v/>
      </c>
      <c r="J3774" s="8">
        <f>IF(G3774="","",G3774*0.20)</f>
        <v/>
      </c>
      <c r="K3774" s="8">
        <f>IF(G3774="","",G3774+J3774)</f>
        <v/>
      </c>
    </row>
    <row r="3775">
      <c r="F3775" s="8" t="n"/>
      <c r="G3775" s="8">
        <f>IF(E3775="","",E3775*F3775)</f>
        <v/>
      </c>
      <c r="H3775" s="8">
        <f>IF(G3775="","",G3775-I3775)</f>
        <v/>
      </c>
      <c r="I3775" s="8">
        <f>IF(D3775="","",VLOOKUP(D3775, RECETTES!B:G, 6, FALSE)*E3775)</f>
        <v/>
      </c>
      <c r="J3775" s="8">
        <f>IF(G3775="","",G3775*0.20)</f>
        <v/>
      </c>
      <c r="K3775" s="8">
        <f>IF(G3775="","",G3775+J3775)</f>
        <v/>
      </c>
    </row>
    <row r="3776">
      <c r="F3776" s="8" t="n"/>
      <c r="G3776" s="8">
        <f>IF(E3776="","",E3776*F3776)</f>
        <v/>
      </c>
      <c r="H3776" s="8">
        <f>IF(G3776="","",G3776-I3776)</f>
        <v/>
      </c>
      <c r="I3776" s="8">
        <f>IF(D3776="","",VLOOKUP(D3776, RECETTES!B:G, 6, FALSE)*E3776)</f>
        <v/>
      </c>
      <c r="J3776" s="8">
        <f>IF(G3776="","",G3776*0.20)</f>
        <v/>
      </c>
      <c r="K3776" s="8">
        <f>IF(G3776="","",G3776+J3776)</f>
        <v/>
      </c>
    </row>
    <row r="3777">
      <c r="F3777" s="8" t="n"/>
      <c r="G3777" s="8">
        <f>IF(E3777="","",E3777*F3777)</f>
        <v/>
      </c>
      <c r="H3777" s="8">
        <f>IF(G3777="","",G3777-I3777)</f>
        <v/>
      </c>
      <c r="I3777" s="8">
        <f>IF(D3777="","",VLOOKUP(D3777, RECETTES!B:G, 6, FALSE)*E3777)</f>
        <v/>
      </c>
      <c r="J3777" s="8">
        <f>IF(G3777="","",G3777*0.20)</f>
        <v/>
      </c>
      <c r="K3777" s="8">
        <f>IF(G3777="","",G3777+J3777)</f>
        <v/>
      </c>
    </row>
    <row r="3778">
      <c r="F3778" s="8" t="n"/>
      <c r="G3778" s="8">
        <f>IF(E3778="","",E3778*F3778)</f>
        <v/>
      </c>
      <c r="H3778" s="8">
        <f>IF(G3778="","",G3778-I3778)</f>
        <v/>
      </c>
      <c r="I3778" s="8">
        <f>IF(D3778="","",VLOOKUP(D3778, RECETTES!B:G, 6, FALSE)*E3778)</f>
        <v/>
      </c>
      <c r="J3778" s="8">
        <f>IF(G3778="","",G3778*0.20)</f>
        <v/>
      </c>
      <c r="K3778" s="8">
        <f>IF(G3778="","",G3778+J3778)</f>
        <v/>
      </c>
    </row>
    <row r="3779">
      <c r="F3779" s="8" t="n"/>
      <c r="G3779" s="8">
        <f>IF(E3779="","",E3779*F3779)</f>
        <v/>
      </c>
      <c r="H3779" s="8">
        <f>IF(G3779="","",G3779-I3779)</f>
        <v/>
      </c>
      <c r="I3779" s="8">
        <f>IF(D3779="","",VLOOKUP(D3779, RECETTES!B:G, 6, FALSE)*E3779)</f>
        <v/>
      </c>
      <c r="J3779" s="8">
        <f>IF(G3779="","",G3779*0.20)</f>
        <v/>
      </c>
      <c r="K3779" s="8">
        <f>IF(G3779="","",G3779+J3779)</f>
        <v/>
      </c>
    </row>
    <row r="3780">
      <c r="F3780" s="8" t="n"/>
      <c r="G3780" s="8">
        <f>IF(E3780="","",E3780*F3780)</f>
        <v/>
      </c>
      <c r="H3780" s="8">
        <f>IF(G3780="","",G3780-I3780)</f>
        <v/>
      </c>
      <c r="I3780" s="8">
        <f>IF(D3780="","",VLOOKUP(D3780, RECETTES!B:G, 6, FALSE)*E3780)</f>
        <v/>
      </c>
      <c r="J3780" s="8">
        <f>IF(G3780="","",G3780*0.20)</f>
        <v/>
      </c>
      <c r="K3780" s="8">
        <f>IF(G3780="","",G3780+J3780)</f>
        <v/>
      </c>
    </row>
    <row r="3781">
      <c r="F3781" s="8" t="n"/>
      <c r="G3781" s="8">
        <f>IF(E3781="","",E3781*F3781)</f>
        <v/>
      </c>
      <c r="H3781" s="8">
        <f>IF(G3781="","",G3781-I3781)</f>
        <v/>
      </c>
      <c r="I3781" s="8">
        <f>IF(D3781="","",VLOOKUP(D3781, RECETTES!B:G, 6, FALSE)*E3781)</f>
        <v/>
      </c>
      <c r="J3781" s="8">
        <f>IF(G3781="","",G3781*0.20)</f>
        <v/>
      </c>
      <c r="K3781" s="8">
        <f>IF(G3781="","",G3781+J3781)</f>
        <v/>
      </c>
    </row>
    <row r="3782">
      <c r="F3782" s="8" t="n"/>
      <c r="G3782" s="8">
        <f>IF(E3782="","",E3782*F3782)</f>
        <v/>
      </c>
      <c r="H3782" s="8">
        <f>IF(G3782="","",G3782-I3782)</f>
        <v/>
      </c>
      <c r="I3782" s="8">
        <f>IF(D3782="","",VLOOKUP(D3782, RECETTES!B:G, 6, FALSE)*E3782)</f>
        <v/>
      </c>
      <c r="J3782" s="8">
        <f>IF(G3782="","",G3782*0.20)</f>
        <v/>
      </c>
      <c r="K3782" s="8">
        <f>IF(G3782="","",G3782+J3782)</f>
        <v/>
      </c>
    </row>
    <row r="3783">
      <c r="F3783" s="8" t="n"/>
      <c r="G3783" s="8">
        <f>IF(E3783="","",E3783*F3783)</f>
        <v/>
      </c>
      <c r="H3783" s="8">
        <f>IF(G3783="","",G3783-I3783)</f>
        <v/>
      </c>
      <c r="I3783" s="8">
        <f>IF(D3783="","",VLOOKUP(D3783, RECETTES!B:G, 6, FALSE)*E3783)</f>
        <v/>
      </c>
      <c r="J3783" s="8">
        <f>IF(G3783="","",G3783*0.20)</f>
        <v/>
      </c>
      <c r="K3783" s="8">
        <f>IF(G3783="","",G3783+J3783)</f>
        <v/>
      </c>
    </row>
    <row r="3784">
      <c r="F3784" s="8" t="n"/>
      <c r="G3784" s="8">
        <f>IF(E3784="","",E3784*F3784)</f>
        <v/>
      </c>
      <c r="H3784" s="8">
        <f>IF(G3784="","",G3784-I3784)</f>
        <v/>
      </c>
      <c r="I3784" s="8">
        <f>IF(D3784="","",VLOOKUP(D3784, RECETTES!B:G, 6, FALSE)*E3784)</f>
        <v/>
      </c>
      <c r="J3784" s="8">
        <f>IF(G3784="","",G3784*0.20)</f>
        <v/>
      </c>
      <c r="K3784" s="8">
        <f>IF(G3784="","",G3784+J3784)</f>
        <v/>
      </c>
    </row>
    <row r="3785">
      <c r="F3785" s="8" t="n"/>
      <c r="G3785" s="8">
        <f>IF(E3785="","",E3785*F3785)</f>
        <v/>
      </c>
      <c r="H3785" s="8">
        <f>IF(G3785="","",G3785-I3785)</f>
        <v/>
      </c>
      <c r="I3785" s="8">
        <f>IF(D3785="","",VLOOKUP(D3785, RECETTES!B:G, 6, FALSE)*E3785)</f>
        <v/>
      </c>
      <c r="J3785" s="8">
        <f>IF(G3785="","",G3785*0.20)</f>
        <v/>
      </c>
      <c r="K3785" s="8">
        <f>IF(G3785="","",G3785+J3785)</f>
        <v/>
      </c>
    </row>
    <row r="3786">
      <c r="F3786" s="8" t="n"/>
      <c r="G3786" s="8">
        <f>IF(E3786="","",E3786*F3786)</f>
        <v/>
      </c>
      <c r="H3786" s="8">
        <f>IF(G3786="","",G3786-I3786)</f>
        <v/>
      </c>
      <c r="I3786" s="8">
        <f>IF(D3786="","",VLOOKUP(D3786, RECETTES!B:G, 6, FALSE)*E3786)</f>
        <v/>
      </c>
      <c r="J3786" s="8">
        <f>IF(G3786="","",G3786*0.20)</f>
        <v/>
      </c>
      <c r="K3786" s="8">
        <f>IF(G3786="","",G3786+J3786)</f>
        <v/>
      </c>
    </row>
    <row r="3787">
      <c r="F3787" s="8" t="n"/>
      <c r="G3787" s="8">
        <f>IF(E3787="","",E3787*F3787)</f>
        <v/>
      </c>
      <c r="H3787" s="8">
        <f>IF(G3787="","",G3787-I3787)</f>
        <v/>
      </c>
      <c r="I3787" s="8">
        <f>IF(D3787="","",VLOOKUP(D3787, RECETTES!B:G, 6, FALSE)*E3787)</f>
        <v/>
      </c>
      <c r="J3787" s="8">
        <f>IF(G3787="","",G3787*0.20)</f>
        <v/>
      </c>
      <c r="K3787" s="8">
        <f>IF(G3787="","",G3787+J3787)</f>
        <v/>
      </c>
    </row>
    <row r="3788">
      <c r="F3788" s="8" t="n"/>
      <c r="G3788" s="8">
        <f>IF(E3788="","",E3788*F3788)</f>
        <v/>
      </c>
      <c r="H3788" s="8">
        <f>IF(G3788="","",G3788-I3788)</f>
        <v/>
      </c>
      <c r="I3788" s="8">
        <f>IF(D3788="","",VLOOKUP(D3788, RECETTES!B:G, 6, FALSE)*E3788)</f>
        <v/>
      </c>
      <c r="J3788" s="8">
        <f>IF(G3788="","",G3788*0.20)</f>
        <v/>
      </c>
      <c r="K3788" s="8">
        <f>IF(G3788="","",G3788+J3788)</f>
        <v/>
      </c>
    </row>
    <row r="3789">
      <c r="F3789" s="8" t="n"/>
      <c r="G3789" s="8">
        <f>IF(E3789="","",E3789*F3789)</f>
        <v/>
      </c>
      <c r="H3789" s="8">
        <f>IF(G3789="","",G3789-I3789)</f>
        <v/>
      </c>
      <c r="I3789" s="8">
        <f>IF(D3789="","",VLOOKUP(D3789, RECETTES!B:G, 6, FALSE)*E3789)</f>
        <v/>
      </c>
      <c r="J3789" s="8">
        <f>IF(G3789="","",G3789*0.20)</f>
        <v/>
      </c>
      <c r="K3789" s="8">
        <f>IF(G3789="","",G3789+J3789)</f>
        <v/>
      </c>
    </row>
    <row r="3790">
      <c r="F3790" s="8" t="n"/>
      <c r="G3790" s="8">
        <f>IF(E3790="","",E3790*F3790)</f>
        <v/>
      </c>
      <c r="H3790" s="8">
        <f>IF(G3790="","",G3790-I3790)</f>
        <v/>
      </c>
      <c r="I3790" s="8">
        <f>IF(D3790="","",VLOOKUP(D3790, RECETTES!B:G, 6, FALSE)*E3790)</f>
        <v/>
      </c>
      <c r="J3790" s="8">
        <f>IF(G3790="","",G3790*0.20)</f>
        <v/>
      </c>
      <c r="K3790" s="8">
        <f>IF(G3790="","",G3790+J3790)</f>
        <v/>
      </c>
    </row>
    <row r="3791">
      <c r="F3791" s="8" t="n"/>
      <c r="G3791" s="8">
        <f>IF(E3791="","",E3791*F3791)</f>
        <v/>
      </c>
      <c r="H3791" s="8">
        <f>IF(G3791="","",G3791-I3791)</f>
        <v/>
      </c>
      <c r="I3791" s="8">
        <f>IF(D3791="","",VLOOKUP(D3791, RECETTES!B:G, 6, FALSE)*E3791)</f>
        <v/>
      </c>
      <c r="J3791" s="8">
        <f>IF(G3791="","",G3791*0.20)</f>
        <v/>
      </c>
      <c r="K3791" s="8">
        <f>IF(G3791="","",G3791+J3791)</f>
        <v/>
      </c>
    </row>
    <row r="3792">
      <c r="F3792" s="8" t="n"/>
      <c r="G3792" s="8">
        <f>IF(E3792="","",E3792*F3792)</f>
        <v/>
      </c>
      <c r="H3792" s="8">
        <f>IF(G3792="","",G3792-I3792)</f>
        <v/>
      </c>
      <c r="I3792" s="8">
        <f>IF(D3792="","",VLOOKUP(D3792, RECETTES!B:G, 6, FALSE)*E3792)</f>
        <v/>
      </c>
      <c r="J3792" s="8">
        <f>IF(G3792="","",G3792*0.20)</f>
        <v/>
      </c>
      <c r="K3792" s="8">
        <f>IF(G3792="","",G3792+J3792)</f>
        <v/>
      </c>
    </row>
    <row r="3793">
      <c r="F3793" s="8" t="n"/>
      <c r="G3793" s="8">
        <f>IF(E3793="","",E3793*F3793)</f>
        <v/>
      </c>
      <c r="H3793" s="8">
        <f>IF(G3793="","",G3793-I3793)</f>
        <v/>
      </c>
      <c r="I3793" s="8">
        <f>IF(D3793="","",VLOOKUP(D3793, RECETTES!B:G, 6, FALSE)*E3793)</f>
        <v/>
      </c>
      <c r="J3793" s="8">
        <f>IF(G3793="","",G3793*0.20)</f>
        <v/>
      </c>
      <c r="K3793" s="8">
        <f>IF(G3793="","",G3793+J3793)</f>
        <v/>
      </c>
    </row>
    <row r="3794">
      <c r="F3794" s="8" t="n"/>
      <c r="G3794" s="8">
        <f>IF(E3794="","",E3794*F3794)</f>
        <v/>
      </c>
      <c r="H3794" s="8">
        <f>IF(G3794="","",G3794-I3794)</f>
        <v/>
      </c>
      <c r="I3794" s="8">
        <f>IF(D3794="","",VLOOKUP(D3794, RECETTES!B:G, 6, FALSE)*E3794)</f>
        <v/>
      </c>
      <c r="J3794" s="8">
        <f>IF(G3794="","",G3794*0.20)</f>
        <v/>
      </c>
      <c r="K3794" s="8">
        <f>IF(G3794="","",G3794+J3794)</f>
        <v/>
      </c>
    </row>
    <row r="3795">
      <c r="F3795" s="8" t="n"/>
      <c r="G3795" s="8">
        <f>IF(E3795="","",E3795*F3795)</f>
        <v/>
      </c>
      <c r="H3795" s="8">
        <f>IF(G3795="","",G3795-I3795)</f>
        <v/>
      </c>
      <c r="I3795" s="8">
        <f>IF(D3795="","",VLOOKUP(D3795, RECETTES!B:G, 6, FALSE)*E3795)</f>
        <v/>
      </c>
      <c r="J3795" s="8">
        <f>IF(G3795="","",G3795*0.20)</f>
        <v/>
      </c>
      <c r="K3795" s="8">
        <f>IF(G3795="","",G3795+J3795)</f>
        <v/>
      </c>
    </row>
    <row r="3796">
      <c r="F3796" s="8" t="n"/>
      <c r="G3796" s="8">
        <f>IF(E3796="","",E3796*F3796)</f>
        <v/>
      </c>
      <c r="H3796" s="8">
        <f>IF(G3796="","",G3796-I3796)</f>
        <v/>
      </c>
      <c r="I3796" s="8">
        <f>IF(D3796="","",VLOOKUP(D3796, RECETTES!B:G, 6, FALSE)*E3796)</f>
        <v/>
      </c>
      <c r="J3796" s="8">
        <f>IF(G3796="","",G3796*0.20)</f>
        <v/>
      </c>
      <c r="K3796" s="8">
        <f>IF(G3796="","",G3796+J3796)</f>
        <v/>
      </c>
    </row>
    <row r="3797">
      <c r="F3797" s="8" t="n"/>
      <c r="G3797" s="8">
        <f>IF(E3797="","",E3797*F3797)</f>
        <v/>
      </c>
      <c r="H3797" s="8">
        <f>IF(G3797="","",G3797-I3797)</f>
        <v/>
      </c>
      <c r="I3797" s="8">
        <f>IF(D3797="","",VLOOKUP(D3797, RECETTES!B:G, 6, FALSE)*E3797)</f>
        <v/>
      </c>
      <c r="J3797" s="8">
        <f>IF(G3797="","",G3797*0.20)</f>
        <v/>
      </c>
      <c r="K3797" s="8">
        <f>IF(G3797="","",G3797+J3797)</f>
        <v/>
      </c>
    </row>
    <row r="3798">
      <c r="F3798" s="8" t="n"/>
      <c r="G3798" s="8">
        <f>IF(E3798="","",E3798*F3798)</f>
        <v/>
      </c>
      <c r="H3798" s="8">
        <f>IF(G3798="","",G3798-I3798)</f>
        <v/>
      </c>
      <c r="I3798" s="8">
        <f>IF(D3798="","",VLOOKUP(D3798, RECETTES!B:G, 6, FALSE)*E3798)</f>
        <v/>
      </c>
      <c r="J3798" s="8">
        <f>IF(G3798="","",G3798*0.20)</f>
        <v/>
      </c>
      <c r="K3798" s="8">
        <f>IF(G3798="","",G3798+J3798)</f>
        <v/>
      </c>
    </row>
    <row r="3799">
      <c r="F3799" s="8" t="n"/>
      <c r="G3799" s="8">
        <f>IF(E3799="","",E3799*F3799)</f>
        <v/>
      </c>
      <c r="H3799" s="8">
        <f>IF(G3799="","",G3799-I3799)</f>
        <v/>
      </c>
      <c r="I3799" s="8">
        <f>IF(D3799="","",VLOOKUP(D3799, RECETTES!B:G, 6, FALSE)*E3799)</f>
        <v/>
      </c>
      <c r="J3799" s="8">
        <f>IF(G3799="","",G3799*0.20)</f>
        <v/>
      </c>
      <c r="K3799" s="8">
        <f>IF(G3799="","",G3799+J3799)</f>
        <v/>
      </c>
    </row>
    <row r="3800">
      <c r="F3800" s="8" t="n"/>
      <c r="G3800" s="8">
        <f>IF(E3800="","",E3800*F3800)</f>
        <v/>
      </c>
      <c r="H3800" s="8">
        <f>IF(G3800="","",G3800-I3800)</f>
        <v/>
      </c>
      <c r="I3800" s="8">
        <f>IF(D3800="","",VLOOKUP(D3800, RECETTES!B:G, 6, FALSE)*E3800)</f>
        <v/>
      </c>
      <c r="J3800" s="8">
        <f>IF(G3800="","",G3800*0.20)</f>
        <v/>
      </c>
      <c r="K3800" s="8">
        <f>IF(G3800="","",G3800+J3800)</f>
        <v/>
      </c>
    </row>
    <row r="3801">
      <c r="F3801" s="8" t="n"/>
      <c r="G3801" s="8">
        <f>IF(E3801="","",E3801*F3801)</f>
        <v/>
      </c>
      <c r="H3801" s="8">
        <f>IF(G3801="","",G3801-I3801)</f>
        <v/>
      </c>
      <c r="I3801" s="8">
        <f>IF(D3801="","",VLOOKUP(D3801, RECETTES!B:G, 6, FALSE)*E3801)</f>
        <v/>
      </c>
      <c r="J3801" s="8">
        <f>IF(G3801="","",G3801*0.20)</f>
        <v/>
      </c>
      <c r="K3801" s="8">
        <f>IF(G3801="","",G3801+J3801)</f>
        <v/>
      </c>
    </row>
    <row r="3802">
      <c r="F3802" s="8" t="n"/>
      <c r="G3802" s="8">
        <f>IF(E3802="","",E3802*F3802)</f>
        <v/>
      </c>
      <c r="H3802" s="8">
        <f>IF(G3802="","",G3802-I3802)</f>
        <v/>
      </c>
      <c r="I3802" s="8">
        <f>IF(D3802="","",VLOOKUP(D3802, RECETTES!B:G, 6, FALSE)*E3802)</f>
        <v/>
      </c>
      <c r="J3802" s="8">
        <f>IF(G3802="","",G3802*0.20)</f>
        <v/>
      </c>
      <c r="K3802" s="8">
        <f>IF(G3802="","",G3802+J3802)</f>
        <v/>
      </c>
    </row>
    <row r="3803">
      <c r="F3803" s="8" t="n"/>
      <c r="G3803" s="8">
        <f>IF(E3803="","",E3803*F3803)</f>
        <v/>
      </c>
      <c r="H3803" s="8">
        <f>IF(G3803="","",G3803-I3803)</f>
        <v/>
      </c>
      <c r="I3803" s="8">
        <f>IF(D3803="","",VLOOKUP(D3803, RECETTES!B:G, 6, FALSE)*E3803)</f>
        <v/>
      </c>
      <c r="J3803" s="8">
        <f>IF(G3803="","",G3803*0.20)</f>
        <v/>
      </c>
      <c r="K3803" s="8">
        <f>IF(G3803="","",G3803+J3803)</f>
        <v/>
      </c>
    </row>
    <row r="3804">
      <c r="F3804" s="8" t="n"/>
      <c r="G3804" s="8">
        <f>IF(E3804="","",E3804*F3804)</f>
        <v/>
      </c>
      <c r="H3804" s="8">
        <f>IF(G3804="","",G3804-I3804)</f>
        <v/>
      </c>
      <c r="I3804" s="8">
        <f>IF(D3804="","",VLOOKUP(D3804, RECETTES!B:G, 6, FALSE)*E3804)</f>
        <v/>
      </c>
      <c r="J3804" s="8">
        <f>IF(G3804="","",G3804*0.20)</f>
        <v/>
      </c>
      <c r="K3804" s="8">
        <f>IF(G3804="","",G3804+J3804)</f>
        <v/>
      </c>
    </row>
    <row r="3805">
      <c r="F3805" s="8" t="n"/>
      <c r="G3805" s="8">
        <f>IF(E3805="","",E3805*F3805)</f>
        <v/>
      </c>
      <c r="H3805" s="8">
        <f>IF(G3805="","",G3805-I3805)</f>
        <v/>
      </c>
      <c r="I3805" s="8">
        <f>IF(D3805="","",VLOOKUP(D3805, RECETTES!B:G, 6, FALSE)*E3805)</f>
        <v/>
      </c>
      <c r="J3805" s="8">
        <f>IF(G3805="","",G3805*0.20)</f>
        <v/>
      </c>
      <c r="K3805" s="8">
        <f>IF(G3805="","",G3805+J3805)</f>
        <v/>
      </c>
    </row>
    <row r="3806">
      <c r="F3806" s="8" t="n"/>
      <c r="G3806" s="8">
        <f>IF(E3806="","",E3806*F3806)</f>
        <v/>
      </c>
      <c r="H3806" s="8">
        <f>IF(G3806="","",G3806-I3806)</f>
        <v/>
      </c>
      <c r="I3806" s="8">
        <f>IF(D3806="","",VLOOKUP(D3806, RECETTES!B:G, 6, FALSE)*E3806)</f>
        <v/>
      </c>
      <c r="J3806" s="8">
        <f>IF(G3806="","",G3806*0.20)</f>
        <v/>
      </c>
      <c r="K3806" s="8">
        <f>IF(G3806="","",G3806+J3806)</f>
        <v/>
      </c>
    </row>
    <row r="3807">
      <c r="F3807" s="8" t="n"/>
      <c r="G3807" s="8">
        <f>IF(E3807="","",E3807*F3807)</f>
        <v/>
      </c>
      <c r="H3807" s="8">
        <f>IF(G3807="","",G3807-I3807)</f>
        <v/>
      </c>
      <c r="I3807" s="8">
        <f>IF(D3807="","",VLOOKUP(D3807, RECETTES!B:G, 6, FALSE)*E3807)</f>
        <v/>
      </c>
      <c r="J3807" s="8">
        <f>IF(G3807="","",G3807*0.20)</f>
        <v/>
      </c>
      <c r="K3807" s="8">
        <f>IF(G3807="","",G3807+J3807)</f>
        <v/>
      </c>
    </row>
    <row r="3808">
      <c r="F3808" s="8" t="n"/>
      <c r="G3808" s="8">
        <f>IF(E3808="","",E3808*F3808)</f>
        <v/>
      </c>
      <c r="H3808" s="8">
        <f>IF(G3808="","",G3808-I3808)</f>
        <v/>
      </c>
      <c r="I3808" s="8">
        <f>IF(D3808="","",VLOOKUP(D3808, RECETTES!B:G, 6, FALSE)*E3808)</f>
        <v/>
      </c>
      <c r="J3808" s="8">
        <f>IF(G3808="","",G3808*0.20)</f>
        <v/>
      </c>
      <c r="K3808" s="8">
        <f>IF(G3808="","",G3808+J3808)</f>
        <v/>
      </c>
    </row>
    <row r="3809">
      <c r="F3809" s="8" t="n"/>
      <c r="G3809" s="8">
        <f>IF(E3809="","",E3809*F3809)</f>
        <v/>
      </c>
      <c r="H3809" s="8">
        <f>IF(G3809="","",G3809-I3809)</f>
        <v/>
      </c>
      <c r="I3809" s="8">
        <f>IF(D3809="","",VLOOKUP(D3809, RECETTES!B:G, 6, FALSE)*E3809)</f>
        <v/>
      </c>
      <c r="J3809" s="8">
        <f>IF(G3809="","",G3809*0.20)</f>
        <v/>
      </c>
      <c r="K3809" s="8">
        <f>IF(G3809="","",G3809+J3809)</f>
        <v/>
      </c>
    </row>
    <row r="3810">
      <c r="F3810" s="8" t="n"/>
      <c r="G3810" s="8">
        <f>IF(E3810="","",E3810*F3810)</f>
        <v/>
      </c>
      <c r="H3810" s="8">
        <f>IF(G3810="","",G3810-I3810)</f>
        <v/>
      </c>
      <c r="I3810" s="8">
        <f>IF(D3810="","",VLOOKUP(D3810, RECETTES!B:G, 6, FALSE)*E3810)</f>
        <v/>
      </c>
      <c r="J3810" s="8">
        <f>IF(G3810="","",G3810*0.20)</f>
        <v/>
      </c>
      <c r="K3810" s="8">
        <f>IF(G3810="","",G3810+J3810)</f>
        <v/>
      </c>
    </row>
    <row r="3811">
      <c r="F3811" s="8" t="n"/>
      <c r="G3811" s="8">
        <f>IF(E3811="","",E3811*F3811)</f>
        <v/>
      </c>
      <c r="H3811" s="8">
        <f>IF(G3811="","",G3811-I3811)</f>
        <v/>
      </c>
      <c r="I3811" s="8">
        <f>IF(D3811="","",VLOOKUP(D3811, RECETTES!B:G, 6, FALSE)*E3811)</f>
        <v/>
      </c>
      <c r="J3811" s="8">
        <f>IF(G3811="","",G3811*0.20)</f>
        <v/>
      </c>
      <c r="K3811" s="8">
        <f>IF(G3811="","",G3811+J3811)</f>
        <v/>
      </c>
    </row>
    <row r="3812">
      <c r="F3812" s="8" t="n"/>
      <c r="G3812" s="8">
        <f>IF(E3812="","",E3812*F3812)</f>
        <v/>
      </c>
      <c r="H3812" s="8">
        <f>IF(G3812="","",G3812-I3812)</f>
        <v/>
      </c>
      <c r="I3812" s="8">
        <f>IF(D3812="","",VLOOKUP(D3812, RECETTES!B:G, 6, FALSE)*E3812)</f>
        <v/>
      </c>
      <c r="J3812" s="8">
        <f>IF(G3812="","",G3812*0.20)</f>
        <v/>
      </c>
      <c r="K3812" s="8">
        <f>IF(G3812="","",G3812+J3812)</f>
        <v/>
      </c>
    </row>
    <row r="3813">
      <c r="F3813" s="8" t="n"/>
      <c r="G3813" s="8">
        <f>IF(E3813="","",E3813*F3813)</f>
        <v/>
      </c>
      <c r="H3813" s="8">
        <f>IF(G3813="","",G3813-I3813)</f>
        <v/>
      </c>
      <c r="I3813" s="8">
        <f>IF(D3813="","",VLOOKUP(D3813, RECETTES!B:G, 6, FALSE)*E3813)</f>
        <v/>
      </c>
      <c r="J3813" s="8">
        <f>IF(G3813="","",G3813*0.20)</f>
        <v/>
      </c>
      <c r="K3813" s="8">
        <f>IF(G3813="","",G3813+J3813)</f>
        <v/>
      </c>
    </row>
    <row r="3814">
      <c r="F3814" s="8" t="n"/>
      <c r="G3814" s="8">
        <f>IF(E3814="","",E3814*F3814)</f>
        <v/>
      </c>
      <c r="H3814" s="8">
        <f>IF(G3814="","",G3814-I3814)</f>
        <v/>
      </c>
      <c r="I3814" s="8">
        <f>IF(D3814="","",VLOOKUP(D3814, RECETTES!B:G, 6, FALSE)*E3814)</f>
        <v/>
      </c>
      <c r="J3814" s="8">
        <f>IF(G3814="","",G3814*0.20)</f>
        <v/>
      </c>
      <c r="K3814" s="8">
        <f>IF(G3814="","",G3814+J3814)</f>
        <v/>
      </c>
    </row>
    <row r="3815">
      <c r="F3815" s="8" t="n"/>
      <c r="G3815" s="8">
        <f>IF(E3815="","",E3815*F3815)</f>
        <v/>
      </c>
      <c r="H3815" s="8">
        <f>IF(G3815="","",G3815-I3815)</f>
        <v/>
      </c>
      <c r="I3815" s="8">
        <f>IF(D3815="","",VLOOKUP(D3815, RECETTES!B:G, 6, FALSE)*E3815)</f>
        <v/>
      </c>
      <c r="J3815" s="8">
        <f>IF(G3815="","",G3815*0.20)</f>
        <v/>
      </c>
      <c r="K3815" s="8">
        <f>IF(G3815="","",G3815+J3815)</f>
        <v/>
      </c>
    </row>
    <row r="3816">
      <c r="F3816" s="8" t="n"/>
      <c r="G3816" s="8">
        <f>IF(E3816="","",E3816*F3816)</f>
        <v/>
      </c>
      <c r="H3816" s="8">
        <f>IF(G3816="","",G3816-I3816)</f>
        <v/>
      </c>
      <c r="I3816" s="8">
        <f>IF(D3816="","",VLOOKUP(D3816, RECETTES!B:G, 6, FALSE)*E3816)</f>
        <v/>
      </c>
      <c r="J3816" s="8">
        <f>IF(G3816="","",G3816*0.20)</f>
        <v/>
      </c>
      <c r="K3816" s="8">
        <f>IF(G3816="","",G3816+J3816)</f>
        <v/>
      </c>
    </row>
    <row r="3817">
      <c r="F3817" s="8" t="n"/>
      <c r="G3817" s="8">
        <f>IF(E3817="","",E3817*F3817)</f>
        <v/>
      </c>
      <c r="H3817" s="8">
        <f>IF(G3817="","",G3817-I3817)</f>
        <v/>
      </c>
      <c r="I3817" s="8">
        <f>IF(D3817="","",VLOOKUP(D3817, RECETTES!B:G, 6, FALSE)*E3817)</f>
        <v/>
      </c>
      <c r="J3817" s="8">
        <f>IF(G3817="","",G3817*0.20)</f>
        <v/>
      </c>
      <c r="K3817" s="8">
        <f>IF(G3817="","",G3817+J3817)</f>
        <v/>
      </c>
    </row>
    <row r="3818">
      <c r="F3818" s="8" t="n"/>
      <c r="G3818" s="8">
        <f>IF(E3818="","",E3818*F3818)</f>
        <v/>
      </c>
      <c r="H3818" s="8">
        <f>IF(G3818="","",G3818-I3818)</f>
        <v/>
      </c>
      <c r="I3818" s="8">
        <f>IF(D3818="","",VLOOKUP(D3818, RECETTES!B:G, 6, FALSE)*E3818)</f>
        <v/>
      </c>
      <c r="J3818" s="8">
        <f>IF(G3818="","",G3818*0.20)</f>
        <v/>
      </c>
      <c r="K3818" s="8">
        <f>IF(G3818="","",G3818+J3818)</f>
        <v/>
      </c>
    </row>
    <row r="3819">
      <c r="F3819" s="8" t="n"/>
      <c r="G3819" s="8">
        <f>IF(E3819="","",E3819*F3819)</f>
        <v/>
      </c>
      <c r="H3819" s="8">
        <f>IF(G3819="","",G3819-I3819)</f>
        <v/>
      </c>
      <c r="I3819" s="8">
        <f>IF(D3819="","",VLOOKUP(D3819, RECETTES!B:G, 6, FALSE)*E3819)</f>
        <v/>
      </c>
      <c r="J3819" s="8">
        <f>IF(G3819="","",G3819*0.20)</f>
        <v/>
      </c>
      <c r="K3819" s="8">
        <f>IF(G3819="","",G3819+J3819)</f>
        <v/>
      </c>
    </row>
    <row r="3820">
      <c r="F3820" s="8" t="n"/>
      <c r="G3820" s="8">
        <f>IF(E3820="","",E3820*F3820)</f>
        <v/>
      </c>
      <c r="H3820" s="8">
        <f>IF(G3820="","",G3820-I3820)</f>
        <v/>
      </c>
      <c r="I3820" s="8">
        <f>IF(D3820="","",VLOOKUP(D3820, RECETTES!B:G, 6, FALSE)*E3820)</f>
        <v/>
      </c>
      <c r="J3820" s="8">
        <f>IF(G3820="","",G3820*0.20)</f>
        <v/>
      </c>
      <c r="K3820" s="8">
        <f>IF(G3820="","",G3820+J3820)</f>
        <v/>
      </c>
    </row>
    <row r="3821">
      <c r="F3821" s="8" t="n"/>
      <c r="G3821" s="8">
        <f>IF(E3821="","",E3821*F3821)</f>
        <v/>
      </c>
      <c r="H3821" s="8">
        <f>IF(G3821="","",G3821-I3821)</f>
        <v/>
      </c>
      <c r="I3821" s="8">
        <f>IF(D3821="","",VLOOKUP(D3821, RECETTES!B:G, 6, FALSE)*E3821)</f>
        <v/>
      </c>
      <c r="J3821" s="8">
        <f>IF(G3821="","",G3821*0.20)</f>
        <v/>
      </c>
      <c r="K3821" s="8">
        <f>IF(G3821="","",G3821+J3821)</f>
        <v/>
      </c>
    </row>
    <row r="3822">
      <c r="F3822" s="8" t="n"/>
      <c r="G3822" s="8">
        <f>IF(E3822="","",E3822*F3822)</f>
        <v/>
      </c>
      <c r="H3822" s="8">
        <f>IF(G3822="","",G3822-I3822)</f>
        <v/>
      </c>
      <c r="I3822" s="8">
        <f>IF(D3822="","",VLOOKUP(D3822, RECETTES!B:G, 6, FALSE)*E3822)</f>
        <v/>
      </c>
      <c r="J3822" s="8">
        <f>IF(G3822="","",G3822*0.20)</f>
        <v/>
      </c>
      <c r="K3822" s="8">
        <f>IF(G3822="","",G3822+J3822)</f>
        <v/>
      </c>
    </row>
    <row r="3823">
      <c r="F3823" s="8" t="n"/>
      <c r="G3823" s="8">
        <f>IF(E3823="","",E3823*F3823)</f>
        <v/>
      </c>
      <c r="H3823" s="8">
        <f>IF(G3823="","",G3823-I3823)</f>
        <v/>
      </c>
      <c r="I3823" s="8">
        <f>IF(D3823="","",VLOOKUP(D3823, RECETTES!B:G, 6, FALSE)*E3823)</f>
        <v/>
      </c>
      <c r="J3823" s="8">
        <f>IF(G3823="","",G3823*0.20)</f>
        <v/>
      </c>
      <c r="K3823" s="8">
        <f>IF(G3823="","",G3823+J3823)</f>
        <v/>
      </c>
    </row>
    <row r="3824">
      <c r="F3824" s="8" t="n"/>
      <c r="G3824" s="8">
        <f>IF(E3824="","",E3824*F3824)</f>
        <v/>
      </c>
      <c r="H3824" s="8">
        <f>IF(G3824="","",G3824-I3824)</f>
        <v/>
      </c>
      <c r="I3824" s="8">
        <f>IF(D3824="","",VLOOKUP(D3824, RECETTES!B:G, 6, FALSE)*E3824)</f>
        <v/>
      </c>
      <c r="J3824" s="8">
        <f>IF(G3824="","",G3824*0.20)</f>
        <v/>
      </c>
      <c r="K3824" s="8">
        <f>IF(G3824="","",G3824+J3824)</f>
        <v/>
      </c>
    </row>
    <row r="3825">
      <c r="F3825" s="8" t="n"/>
      <c r="G3825" s="8">
        <f>IF(E3825="","",E3825*F3825)</f>
        <v/>
      </c>
      <c r="H3825" s="8">
        <f>IF(G3825="","",G3825-I3825)</f>
        <v/>
      </c>
      <c r="I3825" s="8">
        <f>IF(D3825="","",VLOOKUP(D3825, RECETTES!B:G, 6, FALSE)*E3825)</f>
        <v/>
      </c>
      <c r="J3825" s="8">
        <f>IF(G3825="","",G3825*0.20)</f>
        <v/>
      </c>
      <c r="K3825" s="8">
        <f>IF(G3825="","",G3825+J3825)</f>
        <v/>
      </c>
    </row>
    <row r="3826">
      <c r="F3826" s="8" t="n"/>
      <c r="G3826" s="8">
        <f>IF(E3826="","",E3826*F3826)</f>
        <v/>
      </c>
      <c r="H3826" s="8">
        <f>IF(G3826="","",G3826-I3826)</f>
        <v/>
      </c>
      <c r="I3826" s="8">
        <f>IF(D3826="","",VLOOKUP(D3826, RECETTES!B:G, 6, FALSE)*E3826)</f>
        <v/>
      </c>
      <c r="J3826" s="8">
        <f>IF(G3826="","",G3826*0.20)</f>
        <v/>
      </c>
      <c r="K3826" s="8">
        <f>IF(G3826="","",G3826+J3826)</f>
        <v/>
      </c>
    </row>
    <row r="3827">
      <c r="F3827" s="8" t="n"/>
      <c r="G3827" s="8">
        <f>IF(E3827="","",E3827*F3827)</f>
        <v/>
      </c>
      <c r="H3827" s="8">
        <f>IF(G3827="","",G3827-I3827)</f>
        <v/>
      </c>
      <c r="I3827" s="8">
        <f>IF(D3827="","",VLOOKUP(D3827, RECETTES!B:G, 6, FALSE)*E3827)</f>
        <v/>
      </c>
      <c r="J3827" s="8">
        <f>IF(G3827="","",G3827*0.20)</f>
        <v/>
      </c>
      <c r="K3827" s="8">
        <f>IF(G3827="","",G3827+J3827)</f>
        <v/>
      </c>
    </row>
    <row r="3828">
      <c r="F3828" s="8" t="n"/>
      <c r="G3828" s="8">
        <f>IF(E3828="","",E3828*F3828)</f>
        <v/>
      </c>
      <c r="H3828" s="8">
        <f>IF(G3828="","",G3828-I3828)</f>
        <v/>
      </c>
      <c r="I3828" s="8">
        <f>IF(D3828="","",VLOOKUP(D3828, RECETTES!B:G, 6, FALSE)*E3828)</f>
        <v/>
      </c>
      <c r="J3828" s="8">
        <f>IF(G3828="","",G3828*0.20)</f>
        <v/>
      </c>
      <c r="K3828" s="8">
        <f>IF(G3828="","",G3828+J3828)</f>
        <v/>
      </c>
    </row>
    <row r="3829">
      <c r="F3829" s="8" t="n"/>
      <c r="G3829" s="8">
        <f>IF(E3829="","",E3829*F3829)</f>
        <v/>
      </c>
      <c r="H3829" s="8">
        <f>IF(G3829="","",G3829-I3829)</f>
        <v/>
      </c>
      <c r="I3829" s="8">
        <f>IF(D3829="","",VLOOKUP(D3829, RECETTES!B:G, 6, FALSE)*E3829)</f>
        <v/>
      </c>
      <c r="J3829" s="8">
        <f>IF(G3829="","",G3829*0.20)</f>
        <v/>
      </c>
      <c r="K3829" s="8">
        <f>IF(G3829="","",G3829+J3829)</f>
        <v/>
      </c>
    </row>
    <row r="3830">
      <c r="F3830" s="8" t="n"/>
      <c r="G3830" s="8">
        <f>IF(E3830="","",E3830*F3830)</f>
        <v/>
      </c>
      <c r="H3830" s="8">
        <f>IF(G3830="","",G3830-I3830)</f>
        <v/>
      </c>
      <c r="I3830" s="8">
        <f>IF(D3830="","",VLOOKUP(D3830, RECETTES!B:G, 6, FALSE)*E3830)</f>
        <v/>
      </c>
      <c r="J3830" s="8">
        <f>IF(G3830="","",G3830*0.20)</f>
        <v/>
      </c>
      <c r="K3830" s="8">
        <f>IF(G3830="","",G3830+J3830)</f>
        <v/>
      </c>
    </row>
    <row r="3831">
      <c r="F3831" s="8" t="n"/>
      <c r="G3831" s="8">
        <f>IF(E3831="","",E3831*F3831)</f>
        <v/>
      </c>
      <c r="H3831" s="8">
        <f>IF(G3831="","",G3831-I3831)</f>
        <v/>
      </c>
      <c r="I3831" s="8">
        <f>IF(D3831="","",VLOOKUP(D3831, RECETTES!B:G, 6, FALSE)*E3831)</f>
        <v/>
      </c>
      <c r="J3831" s="8">
        <f>IF(G3831="","",G3831*0.20)</f>
        <v/>
      </c>
      <c r="K3831" s="8">
        <f>IF(G3831="","",G3831+J3831)</f>
        <v/>
      </c>
    </row>
    <row r="3832">
      <c r="F3832" s="8" t="n"/>
      <c r="G3832" s="8">
        <f>IF(E3832="","",E3832*F3832)</f>
        <v/>
      </c>
      <c r="H3832" s="8">
        <f>IF(G3832="","",G3832-I3832)</f>
        <v/>
      </c>
      <c r="I3832" s="8">
        <f>IF(D3832="","",VLOOKUP(D3832, RECETTES!B:G, 6, FALSE)*E3832)</f>
        <v/>
      </c>
      <c r="J3832" s="8">
        <f>IF(G3832="","",G3832*0.20)</f>
        <v/>
      </c>
      <c r="K3832" s="8">
        <f>IF(G3832="","",G3832+J3832)</f>
        <v/>
      </c>
    </row>
    <row r="3833">
      <c r="F3833" s="8" t="n"/>
      <c r="G3833" s="8">
        <f>IF(E3833="","",E3833*F3833)</f>
        <v/>
      </c>
      <c r="H3833" s="8">
        <f>IF(G3833="","",G3833-I3833)</f>
        <v/>
      </c>
      <c r="I3833" s="8">
        <f>IF(D3833="","",VLOOKUP(D3833, RECETTES!B:G, 6, FALSE)*E3833)</f>
        <v/>
      </c>
      <c r="J3833" s="8">
        <f>IF(G3833="","",G3833*0.20)</f>
        <v/>
      </c>
      <c r="K3833" s="8">
        <f>IF(G3833="","",G3833+J3833)</f>
        <v/>
      </c>
    </row>
    <row r="3834">
      <c r="F3834" s="8" t="n"/>
      <c r="G3834" s="8">
        <f>IF(E3834="","",E3834*F3834)</f>
        <v/>
      </c>
      <c r="H3834" s="8">
        <f>IF(G3834="","",G3834-I3834)</f>
        <v/>
      </c>
      <c r="I3834" s="8">
        <f>IF(D3834="","",VLOOKUP(D3834, RECETTES!B:G, 6, FALSE)*E3834)</f>
        <v/>
      </c>
      <c r="J3834" s="8">
        <f>IF(G3834="","",G3834*0.20)</f>
        <v/>
      </c>
      <c r="K3834" s="8">
        <f>IF(G3834="","",G3834+J3834)</f>
        <v/>
      </c>
    </row>
    <row r="3835">
      <c r="F3835" s="8" t="n"/>
      <c r="G3835" s="8">
        <f>IF(E3835="","",E3835*F3835)</f>
        <v/>
      </c>
      <c r="H3835" s="8">
        <f>IF(G3835="","",G3835-I3835)</f>
        <v/>
      </c>
      <c r="I3835" s="8">
        <f>IF(D3835="","",VLOOKUP(D3835, RECETTES!B:G, 6, FALSE)*E3835)</f>
        <v/>
      </c>
      <c r="J3835" s="8">
        <f>IF(G3835="","",G3835*0.20)</f>
        <v/>
      </c>
      <c r="K3835" s="8">
        <f>IF(G3835="","",G3835+J3835)</f>
        <v/>
      </c>
    </row>
    <row r="3836">
      <c r="F3836" s="8" t="n"/>
      <c r="G3836" s="8">
        <f>IF(E3836="","",E3836*F3836)</f>
        <v/>
      </c>
      <c r="H3836" s="8">
        <f>IF(G3836="","",G3836-I3836)</f>
        <v/>
      </c>
      <c r="I3836" s="8">
        <f>IF(D3836="","",VLOOKUP(D3836, RECETTES!B:G, 6, FALSE)*E3836)</f>
        <v/>
      </c>
      <c r="J3836" s="8">
        <f>IF(G3836="","",G3836*0.20)</f>
        <v/>
      </c>
      <c r="K3836" s="8">
        <f>IF(G3836="","",G3836+J3836)</f>
        <v/>
      </c>
    </row>
    <row r="3837">
      <c r="F3837" s="8" t="n"/>
      <c r="G3837" s="8">
        <f>IF(E3837="","",E3837*F3837)</f>
        <v/>
      </c>
      <c r="H3837" s="8">
        <f>IF(G3837="","",G3837-I3837)</f>
        <v/>
      </c>
      <c r="I3837" s="8">
        <f>IF(D3837="","",VLOOKUP(D3837, RECETTES!B:G, 6, FALSE)*E3837)</f>
        <v/>
      </c>
      <c r="J3837" s="8">
        <f>IF(G3837="","",G3837*0.20)</f>
        <v/>
      </c>
      <c r="K3837" s="8">
        <f>IF(G3837="","",G3837+J3837)</f>
        <v/>
      </c>
    </row>
    <row r="3838">
      <c r="F3838" s="8" t="n"/>
      <c r="G3838" s="8">
        <f>IF(E3838="","",E3838*F3838)</f>
        <v/>
      </c>
      <c r="H3838" s="8">
        <f>IF(G3838="","",G3838-I3838)</f>
        <v/>
      </c>
      <c r="I3838" s="8">
        <f>IF(D3838="","",VLOOKUP(D3838, RECETTES!B:G, 6, FALSE)*E3838)</f>
        <v/>
      </c>
      <c r="J3838" s="8">
        <f>IF(G3838="","",G3838*0.20)</f>
        <v/>
      </c>
      <c r="K3838" s="8">
        <f>IF(G3838="","",G3838+J3838)</f>
        <v/>
      </c>
    </row>
    <row r="3839">
      <c r="F3839" s="8" t="n"/>
      <c r="G3839" s="8">
        <f>IF(E3839="","",E3839*F3839)</f>
        <v/>
      </c>
      <c r="H3839" s="8">
        <f>IF(G3839="","",G3839-I3839)</f>
        <v/>
      </c>
      <c r="I3839" s="8">
        <f>IF(D3839="","",VLOOKUP(D3839, RECETTES!B:G, 6, FALSE)*E3839)</f>
        <v/>
      </c>
      <c r="J3839" s="8">
        <f>IF(G3839="","",G3839*0.20)</f>
        <v/>
      </c>
      <c r="K3839" s="8">
        <f>IF(G3839="","",G3839+J3839)</f>
        <v/>
      </c>
    </row>
    <row r="3840">
      <c r="F3840" s="8" t="n"/>
      <c r="G3840" s="8">
        <f>IF(E3840="","",E3840*F3840)</f>
        <v/>
      </c>
      <c r="H3840" s="8">
        <f>IF(G3840="","",G3840-I3840)</f>
        <v/>
      </c>
      <c r="I3840" s="8">
        <f>IF(D3840="","",VLOOKUP(D3840, RECETTES!B:G, 6, FALSE)*E3840)</f>
        <v/>
      </c>
      <c r="J3840" s="8">
        <f>IF(G3840="","",G3840*0.20)</f>
        <v/>
      </c>
      <c r="K3840" s="8">
        <f>IF(G3840="","",G3840+J3840)</f>
        <v/>
      </c>
    </row>
    <row r="3841">
      <c r="F3841" s="8" t="n"/>
      <c r="G3841" s="8">
        <f>IF(E3841="","",E3841*F3841)</f>
        <v/>
      </c>
      <c r="H3841" s="8">
        <f>IF(G3841="","",G3841-I3841)</f>
        <v/>
      </c>
      <c r="I3841" s="8">
        <f>IF(D3841="","",VLOOKUP(D3841, RECETTES!B:G, 6, FALSE)*E3841)</f>
        <v/>
      </c>
      <c r="J3841" s="8">
        <f>IF(G3841="","",G3841*0.20)</f>
        <v/>
      </c>
      <c r="K3841" s="8">
        <f>IF(G3841="","",G3841+J3841)</f>
        <v/>
      </c>
    </row>
    <row r="3842">
      <c r="F3842" s="8" t="n"/>
      <c r="G3842" s="8">
        <f>IF(E3842="","",E3842*F3842)</f>
        <v/>
      </c>
      <c r="H3842" s="8">
        <f>IF(G3842="","",G3842-I3842)</f>
        <v/>
      </c>
      <c r="I3842" s="8">
        <f>IF(D3842="","",VLOOKUP(D3842, RECETTES!B:G, 6, FALSE)*E3842)</f>
        <v/>
      </c>
      <c r="J3842" s="8">
        <f>IF(G3842="","",G3842*0.20)</f>
        <v/>
      </c>
      <c r="K3842" s="8">
        <f>IF(G3842="","",G3842+J3842)</f>
        <v/>
      </c>
    </row>
    <row r="3843">
      <c r="F3843" s="8" t="n"/>
      <c r="G3843" s="8">
        <f>IF(E3843="","",E3843*F3843)</f>
        <v/>
      </c>
      <c r="H3843" s="8">
        <f>IF(G3843="","",G3843-I3843)</f>
        <v/>
      </c>
      <c r="I3843" s="8">
        <f>IF(D3843="","",VLOOKUP(D3843, RECETTES!B:G, 6, FALSE)*E3843)</f>
        <v/>
      </c>
      <c r="J3843" s="8">
        <f>IF(G3843="","",G3843*0.20)</f>
        <v/>
      </c>
      <c r="K3843" s="8">
        <f>IF(G3843="","",G3843+J3843)</f>
        <v/>
      </c>
    </row>
    <row r="3844">
      <c r="F3844" s="8" t="n"/>
      <c r="G3844" s="8">
        <f>IF(E3844="","",E3844*F3844)</f>
        <v/>
      </c>
      <c r="H3844" s="8">
        <f>IF(G3844="","",G3844-I3844)</f>
        <v/>
      </c>
      <c r="I3844" s="8">
        <f>IF(D3844="","",VLOOKUP(D3844, RECETTES!B:G, 6, FALSE)*E3844)</f>
        <v/>
      </c>
      <c r="J3844" s="8">
        <f>IF(G3844="","",G3844*0.20)</f>
        <v/>
      </c>
      <c r="K3844" s="8">
        <f>IF(G3844="","",G3844+J3844)</f>
        <v/>
      </c>
    </row>
    <row r="3845">
      <c r="F3845" s="8" t="n"/>
      <c r="G3845" s="8">
        <f>IF(E3845="","",E3845*F3845)</f>
        <v/>
      </c>
      <c r="H3845" s="8">
        <f>IF(G3845="","",G3845-I3845)</f>
        <v/>
      </c>
      <c r="I3845" s="8">
        <f>IF(D3845="","",VLOOKUP(D3845, RECETTES!B:G, 6, FALSE)*E3845)</f>
        <v/>
      </c>
      <c r="J3845" s="8">
        <f>IF(G3845="","",G3845*0.20)</f>
        <v/>
      </c>
      <c r="K3845" s="8">
        <f>IF(G3845="","",G3845+J3845)</f>
        <v/>
      </c>
    </row>
    <row r="3846">
      <c r="F3846" s="8" t="n"/>
      <c r="G3846" s="8">
        <f>IF(E3846="","",E3846*F3846)</f>
        <v/>
      </c>
      <c r="H3846" s="8">
        <f>IF(G3846="","",G3846-I3846)</f>
        <v/>
      </c>
      <c r="I3846" s="8">
        <f>IF(D3846="","",VLOOKUP(D3846, RECETTES!B:G, 6, FALSE)*E3846)</f>
        <v/>
      </c>
      <c r="J3846" s="8">
        <f>IF(G3846="","",G3846*0.20)</f>
        <v/>
      </c>
      <c r="K3846" s="8">
        <f>IF(G3846="","",G3846+J3846)</f>
        <v/>
      </c>
    </row>
    <row r="3847">
      <c r="F3847" s="8" t="n"/>
      <c r="G3847" s="8">
        <f>IF(E3847="","",E3847*F3847)</f>
        <v/>
      </c>
      <c r="H3847" s="8">
        <f>IF(G3847="","",G3847-I3847)</f>
        <v/>
      </c>
      <c r="I3847" s="8">
        <f>IF(D3847="","",VLOOKUP(D3847, RECETTES!B:G, 6, FALSE)*E3847)</f>
        <v/>
      </c>
      <c r="J3847" s="8">
        <f>IF(G3847="","",G3847*0.20)</f>
        <v/>
      </c>
      <c r="K3847" s="8">
        <f>IF(G3847="","",G3847+J3847)</f>
        <v/>
      </c>
    </row>
    <row r="3848">
      <c r="F3848" s="8" t="n"/>
      <c r="G3848" s="8">
        <f>IF(E3848="","",E3848*F3848)</f>
        <v/>
      </c>
      <c r="H3848" s="8">
        <f>IF(G3848="","",G3848-I3848)</f>
        <v/>
      </c>
      <c r="I3848" s="8">
        <f>IF(D3848="","",VLOOKUP(D3848, RECETTES!B:G, 6, FALSE)*E3848)</f>
        <v/>
      </c>
      <c r="J3848" s="8">
        <f>IF(G3848="","",G3848*0.20)</f>
        <v/>
      </c>
      <c r="K3848" s="8">
        <f>IF(G3848="","",G3848+J3848)</f>
        <v/>
      </c>
    </row>
    <row r="3849">
      <c r="F3849" s="8" t="n"/>
      <c r="G3849" s="8">
        <f>IF(E3849="","",E3849*F3849)</f>
        <v/>
      </c>
      <c r="H3849" s="8">
        <f>IF(G3849="","",G3849-I3849)</f>
        <v/>
      </c>
      <c r="I3849" s="8">
        <f>IF(D3849="","",VLOOKUP(D3849, RECETTES!B:G, 6, FALSE)*E3849)</f>
        <v/>
      </c>
      <c r="J3849" s="8">
        <f>IF(G3849="","",G3849*0.20)</f>
        <v/>
      </c>
      <c r="K3849" s="8">
        <f>IF(G3849="","",G3849+J3849)</f>
        <v/>
      </c>
    </row>
    <row r="3850">
      <c r="F3850" s="8" t="n"/>
      <c r="G3850" s="8">
        <f>IF(E3850="","",E3850*F3850)</f>
        <v/>
      </c>
      <c r="H3850" s="8">
        <f>IF(G3850="","",G3850-I3850)</f>
        <v/>
      </c>
      <c r="I3850" s="8">
        <f>IF(D3850="","",VLOOKUP(D3850, RECETTES!B:G, 6, FALSE)*E3850)</f>
        <v/>
      </c>
      <c r="J3850" s="8">
        <f>IF(G3850="","",G3850*0.20)</f>
        <v/>
      </c>
      <c r="K3850" s="8">
        <f>IF(G3850="","",G3850+J3850)</f>
        <v/>
      </c>
    </row>
    <row r="3851">
      <c r="F3851" s="8" t="n"/>
      <c r="G3851" s="8">
        <f>IF(E3851="","",E3851*F3851)</f>
        <v/>
      </c>
      <c r="H3851" s="8">
        <f>IF(G3851="","",G3851-I3851)</f>
        <v/>
      </c>
      <c r="I3851" s="8">
        <f>IF(D3851="","",VLOOKUP(D3851, RECETTES!B:G, 6, FALSE)*E3851)</f>
        <v/>
      </c>
      <c r="J3851" s="8">
        <f>IF(G3851="","",G3851*0.20)</f>
        <v/>
      </c>
      <c r="K3851" s="8">
        <f>IF(G3851="","",G3851+J3851)</f>
        <v/>
      </c>
    </row>
    <row r="3852">
      <c r="F3852" s="8" t="n"/>
      <c r="G3852" s="8">
        <f>IF(E3852="","",E3852*F3852)</f>
        <v/>
      </c>
      <c r="H3852" s="8">
        <f>IF(G3852="","",G3852-I3852)</f>
        <v/>
      </c>
      <c r="I3852" s="8">
        <f>IF(D3852="","",VLOOKUP(D3852, RECETTES!B:G, 6, FALSE)*E3852)</f>
        <v/>
      </c>
      <c r="J3852" s="8">
        <f>IF(G3852="","",G3852*0.20)</f>
        <v/>
      </c>
      <c r="K3852" s="8">
        <f>IF(G3852="","",G3852+J3852)</f>
        <v/>
      </c>
    </row>
    <row r="3853">
      <c r="F3853" s="8" t="n"/>
      <c r="G3853" s="8">
        <f>IF(E3853="","",E3853*F3853)</f>
        <v/>
      </c>
      <c r="H3853" s="8">
        <f>IF(G3853="","",G3853-I3853)</f>
        <v/>
      </c>
      <c r="I3853" s="8">
        <f>IF(D3853="","",VLOOKUP(D3853, RECETTES!B:G, 6, FALSE)*E3853)</f>
        <v/>
      </c>
      <c r="J3853" s="8">
        <f>IF(G3853="","",G3853*0.20)</f>
        <v/>
      </c>
      <c r="K3853" s="8">
        <f>IF(G3853="","",G3853+J3853)</f>
        <v/>
      </c>
    </row>
    <row r="3854">
      <c r="F3854" s="8" t="n"/>
      <c r="G3854" s="8">
        <f>IF(E3854="","",E3854*F3854)</f>
        <v/>
      </c>
      <c r="H3854" s="8">
        <f>IF(G3854="","",G3854-I3854)</f>
        <v/>
      </c>
      <c r="I3854" s="8">
        <f>IF(D3854="","",VLOOKUP(D3854, RECETTES!B:G, 6, FALSE)*E3854)</f>
        <v/>
      </c>
      <c r="J3854" s="8">
        <f>IF(G3854="","",G3854*0.20)</f>
        <v/>
      </c>
      <c r="K3854" s="8">
        <f>IF(G3854="","",G3854+J3854)</f>
        <v/>
      </c>
    </row>
    <row r="3855">
      <c r="F3855" s="8" t="n"/>
      <c r="G3855" s="8">
        <f>IF(E3855="","",E3855*F3855)</f>
        <v/>
      </c>
      <c r="H3855" s="8">
        <f>IF(G3855="","",G3855-I3855)</f>
        <v/>
      </c>
      <c r="I3855" s="8">
        <f>IF(D3855="","",VLOOKUP(D3855, RECETTES!B:G, 6, FALSE)*E3855)</f>
        <v/>
      </c>
      <c r="J3855" s="8">
        <f>IF(G3855="","",G3855*0.20)</f>
        <v/>
      </c>
      <c r="K3855" s="8">
        <f>IF(G3855="","",G3855+J3855)</f>
        <v/>
      </c>
    </row>
    <row r="3856">
      <c r="F3856" s="8" t="n"/>
      <c r="G3856" s="8">
        <f>IF(E3856="","",E3856*F3856)</f>
        <v/>
      </c>
      <c r="H3856" s="8">
        <f>IF(G3856="","",G3856-I3856)</f>
        <v/>
      </c>
      <c r="I3856" s="8">
        <f>IF(D3856="","",VLOOKUP(D3856, RECETTES!B:G, 6, FALSE)*E3856)</f>
        <v/>
      </c>
      <c r="J3856" s="8">
        <f>IF(G3856="","",G3856*0.20)</f>
        <v/>
      </c>
      <c r="K3856" s="8">
        <f>IF(G3856="","",G3856+J3856)</f>
        <v/>
      </c>
    </row>
    <row r="3857">
      <c r="F3857" s="8" t="n"/>
      <c r="G3857" s="8">
        <f>IF(E3857="","",E3857*F3857)</f>
        <v/>
      </c>
      <c r="H3857" s="8">
        <f>IF(G3857="","",G3857-I3857)</f>
        <v/>
      </c>
      <c r="I3857" s="8">
        <f>IF(D3857="","",VLOOKUP(D3857, RECETTES!B:G, 6, FALSE)*E3857)</f>
        <v/>
      </c>
      <c r="J3857" s="8">
        <f>IF(G3857="","",G3857*0.20)</f>
        <v/>
      </c>
      <c r="K3857" s="8">
        <f>IF(G3857="","",G3857+J3857)</f>
        <v/>
      </c>
    </row>
    <row r="3858">
      <c r="F3858" s="8" t="n"/>
      <c r="G3858" s="8">
        <f>IF(E3858="","",E3858*F3858)</f>
        <v/>
      </c>
      <c r="H3858" s="8">
        <f>IF(G3858="","",G3858-I3858)</f>
        <v/>
      </c>
      <c r="I3858" s="8">
        <f>IF(D3858="","",VLOOKUP(D3858, RECETTES!B:G, 6, FALSE)*E3858)</f>
        <v/>
      </c>
      <c r="J3858" s="8">
        <f>IF(G3858="","",G3858*0.20)</f>
        <v/>
      </c>
      <c r="K3858" s="8">
        <f>IF(G3858="","",G3858+J3858)</f>
        <v/>
      </c>
    </row>
    <row r="3859">
      <c r="F3859" s="8" t="n"/>
      <c r="G3859" s="8">
        <f>IF(E3859="","",E3859*F3859)</f>
        <v/>
      </c>
      <c r="H3859" s="8">
        <f>IF(G3859="","",G3859-I3859)</f>
        <v/>
      </c>
      <c r="I3859" s="8">
        <f>IF(D3859="","",VLOOKUP(D3859, RECETTES!B:G, 6, FALSE)*E3859)</f>
        <v/>
      </c>
      <c r="J3859" s="8">
        <f>IF(G3859="","",G3859*0.20)</f>
        <v/>
      </c>
      <c r="K3859" s="8">
        <f>IF(G3859="","",G3859+J3859)</f>
        <v/>
      </c>
    </row>
    <row r="3860">
      <c r="F3860" s="8" t="n"/>
      <c r="G3860" s="8">
        <f>IF(E3860="","",E3860*F3860)</f>
        <v/>
      </c>
      <c r="H3860" s="8">
        <f>IF(G3860="","",G3860-I3860)</f>
        <v/>
      </c>
      <c r="I3860" s="8">
        <f>IF(D3860="","",VLOOKUP(D3860, RECETTES!B:G, 6, FALSE)*E3860)</f>
        <v/>
      </c>
      <c r="J3860" s="8">
        <f>IF(G3860="","",G3860*0.20)</f>
        <v/>
      </c>
      <c r="K3860" s="8">
        <f>IF(G3860="","",G3860+J3860)</f>
        <v/>
      </c>
    </row>
    <row r="3861">
      <c r="F3861" s="8" t="n"/>
      <c r="G3861" s="8">
        <f>IF(E3861="","",E3861*F3861)</f>
        <v/>
      </c>
      <c r="H3861" s="8">
        <f>IF(G3861="","",G3861-I3861)</f>
        <v/>
      </c>
      <c r="I3861" s="8">
        <f>IF(D3861="","",VLOOKUP(D3861, RECETTES!B:G, 6, FALSE)*E3861)</f>
        <v/>
      </c>
      <c r="J3861" s="8">
        <f>IF(G3861="","",G3861*0.20)</f>
        <v/>
      </c>
      <c r="K3861" s="8">
        <f>IF(G3861="","",G3861+J3861)</f>
        <v/>
      </c>
    </row>
    <row r="3862">
      <c r="F3862" s="8" t="n"/>
      <c r="G3862" s="8">
        <f>IF(E3862="","",E3862*F3862)</f>
        <v/>
      </c>
      <c r="H3862" s="8">
        <f>IF(G3862="","",G3862-I3862)</f>
        <v/>
      </c>
      <c r="I3862" s="8">
        <f>IF(D3862="","",VLOOKUP(D3862, RECETTES!B:G, 6, FALSE)*E3862)</f>
        <v/>
      </c>
      <c r="J3862" s="8">
        <f>IF(G3862="","",G3862*0.20)</f>
        <v/>
      </c>
      <c r="K3862" s="8">
        <f>IF(G3862="","",G3862+J3862)</f>
        <v/>
      </c>
    </row>
    <row r="3863">
      <c r="F3863" s="8" t="n"/>
      <c r="G3863" s="8">
        <f>IF(E3863="","",E3863*F3863)</f>
        <v/>
      </c>
      <c r="H3863" s="8">
        <f>IF(G3863="","",G3863-I3863)</f>
        <v/>
      </c>
      <c r="I3863" s="8">
        <f>IF(D3863="","",VLOOKUP(D3863, RECETTES!B:G, 6, FALSE)*E3863)</f>
        <v/>
      </c>
      <c r="J3863" s="8">
        <f>IF(G3863="","",G3863*0.20)</f>
        <v/>
      </c>
      <c r="K3863" s="8">
        <f>IF(G3863="","",G3863+J3863)</f>
        <v/>
      </c>
    </row>
    <row r="3864">
      <c r="F3864" s="8" t="n"/>
      <c r="G3864" s="8">
        <f>IF(E3864="","",E3864*F3864)</f>
        <v/>
      </c>
      <c r="H3864" s="8">
        <f>IF(G3864="","",G3864-I3864)</f>
        <v/>
      </c>
      <c r="I3864" s="8">
        <f>IF(D3864="","",VLOOKUP(D3864, RECETTES!B:G, 6, FALSE)*E3864)</f>
        <v/>
      </c>
      <c r="J3864" s="8">
        <f>IF(G3864="","",G3864*0.20)</f>
        <v/>
      </c>
      <c r="K3864" s="8">
        <f>IF(G3864="","",G3864+J3864)</f>
        <v/>
      </c>
    </row>
    <row r="3865">
      <c r="F3865" s="8" t="n"/>
      <c r="G3865" s="8">
        <f>IF(E3865="","",E3865*F3865)</f>
        <v/>
      </c>
      <c r="H3865" s="8">
        <f>IF(G3865="","",G3865-I3865)</f>
        <v/>
      </c>
      <c r="I3865" s="8">
        <f>IF(D3865="","",VLOOKUP(D3865, RECETTES!B:G, 6, FALSE)*E3865)</f>
        <v/>
      </c>
      <c r="J3865" s="8">
        <f>IF(G3865="","",G3865*0.20)</f>
        <v/>
      </c>
      <c r="K3865" s="8">
        <f>IF(G3865="","",G3865+J3865)</f>
        <v/>
      </c>
    </row>
    <row r="3866">
      <c r="F3866" s="8" t="n"/>
      <c r="G3866" s="8">
        <f>IF(E3866="","",E3866*F3866)</f>
        <v/>
      </c>
      <c r="H3866" s="8">
        <f>IF(G3866="","",G3866-I3866)</f>
        <v/>
      </c>
      <c r="I3866" s="8">
        <f>IF(D3866="","",VLOOKUP(D3866, RECETTES!B:G, 6, FALSE)*E3866)</f>
        <v/>
      </c>
      <c r="J3866" s="8">
        <f>IF(G3866="","",G3866*0.20)</f>
        <v/>
      </c>
      <c r="K3866" s="8">
        <f>IF(G3866="","",G3866+J3866)</f>
        <v/>
      </c>
    </row>
    <row r="3867">
      <c r="F3867" s="8" t="n"/>
      <c r="G3867" s="8">
        <f>IF(E3867="","",E3867*F3867)</f>
        <v/>
      </c>
      <c r="H3867" s="8">
        <f>IF(G3867="","",G3867-I3867)</f>
        <v/>
      </c>
      <c r="I3867" s="8">
        <f>IF(D3867="","",VLOOKUP(D3867, RECETTES!B:G, 6, FALSE)*E3867)</f>
        <v/>
      </c>
      <c r="J3867" s="8">
        <f>IF(G3867="","",G3867*0.20)</f>
        <v/>
      </c>
      <c r="K3867" s="8">
        <f>IF(G3867="","",G3867+J3867)</f>
        <v/>
      </c>
    </row>
    <row r="3868">
      <c r="F3868" s="8" t="n"/>
      <c r="G3868" s="8">
        <f>IF(E3868="","",E3868*F3868)</f>
        <v/>
      </c>
      <c r="H3868" s="8">
        <f>IF(G3868="","",G3868-I3868)</f>
        <v/>
      </c>
      <c r="I3868" s="8">
        <f>IF(D3868="","",VLOOKUP(D3868, RECETTES!B:G, 6, FALSE)*E3868)</f>
        <v/>
      </c>
      <c r="J3868" s="8">
        <f>IF(G3868="","",G3868*0.20)</f>
        <v/>
      </c>
      <c r="K3868" s="8">
        <f>IF(G3868="","",G3868+J3868)</f>
        <v/>
      </c>
    </row>
    <row r="3869">
      <c r="F3869" s="8" t="n"/>
      <c r="G3869" s="8">
        <f>IF(E3869="","",E3869*F3869)</f>
        <v/>
      </c>
      <c r="H3869" s="8">
        <f>IF(G3869="","",G3869-I3869)</f>
        <v/>
      </c>
      <c r="I3869" s="8">
        <f>IF(D3869="","",VLOOKUP(D3869, RECETTES!B:G, 6, FALSE)*E3869)</f>
        <v/>
      </c>
      <c r="J3869" s="8">
        <f>IF(G3869="","",G3869*0.20)</f>
        <v/>
      </c>
      <c r="K3869" s="8">
        <f>IF(G3869="","",G3869+J3869)</f>
        <v/>
      </c>
    </row>
    <row r="3870">
      <c r="F3870" s="8" t="n"/>
      <c r="G3870" s="8">
        <f>IF(E3870="","",E3870*F3870)</f>
        <v/>
      </c>
      <c r="H3870" s="8">
        <f>IF(G3870="","",G3870-I3870)</f>
        <v/>
      </c>
      <c r="I3870" s="8">
        <f>IF(D3870="","",VLOOKUP(D3870, RECETTES!B:G, 6, FALSE)*E3870)</f>
        <v/>
      </c>
      <c r="J3870" s="8">
        <f>IF(G3870="","",G3870*0.20)</f>
        <v/>
      </c>
      <c r="K3870" s="8">
        <f>IF(G3870="","",G3870+J3870)</f>
        <v/>
      </c>
    </row>
    <row r="3871">
      <c r="F3871" s="8" t="n"/>
      <c r="G3871" s="8">
        <f>IF(E3871="","",E3871*F3871)</f>
        <v/>
      </c>
      <c r="H3871" s="8">
        <f>IF(G3871="","",G3871-I3871)</f>
        <v/>
      </c>
      <c r="I3871" s="8">
        <f>IF(D3871="","",VLOOKUP(D3871, RECETTES!B:G, 6, FALSE)*E3871)</f>
        <v/>
      </c>
      <c r="J3871" s="8">
        <f>IF(G3871="","",G3871*0.20)</f>
        <v/>
      </c>
      <c r="K3871" s="8">
        <f>IF(G3871="","",G3871+J3871)</f>
        <v/>
      </c>
    </row>
    <row r="3872">
      <c r="F3872" s="8" t="n"/>
      <c r="G3872" s="8">
        <f>IF(E3872="","",E3872*F3872)</f>
        <v/>
      </c>
      <c r="H3872" s="8">
        <f>IF(G3872="","",G3872-I3872)</f>
        <v/>
      </c>
      <c r="I3872" s="8">
        <f>IF(D3872="","",VLOOKUP(D3872, RECETTES!B:G, 6, FALSE)*E3872)</f>
        <v/>
      </c>
      <c r="J3872" s="8">
        <f>IF(G3872="","",G3872*0.20)</f>
        <v/>
      </c>
      <c r="K3872" s="8">
        <f>IF(G3872="","",G3872+J3872)</f>
        <v/>
      </c>
    </row>
    <row r="3873">
      <c r="F3873" s="8" t="n"/>
      <c r="G3873" s="8">
        <f>IF(E3873="","",E3873*F3873)</f>
        <v/>
      </c>
      <c r="H3873" s="8">
        <f>IF(G3873="","",G3873-I3873)</f>
        <v/>
      </c>
      <c r="I3873" s="8">
        <f>IF(D3873="","",VLOOKUP(D3873, RECETTES!B:G, 6, FALSE)*E3873)</f>
        <v/>
      </c>
      <c r="J3873" s="8">
        <f>IF(G3873="","",G3873*0.20)</f>
        <v/>
      </c>
      <c r="K3873" s="8">
        <f>IF(G3873="","",G3873+J3873)</f>
        <v/>
      </c>
    </row>
    <row r="3874">
      <c r="F3874" s="8" t="n"/>
      <c r="G3874" s="8">
        <f>IF(E3874="","",E3874*F3874)</f>
        <v/>
      </c>
      <c r="H3874" s="8">
        <f>IF(G3874="","",G3874-I3874)</f>
        <v/>
      </c>
      <c r="I3874" s="8">
        <f>IF(D3874="","",VLOOKUP(D3874, RECETTES!B:G, 6, FALSE)*E3874)</f>
        <v/>
      </c>
      <c r="J3874" s="8">
        <f>IF(G3874="","",G3874*0.20)</f>
        <v/>
      </c>
      <c r="K3874" s="8">
        <f>IF(G3874="","",G3874+J3874)</f>
        <v/>
      </c>
    </row>
    <row r="3875">
      <c r="F3875" s="8" t="n"/>
      <c r="G3875" s="8">
        <f>IF(E3875="","",E3875*F3875)</f>
        <v/>
      </c>
      <c r="H3875" s="8">
        <f>IF(G3875="","",G3875-I3875)</f>
        <v/>
      </c>
      <c r="I3875" s="8">
        <f>IF(D3875="","",VLOOKUP(D3875, RECETTES!B:G, 6, FALSE)*E3875)</f>
        <v/>
      </c>
      <c r="J3875" s="8">
        <f>IF(G3875="","",G3875*0.20)</f>
        <v/>
      </c>
      <c r="K3875" s="8">
        <f>IF(G3875="","",G3875+J3875)</f>
        <v/>
      </c>
    </row>
    <row r="3876">
      <c r="F3876" s="8" t="n"/>
      <c r="G3876" s="8">
        <f>IF(E3876="","",E3876*F3876)</f>
        <v/>
      </c>
      <c r="H3876" s="8">
        <f>IF(G3876="","",G3876-I3876)</f>
        <v/>
      </c>
      <c r="I3876" s="8">
        <f>IF(D3876="","",VLOOKUP(D3876, RECETTES!B:G, 6, FALSE)*E3876)</f>
        <v/>
      </c>
      <c r="J3876" s="8">
        <f>IF(G3876="","",G3876*0.20)</f>
        <v/>
      </c>
      <c r="K3876" s="8">
        <f>IF(G3876="","",G3876+J3876)</f>
        <v/>
      </c>
    </row>
    <row r="3877">
      <c r="F3877" s="8" t="n"/>
      <c r="G3877" s="8">
        <f>IF(E3877="","",E3877*F3877)</f>
        <v/>
      </c>
      <c r="H3877" s="8">
        <f>IF(G3877="","",G3877-I3877)</f>
        <v/>
      </c>
      <c r="I3877" s="8">
        <f>IF(D3877="","",VLOOKUP(D3877, RECETTES!B:G, 6, FALSE)*E3877)</f>
        <v/>
      </c>
      <c r="J3877" s="8">
        <f>IF(G3877="","",G3877*0.20)</f>
        <v/>
      </c>
      <c r="K3877" s="8">
        <f>IF(G3877="","",G3877+J3877)</f>
        <v/>
      </c>
    </row>
    <row r="3878">
      <c r="F3878" s="8" t="n"/>
      <c r="G3878" s="8">
        <f>IF(E3878="","",E3878*F3878)</f>
        <v/>
      </c>
      <c r="H3878" s="8">
        <f>IF(G3878="","",G3878-I3878)</f>
        <v/>
      </c>
      <c r="I3878" s="8">
        <f>IF(D3878="","",VLOOKUP(D3878, RECETTES!B:G, 6, FALSE)*E3878)</f>
        <v/>
      </c>
      <c r="J3878" s="8">
        <f>IF(G3878="","",G3878*0.20)</f>
        <v/>
      </c>
      <c r="K3878" s="8">
        <f>IF(G3878="","",G3878+J3878)</f>
        <v/>
      </c>
    </row>
    <row r="3879">
      <c r="F3879" s="8" t="n"/>
      <c r="G3879" s="8">
        <f>IF(E3879="","",E3879*F3879)</f>
        <v/>
      </c>
      <c r="H3879" s="8">
        <f>IF(G3879="","",G3879-I3879)</f>
        <v/>
      </c>
      <c r="I3879" s="8">
        <f>IF(D3879="","",VLOOKUP(D3879, RECETTES!B:G, 6, FALSE)*E3879)</f>
        <v/>
      </c>
      <c r="J3879" s="8">
        <f>IF(G3879="","",G3879*0.20)</f>
        <v/>
      </c>
      <c r="K3879" s="8">
        <f>IF(G3879="","",G3879+J3879)</f>
        <v/>
      </c>
    </row>
    <row r="3880">
      <c r="F3880" s="8" t="n"/>
      <c r="G3880" s="8">
        <f>IF(E3880="","",E3880*F3880)</f>
        <v/>
      </c>
      <c r="H3880" s="8">
        <f>IF(G3880="","",G3880-I3880)</f>
        <v/>
      </c>
      <c r="I3880" s="8">
        <f>IF(D3880="","",VLOOKUP(D3880, RECETTES!B:G, 6, FALSE)*E3880)</f>
        <v/>
      </c>
      <c r="J3880" s="8">
        <f>IF(G3880="","",G3880*0.20)</f>
        <v/>
      </c>
      <c r="K3880" s="8">
        <f>IF(G3880="","",G3880+J3880)</f>
        <v/>
      </c>
    </row>
    <row r="3881">
      <c r="F3881" s="8" t="n"/>
      <c r="G3881" s="8">
        <f>IF(E3881="","",E3881*F3881)</f>
        <v/>
      </c>
      <c r="H3881" s="8">
        <f>IF(G3881="","",G3881-I3881)</f>
        <v/>
      </c>
      <c r="I3881" s="8">
        <f>IF(D3881="","",VLOOKUP(D3881, RECETTES!B:G, 6, FALSE)*E3881)</f>
        <v/>
      </c>
      <c r="J3881" s="8">
        <f>IF(G3881="","",G3881*0.20)</f>
        <v/>
      </c>
      <c r="K3881" s="8">
        <f>IF(G3881="","",G3881+J3881)</f>
        <v/>
      </c>
    </row>
    <row r="3882">
      <c r="F3882" s="8" t="n"/>
      <c r="G3882" s="8">
        <f>IF(E3882="","",E3882*F3882)</f>
        <v/>
      </c>
      <c r="H3882" s="8">
        <f>IF(G3882="","",G3882-I3882)</f>
        <v/>
      </c>
      <c r="I3882" s="8">
        <f>IF(D3882="","",VLOOKUP(D3882, RECETTES!B:G, 6, FALSE)*E3882)</f>
        <v/>
      </c>
      <c r="J3882" s="8">
        <f>IF(G3882="","",G3882*0.20)</f>
        <v/>
      </c>
      <c r="K3882" s="8">
        <f>IF(G3882="","",G3882+J3882)</f>
        <v/>
      </c>
    </row>
    <row r="3883">
      <c r="F3883" s="8" t="n"/>
      <c r="G3883" s="8">
        <f>IF(E3883="","",E3883*F3883)</f>
        <v/>
      </c>
      <c r="H3883" s="8">
        <f>IF(G3883="","",G3883-I3883)</f>
        <v/>
      </c>
      <c r="I3883" s="8">
        <f>IF(D3883="","",VLOOKUP(D3883, RECETTES!B:G, 6, FALSE)*E3883)</f>
        <v/>
      </c>
      <c r="J3883" s="8">
        <f>IF(G3883="","",G3883*0.20)</f>
        <v/>
      </c>
      <c r="K3883" s="8">
        <f>IF(G3883="","",G3883+J3883)</f>
        <v/>
      </c>
    </row>
    <row r="3884">
      <c r="F3884" s="8" t="n"/>
      <c r="G3884" s="8">
        <f>IF(E3884="","",E3884*F3884)</f>
        <v/>
      </c>
      <c r="H3884" s="8">
        <f>IF(G3884="","",G3884-I3884)</f>
        <v/>
      </c>
      <c r="I3884" s="8">
        <f>IF(D3884="","",VLOOKUP(D3884, RECETTES!B:G, 6, FALSE)*E3884)</f>
        <v/>
      </c>
      <c r="J3884" s="8">
        <f>IF(G3884="","",G3884*0.20)</f>
        <v/>
      </c>
      <c r="K3884" s="8">
        <f>IF(G3884="","",G3884+J3884)</f>
        <v/>
      </c>
    </row>
    <row r="3885">
      <c r="F3885" s="8" t="n"/>
      <c r="G3885" s="8">
        <f>IF(E3885="","",E3885*F3885)</f>
        <v/>
      </c>
      <c r="H3885" s="8">
        <f>IF(G3885="","",G3885-I3885)</f>
        <v/>
      </c>
      <c r="I3885" s="8">
        <f>IF(D3885="","",VLOOKUP(D3885, RECETTES!B:G, 6, FALSE)*E3885)</f>
        <v/>
      </c>
      <c r="J3885" s="8">
        <f>IF(G3885="","",G3885*0.20)</f>
        <v/>
      </c>
      <c r="K3885" s="8">
        <f>IF(G3885="","",G3885+J3885)</f>
        <v/>
      </c>
    </row>
    <row r="3886">
      <c r="F3886" s="8" t="n"/>
      <c r="G3886" s="8">
        <f>IF(E3886="","",E3886*F3886)</f>
        <v/>
      </c>
      <c r="H3886" s="8">
        <f>IF(G3886="","",G3886-I3886)</f>
        <v/>
      </c>
      <c r="I3886" s="8">
        <f>IF(D3886="","",VLOOKUP(D3886, RECETTES!B:G, 6, FALSE)*E3886)</f>
        <v/>
      </c>
      <c r="J3886" s="8">
        <f>IF(G3886="","",G3886*0.20)</f>
        <v/>
      </c>
      <c r="K3886" s="8">
        <f>IF(G3886="","",G3886+J3886)</f>
        <v/>
      </c>
    </row>
    <row r="3887">
      <c r="F3887" s="8" t="n"/>
      <c r="G3887" s="8">
        <f>IF(E3887="","",E3887*F3887)</f>
        <v/>
      </c>
      <c r="H3887" s="8">
        <f>IF(G3887="","",G3887-I3887)</f>
        <v/>
      </c>
      <c r="I3887" s="8">
        <f>IF(D3887="","",VLOOKUP(D3887, RECETTES!B:G, 6, FALSE)*E3887)</f>
        <v/>
      </c>
      <c r="J3887" s="8">
        <f>IF(G3887="","",G3887*0.20)</f>
        <v/>
      </c>
      <c r="K3887" s="8">
        <f>IF(G3887="","",G3887+J3887)</f>
        <v/>
      </c>
    </row>
    <row r="3888">
      <c r="F3888" s="8" t="n"/>
      <c r="G3888" s="8">
        <f>IF(E3888="","",E3888*F3888)</f>
        <v/>
      </c>
      <c r="H3888" s="8">
        <f>IF(G3888="","",G3888-I3888)</f>
        <v/>
      </c>
      <c r="I3888" s="8">
        <f>IF(D3888="","",VLOOKUP(D3888, RECETTES!B:G, 6, FALSE)*E3888)</f>
        <v/>
      </c>
      <c r="J3888" s="8">
        <f>IF(G3888="","",G3888*0.20)</f>
        <v/>
      </c>
      <c r="K3888" s="8">
        <f>IF(G3888="","",G3888+J3888)</f>
        <v/>
      </c>
    </row>
    <row r="3889">
      <c r="F3889" s="8" t="n"/>
      <c r="G3889" s="8">
        <f>IF(E3889="","",E3889*F3889)</f>
        <v/>
      </c>
      <c r="H3889" s="8">
        <f>IF(G3889="","",G3889-I3889)</f>
        <v/>
      </c>
      <c r="I3889" s="8">
        <f>IF(D3889="","",VLOOKUP(D3889, RECETTES!B:G, 6, FALSE)*E3889)</f>
        <v/>
      </c>
      <c r="J3889" s="8">
        <f>IF(G3889="","",G3889*0.20)</f>
        <v/>
      </c>
      <c r="K3889" s="8">
        <f>IF(G3889="","",G3889+J3889)</f>
        <v/>
      </c>
    </row>
    <row r="3890">
      <c r="F3890" s="8" t="n"/>
      <c r="G3890" s="8">
        <f>IF(E3890="","",E3890*F3890)</f>
        <v/>
      </c>
      <c r="H3890" s="8">
        <f>IF(G3890="","",G3890-I3890)</f>
        <v/>
      </c>
      <c r="I3890" s="8">
        <f>IF(D3890="","",VLOOKUP(D3890, RECETTES!B:G, 6, FALSE)*E3890)</f>
        <v/>
      </c>
      <c r="J3890" s="8">
        <f>IF(G3890="","",G3890*0.20)</f>
        <v/>
      </c>
      <c r="K3890" s="8">
        <f>IF(G3890="","",G3890+J3890)</f>
        <v/>
      </c>
    </row>
    <row r="3891">
      <c r="F3891" s="8" t="n"/>
      <c r="G3891" s="8">
        <f>IF(E3891="","",E3891*F3891)</f>
        <v/>
      </c>
      <c r="H3891" s="8">
        <f>IF(G3891="","",G3891-I3891)</f>
        <v/>
      </c>
      <c r="I3891" s="8">
        <f>IF(D3891="","",VLOOKUP(D3891, RECETTES!B:G, 6, FALSE)*E3891)</f>
        <v/>
      </c>
      <c r="J3891" s="8">
        <f>IF(G3891="","",G3891*0.20)</f>
        <v/>
      </c>
      <c r="K3891" s="8">
        <f>IF(G3891="","",G3891+J3891)</f>
        <v/>
      </c>
    </row>
    <row r="3892">
      <c r="F3892" s="8" t="n"/>
      <c r="G3892" s="8">
        <f>IF(E3892="","",E3892*F3892)</f>
        <v/>
      </c>
      <c r="H3892" s="8">
        <f>IF(G3892="","",G3892-I3892)</f>
        <v/>
      </c>
      <c r="I3892" s="8">
        <f>IF(D3892="","",VLOOKUP(D3892, RECETTES!B:G, 6, FALSE)*E3892)</f>
        <v/>
      </c>
      <c r="J3892" s="8">
        <f>IF(G3892="","",G3892*0.20)</f>
        <v/>
      </c>
      <c r="K3892" s="8">
        <f>IF(G3892="","",G3892+J3892)</f>
        <v/>
      </c>
    </row>
    <row r="3893">
      <c r="F3893" s="8" t="n"/>
      <c r="G3893" s="8">
        <f>IF(E3893="","",E3893*F3893)</f>
        <v/>
      </c>
      <c r="H3893" s="8">
        <f>IF(G3893="","",G3893-I3893)</f>
        <v/>
      </c>
      <c r="I3893" s="8">
        <f>IF(D3893="","",VLOOKUP(D3893, RECETTES!B:G, 6, FALSE)*E3893)</f>
        <v/>
      </c>
      <c r="J3893" s="8">
        <f>IF(G3893="","",G3893*0.20)</f>
        <v/>
      </c>
      <c r="K3893" s="8">
        <f>IF(G3893="","",G3893+J3893)</f>
        <v/>
      </c>
    </row>
    <row r="3894">
      <c r="F3894" s="8" t="n"/>
      <c r="G3894" s="8">
        <f>IF(E3894="","",E3894*F3894)</f>
        <v/>
      </c>
      <c r="H3894" s="8">
        <f>IF(G3894="","",G3894-I3894)</f>
        <v/>
      </c>
      <c r="I3894" s="8">
        <f>IF(D3894="","",VLOOKUP(D3894, RECETTES!B:G, 6, FALSE)*E3894)</f>
        <v/>
      </c>
      <c r="J3894" s="8">
        <f>IF(G3894="","",G3894*0.20)</f>
        <v/>
      </c>
      <c r="K3894" s="8">
        <f>IF(G3894="","",G3894+J3894)</f>
        <v/>
      </c>
    </row>
    <row r="3895">
      <c r="F3895" s="8" t="n"/>
      <c r="G3895" s="8">
        <f>IF(E3895="","",E3895*F3895)</f>
        <v/>
      </c>
      <c r="H3895" s="8">
        <f>IF(G3895="","",G3895-I3895)</f>
        <v/>
      </c>
      <c r="I3895" s="8">
        <f>IF(D3895="","",VLOOKUP(D3895, RECETTES!B:G, 6, FALSE)*E3895)</f>
        <v/>
      </c>
      <c r="J3895" s="8">
        <f>IF(G3895="","",G3895*0.20)</f>
        <v/>
      </c>
      <c r="K3895" s="8">
        <f>IF(G3895="","",G3895+J3895)</f>
        <v/>
      </c>
    </row>
    <row r="3896">
      <c r="F3896" s="8" t="n"/>
      <c r="G3896" s="8">
        <f>IF(E3896="","",E3896*F3896)</f>
        <v/>
      </c>
      <c r="H3896" s="8">
        <f>IF(G3896="","",G3896-I3896)</f>
        <v/>
      </c>
      <c r="I3896" s="8">
        <f>IF(D3896="","",VLOOKUP(D3896, RECETTES!B:G, 6, FALSE)*E3896)</f>
        <v/>
      </c>
      <c r="J3896" s="8">
        <f>IF(G3896="","",G3896*0.20)</f>
        <v/>
      </c>
      <c r="K3896" s="8">
        <f>IF(G3896="","",G3896+J3896)</f>
        <v/>
      </c>
    </row>
    <row r="3897">
      <c r="F3897" s="8" t="n"/>
      <c r="G3897" s="8">
        <f>IF(E3897="","",E3897*F3897)</f>
        <v/>
      </c>
      <c r="H3897" s="8">
        <f>IF(G3897="","",G3897-I3897)</f>
        <v/>
      </c>
      <c r="I3897" s="8">
        <f>IF(D3897="","",VLOOKUP(D3897, RECETTES!B:G, 6, FALSE)*E3897)</f>
        <v/>
      </c>
      <c r="J3897" s="8">
        <f>IF(G3897="","",G3897*0.20)</f>
        <v/>
      </c>
      <c r="K3897" s="8">
        <f>IF(G3897="","",G3897+J3897)</f>
        <v/>
      </c>
    </row>
    <row r="3898">
      <c r="F3898" s="8" t="n"/>
      <c r="G3898" s="8">
        <f>IF(E3898="","",E3898*F3898)</f>
        <v/>
      </c>
      <c r="H3898" s="8">
        <f>IF(G3898="","",G3898-I3898)</f>
        <v/>
      </c>
      <c r="I3898" s="8">
        <f>IF(D3898="","",VLOOKUP(D3898, RECETTES!B:G, 6, FALSE)*E3898)</f>
        <v/>
      </c>
      <c r="J3898" s="8">
        <f>IF(G3898="","",G3898*0.20)</f>
        <v/>
      </c>
      <c r="K3898" s="8">
        <f>IF(G3898="","",G3898+J3898)</f>
        <v/>
      </c>
    </row>
    <row r="3899">
      <c r="F3899" s="8" t="n"/>
      <c r="G3899" s="8">
        <f>IF(E3899="","",E3899*F3899)</f>
        <v/>
      </c>
      <c r="H3899" s="8">
        <f>IF(G3899="","",G3899-I3899)</f>
        <v/>
      </c>
      <c r="I3899" s="8">
        <f>IF(D3899="","",VLOOKUP(D3899, RECETTES!B:G, 6, FALSE)*E3899)</f>
        <v/>
      </c>
      <c r="J3899" s="8">
        <f>IF(G3899="","",G3899*0.20)</f>
        <v/>
      </c>
      <c r="K3899" s="8">
        <f>IF(G3899="","",G3899+J3899)</f>
        <v/>
      </c>
    </row>
    <row r="3900">
      <c r="F3900" s="8" t="n"/>
      <c r="G3900" s="8">
        <f>IF(E3900="","",E3900*F3900)</f>
        <v/>
      </c>
      <c r="H3900" s="8">
        <f>IF(G3900="","",G3900-I3900)</f>
        <v/>
      </c>
      <c r="I3900" s="8">
        <f>IF(D3900="","",VLOOKUP(D3900, RECETTES!B:G, 6, FALSE)*E3900)</f>
        <v/>
      </c>
      <c r="J3900" s="8">
        <f>IF(G3900="","",G3900*0.20)</f>
        <v/>
      </c>
      <c r="K3900" s="8">
        <f>IF(G3900="","",G3900+J3900)</f>
        <v/>
      </c>
    </row>
    <row r="3901">
      <c r="F3901" s="8" t="n"/>
      <c r="G3901" s="8">
        <f>IF(E3901="","",E3901*F3901)</f>
        <v/>
      </c>
      <c r="H3901" s="8">
        <f>IF(G3901="","",G3901-I3901)</f>
        <v/>
      </c>
      <c r="I3901" s="8">
        <f>IF(D3901="","",VLOOKUP(D3901, RECETTES!B:G, 6, FALSE)*E3901)</f>
        <v/>
      </c>
      <c r="J3901" s="8">
        <f>IF(G3901="","",G3901*0.20)</f>
        <v/>
      </c>
      <c r="K3901" s="8">
        <f>IF(G3901="","",G3901+J3901)</f>
        <v/>
      </c>
    </row>
    <row r="3902">
      <c r="F3902" s="8" t="n"/>
      <c r="G3902" s="8">
        <f>IF(E3902="","",E3902*F3902)</f>
        <v/>
      </c>
      <c r="H3902" s="8">
        <f>IF(G3902="","",G3902-I3902)</f>
        <v/>
      </c>
      <c r="I3902" s="8">
        <f>IF(D3902="","",VLOOKUP(D3902, RECETTES!B:G, 6, FALSE)*E3902)</f>
        <v/>
      </c>
      <c r="J3902" s="8">
        <f>IF(G3902="","",G3902*0.20)</f>
        <v/>
      </c>
      <c r="K3902" s="8">
        <f>IF(G3902="","",G3902+J3902)</f>
        <v/>
      </c>
    </row>
    <row r="3903">
      <c r="F3903" s="8" t="n"/>
      <c r="G3903" s="8">
        <f>IF(E3903="","",E3903*F3903)</f>
        <v/>
      </c>
      <c r="H3903" s="8">
        <f>IF(G3903="","",G3903-I3903)</f>
        <v/>
      </c>
      <c r="I3903" s="8">
        <f>IF(D3903="","",VLOOKUP(D3903, RECETTES!B:G, 6, FALSE)*E3903)</f>
        <v/>
      </c>
      <c r="J3903" s="8">
        <f>IF(G3903="","",G3903*0.20)</f>
        <v/>
      </c>
      <c r="K3903" s="8">
        <f>IF(G3903="","",G3903+J3903)</f>
        <v/>
      </c>
    </row>
    <row r="3904">
      <c r="F3904" s="8" t="n"/>
      <c r="G3904" s="8">
        <f>IF(E3904="","",E3904*F3904)</f>
        <v/>
      </c>
      <c r="H3904" s="8">
        <f>IF(G3904="","",G3904-I3904)</f>
        <v/>
      </c>
      <c r="I3904" s="8">
        <f>IF(D3904="","",VLOOKUP(D3904, RECETTES!B:G, 6, FALSE)*E3904)</f>
        <v/>
      </c>
      <c r="J3904" s="8">
        <f>IF(G3904="","",G3904*0.20)</f>
        <v/>
      </c>
      <c r="K3904" s="8">
        <f>IF(G3904="","",G3904+J3904)</f>
        <v/>
      </c>
    </row>
    <row r="3905">
      <c r="F3905" s="8" t="n"/>
      <c r="G3905" s="8">
        <f>IF(E3905="","",E3905*F3905)</f>
        <v/>
      </c>
      <c r="H3905" s="8">
        <f>IF(G3905="","",G3905-I3905)</f>
        <v/>
      </c>
      <c r="I3905" s="8">
        <f>IF(D3905="","",VLOOKUP(D3905, RECETTES!B:G, 6, FALSE)*E3905)</f>
        <v/>
      </c>
      <c r="J3905" s="8">
        <f>IF(G3905="","",G3905*0.20)</f>
        <v/>
      </c>
      <c r="K3905" s="8">
        <f>IF(G3905="","",G3905+J3905)</f>
        <v/>
      </c>
    </row>
    <row r="3906">
      <c r="F3906" s="8" t="n"/>
      <c r="G3906" s="8">
        <f>IF(E3906="","",E3906*F3906)</f>
        <v/>
      </c>
      <c r="H3906" s="8">
        <f>IF(G3906="","",G3906-I3906)</f>
        <v/>
      </c>
      <c r="I3906" s="8">
        <f>IF(D3906="","",VLOOKUP(D3906, RECETTES!B:G, 6, FALSE)*E3906)</f>
        <v/>
      </c>
      <c r="J3906" s="8">
        <f>IF(G3906="","",G3906*0.20)</f>
        <v/>
      </c>
      <c r="K3906" s="8">
        <f>IF(G3906="","",G3906+J3906)</f>
        <v/>
      </c>
    </row>
    <row r="3907">
      <c r="F3907" s="8" t="n"/>
      <c r="G3907" s="8">
        <f>IF(E3907="","",E3907*F3907)</f>
        <v/>
      </c>
      <c r="H3907" s="8">
        <f>IF(G3907="","",G3907-I3907)</f>
        <v/>
      </c>
      <c r="I3907" s="8">
        <f>IF(D3907="","",VLOOKUP(D3907, RECETTES!B:G, 6, FALSE)*E3907)</f>
        <v/>
      </c>
      <c r="J3907" s="8">
        <f>IF(G3907="","",G3907*0.20)</f>
        <v/>
      </c>
      <c r="K3907" s="8">
        <f>IF(G3907="","",G3907+J3907)</f>
        <v/>
      </c>
    </row>
    <row r="3908">
      <c r="F3908" s="8" t="n"/>
      <c r="G3908" s="8">
        <f>IF(E3908="","",E3908*F3908)</f>
        <v/>
      </c>
      <c r="H3908" s="8">
        <f>IF(G3908="","",G3908-I3908)</f>
        <v/>
      </c>
      <c r="I3908" s="8">
        <f>IF(D3908="","",VLOOKUP(D3908, RECETTES!B:G, 6, FALSE)*E3908)</f>
        <v/>
      </c>
      <c r="J3908" s="8">
        <f>IF(G3908="","",G3908*0.20)</f>
        <v/>
      </c>
      <c r="K3908" s="8">
        <f>IF(G3908="","",G3908+J3908)</f>
        <v/>
      </c>
    </row>
    <row r="3909">
      <c r="F3909" s="8" t="n"/>
      <c r="G3909" s="8">
        <f>IF(E3909="","",E3909*F3909)</f>
        <v/>
      </c>
      <c r="H3909" s="8">
        <f>IF(G3909="","",G3909-I3909)</f>
        <v/>
      </c>
      <c r="I3909" s="8">
        <f>IF(D3909="","",VLOOKUP(D3909, RECETTES!B:G, 6, FALSE)*E3909)</f>
        <v/>
      </c>
      <c r="J3909" s="8">
        <f>IF(G3909="","",G3909*0.20)</f>
        <v/>
      </c>
      <c r="K3909" s="8">
        <f>IF(G3909="","",G3909+J3909)</f>
        <v/>
      </c>
    </row>
    <row r="3910">
      <c r="F3910" s="8" t="n"/>
      <c r="G3910" s="8">
        <f>IF(E3910="","",E3910*F3910)</f>
        <v/>
      </c>
      <c r="H3910" s="8">
        <f>IF(G3910="","",G3910-I3910)</f>
        <v/>
      </c>
      <c r="I3910" s="8">
        <f>IF(D3910="","",VLOOKUP(D3910, RECETTES!B:G, 6, FALSE)*E3910)</f>
        <v/>
      </c>
      <c r="J3910" s="8">
        <f>IF(G3910="","",G3910*0.20)</f>
        <v/>
      </c>
      <c r="K3910" s="8">
        <f>IF(G3910="","",G3910+J3910)</f>
        <v/>
      </c>
    </row>
    <row r="3911">
      <c r="F3911" s="8" t="n"/>
      <c r="G3911" s="8">
        <f>IF(E3911="","",E3911*F3911)</f>
        <v/>
      </c>
      <c r="H3911" s="8">
        <f>IF(G3911="","",G3911-I3911)</f>
        <v/>
      </c>
      <c r="I3911" s="8">
        <f>IF(D3911="","",VLOOKUP(D3911, RECETTES!B:G, 6, FALSE)*E3911)</f>
        <v/>
      </c>
      <c r="J3911" s="8">
        <f>IF(G3911="","",G3911*0.20)</f>
        <v/>
      </c>
      <c r="K3911" s="8">
        <f>IF(G3911="","",G3911+J3911)</f>
        <v/>
      </c>
    </row>
    <row r="3912">
      <c r="F3912" s="8" t="n"/>
      <c r="G3912" s="8">
        <f>IF(E3912="","",E3912*F3912)</f>
        <v/>
      </c>
      <c r="H3912" s="8">
        <f>IF(G3912="","",G3912-I3912)</f>
        <v/>
      </c>
      <c r="I3912" s="8">
        <f>IF(D3912="","",VLOOKUP(D3912, RECETTES!B:G, 6, FALSE)*E3912)</f>
        <v/>
      </c>
      <c r="J3912" s="8">
        <f>IF(G3912="","",G3912*0.20)</f>
        <v/>
      </c>
      <c r="K3912" s="8">
        <f>IF(G3912="","",G3912+J3912)</f>
        <v/>
      </c>
    </row>
    <row r="3913">
      <c r="F3913" s="8" t="n"/>
      <c r="G3913" s="8">
        <f>IF(E3913="","",E3913*F3913)</f>
        <v/>
      </c>
      <c r="H3913" s="8">
        <f>IF(G3913="","",G3913-I3913)</f>
        <v/>
      </c>
      <c r="I3913" s="8">
        <f>IF(D3913="","",VLOOKUP(D3913, RECETTES!B:G, 6, FALSE)*E3913)</f>
        <v/>
      </c>
      <c r="J3913" s="8">
        <f>IF(G3913="","",G3913*0.20)</f>
        <v/>
      </c>
      <c r="K3913" s="8">
        <f>IF(G3913="","",G3913+J3913)</f>
        <v/>
      </c>
    </row>
    <row r="3914">
      <c r="F3914" s="8" t="n"/>
      <c r="G3914" s="8">
        <f>IF(E3914="","",E3914*F3914)</f>
        <v/>
      </c>
      <c r="H3914" s="8">
        <f>IF(G3914="","",G3914-I3914)</f>
        <v/>
      </c>
      <c r="I3914" s="8">
        <f>IF(D3914="","",VLOOKUP(D3914, RECETTES!B:G, 6, FALSE)*E3914)</f>
        <v/>
      </c>
      <c r="J3914" s="8">
        <f>IF(G3914="","",G3914*0.20)</f>
        <v/>
      </c>
      <c r="K3914" s="8">
        <f>IF(G3914="","",G3914+J3914)</f>
        <v/>
      </c>
    </row>
    <row r="3915">
      <c r="F3915" s="8" t="n"/>
      <c r="G3915" s="8">
        <f>IF(E3915="","",E3915*F3915)</f>
        <v/>
      </c>
      <c r="H3915" s="8">
        <f>IF(G3915="","",G3915-I3915)</f>
        <v/>
      </c>
      <c r="I3915" s="8">
        <f>IF(D3915="","",VLOOKUP(D3915, RECETTES!B:G, 6, FALSE)*E3915)</f>
        <v/>
      </c>
      <c r="J3915" s="8">
        <f>IF(G3915="","",G3915*0.20)</f>
        <v/>
      </c>
      <c r="K3915" s="8">
        <f>IF(G3915="","",G3915+J3915)</f>
        <v/>
      </c>
    </row>
    <row r="3916">
      <c r="F3916" s="8" t="n"/>
      <c r="G3916" s="8">
        <f>IF(E3916="","",E3916*F3916)</f>
        <v/>
      </c>
      <c r="H3916" s="8">
        <f>IF(G3916="","",G3916-I3916)</f>
        <v/>
      </c>
      <c r="I3916" s="8">
        <f>IF(D3916="","",VLOOKUP(D3916, RECETTES!B:G, 6, FALSE)*E3916)</f>
        <v/>
      </c>
      <c r="J3916" s="8">
        <f>IF(G3916="","",G3916*0.20)</f>
        <v/>
      </c>
      <c r="K3916" s="8">
        <f>IF(G3916="","",G3916+J3916)</f>
        <v/>
      </c>
    </row>
    <row r="3917">
      <c r="F3917" s="8" t="n"/>
      <c r="G3917" s="8">
        <f>IF(E3917="","",E3917*F3917)</f>
        <v/>
      </c>
      <c r="H3917" s="8">
        <f>IF(G3917="","",G3917-I3917)</f>
        <v/>
      </c>
      <c r="I3917" s="8">
        <f>IF(D3917="","",VLOOKUP(D3917, RECETTES!B:G, 6, FALSE)*E3917)</f>
        <v/>
      </c>
      <c r="J3917" s="8">
        <f>IF(G3917="","",G3917*0.20)</f>
        <v/>
      </c>
      <c r="K3917" s="8">
        <f>IF(G3917="","",G3917+J3917)</f>
        <v/>
      </c>
    </row>
    <row r="3918">
      <c r="F3918" s="8" t="n"/>
      <c r="G3918" s="8">
        <f>IF(E3918="","",E3918*F3918)</f>
        <v/>
      </c>
      <c r="H3918" s="8">
        <f>IF(G3918="","",G3918-I3918)</f>
        <v/>
      </c>
      <c r="I3918" s="8">
        <f>IF(D3918="","",VLOOKUP(D3918, RECETTES!B:G, 6, FALSE)*E3918)</f>
        <v/>
      </c>
      <c r="J3918" s="8">
        <f>IF(G3918="","",G3918*0.20)</f>
        <v/>
      </c>
      <c r="K3918" s="8">
        <f>IF(G3918="","",G3918+J3918)</f>
        <v/>
      </c>
    </row>
    <row r="3919">
      <c r="F3919" s="8" t="n"/>
      <c r="G3919" s="8">
        <f>IF(E3919="","",E3919*F3919)</f>
        <v/>
      </c>
      <c r="H3919" s="8">
        <f>IF(G3919="","",G3919-I3919)</f>
        <v/>
      </c>
      <c r="I3919" s="8">
        <f>IF(D3919="","",VLOOKUP(D3919, RECETTES!B:G, 6, FALSE)*E3919)</f>
        <v/>
      </c>
      <c r="J3919" s="8">
        <f>IF(G3919="","",G3919*0.20)</f>
        <v/>
      </c>
      <c r="K3919" s="8">
        <f>IF(G3919="","",G3919+J3919)</f>
        <v/>
      </c>
    </row>
    <row r="3920">
      <c r="F3920" s="8" t="n"/>
      <c r="G3920" s="8">
        <f>IF(E3920="","",E3920*F3920)</f>
        <v/>
      </c>
      <c r="H3920" s="8">
        <f>IF(G3920="","",G3920-I3920)</f>
        <v/>
      </c>
      <c r="I3920" s="8">
        <f>IF(D3920="","",VLOOKUP(D3920, RECETTES!B:G, 6, FALSE)*E3920)</f>
        <v/>
      </c>
      <c r="J3920" s="8">
        <f>IF(G3920="","",G3920*0.20)</f>
        <v/>
      </c>
      <c r="K3920" s="8">
        <f>IF(G3920="","",G3920+J3920)</f>
        <v/>
      </c>
    </row>
    <row r="3921">
      <c r="F3921" s="8" t="n"/>
      <c r="G3921" s="8">
        <f>IF(E3921="","",E3921*F3921)</f>
        <v/>
      </c>
      <c r="H3921" s="8">
        <f>IF(G3921="","",G3921-I3921)</f>
        <v/>
      </c>
      <c r="I3921" s="8">
        <f>IF(D3921="","",VLOOKUP(D3921, RECETTES!B:G, 6, FALSE)*E3921)</f>
        <v/>
      </c>
      <c r="J3921" s="8">
        <f>IF(G3921="","",G3921*0.20)</f>
        <v/>
      </c>
      <c r="K3921" s="8">
        <f>IF(G3921="","",G3921+J3921)</f>
        <v/>
      </c>
    </row>
    <row r="3922">
      <c r="F3922" s="8" t="n"/>
      <c r="G3922" s="8">
        <f>IF(E3922="","",E3922*F3922)</f>
        <v/>
      </c>
      <c r="H3922" s="8">
        <f>IF(G3922="","",G3922-I3922)</f>
        <v/>
      </c>
      <c r="I3922" s="8">
        <f>IF(D3922="","",VLOOKUP(D3922, RECETTES!B:G, 6, FALSE)*E3922)</f>
        <v/>
      </c>
      <c r="J3922" s="8">
        <f>IF(G3922="","",G3922*0.20)</f>
        <v/>
      </c>
      <c r="K3922" s="8">
        <f>IF(G3922="","",G3922+J3922)</f>
        <v/>
      </c>
    </row>
    <row r="3923">
      <c r="F3923" s="8" t="n"/>
      <c r="G3923" s="8">
        <f>IF(E3923="","",E3923*F3923)</f>
        <v/>
      </c>
      <c r="H3923" s="8">
        <f>IF(G3923="","",G3923-I3923)</f>
        <v/>
      </c>
      <c r="I3923" s="8">
        <f>IF(D3923="","",VLOOKUP(D3923, RECETTES!B:G, 6, FALSE)*E3923)</f>
        <v/>
      </c>
      <c r="J3923" s="8">
        <f>IF(G3923="","",G3923*0.20)</f>
        <v/>
      </c>
      <c r="K3923" s="8">
        <f>IF(G3923="","",G3923+J3923)</f>
        <v/>
      </c>
    </row>
    <row r="3924">
      <c r="F3924" s="8" t="n"/>
      <c r="G3924" s="8">
        <f>IF(E3924="","",E3924*F3924)</f>
        <v/>
      </c>
      <c r="H3924" s="8">
        <f>IF(G3924="","",G3924-I3924)</f>
        <v/>
      </c>
      <c r="I3924" s="8">
        <f>IF(D3924="","",VLOOKUP(D3924, RECETTES!B:G, 6, FALSE)*E3924)</f>
        <v/>
      </c>
      <c r="J3924" s="8">
        <f>IF(G3924="","",G3924*0.20)</f>
        <v/>
      </c>
      <c r="K3924" s="8">
        <f>IF(G3924="","",G3924+J3924)</f>
        <v/>
      </c>
    </row>
    <row r="3925">
      <c r="F3925" s="8" t="n"/>
      <c r="G3925" s="8">
        <f>IF(E3925="","",E3925*F3925)</f>
        <v/>
      </c>
      <c r="H3925" s="8">
        <f>IF(G3925="","",G3925-I3925)</f>
        <v/>
      </c>
      <c r="I3925" s="8">
        <f>IF(D3925="","",VLOOKUP(D3925, RECETTES!B:G, 6, FALSE)*E3925)</f>
        <v/>
      </c>
      <c r="J3925" s="8">
        <f>IF(G3925="","",G3925*0.20)</f>
        <v/>
      </c>
      <c r="K3925" s="8">
        <f>IF(G3925="","",G3925+J3925)</f>
        <v/>
      </c>
    </row>
    <row r="3926">
      <c r="F3926" s="8" t="n"/>
      <c r="G3926" s="8">
        <f>IF(E3926="","",E3926*F3926)</f>
        <v/>
      </c>
      <c r="H3926" s="8">
        <f>IF(G3926="","",G3926-I3926)</f>
        <v/>
      </c>
      <c r="I3926" s="8">
        <f>IF(D3926="","",VLOOKUP(D3926, RECETTES!B:G, 6, FALSE)*E3926)</f>
        <v/>
      </c>
      <c r="J3926" s="8">
        <f>IF(G3926="","",G3926*0.20)</f>
        <v/>
      </c>
      <c r="K3926" s="8">
        <f>IF(G3926="","",G3926+J3926)</f>
        <v/>
      </c>
    </row>
    <row r="3927">
      <c r="F3927" s="8" t="n"/>
      <c r="G3927" s="8">
        <f>IF(E3927="","",E3927*F3927)</f>
        <v/>
      </c>
      <c r="H3927" s="8">
        <f>IF(G3927="","",G3927-I3927)</f>
        <v/>
      </c>
      <c r="I3927" s="8">
        <f>IF(D3927="","",VLOOKUP(D3927, RECETTES!B:G, 6, FALSE)*E3927)</f>
        <v/>
      </c>
      <c r="J3927" s="8">
        <f>IF(G3927="","",G3927*0.20)</f>
        <v/>
      </c>
      <c r="K3927" s="8">
        <f>IF(G3927="","",G3927+J3927)</f>
        <v/>
      </c>
    </row>
    <row r="3928">
      <c r="F3928" s="8" t="n"/>
      <c r="G3928" s="8">
        <f>IF(E3928="","",E3928*F3928)</f>
        <v/>
      </c>
      <c r="H3928" s="8">
        <f>IF(G3928="","",G3928-I3928)</f>
        <v/>
      </c>
      <c r="I3928" s="8">
        <f>IF(D3928="","",VLOOKUP(D3928, RECETTES!B:G, 6, FALSE)*E3928)</f>
        <v/>
      </c>
      <c r="J3928" s="8">
        <f>IF(G3928="","",G3928*0.20)</f>
        <v/>
      </c>
      <c r="K3928" s="8">
        <f>IF(G3928="","",G3928+J3928)</f>
        <v/>
      </c>
    </row>
    <row r="3929">
      <c r="F3929" s="8" t="n"/>
      <c r="G3929" s="8">
        <f>IF(E3929="","",E3929*F3929)</f>
        <v/>
      </c>
      <c r="H3929" s="8">
        <f>IF(G3929="","",G3929-I3929)</f>
        <v/>
      </c>
      <c r="I3929" s="8">
        <f>IF(D3929="","",VLOOKUP(D3929, RECETTES!B:G, 6, FALSE)*E3929)</f>
        <v/>
      </c>
      <c r="J3929" s="8">
        <f>IF(G3929="","",G3929*0.20)</f>
        <v/>
      </c>
      <c r="K3929" s="8">
        <f>IF(G3929="","",G3929+J3929)</f>
        <v/>
      </c>
    </row>
    <row r="3930">
      <c r="F3930" s="8" t="n"/>
      <c r="G3930" s="8">
        <f>IF(E3930="","",E3930*F3930)</f>
        <v/>
      </c>
      <c r="H3930" s="8">
        <f>IF(G3930="","",G3930-I3930)</f>
        <v/>
      </c>
      <c r="I3930" s="8">
        <f>IF(D3930="","",VLOOKUP(D3930, RECETTES!B:G, 6, FALSE)*E3930)</f>
        <v/>
      </c>
      <c r="J3930" s="8">
        <f>IF(G3930="","",G3930*0.20)</f>
        <v/>
      </c>
      <c r="K3930" s="8">
        <f>IF(G3930="","",G3930+J3930)</f>
        <v/>
      </c>
    </row>
    <row r="3931">
      <c r="F3931" s="8" t="n"/>
      <c r="G3931" s="8">
        <f>IF(E3931="","",E3931*F3931)</f>
        <v/>
      </c>
      <c r="H3931" s="8">
        <f>IF(G3931="","",G3931-I3931)</f>
        <v/>
      </c>
      <c r="I3931" s="8">
        <f>IF(D3931="","",VLOOKUP(D3931, RECETTES!B:G, 6, FALSE)*E3931)</f>
        <v/>
      </c>
      <c r="J3931" s="8">
        <f>IF(G3931="","",G3931*0.20)</f>
        <v/>
      </c>
      <c r="K3931" s="8">
        <f>IF(G3931="","",G3931+J3931)</f>
        <v/>
      </c>
    </row>
    <row r="3932">
      <c r="F3932" s="8" t="n"/>
      <c r="G3932" s="8">
        <f>IF(E3932="","",E3932*F3932)</f>
        <v/>
      </c>
      <c r="H3932" s="8">
        <f>IF(G3932="","",G3932-I3932)</f>
        <v/>
      </c>
      <c r="I3932" s="8">
        <f>IF(D3932="","",VLOOKUP(D3932, RECETTES!B:G, 6, FALSE)*E3932)</f>
        <v/>
      </c>
      <c r="J3932" s="8">
        <f>IF(G3932="","",G3932*0.20)</f>
        <v/>
      </c>
      <c r="K3932" s="8">
        <f>IF(G3932="","",G3932+J3932)</f>
        <v/>
      </c>
    </row>
    <row r="3933">
      <c r="F3933" s="8" t="n"/>
      <c r="G3933" s="8">
        <f>IF(E3933="","",E3933*F3933)</f>
        <v/>
      </c>
      <c r="H3933" s="8">
        <f>IF(G3933="","",G3933-I3933)</f>
        <v/>
      </c>
      <c r="I3933" s="8">
        <f>IF(D3933="","",VLOOKUP(D3933, RECETTES!B:G, 6, FALSE)*E3933)</f>
        <v/>
      </c>
      <c r="J3933" s="8">
        <f>IF(G3933="","",G3933*0.20)</f>
        <v/>
      </c>
      <c r="K3933" s="8">
        <f>IF(G3933="","",G3933+J3933)</f>
        <v/>
      </c>
    </row>
    <row r="3934">
      <c r="F3934" s="8" t="n"/>
      <c r="G3934" s="8">
        <f>IF(E3934="","",E3934*F3934)</f>
        <v/>
      </c>
      <c r="H3934" s="8">
        <f>IF(G3934="","",G3934-I3934)</f>
        <v/>
      </c>
      <c r="I3934" s="8">
        <f>IF(D3934="","",VLOOKUP(D3934, RECETTES!B:G, 6, FALSE)*E3934)</f>
        <v/>
      </c>
      <c r="J3934" s="8">
        <f>IF(G3934="","",G3934*0.20)</f>
        <v/>
      </c>
      <c r="K3934" s="8">
        <f>IF(G3934="","",G3934+J3934)</f>
        <v/>
      </c>
    </row>
    <row r="3935">
      <c r="F3935" s="8" t="n"/>
      <c r="G3935" s="8">
        <f>IF(E3935="","",E3935*F3935)</f>
        <v/>
      </c>
      <c r="H3935" s="8">
        <f>IF(G3935="","",G3935-I3935)</f>
        <v/>
      </c>
      <c r="I3935" s="8">
        <f>IF(D3935="","",VLOOKUP(D3935, RECETTES!B:G, 6, FALSE)*E3935)</f>
        <v/>
      </c>
      <c r="J3935" s="8">
        <f>IF(G3935="","",G3935*0.20)</f>
        <v/>
      </c>
      <c r="K3935" s="8">
        <f>IF(G3935="","",G3935+J3935)</f>
        <v/>
      </c>
    </row>
    <row r="3936">
      <c r="F3936" s="8" t="n"/>
      <c r="G3936" s="8">
        <f>IF(E3936="","",E3936*F3936)</f>
        <v/>
      </c>
      <c r="H3936" s="8">
        <f>IF(G3936="","",G3936-I3936)</f>
        <v/>
      </c>
      <c r="I3936" s="8">
        <f>IF(D3936="","",VLOOKUP(D3936, RECETTES!B:G, 6, FALSE)*E3936)</f>
        <v/>
      </c>
      <c r="J3936" s="8">
        <f>IF(G3936="","",G3936*0.20)</f>
        <v/>
      </c>
      <c r="K3936" s="8">
        <f>IF(G3936="","",G3936+J3936)</f>
        <v/>
      </c>
    </row>
    <row r="3937">
      <c r="F3937" s="8" t="n"/>
      <c r="G3937" s="8">
        <f>IF(E3937="","",E3937*F3937)</f>
        <v/>
      </c>
      <c r="H3937" s="8">
        <f>IF(G3937="","",G3937-I3937)</f>
        <v/>
      </c>
      <c r="I3937" s="8">
        <f>IF(D3937="","",VLOOKUP(D3937, RECETTES!B:G, 6, FALSE)*E3937)</f>
        <v/>
      </c>
      <c r="J3937" s="8">
        <f>IF(G3937="","",G3937*0.20)</f>
        <v/>
      </c>
      <c r="K3937" s="8">
        <f>IF(G3937="","",G3937+J3937)</f>
        <v/>
      </c>
    </row>
    <row r="3938">
      <c r="F3938" s="8" t="n"/>
      <c r="G3938" s="8">
        <f>IF(E3938="","",E3938*F3938)</f>
        <v/>
      </c>
      <c r="H3938" s="8">
        <f>IF(G3938="","",G3938-I3938)</f>
        <v/>
      </c>
      <c r="I3938" s="8">
        <f>IF(D3938="","",VLOOKUP(D3938, RECETTES!B:G, 6, FALSE)*E3938)</f>
        <v/>
      </c>
      <c r="J3938" s="8">
        <f>IF(G3938="","",G3938*0.20)</f>
        <v/>
      </c>
      <c r="K3938" s="8">
        <f>IF(G3938="","",G3938+J3938)</f>
        <v/>
      </c>
    </row>
    <row r="3939">
      <c r="F3939" s="8" t="n"/>
      <c r="G3939" s="8">
        <f>IF(E3939="","",E3939*F3939)</f>
        <v/>
      </c>
      <c r="H3939" s="8">
        <f>IF(G3939="","",G3939-I3939)</f>
        <v/>
      </c>
      <c r="I3939" s="8">
        <f>IF(D3939="","",VLOOKUP(D3939, RECETTES!B:G, 6, FALSE)*E3939)</f>
        <v/>
      </c>
      <c r="J3939" s="8">
        <f>IF(G3939="","",G3939*0.20)</f>
        <v/>
      </c>
      <c r="K3939" s="8">
        <f>IF(G3939="","",G3939+J3939)</f>
        <v/>
      </c>
    </row>
    <row r="3940">
      <c r="F3940" s="8" t="n"/>
      <c r="G3940" s="8">
        <f>IF(E3940="","",E3940*F3940)</f>
        <v/>
      </c>
      <c r="H3940" s="8">
        <f>IF(G3940="","",G3940-I3940)</f>
        <v/>
      </c>
      <c r="I3940" s="8">
        <f>IF(D3940="","",VLOOKUP(D3940, RECETTES!B:G, 6, FALSE)*E3940)</f>
        <v/>
      </c>
      <c r="J3940" s="8">
        <f>IF(G3940="","",G3940*0.20)</f>
        <v/>
      </c>
      <c r="K3940" s="8">
        <f>IF(G3940="","",G3940+J3940)</f>
        <v/>
      </c>
    </row>
    <row r="3941">
      <c r="F3941" s="8" t="n"/>
      <c r="G3941" s="8">
        <f>IF(E3941="","",E3941*F3941)</f>
        <v/>
      </c>
      <c r="H3941" s="8">
        <f>IF(G3941="","",G3941-I3941)</f>
        <v/>
      </c>
      <c r="I3941" s="8">
        <f>IF(D3941="","",VLOOKUP(D3941, RECETTES!B:G, 6, FALSE)*E3941)</f>
        <v/>
      </c>
      <c r="J3941" s="8">
        <f>IF(G3941="","",G3941*0.20)</f>
        <v/>
      </c>
      <c r="K3941" s="8">
        <f>IF(G3941="","",G3941+J3941)</f>
        <v/>
      </c>
    </row>
    <row r="3942">
      <c r="F3942" s="8" t="n"/>
      <c r="G3942" s="8">
        <f>IF(E3942="","",E3942*F3942)</f>
        <v/>
      </c>
      <c r="H3942" s="8">
        <f>IF(G3942="","",G3942-I3942)</f>
        <v/>
      </c>
      <c r="I3942" s="8">
        <f>IF(D3942="","",VLOOKUP(D3942, RECETTES!B:G, 6, FALSE)*E3942)</f>
        <v/>
      </c>
      <c r="J3942" s="8">
        <f>IF(G3942="","",G3942*0.20)</f>
        <v/>
      </c>
      <c r="K3942" s="8">
        <f>IF(G3942="","",G3942+J3942)</f>
        <v/>
      </c>
    </row>
    <row r="3943">
      <c r="F3943" s="8" t="n"/>
      <c r="G3943" s="8">
        <f>IF(E3943="","",E3943*F3943)</f>
        <v/>
      </c>
      <c r="H3943" s="8">
        <f>IF(G3943="","",G3943-I3943)</f>
        <v/>
      </c>
      <c r="I3943" s="8">
        <f>IF(D3943="","",VLOOKUP(D3943, RECETTES!B:G, 6, FALSE)*E3943)</f>
        <v/>
      </c>
      <c r="J3943" s="8">
        <f>IF(G3943="","",G3943*0.20)</f>
        <v/>
      </c>
      <c r="K3943" s="8">
        <f>IF(G3943="","",G3943+J3943)</f>
        <v/>
      </c>
    </row>
    <row r="3944">
      <c r="F3944" s="8" t="n"/>
      <c r="G3944" s="8">
        <f>IF(E3944="","",E3944*F3944)</f>
        <v/>
      </c>
      <c r="H3944" s="8">
        <f>IF(G3944="","",G3944-I3944)</f>
        <v/>
      </c>
      <c r="I3944" s="8">
        <f>IF(D3944="","",VLOOKUP(D3944, RECETTES!B:G, 6, FALSE)*E3944)</f>
        <v/>
      </c>
      <c r="J3944" s="8">
        <f>IF(G3944="","",G3944*0.20)</f>
        <v/>
      </c>
      <c r="K3944" s="8">
        <f>IF(G3944="","",G3944+J3944)</f>
        <v/>
      </c>
    </row>
    <row r="3945">
      <c r="F3945" s="8" t="n"/>
      <c r="G3945" s="8">
        <f>IF(E3945="","",E3945*F3945)</f>
        <v/>
      </c>
      <c r="H3945" s="8">
        <f>IF(G3945="","",G3945-I3945)</f>
        <v/>
      </c>
      <c r="I3945" s="8">
        <f>IF(D3945="","",VLOOKUP(D3945, RECETTES!B:G, 6, FALSE)*E3945)</f>
        <v/>
      </c>
      <c r="J3945" s="8">
        <f>IF(G3945="","",G3945*0.20)</f>
        <v/>
      </c>
      <c r="K3945" s="8">
        <f>IF(G3945="","",G3945+J3945)</f>
        <v/>
      </c>
    </row>
    <row r="3946">
      <c r="F3946" s="8" t="n"/>
      <c r="G3946" s="8">
        <f>IF(E3946="","",E3946*F3946)</f>
        <v/>
      </c>
      <c r="H3946" s="8">
        <f>IF(G3946="","",G3946-I3946)</f>
        <v/>
      </c>
      <c r="I3946" s="8">
        <f>IF(D3946="","",VLOOKUP(D3946, RECETTES!B:G, 6, FALSE)*E3946)</f>
        <v/>
      </c>
      <c r="J3946" s="8">
        <f>IF(G3946="","",G3946*0.20)</f>
        <v/>
      </c>
      <c r="K3946" s="8">
        <f>IF(G3946="","",G3946+J3946)</f>
        <v/>
      </c>
    </row>
    <row r="3947">
      <c r="F3947" s="8" t="n"/>
      <c r="G3947" s="8">
        <f>IF(E3947="","",E3947*F3947)</f>
        <v/>
      </c>
      <c r="H3947" s="8">
        <f>IF(G3947="","",G3947-I3947)</f>
        <v/>
      </c>
      <c r="I3947" s="8">
        <f>IF(D3947="","",VLOOKUP(D3947, RECETTES!B:G, 6, FALSE)*E3947)</f>
        <v/>
      </c>
      <c r="J3947" s="8">
        <f>IF(G3947="","",G3947*0.20)</f>
        <v/>
      </c>
      <c r="K3947" s="8">
        <f>IF(G3947="","",G3947+J3947)</f>
        <v/>
      </c>
    </row>
    <row r="3948">
      <c r="F3948" s="8" t="n"/>
      <c r="G3948" s="8">
        <f>IF(E3948="","",E3948*F3948)</f>
        <v/>
      </c>
      <c r="H3948" s="8">
        <f>IF(G3948="","",G3948-I3948)</f>
        <v/>
      </c>
      <c r="I3948" s="8">
        <f>IF(D3948="","",VLOOKUP(D3948, RECETTES!B:G, 6, FALSE)*E3948)</f>
        <v/>
      </c>
      <c r="J3948" s="8">
        <f>IF(G3948="","",G3948*0.20)</f>
        <v/>
      </c>
      <c r="K3948" s="8">
        <f>IF(G3948="","",G3948+J3948)</f>
        <v/>
      </c>
    </row>
    <row r="3949">
      <c r="F3949" s="8" t="n"/>
      <c r="G3949" s="8">
        <f>IF(E3949="","",E3949*F3949)</f>
        <v/>
      </c>
      <c r="H3949" s="8">
        <f>IF(G3949="","",G3949-I3949)</f>
        <v/>
      </c>
      <c r="I3949" s="8">
        <f>IF(D3949="","",VLOOKUP(D3949, RECETTES!B:G, 6, FALSE)*E3949)</f>
        <v/>
      </c>
      <c r="J3949" s="8">
        <f>IF(G3949="","",G3949*0.20)</f>
        <v/>
      </c>
      <c r="K3949" s="8">
        <f>IF(G3949="","",G3949+J3949)</f>
        <v/>
      </c>
    </row>
    <row r="3950">
      <c r="F3950" s="8" t="n"/>
      <c r="G3950" s="8">
        <f>IF(E3950="","",E3950*F3950)</f>
        <v/>
      </c>
      <c r="H3950" s="8">
        <f>IF(G3950="","",G3950-I3950)</f>
        <v/>
      </c>
      <c r="I3950" s="8">
        <f>IF(D3950="","",VLOOKUP(D3950, RECETTES!B:G, 6, FALSE)*E3950)</f>
        <v/>
      </c>
      <c r="J3950" s="8">
        <f>IF(G3950="","",G3950*0.20)</f>
        <v/>
      </c>
      <c r="K3950" s="8">
        <f>IF(G3950="","",G3950+J3950)</f>
        <v/>
      </c>
    </row>
    <row r="3951">
      <c r="F3951" s="8" t="n"/>
      <c r="G3951" s="8">
        <f>IF(E3951="","",E3951*F3951)</f>
        <v/>
      </c>
      <c r="H3951" s="8">
        <f>IF(G3951="","",G3951-I3951)</f>
        <v/>
      </c>
      <c r="I3951" s="8">
        <f>IF(D3951="","",VLOOKUP(D3951, RECETTES!B:G, 6, FALSE)*E3951)</f>
        <v/>
      </c>
      <c r="J3951" s="8">
        <f>IF(G3951="","",G3951*0.20)</f>
        <v/>
      </c>
      <c r="K3951" s="8">
        <f>IF(G3951="","",G3951+J3951)</f>
        <v/>
      </c>
    </row>
    <row r="3952">
      <c r="F3952" s="8" t="n"/>
      <c r="G3952" s="8">
        <f>IF(E3952="","",E3952*F3952)</f>
        <v/>
      </c>
      <c r="H3952" s="8">
        <f>IF(G3952="","",G3952-I3952)</f>
        <v/>
      </c>
      <c r="I3952" s="8">
        <f>IF(D3952="","",VLOOKUP(D3952, RECETTES!B:G, 6, FALSE)*E3952)</f>
        <v/>
      </c>
      <c r="J3952" s="8">
        <f>IF(G3952="","",G3952*0.20)</f>
        <v/>
      </c>
      <c r="K3952" s="8">
        <f>IF(G3952="","",G3952+J3952)</f>
        <v/>
      </c>
    </row>
    <row r="3953">
      <c r="F3953" s="8" t="n"/>
      <c r="G3953" s="8">
        <f>IF(E3953="","",E3953*F3953)</f>
        <v/>
      </c>
      <c r="H3953" s="8">
        <f>IF(G3953="","",G3953-I3953)</f>
        <v/>
      </c>
      <c r="I3953" s="8">
        <f>IF(D3953="","",VLOOKUP(D3953, RECETTES!B:G, 6, FALSE)*E3953)</f>
        <v/>
      </c>
      <c r="J3953" s="8">
        <f>IF(G3953="","",G3953*0.20)</f>
        <v/>
      </c>
      <c r="K3953" s="8">
        <f>IF(G3953="","",G3953+J3953)</f>
        <v/>
      </c>
    </row>
    <row r="3954">
      <c r="F3954" s="8" t="n"/>
      <c r="G3954" s="8">
        <f>IF(E3954="","",E3954*F3954)</f>
        <v/>
      </c>
      <c r="H3954" s="8">
        <f>IF(G3954="","",G3954-I3954)</f>
        <v/>
      </c>
      <c r="I3954" s="8">
        <f>IF(D3954="","",VLOOKUP(D3954, RECETTES!B:G, 6, FALSE)*E3954)</f>
        <v/>
      </c>
      <c r="J3954" s="8">
        <f>IF(G3954="","",G3954*0.20)</f>
        <v/>
      </c>
      <c r="K3954" s="8">
        <f>IF(G3954="","",G3954+J3954)</f>
        <v/>
      </c>
    </row>
    <row r="3955">
      <c r="F3955" s="8" t="n"/>
      <c r="G3955" s="8">
        <f>IF(E3955="","",E3955*F3955)</f>
        <v/>
      </c>
      <c r="H3955" s="8">
        <f>IF(G3955="","",G3955-I3955)</f>
        <v/>
      </c>
      <c r="I3955" s="8">
        <f>IF(D3955="","",VLOOKUP(D3955, RECETTES!B:G, 6, FALSE)*E3955)</f>
        <v/>
      </c>
      <c r="J3955" s="8">
        <f>IF(G3955="","",G3955*0.20)</f>
        <v/>
      </c>
      <c r="K3955" s="8">
        <f>IF(G3955="","",G3955+J3955)</f>
        <v/>
      </c>
    </row>
    <row r="3956">
      <c r="F3956" s="8" t="n"/>
      <c r="G3956" s="8">
        <f>IF(E3956="","",E3956*F3956)</f>
        <v/>
      </c>
      <c r="H3956" s="8">
        <f>IF(G3956="","",G3956-I3956)</f>
        <v/>
      </c>
      <c r="I3956" s="8">
        <f>IF(D3956="","",VLOOKUP(D3956, RECETTES!B:G, 6, FALSE)*E3956)</f>
        <v/>
      </c>
      <c r="J3956" s="8">
        <f>IF(G3956="","",G3956*0.20)</f>
        <v/>
      </c>
      <c r="K3956" s="8">
        <f>IF(G3956="","",G3956+J3956)</f>
        <v/>
      </c>
    </row>
    <row r="3957">
      <c r="F3957" s="8" t="n"/>
      <c r="G3957" s="8">
        <f>IF(E3957="","",E3957*F3957)</f>
        <v/>
      </c>
      <c r="H3957" s="8">
        <f>IF(G3957="","",G3957-I3957)</f>
        <v/>
      </c>
      <c r="I3957" s="8">
        <f>IF(D3957="","",VLOOKUP(D3957, RECETTES!B:G, 6, FALSE)*E3957)</f>
        <v/>
      </c>
      <c r="J3957" s="8">
        <f>IF(G3957="","",G3957*0.20)</f>
        <v/>
      </c>
      <c r="K3957" s="8">
        <f>IF(G3957="","",G3957+J3957)</f>
        <v/>
      </c>
    </row>
    <row r="3958">
      <c r="F3958" s="8" t="n"/>
      <c r="G3958" s="8">
        <f>IF(E3958="","",E3958*F3958)</f>
        <v/>
      </c>
      <c r="H3958" s="8">
        <f>IF(G3958="","",G3958-I3958)</f>
        <v/>
      </c>
      <c r="I3958" s="8">
        <f>IF(D3958="","",VLOOKUP(D3958, RECETTES!B:G, 6, FALSE)*E3958)</f>
        <v/>
      </c>
      <c r="J3958" s="8">
        <f>IF(G3958="","",G3958*0.20)</f>
        <v/>
      </c>
      <c r="K3958" s="8">
        <f>IF(G3958="","",G3958+J3958)</f>
        <v/>
      </c>
    </row>
    <row r="3959">
      <c r="F3959" s="8" t="n"/>
      <c r="G3959" s="8">
        <f>IF(E3959="","",E3959*F3959)</f>
        <v/>
      </c>
      <c r="H3959" s="8">
        <f>IF(G3959="","",G3959-I3959)</f>
        <v/>
      </c>
      <c r="I3959" s="8">
        <f>IF(D3959="","",VLOOKUP(D3959, RECETTES!B:G, 6, FALSE)*E3959)</f>
        <v/>
      </c>
      <c r="J3959" s="8">
        <f>IF(G3959="","",G3959*0.20)</f>
        <v/>
      </c>
      <c r="K3959" s="8">
        <f>IF(G3959="","",G3959+J3959)</f>
        <v/>
      </c>
    </row>
    <row r="3960">
      <c r="F3960" s="8" t="n"/>
      <c r="G3960" s="8">
        <f>IF(E3960="","",E3960*F3960)</f>
        <v/>
      </c>
      <c r="H3960" s="8">
        <f>IF(G3960="","",G3960-I3960)</f>
        <v/>
      </c>
      <c r="I3960" s="8">
        <f>IF(D3960="","",VLOOKUP(D3960, RECETTES!B:G, 6, FALSE)*E3960)</f>
        <v/>
      </c>
      <c r="J3960" s="8">
        <f>IF(G3960="","",G3960*0.20)</f>
        <v/>
      </c>
      <c r="K3960" s="8">
        <f>IF(G3960="","",G3960+J3960)</f>
        <v/>
      </c>
    </row>
    <row r="3961">
      <c r="F3961" s="8" t="n"/>
      <c r="G3961" s="8">
        <f>IF(E3961="","",E3961*F3961)</f>
        <v/>
      </c>
      <c r="H3961" s="8">
        <f>IF(G3961="","",G3961-I3961)</f>
        <v/>
      </c>
      <c r="I3961" s="8">
        <f>IF(D3961="","",VLOOKUP(D3961, RECETTES!B:G, 6, FALSE)*E3961)</f>
        <v/>
      </c>
      <c r="J3961" s="8">
        <f>IF(G3961="","",G3961*0.20)</f>
        <v/>
      </c>
      <c r="K3961" s="8">
        <f>IF(G3961="","",G3961+J3961)</f>
        <v/>
      </c>
    </row>
    <row r="3962">
      <c r="F3962" s="8" t="n"/>
      <c r="G3962" s="8">
        <f>IF(E3962="","",E3962*F3962)</f>
        <v/>
      </c>
      <c r="H3962" s="8">
        <f>IF(G3962="","",G3962-I3962)</f>
        <v/>
      </c>
      <c r="I3962" s="8">
        <f>IF(D3962="","",VLOOKUP(D3962, RECETTES!B:G, 6, FALSE)*E3962)</f>
        <v/>
      </c>
      <c r="J3962" s="8">
        <f>IF(G3962="","",G3962*0.20)</f>
        <v/>
      </c>
      <c r="K3962" s="8">
        <f>IF(G3962="","",G3962+J3962)</f>
        <v/>
      </c>
    </row>
    <row r="3963">
      <c r="F3963" s="8" t="n"/>
      <c r="G3963" s="8">
        <f>IF(E3963="","",E3963*F3963)</f>
        <v/>
      </c>
      <c r="H3963" s="8">
        <f>IF(G3963="","",G3963-I3963)</f>
        <v/>
      </c>
      <c r="I3963" s="8">
        <f>IF(D3963="","",VLOOKUP(D3963, RECETTES!B:G, 6, FALSE)*E3963)</f>
        <v/>
      </c>
      <c r="J3963" s="8">
        <f>IF(G3963="","",G3963*0.20)</f>
        <v/>
      </c>
      <c r="K3963" s="8">
        <f>IF(G3963="","",G3963+J3963)</f>
        <v/>
      </c>
    </row>
    <row r="3964">
      <c r="F3964" s="8" t="n"/>
      <c r="G3964" s="8">
        <f>IF(E3964="","",E3964*F3964)</f>
        <v/>
      </c>
      <c r="H3964" s="8">
        <f>IF(G3964="","",G3964-I3964)</f>
        <v/>
      </c>
      <c r="I3964" s="8">
        <f>IF(D3964="","",VLOOKUP(D3964, RECETTES!B:G, 6, FALSE)*E3964)</f>
        <v/>
      </c>
      <c r="J3964" s="8">
        <f>IF(G3964="","",G3964*0.20)</f>
        <v/>
      </c>
      <c r="K3964" s="8">
        <f>IF(G3964="","",G3964+J3964)</f>
        <v/>
      </c>
    </row>
    <row r="3965">
      <c r="F3965" s="8" t="n"/>
      <c r="G3965" s="8">
        <f>IF(E3965="","",E3965*F3965)</f>
        <v/>
      </c>
      <c r="H3965" s="8">
        <f>IF(G3965="","",G3965-I3965)</f>
        <v/>
      </c>
      <c r="I3965" s="8">
        <f>IF(D3965="","",VLOOKUP(D3965, RECETTES!B:G, 6, FALSE)*E3965)</f>
        <v/>
      </c>
      <c r="J3965" s="8">
        <f>IF(G3965="","",G3965*0.20)</f>
        <v/>
      </c>
      <c r="K3965" s="8">
        <f>IF(G3965="","",G3965+J3965)</f>
        <v/>
      </c>
    </row>
    <row r="3966">
      <c r="F3966" s="8" t="n"/>
      <c r="G3966" s="8">
        <f>IF(E3966="","",E3966*F3966)</f>
        <v/>
      </c>
      <c r="H3966" s="8">
        <f>IF(G3966="","",G3966-I3966)</f>
        <v/>
      </c>
      <c r="I3966" s="8">
        <f>IF(D3966="","",VLOOKUP(D3966, RECETTES!B:G, 6, FALSE)*E3966)</f>
        <v/>
      </c>
      <c r="J3966" s="8">
        <f>IF(G3966="","",G3966*0.20)</f>
        <v/>
      </c>
      <c r="K3966" s="8">
        <f>IF(G3966="","",G3966+J3966)</f>
        <v/>
      </c>
    </row>
    <row r="3967">
      <c r="F3967" s="8" t="n"/>
      <c r="G3967" s="8">
        <f>IF(E3967="","",E3967*F3967)</f>
        <v/>
      </c>
      <c r="H3967" s="8">
        <f>IF(G3967="","",G3967-I3967)</f>
        <v/>
      </c>
      <c r="I3967" s="8">
        <f>IF(D3967="","",VLOOKUP(D3967, RECETTES!B:G, 6, FALSE)*E3967)</f>
        <v/>
      </c>
      <c r="J3967" s="8">
        <f>IF(G3967="","",G3967*0.20)</f>
        <v/>
      </c>
      <c r="K3967" s="8">
        <f>IF(G3967="","",G3967+J3967)</f>
        <v/>
      </c>
    </row>
    <row r="3968">
      <c r="F3968" s="8" t="n"/>
      <c r="G3968" s="8">
        <f>IF(E3968="","",E3968*F3968)</f>
        <v/>
      </c>
      <c r="H3968" s="8">
        <f>IF(G3968="","",G3968-I3968)</f>
        <v/>
      </c>
      <c r="I3968" s="8">
        <f>IF(D3968="","",VLOOKUP(D3968, RECETTES!B:G, 6, FALSE)*E3968)</f>
        <v/>
      </c>
      <c r="J3968" s="8">
        <f>IF(G3968="","",G3968*0.20)</f>
        <v/>
      </c>
      <c r="K3968" s="8">
        <f>IF(G3968="","",G3968+J3968)</f>
        <v/>
      </c>
    </row>
    <row r="3969">
      <c r="F3969" s="8" t="n"/>
      <c r="G3969" s="8">
        <f>IF(E3969="","",E3969*F3969)</f>
        <v/>
      </c>
      <c r="H3969" s="8">
        <f>IF(G3969="","",G3969-I3969)</f>
        <v/>
      </c>
      <c r="I3969" s="8">
        <f>IF(D3969="","",VLOOKUP(D3969, RECETTES!B:G, 6, FALSE)*E3969)</f>
        <v/>
      </c>
      <c r="J3969" s="8">
        <f>IF(G3969="","",G3969*0.20)</f>
        <v/>
      </c>
      <c r="K3969" s="8">
        <f>IF(G3969="","",G3969+J3969)</f>
        <v/>
      </c>
    </row>
    <row r="3970">
      <c r="F3970" s="8" t="n"/>
      <c r="G3970" s="8">
        <f>IF(E3970="","",E3970*F3970)</f>
        <v/>
      </c>
      <c r="H3970" s="8">
        <f>IF(G3970="","",G3970-I3970)</f>
        <v/>
      </c>
      <c r="I3970" s="8">
        <f>IF(D3970="","",VLOOKUP(D3970, RECETTES!B:G, 6, FALSE)*E3970)</f>
        <v/>
      </c>
      <c r="J3970" s="8">
        <f>IF(G3970="","",G3970*0.20)</f>
        <v/>
      </c>
      <c r="K3970" s="8">
        <f>IF(G3970="","",G3970+J3970)</f>
        <v/>
      </c>
    </row>
    <row r="3971">
      <c r="F3971" s="8" t="n"/>
      <c r="G3971" s="8">
        <f>IF(E3971="","",E3971*F3971)</f>
        <v/>
      </c>
      <c r="H3971" s="8">
        <f>IF(G3971="","",G3971-I3971)</f>
        <v/>
      </c>
      <c r="I3971" s="8">
        <f>IF(D3971="","",VLOOKUP(D3971, RECETTES!B:G, 6, FALSE)*E3971)</f>
        <v/>
      </c>
      <c r="J3971" s="8">
        <f>IF(G3971="","",G3971*0.20)</f>
        <v/>
      </c>
      <c r="K3971" s="8">
        <f>IF(G3971="","",G3971+J3971)</f>
        <v/>
      </c>
    </row>
    <row r="3972">
      <c r="F3972" s="8" t="n"/>
      <c r="G3972" s="8">
        <f>IF(E3972="","",E3972*F3972)</f>
        <v/>
      </c>
      <c r="H3972" s="8">
        <f>IF(G3972="","",G3972-I3972)</f>
        <v/>
      </c>
      <c r="I3972" s="8">
        <f>IF(D3972="","",VLOOKUP(D3972, RECETTES!B:G, 6, FALSE)*E3972)</f>
        <v/>
      </c>
      <c r="J3972" s="8">
        <f>IF(G3972="","",G3972*0.20)</f>
        <v/>
      </c>
      <c r="K3972" s="8">
        <f>IF(G3972="","",G3972+J3972)</f>
        <v/>
      </c>
    </row>
    <row r="3973">
      <c r="F3973" s="8" t="n"/>
      <c r="G3973" s="8">
        <f>IF(E3973="","",E3973*F3973)</f>
        <v/>
      </c>
      <c r="H3973" s="8">
        <f>IF(G3973="","",G3973-I3973)</f>
        <v/>
      </c>
      <c r="I3973" s="8">
        <f>IF(D3973="","",VLOOKUP(D3973, RECETTES!B:G, 6, FALSE)*E3973)</f>
        <v/>
      </c>
      <c r="J3973" s="8">
        <f>IF(G3973="","",G3973*0.20)</f>
        <v/>
      </c>
      <c r="K3973" s="8">
        <f>IF(G3973="","",G3973+J3973)</f>
        <v/>
      </c>
    </row>
    <row r="3974">
      <c r="F3974" s="8" t="n"/>
      <c r="G3974" s="8">
        <f>IF(E3974="","",E3974*F3974)</f>
        <v/>
      </c>
      <c r="H3974" s="8">
        <f>IF(G3974="","",G3974-I3974)</f>
        <v/>
      </c>
      <c r="I3974" s="8">
        <f>IF(D3974="","",VLOOKUP(D3974, RECETTES!B:G, 6, FALSE)*E3974)</f>
        <v/>
      </c>
      <c r="J3974" s="8">
        <f>IF(G3974="","",G3974*0.20)</f>
        <v/>
      </c>
      <c r="K3974" s="8">
        <f>IF(G3974="","",G3974+J3974)</f>
        <v/>
      </c>
    </row>
    <row r="3975">
      <c r="F3975" s="8" t="n"/>
      <c r="G3975" s="8">
        <f>IF(E3975="","",E3975*F3975)</f>
        <v/>
      </c>
      <c r="H3975" s="8">
        <f>IF(G3975="","",G3975-I3975)</f>
        <v/>
      </c>
      <c r="I3975" s="8">
        <f>IF(D3975="","",VLOOKUP(D3975, RECETTES!B:G, 6, FALSE)*E3975)</f>
        <v/>
      </c>
      <c r="J3975" s="8">
        <f>IF(G3975="","",G3975*0.20)</f>
        <v/>
      </c>
      <c r="K3975" s="8">
        <f>IF(G3975="","",G3975+J3975)</f>
        <v/>
      </c>
    </row>
    <row r="3976">
      <c r="F3976" s="8" t="n"/>
      <c r="G3976" s="8">
        <f>IF(E3976="","",E3976*F3976)</f>
        <v/>
      </c>
      <c r="H3976" s="8">
        <f>IF(G3976="","",G3976-I3976)</f>
        <v/>
      </c>
      <c r="I3976" s="8">
        <f>IF(D3976="","",VLOOKUP(D3976, RECETTES!B:G, 6, FALSE)*E3976)</f>
        <v/>
      </c>
      <c r="J3976" s="8">
        <f>IF(G3976="","",G3976*0.20)</f>
        <v/>
      </c>
      <c r="K3976" s="8">
        <f>IF(G3976="","",G3976+J3976)</f>
        <v/>
      </c>
    </row>
    <row r="3977">
      <c r="F3977" s="8" t="n"/>
      <c r="G3977" s="8">
        <f>IF(E3977="","",E3977*F3977)</f>
        <v/>
      </c>
      <c r="H3977" s="8">
        <f>IF(G3977="","",G3977-I3977)</f>
        <v/>
      </c>
      <c r="I3977" s="8">
        <f>IF(D3977="","",VLOOKUP(D3977, RECETTES!B:G, 6, FALSE)*E3977)</f>
        <v/>
      </c>
      <c r="J3977" s="8">
        <f>IF(G3977="","",G3977*0.20)</f>
        <v/>
      </c>
      <c r="K3977" s="8">
        <f>IF(G3977="","",G3977+J3977)</f>
        <v/>
      </c>
    </row>
    <row r="3978">
      <c r="F3978" s="8" t="n"/>
      <c r="G3978" s="8">
        <f>IF(E3978="","",E3978*F3978)</f>
        <v/>
      </c>
      <c r="H3978" s="8">
        <f>IF(G3978="","",G3978-I3978)</f>
        <v/>
      </c>
      <c r="I3978" s="8">
        <f>IF(D3978="","",VLOOKUP(D3978, RECETTES!B:G, 6, FALSE)*E3978)</f>
        <v/>
      </c>
      <c r="J3978" s="8">
        <f>IF(G3978="","",G3978*0.20)</f>
        <v/>
      </c>
      <c r="K3978" s="8">
        <f>IF(G3978="","",G3978+J3978)</f>
        <v/>
      </c>
    </row>
    <row r="3979">
      <c r="F3979" s="8" t="n"/>
      <c r="G3979" s="8">
        <f>IF(E3979="","",E3979*F3979)</f>
        <v/>
      </c>
      <c r="H3979" s="8">
        <f>IF(G3979="","",G3979-I3979)</f>
        <v/>
      </c>
      <c r="I3979" s="8">
        <f>IF(D3979="","",VLOOKUP(D3979, RECETTES!B:G, 6, FALSE)*E3979)</f>
        <v/>
      </c>
      <c r="J3979" s="8">
        <f>IF(G3979="","",G3979*0.20)</f>
        <v/>
      </c>
      <c r="K3979" s="8">
        <f>IF(G3979="","",G3979+J3979)</f>
        <v/>
      </c>
    </row>
    <row r="3980">
      <c r="F3980" s="8" t="n"/>
      <c r="G3980" s="8">
        <f>IF(E3980="","",E3980*F3980)</f>
        <v/>
      </c>
      <c r="H3980" s="8">
        <f>IF(G3980="","",G3980-I3980)</f>
        <v/>
      </c>
      <c r="I3980" s="8">
        <f>IF(D3980="","",VLOOKUP(D3980, RECETTES!B:G, 6, FALSE)*E3980)</f>
        <v/>
      </c>
      <c r="J3980" s="8">
        <f>IF(G3980="","",G3980*0.20)</f>
        <v/>
      </c>
      <c r="K3980" s="8">
        <f>IF(G3980="","",G3980+J3980)</f>
        <v/>
      </c>
    </row>
    <row r="3981">
      <c r="F3981" s="8" t="n"/>
      <c r="G3981" s="8">
        <f>IF(E3981="","",E3981*F3981)</f>
        <v/>
      </c>
      <c r="H3981" s="8">
        <f>IF(G3981="","",G3981-I3981)</f>
        <v/>
      </c>
      <c r="I3981" s="8">
        <f>IF(D3981="","",VLOOKUP(D3981, RECETTES!B:G, 6, FALSE)*E3981)</f>
        <v/>
      </c>
      <c r="J3981" s="8">
        <f>IF(G3981="","",G3981*0.20)</f>
        <v/>
      </c>
      <c r="K3981" s="8">
        <f>IF(G3981="","",G3981+J3981)</f>
        <v/>
      </c>
    </row>
    <row r="3982">
      <c r="F3982" s="8" t="n"/>
      <c r="G3982" s="8">
        <f>IF(E3982="","",E3982*F3982)</f>
        <v/>
      </c>
      <c r="H3982" s="8">
        <f>IF(G3982="","",G3982-I3982)</f>
        <v/>
      </c>
      <c r="I3982" s="8">
        <f>IF(D3982="","",VLOOKUP(D3982, RECETTES!B:G, 6, FALSE)*E3982)</f>
        <v/>
      </c>
      <c r="J3982" s="8">
        <f>IF(G3982="","",G3982*0.20)</f>
        <v/>
      </c>
      <c r="K3982" s="8">
        <f>IF(G3982="","",G3982+J3982)</f>
        <v/>
      </c>
    </row>
    <row r="3983">
      <c r="F3983" s="8" t="n"/>
      <c r="G3983" s="8">
        <f>IF(E3983="","",E3983*F3983)</f>
        <v/>
      </c>
      <c r="H3983" s="8">
        <f>IF(G3983="","",G3983-I3983)</f>
        <v/>
      </c>
      <c r="I3983" s="8">
        <f>IF(D3983="","",VLOOKUP(D3983, RECETTES!B:G, 6, FALSE)*E3983)</f>
        <v/>
      </c>
      <c r="J3983" s="8">
        <f>IF(G3983="","",G3983*0.20)</f>
        <v/>
      </c>
      <c r="K3983" s="8">
        <f>IF(G3983="","",G3983+J3983)</f>
        <v/>
      </c>
    </row>
    <row r="3984">
      <c r="F3984" s="8" t="n"/>
      <c r="G3984" s="8">
        <f>IF(E3984="","",E3984*F3984)</f>
        <v/>
      </c>
      <c r="H3984" s="8">
        <f>IF(G3984="","",G3984-I3984)</f>
        <v/>
      </c>
      <c r="I3984" s="8">
        <f>IF(D3984="","",VLOOKUP(D3984, RECETTES!B:G, 6, FALSE)*E3984)</f>
        <v/>
      </c>
      <c r="J3984" s="8">
        <f>IF(G3984="","",G3984*0.20)</f>
        <v/>
      </c>
      <c r="K3984" s="8">
        <f>IF(G3984="","",G3984+J3984)</f>
        <v/>
      </c>
    </row>
    <row r="3985">
      <c r="F3985" s="8" t="n"/>
      <c r="G3985" s="8">
        <f>IF(E3985="","",E3985*F3985)</f>
        <v/>
      </c>
      <c r="H3985" s="8">
        <f>IF(G3985="","",G3985-I3985)</f>
        <v/>
      </c>
      <c r="I3985" s="8">
        <f>IF(D3985="","",VLOOKUP(D3985, RECETTES!B:G, 6, FALSE)*E3985)</f>
        <v/>
      </c>
      <c r="J3985" s="8">
        <f>IF(G3985="","",G3985*0.20)</f>
        <v/>
      </c>
      <c r="K3985" s="8">
        <f>IF(G3985="","",G3985+J3985)</f>
        <v/>
      </c>
    </row>
    <row r="3986">
      <c r="F3986" s="8" t="n"/>
      <c r="G3986" s="8">
        <f>IF(E3986="","",E3986*F3986)</f>
        <v/>
      </c>
      <c r="H3986" s="8">
        <f>IF(G3986="","",G3986-I3986)</f>
        <v/>
      </c>
      <c r="I3986" s="8">
        <f>IF(D3986="","",VLOOKUP(D3986, RECETTES!B:G, 6, FALSE)*E3986)</f>
        <v/>
      </c>
      <c r="J3986" s="8">
        <f>IF(G3986="","",G3986*0.20)</f>
        <v/>
      </c>
      <c r="K3986" s="8">
        <f>IF(G3986="","",G3986+J3986)</f>
        <v/>
      </c>
    </row>
    <row r="3987">
      <c r="F3987" s="8" t="n"/>
      <c r="G3987" s="8">
        <f>IF(E3987="","",E3987*F3987)</f>
        <v/>
      </c>
      <c r="H3987" s="8">
        <f>IF(G3987="","",G3987-I3987)</f>
        <v/>
      </c>
      <c r="I3987" s="8">
        <f>IF(D3987="","",VLOOKUP(D3987, RECETTES!B:G, 6, FALSE)*E3987)</f>
        <v/>
      </c>
      <c r="J3987" s="8">
        <f>IF(G3987="","",G3987*0.20)</f>
        <v/>
      </c>
      <c r="K3987" s="8">
        <f>IF(G3987="","",G3987+J3987)</f>
        <v/>
      </c>
    </row>
    <row r="3988">
      <c r="F3988" s="8" t="n"/>
      <c r="G3988" s="8">
        <f>IF(E3988="","",E3988*F3988)</f>
        <v/>
      </c>
      <c r="H3988" s="8">
        <f>IF(G3988="","",G3988-I3988)</f>
        <v/>
      </c>
      <c r="I3988" s="8">
        <f>IF(D3988="","",VLOOKUP(D3988, RECETTES!B:G, 6, FALSE)*E3988)</f>
        <v/>
      </c>
      <c r="J3988" s="8">
        <f>IF(G3988="","",G3988*0.20)</f>
        <v/>
      </c>
      <c r="K3988" s="8">
        <f>IF(G3988="","",G3988+J3988)</f>
        <v/>
      </c>
    </row>
    <row r="3989">
      <c r="F3989" s="8" t="n"/>
      <c r="G3989" s="8">
        <f>IF(E3989="","",E3989*F3989)</f>
        <v/>
      </c>
      <c r="H3989" s="8">
        <f>IF(G3989="","",G3989-I3989)</f>
        <v/>
      </c>
      <c r="I3989" s="8">
        <f>IF(D3989="","",VLOOKUP(D3989, RECETTES!B:G, 6, FALSE)*E3989)</f>
        <v/>
      </c>
      <c r="J3989" s="8">
        <f>IF(G3989="","",G3989*0.20)</f>
        <v/>
      </c>
      <c r="K3989" s="8">
        <f>IF(G3989="","",G3989+J3989)</f>
        <v/>
      </c>
    </row>
    <row r="3990">
      <c r="F3990" s="8" t="n"/>
      <c r="G3990" s="8">
        <f>IF(E3990="","",E3990*F3990)</f>
        <v/>
      </c>
      <c r="H3990" s="8">
        <f>IF(G3990="","",G3990-I3990)</f>
        <v/>
      </c>
      <c r="I3990" s="8">
        <f>IF(D3990="","",VLOOKUP(D3990, RECETTES!B:G, 6, FALSE)*E3990)</f>
        <v/>
      </c>
      <c r="J3990" s="8">
        <f>IF(G3990="","",G3990*0.20)</f>
        <v/>
      </c>
      <c r="K3990" s="8">
        <f>IF(G3990="","",G3990+J3990)</f>
        <v/>
      </c>
    </row>
    <row r="3991">
      <c r="F3991" s="8" t="n"/>
      <c r="G3991" s="8">
        <f>IF(E3991="","",E3991*F3991)</f>
        <v/>
      </c>
      <c r="H3991" s="8">
        <f>IF(G3991="","",G3991-I3991)</f>
        <v/>
      </c>
      <c r="I3991" s="8">
        <f>IF(D3991="","",VLOOKUP(D3991, RECETTES!B:G, 6, FALSE)*E3991)</f>
        <v/>
      </c>
      <c r="J3991" s="8">
        <f>IF(G3991="","",G3991*0.20)</f>
        <v/>
      </c>
      <c r="K3991" s="8">
        <f>IF(G3991="","",G3991+J3991)</f>
        <v/>
      </c>
    </row>
    <row r="3992">
      <c r="F3992" s="8" t="n"/>
      <c r="G3992" s="8">
        <f>IF(E3992="","",E3992*F3992)</f>
        <v/>
      </c>
      <c r="H3992" s="8">
        <f>IF(G3992="","",G3992-I3992)</f>
        <v/>
      </c>
      <c r="I3992" s="8">
        <f>IF(D3992="","",VLOOKUP(D3992, RECETTES!B:G, 6, FALSE)*E3992)</f>
        <v/>
      </c>
      <c r="J3992" s="8">
        <f>IF(G3992="","",G3992*0.20)</f>
        <v/>
      </c>
      <c r="K3992" s="8">
        <f>IF(G3992="","",G3992+J3992)</f>
        <v/>
      </c>
    </row>
    <row r="3993">
      <c r="F3993" s="8" t="n"/>
      <c r="G3993" s="8">
        <f>IF(E3993="","",E3993*F3993)</f>
        <v/>
      </c>
      <c r="H3993" s="8">
        <f>IF(G3993="","",G3993-I3993)</f>
        <v/>
      </c>
      <c r="I3993" s="8">
        <f>IF(D3993="","",VLOOKUP(D3993, RECETTES!B:G, 6, FALSE)*E3993)</f>
        <v/>
      </c>
      <c r="J3993" s="8">
        <f>IF(G3993="","",G3993*0.20)</f>
        <v/>
      </c>
      <c r="K3993" s="8">
        <f>IF(G3993="","",G3993+J3993)</f>
        <v/>
      </c>
    </row>
    <row r="3994">
      <c r="F3994" s="8" t="n"/>
      <c r="G3994" s="8">
        <f>IF(E3994="","",E3994*F3994)</f>
        <v/>
      </c>
      <c r="H3994" s="8">
        <f>IF(G3994="","",G3994-I3994)</f>
        <v/>
      </c>
      <c r="I3994" s="8">
        <f>IF(D3994="","",VLOOKUP(D3994, RECETTES!B:G, 6, FALSE)*E3994)</f>
        <v/>
      </c>
      <c r="J3994" s="8">
        <f>IF(G3994="","",G3994*0.20)</f>
        <v/>
      </c>
      <c r="K3994" s="8">
        <f>IF(G3994="","",G3994+J3994)</f>
        <v/>
      </c>
    </row>
    <row r="3995">
      <c r="F3995" s="8" t="n"/>
      <c r="G3995" s="8">
        <f>IF(E3995="","",E3995*F3995)</f>
        <v/>
      </c>
      <c r="H3995" s="8">
        <f>IF(G3995="","",G3995-I3995)</f>
        <v/>
      </c>
      <c r="I3995" s="8">
        <f>IF(D3995="","",VLOOKUP(D3995, RECETTES!B:G, 6, FALSE)*E3995)</f>
        <v/>
      </c>
      <c r="J3995" s="8">
        <f>IF(G3995="","",G3995*0.20)</f>
        <v/>
      </c>
      <c r="K3995" s="8">
        <f>IF(G3995="","",G3995+J3995)</f>
        <v/>
      </c>
    </row>
    <row r="3996">
      <c r="F3996" s="8" t="n"/>
      <c r="G3996" s="8">
        <f>IF(E3996="","",E3996*F3996)</f>
        <v/>
      </c>
      <c r="H3996" s="8">
        <f>IF(G3996="","",G3996-I3996)</f>
        <v/>
      </c>
      <c r="I3996" s="8">
        <f>IF(D3996="","",VLOOKUP(D3996, RECETTES!B:G, 6, FALSE)*E3996)</f>
        <v/>
      </c>
      <c r="J3996" s="8">
        <f>IF(G3996="","",G3996*0.20)</f>
        <v/>
      </c>
      <c r="K3996" s="8">
        <f>IF(G3996="","",G3996+J3996)</f>
        <v/>
      </c>
    </row>
    <row r="3997">
      <c r="F3997" s="8" t="n"/>
      <c r="G3997" s="8">
        <f>IF(E3997="","",E3997*F3997)</f>
        <v/>
      </c>
      <c r="H3997" s="8">
        <f>IF(G3997="","",G3997-I3997)</f>
        <v/>
      </c>
      <c r="I3997" s="8">
        <f>IF(D3997="","",VLOOKUP(D3997, RECETTES!B:G, 6, FALSE)*E3997)</f>
        <v/>
      </c>
      <c r="J3997" s="8">
        <f>IF(G3997="","",G3997*0.20)</f>
        <v/>
      </c>
      <c r="K3997" s="8">
        <f>IF(G3997="","",G3997+J3997)</f>
        <v/>
      </c>
    </row>
    <row r="3998">
      <c r="F3998" s="8" t="n"/>
      <c r="G3998" s="8">
        <f>IF(E3998="","",E3998*F3998)</f>
        <v/>
      </c>
      <c r="H3998" s="8">
        <f>IF(G3998="","",G3998-I3998)</f>
        <v/>
      </c>
      <c r="I3998" s="8">
        <f>IF(D3998="","",VLOOKUP(D3998, RECETTES!B:G, 6, FALSE)*E3998)</f>
        <v/>
      </c>
      <c r="J3998" s="8">
        <f>IF(G3998="","",G3998*0.20)</f>
        <v/>
      </c>
      <c r="K3998" s="8">
        <f>IF(G3998="","",G3998+J3998)</f>
        <v/>
      </c>
    </row>
    <row r="3999">
      <c r="F3999" s="8" t="n"/>
      <c r="G3999" s="8">
        <f>IF(E3999="","",E3999*F3999)</f>
        <v/>
      </c>
      <c r="H3999" s="8">
        <f>IF(G3999="","",G3999-I3999)</f>
        <v/>
      </c>
      <c r="I3999" s="8">
        <f>IF(D3999="","",VLOOKUP(D3999, RECETTES!B:G, 6, FALSE)*E3999)</f>
        <v/>
      </c>
      <c r="J3999" s="8">
        <f>IF(G3999="","",G3999*0.20)</f>
        <v/>
      </c>
      <c r="K3999" s="8">
        <f>IF(G3999="","",G3999+J3999)</f>
        <v/>
      </c>
    </row>
    <row r="4000">
      <c r="F4000" s="8" t="n"/>
      <c r="G4000" s="8">
        <f>IF(E4000="","",E4000*F4000)</f>
        <v/>
      </c>
      <c r="H4000" s="8">
        <f>IF(G4000="","",G4000-I4000)</f>
        <v/>
      </c>
      <c r="I4000" s="8">
        <f>IF(D4000="","",VLOOKUP(D4000, RECETTES!B:G, 6, FALSE)*E4000)</f>
        <v/>
      </c>
      <c r="J4000" s="8">
        <f>IF(G4000="","",G4000*0.20)</f>
        <v/>
      </c>
      <c r="K4000" s="8">
        <f>IF(G4000="","",G4000+J4000)</f>
        <v/>
      </c>
    </row>
    <row r="4001">
      <c r="F4001" s="8" t="n"/>
      <c r="G4001" s="8">
        <f>IF(E4001="","",E4001*F4001)</f>
        <v/>
      </c>
      <c r="H4001" s="8">
        <f>IF(G4001="","",G4001-I4001)</f>
        <v/>
      </c>
      <c r="I4001" s="8">
        <f>IF(D4001="","",VLOOKUP(D4001, RECETTES!B:G, 6, FALSE)*E4001)</f>
        <v/>
      </c>
      <c r="J4001" s="8">
        <f>IF(G4001="","",G4001*0.20)</f>
        <v/>
      </c>
      <c r="K4001" s="8">
        <f>IF(G4001="","",G4001+J4001)</f>
        <v/>
      </c>
    </row>
    <row r="4002">
      <c r="F4002" s="8" t="n"/>
      <c r="G4002" s="8">
        <f>IF(E4002="","",E4002*F4002)</f>
        <v/>
      </c>
      <c r="H4002" s="8">
        <f>IF(G4002="","",G4002-I4002)</f>
        <v/>
      </c>
      <c r="I4002" s="8">
        <f>IF(D4002="","",VLOOKUP(D4002, RECETTES!B:G, 6, FALSE)*E4002)</f>
        <v/>
      </c>
      <c r="J4002" s="8">
        <f>IF(G4002="","",G4002*0.20)</f>
        <v/>
      </c>
      <c r="K4002" s="8">
        <f>IF(G4002="","",G4002+J4002)</f>
        <v/>
      </c>
    </row>
    <row r="4003">
      <c r="F4003" s="8" t="n"/>
      <c r="G4003" s="8">
        <f>IF(E4003="","",E4003*F4003)</f>
        <v/>
      </c>
      <c r="H4003" s="8">
        <f>IF(G4003="","",G4003-I4003)</f>
        <v/>
      </c>
      <c r="I4003" s="8">
        <f>IF(D4003="","",VLOOKUP(D4003, RECETTES!B:G, 6, FALSE)*E4003)</f>
        <v/>
      </c>
      <c r="J4003" s="8">
        <f>IF(G4003="","",G4003*0.20)</f>
        <v/>
      </c>
      <c r="K4003" s="8">
        <f>IF(G4003="","",G4003+J4003)</f>
        <v/>
      </c>
    </row>
    <row r="4004">
      <c r="F4004" s="8" t="n"/>
      <c r="G4004" s="8">
        <f>IF(E4004="","",E4004*F4004)</f>
        <v/>
      </c>
      <c r="H4004" s="8">
        <f>IF(G4004="","",G4004-I4004)</f>
        <v/>
      </c>
      <c r="I4004" s="8">
        <f>IF(D4004="","",VLOOKUP(D4004, RECETTES!B:G, 6, FALSE)*E4004)</f>
        <v/>
      </c>
      <c r="J4004" s="8">
        <f>IF(G4004="","",G4004*0.20)</f>
        <v/>
      </c>
      <c r="K4004" s="8">
        <f>IF(G4004="","",G4004+J4004)</f>
        <v/>
      </c>
    </row>
    <row r="4005">
      <c r="F4005" s="8" t="n"/>
      <c r="G4005" s="8">
        <f>IF(E4005="","",E4005*F4005)</f>
        <v/>
      </c>
      <c r="H4005" s="8">
        <f>IF(G4005="","",G4005-I4005)</f>
        <v/>
      </c>
      <c r="I4005" s="8">
        <f>IF(D4005="","",VLOOKUP(D4005, RECETTES!B:G, 6, FALSE)*E4005)</f>
        <v/>
      </c>
      <c r="J4005" s="8">
        <f>IF(G4005="","",G4005*0.20)</f>
        <v/>
      </c>
      <c r="K4005" s="8">
        <f>IF(G4005="","",G4005+J4005)</f>
        <v/>
      </c>
    </row>
    <row r="4006">
      <c r="F4006" s="8" t="n"/>
      <c r="G4006" s="8">
        <f>IF(E4006="","",E4006*F4006)</f>
        <v/>
      </c>
      <c r="H4006" s="8">
        <f>IF(G4006="","",G4006-I4006)</f>
        <v/>
      </c>
      <c r="I4006" s="8">
        <f>IF(D4006="","",VLOOKUP(D4006, RECETTES!B:G, 6, FALSE)*E4006)</f>
        <v/>
      </c>
      <c r="J4006" s="8">
        <f>IF(G4006="","",G4006*0.20)</f>
        <v/>
      </c>
      <c r="K4006" s="8">
        <f>IF(G4006="","",G4006+J4006)</f>
        <v/>
      </c>
    </row>
    <row r="4007">
      <c r="F4007" s="8" t="n"/>
      <c r="G4007" s="8">
        <f>IF(E4007="","",E4007*F4007)</f>
        <v/>
      </c>
      <c r="H4007" s="8">
        <f>IF(G4007="","",G4007-I4007)</f>
        <v/>
      </c>
      <c r="I4007" s="8">
        <f>IF(D4007="","",VLOOKUP(D4007, RECETTES!B:G, 6, FALSE)*E4007)</f>
        <v/>
      </c>
      <c r="J4007" s="8">
        <f>IF(G4007="","",G4007*0.20)</f>
        <v/>
      </c>
      <c r="K4007" s="8">
        <f>IF(G4007="","",G4007+J4007)</f>
        <v/>
      </c>
    </row>
    <row r="4008">
      <c r="F4008" s="8" t="n"/>
      <c r="G4008" s="8">
        <f>IF(E4008="","",E4008*F4008)</f>
        <v/>
      </c>
      <c r="H4008" s="8">
        <f>IF(G4008="","",G4008-I4008)</f>
        <v/>
      </c>
      <c r="I4008" s="8">
        <f>IF(D4008="","",VLOOKUP(D4008, RECETTES!B:G, 6, FALSE)*E4008)</f>
        <v/>
      </c>
      <c r="J4008" s="8">
        <f>IF(G4008="","",G4008*0.20)</f>
        <v/>
      </c>
      <c r="K4008" s="8">
        <f>IF(G4008="","",G4008+J4008)</f>
        <v/>
      </c>
    </row>
    <row r="4009">
      <c r="F4009" s="8" t="n"/>
      <c r="G4009" s="8">
        <f>IF(E4009="","",E4009*F4009)</f>
        <v/>
      </c>
      <c r="H4009" s="8">
        <f>IF(G4009="","",G4009-I4009)</f>
        <v/>
      </c>
      <c r="I4009" s="8">
        <f>IF(D4009="","",VLOOKUP(D4009, RECETTES!B:G, 6, FALSE)*E4009)</f>
        <v/>
      </c>
      <c r="J4009" s="8">
        <f>IF(G4009="","",G4009*0.20)</f>
        <v/>
      </c>
      <c r="K4009" s="8">
        <f>IF(G4009="","",G4009+J4009)</f>
        <v/>
      </c>
    </row>
    <row r="4010">
      <c r="F4010" s="8" t="n"/>
      <c r="G4010" s="8">
        <f>IF(E4010="","",E4010*F4010)</f>
        <v/>
      </c>
      <c r="H4010" s="8">
        <f>IF(G4010="","",G4010-I4010)</f>
        <v/>
      </c>
      <c r="I4010" s="8">
        <f>IF(D4010="","",VLOOKUP(D4010, RECETTES!B:G, 6, FALSE)*E4010)</f>
        <v/>
      </c>
      <c r="J4010" s="8">
        <f>IF(G4010="","",G4010*0.20)</f>
        <v/>
      </c>
      <c r="K4010" s="8">
        <f>IF(G4010="","",G4010+J4010)</f>
        <v/>
      </c>
    </row>
    <row r="4011">
      <c r="F4011" s="8" t="n"/>
      <c r="G4011" s="8">
        <f>IF(E4011="","",E4011*F4011)</f>
        <v/>
      </c>
      <c r="H4011" s="8">
        <f>IF(G4011="","",G4011-I4011)</f>
        <v/>
      </c>
      <c r="I4011" s="8">
        <f>IF(D4011="","",VLOOKUP(D4011, RECETTES!B:G, 6, FALSE)*E4011)</f>
        <v/>
      </c>
      <c r="J4011" s="8">
        <f>IF(G4011="","",G4011*0.20)</f>
        <v/>
      </c>
      <c r="K4011" s="8">
        <f>IF(G4011="","",G4011+J4011)</f>
        <v/>
      </c>
    </row>
    <row r="4012">
      <c r="F4012" s="8" t="n"/>
      <c r="G4012" s="8">
        <f>IF(E4012="","",E4012*F4012)</f>
        <v/>
      </c>
      <c r="H4012" s="8">
        <f>IF(G4012="","",G4012-I4012)</f>
        <v/>
      </c>
      <c r="I4012" s="8">
        <f>IF(D4012="","",VLOOKUP(D4012, RECETTES!B:G, 6, FALSE)*E4012)</f>
        <v/>
      </c>
      <c r="J4012" s="8">
        <f>IF(G4012="","",G4012*0.20)</f>
        <v/>
      </c>
      <c r="K4012" s="8">
        <f>IF(G4012="","",G4012+J4012)</f>
        <v/>
      </c>
    </row>
    <row r="4013">
      <c r="F4013" s="8" t="n"/>
      <c r="G4013" s="8">
        <f>IF(E4013="","",E4013*F4013)</f>
        <v/>
      </c>
      <c r="H4013" s="8">
        <f>IF(G4013="","",G4013-I4013)</f>
        <v/>
      </c>
      <c r="I4013" s="8">
        <f>IF(D4013="","",VLOOKUP(D4013, RECETTES!B:G, 6, FALSE)*E4013)</f>
        <v/>
      </c>
      <c r="J4013" s="8">
        <f>IF(G4013="","",G4013*0.20)</f>
        <v/>
      </c>
      <c r="K4013" s="8">
        <f>IF(G4013="","",G4013+J4013)</f>
        <v/>
      </c>
    </row>
    <row r="4014">
      <c r="F4014" s="8" t="n"/>
      <c r="G4014" s="8">
        <f>IF(E4014="","",E4014*F4014)</f>
        <v/>
      </c>
      <c r="H4014" s="8">
        <f>IF(G4014="","",G4014-I4014)</f>
        <v/>
      </c>
      <c r="I4014" s="8">
        <f>IF(D4014="","",VLOOKUP(D4014, RECETTES!B:G, 6, FALSE)*E4014)</f>
        <v/>
      </c>
      <c r="J4014" s="8">
        <f>IF(G4014="","",G4014*0.20)</f>
        <v/>
      </c>
      <c r="K4014" s="8">
        <f>IF(G4014="","",G4014+J4014)</f>
        <v/>
      </c>
    </row>
    <row r="4015">
      <c r="F4015" s="8" t="n"/>
      <c r="G4015" s="8">
        <f>IF(E4015="","",E4015*F4015)</f>
        <v/>
      </c>
      <c r="H4015" s="8">
        <f>IF(G4015="","",G4015-I4015)</f>
        <v/>
      </c>
      <c r="I4015" s="8">
        <f>IF(D4015="","",VLOOKUP(D4015, RECETTES!B:G, 6, FALSE)*E4015)</f>
        <v/>
      </c>
      <c r="J4015" s="8">
        <f>IF(G4015="","",G4015*0.20)</f>
        <v/>
      </c>
      <c r="K4015" s="8">
        <f>IF(G4015="","",G4015+J4015)</f>
        <v/>
      </c>
    </row>
    <row r="4016">
      <c r="F4016" s="8" t="n"/>
      <c r="G4016" s="8">
        <f>IF(E4016="","",E4016*F4016)</f>
        <v/>
      </c>
      <c r="H4016" s="8">
        <f>IF(G4016="","",G4016-I4016)</f>
        <v/>
      </c>
      <c r="I4016" s="8">
        <f>IF(D4016="","",VLOOKUP(D4016, RECETTES!B:G, 6, FALSE)*E4016)</f>
        <v/>
      </c>
      <c r="J4016" s="8">
        <f>IF(G4016="","",G4016*0.20)</f>
        <v/>
      </c>
      <c r="K4016" s="8">
        <f>IF(G4016="","",G4016+J4016)</f>
        <v/>
      </c>
    </row>
    <row r="4017">
      <c r="F4017" s="8" t="n"/>
      <c r="G4017" s="8">
        <f>IF(E4017="","",E4017*F4017)</f>
        <v/>
      </c>
      <c r="H4017" s="8">
        <f>IF(G4017="","",G4017-I4017)</f>
        <v/>
      </c>
      <c r="I4017" s="8">
        <f>IF(D4017="","",VLOOKUP(D4017, RECETTES!B:G, 6, FALSE)*E4017)</f>
        <v/>
      </c>
      <c r="J4017" s="8">
        <f>IF(G4017="","",G4017*0.20)</f>
        <v/>
      </c>
      <c r="K4017" s="8">
        <f>IF(G4017="","",G4017+J4017)</f>
        <v/>
      </c>
    </row>
    <row r="4018">
      <c r="F4018" s="8" t="n"/>
      <c r="G4018" s="8">
        <f>IF(E4018="","",E4018*F4018)</f>
        <v/>
      </c>
      <c r="H4018" s="8">
        <f>IF(G4018="","",G4018-I4018)</f>
        <v/>
      </c>
      <c r="I4018" s="8">
        <f>IF(D4018="","",VLOOKUP(D4018, RECETTES!B:G, 6, FALSE)*E4018)</f>
        <v/>
      </c>
      <c r="J4018" s="8">
        <f>IF(G4018="","",G4018*0.20)</f>
        <v/>
      </c>
      <c r="K4018" s="8">
        <f>IF(G4018="","",G4018+J4018)</f>
        <v/>
      </c>
    </row>
    <row r="4019">
      <c r="F4019" s="8" t="n"/>
      <c r="G4019" s="8">
        <f>IF(E4019="","",E4019*F4019)</f>
        <v/>
      </c>
      <c r="H4019" s="8">
        <f>IF(G4019="","",G4019-I4019)</f>
        <v/>
      </c>
      <c r="I4019" s="8">
        <f>IF(D4019="","",VLOOKUP(D4019, RECETTES!B:G, 6, FALSE)*E4019)</f>
        <v/>
      </c>
      <c r="J4019" s="8">
        <f>IF(G4019="","",G4019*0.20)</f>
        <v/>
      </c>
      <c r="K4019" s="8">
        <f>IF(G4019="","",G4019+J4019)</f>
        <v/>
      </c>
    </row>
    <row r="4020">
      <c r="F4020" s="8" t="n"/>
      <c r="G4020" s="8">
        <f>IF(E4020="","",E4020*F4020)</f>
        <v/>
      </c>
      <c r="H4020" s="8">
        <f>IF(G4020="","",G4020-I4020)</f>
        <v/>
      </c>
      <c r="I4020" s="8">
        <f>IF(D4020="","",VLOOKUP(D4020, RECETTES!B:G, 6, FALSE)*E4020)</f>
        <v/>
      </c>
      <c r="J4020" s="8">
        <f>IF(G4020="","",G4020*0.20)</f>
        <v/>
      </c>
      <c r="K4020" s="8">
        <f>IF(G4020="","",G4020+J4020)</f>
        <v/>
      </c>
    </row>
    <row r="4021">
      <c r="F4021" s="8" t="n"/>
      <c r="G4021" s="8">
        <f>IF(E4021="","",E4021*F4021)</f>
        <v/>
      </c>
      <c r="H4021" s="8">
        <f>IF(G4021="","",G4021-I4021)</f>
        <v/>
      </c>
      <c r="I4021" s="8">
        <f>IF(D4021="","",VLOOKUP(D4021, RECETTES!B:G, 6, FALSE)*E4021)</f>
        <v/>
      </c>
      <c r="J4021" s="8">
        <f>IF(G4021="","",G4021*0.20)</f>
        <v/>
      </c>
      <c r="K4021" s="8">
        <f>IF(G4021="","",G4021+J4021)</f>
        <v/>
      </c>
    </row>
    <row r="4022">
      <c r="F4022" s="8" t="n"/>
      <c r="G4022" s="8">
        <f>IF(E4022="","",E4022*F4022)</f>
        <v/>
      </c>
      <c r="H4022" s="8">
        <f>IF(G4022="","",G4022-I4022)</f>
        <v/>
      </c>
      <c r="I4022" s="8">
        <f>IF(D4022="","",VLOOKUP(D4022, RECETTES!B:G, 6, FALSE)*E4022)</f>
        <v/>
      </c>
      <c r="J4022" s="8">
        <f>IF(G4022="","",G4022*0.20)</f>
        <v/>
      </c>
      <c r="K4022" s="8">
        <f>IF(G4022="","",G4022+J4022)</f>
        <v/>
      </c>
    </row>
    <row r="4023">
      <c r="F4023" s="8" t="n"/>
      <c r="G4023" s="8">
        <f>IF(E4023="","",E4023*F4023)</f>
        <v/>
      </c>
      <c r="H4023" s="8">
        <f>IF(G4023="","",G4023-I4023)</f>
        <v/>
      </c>
      <c r="I4023" s="8">
        <f>IF(D4023="","",VLOOKUP(D4023, RECETTES!B:G, 6, FALSE)*E4023)</f>
        <v/>
      </c>
      <c r="J4023" s="8">
        <f>IF(G4023="","",G4023*0.20)</f>
        <v/>
      </c>
      <c r="K4023" s="8">
        <f>IF(G4023="","",G4023+J4023)</f>
        <v/>
      </c>
    </row>
    <row r="4024">
      <c r="F4024" s="8" t="n"/>
      <c r="G4024" s="8">
        <f>IF(E4024="","",E4024*F4024)</f>
        <v/>
      </c>
      <c r="H4024" s="8">
        <f>IF(G4024="","",G4024-I4024)</f>
        <v/>
      </c>
      <c r="I4024" s="8">
        <f>IF(D4024="","",VLOOKUP(D4024, RECETTES!B:G, 6, FALSE)*E4024)</f>
        <v/>
      </c>
      <c r="J4024" s="8">
        <f>IF(G4024="","",G4024*0.20)</f>
        <v/>
      </c>
      <c r="K4024" s="8">
        <f>IF(G4024="","",G4024+J4024)</f>
        <v/>
      </c>
    </row>
    <row r="4025">
      <c r="F4025" s="8" t="n"/>
      <c r="G4025" s="8">
        <f>IF(E4025="","",E4025*F4025)</f>
        <v/>
      </c>
      <c r="H4025" s="8">
        <f>IF(G4025="","",G4025-I4025)</f>
        <v/>
      </c>
      <c r="I4025" s="8">
        <f>IF(D4025="","",VLOOKUP(D4025, RECETTES!B:G, 6, FALSE)*E4025)</f>
        <v/>
      </c>
      <c r="J4025" s="8">
        <f>IF(G4025="","",G4025*0.20)</f>
        <v/>
      </c>
      <c r="K4025" s="8">
        <f>IF(G4025="","",G4025+J4025)</f>
        <v/>
      </c>
    </row>
    <row r="4026">
      <c r="F4026" s="8" t="n"/>
      <c r="G4026" s="8">
        <f>IF(E4026="","",E4026*F4026)</f>
        <v/>
      </c>
      <c r="H4026" s="8">
        <f>IF(G4026="","",G4026-I4026)</f>
        <v/>
      </c>
      <c r="I4026" s="8">
        <f>IF(D4026="","",VLOOKUP(D4026, RECETTES!B:G, 6, FALSE)*E4026)</f>
        <v/>
      </c>
      <c r="J4026" s="8">
        <f>IF(G4026="","",G4026*0.20)</f>
        <v/>
      </c>
      <c r="K4026" s="8">
        <f>IF(G4026="","",G4026+J4026)</f>
        <v/>
      </c>
    </row>
    <row r="4027">
      <c r="F4027" s="8" t="n"/>
      <c r="G4027" s="8">
        <f>IF(E4027="","",E4027*F4027)</f>
        <v/>
      </c>
      <c r="H4027" s="8">
        <f>IF(G4027="","",G4027-I4027)</f>
        <v/>
      </c>
      <c r="I4027" s="8">
        <f>IF(D4027="","",VLOOKUP(D4027, RECETTES!B:G, 6, FALSE)*E4027)</f>
        <v/>
      </c>
      <c r="J4027" s="8">
        <f>IF(G4027="","",G4027*0.20)</f>
        <v/>
      </c>
      <c r="K4027" s="8">
        <f>IF(G4027="","",G4027+J4027)</f>
        <v/>
      </c>
    </row>
    <row r="4028">
      <c r="F4028" s="8" t="n"/>
      <c r="G4028" s="8">
        <f>IF(E4028="","",E4028*F4028)</f>
        <v/>
      </c>
      <c r="H4028" s="8">
        <f>IF(G4028="","",G4028-I4028)</f>
        <v/>
      </c>
      <c r="I4028" s="8">
        <f>IF(D4028="","",VLOOKUP(D4028, RECETTES!B:G, 6, FALSE)*E4028)</f>
        <v/>
      </c>
      <c r="J4028" s="8">
        <f>IF(G4028="","",G4028*0.20)</f>
        <v/>
      </c>
      <c r="K4028" s="8">
        <f>IF(G4028="","",G4028+J4028)</f>
        <v/>
      </c>
    </row>
    <row r="4029">
      <c r="F4029" s="8" t="n"/>
      <c r="G4029" s="8">
        <f>IF(E4029="","",E4029*F4029)</f>
        <v/>
      </c>
      <c r="H4029" s="8">
        <f>IF(G4029="","",G4029-I4029)</f>
        <v/>
      </c>
      <c r="I4029" s="8">
        <f>IF(D4029="","",VLOOKUP(D4029, RECETTES!B:G, 6, FALSE)*E4029)</f>
        <v/>
      </c>
      <c r="J4029" s="8">
        <f>IF(G4029="","",G4029*0.20)</f>
        <v/>
      </c>
      <c r="K4029" s="8">
        <f>IF(G4029="","",G4029+J4029)</f>
        <v/>
      </c>
    </row>
    <row r="4030">
      <c r="F4030" s="8" t="n"/>
      <c r="G4030" s="8">
        <f>IF(E4030="","",E4030*F4030)</f>
        <v/>
      </c>
      <c r="H4030" s="8">
        <f>IF(G4030="","",G4030-I4030)</f>
        <v/>
      </c>
      <c r="I4030" s="8">
        <f>IF(D4030="","",VLOOKUP(D4030, RECETTES!B:G, 6, FALSE)*E4030)</f>
        <v/>
      </c>
      <c r="J4030" s="8">
        <f>IF(G4030="","",G4030*0.20)</f>
        <v/>
      </c>
      <c r="K4030" s="8">
        <f>IF(G4030="","",G4030+J4030)</f>
        <v/>
      </c>
    </row>
    <row r="4031">
      <c r="F4031" s="8" t="n"/>
      <c r="G4031" s="8">
        <f>IF(E4031="","",E4031*F4031)</f>
        <v/>
      </c>
      <c r="H4031" s="8">
        <f>IF(G4031="","",G4031-I4031)</f>
        <v/>
      </c>
      <c r="I4031" s="8">
        <f>IF(D4031="","",VLOOKUP(D4031, RECETTES!B:G, 6, FALSE)*E4031)</f>
        <v/>
      </c>
      <c r="J4031" s="8">
        <f>IF(G4031="","",G4031*0.20)</f>
        <v/>
      </c>
      <c r="K4031" s="8">
        <f>IF(G4031="","",G4031+J4031)</f>
        <v/>
      </c>
    </row>
    <row r="4032">
      <c r="F4032" s="8" t="n"/>
      <c r="G4032" s="8">
        <f>IF(E4032="","",E4032*F4032)</f>
        <v/>
      </c>
      <c r="H4032" s="8">
        <f>IF(G4032="","",G4032-I4032)</f>
        <v/>
      </c>
      <c r="I4032" s="8">
        <f>IF(D4032="","",VLOOKUP(D4032, RECETTES!B:G, 6, FALSE)*E4032)</f>
        <v/>
      </c>
      <c r="J4032" s="8">
        <f>IF(G4032="","",G4032*0.20)</f>
        <v/>
      </c>
      <c r="K4032" s="8">
        <f>IF(G4032="","",G4032+J4032)</f>
        <v/>
      </c>
    </row>
    <row r="4033">
      <c r="F4033" s="8" t="n"/>
      <c r="G4033" s="8">
        <f>IF(E4033="","",E4033*F4033)</f>
        <v/>
      </c>
      <c r="H4033" s="8">
        <f>IF(G4033="","",G4033-I4033)</f>
        <v/>
      </c>
      <c r="I4033" s="8">
        <f>IF(D4033="","",VLOOKUP(D4033, RECETTES!B:G, 6, FALSE)*E4033)</f>
        <v/>
      </c>
      <c r="J4033" s="8">
        <f>IF(G4033="","",G4033*0.20)</f>
        <v/>
      </c>
      <c r="K4033" s="8">
        <f>IF(G4033="","",G4033+J4033)</f>
        <v/>
      </c>
    </row>
    <row r="4034">
      <c r="F4034" s="8" t="n"/>
      <c r="G4034" s="8">
        <f>IF(E4034="","",E4034*F4034)</f>
        <v/>
      </c>
      <c r="H4034" s="8">
        <f>IF(G4034="","",G4034-I4034)</f>
        <v/>
      </c>
      <c r="I4034" s="8">
        <f>IF(D4034="","",VLOOKUP(D4034, RECETTES!B:G, 6, FALSE)*E4034)</f>
        <v/>
      </c>
      <c r="J4034" s="8">
        <f>IF(G4034="","",G4034*0.20)</f>
        <v/>
      </c>
      <c r="K4034" s="8">
        <f>IF(G4034="","",G4034+J4034)</f>
        <v/>
      </c>
    </row>
    <row r="4035">
      <c r="F4035" s="8" t="n"/>
      <c r="G4035" s="8">
        <f>IF(E4035="","",E4035*F4035)</f>
        <v/>
      </c>
      <c r="H4035" s="8">
        <f>IF(G4035="","",G4035-I4035)</f>
        <v/>
      </c>
      <c r="I4035" s="8">
        <f>IF(D4035="","",VLOOKUP(D4035, RECETTES!B:G, 6, FALSE)*E4035)</f>
        <v/>
      </c>
      <c r="J4035" s="8">
        <f>IF(G4035="","",G4035*0.20)</f>
        <v/>
      </c>
      <c r="K4035" s="8">
        <f>IF(G4035="","",G4035+J4035)</f>
        <v/>
      </c>
    </row>
    <row r="4036">
      <c r="F4036" s="8" t="n"/>
      <c r="G4036" s="8">
        <f>IF(E4036="","",E4036*F4036)</f>
        <v/>
      </c>
      <c r="H4036" s="8">
        <f>IF(G4036="","",G4036-I4036)</f>
        <v/>
      </c>
      <c r="I4036" s="8">
        <f>IF(D4036="","",VLOOKUP(D4036, RECETTES!B:G, 6, FALSE)*E4036)</f>
        <v/>
      </c>
      <c r="J4036" s="8">
        <f>IF(G4036="","",G4036*0.20)</f>
        <v/>
      </c>
      <c r="K4036" s="8">
        <f>IF(G4036="","",G4036+J4036)</f>
        <v/>
      </c>
    </row>
    <row r="4037">
      <c r="F4037" s="8" t="n"/>
      <c r="G4037" s="8">
        <f>IF(E4037="","",E4037*F4037)</f>
        <v/>
      </c>
      <c r="H4037" s="8">
        <f>IF(G4037="","",G4037-I4037)</f>
        <v/>
      </c>
      <c r="I4037" s="8">
        <f>IF(D4037="","",VLOOKUP(D4037, RECETTES!B:G, 6, FALSE)*E4037)</f>
        <v/>
      </c>
      <c r="J4037" s="8">
        <f>IF(G4037="","",G4037*0.20)</f>
        <v/>
      </c>
      <c r="K4037" s="8">
        <f>IF(G4037="","",G4037+J4037)</f>
        <v/>
      </c>
    </row>
    <row r="4038">
      <c r="F4038" s="8" t="n"/>
      <c r="G4038" s="8">
        <f>IF(E4038="","",E4038*F4038)</f>
        <v/>
      </c>
      <c r="H4038" s="8">
        <f>IF(G4038="","",G4038-I4038)</f>
        <v/>
      </c>
      <c r="I4038" s="8">
        <f>IF(D4038="","",VLOOKUP(D4038, RECETTES!B:G, 6, FALSE)*E4038)</f>
        <v/>
      </c>
      <c r="J4038" s="8">
        <f>IF(G4038="","",G4038*0.20)</f>
        <v/>
      </c>
      <c r="K4038" s="8">
        <f>IF(G4038="","",G4038+J4038)</f>
        <v/>
      </c>
    </row>
    <row r="4039">
      <c r="F4039" s="8" t="n"/>
      <c r="G4039" s="8">
        <f>IF(E4039="","",E4039*F4039)</f>
        <v/>
      </c>
      <c r="H4039" s="8">
        <f>IF(G4039="","",G4039-I4039)</f>
        <v/>
      </c>
      <c r="I4039" s="8">
        <f>IF(D4039="","",VLOOKUP(D4039, RECETTES!B:G, 6, FALSE)*E4039)</f>
        <v/>
      </c>
      <c r="J4039" s="8">
        <f>IF(G4039="","",G4039*0.20)</f>
        <v/>
      </c>
      <c r="K4039" s="8">
        <f>IF(G4039="","",G4039+J4039)</f>
        <v/>
      </c>
    </row>
    <row r="4040">
      <c r="F4040" s="8" t="n"/>
      <c r="G4040" s="8">
        <f>IF(E4040="","",E4040*F4040)</f>
        <v/>
      </c>
      <c r="H4040" s="8">
        <f>IF(G4040="","",G4040-I4040)</f>
        <v/>
      </c>
      <c r="I4040" s="8">
        <f>IF(D4040="","",VLOOKUP(D4040, RECETTES!B:G, 6, FALSE)*E4040)</f>
        <v/>
      </c>
      <c r="J4040" s="8">
        <f>IF(G4040="","",G4040*0.20)</f>
        <v/>
      </c>
      <c r="K4040" s="8">
        <f>IF(G4040="","",G4040+J4040)</f>
        <v/>
      </c>
    </row>
    <row r="4041">
      <c r="F4041" s="8" t="n"/>
      <c r="G4041" s="8">
        <f>IF(E4041="","",E4041*F4041)</f>
        <v/>
      </c>
      <c r="H4041" s="8">
        <f>IF(G4041="","",G4041-I4041)</f>
        <v/>
      </c>
      <c r="I4041" s="8">
        <f>IF(D4041="","",VLOOKUP(D4041, RECETTES!B:G, 6, FALSE)*E4041)</f>
        <v/>
      </c>
      <c r="J4041" s="8">
        <f>IF(G4041="","",G4041*0.20)</f>
        <v/>
      </c>
      <c r="K4041" s="8">
        <f>IF(G4041="","",G4041+J4041)</f>
        <v/>
      </c>
    </row>
    <row r="4042">
      <c r="F4042" s="8" t="n"/>
      <c r="G4042" s="8">
        <f>IF(E4042="","",E4042*F4042)</f>
        <v/>
      </c>
      <c r="H4042" s="8">
        <f>IF(G4042="","",G4042-I4042)</f>
        <v/>
      </c>
      <c r="I4042" s="8">
        <f>IF(D4042="","",VLOOKUP(D4042, RECETTES!B:G, 6, FALSE)*E4042)</f>
        <v/>
      </c>
      <c r="J4042" s="8">
        <f>IF(G4042="","",G4042*0.20)</f>
        <v/>
      </c>
      <c r="K4042" s="8">
        <f>IF(G4042="","",G4042+J4042)</f>
        <v/>
      </c>
    </row>
    <row r="4043">
      <c r="F4043" s="8" t="n"/>
      <c r="G4043" s="8">
        <f>IF(E4043="","",E4043*F4043)</f>
        <v/>
      </c>
      <c r="H4043" s="8">
        <f>IF(G4043="","",G4043-I4043)</f>
        <v/>
      </c>
      <c r="I4043" s="8">
        <f>IF(D4043="","",VLOOKUP(D4043, RECETTES!B:G, 6, FALSE)*E4043)</f>
        <v/>
      </c>
      <c r="J4043" s="8">
        <f>IF(G4043="","",G4043*0.20)</f>
        <v/>
      </c>
      <c r="K4043" s="8">
        <f>IF(G4043="","",G4043+J4043)</f>
        <v/>
      </c>
    </row>
    <row r="4044">
      <c r="F4044" s="8" t="n"/>
      <c r="G4044" s="8">
        <f>IF(E4044="","",E4044*F4044)</f>
        <v/>
      </c>
      <c r="H4044" s="8">
        <f>IF(G4044="","",G4044-I4044)</f>
        <v/>
      </c>
      <c r="I4044" s="8">
        <f>IF(D4044="","",VLOOKUP(D4044, RECETTES!B:G, 6, FALSE)*E4044)</f>
        <v/>
      </c>
      <c r="J4044" s="8">
        <f>IF(G4044="","",G4044*0.20)</f>
        <v/>
      </c>
      <c r="K4044" s="8">
        <f>IF(G4044="","",G4044+J4044)</f>
        <v/>
      </c>
    </row>
    <row r="4045">
      <c r="F4045" s="8" t="n"/>
      <c r="G4045" s="8">
        <f>IF(E4045="","",E4045*F4045)</f>
        <v/>
      </c>
      <c r="H4045" s="8">
        <f>IF(G4045="","",G4045-I4045)</f>
        <v/>
      </c>
      <c r="I4045" s="8">
        <f>IF(D4045="","",VLOOKUP(D4045, RECETTES!B:G, 6, FALSE)*E4045)</f>
        <v/>
      </c>
      <c r="J4045" s="8">
        <f>IF(G4045="","",G4045*0.20)</f>
        <v/>
      </c>
      <c r="K4045" s="8">
        <f>IF(G4045="","",G4045+J4045)</f>
        <v/>
      </c>
    </row>
    <row r="4046">
      <c r="F4046" s="8" t="n"/>
      <c r="G4046" s="8">
        <f>IF(E4046="","",E4046*F4046)</f>
        <v/>
      </c>
      <c r="H4046" s="8">
        <f>IF(G4046="","",G4046-I4046)</f>
        <v/>
      </c>
      <c r="I4046" s="8">
        <f>IF(D4046="","",VLOOKUP(D4046, RECETTES!B:G, 6, FALSE)*E4046)</f>
        <v/>
      </c>
      <c r="J4046" s="8">
        <f>IF(G4046="","",G4046*0.20)</f>
        <v/>
      </c>
      <c r="K4046" s="8">
        <f>IF(G4046="","",G4046+J4046)</f>
        <v/>
      </c>
    </row>
    <row r="4047">
      <c r="F4047" s="8" t="n"/>
      <c r="G4047" s="8">
        <f>IF(E4047="","",E4047*F4047)</f>
        <v/>
      </c>
      <c r="H4047" s="8">
        <f>IF(G4047="","",G4047-I4047)</f>
        <v/>
      </c>
      <c r="I4047" s="8">
        <f>IF(D4047="","",VLOOKUP(D4047, RECETTES!B:G, 6, FALSE)*E4047)</f>
        <v/>
      </c>
      <c r="J4047" s="8">
        <f>IF(G4047="","",G4047*0.20)</f>
        <v/>
      </c>
      <c r="K4047" s="8">
        <f>IF(G4047="","",G4047+J4047)</f>
        <v/>
      </c>
    </row>
    <row r="4048">
      <c r="F4048" s="8" t="n"/>
      <c r="G4048" s="8">
        <f>IF(E4048="","",E4048*F4048)</f>
        <v/>
      </c>
      <c r="H4048" s="8">
        <f>IF(G4048="","",G4048-I4048)</f>
        <v/>
      </c>
      <c r="I4048" s="8">
        <f>IF(D4048="","",VLOOKUP(D4048, RECETTES!B:G, 6, FALSE)*E4048)</f>
        <v/>
      </c>
      <c r="J4048" s="8">
        <f>IF(G4048="","",G4048*0.20)</f>
        <v/>
      </c>
      <c r="K4048" s="8">
        <f>IF(G4048="","",G4048+J4048)</f>
        <v/>
      </c>
    </row>
    <row r="4049">
      <c r="F4049" s="8" t="n"/>
      <c r="G4049" s="8">
        <f>IF(E4049="","",E4049*F4049)</f>
        <v/>
      </c>
      <c r="H4049" s="8">
        <f>IF(G4049="","",G4049-I4049)</f>
        <v/>
      </c>
      <c r="I4049" s="8">
        <f>IF(D4049="","",VLOOKUP(D4049, RECETTES!B:G, 6, FALSE)*E4049)</f>
        <v/>
      </c>
      <c r="J4049" s="8">
        <f>IF(G4049="","",G4049*0.20)</f>
        <v/>
      </c>
      <c r="K4049" s="8">
        <f>IF(G4049="","",G4049+J4049)</f>
        <v/>
      </c>
    </row>
    <row r="4050">
      <c r="F4050" s="8" t="n"/>
      <c r="G4050" s="8">
        <f>IF(E4050="","",E4050*F4050)</f>
        <v/>
      </c>
      <c r="H4050" s="8">
        <f>IF(G4050="","",G4050-I4050)</f>
        <v/>
      </c>
      <c r="I4050" s="8">
        <f>IF(D4050="","",VLOOKUP(D4050, RECETTES!B:G, 6, FALSE)*E4050)</f>
        <v/>
      </c>
      <c r="J4050" s="8">
        <f>IF(G4050="","",G4050*0.20)</f>
        <v/>
      </c>
      <c r="K4050" s="8">
        <f>IF(G4050="","",G4050+J4050)</f>
        <v/>
      </c>
    </row>
    <row r="4051">
      <c r="F4051" s="8" t="n"/>
      <c r="G4051" s="8">
        <f>IF(E4051="","",E4051*F4051)</f>
        <v/>
      </c>
      <c r="H4051" s="8">
        <f>IF(G4051="","",G4051-I4051)</f>
        <v/>
      </c>
      <c r="I4051" s="8">
        <f>IF(D4051="","",VLOOKUP(D4051, RECETTES!B:G, 6, FALSE)*E4051)</f>
        <v/>
      </c>
      <c r="J4051" s="8">
        <f>IF(G4051="","",G4051*0.20)</f>
        <v/>
      </c>
      <c r="K4051" s="8">
        <f>IF(G4051="","",G4051+J4051)</f>
        <v/>
      </c>
    </row>
    <row r="4052">
      <c r="F4052" s="8" t="n"/>
      <c r="G4052" s="8">
        <f>IF(E4052="","",E4052*F4052)</f>
        <v/>
      </c>
      <c r="H4052" s="8">
        <f>IF(G4052="","",G4052-I4052)</f>
        <v/>
      </c>
      <c r="I4052" s="8">
        <f>IF(D4052="","",VLOOKUP(D4052, RECETTES!B:G, 6, FALSE)*E4052)</f>
        <v/>
      </c>
      <c r="J4052" s="8">
        <f>IF(G4052="","",G4052*0.20)</f>
        <v/>
      </c>
      <c r="K4052" s="8">
        <f>IF(G4052="","",G4052+J4052)</f>
        <v/>
      </c>
    </row>
    <row r="4053">
      <c r="F4053" s="8" t="n"/>
      <c r="G4053" s="8">
        <f>IF(E4053="","",E4053*F4053)</f>
        <v/>
      </c>
      <c r="H4053" s="8">
        <f>IF(G4053="","",G4053-I4053)</f>
        <v/>
      </c>
      <c r="I4053" s="8">
        <f>IF(D4053="","",VLOOKUP(D4053, RECETTES!B:G, 6, FALSE)*E4053)</f>
        <v/>
      </c>
      <c r="J4053" s="8">
        <f>IF(G4053="","",G4053*0.20)</f>
        <v/>
      </c>
      <c r="K4053" s="8">
        <f>IF(G4053="","",G4053+J4053)</f>
        <v/>
      </c>
    </row>
    <row r="4054">
      <c r="F4054" s="8" t="n"/>
      <c r="G4054" s="8">
        <f>IF(E4054="","",E4054*F4054)</f>
        <v/>
      </c>
      <c r="H4054" s="8">
        <f>IF(G4054="","",G4054-I4054)</f>
        <v/>
      </c>
      <c r="I4054" s="8">
        <f>IF(D4054="","",VLOOKUP(D4054, RECETTES!B:G, 6, FALSE)*E4054)</f>
        <v/>
      </c>
      <c r="J4054" s="8">
        <f>IF(G4054="","",G4054*0.20)</f>
        <v/>
      </c>
      <c r="K4054" s="8">
        <f>IF(G4054="","",G4054+J4054)</f>
        <v/>
      </c>
    </row>
    <row r="4055">
      <c r="F4055" s="8" t="n"/>
      <c r="G4055" s="8">
        <f>IF(E4055="","",E4055*F4055)</f>
        <v/>
      </c>
      <c r="H4055" s="8">
        <f>IF(G4055="","",G4055-I4055)</f>
        <v/>
      </c>
      <c r="I4055" s="8">
        <f>IF(D4055="","",VLOOKUP(D4055, RECETTES!B:G, 6, FALSE)*E4055)</f>
        <v/>
      </c>
      <c r="J4055" s="8">
        <f>IF(G4055="","",G4055*0.20)</f>
        <v/>
      </c>
      <c r="K4055" s="8">
        <f>IF(G4055="","",G4055+J4055)</f>
        <v/>
      </c>
    </row>
    <row r="4056">
      <c r="F4056" s="8" t="n"/>
      <c r="G4056" s="8">
        <f>IF(E4056="","",E4056*F4056)</f>
        <v/>
      </c>
      <c r="H4056" s="8">
        <f>IF(G4056="","",G4056-I4056)</f>
        <v/>
      </c>
      <c r="I4056" s="8">
        <f>IF(D4056="","",VLOOKUP(D4056, RECETTES!B:G, 6, FALSE)*E4056)</f>
        <v/>
      </c>
      <c r="J4056" s="8">
        <f>IF(G4056="","",G4056*0.20)</f>
        <v/>
      </c>
      <c r="K4056" s="8">
        <f>IF(G4056="","",G4056+J4056)</f>
        <v/>
      </c>
    </row>
    <row r="4057">
      <c r="F4057" s="8" t="n"/>
      <c r="G4057" s="8">
        <f>IF(E4057="","",E4057*F4057)</f>
        <v/>
      </c>
      <c r="H4057" s="8">
        <f>IF(G4057="","",G4057-I4057)</f>
        <v/>
      </c>
      <c r="I4057" s="8">
        <f>IF(D4057="","",VLOOKUP(D4057, RECETTES!B:G, 6, FALSE)*E4057)</f>
        <v/>
      </c>
      <c r="J4057" s="8">
        <f>IF(G4057="","",G4057*0.20)</f>
        <v/>
      </c>
      <c r="K4057" s="8">
        <f>IF(G4057="","",G4057+J4057)</f>
        <v/>
      </c>
    </row>
    <row r="4058">
      <c r="F4058" s="8" t="n"/>
      <c r="G4058" s="8">
        <f>IF(E4058="","",E4058*F4058)</f>
        <v/>
      </c>
      <c r="H4058" s="8">
        <f>IF(G4058="","",G4058-I4058)</f>
        <v/>
      </c>
      <c r="I4058" s="8">
        <f>IF(D4058="","",VLOOKUP(D4058, RECETTES!B:G, 6, FALSE)*E4058)</f>
        <v/>
      </c>
      <c r="J4058" s="8">
        <f>IF(G4058="","",G4058*0.20)</f>
        <v/>
      </c>
      <c r="K4058" s="8">
        <f>IF(G4058="","",G4058+J4058)</f>
        <v/>
      </c>
    </row>
    <row r="4059">
      <c r="F4059" s="8" t="n"/>
      <c r="G4059" s="8">
        <f>IF(E4059="","",E4059*F4059)</f>
        <v/>
      </c>
      <c r="H4059" s="8">
        <f>IF(G4059="","",G4059-I4059)</f>
        <v/>
      </c>
      <c r="I4059" s="8">
        <f>IF(D4059="","",VLOOKUP(D4059, RECETTES!B:G, 6, FALSE)*E4059)</f>
        <v/>
      </c>
      <c r="J4059" s="8">
        <f>IF(G4059="","",G4059*0.20)</f>
        <v/>
      </c>
      <c r="K4059" s="8">
        <f>IF(G4059="","",G4059+J4059)</f>
        <v/>
      </c>
    </row>
    <row r="4060">
      <c r="F4060" s="8" t="n"/>
      <c r="G4060" s="8">
        <f>IF(E4060="","",E4060*F4060)</f>
        <v/>
      </c>
      <c r="H4060" s="8">
        <f>IF(G4060="","",G4060-I4060)</f>
        <v/>
      </c>
      <c r="I4060" s="8">
        <f>IF(D4060="","",VLOOKUP(D4060, RECETTES!B:G, 6, FALSE)*E4060)</f>
        <v/>
      </c>
      <c r="J4060" s="8">
        <f>IF(G4060="","",G4060*0.20)</f>
        <v/>
      </c>
      <c r="K4060" s="8">
        <f>IF(G4060="","",G4060+J4060)</f>
        <v/>
      </c>
    </row>
    <row r="4061">
      <c r="F4061" s="8" t="n"/>
      <c r="G4061" s="8">
        <f>IF(E4061="","",E4061*F4061)</f>
        <v/>
      </c>
      <c r="H4061" s="8">
        <f>IF(G4061="","",G4061-I4061)</f>
        <v/>
      </c>
      <c r="I4061" s="8">
        <f>IF(D4061="","",VLOOKUP(D4061, RECETTES!B:G, 6, FALSE)*E4061)</f>
        <v/>
      </c>
      <c r="J4061" s="8">
        <f>IF(G4061="","",G4061*0.20)</f>
        <v/>
      </c>
      <c r="K4061" s="8">
        <f>IF(G4061="","",G4061+J4061)</f>
        <v/>
      </c>
    </row>
    <row r="4062">
      <c r="F4062" s="8" t="n"/>
      <c r="G4062" s="8">
        <f>IF(E4062="","",E4062*F4062)</f>
        <v/>
      </c>
      <c r="H4062" s="8">
        <f>IF(G4062="","",G4062-I4062)</f>
        <v/>
      </c>
      <c r="I4062" s="8">
        <f>IF(D4062="","",VLOOKUP(D4062, RECETTES!B:G, 6, FALSE)*E4062)</f>
        <v/>
      </c>
      <c r="J4062" s="8">
        <f>IF(G4062="","",G4062*0.20)</f>
        <v/>
      </c>
      <c r="K4062" s="8">
        <f>IF(G4062="","",G4062+J4062)</f>
        <v/>
      </c>
    </row>
    <row r="4063">
      <c r="F4063" s="8" t="n"/>
      <c r="G4063" s="8">
        <f>IF(E4063="","",E4063*F4063)</f>
        <v/>
      </c>
      <c r="H4063" s="8">
        <f>IF(G4063="","",G4063-I4063)</f>
        <v/>
      </c>
      <c r="I4063" s="8">
        <f>IF(D4063="","",VLOOKUP(D4063, RECETTES!B:G, 6, FALSE)*E4063)</f>
        <v/>
      </c>
      <c r="J4063" s="8">
        <f>IF(G4063="","",G4063*0.20)</f>
        <v/>
      </c>
      <c r="K4063" s="8">
        <f>IF(G4063="","",G4063+J4063)</f>
        <v/>
      </c>
    </row>
    <row r="4064">
      <c r="F4064" s="8" t="n"/>
      <c r="G4064" s="8">
        <f>IF(E4064="","",E4064*F4064)</f>
        <v/>
      </c>
      <c r="H4064" s="8">
        <f>IF(G4064="","",G4064-I4064)</f>
        <v/>
      </c>
      <c r="I4064" s="8">
        <f>IF(D4064="","",VLOOKUP(D4064, RECETTES!B:G, 6, FALSE)*E4064)</f>
        <v/>
      </c>
      <c r="J4064" s="8">
        <f>IF(G4064="","",G4064*0.20)</f>
        <v/>
      </c>
      <c r="K4064" s="8">
        <f>IF(G4064="","",G4064+J4064)</f>
        <v/>
      </c>
    </row>
    <row r="4065">
      <c r="F4065" s="8" t="n"/>
      <c r="G4065" s="8">
        <f>IF(E4065="","",E4065*F4065)</f>
        <v/>
      </c>
      <c r="H4065" s="8">
        <f>IF(G4065="","",G4065-I4065)</f>
        <v/>
      </c>
      <c r="I4065" s="8">
        <f>IF(D4065="","",VLOOKUP(D4065, RECETTES!B:G, 6, FALSE)*E4065)</f>
        <v/>
      </c>
      <c r="J4065" s="8">
        <f>IF(G4065="","",G4065*0.20)</f>
        <v/>
      </c>
      <c r="K4065" s="8">
        <f>IF(G4065="","",G4065+J4065)</f>
        <v/>
      </c>
    </row>
    <row r="4066">
      <c r="F4066" s="8" t="n"/>
      <c r="G4066" s="8">
        <f>IF(E4066="","",E4066*F4066)</f>
        <v/>
      </c>
      <c r="H4066" s="8">
        <f>IF(G4066="","",G4066-I4066)</f>
        <v/>
      </c>
      <c r="I4066" s="8">
        <f>IF(D4066="","",VLOOKUP(D4066, RECETTES!B:G, 6, FALSE)*E4066)</f>
        <v/>
      </c>
      <c r="J4066" s="8">
        <f>IF(G4066="","",G4066*0.20)</f>
        <v/>
      </c>
      <c r="K4066" s="8">
        <f>IF(G4066="","",G4066+J4066)</f>
        <v/>
      </c>
    </row>
    <row r="4067">
      <c r="F4067" s="8" t="n"/>
      <c r="G4067" s="8">
        <f>IF(E4067="","",E4067*F4067)</f>
        <v/>
      </c>
      <c r="H4067" s="8">
        <f>IF(G4067="","",G4067-I4067)</f>
        <v/>
      </c>
      <c r="I4067" s="8">
        <f>IF(D4067="","",VLOOKUP(D4067, RECETTES!B:G, 6, FALSE)*E4067)</f>
        <v/>
      </c>
      <c r="J4067" s="8">
        <f>IF(G4067="","",G4067*0.20)</f>
        <v/>
      </c>
      <c r="K4067" s="8">
        <f>IF(G4067="","",G4067+J4067)</f>
        <v/>
      </c>
    </row>
    <row r="4068">
      <c r="F4068" s="8" t="n"/>
      <c r="G4068" s="8">
        <f>IF(E4068="","",E4068*F4068)</f>
        <v/>
      </c>
      <c r="H4068" s="8">
        <f>IF(G4068="","",G4068-I4068)</f>
        <v/>
      </c>
      <c r="I4068" s="8">
        <f>IF(D4068="","",VLOOKUP(D4068, RECETTES!B:G, 6, FALSE)*E4068)</f>
        <v/>
      </c>
      <c r="J4068" s="8">
        <f>IF(G4068="","",G4068*0.20)</f>
        <v/>
      </c>
      <c r="K4068" s="8">
        <f>IF(G4068="","",G4068+J4068)</f>
        <v/>
      </c>
    </row>
    <row r="4069">
      <c r="F4069" s="8" t="n"/>
      <c r="G4069" s="8">
        <f>IF(E4069="","",E4069*F4069)</f>
        <v/>
      </c>
      <c r="H4069" s="8">
        <f>IF(G4069="","",G4069-I4069)</f>
        <v/>
      </c>
      <c r="I4069" s="8">
        <f>IF(D4069="","",VLOOKUP(D4069, RECETTES!B:G, 6, FALSE)*E4069)</f>
        <v/>
      </c>
      <c r="J4069" s="8">
        <f>IF(G4069="","",G4069*0.20)</f>
        <v/>
      </c>
      <c r="K4069" s="8">
        <f>IF(G4069="","",G4069+J4069)</f>
        <v/>
      </c>
    </row>
    <row r="4070">
      <c r="F4070" s="8" t="n"/>
      <c r="G4070" s="8">
        <f>IF(E4070="","",E4070*F4070)</f>
        <v/>
      </c>
      <c r="H4070" s="8">
        <f>IF(G4070="","",G4070-I4070)</f>
        <v/>
      </c>
      <c r="I4070" s="8">
        <f>IF(D4070="","",VLOOKUP(D4070, RECETTES!B:G, 6, FALSE)*E4070)</f>
        <v/>
      </c>
      <c r="J4070" s="8">
        <f>IF(G4070="","",G4070*0.20)</f>
        <v/>
      </c>
      <c r="K4070" s="8">
        <f>IF(G4070="","",G4070+J4070)</f>
        <v/>
      </c>
    </row>
    <row r="4071">
      <c r="F4071" s="8" t="n"/>
      <c r="G4071" s="8">
        <f>IF(E4071="","",E4071*F4071)</f>
        <v/>
      </c>
      <c r="H4071" s="8">
        <f>IF(G4071="","",G4071-I4071)</f>
        <v/>
      </c>
      <c r="I4071" s="8">
        <f>IF(D4071="","",VLOOKUP(D4071, RECETTES!B:G, 6, FALSE)*E4071)</f>
        <v/>
      </c>
      <c r="J4071" s="8">
        <f>IF(G4071="","",G4071*0.20)</f>
        <v/>
      </c>
      <c r="K4071" s="8">
        <f>IF(G4071="","",G4071+J4071)</f>
        <v/>
      </c>
    </row>
    <row r="4072">
      <c r="F4072" s="8" t="n"/>
      <c r="G4072" s="8">
        <f>IF(E4072="","",E4072*F4072)</f>
        <v/>
      </c>
      <c r="H4072" s="8">
        <f>IF(G4072="","",G4072-I4072)</f>
        <v/>
      </c>
      <c r="I4072" s="8">
        <f>IF(D4072="","",VLOOKUP(D4072, RECETTES!B:G, 6, FALSE)*E4072)</f>
        <v/>
      </c>
      <c r="J4072" s="8">
        <f>IF(G4072="","",G4072*0.20)</f>
        <v/>
      </c>
      <c r="K4072" s="8">
        <f>IF(G4072="","",G4072+J4072)</f>
        <v/>
      </c>
    </row>
    <row r="4073">
      <c r="F4073" s="8" t="n"/>
      <c r="G4073" s="8">
        <f>IF(E4073="","",E4073*F4073)</f>
        <v/>
      </c>
      <c r="H4073" s="8">
        <f>IF(G4073="","",G4073-I4073)</f>
        <v/>
      </c>
      <c r="I4073" s="8">
        <f>IF(D4073="","",VLOOKUP(D4073, RECETTES!B:G, 6, FALSE)*E4073)</f>
        <v/>
      </c>
      <c r="J4073" s="8">
        <f>IF(G4073="","",G4073*0.20)</f>
        <v/>
      </c>
      <c r="K4073" s="8">
        <f>IF(G4073="","",G4073+J4073)</f>
        <v/>
      </c>
    </row>
    <row r="4074">
      <c r="F4074" s="8" t="n"/>
      <c r="G4074" s="8">
        <f>IF(E4074="","",E4074*F4074)</f>
        <v/>
      </c>
      <c r="H4074" s="8">
        <f>IF(G4074="","",G4074-I4074)</f>
        <v/>
      </c>
      <c r="I4074" s="8">
        <f>IF(D4074="","",VLOOKUP(D4074, RECETTES!B:G, 6, FALSE)*E4074)</f>
        <v/>
      </c>
      <c r="J4074" s="8">
        <f>IF(G4074="","",G4074*0.20)</f>
        <v/>
      </c>
      <c r="K4074" s="8">
        <f>IF(G4074="","",G4074+J4074)</f>
        <v/>
      </c>
    </row>
    <row r="4075">
      <c r="F4075" s="8" t="n"/>
      <c r="G4075" s="8">
        <f>IF(E4075="","",E4075*F4075)</f>
        <v/>
      </c>
      <c r="H4075" s="8">
        <f>IF(G4075="","",G4075-I4075)</f>
        <v/>
      </c>
      <c r="I4075" s="8">
        <f>IF(D4075="","",VLOOKUP(D4075, RECETTES!B:G, 6, FALSE)*E4075)</f>
        <v/>
      </c>
      <c r="J4075" s="8">
        <f>IF(G4075="","",G4075*0.20)</f>
        <v/>
      </c>
      <c r="K4075" s="8">
        <f>IF(G4075="","",G4075+J4075)</f>
        <v/>
      </c>
    </row>
    <row r="4076">
      <c r="F4076" s="8" t="n"/>
      <c r="G4076" s="8">
        <f>IF(E4076="","",E4076*F4076)</f>
        <v/>
      </c>
      <c r="H4076" s="8">
        <f>IF(G4076="","",G4076-I4076)</f>
        <v/>
      </c>
      <c r="I4076" s="8">
        <f>IF(D4076="","",VLOOKUP(D4076, RECETTES!B:G, 6, FALSE)*E4076)</f>
        <v/>
      </c>
      <c r="J4076" s="8">
        <f>IF(G4076="","",G4076*0.20)</f>
        <v/>
      </c>
      <c r="K4076" s="8">
        <f>IF(G4076="","",G4076+J4076)</f>
        <v/>
      </c>
    </row>
    <row r="4077">
      <c r="F4077" s="8" t="n"/>
      <c r="G4077" s="8">
        <f>IF(E4077="","",E4077*F4077)</f>
        <v/>
      </c>
      <c r="H4077" s="8">
        <f>IF(G4077="","",G4077-I4077)</f>
        <v/>
      </c>
      <c r="I4077" s="8">
        <f>IF(D4077="","",VLOOKUP(D4077, RECETTES!B:G, 6, FALSE)*E4077)</f>
        <v/>
      </c>
      <c r="J4077" s="8">
        <f>IF(G4077="","",G4077*0.20)</f>
        <v/>
      </c>
      <c r="K4077" s="8">
        <f>IF(G4077="","",G4077+J4077)</f>
        <v/>
      </c>
    </row>
    <row r="4078">
      <c r="F4078" s="8" t="n"/>
      <c r="G4078" s="8">
        <f>IF(E4078="","",E4078*F4078)</f>
        <v/>
      </c>
      <c r="H4078" s="8">
        <f>IF(G4078="","",G4078-I4078)</f>
        <v/>
      </c>
      <c r="I4078" s="8">
        <f>IF(D4078="","",VLOOKUP(D4078, RECETTES!B:G, 6, FALSE)*E4078)</f>
        <v/>
      </c>
      <c r="J4078" s="8">
        <f>IF(G4078="","",G4078*0.20)</f>
        <v/>
      </c>
      <c r="K4078" s="8">
        <f>IF(G4078="","",G4078+J4078)</f>
        <v/>
      </c>
    </row>
    <row r="4079">
      <c r="F4079" s="8" t="n"/>
      <c r="G4079" s="8">
        <f>IF(E4079="","",E4079*F4079)</f>
        <v/>
      </c>
      <c r="H4079" s="8">
        <f>IF(G4079="","",G4079-I4079)</f>
        <v/>
      </c>
      <c r="I4079" s="8">
        <f>IF(D4079="","",VLOOKUP(D4079, RECETTES!B:G, 6, FALSE)*E4079)</f>
        <v/>
      </c>
      <c r="J4079" s="8">
        <f>IF(G4079="","",G4079*0.20)</f>
        <v/>
      </c>
      <c r="K4079" s="8">
        <f>IF(G4079="","",G4079+J4079)</f>
        <v/>
      </c>
    </row>
    <row r="4080">
      <c r="F4080" s="8" t="n"/>
      <c r="G4080" s="8">
        <f>IF(E4080="","",E4080*F4080)</f>
        <v/>
      </c>
      <c r="H4080" s="8">
        <f>IF(G4080="","",G4080-I4080)</f>
        <v/>
      </c>
      <c r="I4080" s="8">
        <f>IF(D4080="","",VLOOKUP(D4080, RECETTES!B:G, 6, FALSE)*E4080)</f>
        <v/>
      </c>
      <c r="J4080" s="8">
        <f>IF(G4080="","",G4080*0.20)</f>
        <v/>
      </c>
      <c r="K4080" s="8">
        <f>IF(G4080="","",G4080+J4080)</f>
        <v/>
      </c>
    </row>
    <row r="4081">
      <c r="F4081" s="8" t="n"/>
      <c r="G4081" s="8">
        <f>IF(E4081="","",E4081*F4081)</f>
        <v/>
      </c>
      <c r="H4081" s="8">
        <f>IF(G4081="","",G4081-I4081)</f>
        <v/>
      </c>
      <c r="I4081" s="8">
        <f>IF(D4081="","",VLOOKUP(D4081, RECETTES!B:G, 6, FALSE)*E4081)</f>
        <v/>
      </c>
      <c r="J4081" s="8">
        <f>IF(G4081="","",G4081*0.20)</f>
        <v/>
      </c>
      <c r="K4081" s="8">
        <f>IF(G4081="","",G4081+J4081)</f>
        <v/>
      </c>
    </row>
    <row r="4082">
      <c r="F4082" s="8" t="n"/>
      <c r="G4082" s="8">
        <f>IF(E4082="","",E4082*F4082)</f>
        <v/>
      </c>
      <c r="H4082" s="8">
        <f>IF(G4082="","",G4082-I4082)</f>
        <v/>
      </c>
      <c r="I4082" s="8">
        <f>IF(D4082="","",VLOOKUP(D4082, RECETTES!B:G, 6, FALSE)*E4082)</f>
        <v/>
      </c>
      <c r="J4082" s="8">
        <f>IF(G4082="","",G4082*0.20)</f>
        <v/>
      </c>
      <c r="K4082" s="8">
        <f>IF(G4082="","",G4082+J4082)</f>
        <v/>
      </c>
    </row>
    <row r="4083">
      <c r="F4083" s="8" t="n"/>
      <c r="G4083" s="8">
        <f>IF(E4083="","",E4083*F4083)</f>
        <v/>
      </c>
      <c r="H4083" s="8">
        <f>IF(G4083="","",G4083-I4083)</f>
        <v/>
      </c>
      <c r="I4083" s="8">
        <f>IF(D4083="","",VLOOKUP(D4083, RECETTES!B:G, 6, FALSE)*E4083)</f>
        <v/>
      </c>
      <c r="J4083" s="8">
        <f>IF(G4083="","",G4083*0.20)</f>
        <v/>
      </c>
      <c r="K4083" s="8">
        <f>IF(G4083="","",G4083+J4083)</f>
        <v/>
      </c>
    </row>
    <row r="4084">
      <c r="F4084" s="8" t="n"/>
      <c r="G4084" s="8">
        <f>IF(E4084="","",E4084*F4084)</f>
        <v/>
      </c>
      <c r="H4084" s="8">
        <f>IF(G4084="","",G4084-I4084)</f>
        <v/>
      </c>
      <c r="I4084" s="8">
        <f>IF(D4084="","",VLOOKUP(D4084, RECETTES!B:G, 6, FALSE)*E4084)</f>
        <v/>
      </c>
      <c r="J4084" s="8">
        <f>IF(G4084="","",G4084*0.20)</f>
        <v/>
      </c>
      <c r="K4084" s="8">
        <f>IF(G4084="","",G4084+J4084)</f>
        <v/>
      </c>
    </row>
    <row r="4085">
      <c r="F4085" s="8" t="n"/>
      <c r="G4085" s="8">
        <f>IF(E4085="","",E4085*F4085)</f>
        <v/>
      </c>
      <c r="H4085" s="8">
        <f>IF(G4085="","",G4085-I4085)</f>
        <v/>
      </c>
      <c r="I4085" s="8">
        <f>IF(D4085="","",VLOOKUP(D4085, RECETTES!B:G, 6, FALSE)*E4085)</f>
        <v/>
      </c>
      <c r="J4085" s="8">
        <f>IF(G4085="","",G4085*0.20)</f>
        <v/>
      </c>
      <c r="K4085" s="8">
        <f>IF(G4085="","",G4085+J4085)</f>
        <v/>
      </c>
    </row>
    <row r="4086">
      <c r="F4086" s="8" t="n"/>
      <c r="G4086" s="8">
        <f>IF(E4086="","",E4086*F4086)</f>
        <v/>
      </c>
      <c r="H4086" s="8">
        <f>IF(G4086="","",G4086-I4086)</f>
        <v/>
      </c>
      <c r="I4086" s="8">
        <f>IF(D4086="","",VLOOKUP(D4086, RECETTES!B:G, 6, FALSE)*E4086)</f>
        <v/>
      </c>
      <c r="J4086" s="8">
        <f>IF(G4086="","",G4086*0.20)</f>
        <v/>
      </c>
      <c r="K4086" s="8">
        <f>IF(G4086="","",G4086+J4086)</f>
        <v/>
      </c>
    </row>
    <row r="4087">
      <c r="F4087" s="8" t="n"/>
      <c r="G4087" s="8">
        <f>IF(E4087="","",E4087*F4087)</f>
        <v/>
      </c>
      <c r="H4087" s="8">
        <f>IF(G4087="","",G4087-I4087)</f>
        <v/>
      </c>
      <c r="I4087" s="8">
        <f>IF(D4087="","",VLOOKUP(D4087, RECETTES!B:G, 6, FALSE)*E4087)</f>
        <v/>
      </c>
      <c r="J4087" s="8">
        <f>IF(G4087="","",G4087*0.20)</f>
        <v/>
      </c>
      <c r="K4087" s="8">
        <f>IF(G4087="","",G4087+J4087)</f>
        <v/>
      </c>
    </row>
    <row r="4088">
      <c r="F4088" s="8" t="n"/>
      <c r="G4088" s="8">
        <f>IF(E4088="","",E4088*F4088)</f>
        <v/>
      </c>
      <c r="H4088" s="8">
        <f>IF(G4088="","",G4088-I4088)</f>
        <v/>
      </c>
      <c r="I4088" s="8">
        <f>IF(D4088="","",VLOOKUP(D4088, RECETTES!B:G, 6, FALSE)*E4088)</f>
        <v/>
      </c>
      <c r="J4088" s="8">
        <f>IF(G4088="","",G4088*0.20)</f>
        <v/>
      </c>
      <c r="K4088" s="8">
        <f>IF(G4088="","",G4088+J4088)</f>
        <v/>
      </c>
    </row>
    <row r="4089">
      <c r="F4089" s="8" t="n"/>
      <c r="G4089" s="8">
        <f>IF(E4089="","",E4089*F4089)</f>
        <v/>
      </c>
      <c r="H4089" s="8">
        <f>IF(G4089="","",G4089-I4089)</f>
        <v/>
      </c>
      <c r="I4089" s="8">
        <f>IF(D4089="","",VLOOKUP(D4089, RECETTES!B:G, 6, FALSE)*E4089)</f>
        <v/>
      </c>
      <c r="J4089" s="8">
        <f>IF(G4089="","",G4089*0.20)</f>
        <v/>
      </c>
      <c r="K4089" s="8">
        <f>IF(G4089="","",G4089+J4089)</f>
        <v/>
      </c>
    </row>
    <row r="4090">
      <c r="F4090" s="8" t="n"/>
      <c r="G4090" s="8">
        <f>IF(E4090="","",E4090*F4090)</f>
        <v/>
      </c>
      <c r="H4090" s="8">
        <f>IF(G4090="","",G4090-I4090)</f>
        <v/>
      </c>
      <c r="I4090" s="8">
        <f>IF(D4090="","",VLOOKUP(D4090, RECETTES!B:G, 6, FALSE)*E4090)</f>
        <v/>
      </c>
      <c r="J4090" s="8">
        <f>IF(G4090="","",G4090*0.20)</f>
        <v/>
      </c>
      <c r="K4090" s="8">
        <f>IF(G4090="","",G4090+J4090)</f>
        <v/>
      </c>
    </row>
    <row r="4091">
      <c r="F4091" s="8" t="n"/>
      <c r="G4091" s="8">
        <f>IF(E4091="","",E4091*F4091)</f>
        <v/>
      </c>
      <c r="H4091" s="8">
        <f>IF(G4091="","",G4091-I4091)</f>
        <v/>
      </c>
      <c r="I4091" s="8">
        <f>IF(D4091="","",VLOOKUP(D4091, RECETTES!B:G, 6, FALSE)*E4091)</f>
        <v/>
      </c>
      <c r="J4091" s="8">
        <f>IF(G4091="","",G4091*0.20)</f>
        <v/>
      </c>
      <c r="K4091" s="8">
        <f>IF(G4091="","",G4091+J4091)</f>
        <v/>
      </c>
    </row>
    <row r="4092">
      <c r="F4092" s="8" t="n"/>
      <c r="G4092" s="8">
        <f>IF(E4092="","",E4092*F4092)</f>
        <v/>
      </c>
      <c r="H4092" s="8">
        <f>IF(G4092="","",G4092-I4092)</f>
        <v/>
      </c>
      <c r="I4092" s="8">
        <f>IF(D4092="","",VLOOKUP(D4092, RECETTES!B:G, 6, FALSE)*E4092)</f>
        <v/>
      </c>
      <c r="J4092" s="8">
        <f>IF(G4092="","",G4092*0.20)</f>
        <v/>
      </c>
      <c r="K4092" s="8">
        <f>IF(G4092="","",G4092+J4092)</f>
        <v/>
      </c>
    </row>
    <row r="4093">
      <c r="F4093" s="8" t="n"/>
      <c r="G4093" s="8">
        <f>IF(E4093="","",E4093*F4093)</f>
        <v/>
      </c>
      <c r="H4093" s="8">
        <f>IF(G4093="","",G4093-I4093)</f>
        <v/>
      </c>
      <c r="I4093" s="8">
        <f>IF(D4093="","",VLOOKUP(D4093, RECETTES!B:G, 6, FALSE)*E4093)</f>
        <v/>
      </c>
      <c r="J4093" s="8">
        <f>IF(G4093="","",G4093*0.20)</f>
        <v/>
      </c>
      <c r="K4093" s="8">
        <f>IF(G4093="","",G4093+J4093)</f>
        <v/>
      </c>
    </row>
    <row r="4094">
      <c r="F4094" s="8" t="n"/>
      <c r="G4094" s="8">
        <f>IF(E4094="","",E4094*F4094)</f>
        <v/>
      </c>
      <c r="H4094" s="8">
        <f>IF(G4094="","",G4094-I4094)</f>
        <v/>
      </c>
      <c r="I4094" s="8">
        <f>IF(D4094="","",VLOOKUP(D4094, RECETTES!B:G, 6, FALSE)*E4094)</f>
        <v/>
      </c>
      <c r="J4094" s="8">
        <f>IF(G4094="","",G4094*0.20)</f>
        <v/>
      </c>
      <c r="K4094" s="8">
        <f>IF(G4094="","",G4094+J4094)</f>
        <v/>
      </c>
    </row>
    <row r="4095">
      <c r="F4095" s="8" t="n"/>
      <c r="G4095" s="8">
        <f>IF(E4095="","",E4095*F4095)</f>
        <v/>
      </c>
      <c r="H4095" s="8">
        <f>IF(G4095="","",G4095-I4095)</f>
        <v/>
      </c>
      <c r="I4095" s="8">
        <f>IF(D4095="","",VLOOKUP(D4095, RECETTES!B:G, 6, FALSE)*E4095)</f>
        <v/>
      </c>
      <c r="J4095" s="8">
        <f>IF(G4095="","",G4095*0.20)</f>
        <v/>
      </c>
      <c r="K4095" s="8">
        <f>IF(G4095="","",G4095+J4095)</f>
        <v/>
      </c>
    </row>
    <row r="4096">
      <c r="F4096" s="8" t="n"/>
      <c r="G4096" s="8">
        <f>IF(E4096="","",E4096*F4096)</f>
        <v/>
      </c>
      <c r="H4096" s="8">
        <f>IF(G4096="","",G4096-I4096)</f>
        <v/>
      </c>
      <c r="I4096" s="8">
        <f>IF(D4096="","",VLOOKUP(D4096, RECETTES!B:G, 6, FALSE)*E4096)</f>
        <v/>
      </c>
      <c r="J4096" s="8">
        <f>IF(G4096="","",G4096*0.20)</f>
        <v/>
      </c>
      <c r="K4096" s="8">
        <f>IF(G4096="","",G4096+J4096)</f>
        <v/>
      </c>
    </row>
    <row r="4097">
      <c r="F4097" s="8" t="n"/>
      <c r="G4097" s="8">
        <f>IF(E4097="","",E4097*F4097)</f>
        <v/>
      </c>
      <c r="H4097" s="8">
        <f>IF(G4097="","",G4097-I4097)</f>
        <v/>
      </c>
      <c r="I4097" s="8">
        <f>IF(D4097="","",VLOOKUP(D4097, RECETTES!B:G, 6, FALSE)*E4097)</f>
        <v/>
      </c>
      <c r="J4097" s="8">
        <f>IF(G4097="","",G4097*0.20)</f>
        <v/>
      </c>
      <c r="K4097" s="8">
        <f>IF(G4097="","",G4097+J4097)</f>
        <v/>
      </c>
    </row>
    <row r="4098">
      <c r="F4098" s="8" t="n"/>
      <c r="G4098" s="8">
        <f>IF(E4098="","",E4098*F4098)</f>
        <v/>
      </c>
      <c r="H4098" s="8">
        <f>IF(G4098="","",G4098-I4098)</f>
        <v/>
      </c>
      <c r="I4098" s="8">
        <f>IF(D4098="","",VLOOKUP(D4098, RECETTES!B:G, 6, FALSE)*E4098)</f>
        <v/>
      </c>
      <c r="J4098" s="8">
        <f>IF(G4098="","",G4098*0.20)</f>
        <v/>
      </c>
      <c r="K4098" s="8">
        <f>IF(G4098="","",G4098+J4098)</f>
        <v/>
      </c>
    </row>
    <row r="4099">
      <c r="F4099" s="8" t="n"/>
      <c r="G4099" s="8">
        <f>IF(E4099="","",E4099*F4099)</f>
        <v/>
      </c>
      <c r="H4099" s="8">
        <f>IF(G4099="","",G4099-I4099)</f>
        <v/>
      </c>
      <c r="I4099" s="8">
        <f>IF(D4099="","",VLOOKUP(D4099, RECETTES!B:G, 6, FALSE)*E4099)</f>
        <v/>
      </c>
      <c r="J4099" s="8">
        <f>IF(G4099="","",G4099*0.20)</f>
        <v/>
      </c>
      <c r="K4099" s="8">
        <f>IF(G4099="","",G4099+J4099)</f>
        <v/>
      </c>
    </row>
    <row r="4100">
      <c r="F4100" s="8" t="n"/>
      <c r="G4100" s="8">
        <f>IF(E4100="","",E4100*F4100)</f>
        <v/>
      </c>
      <c r="H4100" s="8">
        <f>IF(G4100="","",G4100-I4100)</f>
        <v/>
      </c>
      <c r="I4100" s="8">
        <f>IF(D4100="","",VLOOKUP(D4100, RECETTES!B:G, 6, FALSE)*E4100)</f>
        <v/>
      </c>
      <c r="J4100" s="8">
        <f>IF(G4100="","",G4100*0.20)</f>
        <v/>
      </c>
      <c r="K4100" s="8">
        <f>IF(G4100="","",G4100+J4100)</f>
        <v/>
      </c>
    </row>
    <row r="4101">
      <c r="F4101" s="8" t="n"/>
      <c r="G4101" s="8">
        <f>IF(E4101="","",E4101*F4101)</f>
        <v/>
      </c>
      <c r="H4101" s="8">
        <f>IF(G4101="","",G4101-I4101)</f>
        <v/>
      </c>
      <c r="I4101" s="8">
        <f>IF(D4101="","",VLOOKUP(D4101, RECETTES!B:G, 6, FALSE)*E4101)</f>
        <v/>
      </c>
      <c r="J4101" s="8">
        <f>IF(G4101="","",G4101*0.20)</f>
        <v/>
      </c>
      <c r="K4101" s="8">
        <f>IF(G4101="","",G4101+J4101)</f>
        <v/>
      </c>
    </row>
    <row r="4102">
      <c r="F4102" s="8" t="n"/>
      <c r="G4102" s="8">
        <f>IF(E4102="","",E4102*F4102)</f>
        <v/>
      </c>
      <c r="H4102" s="8">
        <f>IF(G4102="","",G4102-I4102)</f>
        <v/>
      </c>
      <c r="I4102" s="8">
        <f>IF(D4102="","",VLOOKUP(D4102, RECETTES!B:G, 6, FALSE)*E4102)</f>
        <v/>
      </c>
      <c r="J4102" s="8">
        <f>IF(G4102="","",G4102*0.20)</f>
        <v/>
      </c>
      <c r="K4102" s="8">
        <f>IF(G4102="","",G4102+J4102)</f>
        <v/>
      </c>
    </row>
    <row r="4103">
      <c r="F4103" s="8" t="n"/>
      <c r="G4103" s="8">
        <f>IF(E4103="","",E4103*F4103)</f>
        <v/>
      </c>
      <c r="H4103" s="8">
        <f>IF(G4103="","",G4103-I4103)</f>
        <v/>
      </c>
      <c r="I4103" s="8">
        <f>IF(D4103="","",VLOOKUP(D4103, RECETTES!B:G, 6, FALSE)*E4103)</f>
        <v/>
      </c>
      <c r="J4103" s="8">
        <f>IF(G4103="","",G4103*0.20)</f>
        <v/>
      </c>
      <c r="K4103" s="8">
        <f>IF(G4103="","",G4103+J4103)</f>
        <v/>
      </c>
    </row>
    <row r="4104">
      <c r="F4104" s="8" t="n"/>
      <c r="G4104" s="8">
        <f>IF(E4104="","",E4104*F4104)</f>
        <v/>
      </c>
      <c r="H4104" s="8">
        <f>IF(G4104="","",G4104-I4104)</f>
        <v/>
      </c>
      <c r="I4104" s="8">
        <f>IF(D4104="","",VLOOKUP(D4104, RECETTES!B:G, 6, FALSE)*E4104)</f>
        <v/>
      </c>
      <c r="J4104" s="8">
        <f>IF(G4104="","",G4104*0.20)</f>
        <v/>
      </c>
      <c r="K4104" s="8">
        <f>IF(G4104="","",G4104+J4104)</f>
        <v/>
      </c>
    </row>
    <row r="4105">
      <c r="F4105" s="8" t="n"/>
      <c r="G4105" s="8">
        <f>IF(E4105="","",E4105*F4105)</f>
        <v/>
      </c>
      <c r="H4105" s="8">
        <f>IF(G4105="","",G4105-I4105)</f>
        <v/>
      </c>
      <c r="I4105" s="8">
        <f>IF(D4105="","",VLOOKUP(D4105, RECETTES!B:G, 6, FALSE)*E4105)</f>
        <v/>
      </c>
      <c r="J4105" s="8">
        <f>IF(G4105="","",G4105*0.20)</f>
        <v/>
      </c>
      <c r="K4105" s="8">
        <f>IF(G4105="","",G4105+J4105)</f>
        <v/>
      </c>
    </row>
    <row r="4106">
      <c r="F4106" s="8" t="n"/>
      <c r="G4106" s="8">
        <f>IF(E4106="","",E4106*F4106)</f>
        <v/>
      </c>
      <c r="H4106" s="8">
        <f>IF(G4106="","",G4106-I4106)</f>
        <v/>
      </c>
      <c r="I4106" s="8">
        <f>IF(D4106="","",VLOOKUP(D4106, RECETTES!B:G, 6, FALSE)*E4106)</f>
        <v/>
      </c>
      <c r="J4106" s="8">
        <f>IF(G4106="","",G4106*0.20)</f>
        <v/>
      </c>
      <c r="K4106" s="8">
        <f>IF(G4106="","",G4106+J4106)</f>
        <v/>
      </c>
    </row>
    <row r="4107">
      <c r="F4107" s="8" t="n"/>
      <c r="G4107" s="8">
        <f>IF(E4107="","",E4107*F4107)</f>
        <v/>
      </c>
      <c r="H4107" s="8">
        <f>IF(G4107="","",G4107-I4107)</f>
        <v/>
      </c>
      <c r="I4107" s="8">
        <f>IF(D4107="","",VLOOKUP(D4107, RECETTES!B:G, 6, FALSE)*E4107)</f>
        <v/>
      </c>
      <c r="J4107" s="8">
        <f>IF(G4107="","",G4107*0.20)</f>
        <v/>
      </c>
      <c r="K4107" s="8">
        <f>IF(G4107="","",G4107+J4107)</f>
        <v/>
      </c>
    </row>
    <row r="4108">
      <c r="F4108" s="8" t="n"/>
      <c r="G4108" s="8">
        <f>IF(E4108="","",E4108*F4108)</f>
        <v/>
      </c>
      <c r="H4108" s="8">
        <f>IF(G4108="","",G4108-I4108)</f>
        <v/>
      </c>
      <c r="I4108" s="8">
        <f>IF(D4108="","",VLOOKUP(D4108, RECETTES!B:G, 6, FALSE)*E4108)</f>
        <v/>
      </c>
      <c r="J4108" s="8">
        <f>IF(G4108="","",G4108*0.20)</f>
        <v/>
      </c>
      <c r="K4108" s="8">
        <f>IF(G4108="","",G4108+J4108)</f>
        <v/>
      </c>
    </row>
    <row r="4109">
      <c r="F4109" s="8" t="n"/>
      <c r="G4109" s="8">
        <f>IF(E4109="","",E4109*F4109)</f>
        <v/>
      </c>
      <c r="H4109" s="8">
        <f>IF(G4109="","",G4109-I4109)</f>
        <v/>
      </c>
      <c r="I4109" s="8">
        <f>IF(D4109="","",VLOOKUP(D4109, RECETTES!B:G, 6, FALSE)*E4109)</f>
        <v/>
      </c>
      <c r="J4109" s="8">
        <f>IF(G4109="","",G4109*0.20)</f>
        <v/>
      </c>
      <c r="K4109" s="8">
        <f>IF(G4109="","",G4109+J4109)</f>
        <v/>
      </c>
    </row>
    <row r="4110">
      <c r="F4110" s="8" t="n"/>
      <c r="G4110" s="8">
        <f>IF(E4110="","",E4110*F4110)</f>
        <v/>
      </c>
      <c r="H4110" s="8">
        <f>IF(G4110="","",G4110-I4110)</f>
        <v/>
      </c>
      <c r="I4110" s="8">
        <f>IF(D4110="","",VLOOKUP(D4110, RECETTES!B:G, 6, FALSE)*E4110)</f>
        <v/>
      </c>
      <c r="J4110" s="8">
        <f>IF(G4110="","",G4110*0.20)</f>
        <v/>
      </c>
      <c r="K4110" s="8">
        <f>IF(G4110="","",G4110+J4110)</f>
        <v/>
      </c>
    </row>
    <row r="4111">
      <c r="F4111" s="8" t="n"/>
      <c r="G4111" s="8">
        <f>IF(E4111="","",E4111*F4111)</f>
        <v/>
      </c>
      <c r="H4111" s="8">
        <f>IF(G4111="","",G4111-I4111)</f>
        <v/>
      </c>
      <c r="I4111" s="8">
        <f>IF(D4111="","",VLOOKUP(D4111, RECETTES!B:G, 6, FALSE)*E4111)</f>
        <v/>
      </c>
      <c r="J4111" s="8">
        <f>IF(G4111="","",G4111*0.20)</f>
        <v/>
      </c>
      <c r="K4111" s="8">
        <f>IF(G4111="","",G4111+J4111)</f>
        <v/>
      </c>
    </row>
    <row r="4112">
      <c r="F4112" s="8" t="n"/>
      <c r="G4112" s="8">
        <f>IF(E4112="","",E4112*F4112)</f>
        <v/>
      </c>
      <c r="H4112" s="8">
        <f>IF(G4112="","",G4112-I4112)</f>
        <v/>
      </c>
      <c r="I4112" s="8">
        <f>IF(D4112="","",VLOOKUP(D4112, RECETTES!B:G, 6, FALSE)*E4112)</f>
        <v/>
      </c>
      <c r="J4112" s="8">
        <f>IF(G4112="","",G4112*0.20)</f>
        <v/>
      </c>
      <c r="K4112" s="8">
        <f>IF(G4112="","",G4112+J4112)</f>
        <v/>
      </c>
    </row>
    <row r="4113">
      <c r="F4113" s="8" t="n"/>
      <c r="G4113" s="8">
        <f>IF(E4113="","",E4113*F4113)</f>
        <v/>
      </c>
      <c r="H4113" s="8">
        <f>IF(G4113="","",G4113-I4113)</f>
        <v/>
      </c>
      <c r="I4113" s="8">
        <f>IF(D4113="","",VLOOKUP(D4113, RECETTES!B:G, 6, FALSE)*E4113)</f>
        <v/>
      </c>
      <c r="J4113" s="8">
        <f>IF(G4113="","",G4113*0.20)</f>
        <v/>
      </c>
      <c r="K4113" s="8">
        <f>IF(G4113="","",G4113+J4113)</f>
        <v/>
      </c>
    </row>
    <row r="4114">
      <c r="F4114" s="8" t="n"/>
      <c r="G4114" s="8">
        <f>IF(E4114="","",E4114*F4114)</f>
        <v/>
      </c>
      <c r="H4114" s="8">
        <f>IF(G4114="","",G4114-I4114)</f>
        <v/>
      </c>
      <c r="I4114" s="8">
        <f>IF(D4114="","",VLOOKUP(D4114, RECETTES!B:G, 6, FALSE)*E4114)</f>
        <v/>
      </c>
      <c r="J4114" s="8">
        <f>IF(G4114="","",G4114*0.20)</f>
        <v/>
      </c>
      <c r="K4114" s="8">
        <f>IF(G4114="","",G4114+J4114)</f>
        <v/>
      </c>
    </row>
    <row r="4115">
      <c r="F4115" s="8" t="n"/>
      <c r="G4115" s="8">
        <f>IF(E4115="","",E4115*F4115)</f>
        <v/>
      </c>
      <c r="H4115" s="8">
        <f>IF(G4115="","",G4115-I4115)</f>
        <v/>
      </c>
      <c r="I4115" s="8">
        <f>IF(D4115="","",VLOOKUP(D4115, RECETTES!B:G, 6, FALSE)*E4115)</f>
        <v/>
      </c>
      <c r="J4115" s="8">
        <f>IF(G4115="","",G4115*0.20)</f>
        <v/>
      </c>
      <c r="K4115" s="8">
        <f>IF(G4115="","",G4115+J4115)</f>
        <v/>
      </c>
    </row>
    <row r="4116">
      <c r="F4116" s="8" t="n"/>
      <c r="G4116" s="8">
        <f>IF(E4116="","",E4116*F4116)</f>
        <v/>
      </c>
      <c r="H4116" s="8">
        <f>IF(G4116="","",G4116-I4116)</f>
        <v/>
      </c>
      <c r="I4116" s="8">
        <f>IF(D4116="","",VLOOKUP(D4116, RECETTES!B:G, 6, FALSE)*E4116)</f>
        <v/>
      </c>
      <c r="J4116" s="8">
        <f>IF(G4116="","",G4116*0.20)</f>
        <v/>
      </c>
      <c r="K4116" s="8">
        <f>IF(G4116="","",G4116+J4116)</f>
        <v/>
      </c>
    </row>
    <row r="4117">
      <c r="F4117" s="8" t="n"/>
      <c r="G4117" s="8">
        <f>IF(E4117="","",E4117*F4117)</f>
        <v/>
      </c>
      <c r="H4117" s="8">
        <f>IF(G4117="","",G4117-I4117)</f>
        <v/>
      </c>
      <c r="I4117" s="8">
        <f>IF(D4117="","",VLOOKUP(D4117, RECETTES!B:G, 6, FALSE)*E4117)</f>
        <v/>
      </c>
      <c r="J4117" s="8">
        <f>IF(G4117="","",G4117*0.20)</f>
        <v/>
      </c>
      <c r="K4117" s="8">
        <f>IF(G4117="","",G4117+J4117)</f>
        <v/>
      </c>
    </row>
    <row r="4118">
      <c r="F4118" s="8" t="n"/>
      <c r="G4118" s="8">
        <f>IF(E4118="","",E4118*F4118)</f>
        <v/>
      </c>
      <c r="H4118" s="8">
        <f>IF(G4118="","",G4118-I4118)</f>
        <v/>
      </c>
      <c r="I4118" s="8">
        <f>IF(D4118="","",VLOOKUP(D4118, RECETTES!B:G, 6, FALSE)*E4118)</f>
        <v/>
      </c>
      <c r="J4118" s="8">
        <f>IF(G4118="","",G4118*0.20)</f>
        <v/>
      </c>
      <c r="K4118" s="8">
        <f>IF(G4118="","",G4118+J4118)</f>
        <v/>
      </c>
    </row>
    <row r="4119">
      <c r="F4119" s="8" t="n"/>
      <c r="G4119" s="8">
        <f>IF(E4119="","",E4119*F4119)</f>
        <v/>
      </c>
      <c r="H4119" s="8">
        <f>IF(G4119="","",G4119-I4119)</f>
        <v/>
      </c>
      <c r="I4119" s="8">
        <f>IF(D4119="","",VLOOKUP(D4119, RECETTES!B:G, 6, FALSE)*E4119)</f>
        <v/>
      </c>
      <c r="J4119" s="8">
        <f>IF(G4119="","",G4119*0.20)</f>
        <v/>
      </c>
      <c r="K4119" s="8">
        <f>IF(G4119="","",G4119+J4119)</f>
        <v/>
      </c>
    </row>
    <row r="4120">
      <c r="F4120" s="8" t="n"/>
      <c r="G4120" s="8">
        <f>IF(E4120="","",E4120*F4120)</f>
        <v/>
      </c>
      <c r="H4120" s="8">
        <f>IF(G4120="","",G4120-I4120)</f>
        <v/>
      </c>
      <c r="I4120" s="8">
        <f>IF(D4120="","",VLOOKUP(D4120, RECETTES!B:G, 6, FALSE)*E4120)</f>
        <v/>
      </c>
      <c r="J4120" s="8">
        <f>IF(G4120="","",G4120*0.20)</f>
        <v/>
      </c>
      <c r="K4120" s="8">
        <f>IF(G4120="","",G4120+J4120)</f>
        <v/>
      </c>
    </row>
    <row r="4121">
      <c r="F4121" s="8" t="n"/>
      <c r="G4121" s="8">
        <f>IF(E4121="","",E4121*F4121)</f>
        <v/>
      </c>
      <c r="H4121" s="8">
        <f>IF(G4121="","",G4121-I4121)</f>
        <v/>
      </c>
      <c r="I4121" s="8">
        <f>IF(D4121="","",VLOOKUP(D4121, RECETTES!B:G, 6, FALSE)*E4121)</f>
        <v/>
      </c>
      <c r="J4121" s="8">
        <f>IF(G4121="","",G4121*0.20)</f>
        <v/>
      </c>
      <c r="K4121" s="8">
        <f>IF(G4121="","",G4121+J4121)</f>
        <v/>
      </c>
    </row>
    <row r="4122">
      <c r="F4122" s="8" t="n"/>
      <c r="G4122" s="8">
        <f>IF(E4122="","",E4122*F4122)</f>
        <v/>
      </c>
      <c r="H4122" s="8">
        <f>IF(G4122="","",G4122-I4122)</f>
        <v/>
      </c>
      <c r="I4122" s="8">
        <f>IF(D4122="","",VLOOKUP(D4122, RECETTES!B:G, 6, FALSE)*E4122)</f>
        <v/>
      </c>
      <c r="J4122" s="8">
        <f>IF(G4122="","",G4122*0.20)</f>
        <v/>
      </c>
      <c r="K4122" s="8">
        <f>IF(G4122="","",G4122+J4122)</f>
        <v/>
      </c>
    </row>
    <row r="4123">
      <c r="F4123" s="8" t="n"/>
      <c r="G4123" s="8">
        <f>IF(E4123="","",E4123*F4123)</f>
        <v/>
      </c>
      <c r="H4123" s="8">
        <f>IF(G4123="","",G4123-I4123)</f>
        <v/>
      </c>
      <c r="I4123" s="8">
        <f>IF(D4123="","",VLOOKUP(D4123, RECETTES!B:G, 6, FALSE)*E4123)</f>
        <v/>
      </c>
      <c r="J4123" s="8">
        <f>IF(G4123="","",G4123*0.20)</f>
        <v/>
      </c>
      <c r="K4123" s="8">
        <f>IF(G4123="","",G4123+J4123)</f>
        <v/>
      </c>
    </row>
    <row r="4124">
      <c r="F4124" s="8" t="n"/>
      <c r="G4124" s="8">
        <f>IF(E4124="","",E4124*F4124)</f>
        <v/>
      </c>
      <c r="H4124" s="8">
        <f>IF(G4124="","",G4124-I4124)</f>
        <v/>
      </c>
      <c r="I4124" s="8">
        <f>IF(D4124="","",VLOOKUP(D4124, RECETTES!B:G, 6, FALSE)*E4124)</f>
        <v/>
      </c>
      <c r="J4124" s="8">
        <f>IF(G4124="","",G4124*0.20)</f>
        <v/>
      </c>
      <c r="K4124" s="8">
        <f>IF(G4124="","",G4124+J4124)</f>
        <v/>
      </c>
    </row>
    <row r="4125">
      <c r="F4125" s="8" t="n"/>
      <c r="G4125" s="8">
        <f>IF(E4125="","",E4125*F4125)</f>
        <v/>
      </c>
      <c r="H4125" s="8">
        <f>IF(G4125="","",G4125-I4125)</f>
        <v/>
      </c>
      <c r="I4125" s="8">
        <f>IF(D4125="","",VLOOKUP(D4125, RECETTES!B:G, 6, FALSE)*E4125)</f>
        <v/>
      </c>
      <c r="J4125" s="8">
        <f>IF(G4125="","",G4125*0.20)</f>
        <v/>
      </c>
      <c r="K4125" s="8">
        <f>IF(G4125="","",G4125+J4125)</f>
        <v/>
      </c>
    </row>
    <row r="4126">
      <c r="F4126" s="8" t="n"/>
      <c r="G4126" s="8">
        <f>IF(E4126="","",E4126*F4126)</f>
        <v/>
      </c>
      <c r="H4126" s="8">
        <f>IF(G4126="","",G4126-I4126)</f>
        <v/>
      </c>
      <c r="I4126" s="8">
        <f>IF(D4126="","",VLOOKUP(D4126, RECETTES!B:G, 6, FALSE)*E4126)</f>
        <v/>
      </c>
      <c r="J4126" s="8">
        <f>IF(G4126="","",G4126*0.20)</f>
        <v/>
      </c>
      <c r="K4126" s="8">
        <f>IF(G4126="","",G4126+J4126)</f>
        <v/>
      </c>
    </row>
    <row r="4127">
      <c r="F4127" s="8" t="n"/>
      <c r="G4127" s="8">
        <f>IF(E4127="","",E4127*F4127)</f>
        <v/>
      </c>
      <c r="H4127" s="8">
        <f>IF(G4127="","",G4127-I4127)</f>
        <v/>
      </c>
      <c r="I4127" s="8">
        <f>IF(D4127="","",VLOOKUP(D4127, RECETTES!B:G, 6, FALSE)*E4127)</f>
        <v/>
      </c>
      <c r="J4127" s="8">
        <f>IF(G4127="","",G4127*0.20)</f>
        <v/>
      </c>
      <c r="K4127" s="8">
        <f>IF(G4127="","",G4127+J4127)</f>
        <v/>
      </c>
    </row>
    <row r="4128">
      <c r="F4128" s="8" t="n"/>
      <c r="G4128" s="8">
        <f>IF(E4128="","",E4128*F4128)</f>
        <v/>
      </c>
      <c r="H4128" s="8">
        <f>IF(G4128="","",G4128-I4128)</f>
        <v/>
      </c>
      <c r="I4128" s="8">
        <f>IF(D4128="","",VLOOKUP(D4128, RECETTES!B:G, 6, FALSE)*E4128)</f>
        <v/>
      </c>
      <c r="J4128" s="8">
        <f>IF(G4128="","",G4128*0.20)</f>
        <v/>
      </c>
      <c r="K4128" s="8">
        <f>IF(G4128="","",G4128+J4128)</f>
        <v/>
      </c>
    </row>
    <row r="4129">
      <c r="F4129" s="8" t="n"/>
      <c r="G4129" s="8">
        <f>IF(E4129="","",E4129*F4129)</f>
        <v/>
      </c>
      <c r="H4129" s="8">
        <f>IF(G4129="","",G4129-I4129)</f>
        <v/>
      </c>
      <c r="I4129" s="8">
        <f>IF(D4129="","",VLOOKUP(D4129, RECETTES!B:G, 6, FALSE)*E4129)</f>
        <v/>
      </c>
      <c r="J4129" s="8">
        <f>IF(G4129="","",G4129*0.20)</f>
        <v/>
      </c>
      <c r="K4129" s="8">
        <f>IF(G4129="","",G4129+J4129)</f>
        <v/>
      </c>
    </row>
    <row r="4130">
      <c r="F4130" s="8" t="n"/>
      <c r="G4130" s="8">
        <f>IF(E4130="","",E4130*F4130)</f>
        <v/>
      </c>
      <c r="H4130" s="8">
        <f>IF(G4130="","",G4130-I4130)</f>
        <v/>
      </c>
      <c r="I4130" s="8">
        <f>IF(D4130="","",VLOOKUP(D4130, RECETTES!B:G, 6, FALSE)*E4130)</f>
        <v/>
      </c>
      <c r="J4130" s="8">
        <f>IF(G4130="","",G4130*0.20)</f>
        <v/>
      </c>
      <c r="K4130" s="8">
        <f>IF(G4130="","",G4130+J4130)</f>
        <v/>
      </c>
    </row>
    <row r="4131">
      <c r="F4131" s="8" t="n"/>
      <c r="G4131" s="8">
        <f>IF(E4131="","",E4131*F4131)</f>
        <v/>
      </c>
      <c r="H4131" s="8">
        <f>IF(G4131="","",G4131-I4131)</f>
        <v/>
      </c>
      <c r="I4131" s="8">
        <f>IF(D4131="","",VLOOKUP(D4131, RECETTES!B:G, 6, FALSE)*E4131)</f>
        <v/>
      </c>
      <c r="J4131" s="8">
        <f>IF(G4131="","",G4131*0.20)</f>
        <v/>
      </c>
      <c r="K4131" s="8">
        <f>IF(G4131="","",G4131+J4131)</f>
        <v/>
      </c>
    </row>
    <row r="4132">
      <c r="F4132" s="8" t="n"/>
      <c r="G4132" s="8">
        <f>IF(E4132="","",E4132*F4132)</f>
        <v/>
      </c>
      <c r="H4132" s="8">
        <f>IF(G4132="","",G4132-I4132)</f>
        <v/>
      </c>
      <c r="I4132" s="8">
        <f>IF(D4132="","",VLOOKUP(D4132, RECETTES!B:G, 6, FALSE)*E4132)</f>
        <v/>
      </c>
      <c r="J4132" s="8">
        <f>IF(G4132="","",G4132*0.20)</f>
        <v/>
      </c>
      <c r="K4132" s="8">
        <f>IF(G4132="","",G4132+J4132)</f>
        <v/>
      </c>
    </row>
    <row r="4133">
      <c r="F4133" s="8" t="n"/>
      <c r="G4133" s="8">
        <f>IF(E4133="","",E4133*F4133)</f>
        <v/>
      </c>
      <c r="H4133" s="8">
        <f>IF(G4133="","",G4133-I4133)</f>
        <v/>
      </c>
      <c r="I4133" s="8">
        <f>IF(D4133="","",VLOOKUP(D4133, RECETTES!B:G, 6, FALSE)*E4133)</f>
        <v/>
      </c>
      <c r="J4133" s="8">
        <f>IF(G4133="","",G4133*0.20)</f>
        <v/>
      </c>
      <c r="K4133" s="8">
        <f>IF(G4133="","",G4133+J4133)</f>
        <v/>
      </c>
    </row>
    <row r="4134">
      <c r="F4134" s="8" t="n"/>
      <c r="G4134" s="8">
        <f>IF(E4134="","",E4134*F4134)</f>
        <v/>
      </c>
      <c r="H4134" s="8">
        <f>IF(G4134="","",G4134-I4134)</f>
        <v/>
      </c>
      <c r="I4134" s="8">
        <f>IF(D4134="","",VLOOKUP(D4134, RECETTES!B:G, 6, FALSE)*E4134)</f>
        <v/>
      </c>
      <c r="J4134" s="8">
        <f>IF(G4134="","",G4134*0.20)</f>
        <v/>
      </c>
      <c r="K4134" s="8">
        <f>IF(G4134="","",G4134+J4134)</f>
        <v/>
      </c>
    </row>
    <row r="4135">
      <c r="F4135" s="8" t="n"/>
      <c r="G4135" s="8">
        <f>IF(E4135="","",E4135*F4135)</f>
        <v/>
      </c>
      <c r="H4135" s="8">
        <f>IF(G4135="","",G4135-I4135)</f>
        <v/>
      </c>
      <c r="I4135" s="8">
        <f>IF(D4135="","",VLOOKUP(D4135, RECETTES!B:G, 6, FALSE)*E4135)</f>
        <v/>
      </c>
      <c r="J4135" s="8">
        <f>IF(G4135="","",G4135*0.20)</f>
        <v/>
      </c>
      <c r="K4135" s="8">
        <f>IF(G4135="","",G4135+J4135)</f>
        <v/>
      </c>
    </row>
    <row r="4136">
      <c r="F4136" s="8" t="n"/>
      <c r="G4136" s="8">
        <f>IF(E4136="","",E4136*F4136)</f>
        <v/>
      </c>
      <c r="H4136" s="8">
        <f>IF(G4136="","",G4136-I4136)</f>
        <v/>
      </c>
      <c r="I4136" s="8">
        <f>IF(D4136="","",VLOOKUP(D4136, RECETTES!B:G, 6, FALSE)*E4136)</f>
        <v/>
      </c>
      <c r="J4136" s="8">
        <f>IF(G4136="","",G4136*0.20)</f>
        <v/>
      </c>
      <c r="K4136" s="8">
        <f>IF(G4136="","",G4136+J4136)</f>
        <v/>
      </c>
    </row>
    <row r="4137">
      <c r="F4137" s="8" t="n"/>
      <c r="G4137" s="8">
        <f>IF(E4137="","",E4137*F4137)</f>
        <v/>
      </c>
      <c r="H4137" s="8">
        <f>IF(G4137="","",G4137-I4137)</f>
        <v/>
      </c>
      <c r="I4137" s="8">
        <f>IF(D4137="","",VLOOKUP(D4137, RECETTES!B:G, 6, FALSE)*E4137)</f>
        <v/>
      </c>
      <c r="J4137" s="8">
        <f>IF(G4137="","",G4137*0.20)</f>
        <v/>
      </c>
      <c r="K4137" s="8">
        <f>IF(G4137="","",G4137+J4137)</f>
        <v/>
      </c>
    </row>
    <row r="4138">
      <c r="F4138" s="8" t="n"/>
      <c r="G4138" s="8">
        <f>IF(E4138="","",E4138*F4138)</f>
        <v/>
      </c>
      <c r="H4138" s="8">
        <f>IF(G4138="","",G4138-I4138)</f>
        <v/>
      </c>
      <c r="I4138" s="8">
        <f>IF(D4138="","",VLOOKUP(D4138, RECETTES!B:G, 6, FALSE)*E4138)</f>
        <v/>
      </c>
      <c r="J4138" s="8">
        <f>IF(G4138="","",G4138*0.20)</f>
        <v/>
      </c>
      <c r="K4138" s="8">
        <f>IF(G4138="","",G4138+J4138)</f>
        <v/>
      </c>
    </row>
    <row r="4139">
      <c r="F4139" s="8" t="n"/>
      <c r="G4139" s="8">
        <f>IF(E4139="","",E4139*F4139)</f>
        <v/>
      </c>
      <c r="H4139" s="8">
        <f>IF(G4139="","",G4139-I4139)</f>
        <v/>
      </c>
      <c r="I4139" s="8">
        <f>IF(D4139="","",VLOOKUP(D4139, RECETTES!B:G, 6, FALSE)*E4139)</f>
        <v/>
      </c>
      <c r="J4139" s="8">
        <f>IF(G4139="","",G4139*0.20)</f>
        <v/>
      </c>
      <c r="K4139" s="8">
        <f>IF(G4139="","",G4139+J4139)</f>
        <v/>
      </c>
    </row>
    <row r="4140">
      <c r="F4140" s="8" t="n"/>
      <c r="G4140" s="8">
        <f>IF(E4140="","",E4140*F4140)</f>
        <v/>
      </c>
      <c r="H4140" s="8">
        <f>IF(G4140="","",G4140-I4140)</f>
        <v/>
      </c>
      <c r="I4140" s="8">
        <f>IF(D4140="","",VLOOKUP(D4140, RECETTES!B:G, 6, FALSE)*E4140)</f>
        <v/>
      </c>
      <c r="J4140" s="8">
        <f>IF(G4140="","",G4140*0.20)</f>
        <v/>
      </c>
      <c r="K4140" s="8">
        <f>IF(G4140="","",G4140+J4140)</f>
        <v/>
      </c>
    </row>
    <row r="4141">
      <c r="F4141" s="8" t="n"/>
      <c r="G4141" s="8">
        <f>IF(E4141="","",E4141*F4141)</f>
        <v/>
      </c>
      <c r="H4141" s="8">
        <f>IF(G4141="","",G4141-I4141)</f>
        <v/>
      </c>
      <c r="I4141" s="8">
        <f>IF(D4141="","",VLOOKUP(D4141, RECETTES!B:G, 6, FALSE)*E4141)</f>
        <v/>
      </c>
      <c r="J4141" s="8">
        <f>IF(G4141="","",G4141*0.20)</f>
        <v/>
      </c>
      <c r="K4141" s="8">
        <f>IF(G4141="","",G4141+J4141)</f>
        <v/>
      </c>
    </row>
    <row r="4142">
      <c r="F4142" s="8" t="n"/>
      <c r="G4142" s="8">
        <f>IF(E4142="","",E4142*F4142)</f>
        <v/>
      </c>
      <c r="H4142" s="8">
        <f>IF(G4142="","",G4142-I4142)</f>
        <v/>
      </c>
      <c r="I4142" s="8">
        <f>IF(D4142="","",VLOOKUP(D4142, RECETTES!B:G, 6, FALSE)*E4142)</f>
        <v/>
      </c>
      <c r="J4142" s="8">
        <f>IF(G4142="","",G4142*0.20)</f>
        <v/>
      </c>
      <c r="K4142" s="8">
        <f>IF(G4142="","",G4142+J4142)</f>
        <v/>
      </c>
    </row>
    <row r="4143">
      <c r="F4143" s="8" t="n"/>
      <c r="G4143" s="8">
        <f>IF(E4143="","",E4143*F4143)</f>
        <v/>
      </c>
      <c r="H4143" s="8">
        <f>IF(G4143="","",G4143-I4143)</f>
        <v/>
      </c>
      <c r="I4143" s="8">
        <f>IF(D4143="","",VLOOKUP(D4143, RECETTES!B:G, 6, FALSE)*E4143)</f>
        <v/>
      </c>
      <c r="J4143" s="8">
        <f>IF(G4143="","",G4143*0.20)</f>
        <v/>
      </c>
      <c r="K4143" s="8">
        <f>IF(G4143="","",G4143+J4143)</f>
        <v/>
      </c>
    </row>
    <row r="4144">
      <c r="F4144" s="8" t="n"/>
      <c r="G4144" s="8">
        <f>IF(E4144="","",E4144*F4144)</f>
        <v/>
      </c>
      <c r="H4144" s="8">
        <f>IF(G4144="","",G4144-I4144)</f>
        <v/>
      </c>
      <c r="I4144" s="8">
        <f>IF(D4144="","",VLOOKUP(D4144, RECETTES!B:G, 6, FALSE)*E4144)</f>
        <v/>
      </c>
      <c r="J4144" s="8">
        <f>IF(G4144="","",G4144*0.20)</f>
        <v/>
      </c>
      <c r="K4144" s="8">
        <f>IF(G4144="","",G4144+J4144)</f>
        <v/>
      </c>
    </row>
    <row r="4145">
      <c r="F4145" s="8" t="n"/>
      <c r="G4145" s="8">
        <f>IF(E4145="","",E4145*F4145)</f>
        <v/>
      </c>
      <c r="H4145" s="8">
        <f>IF(G4145="","",G4145-I4145)</f>
        <v/>
      </c>
      <c r="I4145" s="8">
        <f>IF(D4145="","",VLOOKUP(D4145, RECETTES!B:G, 6, FALSE)*E4145)</f>
        <v/>
      </c>
      <c r="J4145" s="8">
        <f>IF(G4145="","",G4145*0.20)</f>
        <v/>
      </c>
      <c r="K4145" s="8">
        <f>IF(G4145="","",G4145+J4145)</f>
        <v/>
      </c>
    </row>
    <row r="4146">
      <c r="F4146" s="8" t="n"/>
      <c r="G4146" s="8">
        <f>IF(E4146="","",E4146*F4146)</f>
        <v/>
      </c>
      <c r="H4146" s="8">
        <f>IF(G4146="","",G4146-I4146)</f>
        <v/>
      </c>
      <c r="I4146" s="8">
        <f>IF(D4146="","",VLOOKUP(D4146, RECETTES!B:G, 6, FALSE)*E4146)</f>
        <v/>
      </c>
      <c r="J4146" s="8">
        <f>IF(G4146="","",G4146*0.20)</f>
        <v/>
      </c>
      <c r="K4146" s="8">
        <f>IF(G4146="","",G4146+J4146)</f>
        <v/>
      </c>
    </row>
    <row r="4147">
      <c r="F4147" s="8" t="n"/>
      <c r="G4147" s="8">
        <f>IF(E4147="","",E4147*F4147)</f>
        <v/>
      </c>
      <c r="H4147" s="8">
        <f>IF(G4147="","",G4147-I4147)</f>
        <v/>
      </c>
      <c r="I4147" s="8">
        <f>IF(D4147="","",VLOOKUP(D4147, RECETTES!B:G, 6, FALSE)*E4147)</f>
        <v/>
      </c>
      <c r="J4147" s="8">
        <f>IF(G4147="","",G4147*0.20)</f>
        <v/>
      </c>
      <c r="K4147" s="8">
        <f>IF(G4147="","",G4147+J4147)</f>
        <v/>
      </c>
    </row>
    <row r="4148">
      <c r="F4148" s="8" t="n"/>
      <c r="G4148" s="8">
        <f>IF(E4148="","",E4148*F4148)</f>
        <v/>
      </c>
      <c r="H4148" s="8">
        <f>IF(G4148="","",G4148-I4148)</f>
        <v/>
      </c>
      <c r="I4148" s="8">
        <f>IF(D4148="","",VLOOKUP(D4148, RECETTES!B:G, 6, FALSE)*E4148)</f>
        <v/>
      </c>
      <c r="J4148" s="8">
        <f>IF(G4148="","",G4148*0.20)</f>
        <v/>
      </c>
      <c r="K4148" s="8">
        <f>IF(G4148="","",G4148+J4148)</f>
        <v/>
      </c>
    </row>
    <row r="4149">
      <c r="F4149" s="8" t="n"/>
      <c r="G4149" s="8">
        <f>IF(E4149="","",E4149*F4149)</f>
        <v/>
      </c>
      <c r="H4149" s="8">
        <f>IF(G4149="","",G4149-I4149)</f>
        <v/>
      </c>
      <c r="I4149" s="8">
        <f>IF(D4149="","",VLOOKUP(D4149, RECETTES!B:G, 6, FALSE)*E4149)</f>
        <v/>
      </c>
      <c r="J4149" s="8">
        <f>IF(G4149="","",G4149*0.20)</f>
        <v/>
      </c>
      <c r="K4149" s="8">
        <f>IF(G4149="","",G4149+J4149)</f>
        <v/>
      </c>
    </row>
    <row r="4150">
      <c r="F4150" s="8" t="n"/>
      <c r="G4150" s="8">
        <f>IF(E4150="","",E4150*F4150)</f>
        <v/>
      </c>
      <c r="H4150" s="8">
        <f>IF(G4150="","",G4150-I4150)</f>
        <v/>
      </c>
      <c r="I4150" s="8">
        <f>IF(D4150="","",VLOOKUP(D4150, RECETTES!B:G, 6, FALSE)*E4150)</f>
        <v/>
      </c>
      <c r="J4150" s="8">
        <f>IF(G4150="","",G4150*0.20)</f>
        <v/>
      </c>
      <c r="K4150" s="8">
        <f>IF(G4150="","",G4150+J4150)</f>
        <v/>
      </c>
    </row>
    <row r="4151">
      <c r="F4151" s="8" t="n"/>
      <c r="G4151" s="8">
        <f>IF(E4151="","",E4151*F4151)</f>
        <v/>
      </c>
      <c r="H4151" s="8">
        <f>IF(G4151="","",G4151-I4151)</f>
        <v/>
      </c>
      <c r="I4151" s="8">
        <f>IF(D4151="","",VLOOKUP(D4151, RECETTES!B:G, 6, FALSE)*E4151)</f>
        <v/>
      </c>
      <c r="J4151" s="8">
        <f>IF(G4151="","",G4151*0.20)</f>
        <v/>
      </c>
      <c r="K4151" s="8">
        <f>IF(G4151="","",G4151+J4151)</f>
        <v/>
      </c>
    </row>
    <row r="4152">
      <c r="F4152" s="8" t="n"/>
      <c r="G4152" s="8">
        <f>IF(E4152="","",E4152*F4152)</f>
        <v/>
      </c>
      <c r="H4152" s="8">
        <f>IF(G4152="","",G4152-I4152)</f>
        <v/>
      </c>
      <c r="I4152" s="8">
        <f>IF(D4152="","",VLOOKUP(D4152, RECETTES!B:G, 6, FALSE)*E4152)</f>
        <v/>
      </c>
      <c r="J4152" s="8">
        <f>IF(G4152="","",G4152*0.20)</f>
        <v/>
      </c>
      <c r="K4152" s="8">
        <f>IF(G4152="","",G4152+J4152)</f>
        <v/>
      </c>
    </row>
    <row r="4153">
      <c r="F4153" s="8" t="n"/>
      <c r="G4153" s="8">
        <f>IF(E4153="","",E4153*F4153)</f>
        <v/>
      </c>
      <c r="H4153" s="8">
        <f>IF(G4153="","",G4153-I4153)</f>
        <v/>
      </c>
      <c r="I4153" s="8">
        <f>IF(D4153="","",VLOOKUP(D4153, RECETTES!B:G, 6, FALSE)*E4153)</f>
        <v/>
      </c>
      <c r="J4153" s="8">
        <f>IF(G4153="","",G4153*0.20)</f>
        <v/>
      </c>
      <c r="K4153" s="8">
        <f>IF(G4153="","",G4153+J4153)</f>
        <v/>
      </c>
    </row>
    <row r="4154">
      <c r="F4154" s="8" t="n"/>
      <c r="G4154" s="8">
        <f>IF(E4154="","",E4154*F4154)</f>
        <v/>
      </c>
      <c r="H4154" s="8">
        <f>IF(G4154="","",G4154-I4154)</f>
        <v/>
      </c>
      <c r="I4154" s="8">
        <f>IF(D4154="","",VLOOKUP(D4154, RECETTES!B:G, 6, FALSE)*E4154)</f>
        <v/>
      </c>
      <c r="J4154" s="8">
        <f>IF(G4154="","",G4154*0.20)</f>
        <v/>
      </c>
      <c r="K4154" s="8">
        <f>IF(G4154="","",G4154+J4154)</f>
        <v/>
      </c>
    </row>
    <row r="4155">
      <c r="F4155" s="8" t="n"/>
      <c r="G4155" s="8">
        <f>IF(E4155="","",E4155*F4155)</f>
        <v/>
      </c>
      <c r="H4155" s="8">
        <f>IF(G4155="","",G4155-I4155)</f>
        <v/>
      </c>
      <c r="I4155" s="8">
        <f>IF(D4155="","",VLOOKUP(D4155, RECETTES!B:G, 6, FALSE)*E4155)</f>
        <v/>
      </c>
      <c r="J4155" s="8">
        <f>IF(G4155="","",G4155*0.20)</f>
        <v/>
      </c>
      <c r="K4155" s="8">
        <f>IF(G4155="","",G4155+J4155)</f>
        <v/>
      </c>
    </row>
    <row r="4156">
      <c r="F4156" s="8" t="n"/>
      <c r="G4156" s="8">
        <f>IF(E4156="","",E4156*F4156)</f>
        <v/>
      </c>
      <c r="H4156" s="8">
        <f>IF(G4156="","",G4156-I4156)</f>
        <v/>
      </c>
      <c r="I4156" s="8">
        <f>IF(D4156="","",VLOOKUP(D4156, RECETTES!B:G, 6, FALSE)*E4156)</f>
        <v/>
      </c>
      <c r="J4156" s="8">
        <f>IF(G4156="","",G4156*0.20)</f>
        <v/>
      </c>
      <c r="K4156" s="8">
        <f>IF(G4156="","",G4156+J4156)</f>
        <v/>
      </c>
    </row>
    <row r="4157">
      <c r="F4157" s="8" t="n"/>
      <c r="G4157" s="8">
        <f>IF(E4157="","",E4157*F4157)</f>
        <v/>
      </c>
      <c r="H4157" s="8">
        <f>IF(G4157="","",G4157-I4157)</f>
        <v/>
      </c>
      <c r="I4157" s="8">
        <f>IF(D4157="","",VLOOKUP(D4157, RECETTES!B:G, 6, FALSE)*E4157)</f>
        <v/>
      </c>
      <c r="J4157" s="8">
        <f>IF(G4157="","",G4157*0.20)</f>
        <v/>
      </c>
      <c r="K4157" s="8">
        <f>IF(G4157="","",G4157+J4157)</f>
        <v/>
      </c>
    </row>
    <row r="4158">
      <c r="F4158" s="8" t="n"/>
      <c r="G4158" s="8">
        <f>IF(E4158="","",E4158*F4158)</f>
        <v/>
      </c>
      <c r="H4158" s="8">
        <f>IF(G4158="","",G4158-I4158)</f>
        <v/>
      </c>
      <c r="I4158" s="8">
        <f>IF(D4158="","",VLOOKUP(D4158, RECETTES!B:G, 6, FALSE)*E4158)</f>
        <v/>
      </c>
      <c r="J4158" s="8">
        <f>IF(G4158="","",G4158*0.20)</f>
        <v/>
      </c>
      <c r="K4158" s="8">
        <f>IF(G4158="","",G4158+J4158)</f>
        <v/>
      </c>
    </row>
    <row r="4159">
      <c r="F4159" s="8" t="n"/>
      <c r="G4159" s="8">
        <f>IF(E4159="","",E4159*F4159)</f>
        <v/>
      </c>
      <c r="H4159" s="8">
        <f>IF(G4159="","",G4159-I4159)</f>
        <v/>
      </c>
      <c r="I4159" s="8">
        <f>IF(D4159="","",VLOOKUP(D4159, RECETTES!B:G, 6, FALSE)*E4159)</f>
        <v/>
      </c>
      <c r="J4159" s="8">
        <f>IF(G4159="","",G4159*0.20)</f>
        <v/>
      </c>
      <c r="K4159" s="8">
        <f>IF(G4159="","",G4159+J4159)</f>
        <v/>
      </c>
    </row>
    <row r="4160">
      <c r="F4160" s="8" t="n"/>
      <c r="G4160" s="8">
        <f>IF(E4160="","",E4160*F4160)</f>
        <v/>
      </c>
      <c r="H4160" s="8">
        <f>IF(G4160="","",G4160-I4160)</f>
        <v/>
      </c>
      <c r="I4160" s="8">
        <f>IF(D4160="","",VLOOKUP(D4160, RECETTES!B:G, 6, FALSE)*E4160)</f>
        <v/>
      </c>
      <c r="J4160" s="8">
        <f>IF(G4160="","",G4160*0.20)</f>
        <v/>
      </c>
      <c r="K4160" s="8">
        <f>IF(G4160="","",G4160+J4160)</f>
        <v/>
      </c>
    </row>
    <row r="4161">
      <c r="F4161" s="8" t="n"/>
      <c r="G4161" s="8">
        <f>IF(E4161="","",E4161*F4161)</f>
        <v/>
      </c>
      <c r="H4161" s="8">
        <f>IF(G4161="","",G4161-I4161)</f>
        <v/>
      </c>
      <c r="I4161" s="8">
        <f>IF(D4161="","",VLOOKUP(D4161, RECETTES!B:G, 6, FALSE)*E4161)</f>
        <v/>
      </c>
      <c r="J4161" s="8">
        <f>IF(G4161="","",G4161*0.20)</f>
        <v/>
      </c>
      <c r="K4161" s="8">
        <f>IF(G4161="","",G4161+J4161)</f>
        <v/>
      </c>
    </row>
    <row r="4162">
      <c r="F4162" s="8" t="n"/>
      <c r="G4162" s="8">
        <f>IF(E4162="","",E4162*F4162)</f>
        <v/>
      </c>
      <c r="H4162" s="8">
        <f>IF(G4162="","",G4162-I4162)</f>
        <v/>
      </c>
      <c r="I4162" s="8">
        <f>IF(D4162="","",VLOOKUP(D4162, RECETTES!B:G, 6, FALSE)*E4162)</f>
        <v/>
      </c>
      <c r="J4162" s="8">
        <f>IF(G4162="","",G4162*0.20)</f>
        <v/>
      </c>
      <c r="K4162" s="8">
        <f>IF(G4162="","",G4162+J4162)</f>
        <v/>
      </c>
    </row>
    <row r="4163">
      <c r="F4163" s="8" t="n"/>
      <c r="G4163" s="8">
        <f>IF(E4163="","",E4163*F4163)</f>
        <v/>
      </c>
      <c r="H4163" s="8">
        <f>IF(G4163="","",G4163-I4163)</f>
        <v/>
      </c>
      <c r="I4163" s="8">
        <f>IF(D4163="","",VLOOKUP(D4163, RECETTES!B:G, 6, FALSE)*E4163)</f>
        <v/>
      </c>
      <c r="J4163" s="8">
        <f>IF(G4163="","",G4163*0.20)</f>
        <v/>
      </c>
      <c r="K4163" s="8">
        <f>IF(G4163="","",G4163+J4163)</f>
        <v/>
      </c>
    </row>
    <row r="4164">
      <c r="F4164" s="8" t="n"/>
      <c r="G4164" s="8">
        <f>IF(E4164="","",E4164*F4164)</f>
        <v/>
      </c>
      <c r="H4164" s="8">
        <f>IF(G4164="","",G4164-I4164)</f>
        <v/>
      </c>
      <c r="I4164" s="8">
        <f>IF(D4164="","",VLOOKUP(D4164, RECETTES!B:G, 6, FALSE)*E4164)</f>
        <v/>
      </c>
      <c r="J4164" s="8">
        <f>IF(G4164="","",G4164*0.20)</f>
        <v/>
      </c>
      <c r="K4164" s="8">
        <f>IF(G4164="","",G4164+J4164)</f>
        <v/>
      </c>
    </row>
    <row r="4165">
      <c r="F4165" s="8" t="n"/>
      <c r="G4165" s="8">
        <f>IF(E4165="","",E4165*F4165)</f>
        <v/>
      </c>
      <c r="H4165" s="8">
        <f>IF(G4165="","",G4165-I4165)</f>
        <v/>
      </c>
      <c r="I4165" s="8">
        <f>IF(D4165="","",VLOOKUP(D4165, RECETTES!B:G, 6, FALSE)*E4165)</f>
        <v/>
      </c>
      <c r="J4165" s="8">
        <f>IF(G4165="","",G4165*0.20)</f>
        <v/>
      </c>
      <c r="K4165" s="8">
        <f>IF(G4165="","",G4165+J4165)</f>
        <v/>
      </c>
    </row>
    <row r="4166">
      <c r="F4166" s="8" t="n"/>
      <c r="G4166" s="8">
        <f>IF(E4166="","",E4166*F4166)</f>
        <v/>
      </c>
      <c r="H4166" s="8">
        <f>IF(G4166="","",G4166-I4166)</f>
        <v/>
      </c>
      <c r="I4166" s="8">
        <f>IF(D4166="","",VLOOKUP(D4166, RECETTES!B:G, 6, FALSE)*E4166)</f>
        <v/>
      </c>
      <c r="J4166" s="8">
        <f>IF(G4166="","",G4166*0.20)</f>
        <v/>
      </c>
      <c r="K4166" s="8">
        <f>IF(G4166="","",G4166+J4166)</f>
        <v/>
      </c>
    </row>
    <row r="4167">
      <c r="F4167" s="8" t="n"/>
      <c r="G4167" s="8">
        <f>IF(E4167="","",E4167*F4167)</f>
        <v/>
      </c>
      <c r="H4167" s="8">
        <f>IF(G4167="","",G4167-I4167)</f>
        <v/>
      </c>
      <c r="I4167" s="8">
        <f>IF(D4167="","",VLOOKUP(D4167, RECETTES!B:G, 6, FALSE)*E4167)</f>
        <v/>
      </c>
      <c r="J4167" s="8">
        <f>IF(G4167="","",G4167*0.20)</f>
        <v/>
      </c>
      <c r="K4167" s="8">
        <f>IF(G4167="","",G4167+J4167)</f>
        <v/>
      </c>
    </row>
    <row r="4168">
      <c r="F4168" s="8" t="n"/>
      <c r="G4168" s="8">
        <f>IF(E4168="","",E4168*F4168)</f>
        <v/>
      </c>
      <c r="H4168" s="8">
        <f>IF(G4168="","",G4168-I4168)</f>
        <v/>
      </c>
      <c r="I4168" s="8">
        <f>IF(D4168="","",VLOOKUP(D4168, RECETTES!B:G, 6, FALSE)*E4168)</f>
        <v/>
      </c>
      <c r="J4168" s="8">
        <f>IF(G4168="","",G4168*0.20)</f>
        <v/>
      </c>
      <c r="K4168" s="8">
        <f>IF(G4168="","",G4168+J4168)</f>
        <v/>
      </c>
    </row>
    <row r="4169">
      <c r="F4169" s="8" t="n"/>
      <c r="G4169" s="8">
        <f>IF(E4169="","",E4169*F4169)</f>
        <v/>
      </c>
      <c r="H4169" s="8">
        <f>IF(G4169="","",G4169-I4169)</f>
        <v/>
      </c>
      <c r="I4169" s="8">
        <f>IF(D4169="","",VLOOKUP(D4169, RECETTES!B:G, 6, FALSE)*E4169)</f>
        <v/>
      </c>
      <c r="J4169" s="8">
        <f>IF(G4169="","",G4169*0.20)</f>
        <v/>
      </c>
      <c r="K4169" s="8">
        <f>IF(G4169="","",G4169+J4169)</f>
        <v/>
      </c>
    </row>
    <row r="4170">
      <c r="F4170" s="8" t="n"/>
      <c r="G4170" s="8">
        <f>IF(E4170="","",E4170*F4170)</f>
        <v/>
      </c>
      <c r="H4170" s="8">
        <f>IF(G4170="","",G4170-I4170)</f>
        <v/>
      </c>
      <c r="I4170" s="8">
        <f>IF(D4170="","",VLOOKUP(D4170, RECETTES!B:G, 6, FALSE)*E4170)</f>
        <v/>
      </c>
      <c r="J4170" s="8">
        <f>IF(G4170="","",G4170*0.20)</f>
        <v/>
      </c>
      <c r="K4170" s="8">
        <f>IF(G4170="","",G4170+J4170)</f>
        <v/>
      </c>
    </row>
    <row r="4171">
      <c r="F4171" s="8" t="n"/>
      <c r="G4171" s="8">
        <f>IF(E4171="","",E4171*F4171)</f>
        <v/>
      </c>
      <c r="H4171" s="8">
        <f>IF(G4171="","",G4171-I4171)</f>
        <v/>
      </c>
      <c r="I4171" s="8">
        <f>IF(D4171="","",VLOOKUP(D4171, RECETTES!B:G, 6, FALSE)*E4171)</f>
        <v/>
      </c>
      <c r="J4171" s="8">
        <f>IF(G4171="","",G4171*0.20)</f>
        <v/>
      </c>
      <c r="K4171" s="8">
        <f>IF(G4171="","",G4171+J4171)</f>
        <v/>
      </c>
    </row>
    <row r="4172">
      <c r="F4172" s="8" t="n"/>
      <c r="G4172" s="8">
        <f>IF(E4172="","",E4172*F4172)</f>
        <v/>
      </c>
      <c r="H4172" s="8">
        <f>IF(G4172="","",G4172-I4172)</f>
        <v/>
      </c>
      <c r="I4172" s="8">
        <f>IF(D4172="","",VLOOKUP(D4172, RECETTES!B:G, 6, FALSE)*E4172)</f>
        <v/>
      </c>
      <c r="J4172" s="8">
        <f>IF(G4172="","",G4172*0.20)</f>
        <v/>
      </c>
      <c r="K4172" s="8">
        <f>IF(G4172="","",G4172+J4172)</f>
        <v/>
      </c>
    </row>
    <row r="4173">
      <c r="F4173" s="8" t="n"/>
      <c r="G4173" s="8">
        <f>IF(E4173="","",E4173*F4173)</f>
        <v/>
      </c>
      <c r="H4173" s="8">
        <f>IF(G4173="","",G4173-I4173)</f>
        <v/>
      </c>
      <c r="I4173" s="8">
        <f>IF(D4173="","",VLOOKUP(D4173, RECETTES!B:G, 6, FALSE)*E4173)</f>
        <v/>
      </c>
      <c r="J4173" s="8">
        <f>IF(G4173="","",G4173*0.20)</f>
        <v/>
      </c>
      <c r="K4173" s="8">
        <f>IF(G4173="","",G4173+J4173)</f>
        <v/>
      </c>
    </row>
    <row r="4174">
      <c r="F4174" s="8" t="n"/>
      <c r="G4174" s="8">
        <f>IF(E4174="","",E4174*F4174)</f>
        <v/>
      </c>
      <c r="H4174" s="8">
        <f>IF(G4174="","",G4174-I4174)</f>
        <v/>
      </c>
      <c r="I4174" s="8">
        <f>IF(D4174="","",VLOOKUP(D4174, RECETTES!B:G, 6, FALSE)*E4174)</f>
        <v/>
      </c>
      <c r="J4174" s="8">
        <f>IF(G4174="","",G4174*0.20)</f>
        <v/>
      </c>
      <c r="K4174" s="8">
        <f>IF(G4174="","",G4174+J4174)</f>
        <v/>
      </c>
    </row>
    <row r="4175">
      <c r="F4175" s="8" t="n"/>
      <c r="G4175" s="8">
        <f>IF(E4175="","",E4175*F4175)</f>
        <v/>
      </c>
      <c r="H4175" s="8">
        <f>IF(G4175="","",G4175-I4175)</f>
        <v/>
      </c>
      <c r="I4175" s="8">
        <f>IF(D4175="","",VLOOKUP(D4175, RECETTES!B:G, 6, FALSE)*E4175)</f>
        <v/>
      </c>
      <c r="J4175" s="8">
        <f>IF(G4175="","",G4175*0.20)</f>
        <v/>
      </c>
      <c r="K4175" s="8">
        <f>IF(G4175="","",G4175+J4175)</f>
        <v/>
      </c>
    </row>
    <row r="4176">
      <c r="F4176" s="8" t="n"/>
      <c r="G4176" s="8">
        <f>IF(E4176="","",E4176*F4176)</f>
        <v/>
      </c>
      <c r="H4176" s="8">
        <f>IF(G4176="","",G4176-I4176)</f>
        <v/>
      </c>
      <c r="I4176" s="8">
        <f>IF(D4176="","",VLOOKUP(D4176, RECETTES!B:G, 6, FALSE)*E4176)</f>
        <v/>
      </c>
      <c r="J4176" s="8">
        <f>IF(G4176="","",G4176*0.20)</f>
        <v/>
      </c>
      <c r="K4176" s="8">
        <f>IF(G4176="","",G4176+J4176)</f>
        <v/>
      </c>
    </row>
    <row r="4177">
      <c r="F4177" s="8" t="n"/>
      <c r="G4177" s="8">
        <f>IF(E4177="","",E4177*F4177)</f>
        <v/>
      </c>
      <c r="H4177" s="8">
        <f>IF(G4177="","",G4177-I4177)</f>
        <v/>
      </c>
      <c r="I4177" s="8">
        <f>IF(D4177="","",VLOOKUP(D4177, RECETTES!B:G, 6, FALSE)*E4177)</f>
        <v/>
      </c>
      <c r="J4177" s="8">
        <f>IF(G4177="","",G4177*0.20)</f>
        <v/>
      </c>
      <c r="K4177" s="8">
        <f>IF(G4177="","",G4177+J4177)</f>
        <v/>
      </c>
    </row>
    <row r="4178">
      <c r="F4178" s="8" t="n"/>
      <c r="G4178" s="8">
        <f>IF(E4178="","",E4178*F4178)</f>
        <v/>
      </c>
      <c r="H4178" s="8">
        <f>IF(G4178="","",G4178-I4178)</f>
        <v/>
      </c>
      <c r="I4178" s="8">
        <f>IF(D4178="","",VLOOKUP(D4178, RECETTES!B:G, 6, FALSE)*E4178)</f>
        <v/>
      </c>
      <c r="J4178" s="8">
        <f>IF(G4178="","",G4178*0.20)</f>
        <v/>
      </c>
      <c r="K4178" s="8">
        <f>IF(G4178="","",G4178+J4178)</f>
        <v/>
      </c>
    </row>
    <row r="4179">
      <c r="F4179" s="8" t="n"/>
      <c r="G4179" s="8">
        <f>IF(E4179="","",E4179*F4179)</f>
        <v/>
      </c>
      <c r="H4179" s="8">
        <f>IF(G4179="","",G4179-I4179)</f>
        <v/>
      </c>
      <c r="I4179" s="8">
        <f>IF(D4179="","",VLOOKUP(D4179, RECETTES!B:G, 6, FALSE)*E4179)</f>
        <v/>
      </c>
      <c r="J4179" s="8">
        <f>IF(G4179="","",G4179*0.20)</f>
        <v/>
      </c>
      <c r="K4179" s="8">
        <f>IF(G4179="","",G4179+J4179)</f>
        <v/>
      </c>
    </row>
    <row r="4180">
      <c r="F4180" s="8" t="n"/>
      <c r="G4180" s="8">
        <f>IF(E4180="","",E4180*F4180)</f>
        <v/>
      </c>
      <c r="H4180" s="8">
        <f>IF(G4180="","",G4180-I4180)</f>
        <v/>
      </c>
      <c r="I4180" s="8">
        <f>IF(D4180="","",VLOOKUP(D4180, RECETTES!B:G, 6, FALSE)*E4180)</f>
        <v/>
      </c>
      <c r="J4180" s="8">
        <f>IF(G4180="","",G4180*0.20)</f>
        <v/>
      </c>
      <c r="K4180" s="8">
        <f>IF(G4180="","",G4180+J4180)</f>
        <v/>
      </c>
    </row>
    <row r="4181">
      <c r="F4181" s="8" t="n"/>
      <c r="G4181" s="8">
        <f>IF(E4181="","",E4181*F4181)</f>
        <v/>
      </c>
      <c r="H4181" s="8">
        <f>IF(G4181="","",G4181-I4181)</f>
        <v/>
      </c>
      <c r="I4181" s="8">
        <f>IF(D4181="","",VLOOKUP(D4181, RECETTES!B:G, 6, FALSE)*E4181)</f>
        <v/>
      </c>
      <c r="J4181" s="8">
        <f>IF(G4181="","",G4181*0.20)</f>
        <v/>
      </c>
      <c r="K4181" s="8">
        <f>IF(G4181="","",G4181+J4181)</f>
        <v/>
      </c>
    </row>
    <row r="4182">
      <c r="F4182" s="8" t="n"/>
      <c r="G4182" s="8">
        <f>IF(E4182="","",E4182*F4182)</f>
        <v/>
      </c>
      <c r="H4182" s="8">
        <f>IF(G4182="","",G4182-I4182)</f>
        <v/>
      </c>
      <c r="I4182" s="8">
        <f>IF(D4182="","",VLOOKUP(D4182, RECETTES!B:G, 6, FALSE)*E4182)</f>
        <v/>
      </c>
      <c r="J4182" s="8">
        <f>IF(G4182="","",G4182*0.20)</f>
        <v/>
      </c>
      <c r="K4182" s="8">
        <f>IF(G4182="","",G4182+J4182)</f>
        <v/>
      </c>
    </row>
    <row r="4183">
      <c r="F4183" s="8" t="n"/>
      <c r="G4183" s="8">
        <f>IF(E4183="","",E4183*F4183)</f>
        <v/>
      </c>
      <c r="H4183" s="8">
        <f>IF(G4183="","",G4183-I4183)</f>
        <v/>
      </c>
      <c r="I4183" s="8">
        <f>IF(D4183="","",VLOOKUP(D4183, RECETTES!B:G, 6, FALSE)*E4183)</f>
        <v/>
      </c>
      <c r="J4183" s="8">
        <f>IF(G4183="","",G4183*0.20)</f>
        <v/>
      </c>
      <c r="K4183" s="8">
        <f>IF(G4183="","",G4183+J4183)</f>
        <v/>
      </c>
    </row>
    <row r="4184">
      <c r="F4184" s="8" t="n"/>
      <c r="G4184" s="8">
        <f>IF(E4184="","",E4184*F4184)</f>
        <v/>
      </c>
      <c r="H4184" s="8">
        <f>IF(G4184="","",G4184-I4184)</f>
        <v/>
      </c>
      <c r="I4184" s="8">
        <f>IF(D4184="","",VLOOKUP(D4184, RECETTES!B:G, 6, FALSE)*E4184)</f>
        <v/>
      </c>
      <c r="J4184" s="8">
        <f>IF(G4184="","",G4184*0.20)</f>
        <v/>
      </c>
      <c r="K4184" s="8">
        <f>IF(G4184="","",G4184+J4184)</f>
        <v/>
      </c>
    </row>
    <row r="4185">
      <c r="F4185" s="8" t="n"/>
      <c r="G4185" s="8">
        <f>IF(E4185="","",E4185*F4185)</f>
        <v/>
      </c>
      <c r="H4185" s="8">
        <f>IF(G4185="","",G4185-I4185)</f>
        <v/>
      </c>
      <c r="I4185" s="8">
        <f>IF(D4185="","",VLOOKUP(D4185, RECETTES!B:G, 6, FALSE)*E4185)</f>
        <v/>
      </c>
      <c r="J4185" s="8">
        <f>IF(G4185="","",G4185*0.20)</f>
        <v/>
      </c>
      <c r="K4185" s="8">
        <f>IF(G4185="","",G4185+J4185)</f>
        <v/>
      </c>
    </row>
    <row r="4186">
      <c r="F4186" s="8" t="n"/>
      <c r="G4186" s="8">
        <f>IF(E4186="","",E4186*F4186)</f>
        <v/>
      </c>
      <c r="H4186" s="8">
        <f>IF(G4186="","",G4186-I4186)</f>
        <v/>
      </c>
      <c r="I4186" s="8">
        <f>IF(D4186="","",VLOOKUP(D4186, RECETTES!B:G, 6, FALSE)*E4186)</f>
        <v/>
      </c>
      <c r="J4186" s="8">
        <f>IF(G4186="","",G4186*0.20)</f>
        <v/>
      </c>
      <c r="K4186" s="8">
        <f>IF(G4186="","",G4186+J4186)</f>
        <v/>
      </c>
    </row>
    <row r="4187">
      <c r="F4187" s="8" t="n"/>
      <c r="G4187" s="8">
        <f>IF(E4187="","",E4187*F4187)</f>
        <v/>
      </c>
      <c r="H4187" s="8">
        <f>IF(G4187="","",G4187-I4187)</f>
        <v/>
      </c>
      <c r="I4187" s="8">
        <f>IF(D4187="","",VLOOKUP(D4187, RECETTES!B:G, 6, FALSE)*E4187)</f>
        <v/>
      </c>
      <c r="J4187" s="8">
        <f>IF(G4187="","",G4187*0.20)</f>
        <v/>
      </c>
      <c r="K4187" s="8">
        <f>IF(G4187="","",G4187+J4187)</f>
        <v/>
      </c>
    </row>
    <row r="4188">
      <c r="F4188" s="8" t="n"/>
      <c r="G4188" s="8">
        <f>IF(E4188="","",E4188*F4188)</f>
        <v/>
      </c>
      <c r="H4188" s="8">
        <f>IF(G4188="","",G4188-I4188)</f>
        <v/>
      </c>
      <c r="I4188" s="8">
        <f>IF(D4188="","",VLOOKUP(D4188, RECETTES!B:G, 6, FALSE)*E4188)</f>
        <v/>
      </c>
      <c r="J4188" s="8">
        <f>IF(G4188="","",G4188*0.20)</f>
        <v/>
      </c>
      <c r="K4188" s="8">
        <f>IF(G4188="","",G4188+J4188)</f>
        <v/>
      </c>
    </row>
    <row r="4189">
      <c r="F4189" s="8" t="n"/>
      <c r="G4189" s="8">
        <f>IF(E4189="","",E4189*F4189)</f>
        <v/>
      </c>
      <c r="H4189" s="8">
        <f>IF(G4189="","",G4189-I4189)</f>
        <v/>
      </c>
      <c r="I4189" s="8">
        <f>IF(D4189="","",VLOOKUP(D4189, RECETTES!B:G, 6, FALSE)*E4189)</f>
        <v/>
      </c>
      <c r="J4189" s="8">
        <f>IF(G4189="","",G4189*0.20)</f>
        <v/>
      </c>
      <c r="K4189" s="8">
        <f>IF(G4189="","",G4189+J4189)</f>
        <v/>
      </c>
    </row>
    <row r="4190">
      <c r="F4190" s="8" t="n"/>
      <c r="G4190" s="8">
        <f>IF(E4190="","",E4190*F4190)</f>
        <v/>
      </c>
      <c r="H4190" s="8">
        <f>IF(G4190="","",G4190-I4190)</f>
        <v/>
      </c>
      <c r="I4190" s="8">
        <f>IF(D4190="","",VLOOKUP(D4190, RECETTES!B:G, 6, FALSE)*E4190)</f>
        <v/>
      </c>
      <c r="J4190" s="8">
        <f>IF(G4190="","",G4190*0.20)</f>
        <v/>
      </c>
      <c r="K4190" s="8">
        <f>IF(G4190="","",G4190+J4190)</f>
        <v/>
      </c>
    </row>
    <row r="4191">
      <c r="F4191" s="8" t="n"/>
      <c r="G4191" s="8">
        <f>IF(E4191="","",E4191*F4191)</f>
        <v/>
      </c>
      <c r="H4191" s="8">
        <f>IF(G4191="","",G4191-I4191)</f>
        <v/>
      </c>
      <c r="I4191" s="8">
        <f>IF(D4191="","",VLOOKUP(D4191, RECETTES!B:G, 6, FALSE)*E4191)</f>
        <v/>
      </c>
      <c r="J4191" s="8">
        <f>IF(G4191="","",G4191*0.20)</f>
        <v/>
      </c>
      <c r="K4191" s="8">
        <f>IF(G4191="","",G4191+J4191)</f>
        <v/>
      </c>
    </row>
    <row r="4192">
      <c r="F4192" s="8" t="n"/>
      <c r="G4192" s="8">
        <f>IF(E4192="","",E4192*F4192)</f>
        <v/>
      </c>
      <c r="H4192" s="8">
        <f>IF(G4192="","",G4192-I4192)</f>
        <v/>
      </c>
      <c r="I4192" s="8">
        <f>IF(D4192="","",VLOOKUP(D4192, RECETTES!B:G, 6, FALSE)*E4192)</f>
        <v/>
      </c>
      <c r="J4192" s="8">
        <f>IF(G4192="","",G4192*0.20)</f>
        <v/>
      </c>
      <c r="K4192" s="8">
        <f>IF(G4192="","",G4192+J4192)</f>
        <v/>
      </c>
    </row>
    <row r="4193">
      <c r="F4193" s="8" t="n"/>
      <c r="G4193" s="8">
        <f>IF(E4193="","",E4193*F4193)</f>
        <v/>
      </c>
      <c r="H4193" s="8">
        <f>IF(G4193="","",G4193-I4193)</f>
        <v/>
      </c>
      <c r="I4193" s="8">
        <f>IF(D4193="","",VLOOKUP(D4193, RECETTES!B:G, 6, FALSE)*E4193)</f>
        <v/>
      </c>
      <c r="J4193" s="8">
        <f>IF(G4193="","",G4193*0.20)</f>
        <v/>
      </c>
      <c r="K4193" s="8">
        <f>IF(G4193="","",G4193+J4193)</f>
        <v/>
      </c>
    </row>
    <row r="4194">
      <c r="F4194" s="8" t="n"/>
      <c r="G4194" s="8">
        <f>IF(E4194="","",E4194*F4194)</f>
        <v/>
      </c>
      <c r="H4194" s="8">
        <f>IF(G4194="","",G4194-I4194)</f>
        <v/>
      </c>
      <c r="I4194" s="8">
        <f>IF(D4194="","",VLOOKUP(D4194, RECETTES!B:G, 6, FALSE)*E4194)</f>
        <v/>
      </c>
      <c r="J4194" s="8">
        <f>IF(G4194="","",G4194*0.20)</f>
        <v/>
      </c>
      <c r="K4194" s="8">
        <f>IF(G4194="","",G4194+J4194)</f>
        <v/>
      </c>
    </row>
    <row r="4195">
      <c r="F4195" s="8" t="n"/>
      <c r="G4195" s="8">
        <f>IF(E4195="","",E4195*F4195)</f>
        <v/>
      </c>
      <c r="H4195" s="8">
        <f>IF(G4195="","",G4195-I4195)</f>
        <v/>
      </c>
      <c r="I4195" s="8">
        <f>IF(D4195="","",VLOOKUP(D4195, RECETTES!B:G, 6, FALSE)*E4195)</f>
        <v/>
      </c>
      <c r="J4195" s="8">
        <f>IF(G4195="","",G4195*0.20)</f>
        <v/>
      </c>
      <c r="K4195" s="8">
        <f>IF(G4195="","",G4195+J4195)</f>
        <v/>
      </c>
    </row>
    <row r="4196">
      <c r="F4196" s="8" t="n"/>
      <c r="G4196" s="8">
        <f>IF(E4196="","",E4196*F4196)</f>
        <v/>
      </c>
      <c r="H4196" s="8">
        <f>IF(G4196="","",G4196-I4196)</f>
        <v/>
      </c>
      <c r="I4196" s="8">
        <f>IF(D4196="","",VLOOKUP(D4196, RECETTES!B:G, 6, FALSE)*E4196)</f>
        <v/>
      </c>
      <c r="J4196" s="8">
        <f>IF(G4196="","",G4196*0.20)</f>
        <v/>
      </c>
      <c r="K4196" s="8">
        <f>IF(G4196="","",G4196+J4196)</f>
        <v/>
      </c>
    </row>
    <row r="4197">
      <c r="F4197" s="8" t="n"/>
      <c r="G4197" s="8">
        <f>IF(E4197="","",E4197*F4197)</f>
        <v/>
      </c>
      <c r="H4197" s="8">
        <f>IF(G4197="","",G4197-I4197)</f>
        <v/>
      </c>
      <c r="I4197" s="8">
        <f>IF(D4197="","",VLOOKUP(D4197, RECETTES!B:G, 6, FALSE)*E4197)</f>
        <v/>
      </c>
      <c r="J4197" s="8">
        <f>IF(G4197="","",G4197*0.20)</f>
        <v/>
      </c>
      <c r="K4197" s="8">
        <f>IF(G4197="","",G4197+J4197)</f>
        <v/>
      </c>
    </row>
    <row r="4198">
      <c r="F4198" s="8" t="n"/>
      <c r="G4198" s="8">
        <f>IF(E4198="","",E4198*F4198)</f>
        <v/>
      </c>
      <c r="H4198" s="8">
        <f>IF(G4198="","",G4198-I4198)</f>
        <v/>
      </c>
      <c r="I4198" s="8">
        <f>IF(D4198="","",VLOOKUP(D4198, RECETTES!B:G, 6, FALSE)*E4198)</f>
        <v/>
      </c>
      <c r="J4198" s="8">
        <f>IF(G4198="","",G4198*0.20)</f>
        <v/>
      </c>
      <c r="K4198" s="8">
        <f>IF(G4198="","",G4198+J4198)</f>
        <v/>
      </c>
    </row>
    <row r="4199">
      <c r="F4199" s="8" t="n"/>
      <c r="G4199" s="8">
        <f>IF(E4199="","",E4199*F4199)</f>
        <v/>
      </c>
      <c r="H4199" s="8">
        <f>IF(G4199="","",G4199-I4199)</f>
        <v/>
      </c>
      <c r="I4199" s="8">
        <f>IF(D4199="","",VLOOKUP(D4199, RECETTES!B:G, 6, FALSE)*E4199)</f>
        <v/>
      </c>
      <c r="J4199" s="8">
        <f>IF(G4199="","",G4199*0.20)</f>
        <v/>
      </c>
      <c r="K4199" s="8">
        <f>IF(G4199="","",G4199+J4199)</f>
        <v/>
      </c>
    </row>
    <row r="4200">
      <c r="F4200" s="8" t="n"/>
      <c r="G4200" s="8">
        <f>IF(E4200="","",E4200*F4200)</f>
        <v/>
      </c>
      <c r="H4200" s="8">
        <f>IF(G4200="","",G4200-I4200)</f>
        <v/>
      </c>
      <c r="I4200" s="8">
        <f>IF(D4200="","",VLOOKUP(D4200, RECETTES!B:G, 6, FALSE)*E4200)</f>
        <v/>
      </c>
      <c r="J4200" s="8">
        <f>IF(G4200="","",G4200*0.20)</f>
        <v/>
      </c>
      <c r="K4200" s="8">
        <f>IF(G4200="","",G4200+J4200)</f>
        <v/>
      </c>
    </row>
    <row r="4201">
      <c r="F4201" s="8" t="n"/>
      <c r="G4201" s="8">
        <f>IF(E4201="","",E4201*F4201)</f>
        <v/>
      </c>
      <c r="H4201" s="8">
        <f>IF(G4201="","",G4201-I4201)</f>
        <v/>
      </c>
      <c r="I4201" s="8">
        <f>IF(D4201="","",VLOOKUP(D4201, RECETTES!B:G, 6, FALSE)*E4201)</f>
        <v/>
      </c>
      <c r="J4201" s="8">
        <f>IF(G4201="","",G4201*0.20)</f>
        <v/>
      </c>
      <c r="K4201" s="8">
        <f>IF(G4201="","",G4201+J4201)</f>
        <v/>
      </c>
    </row>
    <row r="4202">
      <c r="F4202" s="8" t="n"/>
      <c r="G4202" s="8">
        <f>IF(E4202="","",E4202*F4202)</f>
        <v/>
      </c>
      <c r="H4202" s="8">
        <f>IF(G4202="","",G4202-I4202)</f>
        <v/>
      </c>
      <c r="I4202" s="8">
        <f>IF(D4202="","",VLOOKUP(D4202, RECETTES!B:G, 6, FALSE)*E4202)</f>
        <v/>
      </c>
      <c r="J4202" s="8">
        <f>IF(G4202="","",G4202*0.20)</f>
        <v/>
      </c>
      <c r="K4202" s="8">
        <f>IF(G4202="","",G4202+J4202)</f>
        <v/>
      </c>
    </row>
    <row r="4203">
      <c r="F4203" s="8" t="n"/>
      <c r="G4203" s="8">
        <f>IF(E4203="","",E4203*F4203)</f>
        <v/>
      </c>
      <c r="H4203" s="8">
        <f>IF(G4203="","",G4203-I4203)</f>
        <v/>
      </c>
      <c r="I4203" s="8">
        <f>IF(D4203="","",VLOOKUP(D4203, RECETTES!B:G, 6, FALSE)*E4203)</f>
        <v/>
      </c>
      <c r="J4203" s="8">
        <f>IF(G4203="","",G4203*0.20)</f>
        <v/>
      </c>
      <c r="K4203" s="8">
        <f>IF(G4203="","",G4203+J4203)</f>
        <v/>
      </c>
    </row>
    <row r="4204">
      <c r="F4204" s="8" t="n"/>
      <c r="G4204" s="8">
        <f>IF(E4204="","",E4204*F4204)</f>
        <v/>
      </c>
      <c r="H4204" s="8">
        <f>IF(G4204="","",G4204-I4204)</f>
        <v/>
      </c>
      <c r="I4204" s="8">
        <f>IF(D4204="","",VLOOKUP(D4204, RECETTES!B:G, 6, FALSE)*E4204)</f>
        <v/>
      </c>
      <c r="J4204" s="8">
        <f>IF(G4204="","",G4204*0.20)</f>
        <v/>
      </c>
      <c r="K4204" s="8">
        <f>IF(G4204="","",G4204+J4204)</f>
        <v/>
      </c>
    </row>
    <row r="4205">
      <c r="F4205" s="8" t="n"/>
      <c r="G4205" s="8">
        <f>IF(E4205="","",E4205*F4205)</f>
        <v/>
      </c>
      <c r="H4205" s="8">
        <f>IF(G4205="","",G4205-I4205)</f>
        <v/>
      </c>
      <c r="I4205" s="8">
        <f>IF(D4205="","",VLOOKUP(D4205, RECETTES!B:G, 6, FALSE)*E4205)</f>
        <v/>
      </c>
      <c r="J4205" s="8">
        <f>IF(G4205="","",G4205*0.20)</f>
        <v/>
      </c>
      <c r="K4205" s="8">
        <f>IF(G4205="","",G4205+J4205)</f>
        <v/>
      </c>
    </row>
    <row r="4206">
      <c r="F4206" s="8" t="n"/>
      <c r="G4206" s="8">
        <f>IF(E4206="","",E4206*F4206)</f>
        <v/>
      </c>
      <c r="H4206" s="8">
        <f>IF(G4206="","",G4206-I4206)</f>
        <v/>
      </c>
      <c r="I4206" s="8">
        <f>IF(D4206="","",VLOOKUP(D4206, RECETTES!B:G, 6, FALSE)*E4206)</f>
        <v/>
      </c>
      <c r="J4206" s="8">
        <f>IF(G4206="","",G4206*0.20)</f>
        <v/>
      </c>
      <c r="K4206" s="8">
        <f>IF(G4206="","",G4206+J4206)</f>
        <v/>
      </c>
    </row>
    <row r="4207">
      <c r="F4207" s="8" t="n"/>
      <c r="G4207" s="8">
        <f>IF(E4207="","",E4207*F4207)</f>
        <v/>
      </c>
      <c r="H4207" s="8">
        <f>IF(G4207="","",G4207-I4207)</f>
        <v/>
      </c>
      <c r="I4207" s="8">
        <f>IF(D4207="","",VLOOKUP(D4207, RECETTES!B:G, 6, FALSE)*E4207)</f>
        <v/>
      </c>
      <c r="J4207" s="8">
        <f>IF(G4207="","",G4207*0.20)</f>
        <v/>
      </c>
      <c r="K4207" s="8">
        <f>IF(G4207="","",G4207+J4207)</f>
        <v/>
      </c>
    </row>
    <row r="4208">
      <c r="F4208" s="8" t="n"/>
      <c r="G4208" s="8">
        <f>IF(E4208="","",E4208*F4208)</f>
        <v/>
      </c>
      <c r="H4208" s="8">
        <f>IF(G4208="","",G4208-I4208)</f>
        <v/>
      </c>
      <c r="I4208" s="8">
        <f>IF(D4208="","",VLOOKUP(D4208, RECETTES!B:G, 6, FALSE)*E4208)</f>
        <v/>
      </c>
      <c r="J4208" s="8">
        <f>IF(G4208="","",G4208*0.20)</f>
        <v/>
      </c>
      <c r="K4208" s="8">
        <f>IF(G4208="","",G4208+J4208)</f>
        <v/>
      </c>
    </row>
    <row r="4209">
      <c r="F4209" s="8" t="n"/>
      <c r="G4209" s="8">
        <f>IF(E4209="","",E4209*F4209)</f>
        <v/>
      </c>
      <c r="H4209" s="8">
        <f>IF(G4209="","",G4209-I4209)</f>
        <v/>
      </c>
      <c r="I4209" s="8">
        <f>IF(D4209="","",VLOOKUP(D4209, RECETTES!B:G, 6, FALSE)*E4209)</f>
        <v/>
      </c>
      <c r="J4209" s="8">
        <f>IF(G4209="","",G4209*0.20)</f>
        <v/>
      </c>
      <c r="K4209" s="8">
        <f>IF(G4209="","",G4209+J4209)</f>
        <v/>
      </c>
    </row>
    <row r="4210">
      <c r="F4210" s="8" t="n"/>
      <c r="G4210" s="8">
        <f>IF(E4210="","",E4210*F4210)</f>
        <v/>
      </c>
      <c r="H4210" s="8">
        <f>IF(G4210="","",G4210-I4210)</f>
        <v/>
      </c>
      <c r="I4210" s="8">
        <f>IF(D4210="","",VLOOKUP(D4210, RECETTES!B:G, 6, FALSE)*E4210)</f>
        <v/>
      </c>
      <c r="J4210" s="8">
        <f>IF(G4210="","",G4210*0.20)</f>
        <v/>
      </c>
      <c r="K4210" s="8">
        <f>IF(G4210="","",G4210+J4210)</f>
        <v/>
      </c>
    </row>
    <row r="4211">
      <c r="F4211" s="8" t="n"/>
      <c r="G4211" s="8">
        <f>IF(E4211="","",E4211*F4211)</f>
        <v/>
      </c>
      <c r="H4211" s="8">
        <f>IF(G4211="","",G4211-I4211)</f>
        <v/>
      </c>
      <c r="I4211" s="8">
        <f>IF(D4211="","",VLOOKUP(D4211, RECETTES!B:G, 6, FALSE)*E4211)</f>
        <v/>
      </c>
      <c r="J4211" s="8">
        <f>IF(G4211="","",G4211*0.20)</f>
        <v/>
      </c>
      <c r="K4211" s="8">
        <f>IF(G4211="","",G4211+J4211)</f>
        <v/>
      </c>
    </row>
    <row r="4212">
      <c r="F4212" s="8" t="n"/>
      <c r="G4212" s="8">
        <f>IF(E4212="","",E4212*F4212)</f>
        <v/>
      </c>
      <c r="H4212" s="8">
        <f>IF(G4212="","",G4212-I4212)</f>
        <v/>
      </c>
      <c r="I4212" s="8">
        <f>IF(D4212="","",VLOOKUP(D4212, RECETTES!B:G, 6, FALSE)*E4212)</f>
        <v/>
      </c>
      <c r="J4212" s="8">
        <f>IF(G4212="","",G4212*0.20)</f>
        <v/>
      </c>
      <c r="K4212" s="8">
        <f>IF(G4212="","",G4212+J4212)</f>
        <v/>
      </c>
    </row>
    <row r="4213">
      <c r="F4213" s="8" t="n"/>
      <c r="G4213" s="8">
        <f>IF(E4213="","",E4213*F4213)</f>
        <v/>
      </c>
      <c r="H4213" s="8">
        <f>IF(G4213="","",G4213-I4213)</f>
        <v/>
      </c>
      <c r="I4213" s="8">
        <f>IF(D4213="","",VLOOKUP(D4213, RECETTES!B:G, 6, FALSE)*E4213)</f>
        <v/>
      </c>
      <c r="J4213" s="8">
        <f>IF(G4213="","",G4213*0.20)</f>
        <v/>
      </c>
      <c r="K4213" s="8">
        <f>IF(G4213="","",G4213+J4213)</f>
        <v/>
      </c>
    </row>
    <row r="4214">
      <c r="F4214" s="8" t="n"/>
      <c r="G4214" s="8">
        <f>IF(E4214="","",E4214*F4214)</f>
        <v/>
      </c>
      <c r="H4214" s="8">
        <f>IF(G4214="","",G4214-I4214)</f>
        <v/>
      </c>
      <c r="I4214" s="8">
        <f>IF(D4214="","",VLOOKUP(D4214, RECETTES!B:G, 6, FALSE)*E4214)</f>
        <v/>
      </c>
      <c r="J4214" s="8">
        <f>IF(G4214="","",G4214*0.20)</f>
        <v/>
      </c>
      <c r="K4214" s="8">
        <f>IF(G4214="","",G4214+J4214)</f>
        <v/>
      </c>
    </row>
    <row r="4215">
      <c r="F4215" s="8" t="n"/>
      <c r="G4215" s="8">
        <f>IF(E4215="","",E4215*F4215)</f>
        <v/>
      </c>
      <c r="H4215" s="8">
        <f>IF(G4215="","",G4215-I4215)</f>
        <v/>
      </c>
      <c r="I4215" s="8">
        <f>IF(D4215="","",VLOOKUP(D4215, RECETTES!B:G, 6, FALSE)*E4215)</f>
        <v/>
      </c>
      <c r="J4215" s="8">
        <f>IF(G4215="","",G4215*0.20)</f>
        <v/>
      </c>
      <c r="K4215" s="8">
        <f>IF(G4215="","",G4215+J4215)</f>
        <v/>
      </c>
    </row>
    <row r="4216">
      <c r="F4216" s="8" t="n"/>
      <c r="G4216" s="8">
        <f>IF(E4216="","",E4216*F4216)</f>
        <v/>
      </c>
      <c r="H4216" s="8">
        <f>IF(G4216="","",G4216-I4216)</f>
        <v/>
      </c>
      <c r="I4216" s="8">
        <f>IF(D4216="","",VLOOKUP(D4216, RECETTES!B:G, 6, FALSE)*E4216)</f>
        <v/>
      </c>
      <c r="J4216" s="8">
        <f>IF(G4216="","",G4216*0.20)</f>
        <v/>
      </c>
      <c r="K4216" s="8">
        <f>IF(G4216="","",G4216+J4216)</f>
        <v/>
      </c>
    </row>
    <row r="4217">
      <c r="F4217" s="8" t="n"/>
      <c r="G4217" s="8">
        <f>IF(E4217="","",E4217*F4217)</f>
        <v/>
      </c>
      <c r="H4217" s="8">
        <f>IF(G4217="","",G4217-I4217)</f>
        <v/>
      </c>
      <c r="I4217" s="8">
        <f>IF(D4217="","",VLOOKUP(D4217, RECETTES!B:G, 6, FALSE)*E4217)</f>
        <v/>
      </c>
      <c r="J4217" s="8">
        <f>IF(G4217="","",G4217*0.20)</f>
        <v/>
      </c>
      <c r="K4217" s="8">
        <f>IF(G4217="","",G4217+J4217)</f>
        <v/>
      </c>
    </row>
    <row r="4218">
      <c r="F4218" s="8" t="n"/>
      <c r="G4218" s="8">
        <f>IF(E4218="","",E4218*F4218)</f>
        <v/>
      </c>
      <c r="H4218" s="8">
        <f>IF(G4218="","",G4218-I4218)</f>
        <v/>
      </c>
      <c r="I4218" s="8">
        <f>IF(D4218="","",VLOOKUP(D4218, RECETTES!B:G, 6, FALSE)*E4218)</f>
        <v/>
      </c>
      <c r="J4218" s="8">
        <f>IF(G4218="","",G4218*0.20)</f>
        <v/>
      </c>
      <c r="K4218" s="8">
        <f>IF(G4218="","",G4218+J4218)</f>
        <v/>
      </c>
    </row>
    <row r="4219">
      <c r="F4219" s="8" t="n"/>
      <c r="G4219" s="8">
        <f>IF(E4219="","",E4219*F4219)</f>
        <v/>
      </c>
      <c r="H4219" s="8">
        <f>IF(G4219="","",G4219-I4219)</f>
        <v/>
      </c>
      <c r="I4219" s="8">
        <f>IF(D4219="","",VLOOKUP(D4219, RECETTES!B:G, 6, FALSE)*E4219)</f>
        <v/>
      </c>
      <c r="J4219" s="8">
        <f>IF(G4219="","",G4219*0.20)</f>
        <v/>
      </c>
      <c r="K4219" s="8">
        <f>IF(G4219="","",G4219+J4219)</f>
        <v/>
      </c>
    </row>
    <row r="4220">
      <c r="F4220" s="8" t="n"/>
      <c r="G4220" s="8">
        <f>IF(E4220="","",E4220*F4220)</f>
        <v/>
      </c>
      <c r="H4220" s="8">
        <f>IF(G4220="","",G4220-I4220)</f>
        <v/>
      </c>
      <c r="I4220" s="8">
        <f>IF(D4220="","",VLOOKUP(D4220, RECETTES!B:G, 6, FALSE)*E4220)</f>
        <v/>
      </c>
      <c r="J4220" s="8">
        <f>IF(G4220="","",G4220*0.20)</f>
        <v/>
      </c>
      <c r="K4220" s="8">
        <f>IF(G4220="","",G4220+J4220)</f>
        <v/>
      </c>
    </row>
    <row r="4221">
      <c r="F4221" s="8" t="n"/>
      <c r="G4221" s="8">
        <f>IF(E4221="","",E4221*F4221)</f>
        <v/>
      </c>
      <c r="H4221" s="8">
        <f>IF(G4221="","",G4221-I4221)</f>
        <v/>
      </c>
      <c r="I4221" s="8">
        <f>IF(D4221="","",VLOOKUP(D4221, RECETTES!B:G, 6, FALSE)*E4221)</f>
        <v/>
      </c>
      <c r="J4221" s="8">
        <f>IF(G4221="","",G4221*0.20)</f>
        <v/>
      </c>
      <c r="K4221" s="8">
        <f>IF(G4221="","",G4221+J4221)</f>
        <v/>
      </c>
    </row>
    <row r="4222">
      <c r="F4222" s="8" t="n"/>
      <c r="G4222" s="8">
        <f>IF(E4222="","",E4222*F4222)</f>
        <v/>
      </c>
      <c r="H4222" s="8">
        <f>IF(G4222="","",G4222-I4222)</f>
        <v/>
      </c>
      <c r="I4222" s="8">
        <f>IF(D4222="","",VLOOKUP(D4222, RECETTES!B:G, 6, FALSE)*E4222)</f>
        <v/>
      </c>
      <c r="J4222" s="8">
        <f>IF(G4222="","",G4222*0.20)</f>
        <v/>
      </c>
      <c r="K4222" s="8">
        <f>IF(G4222="","",G4222+J4222)</f>
        <v/>
      </c>
    </row>
    <row r="4223">
      <c r="F4223" s="8" t="n"/>
      <c r="G4223" s="8">
        <f>IF(E4223="","",E4223*F4223)</f>
        <v/>
      </c>
      <c r="H4223" s="8">
        <f>IF(G4223="","",G4223-I4223)</f>
        <v/>
      </c>
      <c r="I4223" s="8">
        <f>IF(D4223="","",VLOOKUP(D4223, RECETTES!B:G, 6, FALSE)*E4223)</f>
        <v/>
      </c>
      <c r="J4223" s="8">
        <f>IF(G4223="","",G4223*0.20)</f>
        <v/>
      </c>
      <c r="K4223" s="8">
        <f>IF(G4223="","",G4223+J4223)</f>
        <v/>
      </c>
    </row>
    <row r="4224">
      <c r="F4224" s="8" t="n"/>
      <c r="G4224" s="8">
        <f>IF(E4224="","",E4224*F4224)</f>
        <v/>
      </c>
      <c r="H4224" s="8">
        <f>IF(G4224="","",G4224-I4224)</f>
        <v/>
      </c>
      <c r="I4224" s="8">
        <f>IF(D4224="","",VLOOKUP(D4224, RECETTES!B:G, 6, FALSE)*E4224)</f>
        <v/>
      </c>
      <c r="J4224" s="8">
        <f>IF(G4224="","",G4224*0.20)</f>
        <v/>
      </c>
      <c r="K4224" s="8">
        <f>IF(G4224="","",G4224+J4224)</f>
        <v/>
      </c>
    </row>
    <row r="4225">
      <c r="F4225" s="8" t="n"/>
      <c r="G4225" s="8">
        <f>IF(E4225="","",E4225*F4225)</f>
        <v/>
      </c>
      <c r="H4225" s="8">
        <f>IF(G4225="","",G4225-I4225)</f>
        <v/>
      </c>
      <c r="I4225" s="8">
        <f>IF(D4225="","",VLOOKUP(D4225, RECETTES!B:G, 6, FALSE)*E4225)</f>
        <v/>
      </c>
      <c r="J4225" s="8">
        <f>IF(G4225="","",G4225*0.20)</f>
        <v/>
      </c>
      <c r="K4225" s="8">
        <f>IF(G4225="","",G4225+J4225)</f>
        <v/>
      </c>
    </row>
    <row r="4226">
      <c r="F4226" s="8" t="n"/>
      <c r="G4226" s="8">
        <f>IF(E4226="","",E4226*F4226)</f>
        <v/>
      </c>
      <c r="H4226" s="8">
        <f>IF(G4226="","",G4226-I4226)</f>
        <v/>
      </c>
      <c r="I4226" s="8">
        <f>IF(D4226="","",VLOOKUP(D4226, RECETTES!B:G, 6, FALSE)*E4226)</f>
        <v/>
      </c>
      <c r="J4226" s="8">
        <f>IF(G4226="","",G4226*0.20)</f>
        <v/>
      </c>
      <c r="K4226" s="8">
        <f>IF(G4226="","",G4226+J4226)</f>
        <v/>
      </c>
    </row>
    <row r="4227">
      <c r="F4227" s="8" t="n"/>
      <c r="G4227" s="8">
        <f>IF(E4227="","",E4227*F4227)</f>
        <v/>
      </c>
      <c r="H4227" s="8">
        <f>IF(G4227="","",G4227-I4227)</f>
        <v/>
      </c>
      <c r="I4227" s="8">
        <f>IF(D4227="","",VLOOKUP(D4227, RECETTES!B:G, 6, FALSE)*E4227)</f>
        <v/>
      </c>
      <c r="J4227" s="8">
        <f>IF(G4227="","",G4227*0.20)</f>
        <v/>
      </c>
      <c r="K4227" s="8">
        <f>IF(G4227="","",G4227+J4227)</f>
        <v/>
      </c>
    </row>
    <row r="4228">
      <c r="F4228" s="8" t="n"/>
      <c r="G4228" s="8">
        <f>IF(E4228="","",E4228*F4228)</f>
        <v/>
      </c>
      <c r="H4228" s="8">
        <f>IF(G4228="","",G4228-I4228)</f>
        <v/>
      </c>
      <c r="I4228" s="8">
        <f>IF(D4228="","",VLOOKUP(D4228, RECETTES!B:G, 6, FALSE)*E4228)</f>
        <v/>
      </c>
      <c r="J4228" s="8">
        <f>IF(G4228="","",G4228*0.20)</f>
        <v/>
      </c>
      <c r="K4228" s="8">
        <f>IF(G4228="","",G4228+J4228)</f>
        <v/>
      </c>
    </row>
    <row r="4229">
      <c r="F4229" s="8" t="n"/>
      <c r="G4229" s="8">
        <f>IF(E4229="","",E4229*F4229)</f>
        <v/>
      </c>
      <c r="H4229" s="8">
        <f>IF(G4229="","",G4229-I4229)</f>
        <v/>
      </c>
      <c r="I4229" s="8">
        <f>IF(D4229="","",VLOOKUP(D4229, RECETTES!B:G, 6, FALSE)*E4229)</f>
        <v/>
      </c>
      <c r="J4229" s="8">
        <f>IF(G4229="","",G4229*0.20)</f>
        <v/>
      </c>
      <c r="K4229" s="8">
        <f>IF(G4229="","",G4229+J4229)</f>
        <v/>
      </c>
    </row>
    <row r="4230">
      <c r="F4230" s="8" t="n"/>
      <c r="G4230" s="8">
        <f>IF(E4230="","",E4230*F4230)</f>
        <v/>
      </c>
      <c r="H4230" s="8">
        <f>IF(G4230="","",G4230-I4230)</f>
        <v/>
      </c>
      <c r="I4230" s="8">
        <f>IF(D4230="","",VLOOKUP(D4230, RECETTES!B:G, 6, FALSE)*E4230)</f>
        <v/>
      </c>
      <c r="J4230" s="8">
        <f>IF(G4230="","",G4230*0.20)</f>
        <v/>
      </c>
      <c r="K4230" s="8">
        <f>IF(G4230="","",G4230+J4230)</f>
        <v/>
      </c>
    </row>
    <row r="4231">
      <c r="F4231" s="8" t="n"/>
      <c r="G4231" s="8">
        <f>IF(E4231="","",E4231*F4231)</f>
        <v/>
      </c>
      <c r="H4231" s="8">
        <f>IF(G4231="","",G4231-I4231)</f>
        <v/>
      </c>
      <c r="I4231" s="8">
        <f>IF(D4231="","",VLOOKUP(D4231, RECETTES!B:G, 6, FALSE)*E4231)</f>
        <v/>
      </c>
      <c r="J4231" s="8">
        <f>IF(G4231="","",G4231*0.20)</f>
        <v/>
      </c>
      <c r="K4231" s="8">
        <f>IF(G4231="","",G4231+J4231)</f>
        <v/>
      </c>
    </row>
    <row r="4232">
      <c r="F4232" s="8" t="n"/>
      <c r="G4232" s="8">
        <f>IF(E4232="","",E4232*F4232)</f>
        <v/>
      </c>
      <c r="H4232" s="8">
        <f>IF(G4232="","",G4232-I4232)</f>
        <v/>
      </c>
      <c r="I4232" s="8">
        <f>IF(D4232="","",VLOOKUP(D4232, RECETTES!B:G, 6, FALSE)*E4232)</f>
        <v/>
      </c>
      <c r="J4232" s="8">
        <f>IF(G4232="","",G4232*0.20)</f>
        <v/>
      </c>
      <c r="K4232" s="8">
        <f>IF(G4232="","",G4232+J4232)</f>
        <v/>
      </c>
    </row>
    <row r="4233">
      <c r="F4233" s="8" t="n"/>
      <c r="G4233" s="8">
        <f>IF(E4233="","",E4233*F4233)</f>
        <v/>
      </c>
      <c r="H4233" s="8">
        <f>IF(G4233="","",G4233-I4233)</f>
        <v/>
      </c>
      <c r="I4233" s="8">
        <f>IF(D4233="","",VLOOKUP(D4233, RECETTES!B:G, 6, FALSE)*E4233)</f>
        <v/>
      </c>
      <c r="J4233" s="8">
        <f>IF(G4233="","",G4233*0.20)</f>
        <v/>
      </c>
      <c r="K4233" s="8">
        <f>IF(G4233="","",G4233+J4233)</f>
        <v/>
      </c>
    </row>
    <row r="4234">
      <c r="F4234" s="8" t="n"/>
      <c r="G4234" s="8">
        <f>IF(E4234="","",E4234*F4234)</f>
        <v/>
      </c>
      <c r="H4234" s="8">
        <f>IF(G4234="","",G4234-I4234)</f>
        <v/>
      </c>
      <c r="I4234" s="8">
        <f>IF(D4234="","",VLOOKUP(D4234, RECETTES!B:G, 6, FALSE)*E4234)</f>
        <v/>
      </c>
      <c r="J4234" s="8">
        <f>IF(G4234="","",G4234*0.20)</f>
        <v/>
      </c>
      <c r="K4234" s="8">
        <f>IF(G4234="","",G4234+J4234)</f>
        <v/>
      </c>
    </row>
    <row r="4235">
      <c r="F4235" s="8" t="n"/>
      <c r="G4235" s="8">
        <f>IF(E4235="","",E4235*F4235)</f>
        <v/>
      </c>
      <c r="H4235" s="8">
        <f>IF(G4235="","",G4235-I4235)</f>
        <v/>
      </c>
      <c r="I4235" s="8">
        <f>IF(D4235="","",VLOOKUP(D4235, RECETTES!B:G, 6, FALSE)*E4235)</f>
        <v/>
      </c>
      <c r="J4235" s="8">
        <f>IF(G4235="","",G4235*0.20)</f>
        <v/>
      </c>
      <c r="K4235" s="8">
        <f>IF(G4235="","",G4235+J4235)</f>
        <v/>
      </c>
    </row>
    <row r="4236">
      <c r="F4236" s="8" t="n"/>
      <c r="G4236" s="8">
        <f>IF(E4236="","",E4236*F4236)</f>
        <v/>
      </c>
      <c r="H4236" s="8">
        <f>IF(G4236="","",G4236-I4236)</f>
        <v/>
      </c>
      <c r="I4236" s="8">
        <f>IF(D4236="","",VLOOKUP(D4236, RECETTES!B:G, 6, FALSE)*E4236)</f>
        <v/>
      </c>
      <c r="J4236" s="8">
        <f>IF(G4236="","",G4236*0.20)</f>
        <v/>
      </c>
      <c r="K4236" s="8">
        <f>IF(G4236="","",G4236+J4236)</f>
        <v/>
      </c>
    </row>
    <row r="4237">
      <c r="F4237" s="8" t="n"/>
      <c r="G4237" s="8">
        <f>IF(E4237="","",E4237*F4237)</f>
        <v/>
      </c>
      <c r="H4237" s="8">
        <f>IF(G4237="","",G4237-I4237)</f>
        <v/>
      </c>
      <c r="I4237" s="8">
        <f>IF(D4237="","",VLOOKUP(D4237, RECETTES!B:G, 6, FALSE)*E4237)</f>
        <v/>
      </c>
      <c r="J4237" s="8">
        <f>IF(G4237="","",G4237*0.20)</f>
        <v/>
      </c>
      <c r="K4237" s="8">
        <f>IF(G4237="","",G4237+J4237)</f>
        <v/>
      </c>
    </row>
    <row r="4238">
      <c r="F4238" s="8" t="n"/>
      <c r="G4238" s="8">
        <f>IF(E4238="","",E4238*F4238)</f>
        <v/>
      </c>
      <c r="H4238" s="8">
        <f>IF(G4238="","",G4238-I4238)</f>
        <v/>
      </c>
      <c r="I4238" s="8">
        <f>IF(D4238="","",VLOOKUP(D4238, RECETTES!B:G, 6, FALSE)*E4238)</f>
        <v/>
      </c>
      <c r="J4238" s="8">
        <f>IF(G4238="","",G4238*0.20)</f>
        <v/>
      </c>
      <c r="K4238" s="8">
        <f>IF(G4238="","",G4238+J4238)</f>
        <v/>
      </c>
    </row>
    <row r="4239">
      <c r="F4239" s="8" t="n"/>
      <c r="G4239" s="8">
        <f>IF(E4239="","",E4239*F4239)</f>
        <v/>
      </c>
      <c r="H4239" s="8">
        <f>IF(G4239="","",G4239-I4239)</f>
        <v/>
      </c>
      <c r="I4239" s="8">
        <f>IF(D4239="","",VLOOKUP(D4239, RECETTES!B:G, 6, FALSE)*E4239)</f>
        <v/>
      </c>
      <c r="J4239" s="8">
        <f>IF(G4239="","",G4239*0.20)</f>
        <v/>
      </c>
      <c r="K4239" s="8">
        <f>IF(G4239="","",G4239+J4239)</f>
        <v/>
      </c>
    </row>
    <row r="4240">
      <c r="F4240" s="8" t="n"/>
      <c r="G4240" s="8">
        <f>IF(E4240="","",E4240*F4240)</f>
        <v/>
      </c>
      <c r="H4240" s="8">
        <f>IF(G4240="","",G4240-I4240)</f>
        <v/>
      </c>
      <c r="I4240" s="8">
        <f>IF(D4240="","",VLOOKUP(D4240, RECETTES!B:G, 6, FALSE)*E4240)</f>
        <v/>
      </c>
      <c r="J4240" s="8">
        <f>IF(G4240="","",G4240*0.20)</f>
        <v/>
      </c>
      <c r="K4240" s="8">
        <f>IF(G4240="","",G4240+J4240)</f>
        <v/>
      </c>
    </row>
    <row r="4241">
      <c r="F4241" s="8" t="n"/>
      <c r="G4241" s="8">
        <f>IF(E4241="","",E4241*F4241)</f>
        <v/>
      </c>
      <c r="H4241" s="8">
        <f>IF(G4241="","",G4241-I4241)</f>
        <v/>
      </c>
      <c r="I4241" s="8">
        <f>IF(D4241="","",VLOOKUP(D4241, RECETTES!B:G, 6, FALSE)*E4241)</f>
        <v/>
      </c>
      <c r="J4241" s="8">
        <f>IF(G4241="","",G4241*0.20)</f>
        <v/>
      </c>
      <c r="K4241" s="8">
        <f>IF(G4241="","",G4241+J4241)</f>
        <v/>
      </c>
    </row>
    <row r="4242">
      <c r="F4242" s="8" t="n"/>
      <c r="G4242" s="8">
        <f>IF(E4242="","",E4242*F4242)</f>
        <v/>
      </c>
      <c r="H4242" s="8">
        <f>IF(G4242="","",G4242-I4242)</f>
        <v/>
      </c>
      <c r="I4242" s="8">
        <f>IF(D4242="","",VLOOKUP(D4242, RECETTES!B:G, 6, FALSE)*E4242)</f>
        <v/>
      </c>
      <c r="J4242" s="8">
        <f>IF(G4242="","",G4242*0.20)</f>
        <v/>
      </c>
      <c r="K4242" s="8">
        <f>IF(G4242="","",G4242+J4242)</f>
        <v/>
      </c>
    </row>
    <row r="4243">
      <c r="F4243" s="8" t="n"/>
      <c r="G4243" s="8">
        <f>IF(E4243="","",E4243*F4243)</f>
        <v/>
      </c>
      <c r="H4243" s="8">
        <f>IF(G4243="","",G4243-I4243)</f>
        <v/>
      </c>
      <c r="I4243" s="8">
        <f>IF(D4243="","",VLOOKUP(D4243, RECETTES!B:G, 6, FALSE)*E4243)</f>
        <v/>
      </c>
      <c r="J4243" s="8">
        <f>IF(G4243="","",G4243*0.20)</f>
        <v/>
      </c>
      <c r="K4243" s="8">
        <f>IF(G4243="","",G4243+J4243)</f>
        <v/>
      </c>
    </row>
    <row r="4244">
      <c r="F4244" s="8" t="n"/>
      <c r="G4244" s="8">
        <f>IF(E4244="","",E4244*F4244)</f>
        <v/>
      </c>
      <c r="H4244" s="8">
        <f>IF(G4244="","",G4244-I4244)</f>
        <v/>
      </c>
      <c r="I4244" s="8">
        <f>IF(D4244="","",VLOOKUP(D4244, RECETTES!B:G, 6, FALSE)*E4244)</f>
        <v/>
      </c>
      <c r="J4244" s="8">
        <f>IF(G4244="","",G4244*0.20)</f>
        <v/>
      </c>
      <c r="K4244" s="8">
        <f>IF(G4244="","",G4244+J4244)</f>
        <v/>
      </c>
    </row>
    <row r="4245">
      <c r="F4245" s="8" t="n"/>
      <c r="G4245" s="8">
        <f>IF(E4245="","",E4245*F4245)</f>
        <v/>
      </c>
      <c r="H4245" s="8">
        <f>IF(G4245="","",G4245-I4245)</f>
        <v/>
      </c>
      <c r="I4245" s="8">
        <f>IF(D4245="","",VLOOKUP(D4245, RECETTES!B:G, 6, FALSE)*E4245)</f>
        <v/>
      </c>
      <c r="J4245" s="8">
        <f>IF(G4245="","",G4245*0.20)</f>
        <v/>
      </c>
      <c r="K4245" s="8">
        <f>IF(G4245="","",G4245+J4245)</f>
        <v/>
      </c>
    </row>
    <row r="4246">
      <c r="F4246" s="8" t="n"/>
      <c r="G4246" s="8">
        <f>IF(E4246="","",E4246*F4246)</f>
        <v/>
      </c>
      <c r="H4246" s="8">
        <f>IF(G4246="","",G4246-I4246)</f>
        <v/>
      </c>
      <c r="I4246" s="8">
        <f>IF(D4246="","",VLOOKUP(D4246, RECETTES!B:G, 6, FALSE)*E4246)</f>
        <v/>
      </c>
      <c r="J4246" s="8">
        <f>IF(G4246="","",G4246*0.20)</f>
        <v/>
      </c>
      <c r="K4246" s="8">
        <f>IF(G4246="","",G4246+J4246)</f>
        <v/>
      </c>
    </row>
    <row r="4247">
      <c r="F4247" s="8" t="n"/>
      <c r="G4247" s="8">
        <f>IF(E4247="","",E4247*F4247)</f>
        <v/>
      </c>
      <c r="H4247" s="8">
        <f>IF(G4247="","",G4247-I4247)</f>
        <v/>
      </c>
      <c r="I4247" s="8">
        <f>IF(D4247="","",VLOOKUP(D4247, RECETTES!B:G, 6, FALSE)*E4247)</f>
        <v/>
      </c>
      <c r="J4247" s="8">
        <f>IF(G4247="","",G4247*0.20)</f>
        <v/>
      </c>
      <c r="K4247" s="8">
        <f>IF(G4247="","",G4247+J4247)</f>
        <v/>
      </c>
    </row>
    <row r="4248">
      <c r="F4248" s="8" t="n"/>
      <c r="G4248" s="8">
        <f>IF(E4248="","",E4248*F4248)</f>
        <v/>
      </c>
      <c r="H4248" s="8">
        <f>IF(G4248="","",G4248-I4248)</f>
        <v/>
      </c>
      <c r="I4248" s="8">
        <f>IF(D4248="","",VLOOKUP(D4248, RECETTES!B:G, 6, FALSE)*E4248)</f>
        <v/>
      </c>
      <c r="J4248" s="8">
        <f>IF(G4248="","",G4248*0.20)</f>
        <v/>
      </c>
      <c r="K4248" s="8">
        <f>IF(G4248="","",G4248+J4248)</f>
        <v/>
      </c>
    </row>
    <row r="4249">
      <c r="F4249" s="8" t="n"/>
      <c r="G4249" s="8">
        <f>IF(E4249="","",E4249*F4249)</f>
        <v/>
      </c>
      <c r="H4249" s="8">
        <f>IF(G4249="","",G4249-I4249)</f>
        <v/>
      </c>
      <c r="I4249" s="8">
        <f>IF(D4249="","",VLOOKUP(D4249, RECETTES!B:G, 6, FALSE)*E4249)</f>
        <v/>
      </c>
      <c r="J4249" s="8">
        <f>IF(G4249="","",G4249*0.20)</f>
        <v/>
      </c>
      <c r="K4249" s="8">
        <f>IF(G4249="","",G4249+J4249)</f>
        <v/>
      </c>
    </row>
    <row r="4250">
      <c r="F4250" s="8" t="n"/>
      <c r="G4250" s="8">
        <f>IF(E4250="","",E4250*F4250)</f>
        <v/>
      </c>
      <c r="H4250" s="8">
        <f>IF(G4250="","",G4250-I4250)</f>
        <v/>
      </c>
      <c r="I4250" s="8">
        <f>IF(D4250="","",VLOOKUP(D4250, RECETTES!B:G, 6, FALSE)*E4250)</f>
        <v/>
      </c>
      <c r="J4250" s="8">
        <f>IF(G4250="","",G4250*0.20)</f>
        <v/>
      </c>
      <c r="K4250" s="8">
        <f>IF(G4250="","",G4250+J4250)</f>
        <v/>
      </c>
    </row>
    <row r="4251">
      <c r="F4251" s="8" t="n"/>
      <c r="G4251" s="8">
        <f>IF(E4251="","",E4251*F4251)</f>
        <v/>
      </c>
      <c r="H4251" s="8">
        <f>IF(G4251="","",G4251-I4251)</f>
        <v/>
      </c>
      <c r="I4251" s="8">
        <f>IF(D4251="","",VLOOKUP(D4251, RECETTES!B:G, 6, FALSE)*E4251)</f>
        <v/>
      </c>
      <c r="J4251" s="8">
        <f>IF(G4251="","",G4251*0.20)</f>
        <v/>
      </c>
      <c r="K4251" s="8">
        <f>IF(G4251="","",G4251+J4251)</f>
        <v/>
      </c>
    </row>
    <row r="4252">
      <c r="F4252" s="8" t="n"/>
      <c r="G4252" s="8">
        <f>IF(E4252="","",E4252*F4252)</f>
        <v/>
      </c>
      <c r="H4252" s="8">
        <f>IF(G4252="","",G4252-I4252)</f>
        <v/>
      </c>
      <c r="I4252" s="8">
        <f>IF(D4252="","",VLOOKUP(D4252, RECETTES!B:G, 6, FALSE)*E4252)</f>
        <v/>
      </c>
      <c r="J4252" s="8">
        <f>IF(G4252="","",G4252*0.20)</f>
        <v/>
      </c>
      <c r="K4252" s="8">
        <f>IF(G4252="","",G4252+J4252)</f>
        <v/>
      </c>
    </row>
    <row r="4253">
      <c r="F4253" s="8" t="n"/>
      <c r="G4253" s="8">
        <f>IF(E4253="","",E4253*F4253)</f>
        <v/>
      </c>
      <c r="H4253" s="8">
        <f>IF(G4253="","",G4253-I4253)</f>
        <v/>
      </c>
      <c r="I4253" s="8">
        <f>IF(D4253="","",VLOOKUP(D4253, RECETTES!B:G, 6, FALSE)*E4253)</f>
        <v/>
      </c>
      <c r="J4253" s="8">
        <f>IF(G4253="","",G4253*0.20)</f>
        <v/>
      </c>
      <c r="K4253" s="8">
        <f>IF(G4253="","",G4253+J4253)</f>
        <v/>
      </c>
    </row>
    <row r="4254">
      <c r="F4254" s="8" t="n"/>
      <c r="G4254" s="8">
        <f>IF(E4254="","",E4254*F4254)</f>
        <v/>
      </c>
      <c r="H4254" s="8">
        <f>IF(G4254="","",G4254-I4254)</f>
        <v/>
      </c>
      <c r="I4254" s="8">
        <f>IF(D4254="","",VLOOKUP(D4254, RECETTES!B:G, 6, FALSE)*E4254)</f>
        <v/>
      </c>
      <c r="J4254" s="8">
        <f>IF(G4254="","",G4254*0.20)</f>
        <v/>
      </c>
      <c r="K4254" s="8">
        <f>IF(G4254="","",G4254+J4254)</f>
        <v/>
      </c>
    </row>
    <row r="4255">
      <c r="F4255" s="8" t="n"/>
      <c r="G4255" s="8">
        <f>IF(E4255="","",E4255*F4255)</f>
        <v/>
      </c>
      <c r="H4255" s="8">
        <f>IF(G4255="","",G4255-I4255)</f>
        <v/>
      </c>
      <c r="I4255" s="8">
        <f>IF(D4255="","",VLOOKUP(D4255, RECETTES!B:G, 6, FALSE)*E4255)</f>
        <v/>
      </c>
      <c r="J4255" s="8">
        <f>IF(G4255="","",G4255*0.20)</f>
        <v/>
      </c>
      <c r="K4255" s="8">
        <f>IF(G4255="","",G4255+J4255)</f>
        <v/>
      </c>
    </row>
    <row r="4256">
      <c r="F4256" s="8" t="n"/>
      <c r="G4256" s="8">
        <f>IF(E4256="","",E4256*F4256)</f>
        <v/>
      </c>
      <c r="H4256" s="8">
        <f>IF(G4256="","",G4256-I4256)</f>
        <v/>
      </c>
      <c r="I4256" s="8">
        <f>IF(D4256="","",VLOOKUP(D4256, RECETTES!B:G, 6, FALSE)*E4256)</f>
        <v/>
      </c>
      <c r="J4256" s="8">
        <f>IF(G4256="","",G4256*0.20)</f>
        <v/>
      </c>
      <c r="K4256" s="8">
        <f>IF(G4256="","",G4256+J4256)</f>
        <v/>
      </c>
    </row>
    <row r="4257">
      <c r="F4257" s="8" t="n"/>
      <c r="G4257" s="8">
        <f>IF(E4257="","",E4257*F4257)</f>
        <v/>
      </c>
      <c r="H4257" s="8">
        <f>IF(G4257="","",G4257-I4257)</f>
        <v/>
      </c>
      <c r="I4257" s="8">
        <f>IF(D4257="","",VLOOKUP(D4257, RECETTES!B:G, 6, FALSE)*E4257)</f>
        <v/>
      </c>
      <c r="J4257" s="8">
        <f>IF(G4257="","",G4257*0.20)</f>
        <v/>
      </c>
      <c r="K4257" s="8">
        <f>IF(G4257="","",G4257+J4257)</f>
        <v/>
      </c>
    </row>
    <row r="4258">
      <c r="F4258" s="8" t="n"/>
      <c r="G4258" s="8">
        <f>IF(E4258="","",E4258*F4258)</f>
        <v/>
      </c>
      <c r="H4258" s="8">
        <f>IF(G4258="","",G4258-I4258)</f>
        <v/>
      </c>
      <c r="I4258" s="8">
        <f>IF(D4258="","",VLOOKUP(D4258, RECETTES!B:G, 6, FALSE)*E4258)</f>
        <v/>
      </c>
      <c r="J4258" s="8">
        <f>IF(G4258="","",G4258*0.20)</f>
        <v/>
      </c>
      <c r="K4258" s="8">
        <f>IF(G4258="","",G4258+J4258)</f>
        <v/>
      </c>
    </row>
    <row r="4259">
      <c r="F4259" s="8" t="n"/>
      <c r="G4259" s="8">
        <f>IF(E4259="","",E4259*F4259)</f>
        <v/>
      </c>
      <c r="H4259" s="8">
        <f>IF(G4259="","",G4259-I4259)</f>
        <v/>
      </c>
      <c r="I4259" s="8">
        <f>IF(D4259="","",VLOOKUP(D4259, RECETTES!B:G, 6, FALSE)*E4259)</f>
        <v/>
      </c>
      <c r="J4259" s="8">
        <f>IF(G4259="","",G4259*0.20)</f>
        <v/>
      </c>
      <c r="K4259" s="8">
        <f>IF(G4259="","",G4259+J4259)</f>
        <v/>
      </c>
    </row>
    <row r="4260">
      <c r="F4260" s="8" t="n"/>
      <c r="G4260" s="8">
        <f>IF(E4260="","",E4260*F4260)</f>
        <v/>
      </c>
      <c r="H4260" s="8">
        <f>IF(G4260="","",G4260-I4260)</f>
        <v/>
      </c>
      <c r="I4260" s="8">
        <f>IF(D4260="","",VLOOKUP(D4260, RECETTES!B:G, 6, FALSE)*E4260)</f>
        <v/>
      </c>
      <c r="J4260" s="8">
        <f>IF(G4260="","",G4260*0.20)</f>
        <v/>
      </c>
      <c r="K4260" s="8">
        <f>IF(G4260="","",G4260+J4260)</f>
        <v/>
      </c>
    </row>
    <row r="4261">
      <c r="F4261" s="8" t="n"/>
      <c r="G4261" s="8">
        <f>IF(E4261="","",E4261*F4261)</f>
        <v/>
      </c>
      <c r="H4261" s="8">
        <f>IF(G4261="","",G4261-I4261)</f>
        <v/>
      </c>
      <c r="I4261" s="8">
        <f>IF(D4261="","",VLOOKUP(D4261, RECETTES!B:G, 6, FALSE)*E4261)</f>
        <v/>
      </c>
      <c r="J4261" s="8">
        <f>IF(G4261="","",G4261*0.20)</f>
        <v/>
      </c>
      <c r="K4261" s="8">
        <f>IF(G4261="","",G4261+J4261)</f>
        <v/>
      </c>
    </row>
    <row r="4262">
      <c r="F4262" s="8" t="n"/>
      <c r="G4262" s="8">
        <f>IF(E4262="","",E4262*F4262)</f>
        <v/>
      </c>
      <c r="H4262" s="8">
        <f>IF(G4262="","",G4262-I4262)</f>
        <v/>
      </c>
      <c r="I4262" s="8">
        <f>IF(D4262="","",VLOOKUP(D4262, RECETTES!B:G, 6, FALSE)*E4262)</f>
        <v/>
      </c>
      <c r="J4262" s="8">
        <f>IF(G4262="","",G4262*0.20)</f>
        <v/>
      </c>
      <c r="K4262" s="8">
        <f>IF(G4262="","",G4262+J4262)</f>
        <v/>
      </c>
    </row>
    <row r="4263">
      <c r="F4263" s="8" t="n"/>
      <c r="G4263" s="8">
        <f>IF(E4263="","",E4263*F4263)</f>
        <v/>
      </c>
      <c r="H4263" s="8">
        <f>IF(G4263="","",G4263-I4263)</f>
        <v/>
      </c>
      <c r="I4263" s="8">
        <f>IF(D4263="","",VLOOKUP(D4263, RECETTES!B:G, 6, FALSE)*E4263)</f>
        <v/>
      </c>
      <c r="J4263" s="8">
        <f>IF(G4263="","",G4263*0.20)</f>
        <v/>
      </c>
      <c r="K4263" s="8">
        <f>IF(G4263="","",G4263+J4263)</f>
        <v/>
      </c>
    </row>
    <row r="4264">
      <c r="F4264" s="8" t="n"/>
      <c r="G4264" s="8">
        <f>IF(E4264="","",E4264*F4264)</f>
        <v/>
      </c>
      <c r="H4264" s="8">
        <f>IF(G4264="","",G4264-I4264)</f>
        <v/>
      </c>
      <c r="I4264" s="8">
        <f>IF(D4264="","",VLOOKUP(D4264, RECETTES!B:G, 6, FALSE)*E4264)</f>
        <v/>
      </c>
      <c r="J4264" s="8">
        <f>IF(G4264="","",G4264*0.20)</f>
        <v/>
      </c>
      <c r="K4264" s="8">
        <f>IF(G4264="","",G4264+J4264)</f>
        <v/>
      </c>
    </row>
    <row r="4265">
      <c r="F4265" s="8" t="n"/>
      <c r="G4265" s="8">
        <f>IF(E4265="","",E4265*F4265)</f>
        <v/>
      </c>
      <c r="H4265" s="8">
        <f>IF(G4265="","",G4265-I4265)</f>
        <v/>
      </c>
      <c r="I4265" s="8">
        <f>IF(D4265="","",VLOOKUP(D4265, RECETTES!B:G, 6, FALSE)*E4265)</f>
        <v/>
      </c>
      <c r="J4265" s="8">
        <f>IF(G4265="","",G4265*0.20)</f>
        <v/>
      </c>
      <c r="K4265" s="8">
        <f>IF(G4265="","",G4265+J4265)</f>
        <v/>
      </c>
    </row>
    <row r="4266">
      <c r="F4266" s="8" t="n"/>
      <c r="G4266" s="8">
        <f>IF(E4266="","",E4266*F4266)</f>
        <v/>
      </c>
      <c r="H4266" s="8">
        <f>IF(G4266="","",G4266-I4266)</f>
        <v/>
      </c>
      <c r="I4266" s="8">
        <f>IF(D4266="","",VLOOKUP(D4266, RECETTES!B:G, 6, FALSE)*E4266)</f>
        <v/>
      </c>
      <c r="J4266" s="8">
        <f>IF(G4266="","",G4266*0.20)</f>
        <v/>
      </c>
      <c r="K4266" s="8">
        <f>IF(G4266="","",G4266+J4266)</f>
        <v/>
      </c>
    </row>
    <row r="4267">
      <c r="F4267" s="8" t="n"/>
      <c r="G4267" s="8">
        <f>IF(E4267="","",E4267*F4267)</f>
        <v/>
      </c>
      <c r="H4267" s="8">
        <f>IF(G4267="","",G4267-I4267)</f>
        <v/>
      </c>
      <c r="I4267" s="8">
        <f>IF(D4267="","",VLOOKUP(D4267, RECETTES!B:G, 6, FALSE)*E4267)</f>
        <v/>
      </c>
      <c r="J4267" s="8">
        <f>IF(G4267="","",G4267*0.20)</f>
        <v/>
      </c>
      <c r="K4267" s="8">
        <f>IF(G4267="","",G4267+J4267)</f>
        <v/>
      </c>
    </row>
    <row r="4268">
      <c r="F4268" s="8" t="n"/>
      <c r="G4268" s="8">
        <f>IF(E4268="","",E4268*F4268)</f>
        <v/>
      </c>
      <c r="H4268" s="8">
        <f>IF(G4268="","",G4268-I4268)</f>
        <v/>
      </c>
      <c r="I4268" s="8">
        <f>IF(D4268="","",VLOOKUP(D4268, RECETTES!B:G, 6, FALSE)*E4268)</f>
        <v/>
      </c>
      <c r="J4268" s="8">
        <f>IF(G4268="","",G4268*0.20)</f>
        <v/>
      </c>
      <c r="K4268" s="8">
        <f>IF(G4268="","",G4268+J4268)</f>
        <v/>
      </c>
    </row>
    <row r="4269">
      <c r="F4269" s="8" t="n"/>
      <c r="G4269" s="8">
        <f>IF(E4269="","",E4269*F4269)</f>
        <v/>
      </c>
      <c r="H4269" s="8">
        <f>IF(G4269="","",G4269-I4269)</f>
        <v/>
      </c>
      <c r="I4269" s="8">
        <f>IF(D4269="","",VLOOKUP(D4269, RECETTES!B:G, 6, FALSE)*E4269)</f>
        <v/>
      </c>
      <c r="J4269" s="8">
        <f>IF(G4269="","",G4269*0.20)</f>
        <v/>
      </c>
      <c r="K4269" s="8">
        <f>IF(G4269="","",G4269+J4269)</f>
        <v/>
      </c>
    </row>
    <row r="4270">
      <c r="F4270" s="8" t="n"/>
      <c r="G4270" s="8">
        <f>IF(E4270="","",E4270*F4270)</f>
        <v/>
      </c>
      <c r="H4270" s="8">
        <f>IF(G4270="","",G4270-I4270)</f>
        <v/>
      </c>
      <c r="I4270" s="8">
        <f>IF(D4270="","",VLOOKUP(D4270, RECETTES!B:G, 6, FALSE)*E4270)</f>
        <v/>
      </c>
      <c r="J4270" s="8">
        <f>IF(G4270="","",G4270*0.20)</f>
        <v/>
      </c>
      <c r="K4270" s="8">
        <f>IF(G4270="","",G4270+J4270)</f>
        <v/>
      </c>
    </row>
    <row r="4271">
      <c r="F4271" s="8" t="n"/>
      <c r="G4271" s="8">
        <f>IF(E4271="","",E4271*F4271)</f>
        <v/>
      </c>
      <c r="H4271" s="8">
        <f>IF(G4271="","",G4271-I4271)</f>
        <v/>
      </c>
      <c r="I4271" s="8">
        <f>IF(D4271="","",VLOOKUP(D4271, RECETTES!B:G, 6, FALSE)*E4271)</f>
        <v/>
      </c>
      <c r="J4271" s="8">
        <f>IF(G4271="","",G4271*0.20)</f>
        <v/>
      </c>
      <c r="K4271" s="8">
        <f>IF(G4271="","",G4271+J4271)</f>
        <v/>
      </c>
    </row>
    <row r="4272">
      <c r="F4272" s="8" t="n"/>
      <c r="G4272" s="8">
        <f>IF(E4272="","",E4272*F4272)</f>
        <v/>
      </c>
      <c r="H4272" s="8">
        <f>IF(G4272="","",G4272-I4272)</f>
        <v/>
      </c>
      <c r="I4272" s="8">
        <f>IF(D4272="","",VLOOKUP(D4272, RECETTES!B:G, 6, FALSE)*E4272)</f>
        <v/>
      </c>
      <c r="J4272" s="8">
        <f>IF(G4272="","",G4272*0.20)</f>
        <v/>
      </c>
      <c r="K4272" s="8">
        <f>IF(G4272="","",G4272+J4272)</f>
        <v/>
      </c>
    </row>
    <row r="4273">
      <c r="F4273" s="8" t="n"/>
      <c r="G4273" s="8">
        <f>IF(E4273="","",E4273*F4273)</f>
        <v/>
      </c>
      <c r="H4273" s="8">
        <f>IF(G4273="","",G4273-I4273)</f>
        <v/>
      </c>
      <c r="I4273" s="8">
        <f>IF(D4273="","",VLOOKUP(D4273, RECETTES!B:G, 6, FALSE)*E4273)</f>
        <v/>
      </c>
      <c r="J4273" s="8">
        <f>IF(G4273="","",G4273*0.20)</f>
        <v/>
      </c>
      <c r="K4273" s="8">
        <f>IF(G4273="","",G4273+J4273)</f>
        <v/>
      </c>
    </row>
    <row r="4274">
      <c r="F4274" s="8" t="n"/>
      <c r="G4274" s="8">
        <f>IF(E4274="","",E4274*F4274)</f>
        <v/>
      </c>
      <c r="H4274" s="8">
        <f>IF(G4274="","",G4274-I4274)</f>
        <v/>
      </c>
      <c r="I4274" s="8">
        <f>IF(D4274="","",VLOOKUP(D4274, RECETTES!B:G, 6, FALSE)*E4274)</f>
        <v/>
      </c>
      <c r="J4274" s="8">
        <f>IF(G4274="","",G4274*0.20)</f>
        <v/>
      </c>
      <c r="K4274" s="8">
        <f>IF(G4274="","",G4274+J4274)</f>
        <v/>
      </c>
    </row>
    <row r="4275">
      <c r="F4275" s="8" t="n"/>
      <c r="G4275" s="8">
        <f>IF(E4275="","",E4275*F4275)</f>
        <v/>
      </c>
      <c r="H4275" s="8">
        <f>IF(G4275="","",G4275-I4275)</f>
        <v/>
      </c>
      <c r="I4275" s="8">
        <f>IF(D4275="","",VLOOKUP(D4275, RECETTES!B:G, 6, FALSE)*E4275)</f>
        <v/>
      </c>
      <c r="J4275" s="8">
        <f>IF(G4275="","",G4275*0.20)</f>
        <v/>
      </c>
      <c r="K4275" s="8">
        <f>IF(G4275="","",G4275+J4275)</f>
        <v/>
      </c>
    </row>
    <row r="4276">
      <c r="F4276" s="8" t="n"/>
      <c r="G4276" s="8">
        <f>IF(E4276="","",E4276*F4276)</f>
        <v/>
      </c>
      <c r="H4276" s="8">
        <f>IF(G4276="","",G4276-I4276)</f>
        <v/>
      </c>
      <c r="I4276" s="8">
        <f>IF(D4276="","",VLOOKUP(D4276, RECETTES!B:G, 6, FALSE)*E4276)</f>
        <v/>
      </c>
      <c r="J4276" s="8">
        <f>IF(G4276="","",G4276*0.20)</f>
        <v/>
      </c>
      <c r="K4276" s="8">
        <f>IF(G4276="","",G4276+J4276)</f>
        <v/>
      </c>
    </row>
    <row r="4277">
      <c r="F4277" s="8" t="n"/>
      <c r="G4277" s="8">
        <f>IF(E4277="","",E4277*F4277)</f>
        <v/>
      </c>
      <c r="H4277" s="8">
        <f>IF(G4277="","",G4277-I4277)</f>
        <v/>
      </c>
      <c r="I4277" s="8">
        <f>IF(D4277="","",VLOOKUP(D4277, RECETTES!B:G, 6, FALSE)*E4277)</f>
        <v/>
      </c>
      <c r="J4277" s="8">
        <f>IF(G4277="","",G4277*0.20)</f>
        <v/>
      </c>
      <c r="K4277" s="8">
        <f>IF(G4277="","",G4277+J4277)</f>
        <v/>
      </c>
    </row>
    <row r="4278">
      <c r="F4278" s="8" t="n"/>
      <c r="G4278" s="8">
        <f>IF(E4278="","",E4278*F4278)</f>
        <v/>
      </c>
      <c r="H4278" s="8">
        <f>IF(G4278="","",G4278-I4278)</f>
        <v/>
      </c>
      <c r="I4278" s="8">
        <f>IF(D4278="","",VLOOKUP(D4278, RECETTES!B:G, 6, FALSE)*E4278)</f>
        <v/>
      </c>
      <c r="J4278" s="8">
        <f>IF(G4278="","",G4278*0.20)</f>
        <v/>
      </c>
      <c r="K4278" s="8">
        <f>IF(G4278="","",G4278+J4278)</f>
        <v/>
      </c>
    </row>
    <row r="4279">
      <c r="F4279" s="8" t="n"/>
      <c r="G4279" s="8">
        <f>IF(E4279="","",E4279*F4279)</f>
        <v/>
      </c>
      <c r="H4279" s="8">
        <f>IF(G4279="","",G4279-I4279)</f>
        <v/>
      </c>
      <c r="I4279" s="8">
        <f>IF(D4279="","",VLOOKUP(D4279, RECETTES!B:G, 6, FALSE)*E4279)</f>
        <v/>
      </c>
      <c r="J4279" s="8">
        <f>IF(G4279="","",G4279*0.20)</f>
        <v/>
      </c>
      <c r="K4279" s="8">
        <f>IF(G4279="","",G4279+J4279)</f>
        <v/>
      </c>
    </row>
    <row r="4280">
      <c r="F4280" s="8" t="n"/>
      <c r="G4280" s="8">
        <f>IF(E4280="","",E4280*F4280)</f>
        <v/>
      </c>
      <c r="H4280" s="8">
        <f>IF(G4280="","",G4280-I4280)</f>
        <v/>
      </c>
      <c r="I4280" s="8">
        <f>IF(D4280="","",VLOOKUP(D4280, RECETTES!B:G, 6, FALSE)*E4280)</f>
        <v/>
      </c>
      <c r="J4280" s="8">
        <f>IF(G4280="","",G4280*0.20)</f>
        <v/>
      </c>
      <c r="K4280" s="8">
        <f>IF(G4280="","",G4280+J4280)</f>
        <v/>
      </c>
    </row>
    <row r="4281">
      <c r="F4281" s="8" t="n"/>
      <c r="G4281" s="8">
        <f>IF(E4281="","",E4281*F4281)</f>
        <v/>
      </c>
      <c r="H4281" s="8">
        <f>IF(G4281="","",G4281-I4281)</f>
        <v/>
      </c>
      <c r="I4281" s="8">
        <f>IF(D4281="","",VLOOKUP(D4281, RECETTES!B:G, 6, FALSE)*E4281)</f>
        <v/>
      </c>
      <c r="J4281" s="8">
        <f>IF(G4281="","",G4281*0.20)</f>
        <v/>
      </c>
      <c r="K4281" s="8">
        <f>IF(G4281="","",G4281+J4281)</f>
        <v/>
      </c>
    </row>
    <row r="4282">
      <c r="F4282" s="8" t="n"/>
      <c r="G4282" s="8">
        <f>IF(E4282="","",E4282*F4282)</f>
        <v/>
      </c>
      <c r="H4282" s="8">
        <f>IF(G4282="","",G4282-I4282)</f>
        <v/>
      </c>
      <c r="I4282" s="8">
        <f>IF(D4282="","",VLOOKUP(D4282, RECETTES!B:G, 6, FALSE)*E4282)</f>
        <v/>
      </c>
      <c r="J4282" s="8">
        <f>IF(G4282="","",G4282*0.20)</f>
        <v/>
      </c>
      <c r="K4282" s="8">
        <f>IF(G4282="","",G4282+J4282)</f>
        <v/>
      </c>
    </row>
    <row r="4283">
      <c r="F4283" s="8" t="n"/>
      <c r="G4283" s="8">
        <f>IF(E4283="","",E4283*F4283)</f>
        <v/>
      </c>
      <c r="H4283" s="8">
        <f>IF(G4283="","",G4283-I4283)</f>
        <v/>
      </c>
      <c r="I4283" s="8">
        <f>IF(D4283="","",VLOOKUP(D4283, RECETTES!B:G, 6, FALSE)*E4283)</f>
        <v/>
      </c>
      <c r="J4283" s="8">
        <f>IF(G4283="","",G4283*0.20)</f>
        <v/>
      </c>
      <c r="K4283" s="8">
        <f>IF(G4283="","",G4283+J4283)</f>
        <v/>
      </c>
    </row>
    <row r="4284">
      <c r="F4284" s="8" t="n"/>
      <c r="G4284" s="8">
        <f>IF(E4284="","",E4284*F4284)</f>
        <v/>
      </c>
      <c r="H4284" s="8">
        <f>IF(G4284="","",G4284-I4284)</f>
        <v/>
      </c>
      <c r="I4284" s="8">
        <f>IF(D4284="","",VLOOKUP(D4284, RECETTES!B:G, 6, FALSE)*E4284)</f>
        <v/>
      </c>
      <c r="J4284" s="8">
        <f>IF(G4284="","",G4284*0.20)</f>
        <v/>
      </c>
      <c r="K4284" s="8">
        <f>IF(G4284="","",G4284+J4284)</f>
        <v/>
      </c>
    </row>
    <row r="4285">
      <c r="F4285" s="8" t="n"/>
      <c r="G4285" s="8">
        <f>IF(E4285="","",E4285*F4285)</f>
        <v/>
      </c>
      <c r="H4285" s="8">
        <f>IF(G4285="","",G4285-I4285)</f>
        <v/>
      </c>
      <c r="I4285" s="8">
        <f>IF(D4285="","",VLOOKUP(D4285, RECETTES!B:G, 6, FALSE)*E4285)</f>
        <v/>
      </c>
      <c r="J4285" s="8">
        <f>IF(G4285="","",G4285*0.20)</f>
        <v/>
      </c>
      <c r="K4285" s="8">
        <f>IF(G4285="","",G4285+J4285)</f>
        <v/>
      </c>
    </row>
    <row r="4286">
      <c r="F4286" s="8" t="n"/>
      <c r="G4286" s="8">
        <f>IF(E4286="","",E4286*F4286)</f>
        <v/>
      </c>
      <c r="H4286" s="8">
        <f>IF(G4286="","",G4286-I4286)</f>
        <v/>
      </c>
      <c r="I4286" s="8">
        <f>IF(D4286="","",VLOOKUP(D4286, RECETTES!B:G, 6, FALSE)*E4286)</f>
        <v/>
      </c>
      <c r="J4286" s="8">
        <f>IF(G4286="","",G4286*0.20)</f>
        <v/>
      </c>
      <c r="K4286" s="8">
        <f>IF(G4286="","",G4286+J4286)</f>
        <v/>
      </c>
    </row>
    <row r="4287">
      <c r="F4287" s="8" t="n"/>
      <c r="G4287" s="8">
        <f>IF(E4287="","",E4287*F4287)</f>
        <v/>
      </c>
      <c r="H4287" s="8">
        <f>IF(G4287="","",G4287-I4287)</f>
        <v/>
      </c>
      <c r="I4287" s="8">
        <f>IF(D4287="","",VLOOKUP(D4287, RECETTES!B:G, 6, FALSE)*E4287)</f>
        <v/>
      </c>
      <c r="J4287" s="8">
        <f>IF(G4287="","",G4287*0.20)</f>
        <v/>
      </c>
      <c r="K4287" s="8">
        <f>IF(G4287="","",G4287+J4287)</f>
        <v/>
      </c>
    </row>
    <row r="4288">
      <c r="F4288" s="8" t="n"/>
      <c r="G4288" s="8">
        <f>IF(E4288="","",E4288*F4288)</f>
        <v/>
      </c>
      <c r="H4288" s="8">
        <f>IF(G4288="","",G4288-I4288)</f>
        <v/>
      </c>
      <c r="I4288" s="8">
        <f>IF(D4288="","",VLOOKUP(D4288, RECETTES!B:G, 6, FALSE)*E4288)</f>
        <v/>
      </c>
      <c r="J4288" s="8">
        <f>IF(G4288="","",G4288*0.20)</f>
        <v/>
      </c>
      <c r="K4288" s="8">
        <f>IF(G4288="","",G4288+J4288)</f>
        <v/>
      </c>
    </row>
    <row r="4289">
      <c r="F4289" s="8" t="n"/>
      <c r="G4289" s="8">
        <f>IF(E4289="","",E4289*F4289)</f>
        <v/>
      </c>
      <c r="H4289" s="8">
        <f>IF(G4289="","",G4289-I4289)</f>
        <v/>
      </c>
      <c r="I4289" s="8">
        <f>IF(D4289="","",VLOOKUP(D4289, RECETTES!B:G, 6, FALSE)*E4289)</f>
        <v/>
      </c>
      <c r="J4289" s="8">
        <f>IF(G4289="","",G4289*0.20)</f>
        <v/>
      </c>
      <c r="K4289" s="8">
        <f>IF(G4289="","",G4289+J4289)</f>
        <v/>
      </c>
    </row>
    <row r="4290">
      <c r="F4290" s="8" t="n"/>
      <c r="G4290" s="8">
        <f>IF(E4290="","",E4290*F4290)</f>
        <v/>
      </c>
      <c r="H4290" s="8">
        <f>IF(G4290="","",G4290-I4290)</f>
        <v/>
      </c>
      <c r="I4290" s="8">
        <f>IF(D4290="","",VLOOKUP(D4290, RECETTES!B:G, 6, FALSE)*E4290)</f>
        <v/>
      </c>
      <c r="J4290" s="8">
        <f>IF(G4290="","",G4290*0.20)</f>
        <v/>
      </c>
      <c r="K4290" s="8">
        <f>IF(G4290="","",G4290+J4290)</f>
        <v/>
      </c>
    </row>
    <row r="4291">
      <c r="F4291" s="8" t="n"/>
      <c r="G4291" s="8">
        <f>IF(E4291="","",E4291*F4291)</f>
        <v/>
      </c>
      <c r="H4291" s="8">
        <f>IF(G4291="","",G4291-I4291)</f>
        <v/>
      </c>
      <c r="I4291" s="8">
        <f>IF(D4291="","",VLOOKUP(D4291, RECETTES!B:G, 6, FALSE)*E4291)</f>
        <v/>
      </c>
      <c r="J4291" s="8">
        <f>IF(G4291="","",G4291*0.20)</f>
        <v/>
      </c>
      <c r="K4291" s="8">
        <f>IF(G4291="","",G4291+J4291)</f>
        <v/>
      </c>
    </row>
    <row r="4292">
      <c r="F4292" s="8" t="n"/>
      <c r="G4292" s="8">
        <f>IF(E4292="","",E4292*F4292)</f>
        <v/>
      </c>
      <c r="H4292" s="8">
        <f>IF(G4292="","",G4292-I4292)</f>
        <v/>
      </c>
      <c r="I4292" s="8">
        <f>IF(D4292="","",VLOOKUP(D4292, RECETTES!B:G, 6, FALSE)*E4292)</f>
        <v/>
      </c>
      <c r="J4292" s="8">
        <f>IF(G4292="","",G4292*0.20)</f>
        <v/>
      </c>
      <c r="K4292" s="8">
        <f>IF(G4292="","",G4292+J4292)</f>
        <v/>
      </c>
    </row>
    <row r="4293">
      <c r="F4293" s="8" t="n"/>
      <c r="G4293" s="8">
        <f>IF(E4293="","",E4293*F4293)</f>
        <v/>
      </c>
      <c r="H4293" s="8">
        <f>IF(G4293="","",G4293-I4293)</f>
        <v/>
      </c>
      <c r="I4293" s="8">
        <f>IF(D4293="","",VLOOKUP(D4293, RECETTES!B:G, 6, FALSE)*E4293)</f>
        <v/>
      </c>
      <c r="J4293" s="8">
        <f>IF(G4293="","",G4293*0.20)</f>
        <v/>
      </c>
      <c r="K4293" s="8">
        <f>IF(G4293="","",G4293+J4293)</f>
        <v/>
      </c>
    </row>
    <row r="4294">
      <c r="F4294" s="8" t="n"/>
      <c r="G4294" s="8">
        <f>IF(E4294="","",E4294*F4294)</f>
        <v/>
      </c>
      <c r="H4294" s="8">
        <f>IF(G4294="","",G4294-I4294)</f>
        <v/>
      </c>
      <c r="I4294" s="8">
        <f>IF(D4294="","",VLOOKUP(D4294, RECETTES!B:G, 6, FALSE)*E4294)</f>
        <v/>
      </c>
      <c r="J4294" s="8">
        <f>IF(G4294="","",G4294*0.20)</f>
        <v/>
      </c>
      <c r="K4294" s="8">
        <f>IF(G4294="","",G4294+J4294)</f>
        <v/>
      </c>
    </row>
    <row r="4295">
      <c r="F4295" s="8" t="n"/>
      <c r="G4295" s="8">
        <f>IF(E4295="","",E4295*F4295)</f>
        <v/>
      </c>
      <c r="H4295" s="8">
        <f>IF(G4295="","",G4295-I4295)</f>
        <v/>
      </c>
      <c r="I4295" s="8">
        <f>IF(D4295="","",VLOOKUP(D4295, RECETTES!B:G, 6, FALSE)*E4295)</f>
        <v/>
      </c>
      <c r="J4295" s="8">
        <f>IF(G4295="","",G4295*0.20)</f>
        <v/>
      </c>
      <c r="K4295" s="8">
        <f>IF(G4295="","",G4295+J4295)</f>
        <v/>
      </c>
    </row>
    <row r="4296">
      <c r="F4296" s="8" t="n"/>
      <c r="G4296" s="8">
        <f>IF(E4296="","",E4296*F4296)</f>
        <v/>
      </c>
      <c r="H4296" s="8">
        <f>IF(G4296="","",G4296-I4296)</f>
        <v/>
      </c>
      <c r="I4296" s="8">
        <f>IF(D4296="","",VLOOKUP(D4296, RECETTES!B:G, 6, FALSE)*E4296)</f>
        <v/>
      </c>
      <c r="J4296" s="8">
        <f>IF(G4296="","",G4296*0.20)</f>
        <v/>
      </c>
      <c r="K4296" s="8">
        <f>IF(G4296="","",G4296+J4296)</f>
        <v/>
      </c>
    </row>
    <row r="4297">
      <c r="F4297" s="8" t="n"/>
      <c r="G4297" s="8">
        <f>IF(E4297="","",E4297*F4297)</f>
        <v/>
      </c>
      <c r="H4297" s="8">
        <f>IF(G4297="","",G4297-I4297)</f>
        <v/>
      </c>
      <c r="I4297" s="8">
        <f>IF(D4297="","",VLOOKUP(D4297, RECETTES!B:G, 6, FALSE)*E4297)</f>
        <v/>
      </c>
      <c r="J4297" s="8">
        <f>IF(G4297="","",G4297*0.20)</f>
        <v/>
      </c>
      <c r="K4297" s="8">
        <f>IF(G4297="","",G4297+J4297)</f>
        <v/>
      </c>
    </row>
    <row r="4298">
      <c r="F4298" s="8" t="n"/>
      <c r="G4298" s="8">
        <f>IF(E4298="","",E4298*F4298)</f>
        <v/>
      </c>
      <c r="H4298" s="8">
        <f>IF(G4298="","",G4298-I4298)</f>
        <v/>
      </c>
      <c r="I4298" s="8">
        <f>IF(D4298="","",VLOOKUP(D4298, RECETTES!B:G, 6, FALSE)*E4298)</f>
        <v/>
      </c>
      <c r="J4298" s="8">
        <f>IF(G4298="","",G4298*0.20)</f>
        <v/>
      </c>
      <c r="K4298" s="8">
        <f>IF(G4298="","",G4298+J4298)</f>
        <v/>
      </c>
    </row>
    <row r="4299">
      <c r="F4299" s="8" t="n"/>
      <c r="G4299" s="8">
        <f>IF(E4299="","",E4299*F4299)</f>
        <v/>
      </c>
      <c r="H4299" s="8">
        <f>IF(G4299="","",G4299-I4299)</f>
        <v/>
      </c>
      <c r="I4299" s="8">
        <f>IF(D4299="","",VLOOKUP(D4299, RECETTES!B:G, 6, FALSE)*E4299)</f>
        <v/>
      </c>
      <c r="J4299" s="8">
        <f>IF(G4299="","",G4299*0.20)</f>
        <v/>
      </c>
      <c r="K4299" s="8">
        <f>IF(G4299="","",G4299+J4299)</f>
        <v/>
      </c>
    </row>
    <row r="4300">
      <c r="F4300" s="8" t="n"/>
      <c r="G4300" s="8">
        <f>IF(E4300="","",E4300*F4300)</f>
        <v/>
      </c>
      <c r="H4300" s="8">
        <f>IF(G4300="","",G4300-I4300)</f>
        <v/>
      </c>
      <c r="I4300" s="8">
        <f>IF(D4300="","",VLOOKUP(D4300, RECETTES!B:G, 6, FALSE)*E4300)</f>
        <v/>
      </c>
      <c r="J4300" s="8">
        <f>IF(G4300="","",G4300*0.20)</f>
        <v/>
      </c>
      <c r="K4300" s="8">
        <f>IF(G4300="","",G4300+J4300)</f>
        <v/>
      </c>
    </row>
    <row r="4301">
      <c r="F4301" s="8" t="n"/>
      <c r="G4301" s="8">
        <f>IF(E4301="","",E4301*F4301)</f>
        <v/>
      </c>
      <c r="H4301" s="8">
        <f>IF(G4301="","",G4301-I4301)</f>
        <v/>
      </c>
      <c r="I4301" s="8">
        <f>IF(D4301="","",VLOOKUP(D4301, RECETTES!B:G, 6, FALSE)*E4301)</f>
        <v/>
      </c>
      <c r="J4301" s="8">
        <f>IF(G4301="","",G4301*0.20)</f>
        <v/>
      </c>
      <c r="K4301" s="8">
        <f>IF(G4301="","",G4301+J4301)</f>
        <v/>
      </c>
    </row>
    <row r="4302">
      <c r="F4302" s="8" t="n"/>
      <c r="G4302" s="8">
        <f>IF(E4302="","",E4302*F4302)</f>
        <v/>
      </c>
      <c r="H4302" s="8">
        <f>IF(G4302="","",G4302-I4302)</f>
        <v/>
      </c>
      <c r="I4302" s="8">
        <f>IF(D4302="","",VLOOKUP(D4302, RECETTES!B:G, 6, FALSE)*E4302)</f>
        <v/>
      </c>
      <c r="J4302" s="8">
        <f>IF(G4302="","",G4302*0.20)</f>
        <v/>
      </c>
      <c r="K4302" s="8">
        <f>IF(G4302="","",G4302+J4302)</f>
        <v/>
      </c>
    </row>
    <row r="4303">
      <c r="F4303" s="8" t="n"/>
      <c r="G4303" s="8">
        <f>IF(E4303="","",E4303*F4303)</f>
        <v/>
      </c>
      <c r="H4303" s="8">
        <f>IF(G4303="","",G4303-I4303)</f>
        <v/>
      </c>
      <c r="I4303" s="8">
        <f>IF(D4303="","",VLOOKUP(D4303, RECETTES!B:G, 6, FALSE)*E4303)</f>
        <v/>
      </c>
      <c r="J4303" s="8">
        <f>IF(G4303="","",G4303*0.20)</f>
        <v/>
      </c>
      <c r="K4303" s="8">
        <f>IF(G4303="","",G4303+J4303)</f>
        <v/>
      </c>
    </row>
    <row r="4304">
      <c r="F4304" s="8" t="n"/>
      <c r="G4304" s="8">
        <f>IF(E4304="","",E4304*F4304)</f>
        <v/>
      </c>
      <c r="H4304" s="8">
        <f>IF(G4304="","",G4304-I4304)</f>
        <v/>
      </c>
      <c r="I4304" s="8">
        <f>IF(D4304="","",VLOOKUP(D4304, RECETTES!B:G, 6, FALSE)*E4304)</f>
        <v/>
      </c>
      <c r="J4304" s="8">
        <f>IF(G4304="","",G4304*0.20)</f>
        <v/>
      </c>
      <c r="K4304" s="8">
        <f>IF(G4304="","",G4304+J4304)</f>
        <v/>
      </c>
    </row>
    <row r="4305">
      <c r="F4305" s="8" t="n"/>
      <c r="G4305" s="8">
        <f>IF(E4305="","",E4305*F4305)</f>
        <v/>
      </c>
      <c r="H4305" s="8">
        <f>IF(G4305="","",G4305-I4305)</f>
        <v/>
      </c>
      <c r="I4305" s="8">
        <f>IF(D4305="","",VLOOKUP(D4305, RECETTES!B:G, 6, FALSE)*E4305)</f>
        <v/>
      </c>
      <c r="J4305" s="8">
        <f>IF(G4305="","",G4305*0.20)</f>
        <v/>
      </c>
      <c r="K4305" s="8">
        <f>IF(G4305="","",G4305+J4305)</f>
        <v/>
      </c>
    </row>
    <row r="4306">
      <c r="F4306" s="8" t="n"/>
      <c r="G4306" s="8">
        <f>IF(E4306="","",E4306*F4306)</f>
        <v/>
      </c>
      <c r="H4306" s="8">
        <f>IF(G4306="","",G4306-I4306)</f>
        <v/>
      </c>
      <c r="I4306" s="8">
        <f>IF(D4306="","",VLOOKUP(D4306, RECETTES!B:G, 6, FALSE)*E4306)</f>
        <v/>
      </c>
      <c r="J4306" s="8">
        <f>IF(G4306="","",G4306*0.20)</f>
        <v/>
      </c>
      <c r="K4306" s="8">
        <f>IF(G4306="","",G4306+J4306)</f>
        <v/>
      </c>
    </row>
    <row r="4307">
      <c r="F4307" s="8" t="n"/>
      <c r="G4307" s="8">
        <f>IF(E4307="","",E4307*F4307)</f>
        <v/>
      </c>
      <c r="H4307" s="8">
        <f>IF(G4307="","",G4307-I4307)</f>
        <v/>
      </c>
      <c r="I4307" s="8">
        <f>IF(D4307="","",VLOOKUP(D4307, RECETTES!B:G, 6, FALSE)*E4307)</f>
        <v/>
      </c>
      <c r="J4307" s="8">
        <f>IF(G4307="","",G4307*0.20)</f>
        <v/>
      </c>
      <c r="K4307" s="8">
        <f>IF(G4307="","",G4307+J4307)</f>
        <v/>
      </c>
    </row>
    <row r="4308">
      <c r="F4308" s="8" t="n"/>
      <c r="G4308" s="8">
        <f>IF(E4308="","",E4308*F4308)</f>
        <v/>
      </c>
      <c r="H4308" s="8">
        <f>IF(G4308="","",G4308-I4308)</f>
        <v/>
      </c>
      <c r="I4308" s="8">
        <f>IF(D4308="","",VLOOKUP(D4308, RECETTES!B:G, 6, FALSE)*E4308)</f>
        <v/>
      </c>
      <c r="J4308" s="8">
        <f>IF(G4308="","",G4308*0.20)</f>
        <v/>
      </c>
      <c r="K4308" s="8">
        <f>IF(G4308="","",G4308+J4308)</f>
        <v/>
      </c>
    </row>
    <row r="4309">
      <c r="F4309" s="8" t="n"/>
      <c r="G4309" s="8">
        <f>IF(E4309="","",E4309*F4309)</f>
        <v/>
      </c>
      <c r="H4309" s="8">
        <f>IF(G4309="","",G4309-I4309)</f>
        <v/>
      </c>
      <c r="I4309" s="8">
        <f>IF(D4309="","",VLOOKUP(D4309, RECETTES!B:G, 6, FALSE)*E4309)</f>
        <v/>
      </c>
      <c r="J4309" s="8">
        <f>IF(G4309="","",G4309*0.20)</f>
        <v/>
      </c>
      <c r="K4309" s="8">
        <f>IF(G4309="","",G4309+J4309)</f>
        <v/>
      </c>
    </row>
    <row r="4310">
      <c r="F4310" s="8" t="n"/>
      <c r="G4310" s="8">
        <f>IF(E4310="","",E4310*F4310)</f>
        <v/>
      </c>
      <c r="H4310" s="8">
        <f>IF(G4310="","",G4310-I4310)</f>
        <v/>
      </c>
      <c r="I4310" s="8">
        <f>IF(D4310="","",VLOOKUP(D4310, RECETTES!B:G, 6, FALSE)*E4310)</f>
        <v/>
      </c>
      <c r="J4310" s="8">
        <f>IF(G4310="","",G4310*0.20)</f>
        <v/>
      </c>
      <c r="K4310" s="8">
        <f>IF(G4310="","",G4310+J4310)</f>
        <v/>
      </c>
    </row>
    <row r="4311">
      <c r="F4311" s="8" t="n"/>
      <c r="G4311" s="8">
        <f>IF(E4311="","",E4311*F4311)</f>
        <v/>
      </c>
      <c r="H4311" s="8">
        <f>IF(G4311="","",G4311-I4311)</f>
        <v/>
      </c>
      <c r="I4311" s="8">
        <f>IF(D4311="","",VLOOKUP(D4311, RECETTES!B:G, 6, FALSE)*E4311)</f>
        <v/>
      </c>
      <c r="J4311" s="8">
        <f>IF(G4311="","",G4311*0.20)</f>
        <v/>
      </c>
      <c r="K4311" s="8">
        <f>IF(G4311="","",G4311+J4311)</f>
        <v/>
      </c>
    </row>
    <row r="4312">
      <c r="F4312" s="8" t="n"/>
      <c r="G4312" s="8">
        <f>IF(E4312="","",E4312*F4312)</f>
        <v/>
      </c>
      <c r="H4312" s="8">
        <f>IF(G4312="","",G4312-I4312)</f>
        <v/>
      </c>
      <c r="I4312" s="8">
        <f>IF(D4312="","",VLOOKUP(D4312, RECETTES!B:G, 6, FALSE)*E4312)</f>
        <v/>
      </c>
      <c r="J4312" s="8">
        <f>IF(G4312="","",G4312*0.20)</f>
        <v/>
      </c>
      <c r="K4312" s="8">
        <f>IF(G4312="","",G4312+J4312)</f>
        <v/>
      </c>
    </row>
    <row r="4313">
      <c r="F4313" s="8" t="n"/>
      <c r="G4313" s="8">
        <f>IF(E4313="","",E4313*F4313)</f>
        <v/>
      </c>
      <c r="H4313" s="8">
        <f>IF(G4313="","",G4313-I4313)</f>
        <v/>
      </c>
      <c r="I4313" s="8">
        <f>IF(D4313="","",VLOOKUP(D4313, RECETTES!B:G, 6, FALSE)*E4313)</f>
        <v/>
      </c>
      <c r="J4313" s="8">
        <f>IF(G4313="","",G4313*0.20)</f>
        <v/>
      </c>
      <c r="K4313" s="8">
        <f>IF(G4313="","",G4313+J4313)</f>
        <v/>
      </c>
    </row>
    <row r="4314">
      <c r="F4314" s="8" t="n"/>
      <c r="G4314" s="8">
        <f>IF(E4314="","",E4314*F4314)</f>
        <v/>
      </c>
      <c r="H4314" s="8">
        <f>IF(G4314="","",G4314-I4314)</f>
        <v/>
      </c>
      <c r="I4314" s="8">
        <f>IF(D4314="","",VLOOKUP(D4314, RECETTES!B:G, 6, FALSE)*E4314)</f>
        <v/>
      </c>
      <c r="J4314" s="8">
        <f>IF(G4314="","",G4314*0.20)</f>
        <v/>
      </c>
      <c r="K4314" s="8">
        <f>IF(G4314="","",G4314+J4314)</f>
        <v/>
      </c>
    </row>
    <row r="4315">
      <c r="F4315" s="8" t="n"/>
      <c r="G4315" s="8">
        <f>IF(E4315="","",E4315*F4315)</f>
        <v/>
      </c>
      <c r="H4315" s="8">
        <f>IF(G4315="","",G4315-I4315)</f>
        <v/>
      </c>
      <c r="I4315" s="8">
        <f>IF(D4315="","",VLOOKUP(D4315, RECETTES!B:G, 6, FALSE)*E4315)</f>
        <v/>
      </c>
      <c r="J4315" s="8">
        <f>IF(G4315="","",G4315*0.20)</f>
        <v/>
      </c>
      <c r="K4315" s="8">
        <f>IF(G4315="","",G4315+J4315)</f>
        <v/>
      </c>
    </row>
    <row r="4316">
      <c r="F4316" s="8" t="n"/>
      <c r="G4316" s="8">
        <f>IF(E4316="","",E4316*F4316)</f>
        <v/>
      </c>
      <c r="H4316" s="8">
        <f>IF(G4316="","",G4316-I4316)</f>
        <v/>
      </c>
      <c r="I4316" s="8">
        <f>IF(D4316="","",VLOOKUP(D4316, RECETTES!B:G, 6, FALSE)*E4316)</f>
        <v/>
      </c>
      <c r="J4316" s="8">
        <f>IF(G4316="","",G4316*0.20)</f>
        <v/>
      </c>
      <c r="K4316" s="8">
        <f>IF(G4316="","",G4316+J4316)</f>
        <v/>
      </c>
    </row>
    <row r="4317">
      <c r="F4317" s="8" t="n"/>
      <c r="G4317" s="8">
        <f>IF(E4317="","",E4317*F4317)</f>
        <v/>
      </c>
      <c r="H4317" s="8">
        <f>IF(G4317="","",G4317-I4317)</f>
        <v/>
      </c>
      <c r="I4317" s="8">
        <f>IF(D4317="","",VLOOKUP(D4317, RECETTES!B:G, 6, FALSE)*E4317)</f>
        <v/>
      </c>
      <c r="J4317" s="8">
        <f>IF(G4317="","",G4317*0.20)</f>
        <v/>
      </c>
      <c r="K4317" s="8">
        <f>IF(G4317="","",G4317+J4317)</f>
        <v/>
      </c>
    </row>
    <row r="4318">
      <c r="F4318" s="8" t="n"/>
      <c r="G4318" s="8">
        <f>IF(E4318="","",E4318*F4318)</f>
        <v/>
      </c>
      <c r="H4318" s="8">
        <f>IF(G4318="","",G4318-I4318)</f>
        <v/>
      </c>
      <c r="I4318" s="8">
        <f>IF(D4318="","",VLOOKUP(D4318, RECETTES!B:G, 6, FALSE)*E4318)</f>
        <v/>
      </c>
      <c r="J4318" s="8">
        <f>IF(G4318="","",G4318*0.20)</f>
        <v/>
      </c>
      <c r="K4318" s="8">
        <f>IF(G4318="","",G4318+J4318)</f>
        <v/>
      </c>
    </row>
    <row r="4319">
      <c r="F4319" s="8" t="n"/>
      <c r="G4319" s="8">
        <f>IF(E4319="","",E4319*F4319)</f>
        <v/>
      </c>
      <c r="H4319" s="8">
        <f>IF(G4319="","",G4319-I4319)</f>
        <v/>
      </c>
      <c r="I4319" s="8">
        <f>IF(D4319="","",VLOOKUP(D4319, RECETTES!B:G, 6, FALSE)*E4319)</f>
        <v/>
      </c>
      <c r="J4319" s="8">
        <f>IF(G4319="","",G4319*0.20)</f>
        <v/>
      </c>
      <c r="K4319" s="8">
        <f>IF(G4319="","",G4319+J4319)</f>
        <v/>
      </c>
    </row>
    <row r="4320">
      <c r="F4320" s="8" t="n"/>
      <c r="G4320" s="8">
        <f>IF(E4320="","",E4320*F4320)</f>
        <v/>
      </c>
      <c r="H4320" s="8">
        <f>IF(G4320="","",G4320-I4320)</f>
        <v/>
      </c>
      <c r="I4320" s="8">
        <f>IF(D4320="","",VLOOKUP(D4320, RECETTES!B:G, 6, FALSE)*E4320)</f>
        <v/>
      </c>
      <c r="J4320" s="8">
        <f>IF(G4320="","",G4320*0.20)</f>
        <v/>
      </c>
      <c r="K4320" s="8">
        <f>IF(G4320="","",G4320+J4320)</f>
        <v/>
      </c>
    </row>
    <row r="4321">
      <c r="F4321" s="8" t="n"/>
      <c r="G4321" s="8">
        <f>IF(E4321="","",E4321*F4321)</f>
        <v/>
      </c>
      <c r="H4321" s="8">
        <f>IF(G4321="","",G4321-I4321)</f>
        <v/>
      </c>
      <c r="I4321" s="8">
        <f>IF(D4321="","",VLOOKUP(D4321, RECETTES!B:G, 6, FALSE)*E4321)</f>
        <v/>
      </c>
      <c r="J4321" s="8">
        <f>IF(G4321="","",G4321*0.20)</f>
        <v/>
      </c>
      <c r="K4321" s="8">
        <f>IF(G4321="","",G4321+J4321)</f>
        <v/>
      </c>
    </row>
    <row r="4322">
      <c r="F4322" s="8" t="n"/>
      <c r="G4322" s="8">
        <f>IF(E4322="","",E4322*F4322)</f>
        <v/>
      </c>
      <c r="H4322" s="8">
        <f>IF(G4322="","",G4322-I4322)</f>
        <v/>
      </c>
      <c r="I4322" s="8">
        <f>IF(D4322="","",VLOOKUP(D4322, RECETTES!B:G, 6, FALSE)*E4322)</f>
        <v/>
      </c>
      <c r="J4322" s="8">
        <f>IF(G4322="","",G4322*0.20)</f>
        <v/>
      </c>
      <c r="K4322" s="8">
        <f>IF(G4322="","",G4322+J4322)</f>
        <v/>
      </c>
    </row>
    <row r="4323">
      <c r="F4323" s="8" t="n"/>
      <c r="G4323" s="8">
        <f>IF(E4323="","",E4323*F4323)</f>
        <v/>
      </c>
      <c r="H4323" s="8">
        <f>IF(G4323="","",G4323-I4323)</f>
        <v/>
      </c>
      <c r="I4323" s="8">
        <f>IF(D4323="","",VLOOKUP(D4323, RECETTES!B:G, 6, FALSE)*E4323)</f>
        <v/>
      </c>
      <c r="J4323" s="8">
        <f>IF(G4323="","",G4323*0.20)</f>
        <v/>
      </c>
      <c r="K4323" s="8">
        <f>IF(G4323="","",G4323+J4323)</f>
        <v/>
      </c>
    </row>
    <row r="4324">
      <c r="F4324" s="8" t="n"/>
      <c r="G4324" s="8">
        <f>IF(E4324="","",E4324*F4324)</f>
        <v/>
      </c>
      <c r="H4324" s="8">
        <f>IF(G4324="","",G4324-I4324)</f>
        <v/>
      </c>
      <c r="I4324" s="8">
        <f>IF(D4324="","",VLOOKUP(D4324, RECETTES!B:G, 6, FALSE)*E4324)</f>
        <v/>
      </c>
      <c r="J4324" s="8">
        <f>IF(G4324="","",G4324*0.20)</f>
        <v/>
      </c>
      <c r="K4324" s="8">
        <f>IF(G4324="","",G4324+J4324)</f>
        <v/>
      </c>
    </row>
    <row r="4325">
      <c r="F4325" s="8" t="n"/>
      <c r="G4325" s="8">
        <f>IF(E4325="","",E4325*F4325)</f>
        <v/>
      </c>
      <c r="H4325" s="8">
        <f>IF(G4325="","",G4325-I4325)</f>
        <v/>
      </c>
      <c r="I4325" s="8">
        <f>IF(D4325="","",VLOOKUP(D4325, RECETTES!B:G, 6, FALSE)*E4325)</f>
        <v/>
      </c>
      <c r="J4325" s="8">
        <f>IF(G4325="","",G4325*0.20)</f>
        <v/>
      </c>
      <c r="K4325" s="8">
        <f>IF(G4325="","",G4325+J4325)</f>
        <v/>
      </c>
    </row>
    <row r="4326">
      <c r="F4326" s="8" t="n"/>
      <c r="G4326" s="8">
        <f>IF(E4326="","",E4326*F4326)</f>
        <v/>
      </c>
      <c r="H4326" s="8">
        <f>IF(G4326="","",G4326-I4326)</f>
        <v/>
      </c>
      <c r="I4326" s="8">
        <f>IF(D4326="","",VLOOKUP(D4326, RECETTES!B:G, 6, FALSE)*E4326)</f>
        <v/>
      </c>
      <c r="J4326" s="8">
        <f>IF(G4326="","",G4326*0.20)</f>
        <v/>
      </c>
      <c r="K4326" s="8">
        <f>IF(G4326="","",G4326+J4326)</f>
        <v/>
      </c>
    </row>
    <row r="4327">
      <c r="F4327" s="8" t="n"/>
      <c r="G4327" s="8">
        <f>IF(E4327="","",E4327*F4327)</f>
        <v/>
      </c>
      <c r="H4327" s="8">
        <f>IF(G4327="","",G4327-I4327)</f>
        <v/>
      </c>
      <c r="I4327" s="8">
        <f>IF(D4327="","",VLOOKUP(D4327, RECETTES!B:G, 6, FALSE)*E4327)</f>
        <v/>
      </c>
      <c r="J4327" s="8">
        <f>IF(G4327="","",G4327*0.20)</f>
        <v/>
      </c>
      <c r="K4327" s="8">
        <f>IF(G4327="","",G4327+J4327)</f>
        <v/>
      </c>
    </row>
    <row r="4328">
      <c r="F4328" s="8" t="n"/>
      <c r="G4328" s="8">
        <f>IF(E4328="","",E4328*F4328)</f>
        <v/>
      </c>
      <c r="H4328" s="8">
        <f>IF(G4328="","",G4328-I4328)</f>
        <v/>
      </c>
      <c r="I4328" s="8">
        <f>IF(D4328="","",VLOOKUP(D4328, RECETTES!B:G, 6, FALSE)*E4328)</f>
        <v/>
      </c>
      <c r="J4328" s="8">
        <f>IF(G4328="","",G4328*0.20)</f>
        <v/>
      </c>
      <c r="K4328" s="8">
        <f>IF(G4328="","",G4328+J4328)</f>
        <v/>
      </c>
    </row>
    <row r="4329">
      <c r="F4329" s="8" t="n"/>
      <c r="G4329" s="8">
        <f>IF(E4329="","",E4329*F4329)</f>
        <v/>
      </c>
      <c r="H4329" s="8">
        <f>IF(G4329="","",G4329-I4329)</f>
        <v/>
      </c>
      <c r="I4329" s="8">
        <f>IF(D4329="","",VLOOKUP(D4329, RECETTES!B:G, 6, FALSE)*E4329)</f>
        <v/>
      </c>
      <c r="J4329" s="8">
        <f>IF(G4329="","",G4329*0.20)</f>
        <v/>
      </c>
      <c r="K4329" s="8">
        <f>IF(G4329="","",G4329+J4329)</f>
        <v/>
      </c>
    </row>
    <row r="4330">
      <c r="F4330" s="8" t="n"/>
      <c r="G4330" s="8">
        <f>IF(E4330="","",E4330*F4330)</f>
        <v/>
      </c>
      <c r="H4330" s="8">
        <f>IF(G4330="","",G4330-I4330)</f>
        <v/>
      </c>
      <c r="I4330" s="8">
        <f>IF(D4330="","",VLOOKUP(D4330, RECETTES!B:G, 6, FALSE)*E4330)</f>
        <v/>
      </c>
      <c r="J4330" s="8">
        <f>IF(G4330="","",G4330*0.20)</f>
        <v/>
      </c>
      <c r="K4330" s="8">
        <f>IF(G4330="","",G4330+J4330)</f>
        <v/>
      </c>
    </row>
    <row r="4331">
      <c r="F4331" s="8" t="n"/>
      <c r="G4331" s="8">
        <f>IF(E4331="","",E4331*F4331)</f>
        <v/>
      </c>
      <c r="H4331" s="8">
        <f>IF(G4331="","",G4331-I4331)</f>
        <v/>
      </c>
      <c r="I4331" s="8">
        <f>IF(D4331="","",VLOOKUP(D4331, RECETTES!B:G, 6, FALSE)*E4331)</f>
        <v/>
      </c>
      <c r="J4331" s="8">
        <f>IF(G4331="","",G4331*0.20)</f>
        <v/>
      </c>
      <c r="K4331" s="8">
        <f>IF(G4331="","",G4331+J4331)</f>
        <v/>
      </c>
    </row>
    <row r="4332">
      <c r="F4332" s="8" t="n"/>
      <c r="G4332" s="8">
        <f>IF(E4332="","",E4332*F4332)</f>
        <v/>
      </c>
      <c r="H4332" s="8">
        <f>IF(G4332="","",G4332-I4332)</f>
        <v/>
      </c>
      <c r="I4332" s="8">
        <f>IF(D4332="","",VLOOKUP(D4332, RECETTES!B:G, 6, FALSE)*E4332)</f>
        <v/>
      </c>
      <c r="J4332" s="8">
        <f>IF(G4332="","",G4332*0.20)</f>
        <v/>
      </c>
      <c r="K4332" s="8">
        <f>IF(G4332="","",G4332+J4332)</f>
        <v/>
      </c>
    </row>
    <row r="4333">
      <c r="F4333" s="8" t="n"/>
      <c r="G4333" s="8">
        <f>IF(E4333="","",E4333*F4333)</f>
        <v/>
      </c>
      <c r="H4333" s="8">
        <f>IF(G4333="","",G4333-I4333)</f>
        <v/>
      </c>
      <c r="I4333" s="8">
        <f>IF(D4333="","",VLOOKUP(D4333, RECETTES!B:G, 6, FALSE)*E4333)</f>
        <v/>
      </c>
      <c r="J4333" s="8">
        <f>IF(G4333="","",G4333*0.20)</f>
        <v/>
      </c>
      <c r="K4333" s="8">
        <f>IF(G4333="","",G4333+J4333)</f>
        <v/>
      </c>
    </row>
    <row r="4334">
      <c r="F4334" s="8" t="n"/>
      <c r="G4334" s="8">
        <f>IF(E4334="","",E4334*F4334)</f>
        <v/>
      </c>
      <c r="H4334" s="8">
        <f>IF(G4334="","",G4334-I4334)</f>
        <v/>
      </c>
      <c r="I4334" s="8">
        <f>IF(D4334="","",VLOOKUP(D4334, RECETTES!B:G, 6, FALSE)*E4334)</f>
        <v/>
      </c>
      <c r="J4334" s="8">
        <f>IF(G4334="","",G4334*0.20)</f>
        <v/>
      </c>
      <c r="K4334" s="8">
        <f>IF(G4334="","",G4334+J4334)</f>
        <v/>
      </c>
    </row>
    <row r="4335">
      <c r="F4335" s="8" t="n"/>
      <c r="G4335" s="8">
        <f>IF(E4335="","",E4335*F4335)</f>
        <v/>
      </c>
      <c r="H4335" s="8">
        <f>IF(G4335="","",G4335-I4335)</f>
        <v/>
      </c>
      <c r="I4335" s="8">
        <f>IF(D4335="","",VLOOKUP(D4335, RECETTES!B:G, 6, FALSE)*E4335)</f>
        <v/>
      </c>
      <c r="J4335" s="8">
        <f>IF(G4335="","",G4335*0.20)</f>
        <v/>
      </c>
      <c r="K4335" s="8">
        <f>IF(G4335="","",G4335+J4335)</f>
        <v/>
      </c>
    </row>
    <row r="4336">
      <c r="F4336" s="8" t="n"/>
      <c r="G4336" s="8">
        <f>IF(E4336="","",E4336*F4336)</f>
        <v/>
      </c>
      <c r="H4336" s="8">
        <f>IF(G4336="","",G4336-I4336)</f>
        <v/>
      </c>
      <c r="I4336" s="8">
        <f>IF(D4336="","",VLOOKUP(D4336, RECETTES!B:G, 6, FALSE)*E4336)</f>
        <v/>
      </c>
      <c r="J4336" s="8">
        <f>IF(G4336="","",G4336*0.20)</f>
        <v/>
      </c>
      <c r="K4336" s="8">
        <f>IF(G4336="","",G4336+J4336)</f>
        <v/>
      </c>
    </row>
    <row r="4337">
      <c r="F4337" s="8" t="n"/>
      <c r="G4337" s="8">
        <f>IF(E4337="","",E4337*F4337)</f>
        <v/>
      </c>
      <c r="H4337" s="8">
        <f>IF(G4337="","",G4337-I4337)</f>
        <v/>
      </c>
      <c r="I4337" s="8">
        <f>IF(D4337="","",VLOOKUP(D4337, RECETTES!B:G, 6, FALSE)*E4337)</f>
        <v/>
      </c>
      <c r="J4337" s="8">
        <f>IF(G4337="","",G4337*0.20)</f>
        <v/>
      </c>
      <c r="K4337" s="8">
        <f>IF(G4337="","",G4337+J4337)</f>
        <v/>
      </c>
    </row>
    <row r="4338">
      <c r="F4338" s="8" t="n"/>
      <c r="G4338" s="8">
        <f>IF(E4338="","",E4338*F4338)</f>
        <v/>
      </c>
      <c r="H4338" s="8">
        <f>IF(G4338="","",G4338-I4338)</f>
        <v/>
      </c>
      <c r="I4338" s="8">
        <f>IF(D4338="","",VLOOKUP(D4338, RECETTES!B:G, 6, FALSE)*E4338)</f>
        <v/>
      </c>
      <c r="J4338" s="8">
        <f>IF(G4338="","",G4338*0.20)</f>
        <v/>
      </c>
      <c r="K4338" s="8">
        <f>IF(G4338="","",G4338+J4338)</f>
        <v/>
      </c>
    </row>
    <row r="4339">
      <c r="F4339" s="8" t="n"/>
      <c r="G4339" s="8">
        <f>IF(E4339="","",E4339*F4339)</f>
        <v/>
      </c>
      <c r="H4339" s="8">
        <f>IF(G4339="","",G4339-I4339)</f>
        <v/>
      </c>
      <c r="I4339" s="8">
        <f>IF(D4339="","",VLOOKUP(D4339, RECETTES!B:G, 6, FALSE)*E4339)</f>
        <v/>
      </c>
      <c r="J4339" s="8">
        <f>IF(G4339="","",G4339*0.20)</f>
        <v/>
      </c>
      <c r="K4339" s="8">
        <f>IF(G4339="","",G4339+J4339)</f>
        <v/>
      </c>
    </row>
    <row r="4340">
      <c r="F4340" s="8" t="n"/>
      <c r="G4340" s="8">
        <f>IF(E4340="","",E4340*F4340)</f>
        <v/>
      </c>
      <c r="H4340" s="8">
        <f>IF(G4340="","",G4340-I4340)</f>
        <v/>
      </c>
      <c r="I4340" s="8">
        <f>IF(D4340="","",VLOOKUP(D4340, RECETTES!B:G, 6, FALSE)*E4340)</f>
        <v/>
      </c>
      <c r="J4340" s="8">
        <f>IF(G4340="","",G4340*0.20)</f>
        <v/>
      </c>
      <c r="K4340" s="8">
        <f>IF(G4340="","",G4340+J4340)</f>
        <v/>
      </c>
    </row>
    <row r="4341">
      <c r="F4341" s="8" t="n"/>
      <c r="G4341" s="8">
        <f>IF(E4341="","",E4341*F4341)</f>
        <v/>
      </c>
      <c r="H4341" s="8">
        <f>IF(G4341="","",G4341-I4341)</f>
        <v/>
      </c>
      <c r="I4341" s="8">
        <f>IF(D4341="","",VLOOKUP(D4341, RECETTES!B:G, 6, FALSE)*E4341)</f>
        <v/>
      </c>
      <c r="J4341" s="8">
        <f>IF(G4341="","",G4341*0.20)</f>
        <v/>
      </c>
      <c r="K4341" s="8">
        <f>IF(G4341="","",G4341+J4341)</f>
        <v/>
      </c>
    </row>
    <row r="4342">
      <c r="F4342" s="8" t="n"/>
      <c r="G4342" s="8">
        <f>IF(E4342="","",E4342*F4342)</f>
        <v/>
      </c>
      <c r="H4342" s="8">
        <f>IF(G4342="","",G4342-I4342)</f>
        <v/>
      </c>
      <c r="I4342" s="8">
        <f>IF(D4342="","",VLOOKUP(D4342, RECETTES!B:G, 6, FALSE)*E4342)</f>
        <v/>
      </c>
      <c r="J4342" s="8">
        <f>IF(G4342="","",G4342*0.20)</f>
        <v/>
      </c>
      <c r="K4342" s="8">
        <f>IF(G4342="","",G4342+J4342)</f>
        <v/>
      </c>
    </row>
    <row r="4343">
      <c r="F4343" s="8" t="n"/>
      <c r="G4343" s="8">
        <f>IF(E4343="","",E4343*F4343)</f>
        <v/>
      </c>
      <c r="H4343" s="8">
        <f>IF(G4343="","",G4343-I4343)</f>
        <v/>
      </c>
      <c r="I4343" s="8">
        <f>IF(D4343="","",VLOOKUP(D4343, RECETTES!B:G, 6, FALSE)*E4343)</f>
        <v/>
      </c>
      <c r="J4343" s="8">
        <f>IF(G4343="","",G4343*0.20)</f>
        <v/>
      </c>
      <c r="K4343" s="8">
        <f>IF(G4343="","",G4343+J4343)</f>
        <v/>
      </c>
    </row>
    <row r="4344">
      <c r="F4344" s="8" t="n"/>
      <c r="G4344" s="8">
        <f>IF(E4344="","",E4344*F4344)</f>
        <v/>
      </c>
      <c r="H4344" s="8">
        <f>IF(G4344="","",G4344-I4344)</f>
        <v/>
      </c>
      <c r="I4344" s="8">
        <f>IF(D4344="","",VLOOKUP(D4344, RECETTES!B:G, 6, FALSE)*E4344)</f>
        <v/>
      </c>
      <c r="J4344" s="8">
        <f>IF(G4344="","",G4344*0.20)</f>
        <v/>
      </c>
      <c r="K4344" s="8">
        <f>IF(G4344="","",G4344+J4344)</f>
        <v/>
      </c>
    </row>
    <row r="4345">
      <c r="F4345" s="8" t="n"/>
      <c r="G4345" s="8">
        <f>IF(E4345="","",E4345*F4345)</f>
        <v/>
      </c>
      <c r="H4345" s="8">
        <f>IF(G4345="","",G4345-I4345)</f>
        <v/>
      </c>
      <c r="I4345" s="8">
        <f>IF(D4345="","",VLOOKUP(D4345, RECETTES!B:G, 6, FALSE)*E4345)</f>
        <v/>
      </c>
      <c r="J4345" s="8">
        <f>IF(G4345="","",G4345*0.20)</f>
        <v/>
      </c>
      <c r="K4345" s="8">
        <f>IF(G4345="","",G4345+J4345)</f>
        <v/>
      </c>
    </row>
    <row r="4346">
      <c r="F4346" s="8" t="n"/>
      <c r="G4346" s="8">
        <f>IF(E4346="","",E4346*F4346)</f>
        <v/>
      </c>
      <c r="H4346" s="8">
        <f>IF(G4346="","",G4346-I4346)</f>
        <v/>
      </c>
      <c r="I4346" s="8">
        <f>IF(D4346="","",VLOOKUP(D4346, RECETTES!B:G, 6, FALSE)*E4346)</f>
        <v/>
      </c>
      <c r="J4346" s="8">
        <f>IF(G4346="","",G4346*0.20)</f>
        <v/>
      </c>
      <c r="K4346" s="8">
        <f>IF(G4346="","",G4346+J4346)</f>
        <v/>
      </c>
    </row>
    <row r="4347">
      <c r="F4347" s="8" t="n"/>
      <c r="G4347" s="8">
        <f>IF(E4347="","",E4347*F4347)</f>
        <v/>
      </c>
      <c r="H4347" s="8">
        <f>IF(G4347="","",G4347-I4347)</f>
        <v/>
      </c>
      <c r="I4347" s="8">
        <f>IF(D4347="","",VLOOKUP(D4347, RECETTES!B:G, 6, FALSE)*E4347)</f>
        <v/>
      </c>
      <c r="J4347" s="8">
        <f>IF(G4347="","",G4347*0.20)</f>
        <v/>
      </c>
      <c r="K4347" s="8">
        <f>IF(G4347="","",G4347+J4347)</f>
        <v/>
      </c>
    </row>
    <row r="4348">
      <c r="F4348" s="8" t="n"/>
      <c r="G4348" s="8">
        <f>IF(E4348="","",E4348*F4348)</f>
        <v/>
      </c>
      <c r="H4348" s="8">
        <f>IF(G4348="","",G4348-I4348)</f>
        <v/>
      </c>
      <c r="I4348" s="8">
        <f>IF(D4348="","",VLOOKUP(D4348, RECETTES!B:G, 6, FALSE)*E4348)</f>
        <v/>
      </c>
      <c r="J4348" s="8">
        <f>IF(G4348="","",G4348*0.20)</f>
        <v/>
      </c>
      <c r="K4348" s="8">
        <f>IF(G4348="","",G4348+J4348)</f>
        <v/>
      </c>
    </row>
    <row r="4349">
      <c r="F4349" s="8" t="n"/>
      <c r="G4349" s="8">
        <f>IF(E4349="","",E4349*F4349)</f>
        <v/>
      </c>
      <c r="H4349" s="8">
        <f>IF(G4349="","",G4349-I4349)</f>
        <v/>
      </c>
      <c r="I4349" s="8">
        <f>IF(D4349="","",VLOOKUP(D4349, RECETTES!B:G, 6, FALSE)*E4349)</f>
        <v/>
      </c>
      <c r="J4349" s="8">
        <f>IF(G4349="","",G4349*0.20)</f>
        <v/>
      </c>
      <c r="K4349" s="8">
        <f>IF(G4349="","",G4349+J4349)</f>
        <v/>
      </c>
    </row>
    <row r="4350">
      <c r="F4350" s="8" t="n"/>
      <c r="G4350" s="8">
        <f>IF(E4350="","",E4350*F4350)</f>
        <v/>
      </c>
      <c r="H4350" s="8">
        <f>IF(G4350="","",G4350-I4350)</f>
        <v/>
      </c>
      <c r="I4350" s="8">
        <f>IF(D4350="","",VLOOKUP(D4350, RECETTES!B:G, 6, FALSE)*E4350)</f>
        <v/>
      </c>
      <c r="J4350" s="8">
        <f>IF(G4350="","",G4350*0.20)</f>
        <v/>
      </c>
      <c r="K4350" s="8">
        <f>IF(G4350="","",G4350+J4350)</f>
        <v/>
      </c>
    </row>
    <row r="4351">
      <c r="F4351" s="8" t="n"/>
      <c r="G4351" s="8">
        <f>IF(E4351="","",E4351*F4351)</f>
        <v/>
      </c>
      <c r="H4351" s="8">
        <f>IF(G4351="","",G4351-I4351)</f>
        <v/>
      </c>
      <c r="I4351" s="8">
        <f>IF(D4351="","",VLOOKUP(D4351, RECETTES!B:G, 6, FALSE)*E4351)</f>
        <v/>
      </c>
      <c r="J4351" s="8">
        <f>IF(G4351="","",G4351*0.20)</f>
        <v/>
      </c>
      <c r="K4351" s="8">
        <f>IF(G4351="","",G4351+J4351)</f>
        <v/>
      </c>
    </row>
    <row r="4352">
      <c r="F4352" s="8" t="n"/>
      <c r="G4352" s="8">
        <f>IF(E4352="","",E4352*F4352)</f>
        <v/>
      </c>
      <c r="H4352" s="8">
        <f>IF(G4352="","",G4352-I4352)</f>
        <v/>
      </c>
      <c r="I4352" s="8">
        <f>IF(D4352="","",VLOOKUP(D4352, RECETTES!B:G, 6, FALSE)*E4352)</f>
        <v/>
      </c>
      <c r="J4352" s="8">
        <f>IF(G4352="","",G4352*0.20)</f>
        <v/>
      </c>
      <c r="K4352" s="8">
        <f>IF(G4352="","",G4352+J4352)</f>
        <v/>
      </c>
    </row>
    <row r="4353">
      <c r="F4353" s="8" t="n"/>
      <c r="G4353" s="8">
        <f>IF(E4353="","",E4353*F4353)</f>
        <v/>
      </c>
      <c r="H4353" s="8">
        <f>IF(G4353="","",G4353-I4353)</f>
        <v/>
      </c>
      <c r="I4353" s="8">
        <f>IF(D4353="","",VLOOKUP(D4353, RECETTES!B:G, 6, FALSE)*E4353)</f>
        <v/>
      </c>
      <c r="J4353" s="8">
        <f>IF(G4353="","",G4353*0.20)</f>
        <v/>
      </c>
      <c r="K4353" s="8">
        <f>IF(G4353="","",G4353+J4353)</f>
        <v/>
      </c>
    </row>
    <row r="4354">
      <c r="F4354" s="8" t="n"/>
      <c r="G4354" s="8">
        <f>IF(E4354="","",E4354*F4354)</f>
        <v/>
      </c>
      <c r="H4354" s="8">
        <f>IF(G4354="","",G4354-I4354)</f>
        <v/>
      </c>
      <c r="I4354" s="8">
        <f>IF(D4354="","",VLOOKUP(D4354, RECETTES!B:G, 6, FALSE)*E4354)</f>
        <v/>
      </c>
      <c r="J4354" s="8">
        <f>IF(G4354="","",G4354*0.20)</f>
        <v/>
      </c>
      <c r="K4354" s="8">
        <f>IF(G4354="","",G4354+J4354)</f>
        <v/>
      </c>
    </row>
    <row r="4355">
      <c r="F4355" s="8" t="n"/>
      <c r="G4355" s="8">
        <f>IF(E4355="","",E4355*F4355)</f>
        <v/>
      </c>
      <c r="H4355" s="8">
        <f>IF(G4355="","",G4355-I4355)</f>
        <v/>
      </c>
      <c r="I4355" s="8">
        <f>IF(D4355="","",VLOOKUP(D4355, RECETTES!B:G, 6, FALSE)*E4355)</f>
        <v/>
      </c>
      <c r="J4355" s="8">
        <f>IF(G4355="","",G4355*0.20)</f>
        <v/>
      </c>
      <c r="K4355" s="8">
        <f>IF(G4355="","",G4355+J4355)</f>
        <v/>
      </c>
    </row>
    <row r="4356">
      <c r="F4356" s="8" t="n"/>
      <c r="G4356" s="8">
        <f>IF(E4356="","",E4356*F4356)</f>
        <v/>
      </c>
      <c r="H4356" s="8">
        <f>IF(G4356="","",G4356-I4356)</f>
        <v/>
      </c>
      <c r="I4356" s="8">
        <f>IF(D4356="","",VLOOKUP(D4356, RECETTES!B:G, 6, FALSE)*E4356)</f>
        <v/>
      </c>
      <c r="J4356" s="8">
        <f>IF(G4356="","",G4356*0.20)</f>
        <v/>
      </c>
      <c r="K4356" s="8">
        <f>IF(G4356="","",G4356+J4356)</f>
        <v/>
      </c>
    </row>
    <row r="4357">
      <c r="F4357" s="8" t="n"/>
      <c r="G4357" s="8">
        <f>IF(E4357="","",E4357*F4357)</f>
        <v/>
      </c>
      <c r="H4357" s="8">
        <f>IF(G4357="","",G4357-I4357)</f>
        <v/>
      </c>
      <c r="I4357" s="8">
        <f>IF(D4357="","",VLOOKUP(D4357, RECETTES!B:G, 6, FALSE)*E4357)</f>
        <v/>
      </c>
      <c r="J4357" s="8">
        <f>IF(G4357="","",G4357*0.20)</f>
        <v/>
      </c>
      <c r="K4357" s="8">
        <f>IF(G4357="","",G4357+J4357)</f>
        <v/>
      </c>
    </row>
    <row r="4358">
      <c r="F4358" s="8" t="n"/>
      <c r="G4358" s="8">
        <f>IF(E4358="","",E4358*F4358)</f>
        <v/>
      </c>
      <c r="H4358" s="8">
        <f>IF(G4358="","",G4358-I4358)</f>
        <v/>
      </c>
      <c r="I4358" s="8">
        <f>IF(D4358="","",VLOOKUP(D4358, RECETTES!B:G, 6, FALSE)*E4358)</f>
        <v/>
      </c>
      <c r="J4358" s="8">
        <f>IF(G4358="","",G4358*0.20)</f>
        <v/>
      </c>
      <c r="K4358" s="8">
        <f>IF(G4358="","",G4358+J4358)</f>
        <v/>
      </c>
    </row>
    <row r="4359">
      <c r="F4359" s="8" t="n"/>
      <c r="G4359" s="8">
        <f>IF(E4359="","",E4359*F4359)</f>
        <v/>
      </c>
      <c r="H4359" s="8">
        <f>IF(G4359="","",G4359-I4359)</f>
        <v/>
      </c>
      <c r="I4359" s="8">
        <f>IF(D4359="","",VLOOKUP(D4359, RECETTES!B:G, 6, FALSE)*E4359)</f>
        <v/>
      </c>
      <c r="J4359" s="8">
        <f>IF(G4359="","",G4359*0.20)</f>
        <v/>
      </c>
      <c r="K4359" s="8">
        <f>IF(G4359="","",G4359+J4359)</f>
        <v/>
      </c>
    </row>
    <row r="4360">
      <c r="F4360" s="8" t="n"/>
      <c r="G4360" s="8">
        <f>IF(E4360="","",E4360*F4360)</f>
        <v/>
      </c>
      <c r="H4360" s="8">
        <f>IF(G4360="","",G4360-I4360)</f>
        <v/>
      </c>
      <c r="I4360" s="8">
        <f>IF(D4360="","",VLOOKUP(D4360, RECETTES!B:G, 6, FALSE)*E4360)</f>
        <v/>
      </c>
      <c r="J4360" s="8">
        <f>IF(G4360="","",G4360*0.20)</f>
        <v/>
      </c>
      <c r="K4360" s="8">
        <f>IF(G4360="","",G4360+J4360)</f>
        <v/>
      </c>
    </row>
    <row r="4361">
      <c r="F4361" s="8" t="n"/>
      <c r="G4361" s="8">
        <f>IF(E4361="","",E4361*F4361)</f>
        <v/>
      </c>
      <c r="H4361" s="8">
        <f>IF(G4361="","",G4361-I4361)</f>
        <v/>
      </c>
      <c r="I4361" s="8">
        <f>IF(D4361="","",VLOOKUP(D4361, RECETTES!B:G, 6, FALSE)*E4361)</f>
        <v/>
      </c>
      <c r="J4361" s="8">
        <f>IF(G4361="","",G4361*0.20)</f>
        <v/>
      </c>
      <c r="K4361" s="8">
        <f>IF(G4361="","",G4361+J4361)</f>
        <v/>
      </c>
    </row>
    <row r="4362">
      <c r="F4362" s="8" t="n"/>
      <c r="G4362" s="8">
        <f>IF(E4362="","",E4362*F4362)</f>
        <v/>
      </c>
      <c r="H4362" s="8">
        <f>IF(G4362="","",G4362-I4362)</f>
        <v/>
      </c>
      <c r="I4362" s="8">
        <f>IF(D4362="","",VLOOKUP(D4362, RECETTES!B:G, 6, FALSE)*E4362)</f>
        <v/>
      </c>
      <c r="J4362" s="8">
        <f>IF(G4362="","",G4362*0.20)</f>
        <v/>
      </c>
      <c r="K4362" s="8">
        <f>IF(G4362="","",G4362+J4362)</f>
        <v/>
      </c>
    </row>
    <row r="4363">
      <c r="F4363" s="8" t="n"/>
      <c r="G4363" s="8">
        <f>IF(E4363="","",E4363*F4363)</f>
        <v/>
      </c>
      <c r="H4363" s="8">
        <f>IF(G4363="","",G4363-I4363)</f>
        <v/>
      </c>
      <c r="I4363" s="8">
        <f>IF(D4363="","",VLOOKUP(D4363, RECETTES!B:G, 6, FALSE)*E4363)</f>
        <v/>
      </c>
      <c r="J4363" s="8">
        <f>IF(G4363="","",G4363*0.20)</f>
        <v/>
      </c>
      <c r="K4363" s="8">
        <f>IF(G4363="","",G4363+J4363)</f>
        <v/>
      </c>
    </row>
    <row r="4364">
      <c r="F4364" s="8" t="n"/>
      <c r="G4364" s="8">
        <f>IF(E4364="","",E4364*F4364)</f>
        <v/>
      </c>
      <c r="H4364" s="8">
        <f>IF(G4364="","",G4364-I4364)</f>
        <v/>
      </c>
      <c r="I4364" s="8">
        <f>IF(D4364="","",VLOOKUP(D4364, RECETTES!B:G, 6, FALSE)*E4364)</f>
        <v/>
      </c>
      <c r="J4364" s="8">
        <f>IF(G4364="","",G4364*0.20)</f>
        <v/>
      </c>
      <c r="K4364" s="8">
        <f>IF(G4364="","",G4364+J4364)</f>
        <v/>
      </c>
    </row>
    <row r="4365">
      <c r="F4365" s="8" t="n"/>
      <c r="G4365" s="8">
        <f>IF(E4365="","",E4365*F4365)</f>
        <v/>
      </c>
      <c r="H4365" s="8">
        <f>IF(G4365="","",G4365-I4365)</f>
        <v/>
      </c>
      <c r="I4365" s="8">
        <f>IF(D4365="","",VLOOKUP(D4365, RECETTES!B:G, 6, FALSE)*E4365)</f>
        <v/>
      </c>
      <c r="J4365" s="8">
        <f>IF(G4365="","",G4365*0.20)</f>
        <v/>
      </c>
      <c r="K4365" s="8">
        <f>IF(G4365="","",G4365+J4365)</f>
        <v/>
      </c>
    </row>
    <row r="4366">
      <c r="F4366" s="8" t="n"/>
      <c r="G4366" s="8">
        <f>IF(E4366="","",E4366*F4366)</f>
        <v/>
      </c>
      <c r="H4366" s="8">
        <f>IF(G4366="","",G4366-I4366)</f>
        <v/>
      </c>
      <c r="I4366" s="8">
        <f>IF(D4366="","",VLOOKUP(D4366, RECETTES!B:G, 6, FALSE)*E4366)</f>
        <v/>
      </c>
      <c r="J4366" s="8">
        <f>IF(G4366="","",G4366*0.20)</f>
        <v/>
      </c>
      <c r="K4366" s="8">
        <f>IF(G4366="","",G4366+J4366)</f>
        <v/>
      </c>
    </row>
    <row r="4367">
      <c r="F4367" s="8" t="n"/>
      <c r="G4367" s="8">
        <f>IF(E4367="","",E4367*F4367)</f>
        <v/>
      </c>
      <c r="H4367" s="8">
        <f>IF(G4367="","",G4367-I4367)</f>
        <v/>
      </c>
      <c r="I4367" s="8">
        <f>IF(D4367="","",VLOOKUP(D4367, RECETTES!B:G, 6, FALSE)*E4367)</f>
        <v/>
      </c>
      <c r="J4367" s="8">
        <f>IF(G4367="","",G4367*0.20)</f>
        <v/>
      </c>
      <c r="K4367" s="8">
        <f>IF(G4367="","",G4367+J4367)</f>
        <v/>
      </c>
    </row>
    <row r="4368">
      <c r="F4368" s="8" t="n"/>
      <c r="G4368" s="8">
        <f>IF(E4368="","",E4368*F4368)</f>
        <v/>
      </c>
      <c r="H4368" s="8">
        <f>IF(G4368="","",G4368-I4368)</f>
        <v/>
      </c>
      <c r="I4368" s="8">
        <f>IF(D4368="","",VLOOKUP(D4368, RECETTES!B:G, 6, FALSE)*E4368)</f>
        <v/>
      </c>
      <c r="J4368" s="8">
        <f>IF(G4368="","",G4368*0.20)</f>
        <v/>
      </c>
      <c r="K4368" s="8">
        <f>IF(G4368="","",G4368+J4368)</f>
        <v/>
      </c>
    </row>
    <row r="4369">
      <c r="F4369" s="8" t="n"/>
      <c r="G4369" s="8">
        <f>IF(E4369="","",E4369*F4369)</f>
        <v/>
      </c>
      <c r="H4369" s="8">
        <f>IF(G4369="","",G4369-I4369)</f>
        <v/>
      </c>
      <c r="I4369" s="8">
        <f>IF(D4369="","",VLOOKUP(D4369, RECETTES!B:G, 6, FALSE)*E4369)</f>
        <v/>
      </c>
      <c r="J4369" s="8">
        <f>IF(G4369="","",G4369*0.20)</f>
        <v/>
      </c>
      <c r="K4369" s="8">
        <f>IF(G4369="","",G4369+J4369)</f>
        <v/>
      </c>
    </row>
    <row r="4370">
      <c r="F4370" s="8" t="n"/>
      <c r="G4370" s="8">
        <f>IF(E4370="","",E4370*F4370)</f>
        <v/>
      </c>
      <c r="H4370" s="8">
        <f>IF(G4370="","",G4370-I4370)</f>
        <v/>
      </c>
      <c r="I4370" s="8">
        <f>IF(D4370="","",VLOOKUP(D4370, RECETTES!B:G, 6, FALSE)*E4370)</f>
        <v/>
      </c>
      <c r="J4370" s="8">
        <f>IF(G4370="","",G4370*0.20)</f>
        <v/>
      </c>
      <c r="K4370" s="8">
        <f>IF(G4370="","",G4370+J4370)</f>
        <v/>
      </c>
    </row>
    <row r="4371">
      <c r="F4371" s="8" t="n"/>
      <c r="G4371" s="8">
        <f>IF(E4371="","",E4371*F4371)</f>
        <v/>
      </c>
      <c r="H4371" s="8">
        <f>IF(G4371="","",G4371-I4371)</f>
        <v/>
      </c>
      <c r="I4371" s="8">
        <f>IF(D4371="","",VLOOKUP(D4371, RECETTES!B:G, 6, FALSE)*E4371)</f>
        <v/>
      </c>
      <c r="J4371" s="8">
        <f>IF(G4371="","",G4371*0.20)</f>
        <v/>
      </c>
      <c r="K4371" s="8">
        <f>IF(G4371="","",G4371+J4371)</f>
        <v/>
      </c>
    </row>
    <row r="4372">
      <c r="F4372" s="8" t="n"/>
      <c r="G4372" s="8">
        <f>IF(E4372="","",E4372*F4372)</f>
        <v/>
      </c>
      <c r="H4372" s="8">
        <f>IF(G4372="","",G4372-I4372)</f>
        <v/>
      </c>
      <c r="I4372" s="8">
        <f>IF(D4372="","",VLOOKUP(D4372, RECETTES!B:G, 6, FALSE)*E4372)</f>
        <v/>
      </c>
      <c r="J4372" s="8">
        <f>IF(G4372="","",G4372*0.20)</f>
        <v/>
      </c>
      <c r="K4372" s="8">
        <f>IF(G4372="","",G4372+J4372)</f>
        <v/>
      </c>
    </row>
    <row r="4373">
      <c r="F4373" s="8" t="n"/>
      <c r="G4373" s="8">
        <f>IF(E4373="","",E4373*F4373)</f>
        <v/>
      </c>
      <c r="H4373" s="8">
        <f>IF(G4373="","",G4373-I4373)</f>
        <v/>
      </c>
      <c r="I4373" s="8">
        <f>IF(D4373="","",VLOOKUP(D4373, RECETTES!B:G, 6, FALSE)*E4373)</f>
        <v/>
      </c>
      <c r="J4373" s="8">
        <f>IF(G4373="","",G4373*0.20)</f>
        <v/>
      </c>
      <c r="K4373" s="8">
        <f>IF(G4373="","",G4373+J4373)</f>
        <v/>
      </c>
    </row>
    <row r="4374">
      <c r="F4374" s="8" t="n"/>
      <c r="G4374" s="8">
        <f>IF(E4374="","",E4374*F4374)</f>
        <v/>
      </c>
      <c r="H4374" s="8">
        <f>IF(G4374="","",G4374-I4374)</f>
        <v/>
      </c>
      <c r="I4374" s="8">
        <f>IF(D4374="","",VLOOKUP(D4374, RECETTES!B:G, 6, FALSE)*E4374)</f>
        <v/>
      </c>
      <c r="J4374" s="8">
        <f>IF(G4374="","",G4374*0.20)</f>
        <v/>
      </c>
      <c r="K4374" s="8">
        <f>IF(G4374="","",G4374+J4374)</f>
        <v/>
      </c>
    </row>
    <row r="4375">
      <c r="F4375" s="8" t="n"/>
      <c r="G4375" s="8">
        <f>IF(E4375="","",E4375*F4375)</f>
        <v/>
      </c>
      <c r="H4375" s="8">
        <f>IF(G4375="","",G4375-I4375)</f>
        <v/>
      </c>
      <c r="I4375" s="8">
        <f>IF(D4375="","",VLOOKUP(D4375, RECETTES!B:G, 6, FALSE)*E4375)</f>
        <v/>
      </c>
      <c r="J4375" s="8">
        <f>IF(G4375="","",G4375*0.20)</f>
        <v/>
      </c>
      <c r="K4375" s="8">
        <f>IF(G4375="","",G4375+J4375)</f>
        <v/>
      </c>
    </row>
    <row r="4376">
      <c r="F4376" s="8" t="n"/>
      <c r="G4376" s="8">
        <f>IF(E4376="","",E4376*F4376)</f>
        <v/>
      </c>
      <c r="H4376" s="8">
        <f>IF(G4376="","",G4376-I4376)</f>
        <v/>
      </c>
      <c r="I4376" s="8">
        <f>IF(D4376="","",VLOOKUP(D4376, RECETTES!B:G, 6, FALSE)*E4376)</f>
        <v/>
      </c>
      <c r="J4376" s="8">
        <f>IF(G4376="","",G4376*0.20)</f>
        <v/>
      </c>
      <c r="K4376" s="8">
        <f>IF(G4376="","",G4376+J4376)</f>
        <v/>
      </c>
    </row>
    <row r="4377">
      <c r="F4377" s="8" t="n"/>
      <c r="G4377" s="8">
        <f>IF(E4377="","",E4377*F4377)</f>
        <v/>
      </c>
      <c r="H4377" s="8">
        <f>IF(G4377="","",G4377-I4377)</f>
        <v/>
      </c>
      <c r="I4377" s="8">
        <f>IF(D4377="","",VLOOKUP(D4377, RECETTES!B:G, 6, FALSE)*E4377)</f>
        <v/>
      </c>
      <c r="J4377" s="8">
        <f>IF(G4377="","",G4377*0.20)</f>
        <v/>
      </c>
      <c r="K4377" s="8">
        <f>IF(G4377="","",G4377+J4377)</f>
        <v/>
      </c>
    </row>
    <row r="4378">
      <c r="F4378" s="8" t="n"/>
      <c r="G4378" s="8">
        <f>IF(E4378="","",E4378*F4378)</f>
        <v/>
      </c>
      <c r="H4378" s="8">
        <f>IF(G4378="","",G4378-I4378)</f>
        <v/>
      </c>
      <c r="I4378" s="8">
        <f>IF(D4378="","",VLOOKUP(D4378, RECETTES!B:G, 6, FALSE)*E4378)</f>
        <v/>
      </c>
      <c r="J4378" s="8">
        <f>IF(G4378="","",G4378*0.20)</f>
        <v/>
      </c>
      <c r="K4378" s="8">
        <f>IF(G4378="","",G4378+J4378)</f>
        <v/>
      </c>
    </row>
    <row r="4379">
      <c r="F4379" s="8" t="n"/>
      <c r="G4379" s="8">
        <f>IF(E4379="","",E4379*F4379)</f>
        <v/>
      </c>
      <c r="H4379" s="8">
        <f>IF(G4379="","",G4379-I4379)</f>
        <v/>
      </c>
      <c r="I4379" s="8">
        <f>IF(D4379="","",VLOOKUP(D4379, RECETTES!B:G, 6, FALSE)*E4379)</f>
        <v/>
      </c>
      <c r="J4379" s="8">
        <f>IF(G4379="","",G4379*0.20)</f>
        <v/>
      </c>
      <c r="K4379" s="8">
        <f>IF(G4379="","",G4379+J4379)</f>
        <v/>
      </c>
    </row>
    <row r="4380">
      <c r="F4380" s="8" t="n"/>
      <c r="G4380" s="8">
        <f>IF(E4380="","",E4380*F4380)</f>
        <v/>
      </c>
      <c r="H4380" s="8">
        <f>IF(G4380="","",G4380-I4380)</f>
        <v/>
      </c>
      <c r="I4380" s="8">
        <f>IF(D4380="","",VLOOKUP(D4380, RECETTES!B:G, 6, FALSE)*E4380)</f>
        <v/>
      </c>
      <c r="J4380" s="8">
        <f>IF(G4380="","",G4380*0.20)</f>
        <v/>
      </c>
      <c r="K4380" s="8">
        <f>IF(G4380="","",G4380+J4380)</f>
        <v/>
      </c>
    </row>
    <row r="4381">
      <c r="F4381" s="8" t="n"/>
      <c r="G4381" s="8">
        <f>IF(E4381="","",E4381*F4381)</f>
        <v/>
      </c>
      <c r="H4381" s="8">
        <f>IF(G4381="","",G4381-I4381)</f>
        <v/>
      </c>
      <c r="I4381" s="8">
        <f>IF(D4381="","",VLOOKUP(D4381, RECETTES!B:G, 6, FALSE)*E4381)</f>
        <v/>
      </c>
      <c r="J4381" s="8">
        <f>IF(G4381="","",G4381*0.20)</f>
        <v/>
      </c>
      <c r="K4381" s="8">
        <f>IF(G4381="","",G4381+J4381)</f>
        <v/>
      </c>
    </row>
    <row r="4382">
      <c r="F4382" s="8" t="n"/>
      <c r="G4382" s="8">
        <f>IF(E4382="","",E4382*F4382)</f>
        <v/>
      </c>
      <c r="H4382" s="8">
        <f>IF(G4382="","",G4382-I4382)</f>
        <v/>
      </c>
      <c r="I4382" s="8">
        <f>IF(D4382="","",VLOOKUP(D4382, RECETTES!B:G, 6, FALSE)*E4382)</f>
        <v/>
      </c>
      <c r="J4382" s="8">
        <f>IF(G4382="","",G4382*0.20)</f>
        <v/>
      </c>
      <c r="K4382" s="8">
        <f>IF(G4382="","",G4382+J4382)</f>
        <v/>
      </c>
    </row>
    <row r="4383">
      <c r="F4383" s="8" t="n"/>
      <c r="G4383" s="8">
        <f>IF(E4383="","",E4383*F4383)</f>
        <v/>
      </c>
      <c r="H4383" s="8">
        <f>IF(G4383="","",G4383-I4383)</f>
        <v/>
      </c>
      <c r="I4383" s="8">
        <f>IF(D4383="","",VLOOKUP(D4383, RECETTES!B:G, 6, FALSE)*E4383)</f>
        <v/>
      </c>
      <c r="J4383" s="8">
        <f>IF(G4383="","",G4383*0.20)</f>
        <v/>
      </c>
      <c r="K4383" s="8">
        <f>IF(G4383="","",G4383+J4383)</f>
        <v/>
      </c>
    </row>
    <row r="4384">
      <c r="F4384" s="8" t="n"/>
      <c r="G4384" s="8">
        <f>IF(E4384="","",E4384*F4384)</f>
        <v/>
      </c>
      <c r="H4384" s="8">
        <f>IF(G4384="","",G4384-I4384)</f>
        <v/>
      </c>
      <c r="I4384" s="8">
        <f>IF(D4384="","",VLOOKUP(D4384, RECETTES!B:G, 6, FALSE)*E4384)</f>
        <v/>
      </c>
      <c r="J4384" s="8">
        <f>IF(G4384="","",G4384*0.20)</f>
        <v/>
      </c>
      <c r="K4384" s="8">
        <f>IF(G4384="","",G4384+J4384)</f>
        <v/>
      </c>
    </row>
    <row r="4385">
      <c r="F4385" s="8" t="n"/>
      <c r="G4385" s="8">
        <f>IF(E4385="","",E4385*F4385)</f>
        <v/>
      </c>
      <c r="H4385" s="8">
        <f>IF(G4385="","",G4385-I4385)</f>
        <v/>
      </c>
      <c r="I4385" s="8">
        <f>IF(D4385="","",VLOOKUP(D4385, RECETTES!B:G, 6, FALSE)*E4385)</f>
        <v/>
      </c>
      <c r="J4385" s="8">
        <f>IF(G4385="","",G4385*0.20)</f>
        <v/>
      </c>
      <c r="K4385" s="8">
        <f>IF(G4385="","",G4385+J4385)</f>
        <v/>
      </c>
    </row>
    <row r="4386">
      <c r="F4386" s="8" t="n"/>
      <c r="G4386" s="8">
        <f>IF(E4386="","",E4386*F4386)</f>
        <v/>
      </c>
      <c r="H4386" s="8">
        <f>IF(G4386="","",G4386-I4386)</f>
        <v/>
      </c>
      <c r="I4386" s="8">
        <f>IF(D4386="","",VLOOKUP(D4386, RECETTES!B:G, 6, FALSE)*E4386)</f>
        <v/>
      </c>
      <c r="J4386" s="8">
        <f>IF(G4386="","",G4386*0.20)</f>
        <v/>
      </c>
      <c r="K4386" s="8">
        <f>IF(G4386="","",G4386+J4386)</f>
        <v/>
      </c>
    </row>
    <row r="4387">
      <c r="F4387" s="8" t="n"/>
      <c r="G4387" s="8">
        <f>IF(E4387="","",E4387*F4387)</f>
        <v/>
      </c>
      <c r="H4387" s="8">
        <f>IF(G4387="","",G4387-I4387)</f>
        <v/>
      </c>
      <c r="I4387" s="8">
        <f>IF(D4387="","",VLOOKUP(D4387, RECETTES!B:G, 6, FALSE)*E4387)</f>
        <v/>
      </c>
      <c r="J4387" s="8">
        <f>IF(G4387="","",G4387*0.20)</f>
        <v/>
      </c>
      <c r="K4387" s="8">
        <f>IF(G4387="","",G4387+J4387)</f>
        <v/>
      </c>
    </row>
    <row r="4388">
      <c r="F4388" s="8" t="n"/>
      <c r="G4388" s="8">
        <f>IF(E4388="","",E4388*F4388)</f>
        <v/>
      </c>
      <c r="H4388" s="8">
        <f>IF(G4388="","",G4388-I4388)</f>
        <v/>
      </c>
      <c r="I4388" s="8">
        <f>IF(D4388="","",VLOOKUP(D4388, RECETTES!B:G, 6, FALSE)*E4388)</f>
        <v/>
      </c>
      <c r="J4388" s="8">
        <f>IF(G4388="","",G4388*0.20)</f>
        <v/>
      </c>
      <c r="K4388" s="8">
        <f>IF(G4388="","",G4388+J4388)</f>
        <v/>
      </c>
    </row>
    <row r="4389">
      <c r="F4389" s="8" t="n"/>
      <c r="G4389" s="8">
        <f>IF(E4389="","",E4389*F4389)</f>
        <v/>
      </c>
      <c r="H4389" s="8">
        <f>IF(G4389="","",G4389-I4389)</f>
        <v/>
      </c>
      <c r="I4389" s="8">
        <f>IF(D4389="","",VLOOKUP(D4389, RECETTES!B:G, 6, FALSE)*E4389)</f>
        <v/>
      </c>
      <c r="J4389" s="8">
        <f>IF(G4389="","",G4389*0.20)</f>
        <v/>
      </c>
      <c r="K4389" s="8">
        <f>IF(G4389="","",G4389+J4389)</f>
        <v/>
      </c>
    </row>
    <row r="4390">
      <c r="F4390" s="8" t="n"/>
      <c r="G4390" s="8">
        <f>IF(E4390="","",E4390*F4390)</f>
        <v/>
      </c>
      <c r="H4390" s="8">
        <f>IF(G4390="","",G4390-I4390)</f>
        <v/>
      </c>
      <c r="I4390" s="8">
        <f>IF(D4390="","",VLOOKUP(D4390, RECETTES!B:G, 6, FALSE)*E4390)</f>
        <v/>
      </c>
      <c r="J4390" s="8">
        <f>IF(G4390="","",G4390*0.20)</f>
        <v/>
      </c>
      <c r="K4390" s="8">
        <f>IF(G4390="","",G4390+J4390)</f>
        <v/>
      </c>
    </row>
    <row r="4391">
      <c r="F4391" s="8" t="n"/>
      <c r="G4391" s="8">
        <f>IF(E4391="","",E4391*F4391)</f>
        <v/>
      </c>
      <c r="H4391" s="8">
        <f>IF(G4391="","",G4391-I4391)</f>
        <v/>
      </c>
      <c r="I4391" s="8">
        <f>IF(D4391="","",VLOOKUP(D4391, RECETTES!B:G, 6, FALSE)*E4391)</f>
        <v/>
      </c>
      <c r="J4391" s="8">
        <f>IF(G4391="","",G4391*0.20)</f>
        <v/>
      </c>
      <c r="K4391" s="8">
        <f>IF(G4391="","",G4391+J4391)</f>
        <v/>
      </c>
    </row>
    <row r="4392">
      <c r="F4392" s="8" t="n"/>
      <c r="G4392" s="8">
        <f>IF(E4392="","",E4392*F4392)</f>
        <v/>
      </c>
      <c r="H4392" s="8">
        <f>IF(G4392="","",G4392-I4392)</f>
        <v/>
      </c>
      <c r="I4392" s="8">
        <f>IF(D4392="","",VLOOKUP(D4392, RECETTES!B:G, 6, FALSE)*E4392)</f>
        <v/>
      </c>
      <c r="J4392" s="8">
        <f>IF(G4392="","",G4392*0.20)</f>
        <v/>
      </c>
      <c r="K4392" s="8">
        <f>IF(G4392="","",G4392+J4392)</f>
        <v/>
      </c>
    </row>
    <row r="4393">
      <c r="F4393" s="8" t="n"/>
      <c r="G4393" s="8">
        <f>IF(E4393="","",E4393*F4393)</f>
        <v/>
      </c>
      <c r="H4393" s="8">
        <f>IF(G4393="","",G4393-I4393)</f>
        <v/>
      </c>
      <c r="I4393" s="8">
        <f>IF(D4393="","",VLOOKUP(D4393, RECETTES!B:G, 6, FALSE)*E4393)</f>
        <v/>
      </c>
      <c r="J4393" s="8">
        <f>IF(G4393="","",G4393*0.20)</f>
        <v/>
      </c>
      <c r="K4393" s="8">
        <f>IF(G4393="","",G4393+J4393)</f>
        <v/>
      </c>
    </row>
    <row r="4394">
      <c r="F4394" s="8" t="n"/>
      <c r="G4394" s="8">
        <f>IF(E4394="","",E4394*F4394)</f>
        <v/>
      </c>
      <c r="H4394" s="8">
        <f>IF(G4394="","",G4394-I4394)</f>
        <v/>
      </c>
      <c r="I4394" s="8">
        <f>IF(D4394="","",VLOOKUP(D4394, RECETTES!B:G, 6, FALSE)*E4394)</f>
        <v/>
      </c>
      <c r="J4394" s="8">
        <f>IF(G4394="","",G4394*0.20)</f>
        <v/>
      </c>
      <c r="K4394" s="8">
        <f>IF(G4394="","",G4394+J4394)</f>
        <v/>
      </c>
    </row>
    <row r="4395">
      <c r="F4395" s="8" t="n"/>
      <c r="G4395" s="8">
        <f>IF(E4395="","",E4395*F4395)</f>
        <v/>
      </c>
      <c r="H4395" s="8">
        <f>IF(G4395="","",G4395-I4395)</f>
        <v/>
      </c>
      <c r="I4395" s="8">
        <f>IF(D4395="","",VLOOKUP(D4395, RECETTES!B:G, 6, FALSE)*E4395)</f>
        <v/>
      </c>
      <c r="J4395" s="8">
        <f>IF(G4395="","",G4395*0.20)</f>
        <v/>
      </c>
      <c r="K4395" s="8">
        <f>IF(G4395="","",G4395+J4395)</f>
        <v/>
      </c>
    </row>
    <row r="4396">
      <c r="F4396" s="8" t="n"/>
      <c r="G4396" s="8">
        <f>IF(E4396="","",E4396*F4396)</f>
        <v/>
      </c>
      <c r="H4396" s="8">
        <f>IF(G4396="","",G4396-I4396)</f>
        <v/>
      </c>
      <c r="I4396" s="8">
        <f>IF(D4396="","",VLOOKUP(D4396, RECETTES!B:G, 6, FALSE)*E4396)</f>
        <v/>
      </c>
      <c r="J4396" s="8">
        <f>IF(G4396="","",G4396*0.20)</f>
        <v/>
      </c>
      <c r="K4396" s="8">
        <f>IF(G4396="","",G4396+J4396)</f>
        <v/>
      </c>
    </row>
    <row r="4397">
      <c r="F4397" s="8" t="n"/>
      <c r="G4397" s="8">
        <f>IF(E4397="","",E4397*F4397)</f>
        <v/>
      </c>
      <c r="H4397" s="8">
        <f>IF(G4397="","",G4397-I4397)</f>
        <v/>
      </c>
      <c r="I4397" s="8">
        <f>IF(D4397="","",VLOOKUP(D4397, RECETTES!B:G, 6, FALSE)*E4397)</f>
        <v/>
      </c>
      <c r="J4397" s="8">
        <f>IF(G4397="","",G4397*0.20)</f>
        <v/>
      </c>
      <c r="K4397" s="8">
        <f>IF(G4397="","",G4397+J4397)</f>
        <v/>
      </c>
    </row>
    <row r="4398">
      <c r="F4398" s="8" t="n"/>
      <c r="G4398" s="8">
        <f>IF(E4398="","",E4398*F4398)</f>
        <v/>
      </c>
      <c r="H4398" s="8">
        <f>IF(G4398="","",G4398-I4398)</f>
        <v/>
      </c>
      <c r="I4398" s="8">
        <f>IF(D4398="","",VLOOKUP(D4398, RECETTES!B:G, 6, FALSE)*E4398)</f>
        <v/>
      </c>
      <c r="J4398" s="8">
        <f>IF(G4398="","",G4398*0.20)</f>
        <v/>
      </c>
      <c r="K4398" s="8">
        <f>IF(G4398="","",G4398+J4398)</f>
        <v/>
      </c>
    </row>
    <row r="4399">
      <c r="F4399" s="8" t="n"/>
      <c r="G4399" s="8">
        <f>IF(E4399="","",E4399*F4399)</f>
        <v/>
      </c>
      <c r="H4399" s="8">
        <f>IF(G4399="","",G4399-I4399)</f>
        <v/>
      </c>
      <c r="I4399" s="8">
        <f>IF(D4399="","",VLOOKUP(D4399, RECETTES!B:G, 6, FALSE)*E4399)</f>
        <v/>
      </c>
      <c r="J4399" s="8">
        <f>IF(G4399="","",G4399*0.20)</f>
        <v/>
      </c>
      <c r="K4399" s="8">
        <f>IF(G4399="","",G4399+J4399)</f>
        <v/>
      </c>
    </row>
    <row r="4400">
      <c r="F4400" s="8" t="n"/>
      <c r="G4400" s="8">
        <f>IF(E4400="","",E4400*F4400)</f>
        <v/>
      </c>
      <c r="H4400" s="8">
        <f>IF(G4400="","",G4400-I4400)</f>
        <v/>
      </c>
      <c r="I4400" s="8">
        <f>IF(D4400="","",VLOOKUP(D4400, RECETTES!B:G, 6, FALSE)*E4400)</f>
        <v/>
      </c>
      <c r="J4400" s="8">
        <f>IF(G4400="","",G4400*0.20)</f>
        <v/>
      </c>
      <c r="K4400" s="8">
        <f>IF(G4400="","",G4400+J4400)</f>
        <v/>
      </c>
    </row>
    <row r="4401">
      <c r="F4401" s="8" t="n"/>
      <c r="G4401" s="8">
        <f>IF(E4401="","",E4401*F4401)</f>
        <v/>
      </c>
      <c r="H4401" s="8">
        <f>IF(G4401="","",G4401-I4401)</f>
        <v/>
      </c>
      <c r="I4401" s="8">
        <f>IF(D4401="","",VLOOKUP(D4401, RECETTES!B:G, 6, FALSE)*E4401)</f>
        <v/>
      </c>
      <c r="J4401" s="8">
        <f>IF(G4401="","",G4401*0.20)</f>
        <v/>
      </c>
      <c r="K4401" s="8">
        <f>IF(G4401="","",G4401+J4401)</f>
        <v/>
      </c>
    </row>
    <row r="4402">
      <c r="F4402" s="8" t="n"/>
      <c r="G4402" s="8">
        <f>IF(E4402="","",E4402*F4402)</f>
        <v/>
      </c>
      <c r="H4402" s="8">
        <f>IF(G4402="","",G4402-I4402)</f>
        <v/>
      </c>
      <c r="I4402" s="8">
        <f>IF(D4402="","",VLOOKUP(D4402, RECETTES!B:G, 6, FALSE)*E4402)</f>
        <v/>
      </c>
      <c r="J4402" s="8">
        <f>IF(G4402="","",G4402*0.20)</f>
        <v/>
      </c>
      <c r="K4402" s="8">
        <f>IF(G4402="","",G4402+J4402)</f>
        <v/>
      </c>
    </row>
    <row r="4403">
      <c r="F4403" s="8" t="n"/>
      <c r="G4403" s="8">
        <f>IF(E4403="","",E4403*F4403)</f>
        <v/>
      </c>
      <c r="H4403" s="8">
        <f>IF(G4403="","",G4403-I4403)</f>
        <v/>
      </c>
      <c r="I4403" s="8">
        <f>IF(D4403="","",VLOOKUP(D4403, RECETTES!B:G, 6, FALSE)*E4403)</f>
        <v/>
      </c>
      <c r="J4403" s="8">
        <f>IF(G4403="","",G4403*0.20)</f>
        <v/>
      </c>
      <c r="K4403" s="8">
        <f>IF(G4403="","",G4403+J4403)</f>
        <v/>
      </c>
    </row>
    <row r="4404">
      <c r="F4404" s="8" t="n"/>
      <c r="G4404" s="8">
        <f>IF(E4404="","",E4404*F4404)</f>
        <v/>
      </c>
      <c r="H4404" s="8">
        <f>IF(G4404="","",G4404-I4404)</f>
        <v/>
      </c>
      <c r="I4404" s="8">
        <f>IF(D4404="","",VLOOKUP(D4404, RECETTES!B:G, 6, FALSE)*E4404)</f>
        <v/>
      </c>
      <c r="J4404" s="8">
        <f>IF(G4404="","",G4404*0.20)</f>
        <v/>
      </c>
      <c r="K4404" s="8">
        <f>IF(G4404="","",G4404+J4404)</f>
        <v/>
      </c>
    </row>
    <row r="4405">
      <c r="F4405" s="8" t="n"/>
      <c r="G4405" s="8">
        <f>IF(E4405="","",E4405*F4405)</f>
        <v/>
      </c>
      <c r="H4405" s="8">
        <f>IF(G4405="","",G4405-I4405)</f>
        <v/>
      </c>
      <c r="I4405" s="8">
        <f>IF(D4405="","",VLOOKUP(D4405, RECETTES!B:G, 6, FALSE)*E4405)</f>
        <v/>
      </c>
      <c r="J4405" s="8">
        <f>IF(G4405="","",G4405*0.20)</f>
        <v/>
      </c>
      <c r="K4405" s="8">
        <f>IF(G4405="","",G4405+J4405)</f>
        <v/>
      </c>
    </row>
    <row r="4406">
      <c r="F4406" s="8" t="n"/>
      <c r="G4406" s="8">
        <f>IF(E4406="","",E4406*F4406)</f>
        <v/>
      </c>
      <c r="H4406" s="8">
        <f>IF(G4406="","",G4406-I4406)</f>
        <v/>
      </c>
      <c r="I4406" s="8">
        <f>IF(D4406="","",VLOOKUP(D4406, RECETTES!B:G, 6, FALSE)*E4406)</f>
        <v/>
      </c>
      <c r="J4406" s="8">
        <f>IF(G4406="","",G4406*0.20)</f>
        <v/>
      </c>
      <c r="K4406" s="8">
        <f>IF(G4406="","",G4406+J4406)</f>
        <v/>
      </c>
    </row>
    <row r="4407">
      <c r="F4407" s="8" t="n"/>
      <c r="G4407" s="8">
        <f>IF(E4407="","",E4407*F4407)</f>
        <v/>
      </c>
      <c r="H4407" s="8">
        <f>IF(G4407="","",G4407-I4407)</f>
        <v/>
      </c>
      <c r="I4407" s="8">
        <f>IF(D4407="","",VLOOKUP(D4407, RECETTES!B:G, 6, FALSE)*E4407)</f>
        <v/>
      </c>
      <c r="J4407" s="8">
        <f>IF(G4407="","",G4407*0.20)</f>
        <v/>
      </c>
      <c r="K4407" s="8">
        <f>IF(G4407="","",G4407+J4407)</f>
        <v/>
      </c>
    </row>
    <row r="4408">
      <c r="F4408" s="8" t="n"/>
      <c r="G4408" s="8">
        <f>IF(E4408="","",E4408*F4408)</f>
        <v/>
      </c>
      <c r="H4408" s="8">
        <f>IF(G4408="","",G4408-I4408)</f>
        <v/>
      </c>
      <c r="I4408" s="8">
        <f>IF(D4408="","",VLOOKUP(D4408, RECETTES!B:G, 6, FALSE)*E4408)</f>
        <v/>
      </c>
      <c r="J4408" s="8">
        <f>IF(G4408="","",G4408*0.20)</f>
        <v/>
      </c>
      <c r="K4408" s="8">
        <f>IF(G4408="","",G4408+J4408)</f>
        <v/>
      </c>
    </row>
    <row r="4409">
      <c r="F4409" s="8" t="n"/>
      <c r="G4409" s="8">
        <f>IF(E4409="","",E4409*F4409)</f>
        <v/>
      </c>
      <c r="H4409" s="8">
        <f>IF(G4409="","",G4409-I4409)</f>
        <v/>
      </c>
      <c r="I4409" s="8">
        <f>IF(D4409="","",VLOOKUP(D4409, RECETTES!B:G, 6, FALSE)*E4409)</f>
        <v/>
      </c>
      <c r="J4409" s="8">
        <f>IF(G4409="","",G4409*0.20)</f>
        <v/>
      </c>
      <c r="K4409" s="8">
        <f>IF(G4409="","",G4409+J4409)</f>
        <v/>
      </c>
    </row>
    <row r="4410">
      <c r="F4410" s="8" t="n"/>
      <c r="G4410" s="8">
        <f>IF(E4410="","",E4410*F4410)</f>
        <v/>
      </c>
      <c r="H4410" s="8">
        <f>IF(G4410="","",G4410-I4410)</f>
        <v/>
      </c>
      <c r="I4410" s="8">
        <f>IF(D4410="","",VLOOKUP(D4410, RECETTES!B:G, 6, FALSE)*E4410)</f>
        <v/>
      </c>
      <c r="J4410" s="8">
        <f>IF(G4410="","",G4410*0.20)</f>
        <v/>
      </c>
      <c r="K4410" s="8">
        <f>IF(G4410="","",G4410+J4410)</f>
        <v/>
      </c>
    </row>
    <row r="4411">
      <c r="F4411" s="8" t="n"/>
      <c r="G4411" s="8">
        <f>IF(E4411="","",E4411*F4411)</f>
        <v/>
      </c>
      <c r="H4411" s="8">
        <f>IF(G4411="","",G4411-I4411)</f>
        <v/>
      </c>
      <c r="I4411" s="8">
        <f>IF(D4411="","",VLOOKUP(D4411, RECETTES!B:G, 6, FALSE)*E4411)</f>
        <v/>
      </c>
      <c r="J4411" s="8">
        <f>IF(G4411="","",G4411*0.20)</f>
        <v/>
      </c>
      <c r="K4411" s="8">
        <f>IF(G4411="","",G4411+J4411)</f>
        <v/>
      </c>
    </row>
    <row r="4412">
      <c r="F4412" s="8" t="n"/>
      <c r="G4412" s="8">
        <f>IF(E4412="","",E4412*F4412)</f>
        <v/>
      </c>
      <c r="H4412" s="8">
        <f>IF(G4412="","",G4412-I4412)</f>
        <v/>
      </c>
      <c r="I4412" s="8">
        <f>IF(D4412="","",VLOOKUP(D4412, RECETTES!B:G, 6, FALSE)*E4412)</f>
        <v/>
      </c>
      <c r="J4412" s="8">
        <f>IF(G4412="","",G4412*0.20)</f>
        <v/>
      </c>
      <c r="K4412" s="8">
        <f>IF(G4412="","",G4412+J4412)</f>
        <v/>
      </c>
    </row>
    <row r="4413">
      <c r="F4413" s="8" t="n"/>
      <c r="G4413" s="8">
        <f>IF(E4413="","",E4413*F4413)</f>
        <v/>
      </c>
      <c r="H4413" s="8">
        <f>IF(G4413="","",G4413-I4413)</f>
        <v/>
      </c>
      <c r="I4413" s="8">
        <f>IF(D4413="","",VLOOKUP(D4413, RECETTES!B:G, 6, FALSE)*E4413)</f>
        <v/>
      </c>
      <c r="J4413" s="8">
        <f>IF(G4413="","",G4413*0.20)</f>
        <v/>
      </c>
      <c r="K4413" s="8">
        <f>IF(G4413="","",G4413+J4413)</f>
        <v/>
      </c>
    </row>
    <row r="4414">
      <c r="F4414" s="8" t="n"/>
      <c r="G4414" s="8">
        <f>IF(E4414="","",E4414*F4414)</f>
        <v/>
      </c>
      <c r="H4414" s="8">
        <f>IF(G4414="","",G4414-I4414)</f>
        <v/>
      </c>
      <c r="I4414" s="8">
        <f>IF(D4414="","",VLOOKUP(D4414, RECETTES!B:G, 6, FALSE)*E4414)</f>
        <v/>
      </c>
      <c r="J4414" s="8">
        <f>IF(G4414="","",G4414*0.20)</f>
        <v/>
      </c>
      <c r="K4414" s="8">
        <f>IF(G4414="","",G4414+J4414)</f>
        <v/>
      </c>
    </row>
    <row r="4415">
      <c r="F4415" s="8" t="n"/>
      <c r="G4415" s="8">
        <f>IF(E4415="","",E4415*F4415)</f>
        <v/>
      </c>
      <c r="H4415" s="8">
        <f>IF(G4415="","",G4415-I4415)</f>
        <v/>
      </c>
      <c r="I4415" s="8">
        <f>IF(D4415="","",VLOOKUP(D4415, RECETTES!B:G, 6, FALSE)*E4415)</f>
        <v/>
      </c>
      <c r="J4415" s="8">
        <f>IF(G4415="","",G4415*0.20)</f>
        <v/>
      </c>
      <c r="K4415" s="8">
        <f>IF(G4415="","",G4415+J4415)</f>
        <v/>
      </c>
    </row>
    <row r="4416">
      <c r="F4416" s="8" t="n"/>
      <c r="G4416" s="8">
        <f>IF(E4416="","",E4416*F4416)</f>
        <v/>
      </c>
      <c r="H4416" s="8">
        <f>IF(G4416="","",G4416-I4416)</f>
        <v/>
      </c>
      <c r="I4416" s="8">
        <f>IF(D4416="","",VLOOKUP(D4416, RECETTES!B:G, 6, FALSE)*E4416)</f>
        <v/>
      </c>
      <c r="J4416" s="8">
        <f>IF(G4416="","",G4416*0.20)</f>
        <v/>
      </c>
      <c r="K4416" s="8">
        <f>IF(G4416="","",G4416+J4416)</f>
        <v/>
      </c>
    </row>
    <row r="4417">
      <c r="F4417" s="8" t="n"/>
      <c r="G4417" s="8">
        <f>IF(E4417="","",E4417*F4417)</f>
        <v/>
      </c>
      <c r="H4417" s="8">
        <f>IF(G4417="","",G4417-I4417)</f>
        <v/>
      </c>
      <c r="I4417" s="8">
        <f>IF(D4417="","",VLOOKUP(D4417, RECETTES!B:G, 6, FALSE)*E4417)</f>
        <v/>
      </c>
      <c r="J4417" s="8">
        <f>IF(G4417="","",G4417*0.20)</f>
        <v/>
      </c>
      <c r="K4417" s="8">
        <f>IF(G4417="","",G4417+J4417)</f>
        <v/>
      </c>
    </row>
    <row r="4418">
      <c r="F4418" s="8" t="n"/>
      <c r="G4418" s="8">
        <f>IF(E4418="","",E4418*F4418)</f>
        <v/>
      </c>
      <c r="H4418" s="8">
        <f>IF(G4418="","",G4418-I4418)</f>
        <v/>
      </c>
      <c r="I4418" s="8">
        <f>IF(D4418="","",VLOOKUP(D4418, RECETTES!B:G, 6, FALSE)*E4418)</f>
        <v/>
      </c>
      <c r="J4418" s="8">
        <f>IF(G4418="","",G4418*0.20)</f>
        <v/>
      </c>
      <c r="K4418" s="8">
        <f>IF(G4418="","",G4418+J4418)</f>
        <v/>
      </c>
    </row>
    <row r="4419">
      <c r="F4419" s="8" t="n"/>
      <c r="G4419" s="8">
        <f>IF(E4419="","",E4419*F4419)</f>
        <v/>
      </c>
      <c r="H4419" s="8">
        <f>IF(G4419="","",G4419-I4419)</f>
        <v/>
      </c>
      <c r="I4419" s="8">
        <f>IF(D4419="","",VLOOKUP(D4419, RECETTES!B:G, 6, FALSE)*E4419)</f>
        <v/>
      </c>
      <c r="J4419" s="8">
        <f>IF(G4419="","",G4419*0.20)</f>
        <v/>
      </c>
      <c r="K4419" s="8">
        <f>IF(G4419="","",G4419+J4419)</f>
        <v/>
      </c>
    </row>
    <row r="4420">
      <c r="F4420" s="8" t="n"/>
      <c r="G4420" s="8">
        <f>IF(E4420="","",E4420*F4420)</f>
        <v/>
      </c>
      <c r="H4420" s="8">
        <f>IF(G4420="","",G4420-I4420)</f>
        <v/>
      </c>
      <c r="I4420" s="8">
        <f>IF(D4420="","",VLOOKUP(D4420, RECETTES!B:G, 6, FALSE)*E4420)</f>
        <v/>
      </c>
      <c r="J4420" s="8">
        <f>IF(G4420="","",G4420*0.20)</f>
        <v/>
      </c>
      <c r="K4420" s="8">
        <f>IF(G4420="","",G4420+J4420)</f>
        <v/>
      </c>
    </row>
    <row r="4421">
      <c r="F4421" s="8" t="n"/>
      <c r="G4421" s="8">
        <f>IF(E4421="","",E4421*F4421)</f>
        <v/>
      </c>
      <c r="H4421" s="8">
        <f>IF(G4421="","",G4421-I4421)</f>
        <v/>
      </c>
      <c r="I4421" s="8">
        <f>IF(D4421="","",VLOOKUP(D4421, RECETTES!B:G, 6, FALSE)*E4421)</f>
        <v/>
      </c>
      <c r="J4421" s="8">
        <f>IF(G4421="","",G4421*0.20)</f>
        <v/>
      </c>
      <c r="K4421" s="8">
        <f>IF(G4421="","",G4421+J4421)</f>
        <v/>
      </c>
    </row>
    <row r="4422">
      <c r="F4422" s="8" t="n"/>
      <c r="G4422" s="8">
        <f>IF(E4422="","",E4422*F4422)</f>
        <v/>
      </c>
      <c r="H4422" s="8">
        <f>IF(G4422="","",G4422-I4422)</f>
        <v/>
      </c>
      <c r="I4422" s="8">
        <f>IF(D4422="","",VLOOKUP(D4422, RECETTES!B:G, 6, FALSE)*E4422)</f>
        <v/>
      </c>
      <c r="J4422" s="8">
        <f>IF(G4422="","",G4422*0.20)</f>
        <v/>
      </c>
      <c r="K4422" s="8">
        <f>IF(G4422="","",G4422+J4422)</f>
        <v/>
      </c>
    </row>
    <row r="4423">
      <c r="F4423" s="8" t="n"/>
      <c r="G4423" s="8">
        <f>IF(E4423="","",E4423*F4423)</f>
        <v/>
      </c>
      <c r="H4423" s="8">
        <f>IF(G4423="","",G4423-I4423)</f>
        <v/>
      </c>
      <c r="I4423" s="8">
        <f>IF(D4423="","",VLOOKUP(D4423, RECETTES!B:G, 6, FALSE)*E4423)</f>
        <v/>
      </c>
      <c r="J4423" s="8">
        <f>IF(G4423="","",G4423*0.20)</f>
        <v/>
      </c>
      <c r="K4423" s="8">
        <f>IF(G4423="","",G4423+J4423)</f>
        <v/>
      </c>
    </row>
    <row r="4424">
      <c r="F4424" s="8" t="n"/>
      <c r="G4424" s="8">
        <f>IF(E4424="","",E4424*F4424)</f>
        <v/>
      </c>
      <c r="H4424" s="8">
        <f>IF(G4424="","",G4424-I4424)</f>
        <v/>
      </c>
      <c r="I4424" s="8">
        <f>IF(D4424="","",VLOOKUP(D4424, RECETTES!B:G, 6, FALSE)*E4424)</f>
        <v/>
      </c>
      <c r="J4424" s="8">
        <f>IF(G4424="","",G4424*0.20)</f>
        <v/>
      </c>
      <c r="K4424" s="8">
        <f>IF(G4424="","",G4424+J4424)</f>
        <v/>
      </c>
    </row>
    <row r="4425">
      <c r="F4425" s="8" t="n"/>
      <c r="G4425" s="8">
        <f>IF(E4425="","",E4425*F4425)</f>
        <v/>
      </c>
      <c r="H4425" s="8">
        <f>IF(G4425="","",G4425-I4425)</f>
        <v/>
      </c>
      <c r="I4425" s="8">
        <f>IF(D4425="","",VLOOKUP(D4425, RECETTES!B:G, 6, FALSE)*E4425)</f>
        <v/>
      </c>
      <c r="J4425" s="8">
        <f>IF(G4425="","",G4425*0.20)</f>
        <v/>
      </c>
      <c r="K4425" s="8">
        <f>IF(G4425="","",G4425+J4425)</f>
        <v/>
      </c>
    </row>
    <row r="4426">
      <c r="F4426" s="8" t="n"/>
      <c r="G4426" s="8">
        <f>IF(E4426="","",E4426*F4426)</f>
        <v/>
      </c>
      <c r="H4426" s="8">
        <f>IF(G4426="","",G4426-I4426)</f>
        <v/>
      </c>
      <c r="I4426" s="8">
        <f>IF(D4426="","",VLOOKUP(D4426, RECETTES!B:G, 6, FALSE)*E4426)</f>
        <v/>
      </c>
      <c r="J4426" s="8">
        <f>IF(G4426="","",G4426*0.20)</f>
        <v/>
      </c>
      <c r="K4426" s="8">
        <f>IF(G4426="","",G4426+J4426)</f>
        <v/>
      </c>
    </row>
    <row r="4427">
      <c r="F4427" s="8" t="n"/>
      <c r="G4427" s="8">
        <f>IF(E4427="","",E4427*F4427)</f>
        <v/>
      </c>
      <c r="H4427" s="8">
        <f>IF(G4427="","",G4427-I4427)</f>
        <v/>
      </c>
      <c r="I4427" s="8">
        <f>IF(D4427="","",VLOOKUP(D4427, RECETTES!B:G, 6, FALSE)*E4427)</f>
        <v/>
      </c>
      <c r="J4427" s="8">
        <f>IF(G4427="","",G4427*0.20)</f>
        <v/>
      </c>
      <c r="K4427" s="8">
        <f>IF(G4427="","",G4427+J4427)</f>
        <v/>
      </c>
    </row>
    <row r="4428">
      <c r="F4428" s="8" t="n"/>
      <c r="G4428" s="8">
        <f>IF(E4428="","",E4428*F4428)</f>
        <v/>
      </c>
      <c r="H4428" s="8">
        <f>IF(G4428="","",G4428-I4428)</f>
        <v/>
      </c>
      <c r="I4428" s="8">
        <f>IF(D4428="","",VLOOKUP(D4428, RECETTES!B:G, 6, FALSE)*E4428)</f>
        <v/>
      </c>
      <c r="J4428" s="8">
        <f>IF(G4428="","",G4428*0.20)</f>
        <v/>
      </c>
      <c r="K4428" s="8">
        <f>IF(G4428="","",G4428+J4428)</f>
        <v/>
      </c>
    </row>
    <row r="4429">
      <c r="F4429" s="8" t="n"/>
      <c r="G4429" s="8">
        <f>IF(E4429="","",E4429*F4429)</f>
        <v/>
      </c>
      <c r="H4429" s="8">
        <f>IF(G4429="","",G4429-I4429)</f>
        <v/>
      </c>
      <c r="I4429" s="8">
        <f>IF(D4429="","",VLOOKUP(D4429, RECETTES!B:G, 6, FALSE)*E4429)</f>
        <v/>
      </c>
      <c r="J4429" s="8">
        <f>IF(G4429="","",G4429*0.20)</f>
        <v/>
      </c>
      <c r="K4429" s="8">
        <f>IF(G4429="","",G4429+J4429)</f>
        <v/>
      </c>
    </row>
    <row r="4430">
      <c r="F4430" s="8" t="n"/>
      <c r="G4430" s="8">
        <f>IF(E4430="","",E4430*F4430)</f>
        <v/>
      </c>
      <c r="H4430" s="8">
        <f>IF(G4430="","",G4430-I4430)</f>
        <v/>
      </c>
      <c r="I4430" s="8">
        <f>IF(D4430="","",VLOOKUP(D4430, RECETTES!B:G, 6, FALSE)*E4430)</f>
        <v/>
      </c>
      <c r="J4430" s="8">
        <f>IF(G4430="","",G4430*0.20)</f>
        <v/>
      </c>
      <c r="K4430" s="8">
        <f>IF(G4430="","",G4430+J4430)</f>
        <v/>
      </c>
    </row>
    <row r="4431">
      <c r="F4431" s="8" t="n"/>
      <c r="G4431" s="8">
        <f>IF(E4431="","",E4431*F4431)</f>
        <v/>
      </c>
      <c r="H4431" s="8">
        <f>IF(G4431="","",G4431-I4431)</f>
        <v/>
      </c>
      <c r="I4431" s="8">
        <f>IF(D4431="","",VLOOKUP(D4431, RECETTES!B:G, 6, FALSE)*E4431)</f>
        <v/>
      </c>
      <c r="J4431" s="8">
        <f>IF(G4431="","",G4431*0.20)</f>
        <v/>
      </c>
      <c r="K4431" s="8">
        <f>IF(G4431="","",G4431+J4431)</f>
        <v/>
      </c>
    </row>
    <row r="4432">
      <c r="F4432" s="8" t="n"/>
      <c r="G4432" s="8">
        <f>IF(E4432="","",E4432*F4432)</f>
        <v/>
      </c>
      <c r="H4432" s="8">
        <f>IF(G4432="","",G4432-I4432)</f>
        <v/>
      </c>
      <c r="I4432" s="8">
        <f>IF(D4432="","",VLOOKUP(D4432, RECETTES!B:G, 6, FALSE)*E4432)</f>
        <v/>
      </c>
      <c r="J4432" s="8">
        <f>IF(G4432="","",G4432*0.20)</f>
        <v/>
      </c>
      <c r="K4432" s="8">
        <f>IF(G4432="","",G4432+J4432)</f>
        <v/>
      </c>
    </row>
    <row r="4433">
      <c r="F4433" s="8" t="n"/>
      <c r="G4433" s="8">
        <f>IF(E4433="","",E4433*F4433)</f>
        <v/>
      </c>
      <c r="H4433" s="8">
        <f>IF(G4433="","",G4433-I4433)</f>
        <v/>
      </c>
      <c r="I4433" s="8">
        <f>IF(D4433="","",VLOOKUP(D4433, RECETTES!B:G, 6, FALSE)*E4433)</f>
        <v/>
      </c>
      <c r="J4433" s="8">
        <f>IF(G4433="","",G4433*0.20)</f>
        <v/>
      </c>
      <c r="K4433" s="8">
        <f>IF(G4433="","",G4433+J4433)</f>
        <v/>
      </c>
    </row>
    <row r="4434">
      <c r="F4434" s="8" t="n"/>
      <c r="G4434" s="8">
        <f>IF(E4434="","",E4434*F4434)</f>
        <v/>
      </c>
      <c r="H4434" s="8">
        <f>IF(G4434="","",G4434-I4434)</f>
        <v/>
      </c>
      <c r="I4434" s="8">
        <f>IF(D4434="","",VLOOKUP(D4434, RECETTES!B:G, 6, FALSE)*E4434)</f>
        <v/>
      </c>
      <c r="J4434" s="8">
        <f>IF(G4434="","",G4434*0.20)</f>
        <v/>
      </c>
      <c r="K4434" s="8">
        <f>IF(G4434="","",G4434+J4434)</f>
        <v/>
      </c>
    </row>
    <row r="4435">
      <c r="F4435" s="8" t="n"/>
      <c r="G4435" s="8">
        <f>IF(E4435="","",E4435*F4435)</f>
        <v/>
      </c>
      <c r="H4435" s="8">
        <f>IF(G4435="","",G4435-I4435)</f>
        <v/>
      </c>
      <c r="I4435" s="8">
        <f>IF(D4435="","",VLOOKUP(D4435, RECETTES!B:G, 6, FALSE)*E4435)</f>
        <v/>
      </c>
      <c r="J4435" s="8">
        <f>IF(G4435="","",G4435*0.20)</f>
        <v/>
      </c>
      <c r="K4435" s="8">
        <f>IF(G4435="","",G4435+J4435)</f>
        <v/>
      </c>
    </row>
    <row r="4436">
      <c r="F4436" s="8" t="n"/>
      <c r="G4436" s="8">
        <f>IF(E4436="","",E4436*F4436)</f>
        <v/>
      </c>
      <c r="H4436" s="8">
        <f>IF(G4436="","",G4436-I4436)</f>
        <v/>
      </c>
      <c r="I4436" s="8">
        <f>IF(D4436="","",VLOOKUP(D4436, RECETTES!B:G, 6, FALSE)*E4436)</f>
        <v/>
      </c>
      <c r="J4436" s="8">
        <f>IF(G4436="","",G4436*0.20)</f>
        <v/>
      </c>
      <c r="K4436" s="8">
        <f>IF(G4436="","",G4436+J4436)</f>
        <v/>
      </c>
    </row>
    <row r="4437">
      <c r="F4437" s="8" t="n"/>
      <c r="G4437" s="8">
        <f>IF(E4437="","",E4437*F4437)</f>
        <v/>
      </c>
      <c r="H4437" s="8">
        <f>IF(G4437="","",G4437-I4437)</f>
        <v/>
      </c>
      <c r="I4437" s="8">
        <f>IF(D4437="","",VLOOKUP(D4437, RECETTES!B:G, 6, FALSE)*E4437)</f>
        <v/>
      </c>
      <c r="J4437" s="8">
        <f>IF(G4437="","",G4437*0.20)</f>
        <v/>
      </c>
      <c r="K4437" s="8">
        <f>IF(G4437="","",G4437+J4437)</f>
        <v/>
      </c>
    </row>
    <row r="4438">
      <c r="F4438" s="8" t="n"/>
      <c r="G4438" s="8">
        <f>IF(E4438="","",E4438*F4438)</f>
        <v/>
      </c>
      <c r="H4438" s="8">
        <f>IF(G4438="","",G4438-I4438)</f>
        <v/>
      </c>
      <c r="I4438" s="8">
        <f>IF(D4438="","",VLOOKUP(D4438, RECETTES!B:G, 6, FALSE)*E4438)</f>
        <v/>
      </c>
      <c r="J4438" s="8">
        <f>IF(G4438="","",G4438*0.20)</f>
        <v/>
      </c>
      <c r="K4438" s="8">
        <f>IF(G4438="","",G4438+J4438)</f>
        <v/>
      </c>
    </row>
    <row r="4439">
      <c r="F4439" s="8" t="n"/>
      <c r="G4439" s="8">
        <f>IF(E4439="","",E4439*F4439)</f>
        <v/>
      </c>
      <c r="H4439" s="8">
        <f>IF(G4439="","",G4439-I4439)</f>
        <v/>
      </c>
      <c r="I4439" s="8">
        <f>IF(D4439="","",VLOOKUP(D4439, RECETTES!B:G, 6, FALSE)*E4439)</f>
        <v/>
      </c>
      <c r="J4439" s="8">
        <f>IF(G4439="","",G4439*0.20)</f>
        <v/>
      </c>
      <c r="K4439" s="8">
        <f>IF(G4439="","",G4439+J4439)</f>
        <v/>
      </c>
    </row>
    <row r="4440">
      <c r="F4440" s="8" t="n"/>
      <c r="G4440" s="8">
        <f>IF(E4440="","",E4440*F4440)</f>
        <v/>
      </c>
      <c r="H4440" s="8">
        <f>IF(G4440="","",G4440-I4440)</f>
        <v/>
      </c>
      <c r="I4440" s="8">
        <f>IF(D4440="","",VLOOKUP(D4440, RECETTES!B:G, 6, FALSE)*E4440)</f>
        <v/>
      </c>
      <c r="J4440" s="8">
        <f>IF(G4440="","",G4440*0.20)</f>
        <v/>
      </c>
      <c r="K4440" s="8">
        <f>IF(G4440="","",G4440+J4440)</f>
        <v/>
      </c>
    </row>
    <row r="4441">
      <c r="F4441" s="8" t="n"/>
      <c r="G4441" s="8">
        <f>IF(E4441="","",E4441*F4441)</f>
        <v/>
      </c>
      <c r="H4441" s="8">
        <f>IF(G4441="","",G4441-I4441)</f>
        <v/>
      </c>
      <c r="I4441" s="8">
        <f>IF(D4441="","",VLOOKUP(D4441, RECETTES!B:G, 6, FALSE)*E4441)</f>
        <v/>
      </c>
      <c r="J4441" s="8">
        <f>IF(G4441="","",G4441*0.20)</f>
        <v/>
      </c>
      <c r="K4441" s="8">
        <f>IF(G4441="","",G4441+J4441)</f>
        <v/>
      </c>
    </row>
    <row r="4442">
      <c r="F4442" s="8" t="n"/>
      <c r="G4442" s="8">
        <f>IF(E4442="","",E4442*F4442)</f>
        <v/>
      </c>
      <c r="H4442" s="8">
        <f>IF(G4442="","",G4442-I4442)</f>
        <v/>
      </c>
      <c r="I4442" s="8">
        <f>IF(D4442="","",VLOOKUP(D4442, RECETTES!B:G, 6, FALSE)*E4442)</f>
        <v/>
      </c>
      <c r="J4442" s="8">
        <f>IF(G4442="","",G4442*0.20)</f>
        <v/>
      </c>
      <c r="K4442" s="8">
        <f>IF(G4442="","",G4442+J4442)</f>
        <v/>
      </c>
    </row>
    <row r="4443">
      <c r="F4443" s="8" t="n"/>
      <c r="G4443" s="8">
        <f>IF(E4443="","",E4443*F4443)</f>
        <v/>
      </c>
      <c r="H4443" s="8">
        <f>IF(G4443="","",G4443-I4443)</f>
        <v/>
      </c>
      <c r="I4443" s="8">
        <f>IF(D4443="","",VLOOKUP(D4443, RECETTES!B:G, 6, FALSE)*E4443)</f>
        <v/>
      </c>
      <c r="J4443" s="8">
        <f>IF(G4443="","",G4443*0.20)</f>
        <v/>
      </c>
      <c r="K4443" s="8">
        <f>IF(G4443="","",G4443+J4443)</f>
        <v/>
      </c>
    </row>
    <row r="4444">
      <c r="F4444" s="8" t="n"/>
      <c r="G4444" s="8">
        <f>IF(E4444="","",E4444*F4444)</f>
        <v/>
      </c>
      <c r="H4444" s="8">
        <f>IF(G4444="","",G4444-I4444)</f>
        <v/>
      </c>
      <c r="I4444" s="8">
        <f>IF(D4444="","",VLOOKUP(D4444, RECETTES!B:G, 6, FALSE)*E4444)</f>
        <v/>
      </c>
      <c r="J4444" s="8">
        <f>IF(G4444="","",G4444*0.20)</f>
        <v/>
      </c>
      <c r="K4444" s="8">
        <f>IF(G4444="","",G4444+J4444)</f>
        <v/>
      </c>
    </row>
    <row r="4445">
      <c r="F4445" s="8" t="n"/>
      <c r="G4445" s="8">
        <f>IF(E4445="","",E4445*F4445)</f>
        <v/>
      </c>
      <c r="H4445" s="8">
        <f>IF(G4445="","",G4445-I4445)</f>
        <v/>
      </c>
      <c r="I4445" s="8">
        <f>IF(D4445="","",VLOOKUP(D4445, RECETTES!B:G, 6, FALSE)*E4445)</f>
        <v/>
      </c>
      <c r="J4445" s="8">
        <f>IF(G4445="","",G4445*0.20)</f>
        <v/>
      </c>
      <c r="K4445" s="8">
        <f>IF(G4445="","",G4445+J4445)</f>
        <v/>
      </c>
    </row>
    <row r="4446">
      <c r="F4446" s="8" t="n"/>
      <c r="G4446" s="8">
        <f>IF(E4446="","",E4446*F4446)</f>
        <v/>
      </c>
      <c r="H4446" s="8">
        <f>IF(G4446="","",G4446-I4446)</f>
        <v/>
      </c>
      <c r="I4446" s="8">
        <f>IF(D4446="","",VLOOKUP(D4446, RECETTES!B:G, 6, FALSE)*E4446)</f>
        <v/>
      </c>
      <c r="J4446" s="8">
        <f>IF(G4446="","",G4446*0.20)</f>
        <v/>
      </c>
      <c r="K4446" s="8">
        <f>IF(G4446="","",G4446+J4446)</f>
        <v/>
      </c>
    </row>
    <row r="4447">
      <c r="F4447" s="8" t="n"/>
      <c r="G4447" s="8">
        <f>IF(E4447="","",E4447*F4447)</f>
        <v/>
      </c>
      <c r="H4447" s="8">
        <f>IF(G4447="","",G4447-I4447)</f>
        <v/>
      </c>
      <c r="I4447" s="8">
        <f>IF(D4447="","",VLOOKUP(D4447, RECETTES!B:G, 6, FALSE)*E4447)</f>
        <v/>
      </c>
      <c r="J4447" s="8">
        <f>IF(G4447="","",G4447*0.20)</f>
        <v/>
      </c>
      <c r="K4447" s="8">
        <f>IF(G4447="","",G4447+J4447)</f>
        <v/>
      </c>
    </row>
    <row r="4448">
      <c r="F4448" s="8" t="n"/>
      <c r="G4448" s="8">
        <f>IF(E4448="","",E4448*F4448)</f>
        <v/>
      </c>
      <c r="H4448" s="8">
        <f>IF(G4448="","",G4448-I4448)</f>
        <v/>
      </c>
      <c r="I4448" s="8">
        <f>IF(D4448="","",VLOOKUP(D4448, RECETTES!B:G, 6, FALSE)*E4448)</f>
        <v/>
      </c>
      <c r="J4448" s="8">
        <f>IF(G4448="","",G4448*0.20)</f>
        <v/>
      </c>
      <c r="K4448" s="8">
        <f>IF(G4448="","",G4448+J4448)</f>
        <v/>
      </c>
    </row>
    <row r="4449">
      <c r="F4449" s="8" t="n"/>
      <c r="G4449" s="8">
        <f>IF(E4449="","",E4449*F4449)</f>
        <v/>
      </c>
      <c r="H4449" s="8">
        <f>IF(G4449="","",G4449-I4449)</f>
        <v/>
      </c>
      <c r="I4449" s="8">
        <f>IF(D4449="","",VLOOKUP(D4449, RECETTES!B:G, 6, FALSE)*E4449)</f>
        <v/>
      </c>
      <c r="J4449" s="8">
        <f>IF(G4449="","",G4449*0.20)</f>
        <v/>
      </c>
      <c r="K4449" s="8">
        <f>IF(G4449="","",G4449+J4449)</f>
        <v/>
      </c>
    </row>
    <row r="4450">
      <c r="F4450" s="8" t="n"/>
      <c r="G4450" s="8">
        <f>IF(E4450="","",E4450*F4450)</f>
        <v/>
      </c>
      <c r="H4450" s="8">
        <f>IF(G4450="","",G4450-I4450)</f>
        <v/>
      </c>
      <c r="I4450" s="8">
        <f>IF(D4450="","",VLOOKUP(D4450, RECETTES!B:G, 6, FALSE)*E4450)</f>
        <v/>
      </c>
      <c r="J4450" s="8">
        <f>IF(G4450="","",G4450*0.20)</f>
        <v/>
      </c>
      <c r="K4450" s="8">
        <f>IF(G4450="","",G4450+J4450)</f>
        <v/>
      </c>
    </row>
    <row r="4451">
      <c r="F4451" s="8" t="n"/>
      <c r="G4451" s="8">
        <f>IF(E4451="","",E4451*F4451)</f>
        <v/>
      </c>
      <c r="H4451" s="8">
        <f>IF(G4451="","",G4451-I4451)</f>
        <v/>
      </c>
      <c r="I4451" s="8">
        <f>IF(D4451="","",VLOOKUP(D4451, RECETTES!B:G, 6, FALSE)*E4451)</f>
        <v/>
      </c>
      <c r="J4451" s="8">
        <f>IF(G4451="","",G4451*0.20)</f>
        <v/>
      </c>
      <c r="K4451" s="8">
        <f>IF(G4451="","",G4451+J4451)</f>
        <v/>
      </c>
    </row>
    <row r="4452">
      <c r="F4452" s="8" t="n"/>
      <c r="G4452" s="8">
        <f>IF(E4452="","",E4452*F4452)</f>
        <v/>
      </c>
      <c r="H4452" s="8">
        <f>IF(G4452="","",G4452-I4452)</f>
        <v/>
      </c>
      <c r="I4452" s="8">
        <f>IF(D4452="","",VLOOKUP(D4452, RECETTES!B:G, 6, FALSE)*E4452)</f>
        <v/>
      </c>
      <c r="J4452" s="8">
        <f>IF(G4452="","",G4452*0.20)</f>
        <v/>
      </c>
      <c r="K4452" s="8">
        <f>IF(G4452="","",G4452+J4452)</f>
        <v/>
      </c>
    </row>
    <row r="4453">
      <c r="F4453" s="8" t="n"/>
      <c r="G4453" s="8">
        <f>IF(E4453="","",E4453*F4453)</f>
        <v/>
      </c>
      <c r="H4453" s="8">
        <f>IF(G4453="","",G4453-I4453)</f>
        <v/>
      </c>
      <c r="I4453" s="8">
        <f>IF(D4453="","",VLOOKUP(D4453, RECETTES!B:G, 6, FALSE)*E4453)</f>
        <v/>
      </c>
      <c r="J4453" s="8">
        <f>IF(G4453="","",G4453*0.20)</f>
        <v/>
      </c>
      <c r="K4453" s="8">
        <f>IF(G4453="","",G4453+J4453)</f>
        <v/>
      </c>
    </row>
    <row r="4454">
      <c r="F4454" s="8" t="n"/>
      <c r="G4454" s="8">
        <f>IF(E4454="","",E4454*F4454)</f>
        <v/>
      </c>
      <c r="H4454" s="8">
        <f>IF(G4454="","",G4454-I4454)</f>
        <v/>
      </c>
      <c r="I4454" s="8">
        <f>IF(D4454="","",VLOOKUP(D4454, RECETTES!B:G, 6, FALSE)*E4454)</f>
        <v/>
      </c>
      <c r="J4454" s="8">
        <f>IF(G4454="","",G4454*0.20)</f>
        <v/>
      </c>
      <c r="K4454" s="8">
        <f>IF(G4454="","",G4454+J4454)</f>
        <v/>
      </c>
    </row>
    <row r="4455">
      <c r="F4455" s="8" t="n"/>
      <c r="G4455" s="8">
        <f>IF(E4455="","",E4455*F4455)</f>
        <v/>
      </c>
      <c r="H4455" s="8">
        <f>IF(G4455="","",G4455-I4455)</f>
        <v/>
      </c>
      <c r="I4455" s="8">
        <f>IF(D4455="","",VLOOKUP(D4455, RECETTES!B:G, 6, FALSE)*E4455)</f>
        <v/>
      </c>
      <c r="J4455" s="8">
        <f>IF(G4455="","",G4455*0.20)</f>
        <v/>
      </c>
      <c r="K4455" s="8">
        <f>IF(G4455="","",G4455+J4455)</f>
        <v/>
      </c>
    </row>
    <row r="4456">
      <c r="F4456" s="8" t="n"/>
      <c r="G4456" s="8">
        <f>IF(E4456="","",E4456*F4456)</f>
        <v/>
      </c>
      <c r="H4456" s="8">
        <f>IF(G4456="","",G4456-I4456)</f>
        <v/>
      </c>
      <c r="I4456" s="8">
        <f>IF(D4456="","",VLOOKUP(D4456, RECETTES!B:G, 6, FALSE)*E4456)</f>
        <v/>
      </c>
      <c r="J4456" s="8">
        <f>IF(G4456="","",G4456*0.20)</f>
        <v/>
      </c>
      <c r="K4456" s="8">
        <f>IF(G4456="","",G4456+J4456)</f>
        <v/>
      </c>
    </row>
    <row r="4457">
      <c r="F4457" s="8" t="n"/>
      <c r="G4457" s="8">
        <f>IF(E4457="","",E4457*F4457)</f>
        <v/>
      </c>
      <c r="H4457" s="8">
        <f>IF(G4457="","",G4457-I4457)</f>
        <v/>
      </c>
      <c r="I4457" s="8">
        <f>IF(D4457="","",VLOOKUP(D4457, RECETTES!B:G, 6, FALSE)*E4457)</f>
        <v/>
      </c>
      <c r="J4457" s="8">
        <f>IF(G4457="","",G4457*0.20)</f>
        <v/>
      </c>
      <c r="K4457" s="8">
        <f>IF(G4457="","",G4457+J4457)</f>
        <v/>
      </c>
    </row>
    <row r="4458">
      <c r="F4458" s="8" t="n"/>
      <c r="G4458" s="8">
        <f>IF(E4458="","",E4458*F4458)</f>
        <v/>
      </c>
      <c r="H4458" s="8">
        <f>IF(G4458="","",G4458-I4458)</f>
        <v/>
      </c>
      <c r="I4458" s="8">
        <f>IF(D4458="","",VLOOKUP(D4458, RECETTES!B:G, 6, FALSE)*E4458)</f>
        <v/>
      </c>
      <c r="J4458" s="8">
        <f>IF(G4458="","",G4458*0.20)</f>
        <v/>
      </c>
      <c r="K4458" s="8">
        <f>IF(G4458="","",G4458+J4458)</f>
        <v/>
      </c>
    </row>
    <row r="4459">
      <c r="F4459" s="8" t="n"/>
      <c r="G4459" s="8">
        <f>IF(E4459="","",E4459*F4459)</f>
        <v/>
      </c>
      <c r="H4459" s="8">
        <f>IF(G4459="","",G4459-I4459)</f>
        <v/>
      </c>
      <c r="I4459" s="8">
        <f>IF(D4459="","",VLOOKUP(D4459, RECETTES!B:G, 6, FALSE)*E4459)</f>
        <v/>
      </c>
      <c r="J4459" s="8">
        <f>IF(G4459="","",G4459*0.20)</f>
        <v/>
      </c>
      <c r="K4459" s="8">
        <f>IF(G4459="","",G4459+J4459)</f>
        <v/>
      </c>
    </row>
    <row r="4460">
      <c r="F4460" s="8" t="n"/>
      <c r="G4460" s="8">
        <f>IF(E4460="","",E4460*F4460)</f>
        <v/>
      </c>
      <c r="H4460" s="8">
        <f>IF(G4460="","",G4460-I4460)</f>
        <v/>
      </c>
      <c r="I4460" s="8">
        <f>IF(D4460="","",VLOOKUP(D4460, RECETTES!B:G, 6, FALSE)*E4460)</f>
        <v/>
      </c>
      <c r="J4460" s="8">
        <f>IF(G4460="","",G4460*0.20)</f>
        <v/>
      </c>
      <c r="K4460" s="8">
        <f>IF(G4460="","",G4460+J4460)</f>
        <v/>
      </c>
    </row>
    <row r="4461">
      <c r="F4461" s="8" t="n"/>
      <c r="G4461" s="8">
        <f>IF(E4461="","",E4461*F4461)</f>
        <v/>
      </c>
      <c r="H4461" s="8">
        <f>IF(G4461="","",G4461-I4461)</f>
        <v/>
      </c>
      <c r="I4461" s="8">
        <f>IF(D4461="","",VLOOKUP(D4461, RECETTES!B:G, 6, FALSE)*E4461)</f>
        <v/>
      </c>
      <c r="J4461" s="8">
        <f>IF(G4461="","",G4461*0.20)</f>
        <v/>
      </c>
      <c r="K4461" s="8">
        <f>IF(G4461="","",G4461+J4461)</f>
        <v/>
      </c>
    </row>
    <row r="4462">
      <c r="F4462" s="8" t="n"/>
      <c r="G4462" s="8">
        <f>IF(E4462="","",E4462*F4462)</f>
        <v/>
      </c>
      <c r="H4462" s="8">
        <f>IF(G4462="","",G4462-I4462)</f>
        <v/>
      </c>
      <c r="I4462" s="8">
        <f>IF(D4462="","",VLOOKUP(D4462, RECETTES!B:G, 6, FALSE)*E4462)</f>
        <v/>
      </c>
      <c r="J4462" s="8">
        <f>IF(G4462="","",G4462*0.20)</f>
        <v/>
      </c>
      <c r="K4462" s="8">
        <f>IF(G4462="","",G4462+J4462)</f>
        <v/>
      </c>
    </row>
    <row r="4463">
      <c r="F4463" s="8" t="n"/>
      <c r="G4463" s="8">
        <f>IF(E4463="","",E4463*F4463)</f>
        <v/>
      </c>
      <c r="H4463" s="8">
        <f>IF(G4463="","",G4463-I4463)</f>
        <v/>
      </c>
      <c r="I4463" s="8">
        <f>IF(D4463="","",VLOOKUP(D4463, RECETTES!B:G, 6, FALSE)*E4463)</f>
        <v/>
      </c>
      <c r="J4463" s="8">
        <f>IF(G4463="","",G4463*0.20)</f>
        <v/>
      </c>
      <c r="K4463" s="8">
        <f>IF(G4463="","",G4463+J4463)</f>
        <v/>
      </c>
    </row>
    <row r="4464">
      <c r="F4464" s="8" t="n"/>
      <c r="G4464" s="8">
        <f>IF(E4464="","",E4464*F4464)</f>
        <v/>
      </c>
      <c r="H4464" s="8">
        <f>IF(G4464="","",G4464-I4464)</f>
        <v/>
      </c>
      <c r="I4464" s="8">
        <f>IF(D4464="","",VLOOKUP(D4464, RECETTES!B:G, 6, FALSE)*E4464)</f>
        <v/>
      </c>
      <c r="J4464" s="8">
        <f>IF(G4464="","",G4464*0.20)</f>
        <v/>
      </c>
      <c r="K4464" s="8">
        <f>IF(G4464="","",G4464+J4464)</f>
        <v/>
      </c>
    </row>
    <row r="4465">
      <c r="F4465" s="8" t="n"/>
      <c r="G4465" s="8">
        <f>IF(E4465="","",E4465*F4465)</f>
        <v/>
      </c>
      <c r="H4465" s="8">
        <f>IF(G4465="","",G4465-I4465)</f>
        <v/>
      </c>
      <c r="I4465" s="8">
        <f>IF(D4465="","",VLOOKUP(D4465, RECETTES!B:G, 6, FALSE)*E4465)</f>
        <v/>
      </c>
      <c r="J4465" s="8">
        <f>IF(G4465="","",G4465*0.20)</f>
        <v/>
      </c>
      <c r="K4465" s="8">
        <f>IF(G4465="","",G4465+J4465)</f>
        <v/>
      </c>
    </row>
    <row r="4466">
      <c r="F4466" s="8" t="n"/>
      <c r="G4466" s="8">
        <f>IF(E4466="","",E4466*F4466)</f>
        <v/>
      </c>
      <c r="H4466" s="8">
        <f>IF(G4466="","",G4466-I4466)</f>
        <v/>
      </c>
      <c r="I4466" s="8">
        <f>IF(D4466="","",VLOOKUP(D4466, RECETTES!B:G, 6, FALSE)*E4466)</f>
        <v/>
      </c>
      <c r="J4466" s="8">
        <f>IF(G4466="","",G4466*0.20)</f>
        <v/>
      </c>
      <c r="K4466" s="8">
        <f>IF(G4466="","",G4466+J4466)</f>
        <v/>
      </c>
    </row>
    <row r="4467">
      <c r="F4467" s="8" t="n"/>
      <c r="G4467" s="8">
        <f>IF(E4467="","",E4467*F4467)</f>
        <v/>
      </c>
      <c r="H4467" s="8">
        <f>IF(G4467="","",G4467-I4467)</f>
        <v/>
      </c>
      <c r="I4467" s="8">
        <f>IF(D4467="","",VLOOKUP(D4467, RECETTES!B:G, 6, FALSE)*E4467)</f>
        <v/>
      </c>
      <c r="J4467" s="8">
        <f>IF(G4467="","",G4467*0.20)</f>
        <v/>
      </c>
      <c r="K4467" s="8">
        <f>IF(G4467="","",G4467+J4467)</f>
        <v/>
      </c>
    </row>
    <row r="4468">
      <c r="F4468" s="8" t="n"/>
      <c r="G4468" s="8">
        <f>IF(E4468="","",E4468*F4468)</f>
        <v/>
      </c>
      <c r="H4468" s="8">
        <f>IF(G4468="","",G4468-I4468)</f>
        <v/>
      </c>
      <c r="I4468" s="8">
        <f>IF(D4468="","",VLOOKUP(D4468, RECETTES!B:G, 6, FALSE)*E4468)</f>
        <v/>
      </c>
      <c r="J4468" s="8">
        <f>IF(G4468="","",G4468*0.20)</f>
        <v/>
      </c>
      <c r="K4468" s="8">
        <f>IF(G4468="","",G4468+J4468)</f>
        <v/>
      </c>
    </row>
    <row r="4469">
      <c r="F4469" s="8" t="n"/>
      <c r="G4469" s="8">
        <f>IF(E4469="","",E4469*F4469)</f>
        <v/>
      </c>
      <c r="H4469" s="8">
        <f>IF(G4469="","",G4469-I4469)</f>
        <v/>
      </c>
      <c r="I4469" s="8">
        <f>IF(D4469="","",VLOOKUP(D4469, RECETTES!B:G, 6, FALSE)*E4469)</f>
        <v/>
      </c>
      <c r="J4469" s="8">
        <f>IF(G4469="","",G4469*0.20)</f>
        <v/>
      </c>
      <c r="K4469" s="8">
        <f>IF(G4469="","",G4469+J4469)</f>
        <v/>
      </c>
    </row>
    <row r="4470">
      <c r="F4470" s="8" t="n"/>
      <c r="G4470" s="8">
        <f>IF(E4470="","",E4470*F4470)</f>
        <v/>
      </c>
      <c r="H4470" s="8">
        <f>IF(G4470="","",G4470-I4470)</f>
        <v/>
      </c>
      <c r="I4470" s="8">
        <f>IF(D4470="","",VLOOKUP(D4470, RECETTES!B:G, 6, FALSE)*E4470)</f>
        <v/>
      </c>
      <c r="J4470" s="8">
        <f>IF(G4470="","",G4470*0.20)</f>
        <v/>
      </c>
      <c r="K4470" s="8">
        <f>IF(G4470="","",G4470+J4470)</f>
        <v/>
      </c>
    </row>
    <row r="4471">
      <c r="F4471" s="8" t="n"/>
      <c r="G4471" s="8">
        <f>IF(E4471="","",E4471*F4471)</f>
        <v/>
      </c>
      <c r="H4471" s="8">
        <f>IF(G4471="","",G4471-I4471)</f>
        <v/>
      </c>
      <c r="I4471" s="8">
        <f>IF(D4471="","",VLOOKUP(D4471, RECETTES!B:G, 6, FALSE)*E4471)</f>
        <v/>
      </c>
      <c r="J4471" s="8">
        <f>IF(G4471="","",G4471*0.20)</f>
        <v/>
      </c>
      <c r="K4471" s="8">
        <f>IF(G4471="","",G4471+J4471)</f>
        <v/>
      </c>
    </row>
    <row r="4472">
      <c r="F4472" s="8" t="n"/>
      <c r="G4472" s="8">
        <f>IF(E4472="","",E4472*F4472)</f>
        <v/>
      </c>
      <c r="H4472" s="8">
        <f>IF(G4472="","",G4472-I4472)</f>
        <v/>
      </c>
      <c r="I4472" s="8">
        <f>IF(D4472="","",VLOOKUP(D4472, RECETTES!B:G, 6, FALSE)*E4472)</f>
        <v/>
      </c>
      <c r="J4472" s="8">
        <f>IF(G4472="","",G4472*0.20)</f>
        <v/>
      </c>
      <c r="K4472" s="8">
        <f>IF(G4472="","",G4472+J4472)</f>
        <v/>
      </c>
    </row>
    <row r="4473">
      <c r="F4473" s="8" t="n"/>
      <c r="G4473" s="8">
        <f>IF(E4473="","",E4473*F4473)</f>
        <v/>
      </c>
      <c r="H4473" s="8">
        <f>IF(G4473="","",G4473-I4473)</f>
        <v/>
      </c>
      <c r="I4473" s="8">
        <f>IF(D4473="","",VLOOKUP(D4473, RECETTES!B:G, 6, FALSE)*E4473)</f>
        <v/>
      </c>
      <c r="J4473" s="8">
        <f>IF(G4473="","",G4473*0.20)</f>
        <v/>
      </c>
      <c r="K4473" s="8">
        <f>IF(G4473="","",G4473+J4473)</f>
        <v/>
      </c>
    </row>
    <row r="4474">
      <c r="F4474" s="8" t="n"/>
      <c r="G4474" s="8">
        <f>IF(E4474="","",E4474*F4474)</f>
        <v/>
      </c>
      <c r="H4474" s="8">
        <f>IF(G4474="","",G4474-I4474)</f>
        <v/>
      </c>
      <c r="I4474" s="8">
        <f>IF(D4474="","",VLOOKUP(D4474, RECETTES!B:G, 6, FALSE)*E4474)</f>
        <v/>
      </c>
      <c r="J4474" s="8">
        <f>IF(G4474="","",G4474*0.20)</f>
        <v/>
      </c>
      <c r="K4474" s="8">
        <f>IF(G4474="","",G4474+J4474)</f>
        <v/>
      </c>
    </row>
    <row r="4475">
      <c r="F4475" s="8" t="n"/>
      <c r="G4475" s="8">
        <f>IF(E4475="","",E4475*F4475)</f>
        <v/>
      </c>
      <c r="H4475" s="8">
        <f>IF(G4475="","",G4475-I4475)</f>
        <v/>
      </c>
      <c r="I4475" s="8">
        <f>IF(D4475="","",VLOOKUP(D4475, RECETTES!B:G, 6, FALSE)*E4475)</f>
        <v/>
      </c>
      <c r="J4475" s="8">
        <f>IF(G4475="","",G4475*0.20)</f>
        <v/>
      </c>
      <c r="K4475" s="8">
        <f>IF(G4475="","",G4475+J4475)</f>
        <v/>
      </c>
    </row>
    <row r="4476">
      <c r="F4476" s="8" t="n"/>
      <c r="G4476" s="8">
        <f>IF(E4476="","",E4476*F4476)</f>
        <v/>
      </c>
      <c r="H4476" s="8">
        <f>IF(G4476="","",G4476-I4476)</f>
        <v/>
      </c>
      <c r="I4476" s="8">
        <f>IF(D4476="","",VLOOKUP(D4476, RECETTES!B:G, 6, FALSE)*E4476)</f>
        <v/>
      </c>
      <c r="J4476" s="8">
        <f>IF(G4476="","",G4476*0.20)</f>
        <v/>
      </c>
      <c r="K4476" s="8">
        <f>IF(G4476="","",G4476+J4476)</f>
        <v/>
      </c>
    </row>
    <row r="4477">
      <c r="F4477" s="8" t="n"/>
      <c r="G4477" s="8">
        <f>IF(E4477="","",E4477*F4477)</f>
        <v/>
      </c>
      <c r="H4477" s="8">
        <f>IF(G4477="","",G4477-I4477)</f>
        <v/>
      </c>
      <c r="I4477" s="8">
        <f>IF(D4477="","",VLOOKUP(D4477, RECETTES!B:G, 6, FALSE)*E4477)</f>
        <v/>
      </c>
      <c r="J4477" s="8">
        <f>IF(G4477="","",G4477*0.20)</f>
        <v/>
      </c>
      <c r="K4477" s="8">
        <f>IF(G4477="","",G4477+J4477)</f>
        <v/>
      </c>
    </row>
    <row r="4478">
      <c r="F4478" s="8" t="n"/>
      <c r="G4478" s="8">
        <f>IF(E4478="","",E4478*F4478)</f>
        <v/>
      </c>
      <c r="H4478" s="8">
        <f>IF(G4478="","",G4478-I4478)</f>
        <v/>
      </c>
      <c r="I4478" s="8">
        <f>IF(D4478="","",VLOOKUP(D4478, RECETTES!B:G, 6, FALSE)*E4478)</f>
        <v/>
      </c>
      <c r="J4478" s="8">
        <f>IF(G4478="","",G4478*0.20)</f>
        <v/>
      </c>
      <c r="K4478" s="8">
        <f>IF(G4478="","",G4478+J4478)</f>
        <v/>
      </c>
    </row>
    <row r="4479">
      <c r="F4479" s="8" t="n"/>
      <c r="G4479" s="8">
        <f>IF(E4479="","",E4479*F4479)</f>
        <v/>
      </c>
      <c r="H4479" s="8">
        <f>IF(G4479="","",G4479-I4479)</f>
        <v/>
      </c>
      <c r="I4479" s="8">
        <f>IF(D4479="","",VLOOKUP(D4479, RECETTES!B:G, 6, FALSE)*E4479)</f>
        <v/>
      </c>
      <c r="J4479" s="8">
        <f>IF(G4479="","",G4479*0.20)</f>
        <v/>
      </c>
      <c r="K4479" s="8">
        <f>IF(G4479="","",G4479+J4479)</f>
        <v/>
      </c>
    </row>
    <row r="4480">
      <c r="F4480" s="8" t="n"/>
      <c r="G4480" s="8">
        <f>IF(E4480="","",E4480*F4480)</f>
        <v/>
      </c>
      <c r="H4480" s="8">
        <f>IF(G4480="","",G4480-I4480)</f>
        <v/>
      </c>
      <c r="I4480" s="8">
        <f>IF(D4480="","",VLOOKUP(D4480, RECETTES!B:G, 6, FALSE)*E4480)</f>
        <v/>
      </c>
      <c r="J4480" s="8">
        <f>IF(G4480="","",G4480*0.20)</f>
        <v/>
      </c>
      <c r="K4480" s="8">
        <f>IF(G4480="","",G4480+J4480)</f>
        <v/>
      </c>
    </row>
    <row r="4481">
      <c r="F4481" s="8" t="n"/>
      <c r="G4481" s="8">
        <f>IF(E4481="","",E4481*F4481)</f>
        <v/>
      </c>
      <c r="H4481" s="8">
        <f>IF(G4481="","",G4481-I4481)</f>
        <v/>
      </c>
      <c r="I4481" s="8">
        <f>IF(D4481="","",VLOOKUP(D4481, RECETTES!B:G, 6, FALSE)*E4481)</f>
        <v/>
      </c>
      <c r="J4481" s="8">
        <f>IF(G4481="","",G4481*0.20)</f>
        <v/>
      </c>
      <c r="K4481" s="8">
        <f>IF(G4481="","",G4481+J4481)</f>
        <v/>
      </c>
    </row>
    <row r="4482">
      <c r="F4482" s="8" t="n"/>
      <c r="G4482" s="8">
        <f>IF(E4482="","",E4482*F4482)</f>
        <v/>
      </c>
      <c r="H4482" s="8">
        <f>IF(G4482="","",G4482-I4482)</f>
        <v/>
      </c>
      <c r="I4482" s="8">
        <f>IF(D4482="","",VLOOKUP(D4482, RECETTES!B:G, 6, FALSE)*E4482)</f>
        <v/>
      </c>
      <c r="J4482" s="8">
        <f>IF(G4482="","",G4482*0.20)</f>
        <v/>
      </c>
      <c r="K4482" s="8">
        <f>IF(G4482="","",G4482+J4482)</f>
        <v/>
      </c>
    </row>
    <row r="4483">
      <c r="F4483" s="8" t="n"/>
      <c r="G4483" s="8">
        <f>IF(E4483="","",E4483*F4483)</f>
        <v/>
      </c>
      <c r="H4483" s="8">
        <f>IF(G4483="","",G4483-I4483)</f>
        <v/>
      </c>
      <c r="I4483" s="8">
        <f>IF(D4483="","",VLOOKUP(D4483, RECETTES!B:G, 6, FALSE)*E4483)</f>
        <v/>
      </c>
      <c r="J4483" s="8">
        <f>IF(G4483="","",G4483*0.20)</f>
        <v/>
      </c>
      <c r="K4483" s="8">
        <f>IF(G4483="","",G4483+J4483)</f>
        <v/>
      </c>
    </row>
    <row r="4484">
      <c r="F4484" s="8" t="n"/>
      <c r="G4484" s="8">
        <f>IF(E4484="","",E4484*F4484)</f>
        <v/>
      </c>
      <c r="H4484" s="8">
        <f>IF(G4484="","",G4484-I4484)</f>
        <v/>
      </c>
      <c r="I4484" s="8">
        <f>IF(D4484="","",VLOOKUP(D4484, RECETTES!B:G, 6, FALSE)*E4484)</f>
        <v/>
      </c>
      <c r="J4484" s="8">
        <f>IF(G4484="","",G4484*0.20)</f>
        <v/>
      </c>
      <c r="K4484" s="8">
        <f>IF(G4484="","",G4484+J4484)</f>
        <v/>
      </c>
    </row>
    <row r="4485">
      <c r="F4485" s="8" t="n"/>
      <c r="G4485" s="8">
        <f>IF(E4485="","",E4485*F4485)</f>
        <v/>
      </c>
      <c r="H4485" s="8">
        <f>IF(G4485="","",G4485-I4485)</f>
        <v/>
      </c>
      <c r="I4485" s="8">
        <f>IF(D4485="","",VLOOKUP(D4485, RECETTES!B:G, 6, FALSE)*E4485)</f>
        <v/>
      </c>
      <c r="J4485" s="8">
        <f>IF(G4485="","",G4485*0.20)</f>
        <v/>
      </c>
      <c r="K4485" s="8">
        <f>IF(G4485="","",G4485+J4485)</f>
        <v/>
      </c>
    </row>
    <row r="4486">
      <c r="F4486" s="8" t="n"/>
      <c r="G4486" s="8">
        <f>IF(E4486="","",E4486*F4486)</f>
        <v/>
      </c>
      <c r="H4486" s="8">
        <f>IF(G4486="","",G4486-I4486)</f>
        <v/>
      </c>
      <c r="I4486" s="8">
        <f>IF(D4486="","",VLOOKUP(D4486, RECETTES!B:G, 6, FALSE)*E4486)</f>
        <v/>
      </c>
      <c r="J4486" s="8">
        <f>IF(G4486="","",G4486*0.20)</f>
        <v/>
      </c>
      <c r="K4486" s="8">
        <f>IF(G4486="","",G4486+J4486)</f>
        <v/>
      </c>
    </row>
    <row r="4487">
      <c r="F4487" s="8" t="n"/>
      <c r="G4487" s="8">
        <f>IF(E4487="","",E4487*F4487)</f>
        <v/>
      </c>
      <c r="H4487" s="8">
        <f>IF(G4487="","",G4487-I4487)</f>
        <v/>
      </c>
      <c r="I4487" s="8">
        <f>IF(D4487="","",VLOOKUP(D4487, RECETTES!B:G, 6, FALSE)*E4487)</f>
        <v/>
      </c>
      <c r="J4487" s="8">
        <f>IF(G4487="","",G4487*0.20)</f>
        <v/>
      </c>
      <c r="K4487" s="8">
        <f>IF(G4487="","",G4487+J4487)</f>
        <v/>
      </c>
    </row>
    <row r="4488">
      <c r="F4488" s="8" t="n"/>
      <c r="G4488" s="8">
        <f>IF(E4488="","",E4488*F4488)</f>
        <v/>
      </c>
      <c r="H4488" s="8">
        <f>IF(G4488="","",G4488-I4488)</f>
        <v/>
      </c>
      <c r="I4488" s="8">
        <f>IF(D4488="","",VLOOKUP(D4488, RECETTES!B:G, 6, FALSE)*E4488)</f>
        <v/>
      </c>
      <c r="J4488" s="8">
        <f>IF(G4488="","",G4488*0.20)</f>
        <v/>
      </c>
      <c r="K4488" s="8">
        <f>IF(G4488="","",G4488+J4488)</f>
        <v/>
      </c>
    </row>
    <row r="4489">
      <c r="F4489" s="8" t="n"/>
      <c r="G4489" s="8">
        <f>IF(E4489="","",E4489*F4489)</f>
        <v/>
      </c>
      <c r="H4489" s="8">
        <f>IF(G4489="","",G4489-I4489)</f>
        <v/>
      </c>
      <c r="I4489" s="8">
        <f>IF(D4489="","",VLOOKUP(D4489, RECETTES!B:G, 6, FALSE)*E4489)</f>
        <v/>
      </c>
      <c r="J4489" s="8">
        <f>IF(G4489="","",G4489*0.20)</f>
        <v/>
      </c>
      <c r="K4489" s="8">
        <f>IF(G4489="","",G4489+J4489)</f>
        <v/>
      </c>
    </row>
    <row r="4490">
      <c r="F4490" s="8" t="n"/>
      <c r="G4490" s="8">
        <f>IF(E4490="","",E4490*F4490)</f>
        <v/>
      </c>
      <c r="H4490" s="8">
        <f>IF(G4490="","",G4490-I4490)</f>
        <v/>
      </c>
      <c r="I4490" s="8">
        <f>IF(D4490="","",VLOOKUP(D4490, RECETTES!B:G, 6, FALSE)*E4490)</f>
        <v/>
      </c>
      <c r="J4490" s="8">
        <f>IF(G4490="","",G4490*0.20)</f>
        <v/>
      </c>
      <c r="K4490" s="8">
        <f>IF(G4490="","",G4490+J4490)</f>
        <v/>
      </c>
    </row>
    <row r="4491">
      <c r="F4491" s="8" t="n"/>
      <c r="G4491" s="8">
        <f>IF(E4491="","",E4491*F4491)</f>
        <v/>
      </c>
      <c r="H4491" s="8">
        <f>IF(G4491="","",G4491-I4491)</f>
        <v/>
      </c>
      <c r="I4491" s="8">
        <f>IF(D4491="","",VLOOKUP(D4491, RECETTES!B:G, 6, FALSE)*E4491)</f>
        <v/>
      </c>
      <c r="J4491" s="8">
        <f>IF(G4491="","",G4491*0.20)</f>
        <v/>
      </c>
      <c r="K4491" s="8">
        <f>IF(G4491="","",G4491+J4491)</f>
        <v/>
      </c>
    </row>
    <row r="4492">
      <c r="F4492" s="8" t="n"/>
      <c r="G4492" s="8">
        <f>IF(E4492="","",E4492*F4492)</f>
        <v/>
      </c>
      <c r="H4492" s="8">
        <f>IF(G4492="","",G4492-I4492)</f>
        <v/>
      </c>
      <c r="I4492" s="8">
        <f>IF(D4492="","",VLOOKUP(D4492, RECETTES!B:G, 6, FALSE)*E4492)</f>
        <v/>
      </c>
      <c r="J4492" s="8">
        <f>IF(G4492="","",G4492*0.20)</f>
        <v/>
      </c>
      <c r="K4492" s="8">
        <f>IF(G4492="","",G4492+J4492)</f>
        <v/>
      </c>
    </row>
    <row r="4493">
      <c r="F4493" s="8" t="n"/>
      <c r="G4493" s="8">
        <f>IF(E4493="","",E4493*F4493)</f>
        <v/>
      </c>
      <c r="H4493" s="8">
        <f>IF(G4493="","",G4493-I4493)</f>
        <v/>
      </c>
      <c r="I4493" s="8">
        <f>IF(D4493="","",VLOOKUP(D4493, RECETTES!B:G, 6, FALSE)*E4493)</f>
        <v/>
      </c>
      <c r="J4493" s="8">
        <f>IF(G4493="","",G4493*0.20)</f>
        <v/>
      </c>
      <c r="K4493" s="8">
        <f>IF(G4493="","",G4493+J4493)</f>
        <v/>
      </c>
    </row>
    <row r="4494">
      <c r="F4494" s="8" t="n"/>
      <c r="G4494" s="8">
        <f>IF(E4494="","",E4494*F4494)</f>
        <v/>
      </c>
      <c r="H4494" s="8">
        <f>IF(G4494="","",G4494-I4494)</f>
        <v/>
      </c>
      <c r="I4494" s="8">
        <f>IF(D4494="","",VLOOKUP(D4494, RECETTES!B:G, 6, FALSE)*E4494)</f>
        <v/>
      </c>
      <c r="J4494" s="8">
        <f>IF(G4494="","",G4494*0.20)</f>
        <v/>
      </c>
      <c r="K4494" s="8">
        <f>IF(G4494="","",G4494+J4494)</f>
        <v/>
      </c>
    </row>
    <row r="4495">
      <c r="F4495" s="8" t="n"/>
      <c r="G4495" s="8">
        <f>IF(E4495="","",E4495*F4495)</f>
        <v/>
      </c>
      <c r="H4495" s="8">
        <f>IF(G4495="","",G4495-I4495)</f>
        <v/>
      </c>
      <c r="I4495" s="8">
        <f>IF(D4495="","",VLOOKUP(D4495, RECETTES!B:G, 6, FALSE)*E4495)</f>
        <v/>
      </c>
      <c r="J4495" s="8">
        <f>IF(G4495="","",G4495*0.20)</f>
        <v/>
      </c>
      <c r="K4495" s="8">
        <f>IF(G4495="","",G4495+J4495)</f>
        <v/>
      </c>
    </row>
    <row r="4496">
      <c r="F4496" s="8" t="n"/>
      <c r="G4496" s="8">
        <f>IF(E4496="","",E4496*F4496)</f>
        <v/>
      </c>
      <c r="H4496" s="8">
        <f>IF(G4496="","",G4496-I4496)</f>
        <v/>
      </c>
      <c r="I4496" s="8">
        <f>IF(D4496="","",VLOOKUP(D4496, RECETTES!B:G, 6, FALSE)*E4496)</f>
        <v/>
      </c>
      <c r="J4496" s="8">
        <f>IF(G4496="","",G4496*0.20)</f>
        <v/>
      </c>
      <c r="K4496" s="8">
        <f>IF(G4496="","",G4496+J4496)</f>
        <v/>
      </c>
    </row>
    <row r="4497">
      <c r="F4497" s="8" t="n"/>
      <c r="G4497" s="8">
        <f>IF(E4497="","",E4497*F4497)</f>
        <v/>
      </c>
      <c r="H4497" s="8">
        <f>IF(G4497="","",G4497-I4497)</f>
        <v/>
      </c>
      <c r="I4497" s="8">
        <f>IF(D4497="","",VLOOKUP(D4497, RECETTES!B:G, 6, FALSE)*E4497)</f>
        <v/>
      </c>
      <c r="J4497" s="8">
        <f>IF(G4497="","",G4497*0.20)</f>
        <v/>
      </c>
      <c r="K4497" s="8">
        <f>IF(G4497="","",G4497+J4497)</f>
        <v/>
      </c>
    </row>
    <row r="4498">
      <c r="F4498" s="8" t="n"/>
      <c r="G4498" s="8">
        <f>IF(E4498="","",E4498*F4498)</f>
        <v/>
      </c>
      <c r="H4498" s="8">
        <f>IF(G4498="","",G4498-I4498)</f>
        <v/>
      </c>
      <c r="I4498" s="8">
        <f>IF(D4498="","",VLOOKUP(D4498, RECETTES!B:G, 6, FALSE)*E4498)</f>
        <v/>
      </c>
      <c r="J4498" s="8">
        <f>IF(G4498="","",G4498*0.20)</f>
        <v/>
      </c>
      <c r="K4498" s="8">
        <f>IF(G4498="","",G4498+J4498)</f>
        <v/>
      </c>
    </row>
    <row r="4499">
      <c r="F4499" s="8" t="n"/>
      <c r="G4499" s="8">
        <f>IF(E4499="","",E4499*F4499)</f>
        <v/>
      </c>
      <c r="H4499" s="8">
        <f>IF(G4499="","",G4499-I4499)</f>
        <v/>
      </c>
      <c r="I4499" s="8">
        <f>IF(D4499="","",VLOOKUP(D4499, RECETTES!B:G, 6, FALSE)*E4499)</f>
        <v/>
      </c>
      <c r="J4499" s="8">
        <f>IF(G4499="","",G4499*0.20)</f>
        <v/>
      </c>
      <c r="K4499" s="8">
        <f>IF(G4499="","",G4499+J4499)</f>
        <v/>
      </c>
    </row>
    <row r="4500">
      <c r="F4500" s="8" t="n"/>
      <c r="G4500" s="8">
        <f>IF(E4500="","",E4500*F4500)</f>
        <v/>
      </c>
      <c r="H4500" s="8">
        <f>IF(G4500="","",G4500-I4500)</f>
        <v/>
      </c>
      <c r="I4500" s="8">
        <f>IF(D4500="","",VLOOKUP(D4500, RECETTES!B:G, 6, FALSE)*E4500)</f>
        <v/>
      </c>
      <c r="J4500" s="8">
        <f>IF(G4500="","",G4500*0.20)</f>
        <v/>
      </c>
      <c r="K4500" s="8">
        <f>IF(G4500="","",G4500+J4500)</f>
        <v/>
      </c>
    </row>
    <row r="4501">
      <c r="F4501" s="8" t="n"/>
      <c r="G4501" s="8">
        <f>IF(E4501="","",E4501*F4501)</f>
        <v/>
      </c>
      <c r="H4501" s="8">
        <f>IF(G4501="","",G4501-I4501)</f>
        <v/>
      </c>
      <c r="I4501" s="8">
        <f>IF(D4501="","",VLOOKUP(D4501, RECETTES!B:G, 6, FALSE)*E4501)</f>
        <v/>
      </c>
      <c r="J4501" s="8">
        <f>IF(G4501="","",G4501*0.20)</f>
        <v/>
      </c>
      <c r="K4501" s="8">
        <f>IF(G4501="","",G4501+J4501)</f>
        <v/>
      </c>
    </row>
    <row r="4502">
      <c r="F4502" s="8" t="n"/>
      <c r="G4502" s="8">
        <f>IF(E4502="","",E4502*F4502)</f>
        <v/>
      </c>
      <c r="H4502" s="8">
        <f>IF(G4502="","",G4502-I4502)</f>
        <v/>
      </c>
      <c r="I4502" s="8">
        <f>IF(D4502="","",VLOOKUP(D4502, RECETTES!B:G, 6, FALSE)*E4502)</f>
        <v/>
      </c>
      <c r="J4502" s="8">
        <f>IF(G4502="","",G4502*0.20)</f>
        <v/>
      </c>
      <c r="K4502" s="8">
        <f>IF(G4502="","",G4502+J4502)</f>
        <v/>
      </c>
    </row>
    <row r="4503">
      <c r="F4503" s="8" t="n"/>
      <c r="G4503" s="8">
        <f>IF(E4503="","",E4503*F4503)</f>
        <v/>
      </c>
      <c r="H4503" s="8">
        <f>IF(G4503="","",G4503-I4503)</f>
        <v/>
      </c>
      <c r="I4503" s="8">
        <f>IF(D4503="","",VLOOKUP(D4503, RECETTES!B:G, 6, FALSE)*E4503)</f>
        <v/>
      </c>
      <c r="J4503" s="8">
        <f>IF(G4503="","",G4503*0.20)</f>
        <v/>
      </c>
      <c r="K4503" s="8">
        <f>IF(G4503="","",G4503+J4503)</f>
        <v/>
      </c>
    </row>
    <row r="4504">
      <c r="F4504" s="8" t="n"/>
      <c r="G4504" s="8">
        <f>IF(E4504="","",E4504*F4504)</f>
        <v/>
      </c>
      <c r="H4504" s="8">
        <f>IF(G4504="","",G4504-I4504)</f>
        <v/>
      </c>
      <c r="I4504" s="8">
        <f>IF(D4504="","",VLOOKUP(D4504, RECETTES!B:G, 6, FALSE)*E4504)</f>
        <v/>
      </c>
      <c r="J4504" s="8">
        <f>IF(G4504="","",G4504*0.20)</f>
        <v/>
      </c>
      <c r="K4504" s="8">
        <f>IF(G4504="","",G4504+J4504)</f>
        <v/>
      </c>
    </row>
    <row r="4505">
      <c r="F4505" s="8" t="n"/>
      <c r="G4505" s="8">
        <f>IF(E4505="","",E4505*F4505)</f>
        <v/>
      </c>
      <c r="H4505" s="8">
        <f>IF(G4505="","",G4505-I4505)</f>
        <v/>
      </c>
      <c r="I4505" s="8">
        <f>IF(D4505="","",VLOOKUP(D4505, RECETTES!B:G, 6, FALSE)*E4505)</f>
        <v/>
      </c>
      <c r="J4505" s="8">
        <f>IF(G4505="","",G4505*0.20)</f>
        <v/>
      </c>
      <c r="K4505" s="8">
        <f>IF(G4505="","",G4505+J4505)</f>
        <v/>
      </c>
    </row>
    <row r="4506">
      <c r="F4506" s="8" t="n"/>
      <c r="G4506" s="8">
        <f>IF(E4506="","",E4506*F4506)</f>
        <v/>
      </c>
      <c r="H4506" s="8">
        <f>IF(G4506="","",G4506-I4506)</f>
        <v/>
      </c>
      <c r="I4506" s="8">
        <f>IF(D4506="","",VLOOKUP(D4506, RECETTES!B:G, 6, FALSE)*E4506)</f>
        <v/>
      </c>
      <c r="J4506" s="8">
        <f>IF(G4506="","",G4506*0.20)</f>
        <v/>
      </c>
      <c r="K4506" s="8">
        <f>IF(G4506="","",G4506+J4506)</f>
        <v/>
      </c>
    </row>
    <row r="4507">
      <c r="F4507" s="8" t="n"/>
      <c r="G4507" s="8">
        <f>IF(E4507="","",E4507*F4507)</f>
        <v/>
      </c>
      <c r="H4507" s="8">
        <f>IF(G4507="","",G4507-I4507)</f>
        <v/>
      </c>
      <c r="I4507" s="8">
        <f>IF(D4507="","",VLOOKUP(D4507, RECETTES!B:G, 6, FALSE)*E4507)</f>
        <v/>
      </c>
      <c r="J4507" s="8">
        <f>IF(G4507="","",G4507*0.20)</f>
        <v/>
      </c>
      <c r="K4507" s="8">
        <f>IF(G4507="","",G4507+J4507)</f>
        <v/>
      </c>
    </row>
    <row r="4508">
      <c r="F4508" s="8" t="n"/>
      <c r="G4508" s="8">
        <f>IF(E4508="","",E4508*F4508)</f>
        <v/>
      </c>
      <c r="H4508" s="8">
        <f>IF(G4508="","",G4508-I4508)</f>
        <v/>
      </c>
      <c r="I4508" s="8">
        <f>IF(D4508="","",VLOOKUP(D4508, RECETTES!B:G, 6, FALSE)*E4508)</f>
        <v/>
      </c>
      <c r="J4508" s="8">
        <f>IF(G4508="","",G4508*0.20)</f>
        <v/>
      </c>
      <c r="K4508" s="8">
        <f>IF(G4508="","",G4508+J4508)</f>
        <v/>
      </c>
    </row>
    <row r="4509">
      <c r="F4509" s="8" t="n"/>
      <c r="G4509" s="8">
        <f>IF(E4509="","",E4509*F4509)</f>
        <v/>
      </c>
      <c r="H4509" s="8">
        <f>IF(G4509="","",G4509-I4509)</f>
        <v/>
      </c>
      <c r="I4509" s="8">
        <f>IF(D4509="","",VLOOKUP(D4509, RECETTES!B:G, 6, FALSE)*E4509)</f>
        <v/>
      </c>
      <c r="J4509" s="8">
        <f>IF(G4509="","",G4509*0.20)</f>
        <v/>
      </c>
      <c r="K4509" s="8">
        <f>IF(G4509="","",G4509+J4509)</f>
        <v/>
      </c>
    </row>
    <row r="4510">
      <c r="F4510" s="8" t="n"/>
      <c r="G4510" s="8">
        <f>IF(E4510="","",E4510*F4510)</f>
        <v/>
      </c>
      <c r="H4510" s="8">
        <f>IF(G4510="","",G4510-I4510)</f>
        <v/>
      </c>
      <c r="I4510" s="8">
        <f>IF(D4510="","",VLOOKUP(D4510, RECETTES!B:G, 6, FALSE)*E4510)</f>
        <v/>
      </c>
      <c r="J4510" s="8">
        <f>IF(G4510="","",G4510*0.20)</f>
        <v/>
      </c>
      <c r="K4510" s="8">
        <f>IF(G4510="","",G4510+J4510)</f>
        <v/>
      </c>
    </row>
    <row r="4511">
      <c r="F4511" s="8" t="n"/>
      <c r="G4511" s="8">
        <f>IF(E4511="","",E4511*F4511)</f>
        <v/>
      </c>
      <c r="H4511" s="8">
        <f>IF(G4511="","",G4511-I4511)</f>
        <v/>
      </c>
      <c r="I4511" s="8">
        <f>IF(D4511="","",VLOOKUP(D4511, RECETTES!B:G, 6, FALSE)*E4511)</f>
        <v/>
      </c>
      <c r="J4511" s="8">
        <f>IF(G4511="","",G4511*0.20)</f>
        <v/>
      </c>
      <c r="K4511" s="8">
        <f>IF(G4511="","",G4511+J4511)</f>
        <v/>
      </c>
    </row>
    <row r="4512">
      <c r="F4512" s="8" t="n"/>
      <c r="G4512" s="8">
        <f>IF(E4512="","",E4512*F4512)</f>
        <v/>
      </c>
      <c r="H4512" s="8">
        <f>IF(G4512="","",G4512-I4512)</f>
        <v/>
      </c>
      <c r="I4512" s="8">
        <f>IF(D4512="","",VLOOKUP(D4512, RECETTES!B:G, 6, FALSE)*E4512)</f>
        <v/>
      </c>
      <c r="J4512" s="8">
        <f>IF(G4512="","",G4512*0.20)</f>
        <v/>
      </c>
      <c r="K4512" s="8">
        <f>IF(G4512="","",G4512+J4512)</f>
        <v/>
      </c>
    </row>
    <row r="4513">
      <c r="F4513" s="8" t="n"/>
      <c r="G4513" s="8">
        <f>IF(E4513="","",E4513*F4513)</f>
        <v/>
      </c>
      <c r="H4513" s="8">
        <f>IF(G4513="","",G4513-I4513)</f>
        <v/>
      </c>
      <c r="I4513" s="8">
        <f>IF(D4513="","",VLOOKUP(D4513, RECETTES!B:G, 6, FALSE)*E4513)</f>
        <v/>
      </c>
      <c r="J4513" s="8">
        <f>IF(G4513="","",G4513*0.20)</f>
        <v/>
      </c>
      <c r="K4513" s="8">
        <f>IF(G4513="","",G4513+J4513)</f>
        <v/>
      </c>
    </row>
    <row r="4514">
      <c r="F4514" s="8" t="n"/>
      <c r="G4514" s="8">
        <f>IF(E4514="","",E4514*F4514)</f>
        <v/>
      </c>
      <c r="H4514" s="8">
        <f>IF(G4514="","",G4514-I4514)</f>
        <v/>
      </c>
      <c r="I4514" s="8">
        <f>IF(D4514="","",VLOOKUP(D4514, RECETTES!B:G, 6, FALSE)*E4514)</f>
        <v/>
      </c>
      <c r="J4514" s="8">
        <f>IF(G4514="","",G4514*0.20)</f>
        <v/>
      </c>
      <c r="K4514" s="8">
        <f>IF(G4514="","",G4514+J4514)</f>
        <v/>
      </c>
    </row>
    <row r="4515">
      <c r="F4515" s="8" t="n"/>
      <c r="G4515" s="8">
        <f>IF(E4515="","",E4515*F4515)</f>
        <v/>
      </c>
      <c r="H4515" s="8">
        <f>IF(G4515="","",G4515-I4515)</f>
        <v/>
      </c>
      <c r="I4515" s="8">
        <f>IF(D4515="","",VLOOKUP(D4515, RECETTES!B:G, 6, FALSE)*E4515)</f>
        <v/>
      </c>
      <c r="J4515" s="8">
        <f>IF(G4515="","",G4515*0.20)</f>
        <v/>
      </c>
      <c r="K4515" s="8">
        <f>IF(G4515="","",G4515+J4515)</f>
        <v/>
      </c>
    </row>
    <row r="4516">
      <c r="F4516" s="8" t="n"/>
      <c r="G4516" s="8">
        <f>IF(E4516="","",E4516*F4516)</f>
        <v/>
      </c>
      <c r="H4516" s="8">
        <f>IF(G4516="","",G4516-I4516)</f>
        <v/>
      </c>
      <c r="I4516" s="8">
        <f>IF(D4516="","",VLOOKUP(D4516, RECETTES!B:G, 6, FALSE)*E4516)</f>
        <v/>
      </c>
      <c r="J4516" s="8">
        <f>IF(G4516="","",G4516*0.20)</f>
        <v/>
      </c>
      <c r="K4516" s="8">
        <f>IF(G4516="","",G4516+J4516)</f>
        <v/>
      </c>
    </row>
    <row r="4517">
      <c r="F4517" s="8" t="n"/>
      <c r="G4517" s="8">
        <f>IF(E4517="","",E4517*F4517)</f>
        <v/>
      </c>
      <c r="H4517" s="8">
        <f>IF(G4517="","",G4517-I4517)</f>
        <v/>
      </c>
      <c r="I4517" s="8">
        <f>IF(D4517="","",VLOOKUP(D4517, RECETTES!B:G, 6, FALSE)*E4517)</f>
        <v/>
      </c>
      <c r="J4517" s="8">
        <f>IF(G4517="","",G4517*0.20)</f>
        <v/>
      </c>
      <c r="K4517" s="8">
        <f>IF(G4517="","",G4517+J4517)</f>
        <v/>
      </c>
    </row>
    <row r="4518">
      <c r="F4518" s="8" t="n"/>
      <c r="G4518" s="8">
        <f>IF(E4518="","",E4518*F4518)</f>
        <v/>
      </c>
      <c r="H4518" s="8">
        <f>IF(G4518="","",G4518-I4518)</f>
        <v/>
      </c>
      <c r="I4518" s="8">
        <f>IF(D4518="","",VLOOKUP(D4518, RECETTES!B:G, 6, FALSE)*E4518)</f>
        <v/>
      </c>
      <c r="J4518" s="8">
        <f>IF(G4518="","",G4518*0.20)</f>
        <v/>
      </c>
      <c r="K4518" s="8">
        <f>IF(G4518="","",G4518+J4518)</f>
        <v/>
      </c>
    </row>
    <row r="4519">
      <c r="F4519" s="8" t="n"/>
      <c r="G4519" s="8">
        <f>IF(E4519="","",E4519*F4519)</f>
        <v/>
      </c>
      <c r="H4519" s="8">
        <f>IF(G4519="","",G4519-I4519)</f>
        <v/>
      </c>
      <c r="I4519" s="8">
        <f>IF(D4519="","",VLOOKUP(D4519, RECETTES!B:G, 6, FALSE)*E4519)</f>
        <v/>
      </c>
      <c r="J4519" s="8">
        <f>IF(G4519="","",G4519*0.20)</f>
        <v/>
      </c>
      <c r="K4519" s="8">
        <f>IF(G4519="","",G4519+J4519)</f>
        <v/>
      </c>
    </row>
    <row r="4520">
      <c r="F4520" s="8" t="n"/>
      <c r="G4520" s="8">
        <f>IF(E4520="","",E4520*F4520)</f>
        <v/>
      </c>
      <c r="H4520" s="8">
        <f>IF(G4520="","",G4520-I4520)</f>
        <v/>
      </c>
      <c r="I4520" s="8">
        <f>IF(D4520="","",VLOOKUP(D4520, RECETTES!B:G, 6, FALSE)*E4520)</f>
        <v/>
      </c>
      <c r="J4520" s="8">
        <f>IF(G4520="","",G4520*0.20)</f>
        <v/>
      </c>
      <c r="K4520" s="8">
        <f>IF(G4520="","",G4520+J4520)</f>
        <v/>
      </c>
    </row>
    <row r="4521">
      <c r="F4521" s="8" t="n"/>
      <c r="G4521" s="8">
        <f>IF(E4521="","",E4521*F4521)</f>
        <v/>
      </c>
      <c r="H4521" s="8">
        <f>IF(G4521="","",G4521-I4521)</f>
        <v/>
      </c>
      <c r="I4521" s="8">
        <f>IF(D4521="","",VLOOKUP(D4521, RECETTES!B:G, 6, FALSE)*E4521)</f>
        <v/>
      </c>
      <c r="J4521" s="8">
        <f>IF(G4521="","",G4521*0.20)</f>
        <v/>
      </c>
      <c r="K4521" s="8">
        <f>IF(G4521="","",G4521+J4521)</f>
        <v/>
      </c>
    </row>
    <row r="4522">
      <c r="F4522" s="8" t="n"/>
      <c r="G4522" s="8">
        <f>IF(E4522="","",E4522*F4522)</f>
        <v/>
      </c>
      <c r="H4522" s="8">
        <f>IF(G4522="","",G4522-I4522)</f>
        <v/>
      </c>
      <c r="I4522" s="8">
        <f>IF(D4522="","",VLOOKUP(D4522, RECETTES!B:G, 6, FALSE)*E4522)</f>
        <v/>
      </c>
      <c r="J4522" s="8">
        <f>IF(G4522="","",G4522*0.20)</f>
        <v/>
      </c>
      <c r="K4522" s="8">
        <f>IF(G4522="","",G4522+J4522)</f>
        <v/>
      </c>
    </row>
    <row r="4523">
      <c r="F4523" s="8" t="n"/>
      <c r="G4523" s="8">
        <f>IF(E4523="","",E4523*F4523)</f>
        <v/>
      </c>
      <c r="H4523" s="8">
        <f>IF(G4523="","",G4523-I4523)</f>
        <v/>
      </c>
      <c r="I4523" s="8">
        <f>IF(D4523="","",VLOOKUP(D4523, RECETTES!B:G, 6, FALSE)*E4523)</f>
        <v/>
      </c>
      <c r="J4523" s="8">
        <f>IF(G4523="","",G4523*0.20)</f>
        <v/>
      </c>
      <c r="K4523" s="8">
        <f>IF(G4523="","",G4523+J4523)</f>
        <v/>
      </c>
    </row>
    <row r="4524">
      <c r="F4524" s="8" t="n"/>
      <c r="G4524" s="8">
        <f>IF(E4524="","",E4524*F4524)</f>
        <v/>
      </c>
      <c r="H4524" s="8">
        <f>IF(G4524="","",G4524-I4524)</f>
        <v/>
      </c>
      <c r="I4524" s="8">
        <f>IF(D4524="","",VLOOKUP(D4524, RECETTES!B:G, 6, FALSE)*E4524)</f>
        <v/>
      </c>
      <c r="J4524" s="8">
        <f>IF(G4524="","",G4524*0.20)</f>
        <v/>
      </c>
      <c r="K4524" s="8">
        <f>IF(G4524="","",G4524+J4524)</f>
        <v/>
      </c>
    </row>
    <row r="4525">
      <c r="F4525" s="8" t="n"/>
      <c r="G4525" s="8">
        <f>IF(E4525="","",E4525*F4525)</f>
        <v/>
      </c>
      <c r="H4525" s="8">
        <f>IF(G4525="","",G4525-I4525)</f>
        <v/>
      </c>
      <c r="I4525" s="8">
        <f>IF(D4525="","",VLOOKUP(D4525, RECETTES!B:G, 6, FALSE)*E4525)</f>
        <v/>
      </c>
      <c r="J4525" s="8">
        <f>IF(G4525="","",G4525*0.20)</f>
        <v/>
      </c>
      <c r="K4525" s="8">
        <f>IF(G4525="","",G4525+J4525)</f>
        <v/>
      </c>
    </row>
    <row r="4526">
      <c r="F4526" s="8" t="n"/>
      <c r="G4526" s="8">
        <f>IF(E4526="","",E4526*F4526)</f>
        <v/>
      </c>
      <c r="H4526" s="8">
        <f>IF(G4526="","",G4526-I4526)</f>
        <v/>
      </c>
      <c r="I4526" s="8">
        <f>IF(D4526="","",VLOOKUP(D4526, RECETTES!B:G, 6, FALSE)*E4526)</f>
        <v/>
      </c>
      <c r="J4526" s="8">
        <f>IF(G4526="","",G4526*0.20)</f>
        <v/>
      </c>
      <c r="K4526" s="8">
        <f>IF(G4526="","",G4526+J4526)</f>
        <v/>
      </c>
    </row>
    <row r="4527">
      <c r="F4527" s="8" t="n"/>
      <c r="G4527" s="8">
        <f>IF(E4527="","",E4527*F4527)</f>
        <v/>
      </c>
      <c r="H4527" s="8">
        <f>IF(G4527="","",G4527-I4527)</f>
        <v/>
      </c>
      <c r="I4527" s="8">
        <f>IF(D4527="","",VLOOKUP(D4527, RECETTES!B:G, 6, FALSE)*E4527)</f>
        <v/>
      </c>
      <c r="J4527" s="8">
        <f>IF(G4527="","",G4527*0.20)</f>
        <v/>
      </c>
      <c r="K4527" s="8">
        <f>IF(G4527="","",G4527+J4527)</f>
        <v/>
      </c>
    </row>
    <row r="4528">
      <c r="F4528" s="8" t="n"/>
      <c r="G4528" s="8">
        <f>IF(E4528="","",E4528*F4528)</f>
        <v/>
      </c>
      <c r="H4528" s="8">
        <f>IF(G4528="","",G4528-I4528)</f>
        <v/>
      </c>
      <c r="I4528" s="8">
        <f>IF(D4528="","",VLOOKUP(D4528, RECETTES!B:G, 6, FALSE)*E4528)</f>
        <v/>
      </c>
      <c r="J4528" s="8">
        <f>IF(G4528="","",G4528*0.20)</f>
        <v/>
      </c>
      <c r="K4528" s="8">
        <f>IF(G4528="","",G4528+J4528)</f>
        <v/>
      </c>
    </row>
    <row r="4529">
      <c r="F4529" s="8" t="n"/>
      <c r="G4529" s="8">
        <f>IF(E4529="","",E4529*F4529)</f>
        <v/>
      </c>
      <c r="H4529" s="8">
        <f>IF(G4529="","",G4529-I4529)</f>
        <v/>
      </c>
      <c r="I4529" s="8">
        <f>IF(D4529="","",VLOOKUP(D4529, RECETTES!B:G, 6, FALSE)*E4529)</f>
        <v/>
      </c>
      <c r="J4529" s="8">
        <f>IF(G4529="","",G4529*0.20)</f>
        <v/>
      </c>
      <c r="K4529" s="8">
        <f>IF(G4529="","",G4529+J4529)</f>
        <v/>
      </c>
    </row>
    <row r="4530">
      <c r="F4530" s="8" t="n"/>
      <c r="G4530" s="8">
        <f>IF(E4530="","",E4530*F4530)</f>
        <v/>
      </c>
      <c r="H4530" s="8">
        <f>IF(G4530="","",G4530-I4530)</f>
        <v/>
      </c>
      <c r="I4530" s="8">
        <f>IF(D4530="","",VLOOKUP(D4530, RECETTES!B:G, 6, FALSE)*E4530)</f>
        <v/>
      </c>
      <c r="J4530" s="8">
        <f>IF(G4530="","",G4530*0.20)</f>
        <v/>
      </c>
      <c r="K4530" s="8">
        <f>IF(G4530="","",G4530+J4530)</f>
        <v/>
      </c>
    </row>
    <row r="4531">
      <c r="F4531" s="8" t="n"/>
      <c r="G4531" s="8">
        <f>IF(E4531="","",E4531*F4531)</f>
        <v/>
      </c>
      <c r="H4531" s="8">
        <f>IF(G4531="","",G4531-I4531)</f>
        <v/>
      </c>
      <c r="I4531" s="8">
        <f>IF(D4531="","",VLOOKUP(D4531, RECETTES!B:G, 6, FALSE)*E4531)</f>
        <v/>
      </c>
      <c r="J4531" s="8">
        <f>IF(G4531="","",G4531*0.20)</f>
        <v/>
      </c>
      <c r="K4531" s="8">
        <f>IF(G4531="","",G4531+J4531)</f>
        <v/>
      </c>
    </row>
    <row r="4532">
      <c r="F4532" s="8" t="n"/>
      <c r="G4532" s="8">
        <f>IF(E4532="","",E4532*F4532)</f>
        <v/>
      </c>
      <c r="H4532" s="8">
        <f>IF(G4532="","",G4532-I4532)</f>
        <v/>
      </c>
      <c r="I4532" s="8">
        <f>IF(D4532="","",VLOOKUP(D4532, RECETTES!B:G, 6, FALSE)*E4532)</f>
        <v/>
      </c>
      <c r="J4532" s="8">
        <f>IF(G4532="","",G4532*0.20)</f>
        <v/>
      </c>
      <c r="K4532" s="8">
        <f>IF(G4532="","",G4532+J4532)</f>
        <v/>
      </c>
    </row>
    <row r="4533">
      <c r="F4533" s="8" t="n"/>
      <c r="G4533" s="8">
        <f>IF(E4533="","",E4533*F4533)</f>
        <v/>
      </c>
      <c r="H4533" s="8">
        <f>IF(G4533="","",G4533-I4533)</f>
        <v/>
      </c>
      <c r="I4533" s="8">
        <f>IF(D4533="","",VLOOKUP(D4533, RECETTES!B:G, 6, FALSE)*E4533)</f>
        <v/>
      </c>
      <c r="J4533" s="8">
        <f>IF(G4533="","",G4533*0.20)</f>
        <v/>
      </c>
      <c r="K4533" s="8">
        <f>IF(G4533="","",G4533+J4533)</f>
        <v/>
      </c>
    </row>
    <row r="4534">
      <c r="F4534" s="8" t="n"/>
      <c r="G4534" s="8">
        <f>IF(E4534="","",E4534*F4534)</f>
        <v/>
      </c>
      <c r="H4534" s="8">
        <f>IF(G4534="","",G4534-I4534)</f>
        <v/>
      </c>
      <c r="I4534" s="8">
        <f>IF(D4534="","",VLOOKUP(D4534, RECETTES!B:G, 6, FALSE)*E4534)</f>
        <v/>
      </c>
      <c r="J4534" s="8">
        <f>IF(G4534="","",G4534*0.20)</f>
        <v/>
      </c>
      <c r="K4534" s="8">
        <f>IF(G4534="","",G4534+J4534)</f>
        <v/>
      </c>
    </row>
    <row r="4535">
      <c r="F4535" s="8" t="n"/>
      <c r="G4535" s="8">
        <f>IF(E4535="","",E4535*F4535)</f>
        <v/>
      </c>
      <c r="H4535" s="8">
        <f>IF(G4535="","",G4535-I4535)</f>
        <v/>
      </c>
      <c r="I4535" s="8">
        <f>IF(D4535="","",VLOOKUP(D4535, RECETTES!B:G, 6, FALSE)*E4535)</f>
        <v/>
      </c>
      <c r="J4535" s="8">
        <f>IF(G4535="","",G4535*0.20)</f>
        <v/>
      </c>
      <c r="K4535" s="8">
        <f>IF(G4535="","",G4535+J4535)</f>
        <v/>
      </c>
    </row>
    <row r="4536">
      <c r="F4536" s="8" t="n"/>
      <c r="G4536" s="8">
        <f>IF(E4536="","",E4536*F4536)</f>
        <v/>
      </c>
      <c r="H4536" s="8">
        <f>IF(G4536="","",G4536-I4536)</f>
        <v/>
      </c>
      <c r="I4536" s="8">
        <f>IF(D4536="","",VLOOKUP(D4536, RECETTES!B:G, 6, FALSE)*E4536)</f>
        <v/>
      </c>
      <c r="J4536" s="8">
        <f>IF(G4536="","",G4536*0.20)</f>
        <v/>
      </c>
      <c r="K4536" s="8">
        <f>IF(G4536="","",G4536+J4536)</f>
        <v/>
      </c>
    </row>
    <row r="4537">
      <c r="F4537" s="8" t="n"/>
      <c r="G4537" s="8">
        <f>IF(E4537="","",E4537*F4537)</f>
        <v/>
      </c>
      <c r="H4537" s="8">
        <f>IF(G4537="","",G4537-I4537)</f>
        <v/>
      </c>
      <c r="I4537" s="8">
        <f>IF(D4537="","",VLOOKUP(D4537, RECETTES!B:G, 6, FALSE)*E4537)</f>
        <v/>
      </c>
      <c r="J4537" s="8">
        <f>IF(G4537="","",G4537*0.20)</f>
        <v/>
      </c>
      <c r="K4537" s="8">
        <f>IF(G4537="","",G4537+J4537)</f>
        <v/>
      </c>
    </row>
    <row r="4538">
      <c r="F4538" s="8" t="n"/>
      <c r="G4538" s="8">
        <f>IF(E4538="","",E4538*F4538)</f>
        <v/>
      </c>
      <c r="H4538" s="8">
        <f>IF(G4538="","",G4538-I4538)</f>
        <v/>
      </c>
      <c r="I4538" s="8">
        <f>IF(D4538="","",VLOOKUP(D4538, RECETTES!B:G, 6, FALSE)*E4538)</f>
        <v/>
      </c>
      <c r="J4538" s="8">
        <f>IF(G4538="","",G4538*0.20)</f>
        <v/>
      </c>
      <c r="K4538" s="8">
        <f>IF(G4538="","",G4538+J4538)</f>
        <v/>
      </c>
    </row>
    <row r="4539">
      <c r="F4539" s="8" t="n"/>
      <c r="G4539" s="8">
        <f>IF(E4539="","",E4539*F4539)</f>
        <v/>
      </c>
      <c r="H4539" s="8">
        <f>IF(G4539="","",G4539-I4539)</f>
        <v/>
      </c>
      <c r="I4539" s="8">
        <f>IF(D4539="","",VLOOKUP(D4539, RECETTES!B:G, 6, FALSE)*E4539)</f>
        <v/>
      </c>
      <c r="J4539" s="8">
        <f>IF(G4539="","",G4539*0.20)</f>
        <v/>
      </c>
      <c r="K4539" s="8">
        <f>IF(G4539="","",G4539+J4539)</f>
        <v/>
      </c>
    </row>
    <row r="4540">
      <c r="F4540" s="8" t="n"/>
      <c r="G4540" s="8">
        <f>IF(E4540="","",E4540*F4540)</f>
        <v/>
      </c>
      <c r="H4540" s="8">
        <f>IF(G4540="","",G4540-I4540)</f>
        <v/>
      </c>
      <c r="I4540" s="8">
        <f>IF(D4540="","",VLOOKUP(D4540, RECETTES!B:G, 6, FALSE)*E4540)</f>
        <v/>
      </c>
      <c r="J4540" s="8">
        <f>IF(G4540="","",G4540*0.20)</f>
        <v/>
      </c>
      <c r="K4540" s="8">
        <f>IF(G4540="","",G4540+J4540)</f>
        <v/>
      </c>
    </row>
    <row r="4541">
      <c r="F4541" s="8" t="n"/>
      <c r="G4541" s="8">
        <f>IF(E4541="","",E4541*F4541)</f>
        <v/>
      </c>
      <c r="H4541" s="8">
        <f>IF(G4541="","",G4541-I4541)</f>
        <v/>
      </c>
      <c r="I4541" s="8">
        <f>IF(D4541="","",VLOOKUP(D4541, RECETTES!B:G, 6, FALSE)*E4541)</f>
        <v/>
      </c>
      <c r="J4541" s="8">
        <f>IF(G4541="","",G4541*0.20)</f>
        <v/>
      </c>
      <c r="K4541" s="8">
        <f>IF(G4541="","",G4541+J4541)</f>
        <v/>
      </c>
    </row>
    <row r="4542">
      <c r="F4542" s="8" t="n"/>
      <c r="G4542" s="8">
        <f>IF(E4542="","",E4542*F4542)</f>
        <v/>
      </c>
      <c r="H4542" s="8">
        <f>IF(G4542="","",G4542-I4542)</f>
        <v/>
      </c>
      <c r="I4542" s="8">
        <f>IF(D4542="","",VLOOKUP(D4542, RECETTES!B:G, 6, FALSE)*E4542)</f>
        <v/>
      </c>
      <c r="J4542" s="8">
        <f>IF(G4542="","",G4542*0.20)</f>
        <v/>
      </c>
      <c r="K4542" s="8">
        <f>IF(G4542="","",G4542+J4542)</f>
        <v/>
      </c>
    </row>
    <row r="4543">
      <c r="F4543" s="8" t="n"/>
      <c r="G4543" s="8">
        <f>IF(E4543="","",E4543*F4543)</f>
        <v/>
      </c>
      <c r="H4543" s="8">
        <f>IF(G4543="","",G4543-I4543)</f>
        <v/>
      </c>
      <c r="I4543" s="8">
        <f>IF(D4543="","",VLOOKUP(D4543, RECETTES!B:G, 6, FALSE)*E4543)</f>
        <v/>
      </c>
      <c r="J4543" s="8">
        <f>IF(G4543="","",G4543*0.20)</f>
        <v/>
      </c>
      <c r="K4543" s="8">
        <f>IF(G4543="","",G4543+J4543)</f>
        <v/>
      </c>
    </row>
    <row r="4544">
      <c r="F4544" s="8" t="n"/>
      <c r="G4544" s="8">
        <f>IF(E4544="","",E4544*F4544)</f>
        <v/>
      </c>
      <c r="H4544" s="8">
        <f>IF(G4544="","",G4544-I4544)</f>
        <v/>
      </c>
      <c r="I4544" s="8">
        <f>IF(D4544="","",VLOOKUP(D4544, RECETTES!B:G, 6, FALSE)*E4544)</f>
        <v/>
      </c>
      <c r="J4544" s="8">
        <f>IF(G4544="","",G4544*0.20)</f>
        <v/>
      </c>
      <c r="K4544" s="8">
        <f>IF(G4544="","",G4544+J4544)</f>
        <v/>
      </c>
    </row>
    <row r="4545">
      <c r="F4545" s="8" t="n"/>
      <c r="G4545" s="8">
        <f>IF(E4545="","",E4545*F4545)</f>
        <v/>
      </c>
      <c r="H4545" s="8">
        <f>IF(G4545="","",G4545-I4545)</f>
        <v/>
      </c>
      <c r="I4545" s="8">
        <f>IF(D4545="","",VLOOKUP(D4545, RECETTES!B:G, 6, FALSE)*E4545)</f>
        <v/>
      </c>
      <c r="J4545" s="8">
        <f>IF(G4545="","",G4545*0.20)</f>
        <v/>
      </c>
      <c r="K4545" s="8">
        <f>IF(G4545="","",G4545+J4545)</f>
        <v/>
      </c>
    </row>
    <row r="4546">
      <c r="F4546" s="8" t="n"/>
      <c r="G4546" s="8">
        <f>IF(E4546="","",E4546*F4546)</f>
        <v/>
      </c>
      <c r="H4546" s="8">
        <f>IF(G4546="","",G4546-I4546)</f>
        <v/>
      </c>
      <c r="I4546" s="8">
        <f>IF(D4546="","",VLOOKUP(D4546, RECETTES!B:G, 6, FALSE)*E4546)</f>
        <v/>
      </c>
      <c r="J4546" s="8">
        <f>IF(G4546="","",G4546*0.20)</f>
        <v/>
      </c>
      <c r="K4546" s="8">
        <f>IF(G4546="","",G4546+J4546)</f>
        <v/>
      </c>
    </row>
    <row r="4547">
      <c r="F4547" s="8" t="n"/>
      <c r="G4547" s="8">
        <f>IF(E4547="","",E4547*F4547)</f>
        <v/>
      </c>
      <c r="H4547" s="8">
        <f>IF(G4547="","",G4547-I4547)</f>
        <v/>
      </c>
      <c r="I4547" s="8">
        <f>IF(D4547="","",VLOOKUP(D4547, RECETTES!B:G, 6, FALSE)*E4547)</f>
        <v/>
      </c>
      <c r="J4547" s="8">
        <f>IF(G4547="","",G4547*0.20)</f>
        <v/>
      </c>
      <c r="K4547" s="8">
        <f>IF(G4547="","",G4547+J4547)</f>
        <v/>
      </c>
    </row>
    <row r="4548">
      <c r="F4548" s="8" t="n"/>
      <c r="G4548" s="8">
        <f>IF(E4548="","",E4548*F4548)</f>
        <v/>
      </c>
      <c r="H4548" s="8">
        <f>IF(G4548="","",G4548-I4548)</f>
        <v/>
      </c>
      <c r="I4548" s="8">
        <f>IF(D4548="","",VLOOKUP(D4548, RECETTES!B:G, 6, FALSE)*E4548)</f>
        <v/>
      </c>
      <c r="J4548" s="8">
        <f>IF(G4548="","",G4548*0.20)</f>
        <v/>
      </c>
      <c r="K4548" s="8">
        <f>IF(G4548="","",G4548+J4548)</f>
        <v/>
      </c>
    </row>
    <row r="4549">
      <c r="F4549" s="8" t="n"/>
      <c r="G4549" s="8">
        <f>IF(E4549="","",E4549*F4549)</f>
        <v/>
      </c>
      <c r="H4549" s="8">
        <f>IF(G4549="","",G4549-I4549)</f>
        <v/>
      </c>
      <c r="I4549" s="8">
        <f>IF(D4549="","",VLOOKUP(D4549, RECETTES!B:G, 6, FALSE)*E4549)</f>
        <v/>
      </c>
      <c r="J4549" s="8">
        <f>IF(G4549="","",G4549*0.20)</f>
        <v/>
      </c>
      <c r="K4549" s="8">
        <f>IF(G4549="","",G4549+J4549)</f>
        <v/>
      </c>
    </row>
    <row r="4550">
      <c r="F4550" s="8" t="n"/>
      <c r="G4550" s="8">
        <f>IF(E4550="","",E4550*F4550)</f>
        <v/>
      </c>
      <c r="H4550" s="8">
        <f>IF(G4550="","",G4550-I4550)</f>
        <v/>
      </c>
      <c r="I4550" s="8">
        <f>IF(D4550="","",VLOOKUP(D4550, RECETTES!B:G, 6, FALSE)*E4550)</f>
        <v/>
      </c>
      <c r="J4550" s="8">
        <f>IF(G4550="","",G4550*0.20)</f>
        <v/>
      </c>
      <c r="K4550" s="8">
        <f>IF(G4550="","",G4550+J4550)</f>
        <v/>
      </c>
    </row>
    <row r="4551">
      <c r="F4551" s="8" t="n"/>
      <c r="G4551" s="8">
        <f>IF(E4551="","",E4551*F4551)</f>
        <v/>
      </c>
      <c r="H4551" s="8">
        <f>IF(G4551="","",G4551-I4551)</f>
        <v/>
      </c>
      <c r="I4551" s="8">
        <f>IF(D4551="","",VLOOKUP(D4551, RECETTES!B:G, 6, FALSE)*E4551)</f>
        <v/>
      </c>
      <c r="J4551" s="8">
        <f>IF(G4551="","",G4551*0.20)</f>
        <v/>
      </c>
      <c r="K4551" s="8">
        <f>IF(G4551="","",G4551+J4551)</f>
        <v/>
      </c>
    </row>
    <row r="4552">
      <c r="F4552" s="8" t="n"/>
      <c r="G4552" s="8">
        <f>IF(E4552="","",E4552*F4552)</f>
        <v/>
      </c>
      <c r="H4552" s="8">
        <f>IF(G4552="","",G4552-I4552)</f>
        <v/>
      </c>
      <c r="I4552" s="8">
        <f>IF(D4552="","",VLOOKUP(D4552, RECETTES!B:G, 6, FALSE)*E4552)</f>
        <v/>
      </c>
      <c r="J4552" s="8">
        <f>IF(G4552="","",G4552*0.20)</f>
        <v/>
      </c>
      <c r="K4552" s="8">
        <f>IF(G4552="","",G4552+J4552)</f>
        <v/>
      </c>
    </row>
    <row r="4553">
      <c r="F4553" s="8" t="n"/>
      <c r="G4553" s="8">
        <f>IF(E4553="","",E4553*F4553)</f>
        <v/>
      </c>
      <c r="H4553" s="8">
        <f>IF(G4553="","",G4553-I4553)</f>
        <v/>
      </c>
      <c r="I4553" s="8">
        <f>IF(D4553="","",VLOOKUP(D4553, RECETTES!B:G, 6, FALSE)*E4553)</f>
        <v/>
      </c>
      <c r="J4553" s="8">
        <f>IF(G4553="","",G4553*0.20)</f>
        <v/>
      </c>
      <c r="K4553" s="8">
        <f>IF(G4553="","",G4553+J4553)</f>
        <v/>
      </c>
    </row>
    <row r="4554">
      <c r="F4554" s="8" t="n"/>
      <c r="G4554" s="8">
        <f>IF(E4554="","",E4554*F4554)</f>
        <v/>
      </c>
      <c r="H4554" s="8">
        <f>IF(G4554="","",G4554-I4554)</f>
        <v/>
      </c>
      <c r="I4554" s="8">
        <f>IF(D4554="","",VLOOKUP(D4554, RECETTES!B:G, 6, FALSE)*E4554)</f>
        <v/>
      </c>
      <c r="J4554" s="8">
        <f>IF(G4554="","",G4554*0.20)</f>
        <v/>
      </c>
      <c r="K4554" s="8">
        <f>IF(G4554="","",G4554+J4554)</f>
        <v/>
      </c>
    </row>
    <row r="4555">
      <c r="F4555" s="8" t="n"/>
      <c r="G4555" s="8">
        <f>IF(E4555="","",E4555*F4555)</f>
        <v/>
      </c>
      <c r="H4555" s="8">
        <f>IF(G4555="","",G4555-I4555)</f>
        <v/>
      </c>
      <c r="I4555" s="8">
        <f>IF(D4555="","",VLOOKUP(D4555, RECETTES!B:G, 6, FALSE)*E4555)</f>
        <v/>
      </c>
      <c r="J4555" s="8">
        <f>IF(G4555="","",G4555*0.20)</f>
        <v/>
      </c>
      <c r="K4555" s="8">
        <f>IF(G4555="","",G4555+J4555)</f>
        <v/>
      </c>
    </row>
    <row r="4556">
      <c r="F4556" s="8" t="n"/>
      <c r="G4556" s="8">
        <f>IF(E4556="","",E4556*F4556)</f>
        <v/>
      </c>
      <c r="H4556" s="8">
        <f>IF(G4556="","",G4556-I4556)</f>
        <v/>
      </c>
      <c r="I4556" s="8">
        <f>IF(D4556="","",VLOOKUP(D4556, RECETTES!B:G, 6, FALSE)*E4556)</f>
        <v/>
      </c>
      <c r="J4556" s="8">
        <f>IF(G4556="","",G4556*0.20)</f>
        <v/>
      </c>
      <c r="K4556" s="8">
        <f>IF(G4556="","",G4556+J4556)</f>
        <v/>
      </c>
    </row>
    <row r="4557">
      <c r="F4557" s="8" t="n"/>
      <c r="G4557" s="8">
        <f>IF(E4557="","",E4557*F4557)</f>
        <v/>
      </c>
      <c r="H4557" s="8">
        <f>IF(G4557="","",G4557-I4557)</f>
        <v/>
      </c>
      <c r="I4557" s="8">
        <f>IF(D4557="","",VLOOKUP(D4557, RECETTES!B:G, 6, FALSE)*E4557)</f>
        <v/>
      </c>
      <c r="J4557" s="8">
        <f>IF(G4557="","",G4557*0.20)</f>
        <v/>
      </c>
      <c r="K4557" s="8">
        <f>IF(G4557="","",G4557+J4557)</f>
        <v/>
      </c>
    </row>
    <row r="4558">
      <c r="F4558" s="8" t="n"/>
      <c r="G4558" s="8">
        <f>IF(E4558="","",E4558*F4558)</f>
        <v/>
      </c>
      <c r="H4558" s="8">
        <f>IF(G4558="","",G4558-I4558)</f>
        <v/>
      </c>
      <c r="I4558" s="8">
        <f>IF(D4558="","",VLOOKUP(D4558, RECETTES!B:G, 6, FALSE)*E4558)</f>
        <v/>
      </c>
      <c r="J4558" s="8">
        <f>IF(G4558="","",G4558*0.20)</f>
        <v/>
      </c>
      <c r="K4558" s="8">
        <f>IF(G4558="","",G4558+J4558)</f>
        <v/>
      </c>
    </row>
    <row r="4559">
      <c r="F4559" s="8" t="n"/>
      <c r="G4559" s="8">
        <f>IF(E4559="","",E4559*F4559)</f>
        <v/>
      </c>
      <c r="H4559" s="8">
        <f>IF(G4559="","",G4559-I4559)</f>
        <v/>
      </c>
      <c r="I4559" s="8">
        <f>IF(D4559="","",VLOOKUP(D4559, RECETTES!B:G, 6, FALSE)*E4559)</f>
        <v/>
      </c>
      <c r="J4559" s="8">
        <f>IF(G4559="","",G4559*0.20)</f>
        <v/>
      </c>
      <c r="K4559" s="8">
        <f>IF(G4559="","",G4559+J4559)</f>
        <v/>
      </c>
    </row>
    <row r="4560">
      <c r="F4560" s="8" t="n"/>
      <c r="G4560" s="8">
        <f>IF(E4560="","",E4560*F4560)</f>
        <v/>
      </c>
      <c r="H4560" s="8">
        <f>IF(G4560="","",G4560-I4560)</f>
        <v/>
      </c>
      <c r="I4560" s="8">
        <f>IF(D4560="","",VLOOKUP(D4560, RECETTES!B:G, 6, FALSE)*E4560)</f>
        <v/>
      </c>
      <c r="J4560" s="8">
        <f>IF(G4560="","",G4560*0.20)</f>
        <v/>
      </c>
      <c r="K4560" s="8">
        <f>IF(G4560="","",G4560+J4560)</f>
        <v/>
      </c>
    </row>
    <row r="4561">
      <c r="F4561" s="8" t="n"/>
      <c r="G4561" s="8">
        <f>IF(E4561="","",E4561*F4561)</f>
        <v/>
      </c>
      <c r="H4561" s="8">
        <f>IF(G4561="","",G4561-I4561)</f>
        <v/>
      </c>
      <c r="I4561" s="8">
        <f>IF(D4561="","",VLOOKUP(D4561, RECETTES!B:G, 6, FALSE)*E4561)</f>
        <v/>
      </c>
      <c r="J4561" s="8">
        <f>IF(G4561="","",G4561*0.20)</f>
        <v/>
      </c>
      <c r="K4561" s="8">
        <f>IF(G4561="","",G4561+J4561)</f>
        <v/>
      </c>
    </row>
    <row r="4562">
      <c r="F4562" s="8" t="n"/>
      <c r="G4562" s="8">
        <f>IF(E4562="","",E4562*F4562)</f>
        <v/>
      </c>
      <c r="H4562" s="8">
        <f>IF(G4562="","",G4562-I4562)</f>
        <v/>
      </c>
      <c r="I4562" s="8">
        <f>IF(D4562="","",VLOOKUP(D4562, RECETTES!B:G, 6, FALSE)*E4562)</f>
        <v/>
      </c>
      <c r="J4562" s="8">
        <f>IF(G4562="","",G4562*0.20)</f>
        <v/>
      </c>
      <c r="K4562" s="8">
        <f>IF(G4562="","",G4562+J4562)</f>
        <v/>
      </c>
    </row>
    <row r="4563">
      <c r="F4563" s="8" t="n"/>
      <c r="G4563" s="8">
        <f>IF(E4563="","",E4563*F4563)</f>
        <v/>
      </c>
      <c r="H4563" s="8">
        <f>IF(G4563="","",G4563-I4563)</f>
        <v/>
      </c>
      <c r="I4563" s="8">
        <f>IF(D4563="","",VLOOKUP(D4563, RECETTES!B:G, 6, FALSE)*E4563)</f>
        <v/>
      </c>
      <c r="J4563" s="8">
        <f>IF(G4563="","",G4563*0.20)</f>
        <v/>
      </c>
      <c r="K4563" s="8">
        <f>IF(G4563="","",G4563+J4563)</f>
        <v/>
      </c>
    </row>
    <row r="4564">
      <c r="F4564" s="8" t="n"/>
      <c r="G4564" s="8">
        <f>IF(E4564="","",E4564*F4564)</f>
        <v/>
      </c>
      <c r="H4564" s="8">
        <f>IF(G4564="","",G4564-I4564)</f>
        <v/>
      </c>
      <c r="I4564" s="8">
        <f>IF(D4564="","",VLOOKUP(D4564, RECETTES!B:G, 6, FALSE)*E4564)</f>
        <v/>
      </c>
      <c r="J4564" s="8">
        <f>IF(G4564="","",G4564*0.20)</f>
        <v/>
      </c>
      <c r="K4564" s="8">
        <f>IF(G4564="","",G4564+J4564)</f>
        <v/>
      </c>
    </row>
    <row r="4565">
      <c r="F4565" s="8" t="n"/>
      <c r="G4565" s="8">
        <f>IF(E4565="","",E4565*F4565)</f>
        <v/>
      </c>
      <c r="H4565" s="8">
        <f>IF(G4565="","",G4565-I4565)</f>
        <v/>
      </c>
      <c r="I4565" s="8">
        <f>IF(D4565="","",VLOOKUP(D4565, RECETTES!B:G, 6, FALSE)*E4565)</f>
        <v/>
      </c>
      <c r="J4565" s="8">
        <f>IF(G4565="","",G4565*0.20)</f>
        <v/>
      </c>
      <c r="K4565" s="8">
        <f>IF(G4565="","",G4565+J4565)</f>
        <v/>
      </c>
    </row>
    <row r="4566">
      <c r="F4566" s="8" t="n"/>
      <c r="G4566" s="8">
        <f>IF(E4566="","",E4566*F4566)</f>
        <v/>
      </c>
      <c r="H4566" s="8">
        <f>IF(G4566="","",G4566-I4566)</f>
        <v/>
      </c>
      <c r="I4566" s="8">
        <f>IF(D4566="","",VLOOKUP(D4566, RECETTES!B:G, 6, FALSE)*E4566)</f>
        <v/>
      </c>
      <c r="J4566" s="8">
        <f>IF(G4566="","",G4566*0.20)</f>
        <v/>
      </c>
      <c r="K4566" s="8">
        <f>IF(G4566="","",G4566+J4566)</f>
        <v/>
      </c>
    </row>
    <row r="4567">
      <c r="F4567" s="8" t="n"/>
      <c r="G4567" s="8">
        <f>IF(E4567="","",E4567*F4567)</f>
        <v/>
      </c>
      <c r="H4567" s="8">
        <f>IF(G4567="","",G4567-I4567)</f>
        <v/>
      </c>
      <c r="I4567" s="8">
        <f>IF(D4567="","",VLOOKUP(D4567, RECETTES!B:G, 6, FALSE)*E4567)</f>
        <v/>
      </c>
      <c r="J4567" s="8">
        <f>IF(G4567="","",G4567*0.20)</f>
        <v/>
      </c>
      <c r="K4567" s="8">
        <f>IF(G4567="","",G4567+J4567)</f>
        <v/>
      </c>
    </row>
    <row r="4568">
      <c r="F4568" s="8" t="n"/>
      <c r="G4568" s="8">
        <f>IF(E4568="","",E4568*F4568)</f>
        <v/>
      </c>
      <c r="H4568" s="8">
        <f>IF(G4568="","",G4568-I4568)</f>
        <v/>
      </c>
      <c r="I4568" s="8">
        <f>IF(D4568="","",VLOOKUP(D4568, RECETTES!B:G, 6, FALSE)*E4568)</f>
        <v/>
      </c>
      <c r="J4568" s="8">
        <f>IF(G4568="","",G4568*0.20)</f>
        <v/>
      </c>
      <c r="K4568" s="8">
        <f>IF(G4568="","",G4568+J4568)</f>
        <v/>
      </c>
    </row>
    <row r="4569">
      <c r="F4569" s="8" t="n"/>
      <c r="G4569" s="8">
        <f>IF(E4569="","",E4569*F4569)</f>
        <v/>
      </c>
      <c r="H4569" s="8">
        <f>IF(G4569="","",G4569-I4569)</f>
        <v/>
      </c>
      <c r="I4569" s="8">
        <f>IF(D4569="","",VLOOKUP(D4569, RECETTES!B:G, 6, FALSE)*E4569)</f>
        <v/>
      </c>
      <c r="J4569" s="8">
        <f>IF(G4569="","",G4569*0.20)</f>
        <v/>
      </c>
      <c r="K4569" s="8">
        <f>IF(G4569="","",G4569+J4569)</f>
        <v/>
      </c>
    </row>
    <row r="4570">
      <c r="F4570" s="8" t="n"/>
      <c r="G4570" s="8">
        <f>IF(E4570="","",E4570*F4570)</f>
        <v/>
      </c>
      <c r="H4570" s="8">
        <f>IF(G4570="","",G4570-I4570)</f>
        <v/>
      </c>
      <c r="I4570" s="8">
        <f>IF(D4570="","",VLOOKUP(D4570, RECETTES!B:G, 6, FALSE)*E4570)</f>
        <v/>
      </c>
      <c r="J4570" s="8">
        <f>IF(G4570="","",G4570*0.20)</f>
        <v/>
      </c>
      <c r="K4570" s="8">
        <f>IF(G4570="","",G4570+J4570)</f>
        <v/>
      </c>
    </row>
    <row r="4571">
      <c r="F4571" s="8" t="n"/>
      <c r="G4571" s="8">
        <f>IF(E4571="","",E4571*F4571)</f>
        <v/>
      </c>
      <c r="H4571" s="8">
        <f>IF(G4571="","",G4571-I4571)</f>
        <v/>
      </c>
      <c r="I4571" s="8">
        <f>IF(D4571="","",VLOOKUP(D4571, RECETTES!B:G, 6, FALSE)*E4571)</f>
        <v/>
      </c>
      <c r="J4571" s="8">
        <f>IF(G4571="","",G4571*0.20)</f>
        <v/>
      </c>
      <c r="K4571" s="8">
        <f>IF(G4571="","",G4571+J4571)</f>
        <v/>
      </c>
    </row>
    <row r="4572">
      <c r="F4572" s="8" t="n"/>
      <c r="G4572" s="8">
        <f>IF(E4572="","",E4572*F4572)</f>
        <v/>
      </c>
      <c r="H4572" s="8">
        <f>IF(G4572="","",G4572-I4572)</f>
        <v/>
      </c>
      <c r="I4572" s="8">
        <f>IF(D4572="","",VLOOKUP(D4572, RECETTES!B:G, 6, FALSE)*E4572)</f>
        <v/>
      </c>
      <c r="J4572" s="8">
        <f>IF(G4572="","",G4572*0.20)</f>
        <v/>
      </c>
      <c r="K4572" s="8">
        <f>IF(G4572="","",G4572+J4572)</f>
        <v/>
      </c>
    </row>
    <row r="4573">
      <c r="F4573" s="8" t="n"/>
      <c r="G4573" s="8">
        <f>IF(E4573="","",E4573*F4573)</f>
        <v/>
      </c>
      <c r="H4573" s="8">
        <f>IF(G4573="","",G4573-I4573)</f>
        <v/>
      </c>
      <c r="I4573" s="8">
        <f>IF(D4573="","",VLOOKUP(D4573, RECETTES!B:G, 6, FALSE)*E4573)</f>
        <v/>
      </c>
      <c r="J4573" s="8">
        <f>IF(G4573="","",G4573*0.20)</f>
        <v/>
      </c>
      <c r="K4573" s="8">
        <f>IF(G4573="","",G4573+J4573)</f>
        <v/>
      </c>
    </row>
    <row r="4574">
      <c r="F4574" s="8" t="n"/>
      <c r="G4574" s="8">
        <f>IF(E4574="","",E4574*F4574)</f>
        <v/>
      </c>
      <c r="H4574" s="8">
        <f>IF(G4574="","",G4574-I4574)</f>
        <v/>
      </c>
      <c r="I4574" s="8">
        <f>IF(D4574="","",VLOOKUP(D4574, RECETTES!B:G, 6, FALSE)*E4574)</f>
        <v/>
      </c>
      <c r="J4574" s="8">
        <f>IF(G4574="","",G4574*0.20)</f>
        <v/>
      </c>
      <c r="K4574" s="8">
        <f>IF(G4574="","",G4574+J4574)</f>
        <v/>
      </c>
    </row>
    <row r="4575">
      <c r="F4575" s="8" t="n"/>
      <c r="G4575" s="8">
        <f>IF(E4575="","",E4575*F4575)</f>
        <v/>
      </c>
      <c r="H4575" s="8">
        <f>IF(G4575="","",G4575-I4575)</f>
        <v/>
      </c>
      <c r="I4575" s="8">
        <f>IF(D4575="","",VLOOKUP(D4575, RECETTES!B:G, 6, FALSE)*E4575)</f>
        <v/>
      </c>
      <c r="J4575" s="8">
        <f>IF(G4575="","",G4575*0.20)</f>
        <v/>
      </c>
      <c r="K4575" s="8">
        <f>IF(G4575="","",G4575+J4575)</f>
        <v/>
      </c>
    </row>
    <row r="4576">
      <c r="F4576" s="8" t="n"/>
      <c r="G4576" s="8">
        <f>IF(E4576="","",E4576*F4576)</f>
        <v/>
      </c>
      <c r="H4576" s="8">
        <f>IF(G4576="","",G4576-I4576)</f>
        <v/>
      </c>
      <c r="I4576" s="8">
        <f>IF(D4576="","",VLOOKUP(D4576, RECETTES!B:G, 6, FALSE)*E4576)</f>
        <v/>
      </c>
      <c r="J4576" s="8">
        <f>IF(G4576="","",G4576*0.20)</f>
        <v/>
      </c>
      <c r="K4576" s="8">
        <f>IF(G4576="","",G4576+J4576)</f>
        <v/>
      </c>
    </row>
    <row r="4577">
      <c r="F4577" s="8" t="n"/>
      <c r="G4577" s="8">
        <f>IF(E4577="","",E4577*F4577)</f>
        <v/>
      </c>
      <c r="H4577" s="8">
        <f>IF(G4577="","",G4577-I4577)</f>
        <v/>
      </c>
      <c r="I4577" s="8">
        <f>IF(D4577="","",VLOOKUP(D4577, RECETTES!B:G, 6, FALSE)*E4577)</f>
        <v/>
      </c>
      <c r="J4577" s="8">
        <f>IF(G4577="","",G4577*0.20)</f>
        <v/>
      </c>
      <c r="K4577" s="8">
        <f>IF(G4577="","",G4577+J4577)</f>
        <v/>
      </c>
    </row>
    <row r="4578">
      <c r="F4578" s="8" t="n"/>
      <c r="G4578" s="8">
        <f>IF(E4578="","",E4578*F4578)</f>
        <v/>
      </c>
      <c r="H4578" s="8">
        <f>IF(G4578="","",G4578-I4578)</f>
        <v/>
      </c>
      <c r="I4578" s="8">
        <f>IF(D4578="","",VLOOKUP(D4578, RECETTES!B:G, 6, FALSE)*E4578)</f>
        <v/>
      </c>
      <c r="J4578" s="8">
        <f>IF(G4578="","",G4578*0.20)</f>
        <v/>
      </c>
      <c r="K4578" s="8">
        <f>IF(G4578="","",G4578+J4578)</f>
        <v/>
      </c>
    </row>
    <row r="4579">
      <c r="F4579" s="8" t="n"/>
      <c r="G4579" s="8">
        <f>IF(E4579="","",E4579*F4579)</f>
        <v/>
      </c>
      <c r="H4579" s="8">
        <f>IF(G4579="","",G4579-I4579)</f>
        <v/>
      </c>
      <c r="I4579" s="8">
        <f>IF(D4579="","",VLOOKUP(D4579, RECETTES!B:G, 6, FALSE)*E4579)</f>
        <v/>
      </c>
      <c r="J4579" s="8">
        <f>IF(G4579="","",G4579*0.20)</f>
        <v/>
      </c>
      <c r="K4579" s="8">
        <f>IF(G4579="","",G4579+J4579)</f>
        <v/>
      </c>
    </row>
    <row r="4580">
      <c r="F4580" s="8" t="n"/>
      <c r="G4580" s="8">
        <f>IF(E4580="","",E4580*F4580)</f>
        <v/>
      </c>
      <c r="H4580" s="8">
        <f>IF(G4580="","",G4580-I4580)</f>
        <v/>
      </c>
      <c r="I4580" s="8">
        <f>IF(D4580="","",VLOOKUP(D4580, RECETTES!B:G, 6, FALSE)*E4580)</f>
        <v/>
      </c>
      <c r="J4580" s="8">
        <f>IF(G4580="","",G4580*0.20)</f>
        <v/>
      </c>
      <c r="K4580" s="8">
        <f>IF(G4580="","",G4580+J4580)</f>
        <v/>
      </c>
    </row>
    <row r="4581">
      <c r="F4581" s="8" t="n"/>
      <c r="G4581" s="8">
        <f>IF(E4581="","",E4581*F4581)</f>
        <v/>
      </c>
      <c r="H4581" s="8">
        <f>IF(G4581="","",G4581-I4581)</f>
        <v/>
      </c>
      <c r="I4581" s="8">
        <f>IF(D4581="","",VLOOKUP(D4581, RECETTES!B:G, 6, FALSE)*E4581)</f>
        <v/>
      </c>
      <c r="J4581" s="8">
        <f>IF(G4581="","",G4581*0.20)</f>
        <v/>
      </c>
      <c r="K4581" s="8">
        <f>IF(G4581="","",G4581+J4581)</f>
        <v/>
      </c>
    </row>
    <row r="4582">
      <c r="F4582" s="8" t="n"/>
      <c r="G4582" s="8">
        <f>IF(E4582="","",E4582*F4582)</f>
        <v/>
      </c>
      <c r="H4582" s="8">
        <f>IF(G4582="","",G4582-I4582)</f>
        <v/>
      </c>
      <c r="I4582" s="8">
        <f>IF(D4582="","",VLOOKUP(D4582, RECETTES!B:G, 6, FALSE)*E4582)</f>
        <v/>
      </c>
      <c r="J4582" s="8">
        <f>IF(G4582="","",G4582*0.20)</f>
        <v/>
      </c>
      <c r="K4582" s="8">
        <f>IF(G4582="","",G4582+J4582)</f>
        <v/>
      </c>
    </row>
    <row r="4583">
      <c r="F4583" s="8" t="n"/>
      <c r="G4583" s="8">
        <f>IF(E4583="","",E4583*F4583)</f>
        <v/>
      </c>
      <c r="H4583" s="8">
        <f>IF(G4583="","",G4583-I4583)</f>
        <v/>
      </c>
      <c r="I4583" s="8">
        <f>IF(D4583="","",VLOOKUP(D4583, RECETTES!B:G, 6, FALSE)*E4583)</f>
        <v/>
      </c>
      <c r="J4583" s="8">
        <f>IF(G4583="","",G4583*0.20)</f>
        <v/>
      </c>
      <c r="K4583" s="8">
        <f>IF(G4583="","",G4583+J4583)</f>
        <v/>
      </c>
    </row>
    <row r="4584">
      <c r="F4584" s="8" t="n"/>
      <c r="G4584" s="8">
        <f>IF(E4584="","",E4584*F4584)</f>
        <v/>
      </c>
      <c r="H4584" s="8">
        <f>IF(G4584="","",G4584-I4584)</f>
        <v/>
      </c>
      <c r="I4584" s="8">
        <f>IF(D4584="","",VLOOKUP(D4584, RECETTES!B:G, 6, FALSE)*E4584)</f>
        <v/>
      </c>
      <c r="J4584" s="8">
        <f>IF(G4584="","",G4584*0.20)</f>
        <v/>
      </c>
      <c r="K4584" s="8">
        <f>IF(G4584="","",G4584+J4584)</f>
        <v/>
      </c>
    </row>
    <row r="4585">
      <c r="F4585" s="8" t="n"/>
      <c r="G4585" s="8">
        <f>IF(E4585="","",E4585*F4585)</f>
        <v/>
      </c>
      <c r="H4585" s="8">
        <f>IF(G4585="","",G4585-I4585)</f>
        <v/>
      </c>
      <c r="I4585" s="8">
        <f>IF(D4585="","",VLOOKUP(D4585, RECETTES!B:G, 6, FALSE)*E4585)</f>
        <v/>
      </c>
      <c r="J4585" s="8">
        <f>IF(G4585="","",G4585*0.20)</f>
        <v/>
      </c>
      <c r="K4585" s="8">
        <f>IF(G4585="","",G4585+J4585)</f>
        <v/>
      </c>
    </row>
    <row r="4586">
      <c r="F4586" s="8" t="n"/>
      <c r="G4586" s="8">
        <f>IF(E4586="","",E4586*F4586)</f>
        <v/>
      </c>
      <c r="H4586" s="8">
        <f>IF(G4586="","",G4586-I4586)</f>
        <v/>
      </c>
      <c r="I4586" s="8">
        <f>IF(D4586="","",VLOOKUP(D4586, RECETTES!B:G, 6, FALSE)*E4586)</f>
        <v/>
      </c>
      <c r="J4586" s="8">
        <f>IF(G4586="","",G4586*0.20)</f>
        <v/>
      </c>
      <c r="K4586" s="8">
        <f>IF(G4586="","",G4586+J4586)</f>
        <v/>
      </c>
    </row>
    <row r="4587">
      <c r="F4587" s="8" t="n"/>
      <c r="G4587" s="8">
        <f>IF(E4587="","",E4587*F4587)</f>
        <v/>
      </c>
      <c r="H4587" s="8">
        <f>IF(G4587="","",G4587-I4587)</f>
        <v/>
      </c>
      <c r="I4587" s="8">
        <f>IF(D4587="","",VLOOKUP(D4587, RECETTES!B:G, 6, FALSE)*E4587)</f>
        <v/>
      </c>
      <c r="J4587" s="8">
        <f>IF(G4587="","",G4587*0.20)</f>
        <v/>
      </c>
      <c r="K4587" s="8">
        <f>IF(G4587="","",G4587+J4587)</f>
        <v/>
      </c>
    </row>
    <row r="4588">
      <c r="F4588" s="8" t="n"/>
      <c r="G4588" s="8">
        <f>IF(E4588="","",E4588*F4588)</f>
        <v/>
      </c>
      <c r="H4588" s="8">
        <f>IF(G4588="","",G4588-I4588)</f>
        <v/>
      </c>
      <c r="I4588" s="8">
        <f>IF(D4588="","",VLOOKUP(D4588, RECETTES!B:G, 6, FALSE)*E4588)</f>
        <v/>
      </c>
      <c r="J4588" s="8">
        <f>IF(G4588="","",G4588*0.20)</f>
        <v/>
      </c>
      <c r="K4588" s="8">
        <f>IF(G4588="","",G4588+J4588)</f>
        <v/>
      </c>
    </row>
    <row r="4589">
      <c r="F4589" s="8" t="n"/>
      <c r="G4589" s="8">
        <f>IF(E4589="","",E4589*F4589)</f>
        <v/>
      </c>
      <c r="H4589" s="8">
        <f>IF(G4589="","",G4589-I4589)</f>
        <v/>
      </c>
      <c r="I4589" s="8">
        <f>IF(D4589="","",VLOOKUP(D4589, RECETTES!B:G, 6, FALSE)*E4589)</f>
        <v/>
      </c>
      <c r="J4589" s="8">
        <f>IF(G4589="","",G4589*0.20)</f>
        <v/>
      </c>
      <c r="K4589" s="8">
        <f>IF(G4589="","",G4589+J4589)</f>
        <v/>
      </c>
    </row>
    <row r="4590">
      <c r="F4590" s="8" t="n"/>
      <c r="G4590" s="8">
        <f>IF(E4590="","",E4590*F4590)</f>
        <v/>
      </c>
      <c r="H4590" s="8">
        <f>IF(G4590="","",G4590-I4590)</f>
        <v/>
      </c>
      <c r="I4590" s="8">
        <f>IF(D4590="","",VLOOKUP(D4590, RECETTES!B:G, 6, FALSE)*E4590)</f>
        <v/>
      </c>
      <c r="J4590" s="8">
        <f>IF(G4590="","",G4590*0.20)</f>
        <v/>
      </c>
      <c r="K4590" s="8">
        <f>IF(G4590="","",G4590+J4590)</f>
        <v/>
      </c>
    </row>
    <row r="4591">
      <c r="F4591" s="8" t="n"/>
      <c r="G4591" s="8">
        <f>IF(E4591="","",E4591*F4591)</f>
        <v/>
      </c>
      <c r="H4591" s="8">
        <f>IF(G4591="","",G4591-I4591)</f>
        <v/>
      </c>
      <c r="I4591" s="8">
        <f>IF(D4591="","",VLOOKUP(D4591, RECETTES!B:G, 6, FALSE)*E4591)</f>
        <v/>
      </c>
      <c r="J4591" s="8">
        <f>IF(G4591="","",G4591*0.20)</f>
        <v/>
      </c>
      <c r="K4591" s="8">
        <f>IF(G4591="","",G4591+J4591)</f>
        <v/>
      </c>
    </row>
    <row r="4592">
      <c r="F4592" s="8" t="n"/>
      <c r="G4592" s="8">
        <f>IF(E4592="","",E4592*F4592)</f>
        <v/>
      </c>
      <c r="H4592" s="8">
        <f>IF(G4592="","",G4592-I4592)</f>
        <v/>
      </c>
      <c r="I4592" s="8">
        <f>IF(D4592="","",VLOOKUP(D4592, RECETTES!B:G, 6, FALSE)*E4592)</f>
        <v/>
      </c>
      <c r="J4592" s="8">
        <f>IF(G4592="","",G4592*0.20)</f>
        <v/>
      </c>
      <c r="K4592" s="8">
        <f>IF(G4592="","",G4592+J4592)</f>
        <v/>
      </c>
    </row>
    <row r="4593">
      <c r="F4593" s="8" t="n"/>
      <c r="G4593" s="8">
        <f>IF(E4593="","",E4593*F4593)</f>
        <v/>
      </c>
      <c r="H4593" s="8">
        <f>IF(G4593="","",G4593-I4593)</f>
        <v/>
      </c>
      <c r="I4593" s="8">
        <f>IF(D4593="","",VLOOKUP(D4593, RECETTES!B:G, 6, FALSE)*E4593)</f>
        <v/>
      </c>
      <c r="J4593" s="8">
        <f>IF(G4593="","",G4593*0.20)</f>
        <v/>
      </c>
      <c r="K4593" s="8">
        <f>IF(G4593="","",G4593+J4593)</f>
        <v/>
      </c>
    </row>
    <row r="4594">
      <c r="F4594" s="8" t="n"/>
      <c r="G4594" s="8">
        <f>IF(E4594="","",E4594*F4594)</f>
        <v/>
      </c>
      <c r="H4594" s="8">
        <f>IF(G4594="","",G4594-I4594)</f>
        <v/>
      </c>
      <c r="I4594" s="8">
        <f>IF(D4594="","",VLOOKUP(D4594, RECETTES!B:G, 6, FALSE)*E4594)</f>
        <v/>
      </c>
      <c r="J4594" s="8">
        <f>IF(G4594="","",G4594*0.20)</f>
        <v/>
      </c>
      <c r="K4594" s="8">
        <f>IF(G4594="","",G4594+J4594)</f>
        <v/>
      </c>
    </row>
    <row r="4595">
      <c r="F4595" s="8" t="n"/>
      <c r="G4595" s="8">
        <f>IF(E4595="","",E4595*F4595)</f>
        <v/>
      </c>
      <c r="H4595" s="8">
        <f>IF(G4595="","",G4595-I4595)</f>
        <v/>
      </c>
      <c r="I4595" s="8">
        <f>IF(D4595="","",VLOOKUP(D4595, RECETTES!B:G, 6, FALSE)*E4595)</f>
        <v/>
      </c>
      <c r="J4595" s="8">
        <f>IF(G4595="","",G4595*0.20)</f>
        <v/>
      </c>
      <c r="K4595" s="8">
        <f>IF(G4595="","",G4595+J4595)</f>
        <v/>
      </c>
    </row>
    <row r="4596">
      <c r="F4596" s="8" t="n"/>
      <c r="G4596" s="8">
        <f>IF(E4596="","",E4596*F4596)</f>
        <v/>
      </c>
      <c r="H4596" s="8">
        <f>IF(G4596="","",G4596-I4596)</f>
        <v/>
      </c>
      <c r="I4596" s="8">
        <f>IF(D4596="","",VLOOKUP(D4596, RECETTES!B:G, 6, FALSE)*E4596)</f>
        <v/>
      </c>
      <c r="J4596" s="8">
        <f>IF(G4596="","",G4596*0.20)</f>
        <v/>
      </c>
      <c r="K4596" s="8">
        <f>IF(G4596="","",G4596+J4596)</f>
        <v/>
      </c>
    </row>
    <row r="4597">
      <c r="F4597" s="8" t="n"/>
      <c r="G4597" s="8">
        <f>IF(E4597="","",E4597*F4597)</f>
        <v/>
      </c>
      <c r="H4597" s="8">
        <f>IF(G4597="","",G4597-I4597)</f>
        <v/>
      </c>
      <c r="I4597" s="8">
        <f>IF(D4597="","",VLOOKUP(D4597, RECETTES!B:G, 6, FALSE)*E4597)</f>
        <v/>
      </c>
      <c r="J4597" s="8">
        <f>IF(G4597="","",G4597*0.20)</f>
        <v/>
      </c>
      <c r="K4597" s="8">
        <f>IF(G4597="","",G4597+J4597)</f>
        <v/>
      </c>
    </row>
    <row r="4598">
      <c r="F4598" s="8" t="n"/>
      <c r="G4598" s="8">
        <f>IF(E4598="","",E4598*F4598)</f>
        <v/>
      </c>
      <c r="H4598" s="8">
        <f>IF(G4598="","",G4598-I4598)</f>
        <v/>
      </c>
      <c r="I4598" s="8">
        <f>IF(D4598="","",VLOOKUP(D4598, RECETTES!B:G, 6, FALSE)*E4598)</f>
        <v/>
      </c>
      <c r="J4598" s="8">
        <f>IF(G4598="","",G4598*0.20)</f>
        <v/>
      </c>
      <c r="K4598" s="8">
        <f>IF(G4598="","",G4598+J4598)</f>
        <v/>
      </c>
    </row>
    <row r="4599">
      <c r="F4599" s="8" t="n"/>
      <c r="G4599" s="8">
        <f>IF(E4599="","",E4599*F4599)</f>
        <v/>
      </c>
      <c r="H4599" s="8">
        <f>IF(G4599="","",G4599-I4599)</f>
        <v/>
      </c>
      <c r="I4599" s="8">
        <f>IF(D4599="","",VLOOKUP(D4599, RECETTES!B:G, 6, FALSE)*E4599)</f>
        <v/>
      </c>
      <c r="J4599" s="8">
        <f>IF(G4599="","",G4599*0.20)</f>
        <v/>
      </c>
      <c r="K4599" s="8">
        <f>IF(G4599="","",G4599+J4599)</f>
        <v/>
      </c>
    </row>
    <row r="4600">
      <c r="F4600" s="8" t="n"/>
      <c r="G4600" s="8">
        <f>IF(E4600="","",E4600*F4600)</f>
        <v/>
      </c>
      <c r="H4600" s="8">
        <f>IF(G4600="","",G4600-I4600)</f>
        <v/>
      </c>
      <c r="I4600" s="8">
        <f>IF(D4600="","",VLOOKUP(D4600, RECETTES!B:G, 6, FALSE)*E4600)</f>
        <v/>
      </c>
      <c r="J4600" s="8">
        <f>IF(G4600="","",G4600*0.20)</f>
        <v/>
      </c>
      <c r="K4600" s="8">
        <f>IF(G4600="","",G4600+J4600)</f>
        <v/>
      </c>
    </row>
    <row r="4601">
      <c r="F4601" s="8" t="n"/>
      <c r="G4601" s="8">
        <f>IF(E4601="","",E4601*F4601)</f>
        <v/>
      </c>
      <c r="H4601" s="8">
        <f>IF(G4601="","",G4601-I4601)</f>
        <v/>
      </c>
      <c r="I4601" s="8">
        <f>IF(D4601="","",VLOOKUP(D4601, RECETTES!B:G, 6, FALSE)*E4601)</f>
        <v/>
      </c>
      <c r="J4601" s="8">
        <f>IF(G4601="","",G4601*0.20)</f>
        <v/>
      </c>
      <c r="K4601" s="8">
        <f>IF(G4601="","",G4601+J4601)</f>
        <v/>
      </c>
    </row>
    <row r="4602">
      <c r="F4602" s="8" t="n"/>
      <c r="G4602" s="8">
        <f>IF(E4602="","",E4602*F4602)</f>
        <v/>
      </c>
      <c r="H4602" s="8">
        <f>IF(G4602="","",G4602-I4602)</f>
        <v/>
      </c>
      <c r="I4602" s="8">
        <f>IF(D4602="","",VLOOKUP(D4602, RECETTES!B:G, 6, FALSE)*E4602)</f>
        <v/>
      </c>
      <c r="J4602" s="8">
        <f>IF(G4602="","",G4602*0.20)</f>
        <v/>
      </c>
      <c r="K4602" s="8">
        <f>IF(G4602="","",G4602+J4602)</f>
        <v/>
      </c>
    </row>
    <row r="4603">
      <c r="F4603" s="8" t="n"/>
      <c r="G4603" s="8">
        <f>IF(E4603="","",E4603*F4603)</f>
        <v/>
      </c>
      <c r="H4603" s="8">
        <f>IF(G4603="","",G4603-I4603)</f>
        <v/>
      </c>
      <c r="I4603" s="8">
        <f>IF(D4603="","",VLOOKUP(D4603, RECETTES!B:G, 6, FALSE)*E4603)</f>
        <v/>
      </c>
      <c r="J4603" s="8">
        <f>IF(G4603="","",G4603*0.20)</f>
        <v/>
      </c>
      <c r="K4603" s="8">
        <f>IF(G4603="","",G4603+J4603)</f>
        <v/>
      </c>
    </row>
    <row r="4604">
      <c r="F4604" s="8" t="n"/>
      <c r="G4604" s="8">
        <f>IF(E4604="","",E4604*F4604)</f>
        <v/>
      </c>
      <c r="H4604" s="8">
        <f>IF(G4604="","",G4604-I4604)</f>
        <v/>
      </c>
      <c r="I4604" s="8">
        <f>IF(D4604="","",VLOOKUP(D4604, RECETTES!B:G, 6, FALSE)*E4604)</f>
        <v/>
      </c>
      <c r="J4604" s="8">
        <f>IF(G4604="","",G4604*0.20)</f>
        <v/>
      </c>
      <c r="K4604" s="8">
        <f>IF(G4604="","",G4604+J4604)</f>
        <v/>
      </c>
    </row>
    <row r="4605">
      <c r="F4605" s="8" t="n"/>
      <c r="G4605" s="8">
        <f>IF(E4605="","",E4605*F4605)</f>
        <v/>
      </c>
      <c r="H4605" s="8">
        <f>IF(G4605="","",G4605-I4605)</f>
        <v/>
      </c>
      <c r="I4605" s="8">
        <f>IF(D4605="","",VLOOKUP(D4605, RECETTES!B:G, 6, FALSE)*E4605)</f>
        <v/>
      </c>
      <c r="J4605" s="8">
        <f>IF(G4605="","",G4605*0.20)</f>
        <v/>
      </c>
      <c r="K4605" s="8">
        <f>IF(G4605="","",G4605+J4605)</f>
        <v/>
      </c>
    </row>
    <row r="4606">
      <c r="F4606" s="8" t="n"/>
      <c r="G4606" s="8">
        <f>IF(E4606="","",E4606*F4606)</f>
        <v/>
      </c>
      <c r="H4606" s="8">
        <f>IF(G4606="","",G4606-I4606)</f>
        <v/>
      </c>
      <c r="I4606" s="8">
        <f>IF(D4606="","",VLOOKUP(D4606, RECETTES!B:G, 6, FALSE)*E4606)</f>
        <v/>
      </c>
      <c r="J4606" s="8">
        <f>IF(G4606="","",G4606*0.20)</f>
        <v/>
      </c>
      <c r="K4606" s="8">
        <f>IF(G4606="","",G4606+J4606)</f>
        <v/>
      </c>
    </row>
    <row r="4607">
      <c r="F4607" s="8" t="n"/>
      <c r="G4607" s="8">
        <f>IF(E4607="","",E4607*F4607)</f>
        <v/>
      </c>
      <c r="H4607" s="8">
        <f>IF(G4607="","",G4607-I4607)</f>
        <v/>
      </c>
      <c r="I4607" s="8">
        <f>IF(D4607="","",VLOOKUP(D4607, RECETTES!B:G, 6, FALSE)*E4607)</f>
        <v/>
      </c>
      <c r="J4607" s="8">
        <f>IF(G4607="","",G4607*0.20)</f>
        <v/>
      </c>
      <c r="K4607" s="8">
        <f>IF(G4607="","",G4607+J4607)</f>
        <v/>
      </c>
    </row>
    <row r="4608">
      <c r="F4608" s="8" t="n"/>
      <c r="G4608" s="8">
        <f>IF(E4608="","",E4608*F4608)</f>
        <v/>
      </c>
      <c r="H4608" s="8">
        <f>IF(G4608="","",G4608-I4608)</f>
        <v/>
      </c>
      <c r="I4608" s="8">
        <f>IF(D4608="","",VLOOKUP(D4608, RECETTES!B:G, 6, FALSE)*E4608)</f>
        <v/>
      </c>
      <c r="J4608" s="8">
        <f>IF(G4608="","",G4608*0.20)</f>
        <v/>
      </c>
      <c r="K4608" s="8">
        <f>IF(G4608="","",G4608+J4608)</f>
        <v/>
      </c>
    </row>
    <row r="4609">
      <c r="F4609" s="8" t="n"/>
      <c r="G4609" s="8">
        <f>IF(E4609="","",E4609*F4609)</f>
        <v/>
      </c>
      <c r="H4609" s="8">
        <f>IF(G4609="","",G4609-I4609)</f>
        <v/>
      </c>
      <c r="I4609" s="8">
        <f>IF(D4609="","",VLOOKUP(D4609, RECETTES!B:G, 6, FALSE)*E4609)</f>
        <v/>
      </c>
      <c r="J4609" s="8">
        <f>IF(G4609="","",G4609*0.20)</f>
        <v/>
      </c>
      <c r="K4609" s="8">
        <f>IF(G4609="","",G4609+J4609)</f>
        <v/>
      </c>
    </row>
    <row r="4610">
      <c r="F4610" s="8" t="n"/>
      <c r="G4610" s="8">
        <f>IF(E4610="","",E4610*F4610)</f>
        <v/>
      </c>
      <c r="H4610" s="8">
        <f>IF(G4610="","",G4610-I4610)</f>
        <v/>
      </c>
      <c r="I4610" s="8">
        <f>IF(D4610="","",VLOOKUP(D4610, RECETTES!B:G, 6, FALSE)*E4610)</f>
        <v/>
      </c>
      <c r="J4610" s="8">
        <f>IF(G4610="","",G4610*0.20)</f>
        <v/>
      </c>
      <c r="K4610" s="8">
        <f>IF(G4610="","",G4610+J4610)</f>
        <v/>
      </c>
    </row>
    <row r="4611">
      <c r="F4611" s="8" t="n"/>
      <c r="G4611" s="8">
        <f>IF(E4611="","",E4611*F4611)</f>
        <v/>
      </c>
      <c r="H4611" s="8">
        <f>IF(G4611="","",G4611-I4611)</f>
        <v/>
      </c>
      <c r="I4611" s="8">
        <f>IF(D4611="","",VLOOKUP(D4611, RECETTES!B:G, 6, FALSE)*E4611)</f>
        <v/>
      </c>
      <c r="J4611" s="8">
        <f>IF(G4611="","",G4611*0.20)</f>
        <v/>
      </c>
      <c r="K4611" s="8">
        <f>IF(G4611="","",G4611+J4611)</f>
        <v/>
      </c>
    </row>
    <row r="4612">
      <c r="F4612" s="8" t="n"/>
      <c r="G4612" s="8">
        <f>IF(E4612="","",E4612*F4612)</f>
        <v/>
      </c>
      <c r="H4612" s="8">
        <f>IF(G4612="","",G4612-I4612)</f>
        <v/>
      </c>
      <c r="I4612" s="8">
        <f>IF(D4612="","",VLOOKUP(D4612, RECETTES!B:G, 6, FALSE)*E4612)</f>
        <v/>
      </c>
      <c r="J4612" s="8">
        <f>IF(G4612="","",G4612*0.20)</f>
        <v/>
      </c>
      <c r="K4612" s="8">
        <f>IF(G4612="","",G4612+J4612)</f>
        <v/>
      </c>
    </row>
    <row r="4613">
      <c r="F4613" s="8" t="n"/>
      <c r="G4613" s="8">
        <f>IF(E4613="","",E4613*F4613)</f>
        <v/>
      </c>
      <c r="H4613" s="8">
        <f>IF(G4613="","",G4613-I4613)</f>
        <v/>
      </c>
      <c r="I4613" s="8">
        <f>IF(D4613="","",VLOOKUP(D4613, RECETTES!B:G, 6, FALSE)*E4613)</f>
        <v/>
      </c>
      <c r="J4613" s="8">
        <f>IF(G4613="","",G4613*0.20)</f>
        <v/>
      </c>
      <c r="K4613" s="8">
        <f>IF(G4613="","",G4613+J4613)</f>
        <v/>
      </c>
    </row>
    <row r="4614">
      <c r="F4614" s="8" t="n"/>
      <c r="G4614" s="8">
        <f>IF(E4614="","",E4614*F4614)</f>
        <v/>
      </c>
      <c r="H4614" s="8">
        <f>IF(G4614="","",G4614-I4614)</f>
        <v/>
      </c>
      <c r="I4614" s="8">
        <f>IF(D4614="","",VLOOKUP(D4614, RECETTES!B:G, 6, FALSE)*E4614)</f>
        <v/>
      </c>
      <c r="J4614" s="8">
        <f>IF(G4614="","",G4614*0.20)</f>
        <v/>
      </c>
      <c r="K4614" s="8">
        <f>IF(G4614="","",G4614+J4614)</f>
        <v/>
      </c>
    </row>
    <row r="4615">
      <c r="F4615" s="8" t="n"/>
      <c r="G4615" s="8">
        <f>IF(E4615="","",E4615*F4615)</f>
        <v/>
      </c>
      <c r="H4615" s="8">
        <f>IF(G4615="","",G4615-I4615)</f>
        <v/>
      </c>
      <c r="I4615" s="8">
        <f>IF(D4615="","",VLOOKUP(D4615, RECETTES!B:G, 6, FALSE)*E4615)</f>
        <v/>
      </c>
      <c r="J4615" s="8">
        <f>IF(G4615="","",G4615*0.20)</f>
        <v/>
      </c>
      <c r="K4615" s="8">
        <f>IF(G4615="","",G4615+J4615)</f>
        <v/>
      </c>
    </row>
    <row r="4616">
      <c r="F4616" s="8" t="n"/>
      <c r="G4616" s="8">
        <f>IF(E4616="","",E4616*F4616)</f>
        <v/>
      </c>
      <c r="H4616" s="8">
        <f>IF(G4616="","",G4616-I4616)</f>
        <v/>
      </c>
      <c r="I4616" s="8">
        <f>IF(D4616="","",VLOOKUP(D4616, RECETTES!B:G, 6, FALSE)*E4616)</f>
        <v/>
      </c>
      <c r="J4616" s="8">
        <f>IF(G4616="","",G4616*0.20)</f>
        <v/>
      </c>
      <c r="K4616" s="8">
        <f>IF(G4616="","",G4616+J4616)</f>
        <v/>
      </c>
    </row>
    <row r="4617">
      <c r="F4617" s="8" t="n"/>
      <c r="G4617" s="8">
        <f>IF(E4617="","",E4617*F4617)</f>
        <v/>
      </c>
      <c r="H4617" s="8">
        <f>IF(G4617="","",G4617-I4617)</f>
        <v/>
      </c>
      <c r="I4617" s="8">
        <f>IF(D4617="","",VLOOKUP(D4617, RECETTES!B:G, 6, FALSE)*E4617)</f>
        <v/>
      </c>
      <c r="J4617" s="8">
        <f>IF(G4617="","",G4617*0.20)</f>
        <v/>
      </c>
      <c r="K4617" s="8">
        <f>IF(G4617="","",G4617+J4617)</f>
        <v/>
      </c>
    </row>
    <row r="4618">
      <c r="F4618" s="8" t="n"/>
      <c r="G4618" s="8">
        <f>IF(E4618="","",E4618*F4618)</f>
        <v/>
      </c>
      <c r="H4618" s="8">
        <f>IF(G4618="","",G4618-I4618)</f>
        <v/>
      </c>
      <c r="I4618" s="8">
        <f>IF(D4618="","",VLOOKUP(D4618, RECETTES!B:G, 6, FALSE)*E4618)</f>
        <v/>
      </c>
      <c r="J4618" s="8">
        <f>IF(G4618="","",G4618*0.20)</f>
        <v/>
      </c>
      <c r="K4618" s="8">
        <f>IF(G4618="","",G4618+J4618)</f>
        <v/>
      </c>
    </row>
    <row r="4619">
      <c r="F4619" s="8" t="n"/>
      <c r="G4619" s="8">
        <f>IF(E4619="","",E4619*F4619)</f>
        <v/>
      </c>
      <c r="H4619" s="8">
        <f>IF(G4619="","",G4619-I4619)</f>
        <v/>
      </c>
      <c r="I4619" s="8">
        <f>IF(D4619="","",VLOOKUP(D4619, RECETTES!B:G, 6, FALSE)*E4619)</f>
        <v/>
      </c>
      <c r="J4619" s="8">
        <f>IF(G4619="","",G4619*0.20)</f>
        <v/>
      </c>
      <c r="K4619" s="8">
        <f>IF(G4619="","",G4619+J4619)</f>
        <v/>
      </c>
    </row>
    <row r="4620">
      <c r="F4620" s="8" t="n"/>
      <c r="G4620" s="8">
        <f>IF(E4620="","",E4620*F4620)</f>
        <v/>
      </c>
      <c r="H4620" s="8">
        <f>IF(G4620="","",G4620-I4620)</f>
        <v/>
      </c>
      <c r="I4620" s="8">
        <f>IF(D4620="","",VLOOKUP(D4620, RECETTES!B:G, 6, FALSE)*E4620)</f>
        <v/>
      </c>
      <c r="J4620" s="8">
        <f>IF(G4620="","",G4620*0.20)</f>
        <v/>
      </c>
      <c r="K4620" s="8">
        <f>IF(G4620="","",G4620+J4620)</f>
        <v/>
      </c>
    </row>
    <row r="4621">
      <c r="F4621" s="8" t="n"/>
      <c r="G4621" s="8">
        <f>IF(E4621="","",E4621*F4621)</f>
        <v/>
      </c>
      <c r="H4621" s="8">
        <f>IF(G4621="","",G4621-I4621)</f>
        <v/>
      </c>
      <c r="I4621" s="8">
        <f>IF(D4621="","",VLOOKUP(D4621, RECETTES!B:G, 6, FALSE)*E4621)</f>
        <v/>
      </c>
      <c r="J4621" s="8">
        <f>IF(G4621="","",G4621*0.20)</f>
        <v/>
      </c>
      <c r="K4621" s="8">
        <f>IF(G4621="","",G4621+J4621)</f>
        <v/>
      </c>
    </row>
    <row r="4622">
      <c r="F4622" s="8" t="n"/>
      <c r="G4622" s="8">
        <f>IF(E4622="","",E4622*F4622)</f>
        <v/>
      </c>
      <c r="H4622" s="8">
        <f>IF(G4622="","",G4622-I4622)</f>
        <v/>
      </c>
      <c r="I4622" s="8">
        <f>IF(D4622="","",VLOOKUP(D4622, RECETTES!B:G, 6, FALSE)*E4622)</f>
        <v/>
      </c>
      <c r="J4622" s="8">
        <f>IF(G4622="","",G4622*0.20)</f>
        <v/>
      </c>
      <c r="K4622" s="8">
        <f>IF(G4622="","",G4622+J4622)</f>
        <v/>
      </c>
    </row>
    <row r="4623">
      <c r="F4623" s="8" t="n"/>
      <c r="G4623" s="8">
        <f>IF(E4623="","",E4623*F4623)</f>
        <v/>
      </c>
      <c r="H4623" s="8">
        <f>IF(G4623="","",G4623-I4623)</f>
        <v/>
      </c>
      <c r="I4623" s="8">
        <f>IF(D4623="","",VLOOKUP(D4623, RECETTES!B:G, 6, FALSE)*E4623)</f>
        <v/>
      </c>
      <c r="J4623" s="8">
        <f>IF(G4623="","",G4623*0.20)</f>
        <v/>
      </c>
      <c r="K4623" s="8">
        <f>IF(G4623="","",G4623+J4623)</f>
        <v/>
      </c>
    </row>
    <row r="4624">
      <c r="F4624" s="8" t="n"/>
      <c r="G4624" s="8">
        <f>IF(E4624="","",E4624*F4624)</f>
        <v/>
      </c>
      <c r="H4624" s="8">
        <f>IF(G4624="","",G4624-I4624)</f>
        <v/>
      </c>
      <c r="I4624" s="8">
        <f>IF(D4624="","",VLOOKUP(D4624, RECETTES!B:G, 6, FALSE)*E4624)</f>
        <v/>
      </c>
      <c r="J4624" s="8">
        <f>IF(G4624="","",G4624*0.20)</f>
        <v/>
      </c>
      <c r="K4624" s="8">
        <f>IF(G4624="","",G4624+J4624)</f>
        <v/>
      </c>
    </row>
    <row r="4625">
      <c r="F4625" s="8" t="n"/>
      <c r="G4625" s="8">
        <f>IF(E4625="","",E4625*F4625)</f>
        <v/>
      </c>
      <c r="H4625" s="8">
        <f>IF(G4625="","",G4625-I4625)</f>
        <v/>
      </c>
      <c r="I4625" s="8">
        <f>IF(D4625="","",VLOOKUP(D4625, RECETTES!B:G, 6, FALSE)*E4625)</f>
        <v/>
      </c>
      <c r="J4625" s="8">
        <f>IF(G4625="","",G4625*0.20)</f>
        <v/>
      </c>
      <c r="K4625" s="8">
        <f>IF(G4625="","",G4625+J4625)</f>
        <v/>
      </c>
    </row>
    <row r="4626">
      <c r="F4626" s="8" t="n"/>
      <c r="G4626" s="8">
        <f>IF(E4626="","",E4626*F4626)</f>
        <v/>
      </c>
      <c r="H4626" s="8">
        <f>IF(G4626="","",G4626-I4626)</f>
        <v/>
      </c>
      <c r="I4626" s="8">
        <f>IF(D4626="","",VLOOKUP(D4626, RECETTES!B:G, 6, FALSE)*E4626)</f>
        <v/>
      </c>
      <c r="J4626" s="8">
        <f>IF(G4626="","",G4626*0.20)</f>
        <v/>
      </c>
      <c r="K4626" s="8">
        <f>IF(G4626="","",G4626+J4626)</f>
        <v/>
      </c>
    </row>
    <row r="4627">
      <c r="F4627" s="8" t="n"/>
      <c r="G4627" s="8">
        <f>IF(E4627="","",E4627*F4627)</f>
        <v/>
      </c>
      <c r="H4627" s="8">
        <f>IF(G4627="","",G4627-I4627)</f>
        <v/>
      </c>
      <c r="I4627" s="8">
        <f>IF(D4627="","",VLOOKUP(D4627, RECETTES!B:G, 6, FALSE)*E4627)</f>
        <v/>
      </c>
      <c r="J4627" s="8">
        <f>IF(G4627="","",G4627*0.20)</f>
        <v/>
      </c>
      <c r="K4627" s="8">
        <f>IF(G4627="","",G4627+J4627)</f>
        <v/>
      </c>
    </row>
    <row r="4628">
      <c r="F4628" s="8" t="n"/>
      <c r="G4628" s="8">
        <f>IF(E4628="","",E4628*F4628)</f>
        <v/>
      </c>
      <c r="H4628" s="8">
        <f>IF(G4628="","",G4628-I4628)</f>
        <v/>
      </c>
      <c r="I4628" s="8">
        <f>IF(D4628="","",VLOOKUP(D4628, RECETTES!B:G, 6, FALSE)*E4628)</f>
        <v/>
      </c>
      <c r="J4628" s="8">
        <f>IF(G4628="","",G4628*0.20)</f>
        <v/>
      </c>
      <c r="K4628" s="8">
        <f>IF(G4628="","",G4628+J4628)</f>
        <v/>
      </c>
    </row>
    <row r="4629">
      <c r="F4629" s="8" t="n"/>
      <c r="G4629" s="8">
        <f>IF(E4629="","",E4629*F4629)</f>
        <v/>
      </c>
      <c r="H4629" s="8">
        <f>IF(G4629="","",G4629-I4629)</f>
        <v/>
      </c>
      <c r="I4629" s="8">
        <f>IF(D4629="","",VLOOKUP(D4629, RECETTES!B:G, 6, FALSE)*E4629)</f>
        <v/>
      </c>
      <c r="J4629" s="8">
        <f>IF(G4629="","",G4629*0.20)</f>
        <v/>
      </c>
      <c r="K4629" s="8">
        <f>IF(G4629="","",G4629+J4629)</f>
        <v/>
      </c>
    </row>
    <row r="4630">
      <c r="F4630" s="8" t="n"/>
      <c r="G4630" s="8">
        <f>IF(E4630="","",E4630*F4630)</f>
        <v/>
      </c>
      <c r="H4630" s="8">
        <f>IF(G4630="","",G4630-I4630)</f>
        <v/>
      </c>
      <c r="I4630" s="8">
        <f>IF(D4630="","",VLOOKUP(D4630, RECETTES!B:G, 6, FALSE)*E4630)</f>
        <v/>
      </c>
      <c r="J4630" s="8">
        <f>IF(G4630="","",G4630*0.20)</f>
        <v/>
      </c>
      <c r="K4630" s="8">
        <f>IF(G4630="","",G4630+J4630)</f>
        <v/>
      </c>
    </row>
    <row r="4631">
      <c r="F4631" s="8" t="n"/>
      <c r="G4631" s="8">
        <f>IF(E4631="","",E4631*F4631)</f>
        <v/>
      </c>
      <c r="H4631" s="8">
        <f>IF(G4631="","",G4631-I4631)</f>
        <v/>
      </c>
      <c r="I4631" s="8">
        <f>IF(D4631="","",VLOOKUP(D4631, RECETTES!B:G, 6, FALSE)*E4631)</f>
        <v/>
      </c>
      <c r="J4631" s="8">
        <f>IF(G4631="","",G4631*0.20)</f>
        <v/>
      </c>
      <c r="K4631" s="8">
        <f>IF(G4631="","",G4631+J4631)</f>
        <v/>
      </c>
    </row>
    <row r="4632">
      <c r="F4632" s="8" t="n"/>
      <c r="G4632" s="8">
        <f>IF(E4632="","",E4632*F4632)</f>
        <v/>
      </c>
      <c r="H4632" s="8">
        <f>IF(G4632="","",G4632-I4632)</f>
        <v/>
      </c>
      <c r="I4632" s="8">
        <f>IF(D4632="","",VLOOKUP(D4632, RECETTES!B:G, 6, FALSE)*E4632)</f>
        <v/>
      </c>
      <c r="J4632" s="8">
        <f>IF(G4632="","",G4632*0.20)</f>
        <v/>
      </c>
      <c r="K4632" s="8">
        <f>IF(G4632="","",G4632+J4632)</f>
        <v/>
      </c>
    </row>
    <row r="4633">
      <c r="F4633" s="8" t="n"/>
      <c r="G4633" s="8">
        <f>IF(E4633="","",E4633*F4633)</f>
        <v/>
      </c>
      <c r="H4633" s="8">
        <f>IF(G4633="","",G4633-I4633)</f>
        <v/>
      </c>
      <c r="I4633" s="8">
        <f>IF(D4633="","",VLOOKUP(D4633, RECETTES!B:G, 6, FALSE)*E4633)</f>
        <v/>
      </c>
      <c r="J4633" s="8">
        <f>IF(G4633="","",G4633*0.20)</f>
        <v/>
      </c>
      <c r="K4633" s="8">
        <f>IF(G4633="","",G4633+J4633)</f>
        <v/>
      </c>
    </row>
    <row r="4634">
      <c r="F4634" s="8" t="n"/>
      <c r="G4634" s="8">
        <f>IF(E4634="","",E4634*F4634)</f>
        <v/>
      </c>
      <c r="H4634" s="8">
        <f>IF(G4634="","",G4634-I4634)</f>
        <v/>
      </c>
      <c r="I4634" s="8">
        <f>IF(D4634="","",VLOOKUP(D4634, RECETTES!B:G, 6, FALSE)*E4634)</f>
        <v/>
      </c>
      <c r="J4634" s="8">
        <f>IF(G4634="","",G4634*0.20)</f>
        <v/>
      </c>
      <c r="K4634" s="8">
        <f>IF(G4634="","",G4634+J4634)</f>
        <v/>
      </c>
    </row>
    <row r="4635">
      <c r="F4635" s="8" t="n"/>
      <c r="G4635" s="8">
        <f>IF(E4635="","",E4635*F4635)</f>
        <v/>
      </c>
      <c r="H4635" s="8">
        <f>IF(G4635="","",G4635-I4635)</f>
        <v/>
      </c>
      <c r="I4635" s="8">
        <f>IF(D4635="","",VLOOKUP(D4635, RECETTES!B:G, 6, FALSE)*E4635)</f>
        <v/>
      </c>
      <c r="J4635" s="8">
        <f>IF(G4635="","",G4635*0.20)</f>
        <v/>
      </c>
      <c r="K4635" s="8">
        <f>IF(G4635="","",G4635+J4635)</f>
        <v/>
      </c>
    </row>
    <row r="4636">
      <c r="F4636" s="8" t="n"/>
      <c r="G4636" s="8">
        <f>IF(E4636="","",E4636*F4636)</f>
        <v/>
      </c>
      <c r="H4636" s="8">
        <f>IF(G4636="","",G4636-I4636)</f>
        <v/>
      </c>
      <c r="I4636" s="8">
        <f>IF(D4636="","",VLOOKUP(D4636, RECETTES!B:G, 6, FALSE)*E4636)</f>
        <v/>
      </c>
      <c r="J4636" s="8">
        <f>IF(G4636="","",G4636*0.20)</f>
        <v/>
      </c>
      <c r="K4636" s="8">
        <f>IF(G4636="","",G4636+J4636)</f>
        <v/>
      </c>
    </row>
    <row r="4637">
      <c r="F4637" s="8" t="n"/>
      <c r="G4637" s="8">
        <f>IF(E4637="","",E4637*F4637)</f>
        <v/>
      </c>
      <c r="H4637" s="8">
        <f>IF(G4637="","",G4637-I4637)</f>
        <v/>
      </c>
      <c r="I4637" s="8">
        <f>IF(D4637="","",VLOOKUP(D4637, RECETTES!B:G, 6, FALSE)*E4637)</f>
        <v/>
      </c>
      <c r="J4637" s="8">
        <f>IF(G4637="","",G4637*0.20)</f>
        <v/>
      </c>
      <c r="K4637" s="8">
        <f>IF(G4637="","",G4637+J4637)</f>
        <v/>
      </c>
    </row>
    <row r="4638">
      <c r="F4638" s="8" t="n"/>
      <c r="G4638" s="8">
        <f>IF(E4638="","",E4638*F4638)</f>
        <v/>
      </c>
      <c r="H4638" s="8">
        <f>IF(G4638="","",G4638-I4638)</f>
        <v/>
      </c>
      <c r="I4638" s="8">
        <f>IF(D4638="","",VLOOKUP(D4638, RECETTES!B:G, 6, FALSE)*E4638)</f>
        <v/>
      </c>
      <c r="J4638" s="8">
        <f>IF(G4638="","",G4638*0.20)</f>
        <v/>
      </c>
      <c r="K4638" s="8">
        <f>IF(G4638="","",G4638+J4638)</f>
        <v/>
      </c>
    </row>
    <row r="4639">
      <c r="F4639" s="8" t="n"/>
      <c r="G4639" s="8">
        <f>IF(E4639="","",E4639*F4639)</f>
        <v/>
      </c>
      <c r="H4639" s="8">
        <f>IF(G4639="","",G4639-I4639)</f>
        <v/>
      </c>
      <c r="I4639" s="8">
        <f>IF(D4639="","",VLOOKUP(D4639, RECETTES!B:G, 6, FALSE)*E4639)</f>
        <v/>
      </c>
      <c r="J4639" s="8">
        <f>IF(G4639="","",G4639*0.20)</f>
        <v/>
      </c>
      <c r="K4639" s="8">
        <f>IF(G4639="","",G4639+J4639)</f>
        <v/>
      </c>
    </row>
    <row r="4640">
      <c r="F4640" s="8" t="n"/>
      <c r="G4640" s="8">
        <f>IF(E4640="","",E4640*F4640)</f>
        <v/>
      </c>
      <c r="H4640" s="8">
        <f>IF(G4640="","",G4640-I4640)</f>
        <v/>
      </c>
      <c r="I4640" s="8">
        <f>IF(D4640="","",VLOOKUP(D4640, RECETTES!B:G, 6, FALSE)*E4640)</f>
        <v/>
      </c>
      <c r="J4640" s="8">
        <f>IF(G4640="","",G4640*0.20)</f>
        <v/>
      </c>
      <c r="K4640" s="8">
        <f>IF(G4640="","",G4640+J4640)</f>
        <v/>
      </c>
    </row>
    <row r="4641">
      <c r="F4641" s="8" t="n"/>
      <c r="G4641" s="8">
        <f>IF(E4641="","",E4641*F4641)</f>
        <v/>
      </c>
      <c r="H4641" s="8">
        <f>IF(G4641="","",G4641-I4641)</f>
        <v/>
      </c>
      <c r="I4641" s="8">
        <f>IF(D4641="","",VLOOKUP(D4641, RECETTES!B:G, 6, FALSE)*E4641)</f>
        <v/>
      </c>
      <c r="J4641" s="8">
        <f>IF(G4641="","",G4641*0.20)</f>
        <v/>
      </c>
      <c r="K4641" s="8">
        <f>IF(G4641="","",G4641+J4641)</f>
        <v/>
      </c>
    </row>
    <row r="4642">
      <c r="F4642" s="8" t="n"/>
      <c r="G4642" s="8">
        <f>IF(E4642="","",E4642*F4642)</f>
        <v/>
      </c>
      <c r="H4642" s="8">
        <f>IF(G4642="","",G4642-I4642)</f>
        <v/>
      </c>
      <c r="I4642" s="8">
        <f>IF(D4642="","",VLOOKUP(D4642, RECETTES!B:G, 6, FALSE)*E4642)</f>
        <v/>
      </c>
      <c r="J4642" s="8">
        <f>IF(G4642="","",G4642*0.20)</f>
        <v/>
      </c>
      <c r="K4642" s="8">
        <f>IF(G4642="","",G4642+J4642)</f>
        <v/>
      </c>
    </row>
    <row r="4643">
      <c r="F4643" s="8" t="n"/>
      <c r="G4643" s="8">
        <f>IF(E4643="","",E4643*F4643)</f>
        <v/>
      </c>
      <c r="H4643" s="8">
        <f>IF(G4643="","",G4643-I4643)</f>
        <v/>
      </c>
      <c r="I4643" s="8">
        <f>IF(D4643="","",VLOOKUP(D4643, RECETTES!B:G, 6, FALSE)*E4643)</f>
        <v/>
      </c>
      <c r="J4643" s="8">
        <f>IF(G4643="","",G4643*0.20)</f>
        <v/>
      </c>
      <c r="K4643" s="8">
        <f>IF(G4643="","",G4643+J4643)</f>
        <v/>
      </c>
    </row>
    <row r="4644">
      <c r="F4644" s="8" t="n"/>
      <c r="G4644" s="8">
        <f>IF(E4644="","",E4644*F4644)</f>
        <v/>
      </c>
      <c r="H4644" s="8">
        <f>IF(G4644="","",G4644-I4644)</f>
        <v/>
      </c>
      <c r="I4644" s="8">
        <f>IF(D4644="","",VLOOKUP(D4644, RECETTES!B:G, 6, FALSE)*E4644)</f>
        <v/>
      </c>
      <c r="J4644" s="8">
        <f>IF(G4644="","",G4644*0.20)</f>
        <v/>
      </c>
      <c r="K4644" s="8">
        <f>IF(G4644="","",G4644+J4644)</f>
        <v/>
      </c>
    </row>
    <row r="4645">
      <c r="F4645" s="8" t="n"/>
      <c r="G4645" s="8">
        <f>IF(E4645="","",E4645*F4645)</f>
        <v/>
      </c>
      <c r="H4645" s="8">
        <f>IF(G4645="","",G4645-I4645)</f>
        <v/>
      </c>
      <c r="I4645" s="8">
        <f>IF(D4645="","",VLOOKUP(D4645, RECETTES!B:G, 6, FALSE)*E4645)</f>
        <v/>
      </c>
      <c r="J4645" s="8">
        <f>IF(G4645="","",G4645*0.20)</f>
        <v/>
      </c>
      <c r="K4645" s="8">
        <f>IF(G4645="","",G4645+J4645)</f>
        <v/>
      </c>
    </row>
    <row r="4646">
      <c r="F4646" s="8" t="n"/>
      <c r="G4646" s="8">
        <f>IF(E4646="","",E4646*F4646)</f>
        <v/>
      </c>
      <c r="H4646" s="8">
        <f>IF(G4646="","",G4646-I4646)</f>
        <v/>
      </c>
      <c r="I4646" s="8">
        <f>IF(D4646="","",VLOOKUP(D4646, RECETTES!B:G, 6, FALSE)*E4646)</f>
        <v/>
      </c>
      <c r="J4646" s="8">
        <f>IF(G4646="","",G4646*0.20)</f>
        <v/>
      </c>
      <c r="K4646" s="8">
        <f>IF(G4646="","",G4646+J4646)</f>
        <v/>
      </c>
    </row>
    <row r="4647">
      <c r="F4647" s="8" t="n"/>
      <c r="G4647" s="8">
        <f>IF(E4647="","",E4647*F4647)</f>
        <v/>
      </c>
      <c r="H4647" s="8">
        <f>IF(G4647="","",G4647-I4647)</f>
        <v/>
      </c>
      <c r="I4647" s="8">
        <f>IF(D4647="","",VLOOKUP(D4647, RECETTES!B:G, 6, FALSE)*E4647)</f>
        <v/>
      </c>
      <c r="J4647" s="8">
        <f>IF(G4647="","",G4647*0.20)</f>
        <v/>
      </c>
      <c r="K4647" s="8">
        <f>IF(G4647="","",G4647+J4647)</f>
        <v/>
      </c>
    </row>
    <row r="4648">
      <c r="F4648" s="8" t="n"/>
      <c r="G4648" s="8">
        <f>IF(E4648="","",E4648*F4648)</f>
        <v/>
      </c>
      <c r="H4648" s="8">
        <f>IF(G4648="","",G4648-I4648)</f>
        <v/>
      </c>
      <c r="I4648" s="8">
        <f>IF(D4648="","",VLOOKUP(D4648, RECETTES!B:G, 6, FALSE)*E4648)</f>
        <v/>
      </c>
      <c r="J4648" s="8">
        <f>IF(G4648="","",G4648*0.20)</f>
        <v/>
      </c>
      <c r="K4648" s="8">
        <f>IF(G4648="","",G4648+J4648)</f>
        <v/>
      </c>
    </row>
    <row r="4649">
      <c r="F4649" s="8" t="n"/>
      <c r="G4649" s="8">
        <f>IF(E4649="","",E4649*F4649)</f>
        <v/>
      </c>
      <c r="H4649" s="8">
        <f>IF(G4649="","",G4649-I4649)</f>
        <v/>
      </c>
      <c r="I4649" s="8">
        <f>IF(D4649="","",VLOOKUP(D4649, RECETTES!B:G, 6, FALSE)*E4649)</f>
        <v/>
      </c>
      <c r="J4649" s="8">
        <f>IF(G4649="","",G4649*0.20)</f>
        <v/>
      </c>
      <c r="K4649" s="8">
        <f>IF(G4649="","",G4649+J4649)</f>
        <v/>
      </c>
    </row>
    <row r="4650">
      <c r="F4650" s="8" t="n"/>
      <c r="G4650" s="8">
        <f>IF(E4650="","",E4650*F4650)</f>
        <v/>
      </c>
      <c r="H4650" s="8">
        <f>IF(G4650="","",G4650-I4650)</f>
        <v/>
      </c>
      <c r="I4650" s="8">
        <f>IF(D4650="","",VLOOKUP(D4650, RECETTES!B:G, 6, FALSE)*E4650)</f>
        <v/>
      </c>
      <c r="J4650" s="8">
        <f>IF(G4650="","",G4650*0.20)</f>
        <v/>
      </c>
      <c r="K4650" s="8">
        <f>IF(G4650="","",G4650+J4650)</f>
        <v/>
      </c>
    </row>
    <row r="4651">
      <c r="F4651" s="8" t="n"/>
      <c r="G4651" s="8">
        <f>IF(E4651="","",E4651*F4651)</f>
        <v/>
      </c>
      <c r="H4651" s="8">
        <f>IF(G4651="","",G4651-I4651)</f>
        <v/>
      </c>
      <c r="I4651" s="8">
        <f>IF(D4651="","",VLOOKUP(D4651, RECETTES!B:G, 6, FALSE)*E4651)</f>
        <v/>
      </c>
      <c r="J4651" s="8">
        <f>IF(G4651="","",G4651*0.20)</f>
        <v/>
      </c>
      <c r="K4651" s="8">
        <f>IF(G4651="","",G4651+J4651)</f>
        <v/>
      </c>
    </row>
    <row r="4652">
      <c r="F4652" s="8" t="n"/>
      <c r="G4652" s="8">
        <f>IF(E4652="","",E4652*F4652)</f>
        <v/>
      </c>
      <c r="H4652" s="8">
        <f>IF(G4652="","",G4652-I4652)</f>
        <v/>
      </c>
      <c r="I4652" s="8">
        <f>IF(D4652="","",VLOOKUP(D4652, RECETTES!B:G, 6, FALSE)*E4652)</f>
        <v/>
      </c>
      <c r="J4652" s="8">
        <f>IF(G4652="","",G4652*0.20)</f>
        <v/>
      </c>
      <c r="K4652" s="8">
        <f>IF(G4652="","",G4652+J4652)</f>
        <v/>
      </c>
    </row>
    <row r="4653">
      <c r="F4653" s="8" t="n"/>
      <c r="G4653" s="8">
        <f>IF(E4653="","",E4653*F4653)</f>
        <v/>
      </c>
      <c r="H4653" s="8">
        <f>IF(G4653="","",G4653-I4653)</f>
        <v/>
      </c>
      <c r="I4653" s="8">
        <f>IF(D4653="","",VLOOKUP(D4653, RECETTES!B:G, 6, FALSE)*E4653)</f>
        <v/>
      </c>
      <c r="J4653" s="8">
        <f>IF(G4653="","",G4653*0.20)</f>
        <v/>
      </c>
      <c r="K4653" s="8">
        <f>IF(G4653="","",G4653+J4653)</f>
        <v/>
      </c>
    </row>
    <row r="4654">
      <c r="F4654" s="8" t="n"/>
      <c r="G4654" s="8">
        <f>IF(E4654="","",E4654*F4654)</f>
        <v/>
      </c>
      <c r="H4654" s="8">
        <f>IF(G4654="","",G4654-I4654)</f>
        <v/>
      </c>
      <c r="I4654" s="8">
        <f>IF(D4654="","",VLOOKUP(D4654, RECETTES!B:G, 6, FALSE)*E4654)</f>
        <v/>
      </c>
      <c r="J4654" s="8">
        <f>IF(G4654="","",G4654*0.20)</f>
        <v/>
      </c>
      <c r="K4654" s="8">
        <f>IF(G4654="","",G4654+J4654)</f>
        <v/>
      </c>
    </row>
    <row r="4655">
      <c r="F4655" s="8" t="n"/>
      <c r="G4655" s="8">
        <f>IF(E4655="","",E4655*F4655)</f>
        <v/>
      </c>
      <c r="H4655" s="8">
        <f>IF(G4655="","",G4655-I4655)</f>
        <v/>
      </c>
      <c r="I4655" s="8">
        <f>IF(D4655="","",VLOOKUP(D4655, RECETTES!B:G, 6, FALSE)*E4655)</f>
        <v/>
      </c>
      <c r="J4655" s="8">
        <f>IF(G4655="","",G4655*0.20)</f>
        <v/>
      </c>
      <c r="K4655" s="8">
        <f>IF(G4655="","",G4655+J4655)</f>
        <v/>
      </c>
    </row>
    <row r="4656">
      <c r="F4656" s="8" t="n"/>
      <c r="G4656" s="8">
        <f>IF(E4656="","",E4656*F4656)</f>
        <v/>
      </c>
      <c r="H4656" s="8">
        <f>IF(G4656="","",G4656-I4656)</f>
        <v/>
      </c>
      <c r="I4656" s="8">
        <f>IF(D4656="","",VLOOKUP(D4656, RECETTES!B:G, 6, FALSE)*E4656)</f>
        <v/>
      </c>
      <c r="J4656" s="8">
        <f>IF(G4656="","",G4656*0.20)</f>
        <v/>
      </c>
      <c r="K4656" s="8">
        <f>IF(G4656="","",G4656+J4656)</f>
        <v/>
      </c>
    </row>
    <row r="4657">
      <c r="F4657" s="8" t="n"/>
      <c r="G4657" s="8">
        <f>IF(E4657="","",E4657*F4657)</f>
        <v/>
      </c>
      <c r="H4657" s="8">
        <f>IF(G4657="","",G4657-I4657)</f>
        <v/>
      </c>
      <c r="I4657" s="8">
        <f>IF(D4657="","",VLOOKUP(D4657, RECETTES!B:G, 6, FALSE)*E4657)</f>
        <v/>
      </c>
      <c r="J4657" s="8">
        <f>IF(G4657="","",G4657*0.20)</f>
        <v/>
      </c>
      <c r="K4657" s="8">
        <f>IF(G4657="","",G4657+J4657)</f>
        <v/>
      </c>
    </row>
    <row r="4658">
      <c r="F4658" s="8" t="n"/>
      <c r="G4658" s="8">
        <f>IF(E4658="","",E4658*F4658)</f>
        <v/>
      </c>
      <c r="H4658" s="8">
        <f>IF(G4658="","",G4658-I4658)</f>
        <v/>
      </c>
      <c r="I4658" s="8">
        <f>IF(D4658="","",VLOOKUP(D4658, RECETTES!B:G, 6, FALSE)*E4658)</f>
        <v/>
      </c>
      <c r="J4658" s="8">
        <f>IF(G4658="","",G4658*0.20)</f>
        <v/>
      </c>
      <c r="K4658" s="8">
        <f>IF(G4658="","",G4658+J4658)</f>
        <v/>
      </c>
    </row>
    <row r="4659">
      <c r="F4659" s="8" t="n"/>
      <c r="G4659" s="8">
        <f>IF(E4659="","",E4659*F4659)</f>
        <v/>
      </c>
      <c r="H4659" s="8">
        <f>IF(G4659="","",G4659-I4659)</f>
        <v/>
      </c>
      <c r="I4659" s="8">
        <f>IF(D4659="","",VLOOKUP(D4659, RECETTES!B:G, 6, FALSE)*E4659)</f>
        <v/>
      </c>
      <c r="J4659" s="8">
        <f>IF(G4659="","",G4659*0.20)</f>
        <v/>
      </c>
      <c r="K4659" s="8">
        <f>IF(G4659="","",G4659+J4659)</f>
        <v/>
      </c>
    </row>
    <row r="4660">
      <c r="F4660" s="8" t="n"/>
      <c r="G4660" s="8">
        <f>IF(E4660="","",E4660*F4660)</f>
        <v/>
      </c>
      <c r="H4660" s="8">
        <f>IF(G4660="","",G4660-I4660)</f>
        <v/>
      </c>
      <c r="I4660" s="8">
        <f>IF(D4660="","",VLOOKUP(D4660, RECETTES!B:G, 6, FALSE)*E4660)</f>
        <v/>
      </c>
      <c r="J4660" s="8">
        <f>IF(G4660="","",G4660*0.20)</f>
        <v/>
      </c>
      <c r="K4660" s="8">
        <f>IF(G4660="","",G4660+J4660)</f>
        <v/>
      </c>
    </row>
    <row r="4661">
      <c r="F4661" s="8" t="n"/>
      <c r="G4661" s="8">
        <f>IF(E4661="","",E4661*F4661)</f>
        <v/>
      </c>
      <c r="H4661" s="8">
        <f>IF(G4661="","",G4661-I4661)</f>
        <v/>
      </c>
      <c r="I4661" s="8">
        <f>IF(D4661="","",VLOOKUP(D4661, RECETTES!B:G, 6, FALSE)*E4661)</f>
        <v/>
      </c>
      <c r="J4661" s="8">
        <f>IF(G4661="","",G4661*0.20)</f>
        <v/>
      </c>
      <c r="K4661" s="8">
        <f>IF(G4661="","",G4661+J4661)</f>
        <v/>
      </c>
    </row>
    <row r="4662">
      <c r="F4662" s="8" t="n"/>
      <c r="G4662" s="8">
        <f>IF(E4662="","",E4662*F4662)</f>
        <v/>
      </c>
      <c r="H4662" s="8">
        <f>IF(G4662="","",G4662-I4662)</f>
        <v/>
      </c>
      <c r="I4662" s="8">
        <f>IF(D4662="","",VLOOKUP(D4662, RECETTES!B:G, 6, FALSE)*E4662)</f>
        <v/>
      </c>
      <c r="J4662" s="8">
        <f>IF(G4662="","",G4662*0.20)</f>
        <v/>
      </c>
      <c r="K4662" s="8">
        <f>IF(G4662="","",G4662+J4662)</f>
        <v/>
      </c>
    </row>
    <row r="4663">
      <c r="F4663" s="8" t="n"/>
      <c r="G4663" s="8">
        <f>IF(E4663="","",E4663*F4663)</f>
        <v/>
      </c>
      <c r="H4663" s="8">
        <f>IF(G4663="","",G4663-I4663)</f>
        <v/>
      </c>
      <c r="I4663" s="8">
        <f>IF(D4663="","",VLOOKUP(D4663, RECETTES!B:G, 6, FALSE)*E4663)</f>
        <v/>
      </c>
      <c r="J4663" s="8">
        <f>IF(G4663="","",G4663*0.20)</f>
        <v/>
      </c>
      <c r="K4663" s="8">
        <f>IF(G4663="","",G4663+J4663)</f>
        <v/>
      </c>
    </row>
    <row r="4664">
      <c r="F4664" s="8" t="n"/>
      <c r="G4664" s="8">
        <f>IF(E4664="","",E4664*F4664)</f>
        <v/>
      </c>
      <c r="H4664" s="8">
        <f>IF(G4664="","",G4664-I4664)</f>
        <v/>
      </c>
      <c r="I4664" s="8">
        <f>IF(D4664="","",VLOOKUP(D4664, RECETTES!B:G, 6, FALSE)*E4664)</f>
        <v/>
      </c>
      <c r="J4664" s="8">
        <f>IF(G4664="","",G4664*0.20)</f>
        <v/>
      </c>
      <c r="K4664" s="8">
        <f>IF(G4664="","",G4664+J4664)</f>
        <v/>
      </c>
    </row>
    <row r="4665">
      <c r="F4665" s="8" t="n"/>
      <c r="G4665" s="8">
        <f>IF(E4665="","",E4665*F4665)</f>
        <v/>
      </c>
      <c r="H4665" s="8">
        <f>IF(G4665="","",G4665-I4665)</f>
        <v/>
      </c>
      <c r="I4665" s="8">
        <f>IF(D4665="","",VLOOKUP(D4665, RECETTES!B:G, 6, FALSE)*E4665)</f>
        <v/>
      </c>
      <c r="J4665" s="8">
        <f>IF(G4665="","",G4665*0.20)</f>
        <v/>
      </c>
      <c r="K4665" s="8">
        <f>IF(G4665="","",G4665+J4665)</f>
        <v/>
      </c>
    </row>
    <row r="4666">
      <c r="F4666" s="8" t="n"/>
      <c r="G4666" s="8">
        <f>IF(E4666="","",E4666*F4666)</f>
        <v/>
      </c>
      <c r="H4666" s="8">
        <f>IF(G4666="","",G4666-I4666)</f>
        <v/>
      </c>
      <c r="I4666" s="8">
        <f>IF(D4666="","",VLOOKUP(D4666, RECETTES!B:G, 6, FALSE)*E4666)</f>
        <v/>
      </c>
      <c r="J4666" s="8">
        <f>IF(G4666="","",G4666*0.20)</f>
        <v/>
      </c>
      <c r="K4666" s="8">
        <f>IF(G4666="","",G4666+J4666)</f>
        <v/>
      </c>
    </row>
    <row r="4667">
      <c r="F4667" s="8" t="n"/>
      <c r="G4667" s="8">
        <f>IF(E4667="","",E4667*F4667)</f>
        <v/>
      </c>
      <c r="H4667" s="8">
        <f>IF(G4667="","",G4667-I4667)</f>
        <v/>
      </c>
      <c r="I4667" s="8">
        <f>IF(D4667="","",VLOOKUP(D4667, RECETTES!B:G, 6, FALSE)*E4667)</f>
        <v/>
      </c>
      <c r="J4667" s="8">
        <f>IF(G4667="","",G4667*0.20)</f>
        <v/>
      </c>
      <c r="K4667" s="8">
        <f>IF(G4667="","",G4667+J4667)</f>
        <v/>
      </c>
    </row>
    <row r="4668">
      <c r="F4668" s="8" t="n"/>
      <c r="G4668" s="8">
        <f>IF(E4668="","",E4668*F4668)</f>
        <v/>
      </c>
      <c r="H4668" s="8">
        <f>IF(G4668="","",G4668-I4668)</f>
        <v/>
      </c>
      <c r="I4668" s="8">
        <f>IF(D4668="","",VLOOKUP(D4668, RECETTES!B:G, 6, FALSE)*E4668)</f>
        <v/>
      </c>
      <c r="J4668" s="8">
        <f>IF(G4668="","",G4668*0.20)</f>
        <v/>
      </c>
      <c r="K4668" s="8">
        <f>IF(G4668="","",G4668+J4668)</f>
        <v/>
      </c>
    </row>
    <row r="4669">
      <c r="F4669" s="8" t="n"/>
      <c r="G4669" s="8">
        <f>IF(E4669="","",E4669*F4669)</f>
        <v/>
      </c>
      <c r="H4669" s="8">
        <f>IF(G4669="","",G4669-I4669)</f>
        <v/>
      </c>
      <c r="I4669" s="8">
        <f>IF(D4669="","",VLOOKUP(D4669, RECETTES!B:G, 6, FALSE)*E4669)</f>
        <v/>
      </c>
      <c r="J4669" s="8">
        <f>IF(G4669="","",G4669*0.20)</f>
        <v/>
      </c>
      <c r="K4669" s="8">
        <f>IF(G4669="","",G4669+J4669)</f>
        <v/>
      </c>
    </row>
    <row r="4670">
      <c r="F4670" s="8" t="n"/>
      <c r="G4670" s="8">
        <f>IF(E4670="","",E4670*F4670)</f>
        <v/>
      </c>
      <c r="H4670" s="8">
        <f>IF(G4670="","",G4670-I4670)</f>
        <v/>
      </c>
      <c r="I4670" s="8">
        <f>IF(D4670="","",VLOOKUP(D4670, RECETTES!B:G, 6, FALSE)*E4670)</f>
        <v/>
      </c>
      <c r="J4670" s="8">
        <f>IF(G4670="","",G4670*0.20)</f>
        <v/>
      </c>
      <c r="K4670" s="8">
        <f>IF(G4670="","",G4670+J4670)</f>
        <v/>
      </c>
    </row>
    <row r="4671">
      <c r="F4671" s="8" t="n"/>
      <c r="G4671" s="8">
        <f>IF(E4671="","",E4671*F4671)</f>
        <v/>
      </c>
      <c r="H4671" s="8">
        <f>IF(G4671="","",G4671-I4671)</f>
        <v/>
      </c>
      <c r="I4671" s="8">
        <f>IF(D4671="","",VLOOKUP(D4671, RECETTES!B:G, 6, FALSE)*E4671)</f>
        <v/>
      </c>
      <c r="J4671" s="8">
        <f>IF(G4671="","",G4671*0.20)</f>
        <v/>
      </c>
      <c r="K4671" s="8">
        <f>IF(G4671="","",G4671+J4671)</f>
        <v/>
      </c>
    </row>
    <row r="4672">
      <c r="F4672" s="8" t="n"/>
      <c r="G4672" s="8">
        <f>IF(E4672="","",E4672*F4672)</f>
        <v/>
      </c>
      <c r="H4672" s="8">
        <f>IF(G4672="","",G4672-I4672)</f>
        <v/>
      </c>
      <c r="I4672" s="8">
        <f>IF(D4672="","",VLOOKUP(D4672, RECETTES!B:G, 6, FALSE)*E4672)</f>
        <v/>
      </c>
      <c r="J4672" s="8">
        <f>IF(G4672="","",G4672*0.20)</f>
        <v/>
      </c>
      <c r="K4672" s="8">
        <f>IF(G4672="","",G4672+J4672)</f>
        <v/>
      </c>
    </row>
    <row r="4673">
      <c r="F4673" s="8" t="n"/>
      <c r="G4673" s="8">
        <f>IF(E4673="","",E4673*F4673)</f>
        <v/>
      </c>
      <c r="H4673" s="8">
        <f>IF(G4673="","",G4673-I4673)</f>
        <v/>
      </c>
      <c r="I4673" s="8">
        <f>IF(D4673="","",VLOOKUP(D4673, RECETTES!B:G, 6, FALSE)*E4673)</f>
        <v/>
      </c>
      <c r="J4673" s="8">
        <f>IF(G4673="","",G4673*0.20)</f>
        <v/>
      </c>
      <c r="K4673" s="8">
        <f>IF(G4673="","",G4673+J4673)</f>
        <v/>
      </c>
    </row>
    <row r="4674">
      <c r="F4674" s="8" t="n"/>
      <c r="G4674" s="8">
        <f>IF(E4674="","",E4674*F4674)</f>
        <v/>
      </c>
      <c r="H4674" s="8">
        <f>IF(G4674="","",G4674-I4674)</f>
        <v/>
      </c>
      <c r="I4674" s="8">
        <f>IF(D4674="","",VLOOKUP(D4674, RECETTES!B:G, 6, FALSE)*E4674)</f>
        <v/>
      </c>
      <c r="J4674" s="8">
        <f>IF(G4674="","",G4674*0.20)</f>
        <v/>
      </c>
      <c r="K4674" s="8">
        <f>IF(G4674="","",G4674+J4674)</f>
        <v/>
      </c>
    </row>
    <row r="4675">
      <c r="F4675" s="8" t="n"/>
      <c r="G4675" s="8">
        <f>IF(E4675="","",E4675*F4675)</f>
        <v/>
      </c>
      <c r="H4675" s="8">
        <f>IF(G4675="","",G4675-I4675)</f>
        <v/>
      </c>
      <c r="I4675" s="8">
        <f>IF(D4675="","",VLOOKUP(D4675, RECETTES!B:G, 6, FALSE)*E4675)</f>
        <v/>
      </c>
      <c r="J4675" s="8">
        <f>IF(G4675="","",G4675*0.20)</f>
        <v/>
      </c>
      <c r="K4675" s="8">
        <f>IF(G4675="","",G4675+J4675)</f>
        <v/>
      </c>
    </row>
    <row r="4676">
      <c r="F4676" s="8" t="n"/>
      <c r="G4676" s="8">
        <f>IF(E4676="","",E4676*F4676)</f>
        <v/>
      </c>
      <c r="H4676" s="8">
        <f>IF(G4676="","",G4676-I4676)</f>
        <v/>
      </c>
      <c r="I4676" s="8">
        <f>IF(D4676="","",VLOOKUP(D4676, RECETTES!B:G, 6, FALSE)*E4676)</f>
        <v/>
      </c>
      <c r="J4676" s="8">
        <f>IF(G4676="","",G4676*0.20)</f>
        <v/>
      </c>
      <c r="K4676" s="8">
        <f>IF(G4676="","",G4676+J4676)</f>
        <v/>
      </c>
    </row>
    <row r="4677">
      <c r="F4677" s="8" t="n"/>
      <c r="G4677" s="8">
        <f>IF(E4677="","",E4677*F4677)</f>
        <v/>
      </c>
      <c r="H4677" s="8">
        <f>IF(G4677="","",G4677-I4677)</f>
        <v/>
      </c>
      <c r="I4677" s="8">
        <f>IF(D4677="","",VLOOKUP(D4677, RECETTES!B:G, 6, FALSE)*E4677)</f>
        <v/>
      </c>
      <c r="J4677" s="8">
        <f>IF(G4677="","",G4677*0.20)</f>
        <v/>
      </c>
      <c r="K4677" s="8">
        <f>IF(G4677="","",G4677+J4677)</f>
        <v/>
      </c>
    </row>
    <row r="4678">
      <c r="F4678" s="8" t="n"/>
      <c r="G4678" s="8">
        <f>IF(E4678="","",E4678*F4678)</f>
        <v/>
      </c>
      <c r="H4678" s="8">
        <f>IF(G4678="","",G4678-I4678)</f>
        <v/>
      </c>
      <c r="I4678" s="8">
        <f>IF(D4678="","",VLOOKUP(D4678, RECETTES!B:G, 6, FALSE)*E4678)</f>
        <v/>
      </c>
      <c r="J4678" s="8">
        <f>IF(G4678="","",G4678*0.20)</f>
        <v/>
      </c>
      <c r="K4678" s="8">
        <f>IF(G4678="","",G4678+J4678)</f>
        <v/>
      </c>
    </row>
    <row r="4679">
      <c r="F4679" s="8" t="n"/>
      <c r="G4679" s="8">
        <f>IF(E4679="","",E4679*F4679)</f>
        <v/>
      </c>
      <c r="H4679" s="8">
        <f>IF(G4679="","",G4679-I4679)</f>
        <v/>
      </c>
      <c r="I4679" s="8">
        <f>IF(D4679="","",VLOOKUP(D4679, RECETTES!B:G, 6, FALSE)*E4679)</f>
        <v/>
      </c>
      <c r="J4679" s="8">
        <f>IF(G4679="","",G4679*0.20)</f>
        <v/>
      </c>
      <c r="K4679" s="8">
        <f>IF(G4679="","",G4679+J4679)</f>
        <v/>
      </c>
    </row>
    <row r="4680">
      <c r="F4680" s="8" t="n"/>
      <c r="G4680" s="8">
        <f>IF(E4680="","",E4680*F4680)</f>
        <v/>
      </c>
      <c r="H4680" s="8">
        <f>IF(G4680="","",G4680-I4680)</f>
        <v/>
      </c>
      <c r="I4680" s="8">
        <f>IF(D4680="","",VLOOKUP(D4680, RECETTES!B:G, 6, FALSE)*E4680)</f>
        <v/>
      </c>
      <c r="J4680" s="8">
        <f>IF(G4680="","",G4680*0.20)</f>
        <v/>
      </c>
      <c r="K4680" s="8">
        <f>IF(G4680="","",G4680+J4680)</f>
        <v/>
      </c>
    </row>
    <row r="4681">
      <c r="F4681" s="8" t="n"/>
      <c r="G4681" s="8">
        <f>IF(E4681="","",E4681*F4681)</f>
        <v/>
      </c>
      <c r="H4681" s="8">
        <f>IF(G4681="","",G4681-I4681)</f>
        <v/>
      </c>
      <c r="I4681" s="8">
        <f>IF(D4681="","",VLOOKUP(D4681, RECETTES!B:G, 6, FALSE)*E4681)</f>
        <v/>
      </c>
      <c r="J4681" s="8">
        <f>IF(G4681="","",G4681*0.20)</f>
        <v/>
      </c>
      <c r="K4681" s="8">
        <f>IF(G4681="","",G4681+J4681)</f>
        <v/>
      </c>
    </row>
    <row r="4682">
      <c r="F4682" s="8" t="n"/>
      <c r="G4682" s="8">
        <f>IF(E4682="","",E4682*F4682)</f>
        <v/>
      </c>
      <c r="H4682" s="8">
        <f>IF(G4682="","",G4682-I4682)</f>
        <v/>
      </c>
      <c r="I4682" s="8">
        <f>IF(D4682="","",VLOOKUP(D4682, RECETTES!B:G, 6, FALSE)*E4682)</f>
        <v/>
      </c>
      <c r="J4682" s="8">
        <f>IF(G4682="","",G4682*0.20)</f>
        <v/>
      </c>
      <c r="K4682" s="8">
        <f>IF(G4682="","",G4682+J4682)</f>
        <v/>
      </c>
    </row>
    <row r="4683">
      <c r="F4683" s="8" t="n"/>
      <c r="G4683" s="8">
        <f>IF(E4683="","",E4683*F4683)</f>
        <v/>
      </c>
      <c r="H4683" s="8">
        <f>IF(G4683="","",G4683-I4683)</f>
        <v/>
      </c>
      <c r="I4683" s="8">
        <f>IF(D4683="","",VLOOKUP(D4683, RECETTES!B:G, 6, FALSE)*E4683)</f>
        <v/>
      </c>
      <c r="J4683" s="8">
        <f>IF(G4683="","",G4683*0.20)</f>
        <v/>
      </c>
      <c r="K4683" s="8">
        <f>IF(G4683="","",G4683+J4683)</f>
        <v/>
      </c>
    </row>
    <row r="4684">
      <c r="F4684" s="8" t="n"/>
      <c r="G4684" s="8">
        <f>IF(E4684="","",E4684*F4684)</f>
        <v/>
      </c>
      <c r="H4684" s="8">
        <f>IF(G4684="","",G4684-I4684)</f>
        <v/>
      </c>
      <c r="I4684" s="8">
        <f>IF(D4684="","",VLOOKUP(D4684, RECETTES!B:G, 6, FALSE)*E4684)</f>
        <v/>
      </c>
      <c r="J4684" s="8">
        <f>IF(G4684="","",G4684*0.20)</f>
        <v/>
      </c>
      <c r="K4684" s="8">
        <f>IF(G4684="","",G4684+J4684)</f>
        <v/>
      </c>
    </row>
    <row r="4685">
      <c r="F4685" s="8" t="n"/>
      <c r="G4685" s="8">
        <f>IF(E4685="","",E4685*F4685)</f>
        <v/>
      </c>
      <c r="H4685" s="8">
        <f>IF(G4685="","",G4685-I4685)</f>
        <v/>
      </c>
      <c r="I4685" s="8">
        <f>IF(D4685="","",VLOOKUP(D4685, RECETTES!B:G, 6, FALSE)*E4685)</f>
        <v/>
      </c>
      <c r="J4685" s="8">
        <f>IF(G4685="","",G4685*0.20)</f>
        <v/>
      </c>
      <c r="K4685" s="8">
        <f>IF(G4685="","",G4685+J4685)</f>
        <v/>
      </c>
    </row>
    <row r="4686">
      <c r="F4686" s="8" t="n"/>
      <c r="G4686" s="8">
        <f>IF(E4686="","",E4686*F4686)</f>
        <v/>
      </c>
      <c r="H4686" s="8">
        <f>IF(G4686="","",G4686-I4686)</f>
        <v/>
      </c>
      <c r="I4686" s="8">
        <f>IF(D4686="","",VLOOKUP(D4686, RECETTES!B:G, 6, FALSE)*E4686)</f>
        <v/>
      </c>
      <c r="J4686" s="8">
        <f>IF(G4686="","",G4686*0.20)</f>
        <v/>
      </c>
      <c r="K4686" s="8">
        <f>IF(G4686="","",G4686+J4686)</f>
        <v/>
      </c>
    </row>
    <row r="4687">
      <c r="F4687" s="8" t="n"/>
      <c r="G4687" s="8">
        <f>IF(E4687="","",E4687*F4687)</f>
        <v/>
      </c>
      <c r="H4687" s="8">
        <f>IF(G4687="","",G4687-I4687)</f>
        <v/>
      </c>
      <c r="I4687" s="8">
        <f>IF(D4687="","",VLOOKUP(D4687, RECETTES!B:G, 6, FALSE)*E4687)</f>
        <v/>
      </c>
      <c r="J4687" s="8">
        <f>IF(G4687="","",G4687*0.20)</f>
        <v/>
      </c>
      <c r="K4687" s="8">
        <f>IF(G4687="","",G4687+J4687)</f>
        <v/>
      </c>
    </row>
    <row r="4688">
      <c r="F4688" s="8" t="n"/>
      <c r="G4688" s="8">
        <f>IF(E4688="","",E4688*F4688)</f>
        <v/>
      </c>
      <c r="H4688" s="8">
        <f>IF(G4688="","",G4688-I4688)</f>
        <v/>
      </c>
      <c r="I4688" s="8">
        <f>IF(D4688="","",VLOOKUP(D4688, RECETTES!B:G, 6, FALSE)*E4688)</f>
        <v/>
      </c>
      <c r="J4688" s="8">
        <f>IF(G4688="","",G4688*0.20)</f>
        <v/>
      </c>
      <c r="K4688" s="8">
        <f>IF(G4688="","",G4688+J4688)</f>
        <v/>
      </c>
    </row>
    <row r="4689">
      <c r="F4689" s="8" t="n"/>
      <c r="G4689" s="8">
        <f>IF(E4689="","",E4689*F4689)</f>
        <v/>
      </c>
      <c r="H4689" s="8">
        <f>IF(G4689="","",G4689-I4689)</f>
        <v/>
      </c>
      <c r="I4689" s="8">
        <f>IF(D4689="","",VLOOKUP(D4689, RECETTES!B:G, 6, FALSE)*E4689)</f>
        <v/>
      </c>
      <c r="J4689" s="8">
        <f>IF(G4689="","",G4689*0.20)</f>
        <v/>
      </c>
      <c r="K4689" s="8">
        <f>IF(G4689="","",G4689+J4689)</f>
        <v/>
      </c>
    </row>
    <row r="4690">
      <c r="F4690" s="8" t="n"/>
      <c r="G4690" s="8">
        <f>IF(E4690="","",E4690*F4690)</f>
        <v/>
      </c>
      <c r="H4690" s="8">
        <f>IF(G4690="","",G4690-I4690)</f>
        <v/>
      </c>
      <c r="I4690" s="8">
        <f>IF(D4690="","",VLOOKUP(D4690, RECETTES!B:G, 6, FALSE)*E4690)</f>
        <v/>
      </c>
      <c r="J4690" s="8">
        <f>IF(G4690="","",G4690*0.20)</f>
        <v/>
      </c>
      <c r="K4690" s="8">
        <f>IF(G4690="","",G4690+J4690)</f>
        <v/>
      </c>
    </row>
    <row r="4691">
      <c r="F4691" s="8" t="n"/>
      <c r="G4691" s="8">
        <f>IF(E4691="","",E4691*F4691)</f>
        <v/>
      </c>
      <c r="H4691" s="8">
        <f>IF(G4691="","",G4691-I4691)</f>
        <v/>
      </c>
      <c r="I4691" s="8">
        <f>IF(D4691="","",VLOOKUP(D4691, RECETTES!B:G, 6, FALSE)*E4691)</f>
        <v/>
      </c>
      <c r="J4691" s="8">
        <f>IF(G4691="","",G4691*0.20)</f>
        <v/>
      </c>
      <c r="K4691" s="8">
        <f>IF(G4691="","",G4691+J4691)</f>
        <v/>
      </c>
    </row>
    <row r="4692">
      <c r="F4692" s="8" t="n"/>
      <c r="G4692" s="8">
        <f>IF(E4692="","",E4692*F4692)</f>
        <v/>
      </c>
      <c r="H4692" s="8">
        <f>IF(G4692="","",G4692-I4692)</f>
        <v/>
      </c>
      <c r="I4692" s="8">
        <f>IF(D4692="","",VLOOKUP(D4692, RECETTES!B:G, 6, FALSE)*E4692)</f>
        <v/>
      </c>
      <c r="J4692" s="8">
        <f>IF(G4692="","",G4692*0.20)</f>
        <v/>
      </c>
      <c r="K4692" s="8">
        <f>IF(G4692="","",G4692+J4692)</f>
        <v/>
      </c>
    </row>
    <row r="4693">
      <c r="F4693" s="8" t="n"/>
      <c r="G4693" s="8">
        <f>IF(E4693="","",E4693*F4693)</f>
        <v/>
      </c>
      <c r="H4693" s="8">
        <f>IF(G4693="","",G4693-I4693)</f>
        <v/>
      </c>
      <c r="I4693" s="8">
        <f>IF(D4693="","",VLOOKUP(D4693, RECETTES!B:G, 6, FALSE)*E4693)</f>
        <v/>
      </c>
      <c r="J4693" s="8">
        <f>IF(G4693="","",G4693*0.20)</f>
        <v/>
      </c>
      <c r="K4693" s="8">
        <f>IF(G4693="","",G4693+J4693)</f>
        <v/>
      </c>
    </row>
    <row r="4694">
      <c r="F4694" s="8" t="n"/>
      <c r="G4694" s="8">
        <f>IF(E4694="","",E4694*F4694)</f>
        <v/>
      </c>
      <c r="H4694" s="8">
        <f>IF(G4694="","",G4694-I4694)</f>
        <v/>
      </c>
      <c r="I4694" s="8">
        <f>IF(D4694="","",VLOOKUP(D4694, RECETTES!B:G, 6, FALSE)*E4694)</f>
        <v/>
      </c>
      <c r="J4694" s="8">
        <f>IF(G4694="","",G4694*0.20)</f>
        <v/>
      </c>
      <c r="K4694" s="8">
        <f>IF(G4694="","",G4694+J4694)</f>
        <v/>
      </c>
    </row>
    <row r="4695">
      <c r="F4695" s="8" t="n"/>
      <c r="G4695" s="8">
        <f>IF(E4695="","",E4695*F4695)</f>
        <v/>
      </c>
      <c r="H4695" s="8">
        <f>IF(G4695="","",G4695-I4695)</f>
        <v/>
      </c>
      <c r="I4695" s="8">
        <f>IF(D4695="","",VLOOKUP(D4695, RECETTES!B:G, 6, FALSE)*E4695)</f>
        <v/>
      </c>
      <c r="J4695" s="8">
        <f>IF(G4695="","",G4695*0.20)</f>
        <v/>
      </c>
      <c r="K4695" s="8">
        <f>IF(G4695="","",G4695+J4695)</f>
        <v/>
      </c>
    </row>
    <row r="4696">
      <c r="F4696" s="8" t="n"/>
      <c r="G4696" s="8">
        <f>IF(E4696="","",E4696*F4696)</f>
        <v/>
      </c>
      <c r="H4696" s="8">
        <f>IF(G4696="","",G4696-I4696)</f>
        <v/>
      </c>
      <c r="I4696" s="8">
        <f>IF(D4696="","",VLOOKUP(D4696, RECETTES!B:G, 6, FALSE)*E4696)</f>
        <v/>
      </c>
      <c r="J4696" s="8">
        <f>IF(G4696="","",G4696*0.20)</f>
        <v/>
      </c>
      <c r="K4696" s="8">
        <f>IF(G4696="","",G4696+J4696)</f>
        <v/>
      </c>
    </row>
    <row r="4697">
      <c r="F4697" s="8" t="n"/>
      <c r="G4697" s="8">
        <f>IF(E4697="","",E4697*F4697)</f>
        <v/>
      </c>
      <c r="H4697" s="8">
        <f>IF(G4697="","",G4697-I4697)</f>
        <v/>
      </c>
      <c r="I4697" s="8">
        <f>IF(D4697="","",VLOOKUP(D4697, RECETTES!B:G, 6, FALSE)*E4697)</f>
        <v/>
      </c>
      <c r="J4697" s="8">
        <f>IF(G4697="","",G4697*0.20)</f>
        <v/>
      </c>
      <c r="K4697" s="8">
        <f>IF(G4697="","",G4697+J4697)</f>
        <v/>
      </c>
    </row>
    <row r="4698">
      <c r="F4698" s="8" t="n"/>
      <c r="G4698" s="8">
        <f>IF(E4698="","",E4698*F4698)</f>
        <v/>
      </c>
      <c r="H4698" s="8">
        <f>IF(G4698="","",G4698-I4698)</f>
        <v/>
      </c>
      <c r="I4698" s="8">
        <f>IF(D4698="","",VLOOKUP(D4698, RECETTES!B:G, 6, FALSE)*E4698)</f>
        <v/>
      </c>
      <c r="J4698" s="8">
        <f>IF(G4698="","",G4698*0.20)</f>
        <v/>
      </c>
      <c r="K4698" s="8">
        <f>IF(G4698="","",G4698+J4698)</f>
        <v/>
      </c>
    </row>
    <row r="4699">
      <c r="F4699" s="8" t="n"/>
      <c r="G4699" s="8">
        <f>IF(E4699="","",E4699*F4699)</f>
        <v/>
      </c>
      <c r="H4699" s="8">
        <f>IF(G4699="","",G4699-I4699)</f>
        <v/>
      </c>
      <c r="I4699" s="8">
        <f>IF(D4699="","",VLOOKUP(D4699, RECETTES!B:G, 6, FALSE)*E4699)</f>
        <v/>
      </c>
      <c r="J4699" s="8">
        <f>IF(G4699="","",G4699*0.20)</f>
        <v/>
      </c>
      <c r="K4699" s="8">
        <f>IF(G4699="","",G4699+J4699)</f>
        <v/>
      </c>
    </row>
    <row r="4700">
      <c r="F4700" s="8" t="n"/>
      <c r="G4700" s="8">
        <f>IF(E4700="","",E4700*F4700)</f>
        <v/>
      </c>
      <c r="H4700" s="8">
        <f>IF(G4700="","",G4700-I4700)</f>
        <v/>
      </c>
      <c r="I4700" s="8">
        <f>IF(D4700="","",VLOOKUP(D4700, RECETTES!B:G, 6, FALSE)*E4700)</f>
        <v/>
      </c>
      <c r="J4700" s="8">
        <f>IF(G4700="","",G4700*0.20)</f>
        <v/>
      </c>
      <c r="K4700" s="8">
        <f>IF(G4700="","",G4700+J4700)</f>
        <v/>
      </c>
    </row>
    <row r="4701">
      <c r="F4701" s="8" t="n"/>
      <c r="G4701" s="8">
        <f>IF(E4701="","",E4701*F4701)</f>
        <v/>
      </c>
      <c r="H4701" s="8">
        <f>IF(G4701="","",G4701-I4701)</f>
        <v/>
      </c>
      <c r="I4701" s="8">
        <f>IF(D4701="","",VLOOKUP(D4701, RECETTES!B:G, 6, FALSE)*E4701)</f>
        <v/>
      </c>
      <c r="J4701" s="8">
        <f>IF(G4701="","",G4701*0.20)</f>
        <v/>
      </c>
      <c r="K4701" s="8">
        <f>IF(G4701="","",G4701+J4701)</f>
        <v/>
      </c>
    </row>
    <row r="4702">
      <c r="F4702" s="8" t="n"/>
      <c r="G4702" s="8">
        <f>IF(E4702="","",E4702*F4702)</f>
        <v/>
      </c>
      <c r="H4702" s="8">
        <f>IF(G4702="","",G4702-I4702)</f>
        <v/>
      </c>
      <c r="I4702" s="8">
        <f>IF(D4702="","",VLOOKUP(D4702, RECETTES!B:G, 6, FALSE)*E4702)</f>
        <v/>
      </c>
      <c r="J4702" s="8">
        <f>IF(G4702="","",G4702*0.20)</f>
        <v/>
      </c>
      <c r="K4702" s="8">
        <f>IF(G4702="","",G4702+J4702)</f>
        <v/>
      </c>
    </row>
    <row r="4703">
      <c r="F4703" s="8" t="n"/>
      <c r="G4703" s="8">
        <f>IF(E4703="","",E4703*F4703)</f>
        <v/>
      </c>
      <c r="H4703" s="8">
        <f>IF(G4703="","",G4703-I4703)</f>
        <v/>
      </c>
      <c r="I4703" s="8">
        <f>IF(D4703="","",VLOOKUP(D4703, RECETTES!B:G, 6, FALSE)*E4703)</f>
        <v/>
      </c>
      <c r="J4703" s="8">
        <f>IF(G4703="","",G4703*0.20)</f>
        <v/>
      </c>
      <c r="K4703" s="8">
        <f>IF(G4703="","",G4703+J4703)</f>
        <v/>
      </c>
    </row>
    <row r="4704">
      <c r="F4704" s="8" t="n"/>
      <c r="G4704" s="8">
        <f>IF(E4704="","",E4704*F4704)</f>
        <v/>
      </c>
      <c r="H4704" s="8">
        <f>IF(G4704="","",G4704-I4704)</f>
        <v/>
      </c>
      <c r="I4704" s="8">
        <f>IF(D4704="","",VLOOKUP(D4704, RECETTES!B:G, 6, FALSE)*E4704)</f>
        <v/>
      </c>
      <c r="J4704" s="8">
        <f>IF(G4704="","",G4704*0.20)</f>
        <v/>
      </c>
      <c r="K4704" s="8">
        <f>IF(G4704="","",G4704+J4704)</f>
        <v/>
      </c>
    </row>
    <row r="4705">
      <c r="F4705" s="8" t="n"/>
      <c r="G4705" s="8">
        <f>IF(E4705="","",E4705*F4705)</f>
        <v/>
      </c>
      <c r="H4705" s="8">
        <f>IF(G4705="","",G4705-I4705)</f>
        <v/>
      </c>
      <c r="I4705" s="8">
        <f>IF(D4705="","",VLOOKUP(D4705, RECETTES!B:G, 6, FALSE)*E4705)</f>
        <v/>
      </c>
      <c r="J4705" s="8">
        <f>IF(G4705="","",G4705*0.20)</f>
        <v/>
      </c>
      <c r="K4705" s="8">
        <f>IF(G4705="","",G4705+J4705)</f>
        <v/>
      </c>
    </row>
    <row r="4706">
      <c r="F4706" s="8" t="n"/>
      <c r="G4706" s="8">
        <f>IF(E4706="","",E4706*F4706)</f>
        <v/>
      </c>
      <c r="H4706" s="8">
        <f>IF(G4706="","",G4706-I4706)</f>
        <v/>
      </c>
      <c r="I4706" s="8">
        <f>IF(D4706="","",VLOOKUP(D4706, RECETTES!B:G, 6, FALSE)*E4706)</f>
        <v/>
      </c>
      <c r="J4706" s="8">
        <f>IF(G4706="","",G4706*0.20)</f>
        <v/>
      </c>
      <c r="K4706" s="8">
        <f>IF(G4706="","",G4706+J4706)</f>
        <v/>
      </c>
    </row>
    <row r="4707">
      <c r="F4707" s="8" t="n"/>
      <c r="G4707" s="8">
        <f>IF(E4707="","",E4707*F4707)</f>
        <v/>
      </c>
      <c r="H4707" s="8">
        <f>IF(G4707="","",G4707-I4707)</f>
        <v/>
      </c>
      <c r="I4707" s="8">
        <f>IF(D4707="","",VLOOKUP(D4707, RECETTES!B:G, 6, FALSE)*E4707)</f>
        <v/>
      </c>
      <c r="J4707" s="8">
        <f>IF(G4707="","",G4707*0.20)</f>
        <v/>
      </c>
      <c r="K4707" s="8">
        <f>IF(G4707="","",G4707+J4707)</f>
        <v/>
      </c>
    </row>
    <row r="4708">
      <c r="F4708" s="8" t="n"/>
      <c r="G4708" s="8">
        <f>IF(E4708="","",E4708*F4708)</f>
        <v/>
      </c>
      <c r="H4708" s="8">
        <f>IF(G4708="","",G4708-I4708)</f>
        <v/>
      </c>
      <c r="I4708" s="8">
        <f>IF(D4708="","",VLOOKUP(D4708, RECETTES!B:G, 6, FALSE)*E4708)</f>
        <v/>
      </c>
      <c r="J4708" s="8">
        <f>IF(G4708="","",G4708*0.20)</f>
        <v/>
      </c>
      <c r="K4708" s="8">
        <f>IF(G4708="","",G4708+J4708)</f>
        <v/>
      </c>
    </row>
    <row r="4709">
      <c r="F4709" s="8" t="n"/>
      <c r="G4709" s="8">
        <f>IF(E4709="","",E4709*F4709)</f>
        <v/>
      </c>
      <c r="H4709" s="8">
        <f>IF(G4709="","",G4709-I4709)</f>
        <v/>
      </c>
      <c r="I4709" s="8">
        <f>IF(D4709="","",VLOOKUP(D4709, RECETTES!B:G, 6, FALSE)*E4709)</f>
        <v/>
      </c>
      <c r="J4709" s="8">
        <f>IF(G4709="","",G4709*0.20)</f>
        <v/>
      </c>
      <c r="K4709" s="8">
        <f>IF(G4709="","",G4709+J4709)</f>
        <v/>
      </c>
    </row>
    <row r="4710">
      <c r="F4710" s="8" t="n"/>
      <c r="G4710" s="8">
        <f>IF(E4710="","",E4710*F4710)</f>
        <v/>
      </c>
      <c r="H4710" s="8">
        <f>IF(G4710="","",G4710-I4710)</f>
        <v/>
      </c>
      <c r="I4710" s="8">
        <f>IF(D4710="","",VLOOKUP(D4710, RECETTES!B:G, 6, FALSE)*E4710)</f>
        <v/>
      </c>
      <c r="J4710" s="8">
        <f>IF(G4710="","",G4710*0.20)</f>
        <v/>
      </c>
      <c r="K4710" s="8">
        <f>IF(G4710="","",G4710+J4710)</f>
        <v/>
      </c>
    </row>
    <row r="4711">
      <c r="F4711" s="8" t="n"/>
      <c r="G4711" s="8">
        <f>IF(E4711="","",E4711*F4711)</f>
        <v/>
      </c>
      <c r="H4711" s="8">
        <f>IF(G4711="","",G4711-I4711)</f>
        <v/>
      </c>
      <c r="I4711" s="8">
        <f>IF(D4711="","",VLOOKUP(D4711, RECETTES!B:G, 6, FALSE)*E4711)</f>
        <v/>
      </c>
      <c r="J4711" s="8">
        <f>IF(G4711="","",G4711*0.20)</f>
        <v/>
      </c>
      <c r="K4711" s="8">
        <f>IF(G4711="","",G4711+J4711)</f>
        <v/>
      </c>
    </row>
    <row r="4712">
      <c r="F4712" s="8" t="n"/>
      <c r="G4712" s="8">
        <f>IF(E4712="","",E4712*F4712)</f>
        <v/>
      </c>
      <c r="H4712" s="8">
        <f>IF(G4712="","",G4712-I4712)</f>
        <v/>
      </c>
      <c r="I4712" s="8">
        <f>IF(D4712="","",VLOOKUP(D4712, RECETTES!B:G, 6, FALSE)*E4712)</f>
        <v/>
      </c>
      <c r="J4712" s="8">
        <f>IF(G4712="","",G4712*0.20)</f>
        <v/>
      </c>
      <c r="K4712" s="8">
        <f>IF(G4712="","",G4712+J4712)</f>
        <v/>
      </c>
    </row>
    <row r="4713">
      <c r="F4713" s="8" t="n"/>
      <c r="G4713" s="8">
        <f>IF(E4713="","",E4713*F4713)</f>
        <v/>
      </c>
      <c r="H4713" s="8">
        <f>IF(G4713="","",G4713-I4713)</f>
        <v/>
      </c>
      <c r="I4713" s="8">
        <f>IF(D4713="","",VLOOKUP(D4713, RECETTES!B:G, 6, FALSE)*E4713)</f>
        <v/>
      </c>
      <c r="J4713" s="8">
        <f>IF(G4713="","",G4713*0.20)</f>
        <v/>
      </c>
      <c r="K4713" s="8">
        <f>IF(G4713="","",G4713+J4713)</f>
        <v/>
      </c>
    </row>
    <row r="4714">
      <c r="F4714" s="8" t="n"/>
      <c r="G4714" s="8">
        <f>IF(E4714="","",E4714*F4714)</f>
        <v/>
      </c>
      <c r="H4714" s="8">
        <f>IF(G4714="","",G4714-I4714)</f>
        <v/>
      </c>
      <c r="I4714" s="8">
        <f>IF(D4714="","",VLOOKUP(D4714, RECETTES!B:G, 6, FALSE)*E4714)</f>
        <v/>
      </c>
      <c r="J4714" s="8">
        <f>IF(G4714="","",G4714*0.20)</f>
        <v/>
      </c>
      <c r="K4714" s="8">
        <f>IF(G4714="","",G4714+J4714)</f>
        <v/>
      </c>
    </row>
    <row r="4715">
      <c r="F4715" s="8" t="n"/>
      <c r="G4715" s="8">
        <f>IF(E4715="","",E4715*F4715)</f>
        <v/>
      </c>
      <c r="H4715" s="8">
        <f>IF(G4715="","",G4715-I4715)</f>
        <v/>
      </c>
      <c r="I4715" s="8">
        <f>IF(D4715="","",VLOOKUP(D4715, RECETTES!B:G, 6, FALSE)*E4715)</f>
        <v/>
      </c>
      <c r="J4715" s="8">
        <f>IF(G4715="","",G4715*0.20)</f>
        <v/>
      </c>
      <c r="K4715" s="8">
        <f>IF(G4715="","",G4715+J4715)</f>
        <v/>
      </c>
    </row>
    <row r="4716">
      <c r="F4716" s="8" t="n"/>
      <c r="G4716" s="8">
        <f>IF(E4716="","",E4716*F4716)</f>
        <v/>
      </c>
      <c r="H4716" s="8">
        <f>IF(G4716="","",G4716-I4716)</f>
        <v/>
      </c>
      <c r="I4716" s="8">
        <f>IF(D4716="","",VLOOKUP(D4716, RECETTES!B:G, 6, FALSE)*E4716)</f>
        <v/>
      </c>
      <c r="J4716" s="8">
        <f>IF(G4716="","",G4716*0.20)</f>
        <v/>
      </c>
      <c r="K4716" s="8">
        <f>IF(G4716="","",G4716+J4716)</f>
        <v/>
      </c>
    </row>
    <row r="4717">
      <c r="F4717" s="8" t="n"/>
      <c r="G4717" s="8">
        <f>IF(E4717="","",E4717*F4717)</f>
        <v/>
      </c>
      <c r="H4717" s="8">
        <f>IF(G4717="","",G4717-I4717)</f>
        <v/>
      </c>
      <c r="I4717" s="8">
        <f>IF(D4717="","",VLOOKUP(D4717, RECETTES!B:G, 6, FALSE)*E4717)</f>
        <v/>
      </c>
      <c r="J4717" s="8">
        <f>IF(G4717="","",G4717*0.20)</f>
        <v/>
      </c>
      <c r="K4717" s="8">
        <f>IF(G4717="","",G4717+J4717)</f>
        <v/>
      </c>
    </row>
    <row r="4718">
      <c r="F4718" s="8" t="n"/>
      <c r="G4718" s="8">
        <f>IF(E4718="","",E4718*F4718)</f>
        <v/>
      </c>
      <c r="H4718" s="8">
        <f>IF(G4718="","",G4718-I4718)</f>
        <v/>
      </c>
      <c r="I4718" s="8">
        <f>IF(D4718="","",VLOOKUP(D4718, RECETTES!B:G, 6, FALSE)*E4718)</f>
        <v/>
      </c>
      <c r="J4718" s="8">
        <f>IF(G4718="","",G4718*0.20)</f>
        <v/>
      </c>
      <c r="K4718" s="8">
        <f>IF(G4718="","",G4718+J4718)</f>
        <v/>
      </c>
    </row>
    <row r="4719">
      <c r="F4719" s="8" t="n"/>
      <c r="G4719" s="8">
        <f>IF(E4719="","",E4719*F4719)</f>
        <v/>
      </c>
      <c r="H4719" s="8">
        <f>IF(G4719="","",G4719-I4719)</f>
        <v/>
      </c>
      <c r="I4719" s="8">
        <f>IF(D4719="","",VLOOKUP(D4719, RECETTES!B:G, 6, FALSE)*E4719)</f>
        <v/>
      </c>
      <c r="J4719" s="8">
        <f>IF(G4719="","",G4719*0.20)</f>
        <v/>
      </c>
      <c r="K4719" s="8">
        <f>IF(G4719="","",G4719+J4719)</f>
        <v/>
      </c>
    </row>
    <row r="4720">
      <c r="F4720" s="8" t="n"/>
      <c r="G4720" s="8">
        <f>IF(E4720="","",E4720*F4720)</f>
        <v/>
      </c>
      <c r="H4720" s="8">
        <f>IF(G4720="","",G4720-I4720)</f>
        <v/>
      </c>
      <c r="I4720" s="8">
        <f>IF(D4720="","",VLOOKUP(D4720, RECETTES!B:G, 6, FALSE)*E4720)</f>
        <v/>
      </c>
      <c r="J4720" s="8">
        <f>IF(G4720="","",G4720*0.20)</f>
        <v/>
      </c>
      <c r="K4720" s="8">
        <f>IF(G4720="","",G4720+J4720)</f>
        <v/>
      </c>
    </row>
    <row r="4721">
      <c r="F4721" s="8" t="n"/>
      <c r="G4721" s="8">
        <f>IF(E4721="","",E4721*F4721)</f>
        <v/>
      </c>
      <c r="H4721" s="8">
        <f>IF(G4721="","",G4721-I4721)</f>
        <v/>
      </c>
      <c r="I4721" s="8">
        <f>IF(D4721="","",VLOOKUP(D4721, RECETTES!B:G, 6, FALSE)*E4721)</f>
        <v/>
      </c>
      <c r="J4721" s="8">
        <f>IF(G4721="","",G4721*0.20)</f>
        <v/>
      </c>
      <c r="K4721" s="8">
        <f>IF(G4721="","",G4721+J4721)</f>
        <v/>
      </c>
    </row>
    <row r="4722">
      <c r="F4722" s="8" t="n"/>
      <c r="G4722" s="8">
        <f>IF(E4722="","",E4722*F4722)</f>
        <v/>
      </c>
      <c r="H4722" s="8">
        <f>IF(G4722="","",G4722-I4722)</f>
        <v/>
      </c>
      <c r="I4722" s="8">
        <f>IF(D4722="","",VLOOKUP(D4722, RECETTES!B:G, 6, FALSE)*E4722)</f>
        <v/>
      </c>
      <c r="J4722" s="8">
        <f>IF(G4722="","",G4722*0.20)</f>
        <v/>
      </c>
      <c r="K4722" s="8">
        <f>IF(G4722="","",G4722+J4722)</f>
        <v/>
      </c>
    </row>
    <row r="4723">
      <c r="F4723" s="8" t="n"/>
      <c r="G4723" s="8">
        <f>IF(E4723="","",E4723*F4723)</f>
        <v/>
      </c>
      <c r="H4723" s="8">
        <f>IF(G4723="","",G4723-I4723)</f>
        <v/>
      </c>
      <c r="I4723" s="8">
        <f>IF(D4723="","",VLOOKUP(D4723, RECETTES!B:G, 6, FALSE)*E4723)</f>
        <v/>
      </c>
      <c r="J4723" s="8">
        <f>IF(G4723="","",G4723*0.20)</f>
        <v/>
      </c>
      <c r="K4723" s="8">
        <f>IF(G4723="","",G4723+J4723)</f>
        <v/>
      </c>
    </row>
    <row r="4724">
      <c r="F4724" s="8" t="n"/>
      <c r="G4724" s="8">
        <f>IF(E4724="","",E4724*F4724)</f>
        <v/>
      </c>
      <c r="H4724" s="8">
        <f>IF(G4724="","",G4724-I4724)</f>
        <v/>
      </c>
      <c r="I4724" s="8">
        <f>IF(D4724="","",VLOOKUP(D4724, RECETTES!B:G, 6, FALSE)*E4724)</f>
        <v/>
      </c>
      <c r="J4724" s="8">
        <f>IF(G4724="","",G4724*0.20)</f>
        <v/>
      </c>
      <c r="K4724" s="8">
        <f>IF(G4724="","",G4724+J4724)</f>
        <v/>
      </c>
    </row>
    <row r="4725">
      <c r="F4725" s="8" t="n"/>
      <c r="G4725" s="8">
        <f>IF(E4725="","",E4725*F4725)</f>
        <v/>
      </c>
      <c r="H4725" s="8">
        <f>IF(G4725="","",G4725-I4725)</f>
        <v/>
      </c>
      <c r="I4725" s="8">
        <f>IF(D4725="","",VLOOKUP(D4725, RECETTES!B:G, 6, FALSE)*E4725)</f>
        <v/>
      </c>
      <c r="J4725" s="8">
        <f>IF(G4725="","",G4725*0.20)</f>
        <v/>
      </c>
      <c r="K4725" s="8">
        <f>IF(G4725="","",G4725+J4725)</f>
        <v/>
      </c>
    </row>
    <row r="4726">
      <c r="F4726" s="8" t="n"/>
      <c r="G4726" s="8">
        <f>IF(E4726="","",E4726*F4726)</f>
        <v/>
      </c>
      <c r="H4726" s="8">
        <f>IF(G4726="","",G4726-I4726)</f>
        <v/>
      </c>
      <c r="I4726" s="8">
        <f>IF(D4726="","",VLOOKUP(D4726, RECETTES!B:G, 6, FALSE)*E4726)</f>
        <v/>
      </c>
      <c r="J4726" s="8">
        <f>IF(G4726="","",G4726*0.20)</f>
        <v/>
      </c>
      <c r="K4726" s="8">
        <f>IF(G4726="","",G4726+J4726)</f>
        <v/>
      </c>
    </row>
    <row r="4727">
      <c r="F4727" s="8" t="n"/>
      <c r="G4727" s="8">
        <f>IF(E4727="","",E4727*F4727)</f>
        <v/>
      </c>
      <c r="H4727" s="8">
        <f>IF(G4727="","",G4727-I4727)</f>
        <v/>
      </c>
      <c r="I4727" s="8">
        <f>IF(D4727="","",VLOOKUP(D4727, RECETTES!B:G, 6, FALSE)*E4727)</f>
        <v/>
      </c>
      <c r="J4727" s="8">
        <f>IF(G4727="","",G4727*0.20)</f>
        <v/>
      </c>
      <c r="K4727" s="8">
        <f>IF(G4727="","",G4727+J4727)</f>
        <v/>
      </c>
    </row>
    <row r="4728">
      <c r="F4728" s="8" t="n"/>
      <c r="G4728" s="8">
        <f>IF(E4728="","",E4728*F4728)</f>
        <v/>
      </c>
      <c r="H4728" s="8">
        <f>IF(G4728="","",G4728-I4728)</f>
        <v/>
      </c>
      <c r="I4728" s="8">
        <f>IF(D4728="","",VLOOKUP(D4728, RECETTES!B:G, 6, FALSE)*E4728)</f>
        <v/>
      </c>
      <c r="J4728" s="8">
        <f>IF(G4728="","",G4728*0.20)</f>
        <v/>
      </c>
      <c r="K4728" s="8">
        <f>IF(G4728="","",G4728+J4728)</f>
        <v/>
      </c>
    </row>
    <row r="4729">
      <c r="F4729" s="8" t="n"/>
      <c r="G4729" s="8">
        <f>IF(E4729="","",E4729*F4729)</f>
        <v/>
      </c>
      <c r="H4729" s="8">
        <f>IF(G4729="","",G4729-I4729)</f>
        <v/>
      </c>
      <c r="I4729" s="8">
        <f>IF(D4729="","",VLOOKUP(D4729, RECETTES!B:G, 6, FALSE)*E4729)</f>
        <v/>
      </c>
      <c r="J4729" s="8">
        <f>IF(G4729="","",G4729*0.20)</f>
        <v/>
      </c>
      <c r="K4729" s="8">
        <f>IF(G4729="","",G4729+J4729)</f>
        <v/>
      </c>
    </row>
    <row r="4730">
      <c r="F4730" s="8" t="n"/>
      <c r="G4730" s="8">
        <f>IF(E4730="","",E4730*F4730)</f>
        <v/>
      </c>
      <c r="H4730" s="8">
        <f>IF(G4730="","",G4730-I4730)</f>
        <v/>
      </c>
      <c r="I4730" s="8">
        <f>IF(D4730="","",VLOOKUP(D4730, RECETTES!B:G, 6, FALSE)*E4730)</f>
        <v/>
      </c>
      <c r="J4730" s="8">
        <f>IF(G4730="","",G4730*0.20)</f>
        <v/>
      </c>
      <c r="K4730" s="8">
        <f>IF(G4730="","",G4730+J4730)</f>
        <v/>
      </c>
    </row>
    <row r="4731">
      <c r="F4731" s="8" t="n"/>
      <c r="G4731" s="8">
        <f>IF(E4731="","",E4731*F4731)</f>
        <v/>
      </c>
      <c r="H4731" s="8">
        <f>IF(G4731="","",G4731-I4731)</f>
        <v/>
      </c>
      <c r="I4731" s="8">
        <f>IF(D4731="","",VLOOKUP(D4731, RECETTES!B:G, 6, FALSE)*E4731)</f>
        <v/>
      </c>
      <c r="J4731" s="8">
        <f>IF(G4731="","",G4731*0.20)</f>
        <v/>
      </c>
      <c r="K4731" s="8">
        <f>IF(G4731="","",G4731+J4731)</f>
        <v/>
      </c>
    </row>
    <row r="4732">
      <c r="F4732" s="8" t="n"/>
      <c r="G4732" s="8">
        <f>IF(E4732="","",E4732*F4732)</f>
        <v/>
      </c>
      <c r="H4732" s="8">
        <f>IF(G4732="","",G4732-I4732)</f>
        <v/>
      </c>
      <c r="I4732" s="8">
        <f>IF(D4732="","",VLOOKUP(D4732, RECETTES!B:G, 6, FALSE)*E4732)</f>
        <v/>
      </c>
      <c r="J4732" s="8">
        <f>IF(G4732="","",G4732*0.20)</f>
        <v/>
      </c>
      <c r="K4732" s="8">
        <f>IF(G4732="","",G4732+J4732)</f>
        <v/>
      </c>
    </row>
    <row r="4733">
      <c r="F4733" s="8" t="n"/>
      <c r="G4733" s="8">
        <f>IF(E4733="","",E4733*F4733)</f>
        <v/>
      </c>
      <c r="H4733" s="8">
        <f>IF(G4733="","",G4733-I4733)</f>
        <v/>
      </c>
      <c r="I4733" s="8">
        <f>IF(D4733="","",VLOOKUP(D4733, RECETTES!B:G, 6, FALSE)*E4733)</f>
        <v/>
      </c>
      <c r="J4733" s="8">
        <f>IF(G4733="","",G4733*0.20)</f>
        <v/>
      </c>
      <c r="K4733" s="8">
        <f>IF(G4733="","",G4733+J4733)</f>
        <v/>
      </c>
    </row>
    <row r="4734">
      <c r="F4734" s="8" t="n"/>
      <c r="G4734" s="8">
        <f>IF(E4734="","",E4734*F4734)</f>
        <v/>
      </c>
      <c r="H4734" s="8">
        <f>IF(G4734="","",G4734-I4734)</f>
        <v/>
      </c>
      <c r="I4734" s="8">
        <f>IF(D4734="","",VLOOKUP(D4734, RECETTES!B:G, 6, FALSE)*E4734)</f>
        <v/>
      </c>
      <c r="J4734" s="8">
        <f>IF(G4734="","",G4734*0.20)</f>
        <v/>
      </c>
      <c r="K4734" s="8">
        <f>IF(G4734="","",G4734+J4734)</f>
        <v/>
      </c>
    </row>
    <row r="4735">
      <c r="F4735" s="8" t="n"/>
      <c r="G4735" s="8">
        <f>IF(E4735="","",E4735*F4735)</f>
        <v/>
      </c>
      <c r="H4735" s="8">
        <f>IF(G4735="","",G4735-I4735)</f>
        <v/>
      </c>
      <c r="I4735" s="8">
        <f>IF(D4735="","",VLOOKUP(D4735, RECETTES!B:G, 6, FALSE)*E4735)</f>
        <v/>
      </c>
      <c r="J4735" s="8">
        <f>IF(G4735="","",G4735*0.20)</f>
        <v/>
      </c>
      <c r="K4735" s="8">
        <f>IF(G4735="","",G4735+J4735)</f>
        <v/>
      </c>
    </row>
    <row r="4736">
      <c r="F4736" s="8" t="n"/>
      <c r="G4736" s="8">
        <f>IF(E4736="","",E4736*F4736)</f>
        <v/>
      </c>
      <c r="H4736" s="8">
        <f>IF(G4736="","",G4736-I4736)</f>
        <v/>
      </c>
      <c r="I4736" s="8">
        <f>IF(D4736="","",VLOOKUP(D4736, RECETTES!B:G, 6, FALSE)*E4736)</f>
        <v/>
      </c>
      <c r="J4736" s="8">
        <f>IF(G4736="","",G4736*0.20)</f>
        <v/>
      </c>
      <c r="K4736" s="8">
        <f>IF(G4736="","",G4736+J4736)</f>
        <v/>
      </c>
    </row>
    <row r="4737">
      <c r="F4737" s="8" t="n"/>
      <c r="G4737" s="8">
        <f>IF(E4737="","",E4737*F4737)</f>
        <v/>
      </c>
      <c r="H4737" s="8">
        <f>IF(G4737="","",G4737-I4737)</f>
        <v/>
      </c>
      <c r="I4737" s="8">
        <f>IF(D4737="","",VLOOKUP(D4737, RECETTES!B:G, 6, FALSE)*E4737)</f>
        <v/>
      </c>
      <c r="J4737" s="8">
        <f>IF(G4737="","",G4737*0.20)</f>
        <v/>
      </c>
      <c r="K4737" s="8">
        <f>IF(G4737="","",G4737+J4737)</f>
        <v/>
      </c>
    </row>
    <row r="4738">
      <c r="F4738" s="8" t="n"/>
      <c r="G4738" s="8">
        <f>IF(E4738="","",E4738*F4738)</f>
        <v/>
      </c>
      <c r="H4738" s="8">
        <f>IF(G4738="","",G4738-I4738)</f>
        <v/>
      </c>
      <c r="I4738" s="8">
        <f>IF(D4738="","",VLOOKUP(D4738, RECETTES!B:G, 6, FALSE)*E4738)</f>
        <v/>
      </c>
      <c r="J4738" s="8">
        <f>IF(G4738="","",G4738*0.20)</f>
        <v/>
      </c>
      <c r="K4738" s="8">
        <f>IF(G4738="","",G4738+J4738)</f>
        <v/>
      </c>
    </row>
    <row r="4739">
      <c r="F4739" s="8" t="n"/>
      <c r="G4739" s="8">
        <f>IF(E4739="","",E4739*F4739)</f>
        <v/>
      </c>
      <c r="H4739" s="8">
        <f>IF(G4739="","",G4739-I4739)</f>
        <v/>
      </c>
      <c r="I4739" s="8">
        <f>IF(D4739="","",VLOOKUP(D4739, RECETTES!B:G, 6, FALSE)*E4739)</f>
        <v/>
      </c>
      <c r="J4739" s="8">
        <f>IF(G4739="","",G4739*0.20)</f>
        <v/>
      </c>
      <c r="K4739" s="8">
        <f>IF(G4739="","",G4739+J4739)</f>
        <v/>
      </c>
    </row>
    <row r="4740">
      <c r="F4740" s="8" t="n"/>
      <c r="G4740" s="8">
        <f>IF(E4740="","",E4740*F4740)</f>
        <v/>
      </c>
      <c r="H4740" s="8">
        <f>IF(G4740="","",G4740-I4740)</f>
        <v/>
      </c>
      <c r="I4740" s="8">
        <f>IF(D4740="","",VLOOKUP(D4740, RECETTES!B:G, 6, FALSE)*E4740)</f>
        <v/>
      </c>
      <c r="J4740" s="8">
        <f>IF(G4740="","",G4740*0.20)</f>
        <v/>
      </c>
      <c r="K4740" s="8">
        <f>IF(G4740="","",G4740+J4740)</f>
        <v/>
      </c>
    </row>
    <row r="4741">
      <c r="F4741" s="8" t="n"/>
      <c r="G4741" s="8">
        <f>IF(E4741="","",E4741*F4741)</f>
        <v/>
      </c>
      <c r="H4741" s="8">
        <f>IF(G4741="","",G4741-I4741)</f>
        <v/>
      </c>
      <c r="I4741" s="8">
        <f>IF(D4741="","",VLOOKUP(D4741, RECETTES!B:G, 6, FALSE)*E4741)</f>
        <v/>
      </c>
      <c r="J4741" s="8">
        <f>IF(G4741="","",G4741*0.20)</f>
        <v/>
      </c>
      <c r="K4741" s="8">
        <f>IF(G4741="","",G4741+J4741)</f>
        <v/>
      </c>
    </row>
    <row r="4742">
      <c r="F4742" s="8" t="n"/>
      <c r="G4742" s="8">
        <f>IF(E4742="","",E4742*F4742)</f>
        <v/>
      </c>
      <c r="H4742" s="8">
        <f>IF(G4742="","",G4742-I4742)</f>
        <v/>
      </c>
      <c r="I4742" s="8">
        <f>IF(D4742="","",VLOOKUP(D4742, RECETTES!B:G, 6, FALSE)*E4742)</f>
        <v/>
      </c>
      <c r="J4742" s="8">
        <f>IF(G4742="","",G4742*0.20)</f>
        <v/>
      </c>
      <c r="K4742" s="8">
        <f>IF(G4742="","",G4742+J4742)</f>
        <v/>
      </c>
    </row>
    <row r="4743">
      <c r="F4743" s="8" t="n"/>
      <c r="G4743" s="8">
        <f>IF(E4743="","",E4743*F4743)</f>
        <v/>
      </c>
      <c r="H4743" s="8">
        <f>IF(G4743="","",G4743-I4743)</f>
        <v/>
      </c>
      <c r="I4743" s="8">
        <f>IF(D4743="","",VLOOKUP(D4743, RECETTES!B:G, 6, FALSE)*E4743)</f>
        <v/>
      </c>
      <c r="J4743" s="8">
        <f>IF(G4743="","",G4743*0.20)</f>
        <v/>
      </c>
      <c r="K4743" s="8">
        <f>IF(G4743="","",G4743+J4743)</f>
        <v/>
      </c>
    </row>
    <row r="4744">
      <c r="F4744" s="8" t="n"/>
      <c r="G4744" s="8">
        <f>IF(E4744="","",E4744*F4744)</f>
        <v/>
      </c>
      <c r="H4744" s="8">
        <f>IF(G4744="","",G4744-I4744)</f>
        <v/>
      </c>
      <c r="I4744" s="8">
        <f>IF(D4744="","",VLOOKUP(D4744, RECETTES!B:G, 6, FALSE)*E4744)</f>
        <v/>
      </c>
      <c r="J4744" s="8">
        <f>IF(G4744="","",G4744*0.20)</f>
        <v/>
      </c>
      <c r="K4744" s="8">
        <f>IF(G4744="","",G4744+J4744)</f>
        <v/>
      </c>
    </row>
    <row r="4745">
      <c r="F4745" s="8" t="n"/>
      <c r="G4745" s="8">
        <f>IF(E4745="","",E4745*F4745)</f>
        <v/>
      </c>
      <c r="H4745" s="8">
        <f>IF(G4745="","",G4745-I4745)</f>
        <v/>
      </c>
      <c r="I4745" s="8">
        <f>IF(D4745="","",VLOOKUP(D4745, RECETTES!B:G, 6, FALSE)*E4745)</f>
        <v/>
      </c>
      <c r="J4745" s="8">
        <f>IF(G4745="","",G4745*0.20)</f>
        <v/>
      </c>
      <c r="K4745" s="8">
        <f>IF(G4745="","",G4745+J4745)</f>
        <v/>
      </c>
    </row>
    <row r="4746">
      <c r="F4746" s="8" t="n"/>
      <c r="G4746" s="8">
        <f>IF(E4746="","",E4746*F4746)</f>
        <v/>
      </c>
      <c r="H4746" s="8">
        <f>IF(G4746="","",G4746-I4746)</f>
        <v/>
      </c>
      <c r="I4746" s="8">
        <f>IF(D4746="","",VLOOKUP(D4746, RECETTES!B:G, 6, FALSE)*E4746)</f>
        <v/>
      </c>
      <c r="J4746" s="8">
        <f>IF(G4746="","",G4746*0.20)</f>
        <v/>
      </c>
      <c r="K4746" s="8">
        <f>IF(G4746="","",G4746+J4746)</f>
        <v/>
      </c>
    </row>
    <row r="4747">
      <c r="F4747" s="8" t="n"/>
      <c r="G4747" s="8">
        <f>IF(E4747="","",E4747*F4747)</f>
        <v/>
      </c>
      <c r="H4747" s="8">
        <f>IF(G4747="","",G4747-I4747)</f>
        <v/>
      </c>
      <c r="I4747" s="8">
        <f>IF(D4747="","",VLOOKUP(D4747, RECETTES!B:G, 6, FALSE)*E4747)</f>
        <v/>
      </c>
      <c r="J4747" s="8">
        <f>IF(G4747="","",G4747*0.20)</f>
        <v/>
      </c>
      <c r="K4747" s="8">
        <f>IF(G4747="","",G4747+J4747)</f>
        <v/>
      </c>
    </row>
    <row r="4748">
      <c r="F4748" s="8" t="n"/>
      <c r="G4748" s="8">
        <f>IF(E4748="","",E4748*F4748)</f>
        <v/>
      </c>
      <c r="H4748" s="8">
        <f>IF(G4748="","",G4748-I4748)</f>
        <v/>
      </c>
      <c r="I4748" s="8">
        <f>IF(D4748="","",VLOOKUP(D4748, RECETTES!B:G, 6, FALSE)*E4748)</f>
        <v/>
      </c>
      <c r="J4748" s="8">
        <f>IF(G4748="","",G4748*0.20)</f>
        <v/>
      </c>
      <c r="K4748" s="8">
        <f>IF(G4748="","",G4748+J4748)</f>
        <v/>
      </c>
    </row>
    <row r="4749">
      <c r="F4749" s="8" t="n"/>
      <c r="G4749" s="8">
        <f>IF(E4749="","",E4749*F4749)</f>
        <v/>
      </c>
      <c r="H4749" s="8">
        <f>IF(G4749="","",G4749-I4749)</f>
        <v/>
      </c>
      <c r="I4749" s="8">
        <f>IF(D4749="","",VLOOKUP(D4749, RECETTES!B:G, 6, FALSE)*E4749)</f>
        <v/>
      </c>
      <c r="J4749" s="8">
        <f>IF(G4749="","",G4749*0.20)</f>
        <v/>
      </c>
      <c r="K4749" s="8">
        <f>IF(G4749="","",G4749+J4749)</f>
        <v/>
      </c>
    </row>
    <row r="4750">
      <c r="F4750" s="8" t="n"/>
      <c r="G4750" s="8">
        <f>IF(E4750="","",E4750*F4750)</f>
        <v/>
      </c>
      <c r="H4750" s="8">
        <f>IF(G4750="","",G4750-I4750)</f>
        <v/>
      </c>
      <c r="I4750" s="8">
        <f>IF(D4750="","",VLOOKUP(D4750, RECETTES!B:G, 6, FALSE)*E4750)</f>
        <v/>
      </c>
      <c r="J4750" s="8">
        <f>IF(G4750="","",G4750*0.20)</f>
        <v/>
      </c>
      <c r="K4750" s="8">
        <f>IF(G4750="","",G4750+J4750)</f>
        <v/>
      </c>
    </row>
    <row r="4751">
      <c r="F4751" s="8" t="n"/>
      <c r="G4751" s="8">
        <f>IF(E4751="","",E4751*F4751)</f>
        <v/>
      </c>
      <c r="H4751" s="8">
        <f>IF(G4751="","",G4751-I4751)</f>
        <v/>
      </c>
      <c r="I4751" s="8">
        <f>IF(D4751="","",VLOOKUP(D4751, RECETTES!B:G, 6, FALSE)*E4751)</f>
        <v/>
      </c>
      <c r="J4751" s="8">
        <f>IF(G4751="","",G4751*0.20)</f>
        <v/>
      </c>
      <c r="K4751" s="8">
        <f>IF(G4751="","",G4751+J4751)</f>
        <v/>
      </c>
    </row>
    <row r="4752">
      <c r="F4752" s="8" t="n"/>
      <c r="G4752" s="8">
        <f>IF(E4752="","",E4752*F4752)</f>
        <v/>
      </c>
      <c r="H4752" s="8">
        <f>IF(G4752="","",G4752-I4752)</f>
        <v/>
      </c>
      <c r="I4752" s="8">
        <f>IF(D4752="","",VLOOKUP(D4752, RECETTES!B:G, 6, FALSE)*E4752)</f>
        <v/>
      </c>
      <c r="J4752" s="8">
        <f>IF(G4752="","",G4752*0.20)</f>
        <v/>
      </c>
      <c r="K4752" s="8">
        <f>IF(G4752="","",G4752+J4752)</f>
        <v/>
      </c>
    </row>
    <row r="4753">
      <c r="F4753" s="8" t="n"/>
      <c r="G4753" s="8">
        <f>IF(E4753="","",E4753*F4753)</f>
        <v/>
      </c>
      <c r="H4753" s="8">
        <f>IF(G4753="","",G4753-I4753)</f>
        <v/>
      </c>
      <c r="I4753" s="8">
        <f>IF(D4753="","",VLOOKUP(D4753, RECETTES!B:G, 6, FALSE)*E4753)</f>
        <v/>
      </c>
      <c r="J4753" s="8">
        <f>IF(G4753="","",G4753*0.20)</f>
        <v/>
      </c>
      <c r="K4753" s="8">
        <f>IF(G4753="","",G4753+J4753)</f>
        <v/>
      </c>
    </row>
    <row r="4754">
      <c r="F4754" s="8" t="n"/>
      <c r="G4754" s="8">
        <f>IF(E4754="","",E4754*F4754)</f>
        <v/>
      </c>
      <c r="H4754" s="8">
        <f>IF(G4754="","",G4754-I4754)</f>
        <v/>
      </c>
      <c r="I4754" s="8">
        <f>IF(D4754="","",VLOOKUP(D4754, RECETTES!B:G, 6, FALSE)*E4754)</f>
        <v/>
      </c>
      <c r="J4754" s="8">
        <f>IF(G4754="","",G4754*0.20)</f>
        <v/>
      </c>
      <c r="K4754" s="8">
        <f>IF(G4754="","",G4754+J4754)</f>
        <v/>
      </c>
    </row>
    <row r="4755">
      <c r="F4755" s="8" t="n"/>
      <c r="G4755" s="8">
        <f>IF(E4755="","",E4755*F4755)</f>
        <v/>
      </c>
      <c r="H4755" s="8">
        <f>IF(G4755="","",G4755-I4755)</f>
        <v/>
      </c>
      <c r="I4755" s="8">
        <f>IF(D4755="","",VLOOKUP(D4755, RECETTES!B:G, 6, FALSE)*E4755)</f>
        <v/>
      </c>
      <c r="J4755" s="8">
        <f>IF(G4755="","",G4755*0.20)</f>
        <v/>
      </c>
      <c r="K4755" s="8">
        <f>IF(G4755="","",G4755+J4755)</f>
        <v/>
      </c>
    </row>
    <row r="4756">
      <c r="F4756" s="8" t="n"/>
      <c r="G4756" s="8">
        <f>IF(E4756="","",E4756*F4756)</f>
        <v/>
      </c>
      <c r="H4756" s="8">
        <f>IF(G4756="","",G4756-I4756)</f>
        <v/>
      </c>
      <c r="I4756" s="8">
        <f>IF(D4756="","",VLOOKUP(D4756, RECETTES!B:G, 6, FALSE)*E4756)</f>
        <v/>
      </c>
      <c r="J4756" s="8">
        <f>IF(G4756="","",G4756*0.20)</f>
        <v/>
      </c>
      <c r="K4756" s="8">
        <f>IF(G4756="","",G4756+J4756)</f>
        <v/>
      </c>
    </row>
    <row r="4757">
      <c r="F4757" s="8" t="n"/>
      <c r="G4757" s="8">
        <f>IF(E4757="","",E4757*F4757)</f>
        <v/>
      </c>
      <c r="H4757" s="8">
        <f>IF(G4757="","",G4757-I4757)</f>
        <v/>
      </c>
      <c r="I4757" s="8">
        <f>IF(D4757="","",VLOOKUP(D4757, RECETTES!B:G, 6, FALSE)*E4757)</f>
        <v/>
      </c>
      <c r="J4757" s="8">
        <f>IF(G4757="","",G4757*0.20)</f>
        <v/>
      </c>
      <c r="K4757" s="8">
        <f>IF(G4757="","",G4757+J4757)</f>
        <v/>
      </c>
    </row>
    <row r="4758">
      <c r="F4758" s="8" t="n"/>
      <c r="G4758" s="8">
        <f>IF(E4758="","",E4758*F4758)</f>
        <v/>
      </c>
      <c r="H4758" s="8">
        <f>IF(G4758="","",G4758-I4758)</f>
        <v/>
      </c>
      <c r="I4758" s="8">
        <f>IF(D4758="","",VLOOKUP(D4758, RECETTES!B:G, 6, FALSE)*E4758)</f>
        <v/>
      </c>
      <c r="J4758" s="8">
        <f>IF(G4758="","",G4758*0.20)</f>
        <v/>
      </c>
      <c r="K4758" s="8">
        <f>IF(G4758="","",G4758+J4758)</f>
        <v/>
      </c>
    </row>
    <row r="4759">
      <c r="F4759" s="8" t="n"/>
      <c r="G4759" s="8">
        <f>IF(E4759="","",E4759*F4759)</f>
        <v/>
      </c>
      <c r="H4759" s="8">
        <f>IF(G4759="","",G4759-I4759)</f>
        <v/>
      </c>
      <c r="I4759" s="8">
        <f>IF(D4759="","",VLOOKUP(D4759, RECETTES!B:G, 6, FALSE)*E4759)</f>
        <v/>
      </c>
      <c r="J4759" s="8">
        <f>IF(G4759="","",G4759*0.20)</f>
        <v/>
      </c>
      <c r="K4759" s="8">
        <f>IF(G4759="","",G4759+J4759)</f>
        <v/>
      </c>
    </row>
    <row r="4760">
      <c r="F4760" s="8" t="n"/>
      <c r="G4760" s="8">
        <f>IF(E4760="","",E4760*F4760)</f>
        <v/>
      </c>
      <c r="H4760" s="8">
        <f>IF(G4760="","",G4760-I4760)</f>
        <v/>
      </c>
      <c r="I4760" s="8">
        <f>IF(D4760="","",VLOOKUP(D4760, RECETTES!B:G, 6, FALSE)*E4760)</f>
        <v/>
      </c>
      <c r="J4760" s="8">
        <f>IF(G4760="","",G4760*0.20)</f>
        <v/>
      </c>
      <c r="K4760" s="8">
        <f>IF(G4760="","",G4760+J4760)</f>
        <v/>
      </c>
    </row>
    <row r="4761">
      <c r="F4761" s="8" t="n"/>
      <c r="G4761" s="8">
        <f>IF(E4761="","",E4761*F4761)</f>
        <v/>
      </c>
      <c r="H4761" s="8">
        <f>IF(G4761="","",G4761-I4761)</f>
        <v/>
      </c>
      <c r="I4761" s="8">
        <f>IF(D4761="","",VLOOKUP(D4761, RECETTES!B:G, 6, FALSE)*E4761)</f>
        <v/>
      </c>
      <c r="J4761" s="8">
        <f>IF(G4761="","",G4761*0.20)</f>
        <v/>
      </c>
      <c r="K4761" s="8">
        <f>IF(G4761="","",G4761+J4761)</f>
        <v/>
      </c>
    </row>
    <row r="4762">
      <c r="F4762" s="8" t="n"/>
      <c r="G4762" s="8">
        <f>IF(E4762="","",E4762*F4762)</f>
        <v/>
      </c>
      <c r="H4762" s="8">
        <f>IF(G4762="","",G4762-I4762)</f>
        <v/>
      </c>
      <c r="I4762" s="8">
        <f>IF(D4762="","",VLOOKUP(D4762, RECETTES!B:G, 6, FALSE)*E4762)</f>
        <v/>
      </c>
      <c r="J4762" s="8">
        <f>IF(G4762="","",G4762*0.20)</f>
        <v/>
      </c>
      <c r="K4762" s="8">
        <f>IF(G4762="","",G4762+J4762)</f>
        <v/>
      </c>
    </row>
    <row r="4763">
      <c r="F4763" s="8" t="n"/>
      <c r="G4763" s="8">
        <f>IF(E4763="","",E4763*F4763)</f>
        <v/>
      </c>
      <c r="H4763" s="8">
        <f>IF(G4763="","",G4763-I4763)</f>
        <v/>
      </c>
      <c r="I4763" s="8">
        <f>IF(D4763="","",VLOOKUP(D4763, RECETTES!B:G, 6, FALSE)*E4763)</f>
        <v/>
      </c>
      <c r="J4763" s="8">
        <f>IF(G4763="","",G4763*0.20)</f>
        <v/>
      </c>
      <c r="K4763" s="8">
        <f>IF(G4763="","",G4763+J4763)</f>
        <v/>
      </c>
    </row>
    <row r="4764">
      <c r="F4764" s="8" t="n"/>
      <c r="G4764" s="8">
        <f>IF(E4764="","",E4764*F4764)</f>
        <v/>
      </c>
      <c r="H4764" s="8">
        <f>IF(G4764="","",G4764-I4764)</f>
        <v/>
      </c>
      <c r="I4764" s="8">
        <f>IF(D4764="","",VLOOKUP(D4764, RECETTES!B:G, 6, FALSE)*E4764)</f>
        <v/>
      </c>
      <c r="J4764" s="8">
        <f>IF(G4764="","",G4764*0.20)</f>
        <v/>
      </c>
      <c r="K4764" s="8">
        <f>IF(G4764="","",G4764+J4764)</f>
        <v/>
      </c>
    </row>
    <row r="4765">
      <c r="F4765" s="8" t="n"/>
      <c r="G4765" s="8">
        <f>IF(E4765="","",E4765*F4765)</f>
        <v/>
      </c>
      <c r="H4765" s="8">
        <f>IF(G4765="","",G4765-I4765)</f>
        <v/>
      </c>
      <c r="I4765" s="8">
        <f>IF(D4765="","",VLOOKUP(D4765, RECETTES!B:G, 6, FALSE)*E4765)</f>
        <v/>
      </c>
      <c r="J4765" s="8">
        <f>IF(G4765="","",G4765*0.20)</f>
        <v/>
      </c>
      <c r="K4765" s="8">
        <f>IF(G4765="","",G4765+J4765)</f>
        <v/>
      </c>
    </row>
    <row r="4766">
      <c r="F4766" s="8" t="n"/>
      <c r="G4766" s="8">
        <f>IF(E4766="","",E4766*F4766)</f>
        <v/>
      </c>
      <c r="H4766" s="8">
        <f>IF(G4766="","",G4766-I4766)</f>
        <v/>
      </c>
      <c r="I4766" s="8">
        <f>IF(D4766="","",VLOOKUP(D4766, RECETTES!B:G, 6, FALSE)*E4766)</f>
        <v/>
      </c>
      <c r="J4766" s="8">
        <f>IF(G4766="","",G4766*0.20)</f>
        <v/>
      </c>
      <c r="K4766" s="8">
        <f>IF(G4766="","",G4766+J4766)</f>
        <v/>
      </c>
    </row>
    <row r="4767">
      <c r="F4767" s="8" t="n"/>
      <c r="G4767" s="8">
        <f>IF(E4767="","",E4767*F4767)</f>
        <v/>
      </c>
      <c r="H4767" s="8">
        <f>IF(G4767="","",G4767-I4767)</f>
        <v/>
      </c>
      <c r="I4767" s="8">
        <f>IF(D4767="","",VLOOKUP(D4767, RECETTES!B:G, 6, FALSE)*E4767)</f>
        <v/>
      </c>
      <c r="J4767" s="8">
        <f>IF(G4767="","",G4767*0.20)</f>
        <v/>
      </c>
      <c r="K4767" s="8">
        <f>IF(G4767="","",G4767+J4767)</f>
        <v/>
      </c>
    </row>
    <row r="4768">
      <c r="F4768" s="8" t="n"/>
      <c r="G4768" s="8">
        <f>IF(E4768="","",E4768*F4768)</f>
        <v/>
      </c>
      <c r="H4768" s="8">
        <f>IF(G4768="","",G4768-I4768)</f>
        <v/>
      </c>
      <c r="I4768" s="8">
        <f>IF(D4768="","",VLOOKUP(D4768, RECETTES!B:G, 6, FALSE)*E4768)</f>
        <v/>
      </c>
      <c r="J4768" s="8">
        <f>IF(G4768="","",G4768*0.20)</f>
        <v/>
      </c>
      <c r="K4768" s="8">
        <f>IF(G4768="","",G4768+J4768)</f>
        <v/>
      </c>
    </row>
    <row r="4769">
      <c r="F4769" s="8" t="n"/>
      <c r="G4769" s="8">
        <f>IF(E4769="","",E4769*F4769)</f>
        <v/>
      </c>
      <c r="H4769" s="8">
        <f>IF(G4769="","",G4769-I4769)</f>
        <v/>
      </c>
      <c r="I4769" s="8">
        <f>IF(D4769="","",VLOOKUP(D4769, RECETTES!B:G, 6, FALSE)*E4769)</f>
        <v/>
      </c>
      <c r="J4769" s="8">
        <f>IF(G4769="","",G4769*0.20)</f>
        <v/>
      </c>
      <c r="K4769" s="8">
        <f>IF(G4769="","",G4769+J4769)</f>
        <v/>
      </c>
    </row>
    <row r="4770">
      <c r="F4770" s="8" t="n"/>
      <c r="G4770" s="8">
        <f>IF(E4770="","",E4770*F4770)</f>
        <v/>
      </c>
      <c r="H4770" s="8">
        <f>IF(G4770="","",G4770-I4770)</f>
        <v/>
      </c>
      <c r="I4770" s="8">
        <f>IF(D4770="","",VLOOKUP(D4770, RECETTES!B:G, 6, FALSE)*E4770)</f>
        <v/>
      </c>
      <c r="J4770" s="8">
        <f>IF(G4770="","",G4770*0.20)</f>
        <v/>
      </c>
      <c r="K4770" s="8">
        <f>IF(G4770="","",G4770+J4770)</f>
        <v/>
      </c>
    </row>
    <row r="4771">
      <c r="F4771" s="8" t="n"/>
      <c r="G4771" s="8">
        <f>IF(E4771="","",E4771*F4771)</f>
        <v/>
      </c>
      <c r="H4771" s="8">
        <f>IF(G4771="","",G4771-I4771)</f>
        <v/>
      </c>
      <c r="I4771" s="8">
        <f>IF(D4771="","",VLOOKUP(D4771, RECETTES!B:G, 6, FALSE)*E4771)</f>
        <v/>
      </c>
      <c r="J4771" s="8">
        <f>IF(G4771="","",G4771*0.20)</f>
        <v/>
      </c>
      <c r="K4771" s="8">
        <f>IF(G4771="","",G4771+J4771)</f>
        <v/>
      </c>
    </row>
    <row r="4772">
      <c r="F4772" s="8" t="n"/>
      <c r="G4772" s="8">
        <f>IF(E4772="","",E4772*F4772)</f>
        <v/>
      </c>
      <c r="H4772" s="8">
        <f>IF(G4772="","",G4772-I4772)</f>
        <v/>
      </c>
      <c r="I4772" s="8">
        <f>IF(D4772="","",VLOOKUP(D4772, RECETTES!B:G, 6, FALSE)*E4772)</f>
        <v/>
      </c>
      <c r="J4772" s="8">
        <f>IF(G4772="","",G4772*0.20)</f>
        <v/>
      </c>
      <c r="K4772" s="8">
        <f>IF(G4772="","",G4772+J4772)</f>
        <v/>
      </c>
    </row>
    <row r="4773">
      <c r="F4773" s="8" t="n"/>
      <c r="G4773" s="8">
        <f>IF(E4773="","",E4773*F4773)</f>
        <v/>
      </c>
      <c r="H4773" s="8">
        <f>IF(G4773="","",G4773-I4773)</f>
        <v/>
      </c>
      <c r="I4773" s="8">
        <f>IF(D4773="","",VLOOKUP(D4773, RECETTES!B:G, 6, FALSE)*E4773)</f>
        <v/>
      </c>
      <c r="J4773" s="8">
        <f>IF(G4773="","",G4773*0.20)</f>
        <v/>
      </c>
      <c r="K4773" s="8">
        <f>IF(G4773="","",G4773+J4773)</f>
        <v/>
      </c>
    </row>
    <row r="4774">
      <c r="F4774" s="8" t="n"/>
      <c r="G4774" s="8">
        <f>IF(E4774="","",E4774*F4774)</f>
        <v/>
      </c>
      <c r="H4774" s="8">
        <f>IF(G4774="","",G4774-I4774)</f>
        <v/>
      </c>
      <c r="I4774" s="8">
        <f>IF(D4774="","",VLOOKUP(D4774, RECETTES!B:G, 6, FALSE)*E4774)</f>
        <v/>
      </c>
      <c r="J4774" s="8">
        <f>IF(G4774="","",G4774*0.20)</f>
        <v/>
      </c>
      <c r="K4774" s="8">
        <f>IF(G4774="","",G4774+J4774)</f>
        <v/>
      </c>
    </row>
    <row r="4775">
      <c r="F4775" s="8" t="n"/>
      <c r="G4775" s="8">
        <f>IF(E4775="","",E4775*F4775)</f>
        <v/>
      </c>
      <c r="H4775" s="8">
        <f>IF(G4775="","",G4775-I4775)</f>
        <v/>
      </c>
      <c r="I4775" s="8">
        <f>IF(D4775="","",VLOOKUP(D4775, RECETTES!B:G, 6, FALSE)*E4775)</f>
        <v/>
      </c>
      <c r="J4775" s="8">
        <f>IF(G4775="","",G4775*0.20)</f>
        <v/>
      </c>
      <c r="K4775" s="8">
        <f>IF(G4775="","",G4775+J4775)</f>
        <v/>
      </c>
    </row>
    <row r="4776">
      <c r="F4776" s="8" t="n"/>
      <c r="G4776" s="8">
        <f>IF(E4776="","",E4776*F4776)</f>
        <v/>
      </c>
      <c r="H4776" s="8">
        <f>IF(G4776="","",G4776-I4776)</f>
        <v/>
      </c>
      <c r="I4776" s="8">
        <f>IF(D4776="","",VLOOKUP(D4776, RECETTES!B:G, 6, FALSE)*E4776)</f>
        <v/>
      </c>
      <c r="J4776" s="8">
        <f>IF(G4776="","",G4776*0.20)</f>
        <v/>
      </c>
      <c r="K4776" s="8">
        <f>IF(G4776="","",G4776+J4776)</f>
        <v/>
      </c>
    </row>
    <row r="4777">
      <c r="F4777" s="8" t="n"/>
      <c r="G4777" s="8">
        <f>IF(E4777="","",E4777*F4777)</f>
        <v/>
      </c>
      <c r="H4777" s="8">
        <f>IF(G4777="","",G4777-I4777)</f>
        <v/>
      </c>
      <c r="I4777" s="8">
        <f>IF(D4777="","",VLOOKUP(D4777, RECETTES!B:G, 6, FALSE)*E4777)</f>
        <v/>
      </c>
      <c r="J4777" s="8">
        <f>IF(G4777="","",G4777*0.20)</f>
        <v/>
      </c>
      <c r="K4777" s="8">
        <f>IF(G4777="","",G4777+J4777)</f>
        <v/>
      </c>
    </row>
    <row r="4778">
      <c r="F4778" s="8" t="n"/>
      <c r="G4778" s="8">
        <f>IF(E4778="","",E4778*F4778)</f>
        <v/>
      </c>
      <c r="H4778" s="8">
        <f>IF(G4778="","",G4778-I4778)</f>
        <v/>
      </c>
      <c r="I4778" s="8">
        <f>IF(D4778="","",VLOOKUP(D4778, RECETTES!B:G, 6, FALSE)*E4778)</f>
        <v/>
      </c>
      <c r="J4778" s="8">
        <f>IF(G4778="","",G4778*0.20)</f>
        <v/>
      </c>
      <c r="K4778" s="8">
        <f>IF(G4778="","",G4778+J4778)</f>
        <v/>
      </c>
    </row>
    <row r="4779">
      <c r="F4779" s="8" t="n"/>
      <c r="G4779" s="8">
        <f>IF(E4779="","",E4779*F4779)</f>
        <v/>
      </c>
      <c r="H4779" s="8">
        <f>IF(G4779="","",G4779-I4779)</f>
        <v/>
      </c>
      <c r="I4779" s="8">
        <f>IF(D4779="","",VLOOKUP(D4779, RECETTES!B:G, 6, FALSE)*E4779)</f>
        <v/>
      </c>
      <c r="J4779" s="8">
        <f>IF(G4779="","",G4779*0.20)</f>
        <v/>
      </c>
      <c r="K4779" s="8">
        <f>IF(G4779="","",G4779+J4779)</f>
        <v/>
      </c>
    </row>
    <row r="4780">
      <c r="F4780" s="8" t="n"/>
      <c r="G4780" s="8">
        <f>IF(E4780="","",E4780*F4780)</f>
        <v/>
      </c>
      <c r="H4780" s="8">
        <f>IF(G4780="","",G4780-I4780)</f>
        <v/>
      </c>
      <c r="I4780" s="8">
        <f>IF(D4780="","",VLOOKUP(D4780, RECETTES!B:G, 6, FALSE)*E4780)</f>
        <v/>
      </c>
      <c r="J4780" s="8">
        <f>IF(G4780="","",G4780*0.20)</f>
        <v/>
      </c>
      <c r="K4780" s="8">
        <f>IF(G4780="","",G4780+J4780)</f>
        <v/>
      </c>
    </row>
    <row r="4781">
      <c r="F4781" s="8" t="n"/>
      <c r="G4781" s="8">
        <f>IF(E4781="","",E4781*F4781)</f>
        <v/>
      </c>
      <c r="H4781" s="8">
        <f>IF(G4781="","",G4781-I4781)</f>
        <v/>
      </c>
      <c r="I4781" s="8">
        <f>IF(D4781="","",VLOOKUP(D4781, RECETTES!B:G, 6, FALSE)*E4781)</f>
        <v/>
      </c>
      <c r="J4781" s="8">
        <f>IF(G4781="","",G4781*0.20)</f>
        <v/>
      </c>
      <c r="K4781" s="8">
        <f>IF(G4781="","",G4781+J4781)</f>
        <v/>
      </c>
    </row>
    <row r="4782">
      <c r="F4782" s="8" t="n"/>
      <c r="G4782" s="8">
        <f>IF(E4782="","",E4782*F4782)</f>
        <v/>
      </c>
      <c r="H4782" s="8">
        <f>IF(G4782="","",G4782-I4782)</f>
        <v/>
      </c>
      <c r="I4782" s="8">
        <f>IF(D4782="","",VLOOKUP(D4782, RECETTES!B:G, 6, FALSE)*E4782)</f>
        <v/>
      </c>
      <c r="J4782" s="8">
        <f>IF(G4782="","",G4782*0.20)</f>
        <v/>
      </c>
      <c r="K4782" s="8">
        <f>IF(G4782="","",G4782+J4782)</f>
        <v/>
      </c>
    </row>
    <row r="4783">
      <c r="F4783" s="8" t="n"/>
      <c r="G4783" s="8">
        <f>IF(E4783="","",E4783*F4783)</f>
        <v/>
      </c>
      <c r="H4783" s="8">
        <f>IF(G4783="","",G4783-I4783)</f>
        <v/>
      </c>
      <c r="I4783" s="8">
        <f>IF(D4783="","",VLOOKUP(D4783, RECETTES!B:G, 6, FALSE)*E4783)</f>
        <v/>
      </c>
      <c r="J4783" s="8">
        <f>IF(G4783="","",G4783*0.20)</f>
        <v/>
      </c>
      <c r="K4783" s="8">
        <f>IF(G4783="","",G4783+J4783)</f>
        <v/>
      </c>
    </row>
    <row r="4784">
      <c r="F4784" s="8" t="n"/>
      <c r="G4784" s="8">
        <f>IF(E4784="","",E4784*F4784)</f>
        <v/>
      </c>
      <c r="H4784" s="8">
        <f>IF(G4784="","",G4784-I4784)</f>
        <v/>
      </c>
      <c r="I4784" s="8">
        <f>IF(D4784="","",VLOOKUP(D4784, RECETTES!B:G, 6, FALSE)*E4784)</f>
        <v/>
      </c>
      <c r="J4784" s="8">
        <f>IF(G4784="","",G4784*0.20)</f>
        <v/>
      </c>
      <c r="K4784" s="8">
        <f>IF(G4784="","",G4784+J4784)</f>
        <v/>
      </c>
    </row>
    <row r="4785">
      <c r="F4785" s="8" t="n"/>
      <c r="G4785" s="8">
        <f>IF(E4785="","",E4785*F4785)</f>
        <v/>
      </c>
      <c r="H4785" s="8">
        <f>IF(G4785="","",G4785-I4785)</f>
        <v/>
      </c>
      <c r="I4785" s="8">
        <f>IF(D4785="","",VLOOKUP(D4785, RECETTES!B:G, 6, FALSE)*E4785)</f>
        <v/>
      </c>
      <c r="J4785" s="8">
        <f>IF(G4785="","",G4785*0.20)</f>
        <v/>
      </c>
      <c r="K4785" s="8">
        <f>IF(G4785="","",G4785+J4785)</f>
        <v/>
      </c>
    </row>
    <row r="4786">
      <c r="F4786" s="8" t="n"/>
      <c r="G4786" s="8">
        <f>IF(E4786="","",E4786*F4786)</f>
        <v/>
      </c>
      <c r="H4786" s="8">
        <f>IF(G4786="","",G4786-I4786)</f>
        <v/>
      </c>
      <c r="I4786" s="8">
        <f>IF(D4786="","",VLOOKUP(D4786, RECETTES!B:G, 6, FALSE)*E4786)</f>
        <v/>
      </c>
      <c r="J4786" s="8">
        <f>IF(G4786="","",G4786*0.20)</f>
        <v/>
      </c>
      <c r="K4786" s="8">
        <f>IF(G4786="","",G4786+J4786)</f>
        <v/>
      </c>
    </row>
    <row r="4787">
      <c r="F4787" s="8" t="n"/>
      <c r="G4787" s="8">
        <f>IF(E4787="","",E4787*F4787)</f>
        <v/>
      </c>
      <c r="H4787" s="8">
        <f>IF(G4787="","",G4787-I4787)</f>
        <v/>
      </c>
      <c r="I4787" s="8">
        <f>IF(D4787="","",VLOOKUP(D4787, RECETTES!B:G, 6, FALSE)*E4787)</f>
        <v/>
      </c>
      <c r="J4787" s="8">
        <f>IF(G4787="","",G4787*0.20)</f>
        <v/>
      </c>
      <c r="K4787" s="8">
        <f>IF(G4787="","",G4787+J4787)</f>
        <v/>
      </c>
    </row>
    <row r="4788">
      <c r="F4788" s="8" t="n"/>
      <c r="G4788" s="8">
        <f>IF(E4788="","",E4788*F4788)</f>
        <v/>
      </c>
      <c r="H4788" s="8">
        <f>IF(G4788="","",G4788-I4788)</f>
        <v/>
      </c>
      <c r="I4788" s="8">
        <f>IF(D4788="","",VLOOKUP(D4788, RECETTES!B:G, 6, FALSE)*E4788)</f>
        <v/>
      </c>
      <c r="J4788" s="8">
        <f>IF(G4788="","",G4788*0.20)</f>
        <v/>
      </c>
      <c r="K4788" s="8">
        <f>IF(G4788="","",G4788+J4788)</f>
        <v/>
      </c>
    </row>
    <row r="4789">
      <c r="F4789" s="8" t="n"/>
      <c r="G4789" s="8">
        <f>IF(E4789="","",E4789*F4789)</f>
        <v/>
      </c>
      <c r="H4789" s="8">
        <f>IF(G4789="","",G4789-I4789)</f>
        <v/>
      </c>
      <c r="I4789" s="8">
        <f>IF(D4789="","",VLOOKUP(D4789, RECETTES!B:G, 6, FALSE)*E4789)</f>
        <v/>
      </c>
      <c r="J4789" s="8">
        <f>IF(G4789="","",G4789*0.20)</f>
        <v/>
      </c>
      <c r="K4789" s="8">
        <f>IF(G4789="","",G4789+J4789)</f>
        <v/>
      </c>
    </row>
    <row r="4790">
      <c r="F4790" s="8" t="n"/>
      <c r="G4790" s="8">
        <f>IF(E4790="","",E4790*F4790)</f>
        <v/>
      </c>
      <c r="H4790" s="8">
        <f>IF(G4790="","",G4790-I4790)</f>
        <v/>
      </c>
      <c r="I4790" s="8">
        <f>IF(D4790="","",VLOOKUP(D4790, RECETTES!B:G, 6, FALSE)*E4790)</f>
        <v/>
      </c>
      <c r="J4790" s="8">
        <f>IF(G4790="","",G4790*0.20)</f>
        <v/>
      </c>
      <c r="K4790" s="8">
        <f>IF(G4790="","",G4790+J4790)</f>
        <v/>
      </c>
    </row>
    <row r="4791">
      <c r="F4791" s="8" t="n"/>
      <c r="G4791" s="8">
        <f>IF(E4791="","",E4791*F4791)</f>
        <v/>
      </c>
      <c r="H4791" s="8">
        <f>IF(G4791="","",G4791-I4791)</f>
        <v/>
      </c>
      <c r="I4791" s="8">
        <f>IF(D4791="","",VLOOKUP(D4791, RECETTES!B:G, 6, FALSE)*E4791)</f>
        <v/>
      </c>
      <c r="J4791" s="8">
        <f>IF(G4791="","",G4791*0.20)</f>
        <v/>
      </c>
      <c r="K4791" s="8">
        <f>IF(G4791="","",G4791+J4791)</f>
        <v/>
      </c>
    </row>
    <row r="4792">
      <c r="F4792" s="8" t="n"/>
      <c r="G4792" s="8">
        <f>IF(E4792="","",E4792*F4792)</f>
        <v/>
      </c>
      <c r="H4792" s="8">
        <f>IF(G4792="","",G4792-I4792)</f>
        <v/>
      </c>
      <c r="I4792" s="8">
        <f>IF(D4792="","",VLOOKUP(D4792, RECETTES!B:G, 6, FALSE)*E4792)</f>
        <v/>
      </c>
      <c r="J4792" s="8">
        <f>IF(G4792="","",G4792*0.20)</f>
        <v/>
      </c>
      <c r="K4792" s="8">
        <f>IF(G4792="","",G4792+J4792)</f>
        <v/>
      </c>
    </row>
    <row r="4793">
      <c r="F4793" s="8" t="n"/>
      <c r="G4793" s="8">
        <f>IF(E4793="","",E4793*F4793)</f>
        <v/>
      </c>
      <c r="H4793" s="8">
        <f>IF(G4793="","",G4793-I4793)</f>
        <v/>
      </c>
      <c r="I4793" s="8">
        <f>IF(D4793="","",VLOOKUP(D4793, RECETTES!B:G, 6, FALSE)*E4793)</f>
        <v/>
      </c>
      <c r="J4793" s="8">
        <f>IF(G4793="","",G4793*0.20)</f>
        <v/>
      </c>
      <c r="K4793" s="8">
        <f>IF(G4793="","",G4793+J4793)</f>
        <v/>
      </c>
    </row>
    <row r="4794">
      <c r="F4794" s="8" t="n"/>
      <c r="G4794" s="8">
        <f>IF(E4794="","",E4794*F4794)</f>
        <v/>
      </c>
      <c r="H4794" s="8">
        <f>IF(G4794="","",G4794-I4794)</f>
        <v/>
      </c>
      <c r="I4794" s="8">
        <f>IF(D4794="","",VLOOKUP(D4794, RECETTES!B:G, 6, FALSE)*E4794)</f>
        <v/>
      </c>
      <c r="J4794" s="8">
        <f>IF(G4794="","",G4794*0.20)</f>
        <v/>
      </c>
      <c r="K4794" s="8">
        <f>IF(G4794="","",G4794+J4794)</f>
        <v/>
      </c>
    </row>
    <row r="4795">
      <c r="F4795" s="8" t="n"/>
      <c r="G4795" s="8">
        <f>IF(E4795="","",E4795*F4795)</f>
        <v/>
      </c>
      <c r="H4795" s="8">
        <f>IF(G4795="","",G4795-I4795)</f>
        <v/>
      </c>
      <c r="I4795" s="8">
        <f>IF(D4795="","",VLOOKUP(D4795, RECETTES!B:G, 6, FALSE)*E4795)</f>
        <v/>
      </c>
      <c r="J4795" s="8">
        <f>IF(G4795="","",G4795*0.20)</f>
        <v/>
      </c>
      <c r="K4795" s="8">
        <f>IF(G4795="","",G4795+J4795)</f>
        <v/>
      </c>
    </row>
    <row r="4796">
      <c r="F4796" s="8" t="n"/>
      <c r="G4796" s="8">
        <f>IF(E4796="","",E4796*F4796)</f>
        <v/>
      </c>
      <c r="H4796" s="8">
        <f>IF(G4796="","",G4796-I4796)</f>
        <v/>
      </c>
      <c r="I4796" s="8">
        <f>IF(D4796="","",VLOOKUP(D4796, RECETTES!B:G, 6, FALSE)*E4796)</f>
        <v/>
      </c>
      <c r="J4796" s="8">
        <f>IF(G4796="","",G4796*0.20)</f>
        <v/>
      </c>
      <c r="K4796" s="8">
        <f>IF(G4796="","",G4796+J4796)</f>
        <v/>
      </c>
    </row>
    <row r="4797">
      <c r="F4797" s="8" t="n"/>
      <c r="G4797" s="8">
        <f>IF(E4797="","",E4797*F4797)</f>
        <v/>
      </c>
      <c r="H4797" s="8">
        <f>IF(G4797="","",G4797-I4797)</f>
        <v/>
      </c>
      <c r="I4797" s="8">
        <f>IF(D4797="","",VLOOKUP(D4797, RECETTES!B:G, 6, FALSE)*E4797)</f>
        <v/>
      </c>
      <c r="J4797" s="8">
        <f>IF(G4797="","",G4797*0.20)</f>
        <v/>
      </c>
      <c r="K4797" s="8">
        <f>IF(G4797="","",G4797+J4797)</f>
        <v/>
      </c>
    </row>
    <row r="4798">
      <c r="F4798" s="8" t="n"/>
      <c r="G4798" s="8">
        <f>IF(E4798="","",E4798*F4798)</f>
        <v/>
      </c>
      <c r="H4798" s="8">
        <f>IF(G4798="","",G4798-I4798)</f>
        <v/>
      </c>
      <c r="I4798" s="8">
        <f>IF(D4798="","",VLOOKUP(D4798, RECETTES!B:G, 6, FALSE)*E4798)</f>
        <v/>
      </c>
      <c r="J4798" s="8">
        <f>IF(G4798="","",G4798*0.20)</f>
        <v/>
      </c>
      <c r="K4798" s="8">
        <f>IF(G4798="","",G4798+J4798)</f>
        <v/>
      </c>
    </row>
    <row r="4799">
      <c r="F4799" s="8" t="n"/>
      <c r="G4799" s="8">
        <f>IF(E4799="","",E4799*F4799)</f>
        <v/>
      </c>
      <c r="H4799" s="8">
        <f>IF(G4799="","",G4799-I4799)</f>
        <v/>
      </c>
      <c r="I4799" s="8">
        <f>IF(D4799="","",VLOOKUP(D4799, RECETTES!B:G, 6, FALSE)*E4799)</f>
        <v/>
      </c>
      <c r="J4799" s="8">
        <f>IF(G4799="","",G4799*0.20)</f>
        <v/>
      </c>
      <c r="K4799" s="8">
        <f>IF(G4799="","",G4799+J4799)</f>
        <v/>
      </c>
    </row>
    <row r="4800">
      <c r="F4800" s="8" t="n"/>
      <c r="G4800" s="8">
        <f>IF(E4800="","",E4800*F4800)</f>
        <v/>
      </c>
      <c r="H4800" s="8">
        <f>IF(G4800="","",G4800-I4800)</f>
        <v/>
      </c>
      <c r="I4800" s="8">
        <f>IF(D4800="","",VLOOKUP(D4800, RECETTES!B:G, 6, FALSE)*E4800)</f>
        <v/>
      </c>
      <c r="J4800" s="8">
        <f>IF(G4800="","",G4800*0.20)</f>
        <v/>
      </c>
      <c r="K4800" s="8">
        <f>IF(G4800="","",G4800+J4800)</f>
        <v/>
      </c>
    </row>
    <row r="4801">
      <c r="F4801" s="8" t="n"/>
      <c r="G4801" s="8">
        <f>IF(E4801="","",E4801*F4801)</f>
        <v/>
      </c>
      <c r="H4801" s="8">
        <f>IF(G4801="","",G4801-I4801)</f>
        <v/>
      </c>
      <c r="I4801" s="8">
        <f>IF(D4801="","",VLOOKUP(D4801, RECETTES!B:G, 6, FALSE)*E4801)</f>
        <v/>
      </c>
      <c r="J4801" s="8">
        <f>IF(G4801="","",G4801*0.20)</f>
        <v/>
      </c>
      <c r="K4801" s="8">
        <f>IF(G4801="","",G4801+J4801)</f>
        <v/>
      </c>
    </row>
    <row r="4802">
      <c r="F4802" s="8" t="n"/>
      <c r="G4802" s="8">
        <f>IF(E4802="","",E4802*F4802)</f>
        <v/>
      </c>
      <c r="H4802" s="8">
        <f>IF(G4802="","",G4802-I4802)</f>
        <v/>
      </c>
      <c r="I4802" s="8">
        <f>IF(D4802="","",VLOOKUP(D4802, RECETTES!B:G, 6, FALSE)*E4802)</f>
        <v/>
      </c>
      <c r="J4802" s="8">
        <f>IF(G4802="","",G4802*0.20)</f>
        <v/>
      </c>
      <c r="K4802" s="8">
        <f>IF(G4802="","",G4802+J4802)</f>
        <v/>
      </c>
    </row>
    <row r="4803">
      <c r="F4803" s="8" t="n"/>
      <c r="G4803" s="8">
        <f>IF(E4803="","",E4803*F4803)</f>
        <v/>
      </c>
      <c r="H4803" s="8">
        <f>IF(G4803="","",G4803-I4803)</f>
        <v/>
      </c>
      <c r="I4803" s="8">
        <f>IF(D4803="","",VLOOKUP(D4803, RECETTES!B:G, 6, FALSE)*E4803)</f>
        <v/>
      </c>
      <c r="J4803" s="8">
        <f>IF(G4803="","",G4803*0.20)</f>
        <v/>
      </c>
      <c r="K4803" s="8">
        <f>IF(G4803="","",G4803+J4803)</f>
        <v/>
      </c>
    </row>
    <row r="4804">
      <c r="F4804" s="8" t="n"/>
      <c r="G4804" s="8">
        <f>IF(E4804="","",E4804*F4804)</f>
        <v/>
      </c>
      <c r="H4804" s="8">
        <f>IF(G4804="","",G4804-I4804)</f>
        <v/>
      </c>
      <c r="I4804" s="8">
        <f>IF(D4804="","",VLOOKUP(D4804, RECETTES!B:G, 6, FALSE)*E4804)</f>
        <v/>
      </c>
      <c r="J4804" s="8">
        <f>IF(G4804="","",G4804*0.20)</f>
        <v/>
      </c>
      <c r="K4804" s="8">
        <f>IF(G4804="","",G4804+J4804)</f>
        <v/>
      </c>
    </row>
    <row r="4805">
      <c r="F4805" s="8" t="n"/>
      <c r="G4805" s="8">
        <f>IF(E4805="","",E4805*F4805)</f>
        <v/>
      </c>
      <c r="H4805" s="8">
        <f>IF(G4805="","",G4805-I4805)</f>
        <v/>
      </c>
      <c r="I4805" s="8">
        <f>IF(D4805="","",VLOOKUP(D4805, RECETTES!B:G, 6, FALSE)*E4805)</f>
        <v/>
      </c>
      <c r="J4805" s="8">
        <f>IF(G4805="","",G4805*0.20)</f>
        <v/>
      </c>
      <c r="K4805" s="8">
        <f>IF(G4805="","",G4805+J4805)</f>
        <v/>
      </c>
    </row>
    <row r="4806">
      <c r="F4806" s="8" t="n"/>
      <c r="G4806" s="8">
        <f>IF(E4806="","",E4806*F4806)</f>
        <v/>
      </c>
      <c r="H4806" s="8">
        <f>IF(G4806="","",G4806-I4806)</f>
        <v/>
      </c>
      <c r="I4806" s="8">
        <f>IF(D4806="","",VLOOKUP(D4806, RECETTES!B:G, 6, FALSE)*E4806)</f>
        <v/>
      </c>
      <c r="J4806" s="8">
        <f>IF(G4806="","",G4806*0.20)</f>
        <v/>
      </c>
      <c r="K4806" s="8">
        <f>IF(G4806="","",G4806+J4806)</f>
        <v/>
      </c>
    </row>
    <row r="4807">
      <c r="F4807" s="8" t="n"/>
      <c r="G4807" s="8">
        <f>IF(E4807="","",E4807*F4807)</f>
        <v/>
      </c>
      <c r="H4807" s="8">
        <f>IF(G4807="","",G4807-I4807)</f>
        <v/>
      </c>
      <c r="I4807" s="8">
        <f>IF(D4807="","",VLOOKUP(D4807, RECETTES!B:G, 6, FALSE)*E4807)</f>
        <v/>
      </c>
      <c r="J4807" s="8">
        <f>IF(G4807="","",G4807*0.20)</f>
        <v/>
      </c>
      <c r="K4807" s="8">
        <f>IF(G4807="","",G4807+J4807)</f>
        <v/>
      </c>
    </row>
    <row r="4808">
      <c r="F4808" s="8" t="n"/>
      <c r="G4808" s="8">
        <f>IF(E4808="","",E4808*F4808)</f>
        <v/>
      </c>
      <c r="H4808" s="8">
        <f>IF(G4808="","",G4808-I4808)</f>
        <v/>
      </c>
      <c r="I4808" s="8">
        <f>IF(D4808="","",VLOOKUP(D4808, RECETTES!B:G, 6, FALSE)*E4808)</f>
        <v/>
      </c>
      <c r="J4808" s="8">
        <f>IF(G4808="","",G4808*0.20)</f>
        <v/>
      </c>
      <c r="K4808" s="8">
        <f>IF(G4808="","",G4808+J4808)</f>
        <v/>
      </c>
    </row>
    <row r="4809">
      <c r="F4809" s="8" t="n"/>
      <c r="G4809" s="8">
        <f>IF(E4809="","",E4809*F4809)</f>
        <v/>
      </c>
      <c r="H4809" s="8">
        <f>IF(G4809="","",G4809-I4809)</f>
        <v/>
      </c>
      <c r="I4809" s="8">
        <f>IF(D4809="","",VLOOKUP(D4809, RECETTES!B:G, 6, FALSE)*E4809)</f>
        <v/>
      </c>
      <c r="J4809" s="8">
        <f>IF(G4809="","",G4809*0.20)</f>
        <v/>
      </c>
      <c r="K4809" s="8">
        <f>IF(G4809="","",G4809+J4809)</f>
        <v/>
      </c>
    </row>
    <row r="4810">
      <c r="F4810" s="8" t="n"/>
      <c r="G4810" s="8">
        <f>IF(E4810="","",E4810*F4810)</f>
        <v/>
      </c>
      <c r="H4810" s="8">
        <f>IF(G4810="","",G4810-I4810)</f>
        <v/>
      </c>
      <c r="I4810" s="8">
        <f>IF(D4810="","",VLOOKUP(D4810, RECETTES!B:G, 6, FALSE)*E4810)</f>
        <v/>
      </c>
      <c r="J4810" s="8">
        <f>IF(G4810="","",G4810*0.20)</f>
        <v/>
      </c>
      <c r="K4810" s="8">
        <f>IF(G4810="","",G4810+J4810)</f>
        <v/>
      </c>
    </row>
    <row r="4811">
      <c r="F4811" s="8" t="n"/>
      <c r="G4811" s="8">
        <f>IF(E4811="","",E4811*F4811)</f>
        <v/>
      </c>
      <c r="H4811" s="8">
        <f>IF(G4811="","",G4811-I4811)</f>
        <v/>
      </c>
      <c r="I4811" s="8">
        <f>IF(D4811="","",VLOOKUP(D4811, RECETTES!B:G, 6, FALSE)*E4811)</f>
        <v/>
      </c>
      <c r="J4811" s="8">
        <f>IF(G4811="","",G4811*0.20)</f>
        <v/>
      </c>
      <c r="K4811" s="8">
        <f>IF(G4811="","",G4811+J4811)</f>
        <v/>
      </c>
    </row>
    <row r="4812">
      <c r="F4812" s="8" t="n"/>
      <c r="G4812" s="8">
        <f>IF(E4812="","",E4812*F4812)</f>
        <v/>
      </c>
      <c r="H4812" s="8">
        <f>IF(G4812="","",G4812-I4812)</f>
        <v/>
      </c>
      <c r="I4812" s="8">
        <f>IF(D4812="","",VLOOKUP(D4812, RECETTES!B:G, 6, FALSE)*E4812)</f>
        <v/>
      </c>
      <c r="J4812" s="8">
        <f>IF(G4812="","",G4812*0.20)</f>
        <v/>
      </c>
      <c r="K4812" s="8">
        <f>IF(G4812="","",G4812+J4812)</f>
        <v/>
      </c>
    </row>
    <row r="4813">
      <c r="F4813" s="8" t="n"/>
      <c r="G4813" s="8">
        <f>IF(E4813="","",E4813*F4813)</f>
        <v/>
      </c>
      <c r="H4813" s="8">
        <f>IF(G4813="","",G4813-I4813)</f>
        <v/>
      </c>
      <c r="I4813" s="8">
        <f>IF(D4813="","",VLOOKUP(D4813, RECETTES!B:G, 6, FALSE)*E4813)</f>
        <v/>
      </c>
      <c r="J4813" s="8">
        <f>IF(G4813="","",G4813*0.20)</f>
        <v/>
      </c>
      <c r="K4813" s="8">
        <f>IF(G4813="","",G4813+J4813)</f>
        <v/>
      </c>
    </row>
    <row r="4814">
      <c r="F4814" s="8" t="n"/>
      <c r="G4814" s="8">
        <f>IF(E4814="","",E4814*F4814)</f>
        <v/>
      </c>
      <c r="H4814" s="8">
        <f>IF(G4814="","",G4814-I4814)</f>
        <v/>
      </c>
      <c r="I4814" s="8">
        <f>IF(D4814="","",VLOOKUP(D4814, RECETTES!B:G, 6, FALSE)*E4814)</f>
        <v/>
      </c>
      <c r="J4814" s="8">
        <f>IF(G4814="","",G4814*0.20)</f>
        <v/>
      </c>
      <c r="K4814" s="8">
        <f>IF(G4814="","",G4814+J4814)</f>
        <v/>
      </c>
    </row>
    <row r="4815">
      <c r="F4815" s="8" t="n"/>
      <c r="G4815" s="8">
        <f>IF(E4815="","",E4815*F4815)</f>
        <v/>
      </c>
      <c r="H4815" s="8">
        <f>IF(G4815="","",G4815-I4815)</f>
        <v/>
      </c>
      <c r="I4815" s="8">
        <f>IF(D4815="","",VLOOKUP(D4815, RECETTES!B:G, 6, FALSE)*E4815)</f>
        <v/>
      </c>
      <c r="J4815" s="8">
        <f>IF(G4815="","",G4815*0.20)</f>
        <v/>
      </c>
      <c r="K4815" s="8">
        <f>IF(G4815="","",G4815+J4815)</f>
        <v/>
      </c>
    </row>
    <row r="4816">
      <c r="F4816" s="8" t="n"/>
      <c r="G4816" s="8">
        <f>IF(E4816="","",E4816*F4816)</f>
        <v/>
      </c>
      <c r="H4816" s="8">
        <f>IF(G4816="","",G4816-I4816)</f>
        <v/>
      </c>
      <c r="I4816" s="8">
        <f>IF(D4816="","",VLOOKUP(D4816, RECETTES!B:G, 6, FALSE)*E4816)</f>
        <v/>
      </c>
      <c r="J4816" s="8">
        <f>IF(G4816="","",G4816*0.20)</f>
        <v/>
      </c>
      <c r="K4816" s="8">
        <f>IF(G4816="","",G4816+J4816)</f>
        <v/>
      </c>
    </row>
    <row r="4817">
      <c r="F4817" s="8" t="n"/>
      <c r="G4817" s="8">
        <f>IF(E4817="","",E4817*F4817)</f>
        <v/>
      </c>
      <c r="H4817" s="8">
        <f>IF(G4817="","",G4817-I4817)</f>
        <v/>
      </c>
      <c r="I4817" s="8">
        <f>IF(D4817="","",VLOOKUP(D4817, RECETTES!B:G, 6, FALSE)*E4817)</f>
        <v/>
      </c>
      <c r="J4817" s="8">
        <f>IF(G4817="","",G4817*0.20)</f>
        <v/>
      </c>
      <c r="K4817" s="8">
        <f>IF(G4817="","",G4817+J4817)</f>
        <v/>
      </c>
    </row>
    <row r="4818">
      <c r="F4818" s="8" t="n"/>
      <c r="G4818" s="8">
        <f>IF(E4818="","",E4818*F4818)</f>
        <v/>
      </c>
      <c r="H4818" s="8">
        <f>IF(G4818="","",G4818-I4818)</f>
        <v/>
      </c>
      <c r="I4818" s="8">
        <f>IF(D4818="","",VLOOKUP(D4818, RECETTES!B:G, 6, FALSE)*E4818)</f>
        <v/>
      </c>
      <c r="J4818" s="8">
        <f>IF(G4818="","",G4818*0.20)</f>
        <v/>
      </c>
      <c r="K4818" s="8">
        <f>IF(G4818="","",G4818+J4818)</f>
        <v/>
      </c>
    </row>
    <row r="4819">
      <c r="F4819" s="8" t="n"/>
      <c r="G4819" s="8">
        <f>IF(E4819="","",E4819*F4819)</f>
        <v/>
      </c>
      <c r="H4819" s="8">
        <f>IF(G4819="","",G4819-I4819)</f>
        <v/>
      </c>
      <c r="I4819" s="8">
        <f>IF(D4819="","",VLOOKUP(D4819, RECETTES!B:G, 6, FALSE)*E4819)</f>
        <v/>
      </c>
      <c r="J4819" s="8">
        <f>IF(G4819="","",G4819*0.20)</f>
        <v/>
      </c>
      <c r="K4819" s="8">
        <f>IF(G4819="","",G4819+J4819)</f>
        <v/>
      </c>
    </row>
    <row r="4820">
      <c r="F4820" s="8" t="n"/>
      <c r="G4820" s="8">
        <f>IF(E4820="","",E4820*F4820)</f>
        <v/>
      </c>
      <c r="H4820" s="8">
        <f>IF(G4820="","",G4820-I4820)</f>
        <v/>
      </c>
      <c r="I4820" s="8">
        <f>IF(D4820="","",VLOOKUP(D4820, RECETTES!B:G, 6, FALSE)*E4820)</f>
        <v/>
      </c>
      <c r="J4820" s="8">
        <f>IF(G4820="","",G4820*0.20)</f>
        <v/>
      </c>
      <c r="K4820" s="8">
        <f>IF(G4820="","",G4820+J4820)</f>
        <v/>
      </c>
    </row>
    <row r="4821">
      <c r="F4821" s="8" t="n"/>
      <c r="G4821" s="8">
        <f>IF(E4821="","",E4821*F4821)</f>
        <v/>
      </c>
      <c r="H4821" s="8">
        <f>IF(G4821="","",G4821-I4821)</f>
        <v/>
      </c>
      <c r="I4821" s="8">
        <f>IF(D4821="","",VLOOKUP(D4821, RECETTES!B:G, 6, FALSE)*E4821)</f>
        <v/>
      </c>
      <c r="J4821" s="8">
        <f>IF(G4821="","",G4821*0.20)</f>
        <v/>
      </c>
      <c r="K4821" s="8">
        <f>IF(G4821="","",G4821+J4821)</f>
        <v/>
      </c>
    </row>
    <row r="4822">
      <c r="F4822" s="8" t="n"/>
      <c r="G4822" s="8">
        <f>IF(E4822="","",E4822*F4822)</f>
        <v/>
      </c>
      <c r="H4822" s="8">
        <f>IF(G4822="","",G4822-I4822)</f>
        <v/>
      </c>
      <c r="I4822" s="8">
        <f>IF(D4822="","",VLOOKUP(D4822, RECETTES!B:G, 6, FALSE)*E4822)</f>
        <v/>
      </c>
      <c r="J4822" s="8">
        <f>IF(G4822="","",G4822*0.20)</f>
        <v/>
      </c>
      <c r="K4822" s="8">
        <f>IF(G4822="","",G4822+J4822)</f>
        <v/>
      </c>
    </row>
    <row r="4823">
      <c r="F4823" s="8" t="n"/>
      <c r="G4823" s="8">
        <f>IF(E4823="","",E4823*F4823)</f>
        <v/>
      </c>
      <c r="H4823" s="8">
        <f>IF(G4823="","",G4823-I4823)</f>
        <v/>
      </c>
      <c r="I4823" s="8">
        <f>IF(D4823="","",VLOOKUP(D4823, RECETTES!B:G, 6, FALSE)*E4823)</f>
        <v/>
      </c>
      <c r="J4823" s="8">
        <f>IF(G4823="","",G4823*0.20)</f>
        <v/>
      </c>
      <c r="K4823" s="8">
        <f>IF(G4823="","",G4823+J4823)</f>
        <v/>
      </c>
    </row>
    <row r="4824">
      <c r="F4824" s="8" t="n"/>
      <c r="G4824" s="8">
        <f>IF(E4824="","",E4824*F4824)</f>
        <v/>
      </c>
      <c r="H4824" s="8">
        <f>IF(G4824="","",G4824-I4824)</f>
        <v/>
      </c>
      <c r="I4824" s="8">
        <f>IF(D4824="","",VLOOKUP(D4824, RECETTES!B:G, 6, FALSE)*E4824)</f>
        <v/>
      </c>
      <c r="J4824" s="8">
        <f>IF(G4824="","",G4824*0.20)</f>
        <v/>
      </c>
      <c r="K4824" s="8">
        <f>IF(G4824="","",G4824+J4824)</f>
        <v/>
      </c>
    </row>
    <row r="4825">
      <c r="F4825" s="8" t="n"/>
      <c r="G4825" s="8">
        <f>IF(E4825="","",E4825*F4825)</f>
        <v/>
      </c>
      <c r="H4825" s="8">
        <f>IF(G4825="","",G4825-I4825)</f>
        <v/>
      </c>
      <c r="I4825" s="8">
        <f>IF(D4825="","",VLOOKUP(D4825, RECETTES!B:G, 6, FALSE)*E4825)</f>
        <v/>
      </c>
      <c r="J4825" s="8">
        <f>IF(G4825="","",G4825*0.20)</f>
        <v/>
      </c>
      <c r="K4825" s="8">
        <f>IF(G4825="","",G4825+J4825)</f>
        <v/>
      </c>
    </row>
    <row r="4826">
      <c r="F4826" s="8" t="n"/>
      <c r="G4826" s="8">
        <f>IF(E4826="","",E4826*F4826)</f>
        <v/>
      </c>
      <c r="H4826" s="8">
        <f>IF(G4826="","",G4826-I4826)</f>
        <v/>
      </c>
      <c r="I4826" s="8">
        <f>IF(D4826="","",VLOOKUP(D4826, RECETTES!B:G, 6, FALSE)*E4826)</f>
        <v/>
      </c>
      <c r="J4826" s="8">
        <f>IF(G4826="","",G4826*0.20)</f>
        <v/>
      </c>
      <c r="K4826" s="8">
        <f>IF(G4826="","",G4826+J4826)</f>
        <v/>
      </c>
    </row>
    <row r="4827">
      <c r="F4827" s="8" t="n"/>
      <c r="G4827" s="8">
        <f>IF(E4827="","",E4827*F4827)</f>
        <v/>
      </c>
      <c r="H4827" s="8">
        <f>IF(G4827="","",G4827-I4827)</f>
        <v/>
      </c>
      <c r="I4827" s="8">
        <f>IF(D4827="","",VLOOKUP(D4827, RECETTES!B:G, 6, FALSE)*E4827)</f>
        <v/>
      </c>
      <c r="J4827" s="8">
        <f>IF(G4827="","",G4827*0.20)</f>
        <v/>
      </c>
      <c r="K4827" s="8">
        <f>IF(G4827="","",G4827+J4827)</f>
        <v/>
      </c>
    </row>
    <row r="4828">
      <c r="F4828" s="8" t="n"/>
      <c r="G4828" s="8">
        <f>IF(E4828="","",E4828*F4828)</f>
        <v/>
      </c>
      <c r="H4828" s="8">
        <f>IF(G4828="","",G4828-I4828)</f>
        <v/>
      </c>
      <c r="I4828" s="8">
        <f>IF(D4828="","",VLOOKUP(D4828, RECETTES!B:G, 6, FALSE)*E4828)</f>
        <v/>
      </c>
      <c r="J4828" s="8">
        <f>IF(G4828="","",G4828*0.20)</f>
        <v/>
      </c>
      <c r="K4828" s="8">
        <f>IF(G4828="","",G4828+J4828)</f>
        <v/>
      </c>
    </row>
    <row r="4829">
      <c r="F4829" s="8" t="n"/>
      <c r="G4829" s="8">
        <f>IF(E4829="","",E4829*F4829)</f>
        <v/>
      </c>
      <c r="H4829" s="8">
        <f>IF(G4829="","",G4829-I4829)</f>
        <v/>
      </c>
      <c r="I4829" s="8">
        <f>IF(D4829="","",VLOOKUP(D4829, RECETTES!B:G, 6, FALSE)*E4829)</f>
        <v/>
      </c>
      <c r="J4829" s="8">
        <f>IF(G4829="","",G4829*0.20)</f>
        <v/>
      </c>
      <c r="K4829" s="8">
        <f>IF(G4829="","",G4829+J4829)</f>
        <v/>
      </c>
    </row>
    <row r="4830">
      <c r="F4830" s="8" t="n"/>
      <c r="G4830" s="8">
        <f>IF(E4830="","",E4830*F4830)</f>
        <v/>
      </c>
      <c r="H4830" s="8">
        <f>IF(G4830="","",G4830-I4830)</f>
        <v/>
      </c>
      <c r="I4830" s="8">
        <f>IF(D4830="","",VLOOKUP(D4830, RECETTES!B:G, 6, FALSE)*E4830)</f>
        <v/>
      </c>
      <c r="J4830" s="8">
        <f>IF(G4830="","",G4830*0.20)</f>
        <v/>
      </c>
      <c r="K4830" s="8">
        <f>IF(G4830="","",G4830+J4830)</f>
        <v/>
      </c>
    </row>
    <row r="4831">
      <c r="F4831" s="8" t="n"/>
      <c r="G4831" s="8">
        <f>IF(E4831="","",E4831*F4831)</f>
        <v/>
      </c>
      <c r="H4831" s="8">
        <f>IF(G4831="","",G4831-I4831)</f>
        <v/>
      </c>
      <c r="I4831" s="8">
        <f>IF(D4831="","",VLOOKUP(D4831, RECETTES!B:G, 6, FALSE)*E4831)</f>
        <v/>
      </c>
      <c r="J4831" s="8">
        <f>IF(G4831="","",G4831*0.20)</f>
        <v/>
      </c>
      <c r="K4831" s="8">
        <f>IF(G4831="","",G4831+J4831)</f>
        <v/>
      </c>
    </row>
    <row r="4832">
      <c r="F4832" s="8" t="n"/>
      <c r="G4832" s="8">
        <f>IF(E4832="","",E4832*F4832)</f>
        <v/>
      </c>
      <c r="H4832" s="8">
        <f>IF(G4832="","",G4832-I4832)</f>
        <v/>
      </c>
      <c r="I4832" s="8">
        <f>IF(D4832="","",VLOOKUP(D4832, RECETTES!B:G, 6, FALSE)*E4832)</f>
        <v/>
      </c>
      <c r="J4832" s="8">
        <f>IF(G4832="","",G4832*0.20)</f>
        <v/>
      </c>
      <c r="K4832" s="8">
        <f>IF(G4832="","",G4832+J4832)</f>
        <v/>
      </c>
    </row>
    <row r="4833">
      <c r="F4833" s="8" t="n"/>
      <c r="G4833" s="8">
        <f>IF(E4833="","",E4833*F4833)</f>
        <v/>
      </c>
      <c r="H4833" s="8">
        <f>IF(G4833="","",G4833-I4833)</f>
        <v/>
      </c>
      <c r="I4833" s="8">
        <f>IF(D4833="","",VLOOKUP(D4833, RECETTES!B:G, 6, FALSE)*E4833)</f>
        <v/>
      </c>
      <c r="J4833" s="8">
        <f>IF(G4833="","",G4833*0.20)</f>
        <v/>
      </c>
      <c r="K4833" s="8">
        <f>IF(G4833="","",G4833+J4833)</f>
        <v/>
      </c>
    </row>
    <row r="4834">
      <c r="F4834" s="8" t="n"/>
      <c r="G4834" s="8">
        <f>IF(E4834="","",E4834*F4834)</f>
        <v/>
      </c>
      <c r="H4834" s="8">
        <f>IF(G4834="","",G4834-I4834)</f>
        <v/>
      </c>
      <c r="I4834" s="8">
        <f>IF(D4834="","",VLOOKUP(D4834, RECETTES!B:G, 6, FALSE)*E4834)</f>
        <v/>
      </c>
      <c r="J4834" s="8">
        <f>IF(G4834="","",G4834*0.20)</f>
        <v/>
      </c>
      <c r="K4834" s="8">
        <f>IF(G4834="","",G4834+J4834)</f>
        <v/>
      </c>
    </row>
    <row r="4835">
      <c r="F4835" s="8" t="n"/>
      <c r="G4835" s="8">
        <f>IF(E4835="","",E4835*F4835)</f>
        <v/>
      </c>
      <c r="H4835" s="8">
        <f>IF(G4835="","",G4835-I4835)</f>
        <v/>
      </c>
      <c r="I4835" s="8">
        <f>IF(D4835="","",VLOOKUP(D4835, RECETTES!B:G, 6, FALSE)*E4835)</f>
        <v/>
      </c>
      <c r="J4835" s="8">
        <f>IF(G4835="","",G4835*0.20)</f>
        <v/>
      </c>
      <c r="K4835" s="8">
        <f>IF(G4835="","",G4835+J4835)</f>
        <v/>
      </c>
    </row>
    <row r="4836">
      <c r="F4836" s="8" t="n"/>
      <c r="G4836" s="8">
        <f>IF(E4836="","",E4836*F4836)</f>
        <v/>
      </c>
      <c r="H4836" s="8">
        <f>IF(G4836="","",G4836-I4836)</f>
        <v/>
      </c>
      <c r="I4836" s="8">
        <f>IF(D4836="","",VLOOKUP(D4836, RECETTES!B:G, 6, FALSE)*E4836)</f>
        <v/>
      </c>
      <c r="J4836" s="8">
        <f>IF(G4836="","",G4836*0.20)</f>
        <v/>
      </c>
      <c r="K4836" s="8">
        <f>IF(G4836="","",G4836+J4836)</f>
        <v/>
      </c>
    </row>
    <row r="4837">
      <c r="F4837" s="8" t="n"/>
      <c r="G4837" s="8">
        <f>IF(E4837="","",E4837*F4837)</f>
        <v/>
      </c>
      <c r="H4837" s="8">
        <f>IF(G4837="","",G4837-I4837)</f>
        <v/>
      </c>
      <c r="I4837" s="8">
        <f>IF(D4837="","",VLOOKUP(D4837, RECETTES!B:G, 6, FALSE)*E4837)</f>
        <v/>
      </c>
      <c r="J4837" s="8">
        <f>IF(G4837="","",G4837*0.20)</f>
        <v/>
      </c>
      <c r="K4837" s="8">
        <f>IF(G4837="","",G4837+J4837)</f>
        <v/>
      </c>
    </row>
    <row r="4838">
      <c r="F4838" s="8" t="n"/>
      <c r="G4838" s="8">
        <f>IF(E4838="","",E4838*F4838)</f>
        <v/>
      </c>
      <c r="H4838" s="8">
        <f>IF(G4838="","",G4838-I4838)</f>
        <v/>
      </c>
      <c r="I4838" s="8">
        <f>IF(D4838="","",VLOOKUP(D4838, RECETTES!B:G, 6, FALSE)*E4838)</f>
        <v/>
      </c>
      <c r="J4838" s="8">
        <f>IF(G4838="","",G4838*0.20)</f>
        <v/>
      </c>
      <c r="K4838" s="8">
        <f>IF(G4838="","",G4838+J4838)</f>
        <v/>
      </c>
    </row>
    <row r="4839">
      <c r="F4839" s="8" t="n"/>
      <c r="G4839" s="8">
        <f>IF(E4839="","",E4839*F4839)</f>
        <v/>
      </c>
      <c r="H4839" s="8">
        <f>IF(G4839="","",G4839-I4839)</f>
        <v/>
      </c>
      <c r="I4839" s="8">
        <f>IF(D4839="","",VLOOKUP(D4839, RECETTES!B:G, 6, FALSE)*E4839)</f>
        <v/>
      </c>
      <c r="J4839" s="8">
        <f>IF(G4839="","",G4839*0.20)</f>
        <v/>
      </c>
      <c r="K4839" s="8">
        <f>IF(G4839="","",G4839+J4839)</f>
        <v/>
      </c>
    </row>
    <row r="4840">
      <c r="F4840" s="8" t="n"/>
      <c r="G4840" s="8">
        <f>IF(E4840="","",E4840*F4840)</f>
        <v/>
      </c>
      <c r="H4840" s="8">
        <f>IF(G4840="","",G4840-I4840)</f>
        <v/>
      </c>
      <c r="I4840" s="8">
        <f>IF(D4840="","",VLOOKUP(D4840, RECETTES!B:G, 6, FALSE)*E4840)</f>
        <v/>
      </c>
      <c r="J4840" s="8">
        <f>IF(G4840="","",G4840*0.20)</f>
        <v/>
      </c>
      <c r="K4840" s="8">
        <f>IF(G4840="","",G4840+J4840)</f>
        <v/>
      </c>
    </row>
    <row r="4841">
      <c r="F4841" s="8" t="n"/>
      <c r="G4841" s="8">
        <f>IF(E4841="","",E4841*F4841)</f>
        <v/>
      </c>
      <c r="H4841" s="8">
        <f>IF(G4841="","",G4841-I4841)</f>
        <v/>
      </c>
      <c r="I4841" s="8">
        <f>IF(D4841="","",VLOOKUP(D4841, RECETTES!B:G, 6, FALSE)*E4841)</f>
        <v/>
      </c>
      <c r="J4841" s="8">
        <f>IF(G4841="","",G4841*0.20)</f>
        <v/>
      </c>
      <c r="K4841" s="8">
        <f>IF(G4841="","",G4841+J4841)</f>
        <v/>
      </c>
    </row>
    <row r="4842">
      <c r="F4842" s="8" t="n"/>
      <c r="G4842" s="8">
        <f>IF(E4842="","",E4842*F4842)</f>
        <v/>
      </c>
      <c r="H4842" s="8">
        <f>IF(G4842="","",G4842-I4842)</f>
        <v/>
      </c>
      <c r="I4842" s="8">
        <f>IF(D4842="","",VLOOKUP(D4842, RECETTES!B:G, 6, FALSE)*E4842)</f>
        <v/>
      </c>
      <c r="J4842" s="8">
        <f>IF(G4842="","",G4842*0.20)</f>
        <v/>
      </c>
      <c r="K4842" s="8">
        <f>IF(G4842="","",G4842+J4842)</f>
        <v/>
      </c>
    </row>
    <row r="4843">
      <c r="F4843" s="8" t="n"/>
      <c r="G4843" s="8">
        <f>IF(E4843="","",E4843*F4843)</f>
        <v/>
      </c>
      <c r="H4843" s="8">
        <f>IF(G4843="","",G4843-I4843)</f>
        <v/>
      </c>
      <c r="I4843" s="8">
        <f>IF(D4843="","",VLOOKUP(D4843, RECETTES!B:G, 6, FALSE)*E4843)</f>
        <v/>
      </c>
      <c r="J4843" s="8">
        <f>IF(G4843="","",G4843*0.20)</f>
        <v/>
      </c>
      <c r="K4843" s="8">
        <f>IF(G4843="","",G4843+J4843)</f>
        <v/>
      </c>
    </row>
    <row r="4844">
      <c r="F4844" s="8" t="n"/>
      <c r="G4844" s="8">
        <f>IF(E4844="","",E4844*F4844)</f>
        <v/>
      </c>
      <c r="H4844" s="8">
        <f>IF(G4844="","",G4844-I4844)</f>
        <v/>
      </c>
      <c r="I4844" s="8">
        <f>IF(D4844="","",VLOOKUP(D4844, RECETTES!B:G, 6, FALSE)*E4844)</f>
        <v/>
      </c>
      <c r="J4844" s="8">
        <f>IF(G4844="","",G4844*0.20)</f>
        <v/>
      </c>
      <c r="K4844" s="8">
        <f>IF(G4844="","",G4844+J4844)</f>
        <v/>
      </c>
    </row>
    <row r="4845">
      <c r="F4845" s="8" t="n"/>
      <c r="G4845" s="8">
        <f>IF(E4845="","",E4845*F4845)</f>
        <v/>
      </c>
      <c r="H4845" s="8">
        <f>IF(G4845="","",G4845-I4845)</f>
        <v/>
      </c>
      <c r="I4845" s="8">
        <f>IF(D4845="","",VLOOKUP(D4845, RECETTES!B:G, 6, FALSE)*E4845)</f>
        <v/>
      </c>
      <c r="J4845" s="8">
        <f>IF(G4845="","",G4845*0.20)</f>
        <v/>
      </c>
      <c r="K4845" s="8">
        <f>IF(G4845="","",G4845+J4845)</f>
        <v/>
      </c>
    </row>
    <row r="4846">
      <c r="F4846" s="8" t="n"/>
      <c r="G4846" s="8">
        <f>IF(E4846="","",E4846*F4846)</f>
        <v/>
      </c>
      <c r="H4846" s="8">
        <f>IF(G4846="","",G4846-I4846)</f>
        <v/>
      </c>
      <c r="I4846" s="8">
        <f>IF(D4846="","",VLOOKUP(D4846, RECETTES!B:G, 6, FALSE)*E4846)</f>
        <v/>
      </c>
      <c r="J4846" s="8">
        <f>IF(G4846="","",G4846*0.20)</f>
        <v/>
      </c>
      <c r="K4846" s="8">
        <f>IF(G4846="","",G4846+J4846)</f>
        <v/>
      </c>
    </row>
    <row r="4847">
      <c r="F4847" s="8" t="n"/>
      <c r="G4847" s="8">
        <f>IF(E4847="","",E4847*F4847)</f>
        <v/>
      </c>
      <c r="H4847" s="8">
        <f>IF(G4847="","",G4847-I4847)</f>
        <v/>
      </c>
      <c r="I4847" s="8">
        <f>IF(D4847="","",VLOOKUP(D4847, RECETTES!B:G, 6, FALSE)*E4847)</f>
        <v/>
      </c>
      <c r="J4847" s="8">
        <f>IF(G4847="","",G4847*0.20)</f>
        <v/>
      </c>
      <c r="K4847" s="8">
        <f>IF(G4847="","",G4847+J4847)</f>
        <v/>
      </c>
    </row>
    <row r="4848">
      <c r="F4848" s="8" t="n"/>
      <c r="G4848" s="8">
        <f>IF(E4848="","",E4848*F4848)</f>
        <v/>
      </c>
      <c r="H4848" s="8">
        <f>IF(G4848="","",G4848-I4848)</f>
        <v/>
      </c>
      <c r="I4848" s="8">
        <f>IF(D4848="","",VLOOKUP(D4848, RECETTES!B:G, 6, FALSE)*E4848)</f>
        <v/>
      </c>
      <c r="J4848" s="8">
        <f>IF(G4848="","",G4848*0.20)</f>
        <v/>
      </c>
      <c r="K4848" s="8">
        <f>IF(G4848="","",G4848+J4848)</f>
        <v/>
      </c>
    </row>
    <row r="4849">
      <c r="F4849" s="8" t="n"/>
      <c r="G4849" s="8">
        <f>IF(E4849="","",E4849*F4849)</f>
        <v/>
      </c>
      <c r="H4849" s="8">
        <f>IF(G4849="","",G4849-I4849)</f>
        <v/>
      </c>
      <c r="I4849" s="8">
        <f>IF(D4849="","",VLOOKUP(D4849, RECETTES!B:G, 6, FALSE)*E4849)</f>
        <v/>
      </c>
      <c r="J4849" s="8">
        <f>IF(G4849="","",G4849*0.20)</f>
        <v/>
      </c>
      <c r="K4849" s="8">
        <f>IF(G4849="","",G4849+J4849)</f>
        <v/>
      </c>
    </row>
    <row r="4850">
      <c r="F4850" s="8" t="n"/>
      <c r="G4850" s="8">
        <f>IF(E4850="","",E4850*F4850)</f>
        <v/>
      </c>
      <c r="H4850" s="8">
        <f>IF(G4850="","",G4850-I4850)</f>
        <v/>
      </c>
      <c r="I4850" s="8">
        <f>IF(D4850="","",VLOOKUP(D4850, RECETTES!B:G, 6, FALSE)*E4850)</f>
        <v/>
      </c>
      <c r="J4850" s="8">
        <f>IF(G4850="","",G4850*0.20)</f>
        <v/>
      </c>
      <c r="K4850" s="8">
        <f>IF(G4850="","",G4850+J4850)</f>
        <v/>
      </c>
    </row>
    <row r="4851">
      <c r="F4851" s="8" t="n"/>
      <c r="G4851" s="8">
        <f>IF(E4851="","",E4851*F4851)</f>
        <v/>
      </c>
      <c r="H4851" s="8">
        <f>IF(G4851="","",G4851-I4851)</f>
        <v/>
      </c>
      <c r="I4851" s="8">
        <f>IF(D4851="","",VLOOKUP(D4851, RECETTES!B:G, 6, FALSE)*E4851)</f>
        <v/>
      </c>
      <c r="J4851" s="8">
        <f>IF(G4851="","",G4851*0.20)</f>
        <v/>
      </c>
      <c r="K4851" s="8">
        <f>IF(G4851="","",G4851+J4851)</f>
        <v/>
      </c>
    </row>
    <row r="4852">
      <c r="F4852" s="8" t="n"/>
      <c r="G4852" s="8">
        <f>IF(E4852="","",E4852*F4852)</f>
        <v/>
      </c>
      <c r="H4852" s="8">
        <f>IF(G4852="","",G4852-I4852)</f>
        <v/>
      </c>
      <c r="I4852" s="8">
        <f>IF(D4852="","",VLOOKUP(D4852, RECETTES!B:G, 6, FALSE)*E4852)</f>
        <v/>
      </c>
      <c r="J4852" s="8">
        <f>IF(G4852="","",G4852*0.20)</f>
        <v/>
      </c>
      <c r="K4852" s="8">
        <f>IF(G4852="","",G4852+J4852)</f>
        <v/>
      </c>
    </row>
    <row r="4853">
      <c r="F4853" s="8" t="n"/>
      <c r="G4853" s="8">
        <f>IF(E4853="","",E4853*F4853)</f>
        <v/>
      </c>
      <c r="H4853" s="8">
        <f>IF(G4853="","",G4853-I4853)</f>
        <v/>
      </c>
      <c r="I4853" s="8">
        <f>IF(D4853="","",VLOOKUP(D4853, RECETTES!B:G, 6, FALSE)*E4853)</f>
        <v/>
      </c>
      <c r="J4853" s="8">
        <f>IF(G4853="","",G4853*0.20)</f>
        <v/>
      </c>
      <c r="K4853" s="8">
        <f>IF(G4853="","",G4853+J4853)</f>
        <v/>
      </c>
    </row>
    <row r="4854">
      <c r="F4854" s="8" t="n"/>
      <c r="G4854" s="8">
        <f>IF(E4854="","",E4854*F4854)</f>
        <v/>
      </c>
      <c r="H4854" s="8">
        <f>IF(G4854="","",G4854-I4854)</f>
        <v/>
      </c>
      <c r="I4854" s="8">
        <f>IF(D4854="","",VLOOKUP(D4854, RECETTES!B:G, 6, FALSE)*E4854)</f>
        <v/>
      </c>
      <c r="J4854" s="8">
        <f>IF(G4854="","",G4854*0.20)</f>
        <v/>
      </c>
      <c r="K4854" s="8">
        <f>IF(G4854="","",G4854+J4854)</f>
        <v/>
      </c>
    </row>
    <row r="4855">
      <c r="F4855" s="8" t="n"/>
      <c r="G4855" s="8">
        <f>IF(E4855="","",E4855*F4855)</f>
        <v/>
      </c>
      <c r="H4855" s="8">
        <f>IF(G4855="","",G4855-I4855)</f>
        <v/>
      </c>
      <c r="I4855" s="8">
        <f>IF(D4855="","",VLOOKUP(D4855, RECETTES!B:G, 6, FALSE)*E4855)</f>
        <v/>
      </c>
      <c r="J4855" s="8">
        <f>IF(G4855="","",G4855*0.20)</f>
        <v/>
      </c>
      <c r="K4855" s="8">
        <f>IF(G4855="","",G4855+J4855)</f>
        <v/>
      </c>
    </row>
    <row r="4856">
      <c r="F4856" s="8" t="n"/>
      <c r="G4856" s="8">
        <f>IF(E4856="","",E4856*F4856)</f>
        <v/>
      </c>
      <c r="H4856" s="8">
        <f>IF(G4856="","",G4856-I4856)</f>
        <v/>
      </c>
      <c r="I4856" s="8">
        <f>IF(D4856="","",VLOOKUP(D4856, RECETTES!B:G, 6, FALSE)*E4856)</f>
        <v/>
      </c>
      <c r="J4856" s="8">
        <f>IF(G4856="","",G4856*0.20)</f>
        <v/>
      </c>
      <c r="K4856" s="8">
        <f>IF(G4856="","",G4856+J4856)</f>
        <v/>
      </c>
    </row>
    <row r="4857">
      <c r="F4857" s="8" t="n"/>
      <c r="G4857" s="8">
        <f>IF(E4857="","",E4857*F4857)</f>
        <v/>
      </c>
      <c r="H4857" s="8">
        <f>IF(G4857="","",G4857-I4857)</f>
        <v/>
      </c>
      <c r="I4857" s="8">
        <f>IF(D4857="","",VLOOKUP(D4857, RECETTES!B:G, 6, FALSE)*E4857)</f>
        <v/>
      </c>
      <c r="J4857" s="8">
        <f>IF(G4857="","",G4857*0.20)</f>
        <v/>
      </c>
      <c r="K4857" s="8">
        <f>IF(G4857="","",G4857+J4857)</f>
        <v/>
      </c>
    </row>
    <row r="4858">
      <c r="F4858" s="8" t="n"/>
      <c r="G4858" s="8">
        <f>IF(E4858="","",E4858*F4858)</f>
        <v/>
      </c>
      <c r="H4858" s="8">
        <f>IF(G4858="","",G4858-I4858)</f>
        <v/>
      </c>
      <c r="I4858" s="8">
        <f>IF(D4858="","",VLOOKUP(D4858, RECETTES!B:G, 6, FALSE)*E4858)</f>
        <v/>
      </c>
      <c r="J4858" s="8">
        <f>IF(G4858="","",G4858*0.20)</f>
        <v/>
      </c>
      <c r="K4858" s="8">
        <f>IF(G4858="","",G4858+J4858)</f>
        <v/>
      </c>
    </row>
    <row r="4859">
      <c r="F4859" s="8" t="n"/>
      <c r="G4859" s="8">
        <f>IF(E4859="","",E4859*F4859)</f>
        <v/>
      </c>
      <c r="H4859" s="8">
        <f>IF(G4859="","",G4859-I4859)</f>
        <v/>
      </c>
      <c r="I4859" s="8">
        <f>IF(D4859="","",VLOOKUP(D4859, RECETTES!B:G, 6, FALSE)*E4859)</f>
        <v/>
      </c>
      <c r="J4859" s="8">
        <f>IF(G4859="","",G4859*0.20)</f>
        <v/>
      </c>
      <c r="K4859" s="8">
        <f>IF(G4859="","",G4859+J4859)</f>
        <v/>
      </c>
    </row>
    <row r="4860">
      <c r="F4860" s="8" t="n"/>
      <c r="G4860" s="8">
        <f>IF(E4860="","",E4860*F4860)</f>
        <v/>
      </c>
      <c r="H4860" s="8">
        <f>IF(G4860="","",G4860-I4860)</f>
        <v/>
      </c>
      <c r="I4860" s="8">
        <f>IF(D4860="","",VLOOKUP(D4860, RECETTES!B:G, 6, FALSE)*E4860)</f>
        <v/>
      </c>
      <c r="J4860" s="8">
        <f>IF(G4860="","",G4860*0.20)</f>
        <v/>
      </c>
      <c r="K4860" s="8">
        <f>IF(G4860="","",G4860+J4860)</f>
        <v/>
      </c>
    </row>
    <row r="4861">
      <c r="F4861" s="8" t="n"/>
      <c r="G4861" s="8">
        <f>IF(E4861="","",E4861*F4861)</f>
        <v/>
      </c>
      <c r="H4861" s="8">
        <f>IF(G4861="","",G4861-I4861)</f>
        <v/>
      </c>
      <c r="I4861" s="8">
        <f>IF(D4861="","",VLOOKUP(D4861, RECETTES!B:G, 6, FALSE)*E4861)</f>
        <v/>
      </c>
      <c r="J4861" s="8">
        <f>IF(G4861="","",G4861*0.20)</f>
        <v/>
      </c>
      <c r="K4861" s="8">
        <f>IF(G4861="","",G4861+J4861)</f>
        <v/>
      </c>
    </row>
    <row r="4862">
      <c r="F4862" s="8" t="n"/>
      <c r="G4862" s="8">
        <f>IF(E4862="","",E4862*F4862)</f>
        <v/>
      </c>
      <c r="H4862" s="8">
        <f>IF(G4862="","",G4862-I4862)</f>
        <v/>
      </c>
      <c r="I4862" s="8">
        <f>IF(D4862="","",VLOOKUP(D4862, RECETTES!B:G, 6, FALSE)*E4862)</f>
        <v/>
      </c>
      <c r="J4862" s="8">
        <f>IF(G4862="","",G4862*0.20)</f>
        <v/>
      </c>
      <c r="K4862" s="8">
        <f>IF(G4862="","",G4862+J4862)</f>
        <v/>
      </c>
    </row>
    <row r="4863">
      <c r="F4863" s="8" t="n"/>
      <c r="G4863" s="8">
        <f>IF(E4863="","",E4863*F4863)</f>
        <v/>
      </c>
      <c r="H4863" s="8">
        <f>IF(G4863="","",G4863-I4863)</f>
        <v/>
      </c>
      <c r="I4863" s="8">
        <f>IF(D4863="","",VLOOKUP(D4863, RECETTES!B:G, 6, FALSE)*E4863)</f>
        <v/>
      </c>
      <c r="J4863" s="8">
        <f>IF(G4863="","",G4863*0.20)</f>
        <v/>
      </c>
      <c r="K4863" s="8">
        <f>IF(G4863="","",G4863+J4863)</f>
        <v/>
      </c>
    </row>
    <row r="4864">
      <c r="F4864" s="8" t="n"/>
      <c r="G4864" s="8">
        <f>IF(E4864="","",E4864*F4864)</f>
        <v/>
      </c>
      <c r="H4864" s="8">
        <f>IF(G4864="","",G4864-I4864)</f>
        <v/>
      </c>
      <c r="I4864" s="8">
        <f>IF(D4864="","",VLOOKUP(D4864, RECETTES!B:G, 6, FALSE)*E4864)</f>
        <v/>
      </c>
      <c r="J4864" s="8">
        <f>IF(G4864="","",G4864*0.20)</f>
        <v/>
      </c>
      <c r="K4864" s="8">
        <f>IF(G4864="","",G4864+J4864)</f>
        <v/>
      </c>
    </row>
    <row r="4865">
      <c r="F4865" s="8" t="n"/>
      <c r="G4865" s="8">
        <f>IF(E4865="","",E4865*F4865)</f>
        <v/>
      </c>
      <c r="H4865" s="8">
        <f>IF(G4865="","",G4865-I4865)</f>
        <v/>
      </c>
      <c r="I4865" s="8">
        <f>IF(D4865="","",VLOOKUP(D4865, RECETTES!B:G, 6, FALSE)*E4865)</f>
        <v/>
      </c>
      <c r="J4865" s="8">
        <f>IF(G4865="","",G4865*0.20)</f>
        <v/>
      </c>
      <c r="K4865" s="8">
        <f>IF(G4865="","",G4865+J4865)</f>
        <v/>
      </c>
    </row>
    <row r="4866">
      <c r="F4866" s="8" t="n"/>
      <c r="G4866" s="8">
        <f>IF(E4866="","",E4866*F4866)</f>
        <v/>
      </c>
      <c r="H4866" s="8">
        <f>IF(G4866="","",G4866-I4866)</f>
        <v/>
      </c>
      <c r="I4866" s="8">
        <f>IF(D4866="","",VLOOKUP(D4866, RECETTES!B:G, 6, FALSE)*E4866)</f>
        <v/>
      </c>
      <c r="J4866" s="8">
        <f>IF(G4866="","",G4866*0.20)</f>
        <v/>
      </c>
      <c r="K4866" s="8">
        <f>IF(G4866="","",G4866+J4866)</f>
        <v/>
      </c>
    </row>
    <row r="4867">
      <c r="F4867" s="8" t="n"/>
      <c r="G4867" s="8">
        <f>IF(E4867="","",E4867*F4867)</f>
        <v/>
      </c>
      <c r="H4867" s="8">
        <f>IF(G4867="","",G4867-I4867)</f>
        <v/>
      </c>
      <c r="I4867" s="8">
        <f>IF(D4867="","",VLOOKUP(D4867, RECETTES!B:G, 6, FALSE)*E4867)</f>
        <v/>
      </c>
      <c r="J4867" s="8">
        <f>IF(G4867="","",G4867*0.20)</f>
        <v/>
      </c>
      <c r="K4867" s="8">
        <f>IF(G4867="","",G4867+J4867)</f>
        <v/>
      </c>
    </row>
    <row r="4868">
      <c r="F4868" s="8" t="n"/>
      <c r="G4868" s="8">
        <f>IF(E4868="","",E4868*F4868)</f>
        <v/>
      </c>
      <c r="H4868" s="8">
        <f>IF(G4868="","",G4868-I4868)</f>
        <v/>
      </c>
      <c r="I4868" s="8">
        <f>IF(D4868="","",VLOOKUP(D4868, RECETTES!B:G, 6, FALSE)*E4868)</f>
        <v/>
      </c>
      <c r="J4868" s="8">
        <f>IF(G4868="","",G4868*0.20)</f>
        <v/>
      </c>
      <c r="K4868" s="8">
        <f>IF(G4868="","",G4868+J4868)</f>
        <v/>
      </c>
    </row>
    <row r="4869">
      <c r="F4869" s="8" t="n"/>
      <c r="G4869" s="8">
        <f>IF(E4869="","",E4869*F4869)</f>
        <v/>
      </c>
      <c r="H4869" s="8">
        <f>IF(G4869="","",G4869-I4869)</f>
        <v/>
      </c>
      <c r="I4869" s="8">
        <f>IF(D4869="","",VLOOKUP(D4869, RECETTES!B:G, 6, FALSE)*E4869)</f>
        <v/>
      </c>
      <c r="J4869" s="8">
        <f>IF(G4869="","",G4869*0.20)</f>
        <v/>
      </c>
      <c r="K4869" s="8">
        <f>IF(G4869="","",G4869+J4869)</f>
        <v/>
      </c>
    </row>
    <row r="4870">
      <c r="F4870" s="8" t="n"/>
      <c r="G4870" s="8">
        <f>IF(E4870="","",E4870*F4870)</f>
        <v/>
      </c>
      <c r="H4870" s="8">
        <f>IF(G4870="","",G4870-I4870)</f>
        <v/>
      </c>
      <c r="I4870" s="8">
        <f>IF(D4870="","",VLOOKUP(D4870, RECETTES!B:G, 6, FALSE)*E4870)</f>
        <v/>
      </c>
      <c r="J4870" s="8">
        <f>IF(G4870="","",G4870*0.20)</f>
        <v/>
      </c>
      <c r="K4870" s="8">
        <f>IF(G4870="","",G4870+J4870)</f>
        <v/>
      </c>
    </row>
    <row r="4871">
      <c r="F4871" s="8" t="n"/>
      <c r="G4871" s="8">
        <f>IF(E4871="","",E4871*F4871)</f>
        <v/>
      </c>
      <c r="H4871" s="8">
        <f>IF(G4871="","",G4871-I4871)</f>
        <v/>
      </c>
      <c r="I4871" s="8">
        <f>IF(D4871="","",VLOOKUP(D4871, RECETTES!B:G, 6, FALSE)*E4871)</f>
        <v/>
      </c>
      <c r="J4871" s="8">
        <f>IF(G4871="","",G4871*0.20)</f>
        <v/>
      </c>
      <c r="K4871" s="8">
        <f>IF(G4871="","",G4871+J4871)</f>
        <v/>
      </c>
    </row>
    <row r="4872">
      <c r="F4872" s="8" t="n"/>
      <c r="G4872" s="8">
        <f>IF(E4872="","",E4872*F4872)</f>
        <v/>
      </c>
      <c r="H4872" s="8">
        <f>IF(G4872="","",G4872-I4872)</f>
        <v/>
      </c>
      <c r="I4872" s="8">
        <f>IF(D4872="","",VLOOKUP(D4872, RECETTES!B:G, 6, FALSE)*E4872)</f>
        <v/>
      </c>
      <c r="J4872" s="8">
        <f>IF(G4872="","",G4872*0.20)</f>
        <v/>
      </c>
      <c r="K4872" s="8">
        <f>IF(G4872="","",G4872+J4872)</f>
        <v/>
      </c>
    </row>
    <row r="4873">
      <c r="F4873" s="8" t="n"/>
      <c r="G4873" s="8">
        <f>IF(E4873="","",E4873*F4873)</f>
        <v/>
      </c>
      <c r="H4873" s="8">
        <f>IF(G4873="","",G4873-I4873)</f>
        <v/>
      </c>
      <c r="I4873" s="8">
        <f>IF(D4873="","",VLOOKUP(D4873, RECETTES!B:G, 6, FALSE)*E4873)</f>
        <v/>
      </c>
      <c r="J4873" s="8">
        <f>IF(G4873="","",G4873*0.20)</f>
        <v/>
      </c>
      <c r="K4873" s="8">
        <f>IF(G4873="","",G4873+J4873)</f>
        <v/>
      </c>
    </row>
    <row r="4874">
      <c r="F4874" s="8" t="n"/>
      <c r="G4874" s="8">
        <f>IF(E4874="","",E4874*F4874)</f>
        <v/>
      </c>
      <c r="H4874" s="8">
        <f>IF(G4874="","",G4874-I4874)</f>
        <v/>
      </c>
      <c r="I4874" s="8">
        <f>IF(D4874="","",VLOOKUP(D4874, RECETTES!B:G, 6, FALSE)*E4874)</f>
        <v/>
      </c>
      <c r="J4874" s="8">
        <f>IF(G4874="","",G4874*0.20)</f>
        <v/>
      </c>
      <c r="K4874" s="8">
        <f>IF(G4874="","",G4874+J4874)</f>
        <v/>
      </c>
    </row>
    <row r="4875">
      <c r="F4875" s="8" t="n"/>
      <c r="G4875" s="8">
        <f>IF(E4875="","",E4875*F4875)</f>
        <v/>
      </c>
      <c r="H4875" s="8">
        <f>IF(G4875="","",G4875-I4875)</f>
        <v/>
      </c>
      <c r="I4875" s="8">
        <f>IF(D4875="","",VLOOKUP(D4875, RECETTES!B:G, 6, FALSE)*E4875)</f>
        <v/>
      </c>
      <c r="J4875" s="8">
        <f>IF(G4875="","",G4875*0.20)</f>
        <v/>
      </c>
      <c r="K4875" s="8">
        <f>IF(G4875="","",G4875+J4875)</f>
        <v/>
      </c>
    </row>
    <row r="4876">
      <c r="F4876" s="8" t="n"/>
      <c r="G4876" s="8">
        <f>IF(E4876="","",E4876*F4876)</f>
        <v/>
      </c>
      <c r="H4876" s="8">
        <f>IF(G4876="","",G4876-I4876)</f>
        <v/>
      </c>
      <c r="I4876" s="8">
        <f>IF(D4876="","",VLOOKUP(D4876, RECETTES!B:G, 6, FALSE)*E4876)</f>
        <v/>
      </c>
      <c r="J4876" s="8">
        <f>IF(G4876="","",G4876*0.20)</f>
        <v/>
      </c>
      <c r="K4876" s="8">
        <f>IF(G4876="","",G4876+J4876)</f>
        <v/>
      </c>
    </row>
    <row r="4877">
      <c r="F4877" s="8" t="n"/>
      <c r="G4877" s="8">
        <f>IF(E4877="","",E4877*F4877)</f>
        <v/>
      </c>
      <c r="H4877" s="8">
        <f>IF(G4877="","",G4877-I4877)</f>
        <v/>
      </c>
      <c r="I4877" s="8">
        <f>IF(D4877="","",VLOOKUP(D4877, RECETTES!B:G, 6, FALSE)*E4877)</f>
        <v/>
      </c>
      <c r="J4877" s="8">
        <f>IF(G4877="","",G4877*0.20)</f>
        <v/>
      </c>
      <c r="K4877" s="8">
        <f>IF(G4877="","",G4877+J4877)</f>
        <v/>
      </c>
    </row>
    <row r="4878">
      <c r="F4878" s="8" t="n"/>
      <c r="G4878" s="8">
        <f>IF(E4878="","",E4878*F4878)</f>
        <v/>
      </c>
      <c r="H4878" s="8">
        <f>IF(G4878="","",G4878-I4878)</f>
        <v/>
      </c>
      <c r="I4878" s="8">
        <f>IF(D4878="","",VLOOKUP(D4878, RECETTES!B:G, 6, FALSE)*E4878)</f>
        <v/>
      </c>
      <c r="J4878" s="8">
        <f>IF(G4878="","",G4878*0.20)</f>
        <v/>
      </c>
      <c r="K4878" s="8">
        <f>IF(G4878="","",G4878+J4878)</f>
        <v/>
      </c>
    </row>
    <row r="4879">
      <c r="F4879" s="8" t="n"/>
      <c r="G4879" s="8">
        <f>IF(E4879="","",E4879*F4879)</f>
        <v/>
      </c>
      <c r="H4879" s="8">
        <f>IF(G4879="","",G4879-I4879)</f>
        <v/>
      </c>
      <c r="I4879" s="8">
        <f>IF(D4879="","",VLOOKUP(D4879, RECETTES!B:G, 6, FALSE)*E4879)</f>
        <v/>
      </c>
      <c r="J4879" s="8">
        <f>IF(G4879="","",G4879*0.20)</f>
        <v/>
      </c>
      <c r="K4879" s="8">
        <f>IF(G4879="","",G4879+J4879)</f>
        <v/>
      </c>
    </row>
    <row r="4880">
      <c r="F4880" s="8" t="n"/>
      <c r="G4880" s="8">
        <f>IF(E4880="","",E4880*F4880)</f>
        <v/>
      </c>
      <c r="H4880" s="8">
        <f>IF(G4880="","",G4880-I4880)</f>
        <v/>
      </c>
      <c r="I4880" s="8">
        <f>IF(D4880="","",VLOOKUP(D4880, RECETTES!B:G, 6, FALSE)*E4880)</f>
        <v/>
      </c>
      <c r="J4880" s="8">
        <f>IF(G4880="","",G4880*0.20)</f>
        <v/>
      </c>
      <c r="K4880" s="8">
        <f>IF(G4880="","",G4880+J4880)</f>
        <v/>
      </c>
    </row>
    <row r="4881">
      <c r="F4881" s="8" t="n"/>
      <c r="G4881" s="8">
        <f>IF(E4881="","",E4881*F4881)</f>
        <v/>
      </c>
      <c r="H4881" s="8">
        <f>IF(G4881="","",G4881-I4881)</f>
        <v/>
      </c>
      <c r="I4881" s="8">
        <f>IF(D4881="","",VLOOKUP(D4881, RECETTES!B:G, 6, FALSE)*E4881)</f>
        <v/>
      </c>
      <c r="J4881" s="8">
        <f>IF(G4881="","",G4881*0.20)</f>
        <v/>
      </c>
      <c r="K4881" s="8">
        <f>IF(G4881="","",G4881+J4881)</f>
        <v/>
      </c>
    </row>
    <row r="4882">
      <c r="F4882" s="8" t="n"/>
      <c r="G4882" s="8">
        <f>IF(E4882="","",E4882*F4882)</f>
        <v/>
      </c>
      <c r="H4882" s="8">
        <f>IF(G4882="","",G4882-I4882)</f>
        <v/>
      </c>
      <c r="I4882" s="8">
        <f>IF(D4882="","",VLOOKUP(D4882, RECETTES!B:G, 6, FALSE)*E4882)</f>
        <v/>
      </c>
      <c r="J4882" s="8">
        <f>IF(G4882="","",G4882*0.20)</f>
        <v/>
      </c>
      <c r="K4882" s="8">
        <f>IF(G4882="","",G4882+J4882)</f>
        <v/>
      </c>
    </row>
    <row r="4883">
      <c r="F4883" s="8" t="n"/>
      <c r="G4883" s="8">
        <f>IF(E4883="","",E4883*F4883)</f>
        <v/>
      </c>
      <c r="H4883" s="8">
        <f>IF(G4883="","",G4883-I4883)</f>
        <v/>
      </c>
      <c r="I4883" s="8">
        <f>IF(D4883="","",VLOOKUP(D4883, RECETTES!B:G, 6, FALSE)*E4883)</f>
        <v/>
      </c>
      <c r="J4883" s="8">
        <f>IF(G4883="","",G4883*0.20)</f>
        <v/>
      </c>
      <c r="K4883" s="8">
        <f>IF(G4883="","",G4883+J4883)</f>
        <v/>
      </c>
    </row>
    <row r="4884">
      <c r="F4884" s="8" t="n"/>
      <c r="G4884" s="8">
        <f>IF(E4884="","",E4884*F4884)</f>
        <v/>
      </c>
      <c r="H4884" s="8">
        <f>IF(G4884="","",G4884-I4884)</f>
        <v/>
      </c>
      <c r="I4884" s="8">
        <f>IF(D4884="","",VLOOKUP(D4884, RECETTES!B:G, 6, FALSE)*E4884)</f>
        <v/>
      </c>
      <c r="J4884" s="8">
        <f>IF(G4884="","",G4884*0.20)</f>
        <v/>
      </c>
      <c r="K4884" s="8">
        <f>IF(G4884="","",G4884+J4884)</f>
        <v/>
      </c>
    </row>
    <row r="4885">
      <c r="F4885" s="8" t="n"/>
      <c r="G4885" s="8">
        <f>IF(E4885="","",E4885*F4885)</f>
        <v/>
      </c>
      <c r="H4885" s="8">
        <f>IF(G4885="","",G4885-I4885)</f>
        <v/>
      </c>
      <c r="I4885" s="8">
        <f>IF(D4885="","",VLOOKUP(D4885, RECETTES!B:G, 6, FALSE)*E4885)</f>
        <v/>
      </c>
      <c r="J4885" s="8">
        <f>IF(G4885="","",G4885*0.20)</f>
        <v/>
      </c>
      <c r="K4885" s="8">
        <f>IF(G4885="","",G4885+J4885)</f>
        <v/>
      </c>
    </row>
    <row r="4886">
      <c r="F4886" s="8" t="n"/>
      <c r="G4886" s="8">
        <f>IF(E4886="","",E4886*F4886)</f>
        <v/>
      </c>
      <c r="H4886" s="8">
        <f>IF(G4886="","",G4886-I4886)</f>
        <v/>
      </c>
      <c r="I4886" s="8">
        <f>IF(D4886="","",VLOOKUP(D4886, RECETTES!B:G, 6, FALSE)*E4886)</f>
        <v/>
      </c>
      <c r="J4886" s="8">
        <f>IF(G4886="","",G4886*0.20)</f>
        <v/>
      </c>
      <c r="K4886" s="8">
        <f>IF(G4886="","",G4886+J4886)</f>
        <v/>
      </c>
    </row>
    <row r="4887">
      <c r="F4887" s="8" t="n"/>
      <c r="G4887" s="8">
        <f>IF(E4887="","",E4887*F4887)</f>
        <v/>
      </c>
      <c r="H4887" s="8">
        <f>IF(G4887="","",G4887-I4887)</f>
        <v/>
      </c>
      <c r="I4887" s="8">
        <f>IF(D4887="","",VLOOKUP(D4887, RECETTES!B:G, 6, FALSE)*E4887)</f>
        <v/>
      </c>
      <c r="J4887" s="8">
        <f>IF(G4887="","",G4887*0.20)</f>
        <v/>
      </c>
      <c r="K4887" s="8">
        <f>IF(G4887="","",G4887+J4887)</f>
        <v/>
      </c>
    </row>
    <row r="4888">
      <c r="F4888" s="8" t="n"/>
      <c r="G4888" s="8">
        <f>IF(E4888="","",E4888*F4888)</f>
        <v/>
      </c>
      <c r="H4888" s="8">
        <f>IF(G4888="","",G4888-I4888)</f>
        <v/>
      </c>
      <c r="I4888" s="8">
        <f>IF(D4888="","",VLOOKUP(D4888, RECETTES!B:G, 6, FALSE)*E4888)</f>
        <v/>
      </c>
      <c r="J4888" s="8">
        <f>IF(G4888="","",G4888*0.20)</f>
        <v/>
      </c>
      <c r="K4888" s="8">
        <f>IF(G4888="","",G4888+J4888)</f>
        <v/>
      </c>
    </row>
    <row r="4889">
      <c r="F4889" s="8" t="n"/>
      <c r="G4889" s="8">
        <f>IF(E4889="","",E4889*F4889)</f>
        <v/>
      </c>
      <c r="H4889" s="8">
        <f>IF(G4889="","",G4889-I4889)</f>
        <v/>
      </c>
      <c r="I4889" s="8">
        <f>IF(D4889="","",VLOOKUP(D4889, RECETTES!B:G, 6, FALSE)*E4889)</f>
        <v/>
      </c>
      <c r="J4889" s="8">
        <f>IF(G4889="","",G4889*0.20)</f>
        <v/>
      </c>
      <c r="K4889" s="8">
        <f>IF(G4889="","",G4889+J4889)</f>
        <v/>
      </c>
    </row>
    <row r="4890">
      <c r="F4890" s="8" t="n"/>
      <c r="G4890" s="8">
        <f>IF(E4890="","",E4890*F4890)</f>
        <v/>
      </c>
      <c r="H4890" s="8">
        <f>IF(G4890="","",G4890-I4890)</f>
        <v/>
      </c>
      <c r="I4890" s="8">
        <f>IF(D4890="","",VLOOKUP(D4890, RECETTES!B:G, 6, FALSE)*E4890)</f>
        <v/>
      </c>
      <c r="J4890" s="8">
        <f>IF(G4890="","",G4890*0.20)</f>
        <v/>
      </c>
      <c r="K4890" s="8">
        <f>IF(G4890="","",G4890+J4890)</f>
        <v/>
      </c>
    </row>
    <row r="4891">
      <c r="F4891" s="8" t="n"/>
      <c r="G4891" s="8">
        <f>IF(E4891="","",E4891*F4891)</f>
        <v/>
      </c>
      <c r="H4891" s="8">
        <f>IF(G4891="","",G4891-I4891)</f>
        <v/>
      </c>
      <c r="I4891" s="8">
        <f>IF(D4891="","",VLOOKUP(D4891, RECETTES!B:G, 6, FALSE)*E4891)</f>
        <v/>
      </c>
      <c r="J4891" s="8">
        <f>IF(G4891="","",G4891*0.20)</f>
        <v/>
      </c>
      <c r="K4891" s="8">
        <f>IF(G4891="","",G4891+J4891)</f>
        <v/>
      </c>
    </row>
    <row r="4892">
      <c r="F4892" s="8" t="n"/>
      <c r="G4892" s="8">
        <f>IF(E4892="","",E4892*F4892)</f>
        <v/>
      </c>
      <c r="H4892" s="8">
        <f>IF(G4892="","",G4892-I4892)</f>
        <v/>
      </c>
      <c r="I4892" s="8">
        <f>IF(D4892="","",VLOOKUP(D4892, RECETTES!B:G, 6, FALSE)*E4892)</f>
        <v/>
      </c>
      <c r="J4892" s="8">
        <f>IF(G4892="","",G4892*0.20)</f>
        <v/>
      </c>
      <c r="K4892" s="8">
        <f>IF(G4892="","",G4892+J4892)</f>
        <v/>
      </c>
    </row>
    <row r="4893">
      <c r="F4893" s="8" t="n"/>
      <c r="G4893" s="8">
        <f>IF(E4893="","",E4893*F4893)</f>
        <v/>
      </c>
      <c r="H4893" s="8">
        <f>IF(G4893="","",G4893-I4893)</f>
        <v/>
      </c>
      <c r="I4893" s="8">
        <f>IF(D4893="","",VLOOKUP(D4893, RECETTES!B:G, 6, FALSE)*E4893)</f>
        <v/>
      </c>
      <c r="J4893" s="8">
        <f>IF(G4893="","",G4893*0.20)</f>
        <v/>
      </c>
      <c r="K4893" s="8">
        <f>IF(G4893="","",G4893+J4893)</f>
        <v/>
      </c>
    </row>
    <row r="4894">
      <c r="F4894" s="8" t="n"/>
      <c r="G4894" s="8">
        <f>IF(E4894="","",E4894*F4894)</f>
        <v/>
      </c>
      <c r="H4894" s="8">
        <f>IF(G4894="","",G4894-I4894)</f>
        <v/>
      </c>
      <c r="I4894" s="8">
        <f>IF(D4894="","",VLOOKUP(D4894, RECETTES!B:G, 6, FALSE)*E4894)</f>
        <v/>
      </c>
      <c r="J4894" s="8">
        <f>IF(G4894="","",G4894*0.20)</f>
        <v/>
      </c>
      <c r="K4894" s="8">
        <f>IF(G4894="","",G4894+J4894)</f>
        <v/>
      </c>
    </row>
    <row r="4895">
      <c r="F4895" s="8" t="n"/>
      <c r="G4895" s="8">
        <f>IF(E4895="","",E4895*F4895)</f>
        <v/>
      </c>
      <c r="H4895" s="8">
        <f>IF(G4895="","",G4895-I4895)</f>
        <v/>
      </c>
      <c r="I4895" s="8">
        <f>IF(D4895="","",VLOOKUP(D4895, RECETTES!B:G, 6, FALSE)*E4895)</f>
        <v/>
      </c>
      <c r="J4895" s="8">
        <f>IF(G4895="","",G4895*0.20)</f>
        <v/>
      </c>
      <c r="K4895" s="8">
        <f>IF(G4895="","",G4895+J4895)</f>
        <v/>
      </c>
    </row>
    <row r="4896">
      <c r="F4896" s="8" t="n"/>
      <c r="G4896" s="8">
        <f>IF(E4896="","",E4896*F4896)</f>
        <v/>
      </c>
      <c r="H4896" s="8">
        <f>IF(G4896="","",G4896-I4896)</f>
        <v/>
      </c>
      <c r="I4896" s="8">
        <f>IF(D4896="","",VLOOKUP(D4896, RECETTES!B:G, 6, FALSE)*E4896)</f>
        <v/>
      </c>
      <c r="J4896" s="8">
        <f>IF(G4896="","",G4896*0.20)</f>
        <v/>
      </c>
      <c r="K4896" s="8">
        <f>IF(G4896="","",G4896+J4896)</f>
        <v/>
      </c>
    </row>
    <row r="4897">
      <c r="F4897" s="8" t="n"/>
      <c r="G4897" s="8">
        <f>IF(E4897="","",E4897*F4897)</f>
        <v/>
      </c>
      <c r="H4897" s="8">
        <f>IF(G4897="","",G4897-I4897)</f>
        <v/>
      </c>
      <c r="I4897" s="8">
        <f>IF(D4897="","",VLOOKUP(D4897, RECETTES!B:G, 6, FALSE)*E4897)</f>
        <v/>
      </c>
      <c r="J4897" s="8">
        <f>IF(G4897="","",G4897*0.20)</f>
        <v/>
      </c>
      <c r="K4897" s="8">
        <f>IF(G4897="","",G4897+J4897)</f>
        <v/>
      </c>
    </row>
    <row r="4898">
      <c r="F4898" s="8" t="n"/>
      <c r="G4898" s="8">
        <f>IF(E4898="","",E4898*F4898)</f>
        <v/>
      </c>
      <c r="H4898" s="8">
        <f>IF(G4898="","",G4898-I4898)</f>
        <v/>
      </c>
      <c r="I4898" s="8">
        <f>IF(D4898="","",VLOOKUP(D4898, RECETTES!B:G, 6, FALSE)*E4898)</f>
        <v/>
      </c>
      <c r="J4898" s="8">
        <f>IF(G4898="","",G4898*0.20)</f>
        <v/>
      </c>
      <c r="K4898" s="8">
        <f>IF(G4898="","",G4898+J4898)</f>
        <v/>
      </c>
    </row>
    <row r="4899">
      <c r="F4899" s="8" t="n"/>
      <c r="G4899" s="8">
        <f>IF(E4899="","",E4899*F4899)</f>
        <v/>
      </c>
      <c r="H4899" s="8">
        <f>IF(G4899="","",G4899-I4899)</f>
        <v/>
      </c>
      <c r="I4899" s="8">
        <f>IF(D4899="","",VLOOKUP(D4899, RECETTES!B:G, 6, FALSE)*E4899)</f>
        <v/>
      </c>
      <c r="J4899" s="8">
        <f>IF(G4899="","",G4899*0.20)</f>
        <v/>
      </c>
      <c r="K4899" s="8">
        <f>IF(G4899="","",G4899+J4899)</f>
        <v/>
      </c>
    </row>
    <row r="4900">
      <c r="F4900" s="8" t="n"/>
      <c r="G4900" s="8">
        <f>IF(E4900="","",E4900*F4900)</f>
        <v/>
      </c>
      <c r="H4900" s="8">
        <f>IF(G4900="","",G4900-I4900)</f>
        <v/>
      </c>
      <c r="I4900" s="8">
        <f>IF(D4900="","",VLOOKUP(D4900, RECETTES!B:G, 6, FALSE)*E4900)</f>
        <v/>
      </c>
      <c r="J4900" s="8">
        <f>IF(G4900="","",G4900*0.20)</f>
        <v/>
      </c>
      <c r="K4900" s="8">
        <f>IF(G4900="","",G4900+J4900)</f>
        <v/>
      </c>
    </row>
    <row r="4901">
      <c r="F4901" s="8" t="n"/>
      <c r="G4901" s="8">
        <f>IF(E4901="","",E4901*F4901)</f>
        <v/>
      </c>
      <c r="H4901" s="8">
        <f>IF(G4901="","",G4901-I4901)</f>
        <v/>
      </c>
      <c r="I4901" s="8">
        <f>IF(D4901="","",VLOOKUP(D4901, RECETTES!B:G, 6, FALSE)*E4901)</f>
        <v/>
      </c>
      <c r="J4901" s="8">
        <f>IF(G4901="","",G4901*0.20)</f>
        <v/>
      </c>
      <c r="K4901" s="8">
        <f>IF(G4901="","",G4901+J4901)</f>
        <v/>
      </c>
    </row>
    <row r="4902">
      <c r="F4902" s="8" t="n"/>
      <c r="G4902" s="8">
        <f>IF(E4902="","",E4902*F4902)</f>
        <v/>
      </c>
      <c r="H4902" s="8">
        <f>IF(G4902="","",G4902-I4902)</f>
        <v/>
      </c>
      <c r="I4902" s="8">
        <f>IF(D4902="","",VLOOKUP(D4902, RECETTES!B:G, 6, FALSE)*E4902)</f>
        <v/>
      </c>
      <c r="J4902" s="8">
        <f>IF(G4902="","",G4902*0.20)</f>
        <v/>
      </c>
      <c r="K4902" s="8">
        <f>IF(G4902="","",G4902+J4902)</f>
        <v/>
      </c>
    </row>
    <row r="4903">
      <c r="F4903" s="8" t="n"/>
      <c r="G4903" s="8">
        <f>IF(E4903="","",E4903*F4903)</f>
        <v/>
      </c>
      <c r="H4903" s="8">
        <f>IF(G4903="","",G4903-I4903)</f>
        <v/>
      </c>
      <c r="I4903" s="8">
        <f>IF(D4903="","",VLOOKUP(D4903, RECETTES!B:G, 6, FALSE)*E4903)</f>
        <v/>
      </c>
      <c r="J4903" s="8">
        <f>IF(G4903="","",G4903*0.20)</f>
        <v/>
      </c>
      <c r="K4903" s="8">
        <f>IF(G4903="","",G4903+J4903)</f>
        <v/>
      </c>
    </row>
    <row r="4904">
      <c r="F4904" s="8" t="n"/>
      <c r="G4904" s="8">
        <f>IF(E4904="","",E4904*F4904)</f>
        <v/>
      </c>
      <c r="H4904" s="8">
        <f>IF(G4904="","",G4904-I4904)</f>
        <v/>
      </c>
      <c r="I4904" s="8">
        <f>IF(D4904="","",VLOOKUP(D4904, RECETTES!B:G, 6, FALSE)*E4904)</f>
        <v/>
      </c>
      <c r="J4904" s="8">
        <f>IF(G4904="","",G4904*0.20)</f>
        <v/>
      </c>
      <c r="K4904" s="8">
        <f>IF(G4904="","",G4904+J4904)</f>
        <v/>
      </c>
    </row>
    <row r="4905">
      <c r="F4905" s="8" t="n"/>
      <c r="G4905" s="8">
        <f>IF(E4905="","",E4905*F4905)</f>
        <v/>
      </c>
      <c r="H4905" s="8">
        <f>IF(G4905="","",G4905-I4905)</f>
        <v/>
      </c>
      <c r="I4905" s="8">
        <f>IF(D4905="","",VLOOKUP(D4905, RECETTES!B:G, 6, FALSE)*E4905)</f>
        <v/>
      </c>
      <c r="J4905" s="8">
        <f>IF(G4905="","",G4905*0.20)</f>
        <v/>
      </c>
      <c r="K4905" s="8">
        <f>IF(G4905="","",G4905+J4905)</f>
        <v/>
      </c>
    </row>
    <row r="4906">
      <c r="F4906" s="8" t="n"/>
      <c r="G4906" s="8">
        <f>IF(E4906="","",E4906*F4906)</f>
        <v/>
      </c>
      <c r="H4906" s="8">
        <f>IF(G4906="","",G4906-I4906)</f>
        <v/>
      </c>
      <c r="I4906" s="8">
        <f>IF(D4906="","",VLOOKUP(D4906, RECETTES!B:G, 6, FALSE)*E4906)</f>
        <v/>
      </c>
      <c r="J4906" s="8">
        <f>IF(G4906="","",G4906*0.20)</f>
        <v/>
      </c>
      <c r="K4906" s="8">
        <f>IF(G4906="","",G4906+J4906)</f>
        <v/>
      </c>
    </row>
    <row r="4907">
      <c r="F4907" s="8" t="n"/>
      <c r="G4907" s="8">
        <f>IF(E4907="","",E4907*F4907)</f>
        <v/>
      </c>
      <c r="H4907" s="8">
        <f>IF(G4907="","",G4907-I4907)</f>
        <v/>
      </c>
      <c r="I4907" s="8">
        <f>IF(D4907="","",VLOOKUP(D4907, RECETTES!B:G, 6, FALSE)*E4907)</f>
        <v/>
      </c>
      <c r="J4907" s="8">
        <f>IF(G4907="","",G4907*0.20)</f>
        <v/>
      </c>
      <c r="K4907" s="8">
        <f>IF(G4907="","",G4907+J4907)</f>
        <v/>
      </c>
    </row>
    <row r="4908">
      <c r="F4908" s="8" t="n"/>
      <c r="G4908" s="8">
        <f>IF(E4908="","",E4908*F4908)</f>
        <v/>
      </c>
      <c r="H4908" s="8">
        <f>IF(G4908="","",G4908-I4908)</f>
        <v/>
      </c>
      <c r="I4908" s="8">
        <f>IF(D4908="","",VLOOKUP(D4908, RECETTES!B:G, 6, FALSE)*E4908)</f>
        <v/>
      </c>
      <c r="J4908" s="8">
        <f>IF(G4908="","",G4908*0.20)</f>
        <v/>
      </c>
      <c r="K4908" s="8">
        <f>IF(G4908="","",G4908+J4908)</f>
        <v/>
      </c>
    </row>
    <row r="4909">
      <c r="F4909" s="8" t="n"/>
      <c r="G4909" s="8">
        <f>IF(E4909="","",E4909*F4909)</f>
        <v/>
      </c>
      <c r="H4909" s="8">
        <f>IF(G4909="","",G4909-I4909)</f>
        <v/>
      </c>
      <c r="I4909" s="8">
        <f>IF(D4909="","",VLOOKUP(D4909, RECETTES!B:G, 6, FALSE)*E4909)</f>
        <v/>
      </c>
      <c r="J4909" s="8">
        <f>IF(G4909="","",G4909*0.20)</f>
        <v/>
      </c>
      <c r="K4909" s="8">
        <f>IF(G4909="","",G4909+J4909)</f>
        <v/>
      </c>
    </row>
    <row r="4910">
      <c r="F4910" s="8" t="n"/>
      <c r="G4910" s="8">
        <f>IF(E4910="","",E4910*F4910)</f>
        <v/>
      </c>
      <c r="H4910" s="8">
        <f>IF(G4910="","",G4910-I4910)</f>
        <v/>
      </c>
      <c r="I4910" s="8">
        <f>IF(D4910="","",VLOOKUP(D4910, RECETTES!B:G, 6, FALSE)*E4910)</f>
        <v/>
      </c>
      <c r="J4910" s="8">
        <f>IF(G4910="","",G4910*0.20)</f>
        <v/>
      </c>
      <c r="K4910" s="8">
        <f>IF(G4910="","",G4910+J4910)</f>
        <v/>
      </c>
    </row>
    <row r="4911">
      <c r="F4911" s="8" t="n"/>
      <c r="G4911" s="8">
        <f>IF(E4911="","",E4911*F4911)</f>
        <v/>
      </c>
      <c r="H4911" s="8">
        <f>IF(G4911="","",G4911-I4911)</f>
        <v/>
      </c>
      <c r="I4911" s="8">
        <f>IF(D4911="","",VLOOKUP(D4911, RECETTES!B:G, 6, FALSE)*E4911)</f>
        <v/>
      </c>
      <c r="J4911" s="8">
        <f>IF(G4911="","",G4911*0.20)</f>
        <v/>
      </c>
      <c r="K4911" s="8">
        <f>IF(G4911="","",G4911+J4911)</f>
        <v/>
      </c>
    </row>
    <row r="4912">
      <c r="F4912" s="8" t="n"/>
      <c r="G4912" s="8">
        <f>IF(E4912="","",E4912*F4912)</f>
        <v/>
      </c>
      <c r="H4912" s="8">
        <f>IF(G4912="","",G4912-I4912)</f>
        <v/>
      </c>
      <c r="I4912" s="8">
        <f>IF(D4912="","",VLOOKUP(D4912, RECETTES!B:G, 6, FALSE)*E4912)</f>
        <v/>
      </c>
      <c r="J4912" s="8">
        <f>IF(G4912="","",G4912*0.20)</f>
        <v/>
      </c>
      <c r="K4912" s="8">
        <f>IF(G4912="","",G4912+J4912)</f>
        <v/>
      </c>
    </row>
    <row r="4913">
      <c r="F4913" s="8" t="n"/>
      <c r="G4913" s="8">
        <f>IF(E4913="","",E4913*F4913)</f>
        <v/>
      </c>
      <c r="H4913" s="8">
        <f>IF(G4913="","",G4913-I4913)</f>
        <v/>
      </c>
      <c r="I4913" s="8">
        <f>IF(D4913="","",VLOOKUP(D4913, RECETTES!B:G, 6, FALSE)*E4913)</f>
        <v/>
      </c>
      <c r="J4913" s="8">
        <f>IF(G4913="","",G4913*0.20)</f>
        <v/>
      </c>
      <c r="K4913" s="8">
        <f>IF(G4913="","",G4913+J4913)</f>
        <v/>
      </c>
    </row>
    <row r="4914">
      <c r="F4914" s="8" t="n"/>
      <c r="G4914" s="8">
        <f>IF(E4914="","",E4914*F4914)</f>
        <v/>
      </c>
      <c r="H4914" s="8">
        <f>IF(G4914="","",G4914-I4914)</f>
        <v/>
      </c>
      <c r="I4914" s="8">
        <f>IF(D4914="","",VLOOKUP(D4914, RECETTES!B:G, 6, FALSE)*E4914)</f>
        <v/>
      </c>
      <c r="J4914" s="8">
        <f>IF(G4914="","",G4914*0.20)</f>
        <v/>
      </c>
      <c r="K4914" s="8">
        <f>IF(G4914="","",G4914+J4914)</f>
        <v/>
      </c>
    </row>
    <row r="4915">
      <c r="F4915" s="8" t="n"/>
      <c r="G4915" s="8">
        <f>IF(E4915="","",E4915*F4915)</f>
        <v/>
      </c>
      <c r="H4915" s="8">
        <f>IF(G4915="","",G4915-I4915)</f>
        <v/>
      </c>
      <c r="I4915" s="8">
        <f>IF(D4915="","",VLOOKUP(D4915, RECETTES!B:G, 6, FALSE)*E4915)</f>
        <v/>
      </c>
      <c r="J4915" s="8">
        <f>IF(G4915="","",G4915*0.20)</f>
        <v/>
      </c>
      <c r="K4915" s="8">
        <f>IF(G4915="","",G4915+J4915)</f>
        <v/>
      </c>
    </row>
    <row r="4916">
      <c r="F4916" s="8" t="n"/>
      <c r="G4916" s="8">
        <f>IF(E4916="","",E4916*F4916)</f>
        <v/>
      </c>
      <c r="H4916" s="8">
        <f>IF(G4916="","",G4916-I4916)</f>
        <v/>
      </c>
      <c r="I4916" s="8">
        <f>IF(D4916="","",VLOOKUP(D4916, RECETTES!B:G, 6, FALSE)*E4916)</f>
        <v/>
      </c>
      <c r="J4916" s="8">
        <f>IF(G4916="","",G4916*0.20)</f>
        <v/>
      </c>
      <c r="K4916" s="8">
        <f>IF(G4916="","",G4916+J4916)</f>
        <v/>
      </c>
    </row>
    <row r="4917">
      <c r="F4917" s="8" t="n"/>
      <c r="G4917" s="8">
        <f>IF(E4917="","",E4917*F4917)</f>
        <v/>
      </c>
      <c r="H4917" s="8">
        <f>IF(G4917="","",G4917-I4917)</f>
        <v/>
      </c>
      <c r="I4917" s="8">
        <f>IF(D4917="","",VLOOKUP(D4917, RECETTES!B:G, 6, FALSE)*E4917)</f>
        <v/>
      </c>
      <c r="J4917" s="8">
        <f>IF(G4917="","",G4917*0.20)</f>
        <v/>
      </c>
      <c r="K4917" s="8">
        <f>IF(G4917="","",G4917+J4917)</f>
        <v/>
      </c>
    </row>
    <row r="4918">
      <c r="F4918" s="8" t="n"/>
      <c r="G4918" s="8">
        <f>IF(E4918="","",E4918*F4918)</f>
        <v/>
      </c>
      <c r="H4918" s="8">
        <f>IF(G4918="","",G4918-I4918)</f>
        <v/>
      </c>
      <c r="I4918" s="8">
        <f>IF(D4918="","",VLOOKUP(D4918, RECETTES!B:G, 6, FALSE)*E4918)</f>
        <v/>
      </c>
      <c r="J4918" s="8">
        <f>IF(G4918="","",G4918*0.20)</f>
        <v/>
      </c>
      <c r="K4918" s="8">
        <f>IF(G4918="","",G4918+J4918)</f>
        <v/>
      </c>
    </row>
    <row r="4919">
      <c r="F4919" s="8" t="n"/>
      <c r="G4919" s="8">
        <f>IF(E4919="","",E4919*F4919)</f>
        <v/>
      </c>
      <c r="H4919" s="8">
        <f>IF(G4919="","",G4919-I4919)</f>
        <v/>
      </c>
      <c r="I4919" s="8">
        <f>IF(D4919="","",VLOOKUP(D4919, RECETTES!B:G, 6, FALSE)*E4919)</f>
        <v/>
      </c>
      <c r="J4919" s="8">
        <f>IF(G4919="","",G4919*0.20)</f>
        <v/>
      </c>
      <c r="K4919" s="8">
        <f>IF(G4919="","",G4919+J4919)</f>
        <v/>
      </c>
    </row>
    <row r="4920">
      <c r="F4920" s="8" t="n"/>
      <c r="G4920" s="8">
        <f>IF(E4920="","",E4920*F4920)</f>
        <v/>
      </c>
      <c r="H4920" s="8">
        <f>IF(G4920="","",G4920-I4920)</f>
        <v/>
      </c>
      <c r="I4920" s="8">
        <f>IF(D4920="","",VLOOKUP(D4920, RECETTES!B:G, 6, FALSE)*E4920)</f>
        <v/>
      </c>
      <c r="J4920" s="8">
        <f>IF(G4920="","",G4920*0.20)</f>
        <v/>
      </c>
      <c r="K4920" s="8">
        <f>IF(G4920="","",G4920+J4920)</f>
        <v/>
      </c>
    </row>
    <row r="4921">
      <c r="F4921" s="8" t="n"/>
      <c r="G4921" s="8">
        <f>IF(E4921="","",E4921*F4921)</f>
        <v/>
      </c>
      <c r="H4921" s="8">
        <f>IF(G4921="","",G4921-I4921)</f>
        <v/>
      </c>
      <c r="I4921" s="8">
        <f>IF(D4921="","",VLOOKUP(D4921, RECETTES!B:G, 6, FALSE)*E4921)</f>
        <v/>
      </c>
      <c r="J4921" s="8">
        <f>IF(G4921="","",G4921*0.20)</f>
        <v/>
      </c>
      <c r="K4921" s="8">
        <f>IF(G4921="","",G4921+J4921)</f>
        <v/>
      </c>
    </row>
    <row r="4922">
      <c r="F4922" s="8" t="n"/>
      <c r="G4922" s="8">
        <f>IF(E4922="","",E4922*F4922)</f>
        <v/>
      </c>
      <c r="H4922" s="8">
        <f>IF(G4922="","",G4922-I4922)</f>
        <v/>
      </c>
      <c r="I4922" s="8">
        <f>IF(D4922="","",VLOOKUP(D4922, RECETTES!B:G, 6, FALSE)*E4922)</f>
        <v/>
      </c>
      <c r="J4922" s="8">
        <f>IF(G4922="","",G4922*0.20)</f>
        <v/>
      </c>
      <c r="K4922" s="8">
        <f>IF(G4922="","",G4922+J4922)</f>
        <v/>
      </c>
    </row>
    <row r="4923">
      <c r="F4923" s="8" t="n"/>
      <c r="G4923" s="8">
        <f>IF(E4923="","",E4923*F4923)</f>
        <v/>
      </c>
      <c r="H4923" s="8">
        <f>IF(G4923="","",G4923-I4923)</f>
        <v/>
      </c>
      <c r="I4923" s="8">
        <f>IF(D4923="","",VLOOKUP(D4923, RECETTES!B:G, 6, FALSE)*E4923)</f>
        <v/>
      </c>
      <c r="J4923" s="8">
        <f>IF(G4923="","",G4923*0.20)</f>
        <v/>
      </c>
      <c r="K4923" s="8">
        <f>IF(G4923="","",G4923+J4923)</f>
        <v/>
      </c>
    </row>
    <row r="4924">
      <c r="F4924" s="8" t="n"/>
      <c r="G4924" s="8">
        <f>IF(E4924="","",E4924*F4924)</f>
        <v/>
      </c>
      <c r="H4924" s="8">
        <f>IF(G4924="","",G4924-I4924)</f>
        <v/>
      </c>
      <c r="I4924" s="8">
        <f>IF(D4924="","",VLOOKUP(D4924, RECETTES!B:G, 6, FALSE)*E4924)</f>
        <v/>
      </c>
      <c r="J4924" s="8">
        <f>IF(G4924="","",G4924*0.20)</f>
        <v/>
      </c>
      <c r="K4924" s="8">
        <f>IF(G4924="","",G4924+J4924)</f>
        <v/>
      </c>
    </row>
    <row r="4925">
      <c r="F4925" s="8" t="n"/>
      <c r="G4925" s="8">
        <f>IF(E4925="","",E4925*F4925)</f>
        <v/>
      </c>
      <c r="H4925" s="8">
        <f>IF(G4925="","",G4925-I4925)</f>
        <v/>
      </c>
      <c r="I4925" s="8">
        <f>IF(D4925="","",VLOOKUP(D4925, RECETTES!B:G, 6, FALSE)*E4925)</f>
        <v/>
      </c>
      <c r="J4925" s="8">
        <f>IF(G4925="","",G4925*0.20)</f>
        <v/>
      </c>
      <c r="K4925" s="8">
        <f>IF(G4925="","",G4925+J4925)</f>
        <v/>
      </c>
    </row>
    <row r="4926">
      <c r="F4926" s="8" t="n"/>
      <c r="G4926" s="8">
        <f>IF(E4926="","",E4926*F4926)</f>
        <v/>
      </c>
      <c r="H4926" s="8">
        <f>IF(G4926="","",G4926-I4926)</f>
        <v/>
      </c>
      <c r="I4926" s="8">
        <f>IF(D4926="","",VLOOKUP(D4926, RECETTES!B:G, 6, FALSE)*E4926)</f>
        <v/>
      </c>
      <c r="J4926" s="8">
        <f>IF(G4926="","",G4926*0.20)</f>
        <v/>
      </c>
      <c r="K4926" s="8">
        <f>IF(G4926="","",G4926+J4926)</f>
        <v/>
      </c>
    </row>
    <row r="4927">
      <c r="F4927" s="8" t="n"/>
      <c r="G4927" s="8">
        <f>IF(E4927="","",E4927*F4927)</f>
        <v/>
      </c>
      <c r="H4927" s="8">
        <f>IF(G4927="","",G4927-I4927)</f>
        <v/>
      </c>
      <c r="I4927" s="8">
        <f>IF(D4927="","",VLOOKUP(D4927, RECETTES!B:G, 6, FALSE)*E4927)</f>
        <v/>
      </c>
      <c r="J4927" s="8">
        <f>IF(G4927="","",G4927*0.20)</f>
        <v/>
      </c>
      <c r="K4927" s="8">
        <f>IF(G4927="","",G4927+J4927)</f>
        <v/>
      </c>
    </row>
    <row r="4928">
      <c r="F4928" s="8" t="n"/>
      <c r="G4928" s="8">
        <f>IF(E4928="","",E4928*F4928)</f>
        <v/>
      </c>
      <c r="H4928" s="8">
        <f>IF(G4928="","",G4928-I4928)</f>
        <v/>
      </c>
      <c r="I4928" s="8">
        <f>IF(D4928="","",VLOOKUP(D4928, RECETTES!B:G, 6, FALSE)*E4928)</f>
        <v/>
      </c>
      <c r="J4928" s="8">
        <f>IF(G4928="","",G4928*0.20)</f>
        <v/>
      </c>
      <c r="K4928" s="8">
        <f>IF(G4928="","",G4928+J4928)</f>
        <v/>
      </c>
    </row>
    <row r="4929">
      <c r="F4929" s="8" t="n"/>
      <c r="G4929" s="8">
        <f>IF(E4929="","",E4929*F4929)</f>
        <v/>
      </c>
      <c r="H4929" s="8">
        <f>IF(G4929="","",G4929-I4929)</f>
        <v/>
      </c>
      <c r="I4929" s="8">
        <f>IF(D4929="","",VLOOKUP(D4929, RECETTES!B:G, 6, FALSE)*E4929)</f>
        <v/>
      </c>
      <c r="J4929" s="8">
        <f>IF(G4929="","",G4929*0.20)</f>
        <v/>
      </c>
      <c r="K4929" s="8">
        <f>IF(G4929="","",G4929+J4929)</f>
        <v/>
      </c>
    </row>
    <row r="4930">
      <c r="F4930" s="8" t="n"/>
      <c r="G4930" s="8">
        <f>IF(E4930="","",E4930*F4930)</f>
        <v/>
      </c>
      <c r="H4930" s="8">
        <f>IF(G4930="","",G4930-I4930)</f>
        <v/>
      </c>
      <c r="I4930" s="8">
        <f>IF(D4930="","",VLOOKUP(D4930, RECETTES!B:G, 6, FALSE)*E4930)</f>
        <v/>
      </c>
      <c r="J4930" s="8">
        <f>IF(G4930="","",G4930*0.20)</f>
        <v/>
      </c>
      <c r="K4930" s="8">
        <f>IF(G4930="","",G4930+J4930)</f>
        <v/>
      </c>
    </row>
    <row r="4931">
      <c r="F4931" s="8" t="n"/>
      <c r="G4931" s="8">
        <f>IF(E4931="","",E4931*F4931)</f>
        <v/>
      </c>
      <c r="H4931" s="8">
        <f>IF(G4931="","",G4931-I4931)</f>
        <v/>
      </c>
      <c r="I4931" s="8">
        <f>IF(D4931="","",VLOOKUP(D4931, RECETTES!B:G, 6, FALSE)*E4931)</f>
        <v/>
      </c>
      <c r="J4931" s="8">
        <f>IF(G4931="","",G4931*0.20)</f>
        <v/>
      </c>
      <c r="K4931" s="8">
        <f>IF(G4931="","",G4931+J4931)</f>
        <v/>
      </c>
    </row>
    <row r="4932">
      <c r="F4932" s="8" t="n"/>
      <c r="G4932" s="8">
        <f>IF(E4932="","",E4932*F4932)</f>
        <v/>
      </c>
      <c r="H4932" s="8">
        <f>IF(G4932="","",G4932-I4932)</f>
        <v/>
      </c>
      <c r="I4932" s="8">
        <f>IF(D4932="","",VLOOKUP(D4932, RECETTES!B:G, 6, FALSE)*E4932)</f>
        <v/>
      </c>
      <c r="J4932" s="8">
        <f>IF(G4932="","",G4932*0.20)</f>
        <v/>
      </c>
      <c r="K4932" s="8">
        <f>IF(G4932="","",G4932+J4932)</f>
        <v/>
      </c>
    </row>
    <row r="4933">
      <c r="F4933" s="8" t="n"/>
      <c r="G4933" s="8">
        <f>IF(E4933="","",E4933*F4933)</f>
        <v/>
      </c>
      <c r="H4933" s="8">
        <f>IF(G4933="","",G4933-I4933)</f>
        <v/>
      </c>
      <c r="I4933" s="8">
        <f>IF(D4933="","",VLOOKUP(D4933, RECETTES!B:G, 6, FALSE)*E4933)</f>
        <v/>
      </c>
      <c r="J4933" s="8">
        <f>IF(G4933="","",G4933*0.20)</f>
        <v/>
      </c>
      <c r="K4933" s="8">
        <f>IF(G4933="","",G4933+J4933)</f>
        <v/>
      </c>
    </row>
    <row r="4934">
      <c r="F4934" s="8" t="n"/>
      <c r="G4934" s="8">
        <f>IF(E4934="","",E4934*F4934)</f>
        <v/>
      </c>
      <c r="H4934" s="8">
        <f>IF(G4934="","",G4934-I4934)</f>
        <v/>
      </c>
      <c r="I4934" s="8">
        <f>IF(D4934="","",VLOOKUP(D4934, RECETTES!B:G, 6, FALSE)*E4934)</f>
        <v/>
      </c>
      <c r="J4934" s="8">
        <f>IF(G4934="","",G4934*0.20)</f>
        <v/>
      </c>
      <c r="K4934" s="8">
        <f>IF(G4934="","",G4934+J4934)</f>
        <v/>
      </c>
    </row>
    <row r="4935">
      <c r="F4935" s="8" t="n"/>
      <c r="G4935" s="8">
        <f>IF(E4935="","",E4935*F4935)</f>
        <v/>
      </c>
      <c r="H4935" s="8">
        <f>IF(G4935="","",G4935-I4935)</f>
        <v/>
      </c>
      <c r="I4935" s="8">
        <f>IF(D4935="","",VLOOKUP(D4935, RECETTES!B:G, 6, FALSE)*E4935)</f>
        <v/>
      </c>
      <c r="J4935" s="8">
        <f>IF(G4935="","",G4935*0.20)</f>
        <v/>
      </c>
      <c r="K4935" s="8">
        <f>IF(G4935="","",G4935+J4935)</f>
        <v/>
      </c>
    </row>
    <row r="4936">
      <c r="F4936" s="8" t="n"/>
      <c r="G4936" s="8">
        <f>IF(E4936="","",E4936*F4936)</f>
        <v/>
      </c>
      <c r="H4936" s="8">
        <f>IF(G4936="","",G4936-I4936)</f>
        <v/>
      </c>
      <c r="I4936" s="8">
        <f>IF(D4936="","",VLOOKUP(D4936, RECETTES!B:G, 6, FALSE)*E4936)</f>
        <v/>
      </c>
      <c r="J4936" s="8">
        <f>IF(G4936="","",G4936*0.20)</f>
        <v/>
      </c>
      <c r="K4936" s="8">
        <f>IF(G4936="","",G4936+J4936)</f>
        <v/>
      </c>
    </row>
    <row r="4937">
      <c r="F4937" s="8" t="n"/>
      <c r="G4937" s="8">
        <f>IF(E4937="","",E4937*F4937)</f>
        <v/>
      </c>
      <c r="H4937" s="8">
        <f>IF(G4937="","",G4937-I4937)</f>
        <v/>
      </c>
      <c r="I4937" s="8">
        <f>IF(D4937="","",VLOOKUP(D4937, RECETTES!B:G, 6, FALSE)*E4937)</f>
        <v/>
      </c>
      <c r="J4937" s="8">
        <f>IF(G4937="","",G4937*0.20)</f>
        <v/>
      </c>
      <c r="K4937" s="8">
        <f>IF(G4937="","",G4937+J4937)</f>
        <v/>
      </c>
    </row>
    <row r="4938">
      <c r="F4938" s="8" t="n"/>
      <c r="G4938" s="8">
        <f>IF(E4938="","",E4938*F4938)</f>
        <v/>
      </c>
      <c r="H4938" s="8">
        <f>IF(G4938="","",G4938-I4938)</f>
        <v/>
      </c>
      <c r="I4938" s="8">
        <f>IF(D4938="","",VLOOKUP(D4938, RECETTES!B:G, 6, FALSE)*E4938)</f>
        <v/>
      </c>
      <c r="J4938" s="8">
        <f>IF(G4938="","",G4938*0.20)</f>
        <v/>
      </c>
      <c r="K4938" s="8">
        <f>IF(G4938="","",G4938+J4938)</f>
        <v/>
      </c>
    </row>
    <row r="4939">
      <c r="F4939" s="8" t="n"/>
      <c r="G4939" s="8">
        <f>IF(E4939="","",E4939*F4939)</f>
        <v/>
      </c>
      <c r="H4939" s="8">
        <f>IF(G4939="","",G4939-I4939)</f>
        <v/>
      </c>
      <c r="I4939" s="8">
        <f>IF(D4939="","",VLOOKUP(D4939, RECETTES!B:G, 6, FALSE)*E4939)</f>
        <v/>
      </c>
      <c r="J4939" s="8">
        <f>IF(G4939="","",G4939*0.20)</f>
        <v/>
      </c>
      <c r="K4939" s="8">
        <f>IF(G4939="","",G4939+J4939)</f>
        <v/>
      </c>
    </row>
    <row r="4940">
      <c r="F4940" s="8" t="n"/>
      <c r="G4940" s="8">
        <f>IF(E4940="","",E4940*F4940)</f>
        <v/>
      </c>
      <c r="H4940" s="8">
        <f>IF(G4940="","",G4940-I4940)</f>
        <v/>
      </c>
      <c r="I4940" s="8">
        <f>IF(D4940="","",VLOOKUP(D4940, RECETTES!B:G, 6, FALSE)*E4940)</f>
        <v/>
      </c>
      <c r="J4940" s="8">
        <f>IF(G4940="","",G4940*0.20)</f>
        <v/>
      </c>
      <c r="K4940" s="8">
        <f>IF(G4940="","",G4940+J4940)</f>
        <v/>
      </c>
    </row>
    <row r="4941">
      <c r="F4941" s="8" t="n"/>
      <c r="G4941" s="8">
        <f>IF(E4941="","",E4941*F4941)</f>
        <v/>
      </c>
      <c r="H4941" s="8">
        <f>IF(G4941="","",G4941-I4941)</f>
        <v/>
      </c>
      <c r="I4941" s="8">
        <f>IF(D4941="","",VLOOKUP(D4941, RECETTES!B:G, 6, FALSE)*E4941)</f>
        <v/>
      </c>
      <c r="J4941" s="8">
        <f>IF(G4941="","",G4941*0.20)</f>
        <v/>
      </c>
      <c r="K4941" s="8">
        <f>IF(G4941="","",G4941+J4941)</f>
        <v/>
      </c>
    </row>
    <row r="4942">
      <c r="F4942" s="8" t="n"/>
      <c r="G4942" s="8">
        <f>IF(E4942="","",E4942*F4942)</f>
        <v/>
      </c>
      <c r="H4942" s="8">
        <f>IF(G4942="","",G4942-I4942)</f>
        <v/>
      </c>
      <c r="I4942" s="8">
        <f>IF(D4942="","",VLOOKUP(D4942, RECETTES!B:G, 6, FALSE)*E4942)</f>
        <v/>
      </c>
      <c r="J4942" s="8">
        <f>IF(G4942="","",G4942*0.20)</f>
        <v/>
      </c>
      <c r="K4942" s="8">
        <f>IF(G4942="","",G4942+J4942)</f>
        <v/>
      </c>
    </row>
    <row r="4943">
      <c r="F4943" s="8" t="n"/>
      <c r="G4943" s="8">
        <f>IF(E4943="","",E4943*F4943)</f>
        <v/>
      </c>
      <c r="H4943" s="8">
        <f>IF(G4943="","",G4943-I4943)</f>
        <v/>
      </c>
      <c r="I4943" s="8">
        <f>IF(D4943="","",VLOOKUP(D4943, RECETTES!B:G, 6, FALSE)*E4943)</f>
        <v/>
      </c>
      <c r="J4943" s="8">
        <f>IF(G4943="","",G4943*0.20)</f>
        <v/>
      </c>
      <c r="K4943" s="8">
        <f>IF(G4943="","",G4943+J4943)</f>
        <v/>
      </c>
    </row>
    <row r="4944">
      <c r="F4944" s="8" t="n"/>
      <c r="G4944" s="8">
        <f>IF(E4944="","",E4944*F4944)</f>
        <v/>
      </c>
      <c r="H4944" s="8">
        <f>IF(G4944="","",G4944-I4944)</f>
        <v/>
      </c>
      <c r="I4944" s="8">
        <f>IF(D4944="","",VLOOKUP(D4944, RECETTES!B:G, 6, FALSE)*E4944)</f>
        <v/>
      </c>
      <c r="J4944" s="8">
        <f>IF(G4944="","",G4944*0.20)</f>
        <v/>
      </c>
      <c r="K4944" s="8">
        <f>IF(G4944="","",G4944+J4944)</f>
        <v/>
      </c>
    </row>
    <row r="4945">
      <c r="F4945" s="8" t="n"/>
      <c r="G4945" s="8">
        <f>IF(E4945="","",E4945*F4945)</f>
        <v/>
      </c>
      <c r="H4945" s="8">
        <f>IF(G4945="","",G4945-I4945)</f>
        <v/>
      </c>
      <c r="I4945" s="8">
        <f>IF(D4945="","",VLOOKUP(D4945, RECETTES!B:G, 6, FALSE)*E4945)</f>
        <v/>
      </c>
      <c r="J4945" s="8">
        <f>IF(G4945="","",G4945*0.20)</f>
        <v/>
      </c>
      <c r="K4945" s="8">
        <f>IF(G4945="","",G4945+J4945)</f>
        <v/>
      </c>
    </row>
    <row r="4946">
      <c r="F4946" s="8" t="n"/>
      <c r="G4946" s="8">
        <f>IF(E4946="","",E4946*F4946)</f>
        <v/>
      </c>
      <c r="H4946" s="8">
        <f>IF(G4946="","",G4946-I4946)</f>
        <v/>
      </c>
      <c r="I4946" s="8">
        <f>IF(D4946="","",VLOOKUP(D4946, RECETTES!B:G, 6, FALSE)*E4946)</f>
        <v/>
      </c>
      <c r="J4946" s="8">
        <f>IF(G4946="","",G4946*0.20)</f>
        <v/>
      </c>
      <c r="K4946" s="8">
        <f>IF(G4946="","",G4946+J4946)</f>
        <v/>
      </c>
    </row>
    <row r="4947">
      <c r="F4947" s="8" t="n"/>
      <c r="G4947" s="8">
        <f>IF(E4947="","",E4947*F4947)</f>
        <v/>
      </c>
      <c r="H4947" s="8">
        <f>IF(G4947="","",G4947-I4947)</f>
        <v/>
      </c>
      <c r="I4947" s="8">
        <f>IF(D4947="","",VLOOKUP(D4947, RECETTES!B:G, 6, FALSE)*E4947)</f>
        <v/>
      </c>
      <c r="J4947" s="8">
        <f>IF(G4947="","",G4947*0.20)</f>
        <v/>
      </c>
      <c r="K4947" s="8">
        <f>IF(G4947="","",G4947+J4947)</f>
        <v/>
      </c>
    </row>
    <row r="4948">
      <c r="F4948" s="8" t="n"/>
      <c r="G4948" s="8">
        <f>IF(E4948="","",E4948*F4948)</f>
        <v/>
      </c>
      <c r="H4948" s="8">
        <f>IF(G4948="","",G4948-I4948)</f>
        <v/>
      </c>
      <c r="I4948" s="8">
        <f>IF(D4948="","",VLOOKUP(D4948, RECETTES!B:G, 6, FALSE)*E4948)</f>
        <v/>
      </c>
      <c r="J4948" s="8">
        <f>IF(G4948="","",G4948*0.20)</f>
        <v/>
      </c>
      <c r="K4948" s="8">
        <f>IF(G4948="","",G4948+J4948)</f>
        <v/>
      </c>
    </row>
    <row r="4949">
      <c r="F4949" s="8" t="n"/>
      <c r="G4949" s="8">
        <f>IF(E4949="","",E4949*F4949)</f>
        <v/>
      </c>
      <c r="H4949" s="8">
        <f>IF(G4949="","",G4949-I4949)</f>
        <v/>
      </c>
      <c r="I4949" s="8">
        <f>IF(D4949="","",VLOOKUP(D4949, RECETTES!B:G, 6, FALSE)*E4949)</f>
        <v/>
      </c>
      <c r="J4949" s="8">
        <f>IF(G4949="","",G4949*0.20)</f>
        <v/>
      </c>
      <c r="K4949" s="8">
        <f>IF(G4949="","",G4949+J4949)</f>
        <v/>
      </c>
    </row>
    <row r="4950">
      <c r="F4950" s="8" t="n"/>
      <c r="G4950" s="8">
        <f>IF(E4950="","",E4950*F4950)</f>
        <v/>
      </c>
      <c r="H4950" s="8">
        <f>IF(G4950="","",G4950-I4950)</f>
        <v/>
      </c>
      <c r="I4950" s="8">
        <f>IF(D4950="","",VLOOKUP(D4950, RECETTES!B:G, 6, FALSE)*E4950)</f>
        <v/>
      </c>
      <c r="J4950" s="8">
        <f>IF(G4950="","",G4950*0.20)</f>
        <v/>
      </c>
      <c r="K4950" s="8">
        <f>IF(G4950="","",G4950+J4950)</f>
        <v/>
      </c>
    </row>
    <row r="4951">
      <c r="F4951" s="8" t="n"/>
      <c r="G4951" s="8">
        <f>IF(E4951="","",E4951*F4951)</f>
        <v/>
      </c>
      <c r="H4951" s="8">
        <f>IF(G4951="","",G4951-I4951)</f>
        <v/>
      </c>
      <c r="I4951" s="8">
        <f>IF(D4951="","",VLOOKUP(D4951, RECETTES!B:G, 6, FALSE)*E4951)</f>
        <v/>
      </c>
      <c r="J4951" s="8">
        <f>IF(G4951="","",G4951*0.20)</f>
        <v/>
      </c>
      <c r="K4951" s="8">
        <f>IF(G4951="","",G4951+J4951)</f>
        <v/>
      </c>
    </row>
    <row r="4952">
      <c r="F4952" s="8" t="n"/>
      <c r="G4952" s="8">
        <f>IF(E4952="","",E4952*F4952)</f>
        <v/>
      </c>
      <c r="H4952" s="8">
        <f>IF(G4952="","",G4952-I4952)</f>
        <v/>
      </c>
      <c r="I4952" s="8">
        <f>IF(D4952="","",VLOOKUP(D4952, RECETTES!B:G, 6, FALSE)*E4952)</f>
        <v/>
      </c>
      <c r="J4952" s="8">
        <f>IF(G4952="","",G4952*0.20)</f>
        <v/>
      </c>
      <c r="K4952" s="8">
        <f>IF(G4952="","",G4952+J4952)</f>
        <v/>
      </c>
    </row>
    <row r="4953">
      <c r="F4953" s="8" t="n"/>
      <c r="G4953" s="8">
        <f>IF(E4953="","",E4953*F4953)</f>
        <v/>
      </c>
      <c r="H4953" s="8">
        <f>IF(G4953="","",G4953-I4953)</f>
        <v/>
      </c>
      <c r="I4953" s="8">
        <f>IF(D4953="","",VLOOKUP(D4953, RECETTES!B:G, 6, FALSE)*E4953)</f>
        <v/>
      </c>
      <c r="J4953" s="8">
        <f>IF(G4953="","",G4953*0.20)</f>
        <v/>
      </c>
      <c r="K4953" s="8">
        <f>IF(G4953="","",G4953+J4953)</f>
        <v/>
      </c>
    </row>
    <row r="4954">
      <c r="F4954" s="8" t="n"/>
      <c r="G4954" s="8">
        <f>IF(E4954="","",E4954*F4954)</f>
        <v/>
      </c>
      <c r="H4954" s="8">
        <f>IF(G4954="","",G4954-I4954)</f>
        <v/>
      </c>
      <c r="I4954" s="8">
        <f>IF(D4954="","",VLOOKUP(D4954, RECETTES!B:G, 6, FALSE)*E4954)</f>
        <v/>
      </c>
      <c r="J4954" s="8">
        <f>IF(G4954="","",G4954*0.20)</f>
        <v/>
      </c>
      <c r="K4954" s="8">
        <f>IF(G4954="","",G4954+J4954)</f>
        <v/>
      </c>
    </row>
    <row r="4955">
      <c r="F4955" s="8" t="n"/>
      <c r="G4955" s="8">
        <f>IF(E4955="","",E4955*F4955)</f>
        <v/>
      </c>
      <c r="H4955" s="8">
        <f>IF(G4955="","",G4955-I4955)</f>
        <v/>
      </c>
      <c r="I4955" s="8">
        <f>IF(D4955="","",VLOOKUP(D4955, RECETTES!B:G, 6, FALSE)*E4955)</f>
        <v/>
      </c>
      <c r="J4955" s="8">
        <f>IF(G4955="","",G4955*0.20)</f>
        <v/>
      </c>
      <c r="K4955" s="8">
        <f>IF(G4955="","",G4955+J4955)</f>
        <v/>
      </c>
    </row>
    <row r="4956">
      <c r="F4956" s="8" t="n"/>
      <c r="G4956" s="8">
        <f>IF(E4956="","",E4956*F4956)</f>
        <v/>
      </c>
      <c r="H4956" s="8">
        <f>IF(G4956="","",G4956-I4956)</f>
        <v/>
      </c>
      <c r="I4956" s="8">
        <f>IF(D4956="","",VLOOKUP(D4956, RECETTES!B:G, 6, FALSE)*E4956)</f>
        <v/>
      </c>
      <c r="J4956" s="8">
        <f>IF(G4956="","",G4956*0.20)</f>
        <v/>
      </c>
      <c r="K4956" s="8">
        <f>IF(G4956="","",G4956+J4956)</f>
        <v/>
      </c>
    </row>
    <row r="4957">
      <c r="F4957" s="8" t="n"/>
      <c r="G4957" s="8">
        <f>IF(E4957="","",E4957*F4957)</f>
        <v/>
      </c>
      <c r="H4957" s="8">
        <f>IF(G4957="","",G4957-I4957)</f>
        <v/>
      </c>
      <c r="I4957" s="8">
        <f>IF(D4957="","",VLOOKUP(D4957, RECETTES!B:G, 6, FALSE)*E4957)</f>
        <v/>
      </c>
      <c r="J4957" s="8">
        <f>IF(G4957="","",G4957*0.20)</f>
        <v/>
      </c>
      <c r="K4957" s="8">
        <f>IF(G4957="","",G4957+J4957)</f>
        <v/>
      </c>
    </row>
    <row r="4958">
      <c r="F4958" s="8" t="n"/>
      <c r="G4958" s="8">
        <f>IF(E4958="","",E4958*F4958)</f>
        <v/>
      </c>
      <c r="H4958" s="8">
        <f>IF(G4958="","",G4958-I4958)</f>
        <v/>
      </c>
      <c r="I4958" s="8">
        <f>IF(D4958="","",VLOOKUP(D4958, RECETTES!B:G, 6, FALSE)*E4958)</f>
        <v/>
      </c>
      <c r="J4958" s="8">
        <f>IF(G4958="","",G4958*0.20)</f>
        <v/>
      </c>
      <c r="K4958" s="8">
        <f>IF(G4958="","",G4958+J4958)</f>
        <v/>
      </c>
    </row>
    <row r="4959">
      <c r="F4959" s="8" t="n"/>
      <c r="G4959" s="8">
        <f>IF(E4959="","",E4959*F4959)</f>
        <v/>
      </c>
      <c r="H4959" s="8">
        <f>IF(G4959="","",G4959-I4959)</f>
        <v/>
      </c>
      <c r="I4959" s="8">
        <f>IF(D4959="","",VLOOKUP(D4959, RECETTES!B:G, 6, FALSE)*E4959)</f>
        <v/>
      </c>
      <c r="J4959" s="8">
        <f>IF(G4959="","",G4959*0.20)</f>
        <v/>
      </c>
      <c r="K4959" s="8">
        <f>IF(G4959="","",G4959+J4959)</f>
        <v/>
      </c>
    </row>
    <row r="4960">
      <c r="F4960" s="8" t="n"/>
      <c r="G4960" s="8">
        <f>IF(E4960="","",E4960*F4960)</f>
        <v/>
      </c>
      <c r="H4960" s="8">
        <f>IF(G4960="","",G4960-I4960)</f>
        <v/>
      </c>
      <c r="I4960" s="8">
        <f>IF(D4960="","",VLOOKUP(D4960, RECETTES!B:G, 6, FALSE)*E4960)</f>
        <v/>
      </c>
      <c r="J4960" s="8">
        <f>IF(G4960="","",G4960*0.20)</f>
        <v/>
      </c>
      <c r="K4960" s="8">
        <f>IF(G4960="","",G4960+J4960)</f>
        <v/>
      </c>
    </row>
    <row r="4961">
      <c r="F4961" s="8" t="n"/>
      <c r="G4961" s="8">
        <f>IF(E4961="","",E4961*F4961)</f>
        <v/>
      </c>
      <c r="H4961" s="8">
        <f>IF(G4961="","",G4961-I4961)</f>
        <v/>
      </c>
      <c r="I4961" s="8">
        <f>IF(D4961="","",VLOOKUP(D4961, RECETTES!B:G, 6, FALSE)*E4961)</f>
        <v/>
      </c>
      <c r="J4961" s="8">
        <f>IF(G4961="","",G4961*0.20)</f>
        <v/>
      </c>
      <c r="K4961" s="8">
        <f>IF(G4961="","",G4961+J4961)</f>
        <v/>
      </c>
    </row>
    <row r="4962">
      <c r="F4962" s="8" t="n"/>
      <c r="G4962" s="8">
        <f>IF(E4962="","",E4962*F4962)</f>
        <v/>
      </c>
      <c r="H4962" s="8">
        <f>IF(G4962="","",G4962-I4962)</f>
        <v/>
      </c>
      <c r="I4962" s="8">
        <f>IF(D4962="","",VLOOKUP(D4962, RECETTES!B:G, 6, FALSE)*E4962)</f>
        <v/>
      </c>
      <c r="J4962" s="8">
        <f>IF(G4962="","",G4962*0.20)</f>
        <v/>
      </c>
      <c r="K4962" s="8">
        <f>IF(G4962="","",G4962+J4962)</f>
        <v/>
      </c>
    </row>
    <row r="4963">
      <c r="F4963" s="8" t="n"/>
      <c r="G4963" s="8">
        <f>IF(E4963="","",E4963*F4963)</f>
        <v/>
      </c>
      <c r="H4963" s="8">
        <f>IF(G4963="","",G4963-I4963)</f>
        <v/>
      </c>
      <c r="I4963" s="8">
        <f>IF(D4963="","",VLOOKUP(D4963, RECETTES!B:G, 6, FALSE)*E4963)</f>
        <v/>
      </c>
      <c r="J4963" s="8">
        <f>IF(G4963="","",G4963*0.20)</f>
        <v/>
      </c>
      <c r="K4963" s="8">
        <f>IF(G4963="","",G4963+J4963)</f>
        <v/>
      </c>
    </row>
    <row r="4964">
      <c r="F4964" s="8" t="n"/>
      <c r="G4964" s="8">
        <f>IF(E4964="","",E4964*F4964)</f>
        <v/>
      </c>
      <c r="H4964" s="8">
        <f>IF(G4964="","",G4964-I4964)</f>
        <v/>
      </c>
      <c r="I4964" s="8">
        <f>IF(D4964="","",VLOOKUP(D4964, RECETTES!B:G, 6, FALSE)*E4964)</f>
        <v/>
      </c>
      <c r="J4964" s="8">
        <f>IF(G4964="","",G4964*0.20)</f>
        <v/>
      </c>
      <c r="K4964" s="8">
        <f>IF(G4964="","",G4964+J4964)</f>
        <v/>
      </c>
    </row>
    <row r="4965">
      <c r="F4965" s="8" t="n"/>
      <c r="G4965" s="8">
        <f>IF(E4965="","",E4965*F4965)</f>
        <v/>
      </c>
      <c r="H4965" s="8">
        <f>IF(G4965="","",G4965-I4965)</f>
        <v/>
      </c>
      <c r="I4965" s="8">
        <f>IF(D4965="","",VLOOKUP(D4965, RECETTES!B:G, 6, FALSE)*E4965)</f>
        <v/>
      </c>
      <c r="J4965" s="8">
        <f>IF(G4965="","",G4965*0.20)</f>
        <v/>
      </c>
      <c r="K4965" s="8">
        <f>IF(G4965="","",G4965+J4965)</f>
        <v/>
      </c>
    </row>
    <row r="4966">
      <c r="F4966" s="8" t="n"/>
      <c r="G4966" s="8">
        <f>IF(E4966="","",E4966*F4966)</f>
        <v/>
      </c>
      <c r="H4966" s="8">
        <f>IF(G4966="","",G4966-I4966)</f>
        <v/>
      </c>
      <c r="I4966" s="8">
        <f>IF(D4966="","",VLOOKUP(D4966, RECETTES!B:G, 6, FALSE)*E4966)</f>
        <v/>
      </c>
      <c r="J4966" s="8">
        <f>IF(G4966="","",G4966*0.20)</f>
        <v/>
      </c>
      <c r="K4966" s="8">
        <f>IF(G4966="","",G4966+J4966)</f>
        <v/>
      </c>
    </row>
    <row r="4967">
      <c r="F4967" s="8" t="n"/>
      <c r="G4967" s="8">
        <f>IF(E4967="","",E4967*F4967)</f>
        <v/>
      </c>
      <c r="H4967" s="8">
        <f>IF(G4967="","",G4967-I4967)</f>
        <v/>
      </c>
      <c r="I4967" s="8">
        <f>IF(D4967="","",VLOOKUP(D4967, RECETTES!B:G, 6, FALSE)*E4967)</f>
        <v/>
      </c>
      <c r="J4967" s="8">
        <f>IF(G4967="","",G4967*0.20)</f>
        <v/>
      </c>
      <c r="K4967" s="8">
        <f>IF(G4967="","",G4967+J4967)</f>
        <v/>
      </c>
    </row>
    <row r="4968">
      <c r="F4968" s="8" t="n"/>
      <c r="G4968" s="8">
        <f>IF(E4968="","",E4968*F4968)</f>
        <v/>
      </c>
      <c r="H4968" s="8">
        <f>IF(G4968="","",G4968-I4968)</f>
        <v/>
      </c>
      <c r="I4968" s="8">
        <f>IF(D4968="","",VLOOKUP(D4968, RECETTES!B:G, 6, FALSE)*E4968)</f>
        <v/>
      </c>
      <c r="J4968" s="8">
        <f>IF(G4968="","",G4968*0.20)</f>
        <v/>
      </c>
      <c r="K4968" s="8">
        <f>IF(G4968="","",G4968+J4968)</f>
        <v/>
      </c>
    </row>
    <row r="4969">
      <c r="F4969" s="8" t="n"/>
      <c r="G4969" s="8">
        <f>IF(E4969="","",E4969*F4969)</f>
        <v/>
      </c>
      <c r="H4969" s="8">
        <f>IF(G4969="","",G4969-I4969)</f>
        <v/>
      </c>
      <c r="I4969" s="8">
        <f>IF(D4969="","",VLOOKUP(D4969, RECETTES!B:G, 6, FALSE)*E4969)</f>
        <v/>
      </c>
      <c r="J4969" s="8">
        <f>IF(G4969="","",G4969*0.20)</f>
        <v/>
      </c>
      <c r="K4969" s="8">
        <f>IF(G4969="","",G4969+J4969)</f>
        <v/>
      </c>
    </row>
    <row r="4970">
      <c r="F4970" s="8" t="n"/>
      <c r="G4970" s="8">
        <f>IF(E4970="","",E4970*F4970)</f>
        <v/>
      </c>
      <c r="H4970" s="8">
        <f>IF(G4970="","",G4970-I4970)</f>
        <v/>
      </c>
      <c r="I4970" s="8">
        <f>IF(D4970="","",VLOOKUP(D4970, RECETTES!B:G, 6, FALSE)*E4970)</f>
        <v/>
      </c>
      <c r="J4970" s="8">
        <f>IF(G4970="","",G4970*0.20)</f>
        <v/>
      </c>
      <c r="K4970" s="8">
        <f>IF(G4970="","",G4970+J4970)</f>
        <v/>
      </c>
    </row>
    <row r="4971">
      <c r="F4971" s="8" t="n"/>
      <c r="G4971" s="8">
        <f>IF(E4971="","",E4971*F4971)</f>
        <v/>
      </c>
      <c r="H4971" s="8">
        <f>IF(G4971="","",G4971-I4971)</f>
        <v/>
      </c>
      <c r="I4971" s="8">
        <f>IF(D4971="","",VLOOKUP(D4971, RECETTES!B:G, 6, FALSE)*E4971)</f>
        <v/>
      </c>
      <c r="J4971" s="8">
        <f>IF(G4971="","",G4971*0.20)</f>
        <v/>
      </c>
      <c r="K4971" s="8">
        <f>IF(G4971="","",G4971+J4971)</f>
        <v/>
      </c>
    </row>
    <row r="4972">
      <c r="F4972" s="8" t="n"/>
      <c r="G4972" s="8">
        <f>IF(E4972="","",E4972*F4972)</f>
        <v/>
      </c>
      <c r="H4972" s="8">
        <f>IF(G4972="","",G4972-I4972)</f>
        <v/>
      </c>
      <c r="I4972" s="8">
        <f>IF(D4972="","",VLOOKUP(D4972, RECETTES!B:G, 6, FALSE)*E4972)</f>
        <v/>
      </c>
      <c r="J4972" s="8">
        <f>IF(G4972="","",G4972*0.20)</f>
        <v/>
      </c>
      <c r="K4972" s="8">
        <f>IF(G4972="","",G4972+J4972)</f>
        <v/>
      </c>
    </row>
    <row r="4973">
      <c r="F4973" s="8" t="n"/>
      <c r="G4973" s="8">
        <f>IF(E4973="","",E4973*F4973)</f>
        <v/>
      </c>
      <c r="H4973" s="8">
        <f>IF(G4973="","",G4973-I4973)</f>
        <v/>
      </c>
      <c r="I4973" s="8">
        <f>IF(D4973="","",VLOOKUP(D4973, RECETTES!B:G, 6, FALSE)*E4973)</f>
        <v/>
      </c>
      <c r="J4973" s="8">
        <f>IF(G4973="","",G4973*0.20)</f>
        <v/>
      </c>
      <c r="K4973" s="8">
        <f>IF(G4973="","",G4973+J4973)</f>
        <v/>
      </c>
    </row>
    <row r="4974">
      <c r="F4974" s="8" t="n"/>
      <c r="G4974" s="8">
        <f>IF(E4974="","",E4974*F4974)</f>
        <v/>
      </c>
      <c r="H4974" s="8">
        <f>IF(G4974="","",G4974-I4974)</f>
        <v/>
      </c>
      <c r="I4974" s="8">
        <f>IF(D4974="","",VLOOKUP(D4974, RECETTES!B:G, 6, FALSE)*E4974)</f>
        <v/>
      </c>
      <c r="J4974" s="8">
        <f>IF(G4974="","",G4974*0.20)</f>
        <v/>
      </c>
      <c r="K4974" s="8">
        <f>IF(G4974="","",G4974+J4974)</f>
        <v/>
      </c>
    </row>
    <row r="4975">
      <c r="F4975" s="8" t="n"/>
      <c r="G4975" s="8">
        <f>IF(E4975="","",E4975*F4975)</f>
        <v/>
      </c>
      <c r="H4975" s="8">
        <f>IF(G4975="","",G4975-I4975)</f>
        <v/>
      </c>
      <c r="I4975" s="8">
        <f>IF(D4975="","",VLOOKUP(D4975, RECETTES!B:G, 6, FALSE)*E4975)</f>
        <v/>
      </c>
      <c r="J4975" s="8">
        <f>IF(G4975="","",G4975*0.20)</f>
        <v/>
      </c>
      <c r="K4975" s="8">
        <f>IF(G4975="","",G4975+J4975)</f>
        <v/>
      </c>
    </row>
    <row r="4976">
      <c r="F4976" s="8" t="n"/>
      <c r="G4976" s="8">
        <f>IF(E4976="","",E4976*F4976)</f>
        <v/>
      </c>
      <c r="H4976" s="8">
        <f>IF(G4976="","",G4976-I4976)</f>
        <v/>
      </c>
      <c r="I4976" s="8">
        <f>IF(D4976="","",VLOOKUP(D4976, RECETTES!B:G, 6, FALSE)*E4976)</f>
        <v/>
      </c>
      <c r="J4976" s="8">
        <f>IF(G4976="","",G4976*0.20)</f>
        <v/>
      </c>
      <c r="K4976" s="8">
        <f>IF(G4976="","",G4976+J4976)</f>
        <v/>
      </c>
    </row>
    <row r="4977">
      <c r="F4977" s="8" t="n"/>
      <c r="G4977" s="8">
        <f>IF(E4977="","",E4977*F4977)</f>
        <v/>
      </c>
      <c r="H4977" s="8">
        <f>IF(G4977="","",G4977-I4977)</f>
        <v/>
      </c>
      <c r="I4977" s="8">
        <f>IF(D4977="","",VLOOKUP(D4977, RECETTES!B:G, 6, FALSE)*E4977)</f>
        <v/>
      </c>
      <c r="J4977" s="8">
        <f>IF(G4977="","",G4977*0.20)</f>
        <v/>
      </c>
      <c r="K4977" s="8">
        <f>IF(G4977="","",G4977+J4977)</f>
        <v/>
      </c>
    </row>
    <row r="4978">
      <c r="F4978" s="8" t="n"/>
      <c r="G4978" s="8">
        <f>IF(E4978="","",E4978*F4978)</f>
        <v/>
      </c>
      <c r="H4978" s="8">
        <f>IF(G4978="","",G4978-I4978)</f>
        <v/>
      </c>
      <c r="I4978" s="8">
        <f>IF(D4978="","",VLOOKUP(D4978, RECETTES!B:G, 6, FALSE)*E4978)</f>
        <v/>
      </c>
      <c r="J4978" s="8">
        <f>IF(G4978="","",G4978*0.20)</f>
        <v/>
      </c>
      <c r="K4978" s="8">
        <f>IF(G4978="","",G4978+J4978)</f>
        <v/>
      </c>
    </row>
    <row r="4979">
      <c r="F4979" s="8" t="n"/>
      <c r="G4979" s="8">
        <f>IF(E4979="","",E4979*F4979)</f>
        <v/>
      </c>
      <c r="H4979" s="8">
        <f>IF(G4979="","",G4979-I4979)</f>
        <v/>
      </c>
      <c r="I4979" s="8">
        <f>IF(D4979="","",VLOOKUP(D4979, RECETTES!B:G, 6, FALSE)*E4979)</f>
        <v/>
      </c>
      <c r="J4979" s="8">
        <f>IF(G4979="","",G4979*0.20)</f>
        <v/>
      </c>
      <c r="K4979" s="8">
        <f>IF(G4979="","",G4979+J4979)</f>
        <v/>
      </c>
    </row>
    <row r="4980">
      <c r="F4980" s="8" t="n"/>
      <c r="G4980" s="8">
        <f>IF(E4980="","",E4980*F4980)</f>
        <v/>
      </c>
      <c r="H4980" s="8">
        <f>IF(G4980="","",G4980-I4980)</f>
        <v/>
      </c>
      <c r="I4980" s="8">
        <f>IF(D4980="","",VLOOKUP(D4980, RECETTES!B:G, 6, FALSE)*E4980)</f>
        <v/>
      </c>
      <c r="J4980" s="8">
        <f>IF(G4980="","",G4980*0.20)</f>
        <v/>
      </c>
      <c r="K4980" s="8">
        <f>IF(G4980="","",G4980+J4980)</f>
        <v/>
      </c>
    </row>
    <row r="4981">
      <c r="F4981" s="8" t="n"/>
      <c r="G4981" s="8">
        <f>IF(E4981="","",E4981*F4981)</f>
        <v/>
      </c>
      <c r="H4981" s="8">
        <f>IF(G4981="","",G4981-I4981)</f>
        <v/>
      </c>
      <c r="I4981" s="8">
        <f>IF(D4981="","",VLOOKUP(D4981, RECETTES!B:G, 6, FALSE)*E4981)</f>
        <v/>
      </c>
      <c r="J4981" s="8">
        <f>IF(G4981="","",G4981*0.20)</f>
        <v/>
      </c>
      <c r="K4981" s="8">
        <f>IF(G4981="","",G4981+J4981)</f>
        <v/>
      </c>
    </row>
    <row r="4982">
      <c r="F4982" s="8" t="n"/>
      <c r="G4982" s="8">
        <f>IF(E4982="","",E4982*F4982)</f>
        <v/>
      </c>
      <c r="H4982" s="8">
        <f>IF(G4982="","",G4982-I4982)</f>
        <v/>
      </c>
      <c r="I4982" s="8">
        <f>IF(D4982="","",VLOOKUP(D4982, RECETTES!B:G, 6, FALSE)*E4982)</f>
        <v/>
      </c>
      <c r="J4982" s="8">
        <f>IF(G4982="","",G4982*0.20)</f>
        <v/>
      </c>
      <c r="K4982" s="8">
        <f>IF(G4982="","",G4982+J4982)</f>
        <v/>
      </c>
    </row>
    <row r="4983">
      <c r="F4983" s="8" t="n"/>
      <c r="G4983" s="8">
        <f>IF(E4983="","",E4983*F4983)</f>
        <v/>
      </c>
      <c r="H4983" s="8">
        <f>IF(G4983="","",G4983-I4983)</f>
        <v/>
      </c>
      <c r="I4983" s="8">
        <f>IF(D4983="","",VLOOKUP(D4983, RECETTES!B:G, 6, FALSE)*E4983)</f>
        <v/>
      </c>
      <c r="J4983" s="8">
        <f>IF(G4983="","",G4983*0.20)</f>
        <v/>
      </c>
      <c r="K4983" s="8">
        <f>IF(G4983="","",G4983+J4983)</f>
        <v/>
      </c>
    </row>
    <row r="4984">
      <c r="F4984" s="8" t="n"/>
      <c r="G4984" s="8">
        <f>IF(E4984="","",E4984*F4984)</f>
        <v/>
      </c>
      <c r="H4984" s="8">
        <f>IF(G4984="","",G4984-I4984)</f>
        <v/>
      </c>
      <c r="I4984" s="8">
        <f>IF(D4984="","",VLOOKUP(D4984, RECETTES!B:G, 6, FALSE)*E4984)</f>
        <v/>
      </c>
      <c r="J4984" s="8">
        <f>IF(G4984="","",G4984*0.20)</f>
        <v/>
      </c>
      <c r="K4984" s="8">
        <f>IF(G4984="","",G4984+J4984)</f>
        <v/>
      </c>
    </row>
    <row r="4985">
      <c r="F4985" s="8" t="n"/>
      <c r="G4985" s="8">
        <f>IF(E4985="","",E4985*F4985)</f>
        <v/>
      </c>
      <c r="H4985" s="8">
        <f>IF(G4985="","",G4985-I4985)</f>
        <v/>
      </c>
      <c r="I4985" s="8">
        <f>IF(D4985="","",VLOOKUP(D4985, RECETTES!B:G, 6, FALSE)*E4985)</f>
        <v/>
      </c>
      <c r="J4985" s="8">
        <f>IF(G4985="","",G4985*0.20)</f>
        <v/>
      </c>
      <c r="K4985" s="8">
        <f>IF(G4985="","",G4985+J4985)</f>
        <v/>
      </c>
    </row>
    <row r="4986">
      <c r="F4986" s="8" t="n"/>
      <c r="G4986" s="8">
        <f>IF(E4986="","",E4986*F4986)</f>
        <v/>
      </c>
      <c r="H4986" s="8">
        <f>IF(G4986="","",G4986-I4986)</f>
        <v/>
      </c>
      <c r="I4986" s="8">
        <f>IF(D4986="","",VLOOKUP(D4986, RECETTES!B:G, 6, FALSE)*E4986)</f>
        <v/>
      </c>
      <c r="J4986" s="8">
        <f>IF(G4986="","",G4986*0.20)</f>
        <v/>
      </c>
      <c r="K4986" s="8">
        <f>IF(G4986="","",G4986+J4986)</f>
        <v/>
      </c>
    </row>
    <row r="4987">
      <c r="F4987" s="8" t="n"/>
      <c r="G4987" s="8">
        <f>IF(E4987="","",E4987*F4987)</f>
        <v/>
      </c>
      <c r="H4987" s="8">
        <f>IF(G4987="","",G4987-I4987)</f>
        <v/>
      </c>
      <c r="I4987" s="8">
        <f>IF(D4987="","",VLOOKUP(D4987, RECETTES!B:G, 6, FALSE)*E4987)</f>
        <v/>
      </c>
      <c r="J4987" s="8">
        <f>IF(G4987="","",G4987*0.20)</f>
        <v/>
      </c>
      <c r="K4987" s="8">
        <f>IF(G4987="","",G4987+J4987)</f>
        <v/>
      </c>
    </row>
    <row r="4988">
      <c r="F4988" s="8" t="n"/>
      <c r="G4988" s="8">
        <f>IF(E4988="","",E4988*F4988)</f>
        <v/>
      </c>
      <c r="H4988" s="8">
        <f>IF(G4988="","",G4988-I4988)</f>
        <v/>
      </c>
      <c r="I4988" s="8">
        <f>IF(D4988="","",VLOOKUP(D4988, RECETTES!B:G, 6, FALSE)*E4988)</f>
        <v/>
      </c>
      <c r="J4988" s="8">
        <f>IF(G4988="","",G4988*0.20)</f>
        <v/>
      </c>
      <c r="K4988" s="8">
        <f>IF(G4988="","",G4988+J4988)</f>
        <v/>
      </c>
    </row>
    <row r="4989">
      <c r="F4989" s="8" t="n"/>
      <c r="G4989" s="8">
        <f>IF(E4989="","",E4989*F4989)</f>
        <v/>
      </c>
      <c r="H4989" s="8">
        <f>IF(G4989="","",G4989-I4989)</f>
        <v/>
      </c>
      <c r="I4989" s="8">
        <f>IF(D4989="","",VLOOKUP(D4989, RECETTES!B:G, 6, FALSE)*E4989)</f>
        <v/>
      </c>
      <c r="J4989" s="8">
        <f>IF(G4989="","",G4989*0.20)</f>
        <v/>
      </c>
      <c r="K4989" s="8">
        <f>IF(G4989="","",G4989+J4989)</f>
        <v/>
      </c>
    </row>
    <row r="4990">
      <c r="F4990" s="8" t="n"/>
      <c r="G4990" s="8">
        <f>IF(E4990="","",E4990*F4990)</f>
        <v/>
      </c>
      <c r="H4990" s="8">
        <f>IF(G4990="","",G4990-I4990)</f>
        <v/>
      </c>
      <c r="I4990" s="8">
        <f>IF(D4990="","",VLOOKUP(D4990, RECETTES!B:G, 6, FALSE)*E4990)</f>
        <v/>
      </c>
      <c r="J4990" s="8">
        <f>IF(G4990="","",G4990*0.20)</f>
        <v/>
      </c>
      <c r="K4990" s="8">
        <f>IF(G4990="","",G4990+J4990)</f>
        <v/>
      </c>
    </row>
    <row r="4991">
      <c r="F4991" s="8" t="n"/>
      <c r="G4991" s="8">
        <f>IF(E4991="","",E4991*F4991)</f>
        <v/>
      </c>
      <c r="H4991" s="8">
        <f>IF(G4991="","",G4991-I4991)</f>
        <v/>
      </c>
      <c r="I4991" s="8">
        <f>IF(D4991="","",VLOOKUP(D4991, RECETTES!B:G, 6, FALSE)*E4991)</f>
        <v/>
      </c>
      <c r="J4991" s="8">
        <f>IF(G4991="","",G4991*0.20)</f>
        <v/>
      </c>
      <c r="K4991" s="8">
        <f>IF(G4991="","",G4991+J4991)</f>
        <v/>
      </c>
    </row>
    <row r="4992">
      <c r="F4992" s="8" t="n"/>
      <c r="G4992" s="8">
        <f>IF(E4992="","",E4992*F4992)</f>
        <v/>
      </c>
      <c r="H4992" s="8">
        <f>IF(G4992="","",G4992-I4992)</f>
        <v/>
      </c>
      <c r="I4992" s="8">
        <f>IF(D4992="","",VLOOKUP(D4992, RECETTES!B:G, 6, FALSE)*E4992)</f>
        <v/>
      </c>
      <c r="J4992" s="8">
        <f>IF(G4992="","",G4992*0.20)</f>
        <v/>
      </c>
      <c r="K4992" s="8">
        <f>IF(G4992="","",G4992+J4992)</f>
        <v/>
      </c>
    </row>
    <row r="4993">
      <c r="F4993" s="8" t="n"/>
      <c r="G4993" s="8">
        <f>IF(E4993="","",E4993*F4993)</f>
        <v/>
      </c>
      <c r="H4993" s="8">
        <f>IF(G4993="","",G4993-I4993)</f>
        <v/>
      </c>
      <c r="I4993" s="8">
        <f>IF(D4993="","",VLOOKUP(D4993, RECETTES!B:G, 6, FALSE)*E4993)</f>
        <v/>
      </c>
      <c r="J4993" s="8">
        <f>IF(G4993="","",G4993*0.20)</f>
        <v/>
      </c>
      <c r="K4993" s="8">
        <f>IF(G4993="","",G4993+J4993)</f>
        <v/>
      </c>
    </row>
    <row r="4994">
      <c r="F4994" s="8" t="n"/>
      <c r="G4994" s="8">
        <f>IF(E4994="","",E4994*F4994)</f>
        <v/>
      </c>
      <c r="H4994" s="8">
        <f>IF(G4994="","",G4994-I4994)</f>
        <v/>
      </c>
      <c r="I4994" s="8">
        <f>IF(D4994="","",VLOOKUP(D4994, RECETTES!B:G, 6, FALSE)*E4994)</f>
        <v/>
      </c>
      <c r="J4994" s="8">
        <f>IF(G4994="","",G4994*0.20)</f>
        <v/>
      </c>
      <c r="K4994" s="8">
        <f>IF(G4994="","",G4994+J4994)</f>
        <v/>
      </c>
    </row>
    <row r="4995">
      <c r="F4995" s="8" t="n"/>
      <c r="G4995" s="8">
        <f>IF(E4995="","",E4995*F4995)</f>
        <v/>
      </c>
      <c r="H4995" s="8">
        <f>IF(G4995="","",G4995-I4995)</f>
        <v/>
      </c>
      <c r="I4995" s="8">
        <f>IF(D4995="","",VLOOKUP(D4995, RECETTES!B:G, 6, FALSE)*E4995)</f>
        <v/>
      </c>
      <c r="J4995" s="8">
        <f>IF(G4995="","",G4995*0.20)</f>
        <v/>
      </c>
      <c r="K4995" s="8">
        <f>IF(G4995="","",G4995+J4995)</f>
        <v/>
      </c>
    </row>
    <row r="4996">
      <c r="F4996" s="8" t="n"/>
      <c r="G4996" s="8">
        <f>IF(E4996="","",E4996*F4996)</f>
        <v/>
      </c>
      <c r="H4996" s="8">
        <f>IF(G4996="","",G4996-I4996)</f>
        <v/>
      </c>
      <c r="I4996" s="8">
        <f>IF(D4996="","",VLOOKUP(D4996, RECETTES!B:G, 6, FALSE)*E4996)</f>
        <v/>
      </c>
      <c r="J4996" s="8">
        <f>IF(G4996="","",G4996*0.20)</f>
        <v/>
      </c>
      <c r="K4996" s="8">
        <f>IF(G4996="","",G4996+J4996)</f>
        <v/>
      </c>
    </row>
    <row r="4997">
      <c r="F4997" s="8" t="n"/>
      <c r="G4997" s="8">
        <f>IF(E4997="","",E4997*F4997)</f>
        <v/>
      </c>
      <c r="H4997" s="8">
        <f>IF(G4997="","",G4997-I4997)</f>
        <v/>
      </c>
      <c r="I4997" s="8">
        <f>IF(D4997="","",VLOOKUP(D4997, RECETTES!B:G, 6, FALSE)*E4997)</f>
        <v/>
      </c>
      <c r="J4997" s="8">
        <f>IF(G4997="","",G4997*0.20)</f>
        <v/>
      </c>
      <c r="K4997" s="8">
        <f>IF(G4997="","",G4997+J4997)</f>
        <v/>
      </c>
    </row>
    <row r="4998">
      <c r="F4998" s="8" t="n"/>
      <c r="G4998" s="8">
        <f>IF(E4998="","",E4998*F4998)</f>
        <v/>
      </c>
      <c r="H4998" s="8">
        <f>IF(G4998="","",G4998-I4998)</f>
        <v/>
      </c>
      <c r="I4998" s="8">
        <f>IF(D4998="","",VLOOKUP(D4998, RECETTES!B:G, 6, FALSE)*E4998)</f>
        <v/>
      </c>
      <c r="J4998" s="8">
        <f>IF(G4998="","",G4998*0.20)</f>
        <v/>
      </c>
      <c r="K4998" s="8">
        <f>IF(G4998="","",G4998+J4998)</f>
        <v/>
      </c>
    </row>
    <row r="4999">
      <c r="F4999" s="8" t="n"/>
      <c r="G4999" s="8">
        <f>IF(E4999="","",E4999*F4999)</f>
        <v/>
      </c>
      <c r="H4999" s="8">
        <f>IF(G4999="","",G4999-I4999)</f>
        <v/>
      </c>
      <c r="I4999" s="8">
        <f>IF(D4999="","",VLOOKUP(D4999, RECETTES!B:G, 6, FALSE)*E4999)</f>
        <v/>
      </c>
      <c r="J4999" s="8">
        <f>IF(G4999="","",G4999*0.20)</f>
        <v/>
      </c>
      <c r="K4999" s="8">
        <f>IF(G4999="","",G4999+J4999)</f>
        <v/>
      </c>
    </row>
    <row r="5000">
      <c r="F5000" s="8" t="n"/>
      <c r="G5000" s="8">
        <f>IF(E5000="","",E5000*F5000)</f>
        <v/>
      </c>
      <c r="H5000" s="8">
        <f>IF(G5000="","",G5000-I5000)</f>
        <v/>
      </c>
      <c r="I5000" s="8">
        <f>IF(D5000="","",VLOOKUP(D5000, RECETTES!B:G, 6, FALSE)*E5000)</f>
        <v/>
      </c>
      <c r="J5000" s="8">
        <f>IF(G5000="","",G5000*0.20)</f>
        <v/>
      </c>
      <c r="K5000" s="8">
        <f>IF(G5000="","",G5000+J5000)</f>
        <v/>
      </c>
    </row>
    <row r="5001">
      <c r="F5001" s="8" t="n"/>
      <c r="G5001" s="8">
        <f>IF(E5001="","",E5001*F5001)</f>
        <v/>
      </c>
      <c r="H5001" s="8">
        <f>IF(G5001="","",G5001-I5001)</f>
        <v/>
      </c>
      <c r="I5001" s="8">
        <f>IF(D5001="","",VLOOKUP(D5001, RECETTES!B:G, 6, FALSE)*E5001)</f>
        <v/>
      </c>
      <c r="J5001" s="8">
        <f>IF(G5001="","",G5001*0.20)</f>
        <v/>
      </c>
      <c r="K5001" s="8">
        <f>IF(G5001="","",G5001+J5001)</f>
        <v/>
      </c>
    </row>
    <row r="5002">
      <c r="F5002" s="8" t="n"/>
      <c r="G5002" s="8">
        <f>IF(E5002="","",E5002*F5002)</f>
        <v/>
      </c>
      <c r="H5002" s="8">
        <f>IF(G5002="","",G5002-I5002)</f>
        <v/>
      </c>
      <c r="I5002" s="8">
        <f>IF(D5002="","",VLOOKUP(D5002, RECETTES!B:G, 6, FALSE)*E5002)</f>
        <v/>
      </c>
      <c r="J5002" s="8">
        <f>IF(G5002="","",G5002*0.20)</f>
        <v/>
      </c>
      <c r="K5002" s="8">
        <f>IF(G5002="","",G5002+J5002)</f>
        <v/>
      </c>
    </row>
    <row r="5003">
      <c r="F5003" s="8" t="n"/>
      <c r="G5003" s="8">
        <f>IF(E5003="","",E5003*F5003)</f>
        <v/>
      </c>
      <c r="H5003" s="8">
        <f>IF(G5003="","",G5003-I5003)</f>
        <v/>
      </c>
      <c r="I5003" s="8">
        <f>IF(D5003="","",VLOOKUP(D5003, RECETTES!B:G, 6, FALSE)*E5003)</f>
        <v/>
      </c>
      <c r="J5003" s="8">
        <f>IF(G5003="","",G5003*0.20)</f>
        <v/>
      </c>
      <c r="K5003" s="8">
        <f>IF(G5003="","",G5003+J5003)</f>
        <v/>
      </c>
    </row>
    <row r="5004">
      <c r="F5004" s="8" t="n"/>
      <c r="G5004" s="8">
        <f>IF(E5004="","",E5004*F5004)</f>
        <v/>
      </c>
      <c r="H5004" s="8">
        <f>IF(G5004="","",G5004-I5004)</f>
        <v/>
      </c>
      <c r="I5004" s="8">
        <f>IF(D5004="","",VLOOKUP(D5004, RECETTES!B:G, 6, FALSE)*E5004)</f>
        <v/>
      </c>
      <c r="J5004" s="8">
        <f>IF(G5004="","",G5004*0.20)</f>
        <v/>
      </c>
      <c r="K5004" s="8">
        <f>IF(G5004="","",G5004+J5004)</f>
        <v/>
      </c>
    </row>
    <row r="5005">
      <c r="F5005" s="8" t="n"/>
      <c r="G5005" s="8">
        <f>IF(E5005="","",E5005*F5005)</f>
        <v/>
      </c>
      <c r="H5005" s="8">
        <f>IF(G5005="","",G5005-I5005)</f>
        <v/>
      </c>
      <c r="I5005" s="8">
        <f>IF(D5005="","",VLOOKUP(D5005, RECETTES!B:G, 6, FALSE)*E5005)</f>
        <v/>
      </c>
      <c r="J5005" s="8">
        <f>IF(G5005="","",G5005*0.20)</f>
        <v/>
      </c>
      <c r="K5005" s="8">
        <f>IF(G5005="","",G5005+J5005)</f>
        <v/>
      </c>
    </row>
    <row r="5006">
      <c r="F5006" s="8" t="n"/>
      <c r="G5006" s="8">
        <f>IF(E5006="","",E5006*F5006)</f>
        <v/>
      </c>
      <c r="H5006" s="8">
        <f>IF(G5006="","",G5006-I5006)</f>
        <v/>
      </c>
      <c r="I5006" s="8">
        <f>IF(D5006="","",VLOOKUP(D5006, RECETTES!B:G, 6, FALSE)*E5006)</f>
        <v/>
      </c>
      <c r="J5006" s="8">
        <f>IF(G5006="","",G5006*0.20)</f>
        <v/>
      </c>
      <c r="K5006" s="8">
        <f>IF(G5006="","",G5006+J5006)</f>
        <v/>
      </c>
    </row>
    <row r="5007">
      <c r="F5007" s="8" t="n"/>
      <c r="G5007" s="8">
        <f>IF(E5007="","",E5007*F5007)</f>
        <v/>
      </c>
      <c r="H5007" s="8">
        <f>IF(G5007="","",G5007-I5007)</f>
        <v/>
      </c>
      <c r="I5007" s="8">
        <f>IF(D5007="","",VLOOKUP(D5007, RECETTES!B:G, 6, FALSE)*E5007)</f>
        <v/>
      </c>
      <c r="J5007" s="8">
        <f>IF(G5007="","",G5007*0.20)</f>
        <v/>
      </c>
      <c r="K5007" s="8">
        <f>IF(G5007="","",G5007+J5007)</f>
        <v/>
      </c>
    </row>
    <row r="5008">
      <c r="F5008" s="8" t="n"/>
      <c r="G5008" s="8">
        <f>IF(E5008="","",E5008*F5008)</f>
        <v/>
      </c>
      <c r="H5008" s="8">
        <f>IF(G5008="","",G5008-I5008)</f>
        <v/>
      </c>
      <c r="I5008" s="8">
        <f>IF(D5008="","",VLOOKUP(D5008, RECETTES!B:G, 6, FALSE)*E5008)</f>
        <v/>
      </c>
      <c r="J5008" s="8">
        <f>IF(G5008="","",G5008*0.20)</f>
        <v/>
      </c>
      <c r="K5008" s="8">
        <f>IF(G5008="","",G5008+J5008)</f>
        <v/>
      </c>
    </row>
    <row r="5009">
      <c r="F5009" s="8" t="n"/>
      <c r="G5009" s="8">
        <f>IF(E5009="","",E5009*F5009)</f>
        <v/>
      </c>
      <c r="H5009" s="8">
        <f>IF(G5009="","",G5009-I5009)</f>
        <v/>
      </c>
      <c r="I5009" s="8">
        <f>IF(D5009="","",VLOOKUP(D5009, RECETTES!B:G, 6, FALSE)*E5009)</f>
        <v/>
      </c>
      <c r="J5009" s="8">
        <f>IF(G5009="","",G5009*0.20)</f>
        <v/>
      </c>
      <c r="K5009" s="8">
        <f>IF(G5009="","",G5009+J5009)</f>
        <v/>
      </c>
    </row>
    <row r="5010">
      <c r="F5010" s="8" t="n"/>
      <c r="G5010" s="8">
        <f>IF(E5010="","",E5010*F5010)</f>
        <v/>
      </c>
      <c r="H5010" s="8">
        <f>IF(G5010="","",G5010-I5010)</f>
        <v/>
      </c>
      <c r="I5010" s="8">
        <f>IF(D5010="","",VLOOKUP(D5010, RECETTES!B:G, 6, FALSE)*E5010)</f>
        <v/>
      </c>
      <c r="J5010" s="8">
        <f>IF(G5010="","",G5010*0.20)</f>
        <v/>
      </c>
      <c r="K5010" s="8">
        <f>IF(G5010="","",G5010+J5010)</f>
        <v/>
      </c>
    </row>
    <row r="5011">
      <c r="F5011" s="8" t="n"/>
      <c r="G5011" s="8">
        <f>IF(E5011="","",E5011*F5011)</f>
        <v/>
      </c>
      <c r="H5011" s="8">
        <f>IF(G5011="","",G5011-I5011)</f>
        <v/>
      </c>
      <c r="I5011" s="8">
        <f>IF(D5011="","",VLOOKUP(D5011, RECETTES!B:G, 6, FALSE)*E5011)</f>
        <v/>
      </c>
      <c r="J5011" s="8">
        <f>IF(G5011="","",G5011*0.20)</f>
        <v/>
      </c>
      <c r="K5011" s="8">
        <f>IF(G5011="","",G5011+J5011)</f>
        <v/>
      </c>
    </row>
    <row r="5012">
      <c r="F5012" s="8" t="n"/>
      <c r="G5012" s="8">
        <f>IF(E5012="","",E5012*F5012)</f>
        <v/>
      </c>
      <c r="H5012" s="8">
        <f>IF(G5012="","",G5012-I5012)</f>
        <v/>
      </c>
      <c r="I5012" s="8">
        <f>IF(D5012="","",VLOOKUP(D5012, RECETTES!B:G, 6, FALSE)*E5012)</f>
        <v/>
      </c>
      <c r="J5012" s="8">
        <f>IF(G5012="","",G5012*0.20)</f>
        <v/>
      </c>
      <c r="K5012" s="8">
        <f>IF(G5012="","",G5012+J5012)</f>
        <v/>
      </c>
    </row>
    <row r="5013">
      <c r="F5013" s="8" t="n"/>
      <c r="G5013" s="8">
        <f>IF(E5013="","",E5013*F5013)</f>
        <v/>
      </c>
      <c r="H5013" s="8">
        <f>IF(G5013="","",G5013-I5013)</f>
        <v/>
      </c>
      <c r="I5013" s="8">
        <f>IF(D5013="","",VLOOKUP(D5013, RECETTES!B:G, 6, FALSE)*E5013)</f>
        <v/>
      </c>
      <c r="J5013" s="8">
        <f>IF(G5013="","",G5013*0.20)</f>
        <v/>
      </c>
      <c r="K5013" s="8">
        <f>IF(G5013="","",G5013+J5013)</f>
        <v/>
      </c>
    </row>
    <row r="5014">
      <c r="F5014" s="8" t="n"/>
      <c r="G5014" s="8">
        <f>IF(E5014="","",E5014*F5014)</f>
        <v/>
      </c>
      <c r="H5014" s="8">
        <f>IF(G5014="","",G5014-I5014)</f>
        <v/>
      </c>
      <c r="I5014" s="8">
        <f>IF(D5014="","",VLOOKUP(D5014, RECETTES!B:G, 6, FALSE)*E5014)</f>
        <v/>
      </c>
      <c r="J5014" s="8">
        <f>IF(G5014="","",G5014*0.20)</f>
        <v/>
      </c>
      <c r="K5014" s="8">
        <f>IF(G5014="","",G5014+J5014)</f>
        <v/>
      </c>
    </row>
    <row r="5015">
      <c r="F5015" s="8" t="n"/>
      <c r="G5015" s="8">
        <f>IF(E5015="","",E5015*F5015)</f>
        <v/>
      </c>
      <c r="H5015" s="8">
        <f>IF(G5015="","",G5015-I5015)</f>
        <v/>
      </c>
      <c r="I5015" s="8">
        <f>IF(D5015="","",VLOOKUP(D5015, RECETTES!B:G, 6, FALSE)*E5015)</f>
        <v/>
      </c>
      <c r="J5015" s="8">
        <f>IF(G5015="","",G5015*0.20)</f>
        <v/>
      </c>
      <c r="K5015" s="8">
        <f>IF(G5015="","",G5015+J5015)</f>
        <v/>
      </c>
    </row>
    <row r="5016">
      <c r="F5016" s="8" t="n"/>
      <c r="G5016" s="8">
        <f>IF(E5016="","",E5016*F5016)</f>
        <v/>
      </c>
      <c r="H5016" s="8">
        <f>IF(G5016="","",G5016-I5016)</f>
        <v/>
      </c>
      <c r="I5016" s="8">
        <f>IF(D5016="","",VLOOKUP(D5016, RECETTES!B:G, 6, FALSE)*E5016)</f>
        <v/>
      </c>
      <c r="J5016" s="8">
        <f>IF(G5016="","",G5016*0.20)</f>
        <v/>
      </c>
      <c r="K5016" s="8">
        <f>IF(G5016="","",G5016+J5016)</f>
        <v/>
      </c>
    </row>
    <row r="5017">
      <c r="F5017" s="8" t="n"/>
      <c r="G5017" s="8">
        <f>IF(E5017="","",E5017*F5017)</f>
        <v/>
      </c>
      <c r="H5017" s="8">
        <f>IF(G5017="","",G5017-I5017)</f>
        <v/>
      </c>
      <c r="I5017" s="8">
        <f>IF(D5017="","",VLOOKUP(D5017, RECETTES!B:G, 6, FALSE)*E5017)</f>
        <v/>
      </c>
      <c r="J5017" s="8">
        <f>IF(G5017="","",G5017*0.20)</f>
        <v/>
      </c>
      <c r="K5017" s="8">
        <f>IF(G5017="","",G5017+J5017)</f>
        <v/>
      </c>
    </row>
    <row r="5018">
      <c r="F5018" s="8" t="n"/>
      <c r="G5018" s="8">
        <f>IF(E5018="","",E5018*F5018)</f>
        <v/>
      </c>
      <c r="H5018" s="8">
        <f>IF(G5018="","",G5018-I5018)</f>
        <v/>
      </c>
      <c r="I5018" s="8">
        <f>IF(D5018="","",VLOOKUP(D5018, RECETTES!B:G, 6, FALSE)*E5018)</f>
        <v/>
      </c>
      <c r="J5018" s="8">
        <f>IF(G5018="","",G5018*0.20)</f>
        <v/>
      </c>
      <c r="K5018" s="8">
        <f>IF(G5018="","",G5018+J5018)</f>
        <v/>
      </c>
    </row>
    <row r="5019">
      <c r="F5019" s="8" t="n"/>
      <c r="G5019" s="8">
        <f>IF(E5019="","",E5019*F5019)</f>
        <v/>
      </c>
      <c r="H5019" s="8">
        <f>IF(G5019="","",G5019-I5019)</f>
        <v/>
      </c>
      <c r="I5019" s="8">
        <f>IF(D5019="","",VLOOKUP(D5019, RECETTES!B:G, 6, FALSE)*E5019)</f>
        <v/>
      </c>
      <c r="J5019" s="8">
        <f>IF(G5019="","",G5019*0.20)</f>
        <v/>
      </c>
      <c r="K5019" s="8">
        <f>IF(G5019="","",G5019+J5019)</f>
        <v/>
      </c>
    </row>
    <row r="5020">
      <c r="F5020" s="8" t="n"/>
      <c r="G5020" s="8">
        <f>IF(E5020="","",E5020*F5020)</f>
        <v/>
      </c>
      <c r="H5020" s="8">
        <f>IF(G5020="","",G5020-I5020)</f>
        <v/>
      </c>
      <c r="I5020" s="8">
        <f>IF(D5020="","",VLOOKUP(D5020, RECETTES!B:G, 6, FALSE)*E5020)</f>
        <v/>
      </c>
      <c r="J5020" s="8">
        <f>IF(G5020="","",G5020*0.20)</f>
        <v/>
      </c>
      <c r="K5020" s="8">
        <f>IF(G5020="","",G5020+J5020)</f>
        <v/>
      </c>
    </row>
    <row r="5021">
      <c r="F5021" s="8" t="n"/>
      <c r="G5021" s="8">
        <f>IF(E5021="","",E5021*F5021)</f>
        <v/>
      </c>
      <c r="H5021" s="8">
        <f>IF(G5021="","",G5021-I5021)</f>
        <v/>
      </c>
      <c r="I5021" s="8">
        <f>IF(D5021="","",VLOOKUP(D5021, RECETTES!B:G, 6, FALSE)*E5021)</f>
        <v/>
      </c>
      <c r="J5021" s="8">
        <f>IF(G5021="","",G5021*0.20)</f>
        <v/>
      </c>
      <c r="K5021" s="8">
        <f>IF(G5021="","",G5021+J5021)</f>
        <v/>
      </c>
    </row>
    <row r="5022">
      <c r="F5022" s="8" t="n"/>
      <c r="G5022" s="8">
        <f>IF(E5022="","",E5022*F5022)</f>
        <v/>
      </c>
      <c r="H5022" s="8">
        <f>IF(G5022="","",G5022-I5022)</f>
        <v/>
      </c>
      <c r="I5022" s="8">
        <f>IF(D5022="","",VLOOKUP(D5022, RECETTES!B:G, 6, FALSE)*E5022)</f>
        <v/>
      </c>
      <c r="J5022" s="8">
        <f>IF(G5022="","",G5022*0.20)</f>
        <v/>
      </c>
      <c r="K5022" s="8">
        <f>IF(G5022="","",G5022+J5022)</f>
        <v/>
      </c>
    </row>
    <row r="5023">
      <c r="F5023" s="8" t="n"/>
      <c r="G5023" s="8">
        <f>IF(E5023="","",E5023*F5023)</f>
        <v/>
      </c>
      <c r="H5023" s="8">
        <f>IF(G5023="","",G5023-I5023)</f>
        <v/>
      </c>
      <c r="I5023" s="8">
        <f>IF(D5023="","",VLOOKUP(D5023, RECETTES!B:G, 6, FALSE)*E5023)</f>
        <v/>
      </c>
      <c r="J5023" s="8">
        <f>IF(G5023="","",G5023*0.20)</f>
        <v/>
      </c>
      <c r="K5023" s="8">
        <f>IF(G5023="","",G5023+J5023)</f>
        <v/>
      </c>
    </row>
    <row r="5024">
      <c r="F5024" s="8" t="n"/>
      <c r="G5024" s="8">
        <f>IF(E5024="","",E5024*F5024)</f>
        <v/>
      </c>
      <c r="H5024" s="8">
        <f>IF(G5024="","",G5024-I5024)</f>
        <v/>
      </c>
      <c r="I5024" s="8">
        <f>IF(D5024="","",VLOOKUP(D5024, RECETTES!B:G, 6, FALSE)*E5024)</f>
        <v/>
      </c>
      <c r="J5024" s="8">
        <f>IF(G5024="","",G5024*0.20)</f>
        <v/>
      </c>
      <c r="K5024" s="8">
        <f>IF(G5024="","",G5024+J5024)</f>
        <v/>
      </c>
    </row>
    <row r="5025">
      <c r="F5025" s="8" t="n"/>
      <c r="G5025" s="8">
        <f>IF(E5025="","",E5025*F5025)</f>
        <v/>
      </c>
      <c r="H5025" s="8">
        <f>IF(G5025="","",G5025-I5025)</f>
        <v/>
      </c>
      <c r="I5025" s="8">
        <f>IF(D5025="","",VLOOKUP(D5025, RECETTES!B:G, 6, FALSE)*E5025)</f>
        <v/>
      </c>
      <c r="J5025" s="8">
        <f>IF(G5025="","",G5025*0.20)</f>
        <v/>
      </c>
      <c r="K5025" s="8">
        <f>IF(G5025="","",G5025+J5025)</f>
        <v/>
      </c>
    </row>
    <row r="5026">
      <c r="F5026" s="8" t="n"/>
      <c r="G5026" s="8">
        <f>IF(E5026="","",E5026*F5026)</f>
        <v/>
      </c>
      <c r="H5026" s="8">
        <f>IF(G5026="","",G5026-I5026)</f>
        <v/>
      </c>
      <c r="I5026" s="8">
        <f>IF(D5026="","",VLOOKUP(D5026, RECETTES!B:G, 6, FALSE)*E5026)</f>
        <v/>
      </c>
      <c r="J5026" s="8">
        <f>IF(G5026="","",G5026*0.20)</f>
        <v/>
      </c>
      <c r="K5026" s="8">
        <f>IF(G5026="","",G5026+J5026)</f>
        <v/>
      </c>
    </row>
    <row r="5027">
      <c r="F5027" s="8" t="n"/>
      <c r="G5027" s="8">
        <f>IF(E5027="","",E5027*F5027)</f>
        <v/>
      </c>
      <c r="H5027" s="8">
        <f>IF(G5027="","",G5027-I5027)</f>
        <v/>
      </c>
      <c r="I5027" s="8">
        <f>IF(D5027="","",VLOOKUP(D5027, RECETTES!B:G, 6, FALSE)*E5027)</f>
        <v/>
      </c>
      <c r="J5027" s="8">
        <f>IF(G5027="","",G5027*0.20)</f>
        <v/>
      </c>
      <c r="K5027" s="8">
        <f>IF(G5027="","",G5027+J5027)</f>
        <v/>
      </c>
    </row>
    <row r="5028">
      <c r="F5028" s="8" t="n"/>
      <c r="G5028" s="8">
        <f>IF(E5028="","",E5028*F5028)</f>
        <v/>
      </c>
      <c r="H5028" s="8">
        <f>IF(G5028="","",G5028-I5028)</f>
        <v/>
      </c>
      <c r="I5028" s="8">
        <f>IF(D5028="","",VLOOKUP(D5028, RECETTES!B:G, 6, FALSE)*E5028)</f>
        <v/>
      </c>
      <c r="J5028" s="8">
        <f>IF(G5028="","",G5028*0.20)</f>
        <v/>
      </c>
      <c r="K5028" s="8">
        <f>IF(G5028="","",G5028+J5028)</f>
        <v/>
      </c>
    </row>
    <row r="5029">
      <c r="F5029" s="8" t="n"/>
      <c r="G5029" s="8">
        <f>IF(E5029="","",E5029*F5029)</f>
        <v/>
      </c>
      <c r="H5029" s="8">
        <f>IF(G5029="","",G5029-I5029)</f>
        <v/>
      </c>
      <c r="I5029" s="8">
        <f>IF(D5029="","",VLOOKUP(D5029, RECETTES!B:G, 6, FALSE)*E5029)</f>
        <v/>
      </c>
      <c r="J5029" s="8">
        <f>IF(G5029="","",G5029*0.20)</f>
        <v/>
      </c>
      <c r="K5029" s="8">
        <f>IF(G5029="","",G5029+J5029)</f>
        <v/>
      </c>
    </row>
    <row r="5030">
      <c r="F5030" s="8" t="n"/>
      <c r="G5030" s="8">
        <f>IF(E5030="","",E5030*F5030)</f>
        <v/>
      </c>
      <c r="H5030" s="8">
        <f>IF(G5030="","",G5030-I5030)</f>
        <v/>
      </c>
      <c r="I5030" s="8">
        <f>IF(D5030="","",VLOOKUP(D5030, RECETTES!B:G, 6, FALSE)*E5030)</f>
        <v/>
      </c>
      <c r="J5030" s="8">
        <f>IF(G5030="","",G5030*0.20)</f>
        <v/>
      </c>
      <c r="K5030" s="8">
        <f>IF(G5030="","",G5030+J5030)</f>
        <v/>
      </c>
    </row>
    <row r="5031">
      <c r="F5031" s="8" t="n"/>
      <c r="G5031" s="8">
        <f>IF(E5031="","",E5031*F5031)</f>
        <v/>
      </c>
      <c r="H5031" s="8">
        <f>IF(G5031="","",G5031-I5031)</f>
        <v/>
      </c>
      <c r="I5031" s="8">
        <f>IF(D5031="","",VLOOKUP(D5031, RECETTES!B:G, 6, FALSE)*E5031)</f>
        <v/>
      </c>
      <c r="J5031" s="8">
        <f>IF(G5031="","",G5031*0.20)</f>
        <v/>
      </c>
      <c r="K5031" s="8">
        <f>IF(G5031="","",G5031+J5031)</f>
        <v/>
      </c>
    </row>
    <row r="5032">
      <c r="F5032" s="8" t="n"/>
      <c r="G5032" s="8">
        <f>IF(E5032="","",E5032*F5032)</f>
        <v/>
      </c>
      <c r="H5032" s="8">
        <f>IF(G5032="","",G5032-I5032)</f>
        <v/>
      </c>
      <c r="I5032" s="8">
        <f>IF(D5032="","",VLOOKUP(D5032, RECETTES!B:G, 6, FALSE)*E5032)</f>
        <v/>
      </c>
      <c r="J5032" s="8">
        <f>IF(G5032="","",G5032*0.20)</f>
        <v/>
      </c>
      <c r="K5032" s="8">
        <f>IF(G5032="","",G5032+J5032)</f>
        <v/>
      </c>
    </row>
    <row r="5033">
      <c r="F5033" s="8" t="n"/>
      <c r="G5033" s="8">
        <f>IF(E5033="","",E5033*F5033)</f>
        <v/>
      </c>
      <c r="H5033" s="8">
        <f>IF(G5033="","",G5033-I5033)</f>
        <v/>
      </c>
      <c r="I5033" s="8">
        <f>IF(D5033="","",VLOOKUP(D5033, RECETTES!B:G, 6, FALSE)*E5033)</f>
        <v/>
      </c>
      <c r="J5033" s="8">
        <f>IF(G5033="","",G5033*0.20)</f>
        <v/>
      </c>
      <c r="K5033" s="8">
        <f>IF(G5033="","",G5033+J5033)</f>
        <v/>
      </c>
    </row>
    <row r="5034">
      <c r="F5034" s="8" t="n"/>
      <c r="G5034" s="8">
        <f>IF(E5034="","",E5034*F5034)</f>
        <v/>
      </c>
      <c r="H5034" s="8">
        <f>IF(G5034="","",G5034-I5034)</f>
        <v/>
      </c>
      <c r="I5034" s="8">
        <f>IF(D5034="","",VLOOKUP(D5034, RECETTES!B:G, 6, FALSE)*E5034)</f>
        <v/>
      </c>
      <c r="J5034" s="8">
        <f>IF(G5034="","",G5034*0.20)</f>
        <v/>
      </c>
      <c r="K5034" s="8">
        <f>IF(G5034="","",G5034+J5034)</f>
        <v/>
      </c>
    </row>
    <row r="5035">
      <c r="F5035" s="8" t="n"/>
      <c r="G5035" s="8">
        <f>IF(E5035="","",E5035*F5035)</f>
        <v/>
      </c>
      <c r="H5035" s="8">
        <f>IF(G5035="","",G5035-I5035)</f>
        <v/>
      </c>
      <c r="I5035" s="8">
        <f>IF(D5035="","",VLOOKUP(D5035, RECETTES!B:G, 6, FALSE)*E5035)</f>
        <v/>
      </c>
      <c r="J5035" s="8">
        <f>IF(G5035="","",G5035*0.20)</f>
        <v/>
      </c>
      <c r="K5035" s="8">
        <f>IF(G5035="","",G5035+J5035)</f>
        <v/>
      </c>
    </row>
    <row r="5036">
      <c r="F5036" s="8" t="n"/>
      <c r="G5036" s="8">
        <f>IF(E5036="","",E5036*F5036)</f>
        <v/>
      </c>
      <c r="H5036" s="8">
        <f>IF(G5036="","",G5036-I5036)</f>
        <v/>
      </c>
      <c r="I5036" s="8">
        <f>IF(D5036="","",VLOOKUP(D5036, RECETTES!B:G, 6, FALSE)*E5036)</f>
        <v/>
      </c>
      <c r="J5036" s="8">
        <f>IF(G5036="","",G5036*0.20)</f>
        <v/>
      </c>
      <c r="K5036" s="8">
        <f>IF(G5036="","",G5036+J5036)</f>
        <v/>
      </c>
    </row>
    <row r="5037">
      <c r="F5037" s="8" t="n"/>
      <c r="G5037" s="8">
        <f>IF(E5037="","",E5037*F5037)</f>
        <v/>
      </c>
      <c r="H5037" s="8">
        <f>IF(G5037="","",G5037-I5037)</f>
        <v/>
      </c>
      <c r="I5037" s="8">
        <f>IF(D5037="","",VLOOKUP(D5037, RECETTES!B:G, 6, FALSE)*E5037)</f>
        <v/>
      </c>
      <c r="J5037" s="8">
        <f>IF(G5037="","",G5037*0.20)</f>
        <v/>
      </c>
      <c r="K5037" s="8">
        <f>IF(G5037="","",G5037+J5037)</f>
        <v/>
      </c>
    </row>
    <row r="5038">
      <c r="F5038" s="8" t="n"/>
      <c r="G5038" s="8">
        <f>IF(E5038="","",E5038*F5038)</f>
        <v/>
      </c>
      <c r="H5038" s="8">
        <f>IF(G5038="","",G5038-I5038)</f>
        <v/>
      </c>
      <c r="I5038" s="8">
        <f>IF(D5038="","",VLOOKUP(D5038, RECETTES!B:G, 6, FALSE)*E5038)</f>
        <v/>
      </c>
      <c r="J5038" s="8">
        <f>IF(G5038="","",G5038*0.20)</f>
        <v/>
      </c>
      <c r="K5038" s="8">
        <f>IF(G5038="","",G5038+J5038)</f>
        <v/>
      </c>
    </row>
    <row r="5039">
      <c r="F5039" s="8" t="n"/>
      <c r="G5039" s="8">
        <f>IF(E5039="","",E5039*F5039)</f>
        <v/>
      </c>
      <c r="H5039" s="8">
        <f>IF(G5039="","",G5039-I5039)</f>
        <v/>
      </c>
      <c r="I5039" s="8">
        <f>IF(D5039="","",VLOOKUP(D5039, RECETTES!B:G, 6, FALSE)*E5039)</f>
        <v/>
      </c>
      <c r="J5039" s="8">
        <f>IF(G5039="","",G5039*0.20)</f>
        <v/>
      </c>
      <c r="K5039" s="8">
        <f>IF(G5039="","",G5039+J5039)</f>
        <v/>
      </c>
    </row>
    <row r="5040">
      <c r="F5040" s="8" t="n"/>
      <c r="G5040" s="8">
        <f>IF(E5040="","",E5040*F5040)</f>
        <v/>
      </c>
      <c r="H5040" s="8">
        <f>IF(G5040="","",G5040-I5040)</f>
        <v/>
      </c>
      <c r="I5040" s="8">
        <f>IF(D5040="","",VLOOKUP(D5040, RECETTES!B:G, 6, FALSE)*E5040)</f>
        <v/>
      </c>
      <c r="J5040" s="8">
        <f>IF(G5040="","",G5040*0.20)</f>
        <v/>
      </c>
      <c r="K5040" s="8">
        <f>IF(G5040="","",G5040+J5040)</f>
        <v/>
      </c>
    </row>
    <row r="5041">
      <c r="F5041" s="8" t="n"/>
      <c r="G5041" s="8">
        <f>IF(E5041="","",E5041*F5041)</f>
        <v/>
      </c>
      <c r="H5041" s="8">
        <f>IF(G5041="","",G5041-I5041)</f>
        <v/>
      </c>
      <c r="I5041" s="8">
        <f>IF(D5041="","",VLOOKUP(D5041, RECETTES!B:G, 6, FALSE)*E5041)</f>
        <v/>
      </c>
      <c r="J5041" s="8">
        <f>IF(G5041="","",G5041*0.20)</f>
        <v/>
      </c>
      <c r="K5041" s="8">
        <f>IF(G5041="","",G5041+J5041)</f>
        <v/>
      </c>
    </row>
    <row r="5042">
      <c r="F5042" s="8" t="n"/>
      <c r="G5042" s="8">
        <f>IF(E5042="","",E5042*F5042)</f>
        <v/>
      </c>
      <c r="H5042" s="8">
        <f>IF(G5042="","",G5042-I5042)</f>
        <v/>
      </c>
      <c r="I5042" s="8">
        <f>IF(D5042="","",VLOOKUP(D5042, RECETTES!B:G, 6, FALSE)*E5042)</f>
        <v/>
      </c>
      <c r="J5042" s="8">
        <f>IF(G5042="","",G5042*0.20)</f>
        <v/>
      </c>
      <c r="K5042" s="8">
        <f>IF(G5042="","",G5042+J5042)</f>
        <v/>
      </c>
    </row>
    <row r="5043">
      <c r="F5043" s="8" t="n"/>
      <c r="G5043" s="8">
        <f>IF(E5043="","",E5043*F5043)</f>
        <v/>
      </c>
      <c r="H5043" s="8">
        <f>IF(G5043="","",G5043-I5043)</f>
        <v/>
      </c>
      <c r="I5043" s="8">
        <f>IF(D5043="","",VLOOKUP(D5043, RECETTES!B:G, 6, FALSE)*E5043)</f>
        <v/>
      </c>
      <c r="J5043" s="8">
        <f>IF(G5043="","",G5043*0.20)</f>
        <v/>
      </c>
      <c r="K5043" s="8">
        <f>IF(G5043="","",G5043+J5043)</f>
        <v/>
      </c>
    </row>
    <row r="5044">
      <c r="F5044" s="8" t="n"/>
      <c r="G5044" s="8">
        <f>IF(E5044="","",E5044*F5044)</f>
        <v/>
      </c>
      <c r="H5044" s="8">
        <f>IF(G5044="","",G5044-I5044)</f>
        <v/>
      </c>
      <c r="I5044" s="8">
        <f>IF(D5044="","",VLOOKUP(D5044, RECETTES!B:G, 6, FALSE)*E5044)</f>
        <v/>
      </c>
      <c r="J5044" s="8">
        <f>IF(G5044="","",G5044*0.20)</f>
        <v/>
      </c>
      <c r="K5044" s="8">
        <f>IF(G5044="","",G5044+J5044)</f>
        <v/>
      </c>
    </row>
    <row r="5045">
      <c r="F5045" s="8" t="n"/>
      <c r="G5045" s="8">
        <f>IF(E5045="","",E5045*F5045)</f>
        <v/>
      </c>
      <c r="H5045" s="8">
        <f>IF(G5045="","",G5045-I5045)</f>
        <v/>
      </c>
      <c r="I5045" s="8">
        <f>IF(D5045="","",VLOOKUP(D5045, RECETTES!B:G, 6, FALSE)*E5045)</f>
        <v/>
      </c>
      <c r="J5045" s="8">
        <f>IF(G5045="","",G5045*0.20)</f>
        <v/>
      </c>
      <c r="K5045" s="8">
        <f>IF(G5045="","",G5045+J5045)</f>
        <v/>
      </c>
    </row>
    <row r="5046">
      <c r="F5046" s="8" t="n"/>
      <c r="G5046" s="8">
        <f>IF(E5046="","",E5046*F5046)</f>
        <v/>
      </c>
      <c r="H5046" s="8">
        <f>IF(G5046="","",G5046-I5046)</f>
        <v/>
      </c>
      <c r="I5046" s="8">
        <f>IF(D5046="","",VLOOKUP(D5046, RECETTES!B:G, 6, FALSE)*E5046)</f>
        <v/>
      </c>
      <c r="J5046" s="8">
        <f>IF(G5046="","",G5046*0.20)</f>
        <v/>
      </c>
      <c r="K5046" s="8">
        <f>IF(G5046="","",G5046+J5046)</f>
        <v/>
      </c>
    </row>
    <row r="5047">
      <c r="F5047" s="8" t="n"/>
      <c r="G5047" s="8">
        <f>IF(E5047="","",E5047*F5047)</f>
        <v/>
      </c>
      <c r="H5047" s="8">
        <f>IF(G5047="","",G5047-I5047)</f>
        <v/>
      </c>
      <c r="I5047" s="8">
        <f>IF(D5047="","",VLOOKUP(D5047, RECETTES!B:G, 6, FALSE)*E5047)</f>
        <v/>
      </c>
      <c r="J5047" s="8">
        <f>IF(G5047="","",G5047*0.20)</f>
        <v/>
      </c>
      <c r="K5047" s="8">
        <f>IF(G5047="","",G5047+J5047)</f>
        <v/>
      </c>
    </row>
    <row r="5048">
      <c r="F5048" s="8" t="n"/>
      <c r="G5048" s="8">
        <f>IF(E5048="","",E5048*F5048)</f>
        <v/>
      </c>
      <c r="H5048" s="8">
        <f>IF(G5048="","",G5048-I5048)</f>
        <v/>
      </c>
      <c r="I5048" s="8">
        <f>IF(D5048="","",VLOOKUP(D5048, RECETTES!B:G, 6, FALSE)*E5048)</f>
        <v/>
      </c>
      <c r="J5048" s="8">
        <f>IF(G5048="","",G5048*0.20)</f>
        <v/>
      </c>
      <c r="K5048" s="8">
        <f>IF(G5048="","",G5048+J5048)</f>
        <v/>
      </c>
    </row>
    <row r="5049">
      <c r="F5049" s="8" t="n"/>
      <c r="G5049" s="8">
        <f>IF(E5049="","",E5049*F5049)</f>
        <v/>
      </c>
      <c r="H5049" s="8">
        <f>IF(G5049="","",G5049-I5049)</f>
        <v/>
      </c>
      <c r="I5049" s="8">
        <f>IF(D5049="","",VLOOKUP(D5049, RECETTES!B:G, 6, FALSE)*E5049)</f>
        <v/>
      </c>
      <c r="J5049" s="8">
        <f>IF(G5049="","",G5049*0.20)</f>
        <v/>
      </c>
      <c r="K5049" s="8">
        <f>IF(G5049="","",G5049+J5049)</f>
        <v/>
      </c>
    </row>
    <row r="5050">
      <c r="F5050" s="8" t="n"/>
      <c r="G5050" s="8">
        <f>IF(E5050="","",E5050*F5050)</f>
        <v/>
      </c>
      <c r="H5050" s="8">
        <f>IF(G5050="","",G5050-I5050)</f>
        <v/>
      </c>
      <c r="I5050" s="8">
        <f>IF(D5050="","",VLOOKUP(D5050, RECETTES!B:G, 6, FALSE)*E5050)</f>
        <v/>
      </c>
      <c r="J5050" s="8">
        <f>IF(G5050="","",G5050*0.20)</f>
        <v/>
      </c>
      <c r="K5050" s="8">
        <f>IF(G5050="","",G5050+J5050)</f>
        <v/>
      </c>
    </row>
    <row r="5051">
      <c r="F5051" s="8" t="n"/>
      <c r="G5051" s="8">
        <f>IF(E5051="","",E5051*F5051)</f>
        <v/>
      </c>
      <c r="H5051" s="8">
        <f>IF(G5051="","",G5051-I5051)</f>
        <v/>
      </c>
      <c r="I5051" s="8">
        <f>IF(D5051="","",VLOOKUP(D5051, RECETTES!B:G, 6, FALSE)*E5051)</f>
        <v/>
      </c>
      <c r="J5051" s="8">
        <f>IF(G5051="","",G5051*0.20)</f>
        <v/>
      </c>
      <c r="K5051" s="8">
        <f>IF(G5051="","",G5051+J5051)</f>
        <v/>
      </c>
    </row>
    <row r="5052">
      <c r="F5052" s="8" t="n"/>
      <c r="G5052" s="8">
        <f>IF(E5052="","",E5052*F5052)</f>
        <v/>
      </c>
      <c r="H5052" s="8">
        <f>IF(G5052="","",G5052-I5052)</f>
        <v/>
      </c>
      <c r="I5052" s="8">
        <f>IF(D5052="","",VLOOKUP(D5052, RECETTES!B:G, 6, FALSE)*E5052)</f>
        <v/>
      </c>
      <c r="J5052" s="8">
        <f>IF(G5052="","",G5052*0.20)</f>
        <v/>
      </c>
      <c r="K5052" s="8">
        <f>IF(G5052="","",G5052+J5052)</f>
        <v/>
      </c>
    </row>
    <row r="5053">
      <c r="F5053" s="8" t="n"/>
      <c r="G5053" s="8">
        <f>IF(E5053="","",E5053*F5053)</f>
        <v/>
      </c>
      <c r="H5053" s="8">
        <f>IF(G5053="","",G5053-I5053)</f>
        <v/>
      </c>
      <c r="I5053" s="8">
        <f>IF(D5053="","",VLOOKUP(D5053, RECETTES!B:G, 6, FALSE)*E5053)</f>
        <v/>
      </c>
      <c r="J5053" s="8">
        <f>IF(G5053="","",G5053*0.20)</f>
        <v/>
      </c>
      <c r="K5053" s="8">
        <f>IF(G5053="","",G5053+J5053)</f>
        <v/>
      </c>
    </row>
    <row r="5054">
      <c r="F5054" s="8" t="n"/>
      <c r="G5054" s="8">
        <f>IF(E5054="","",E5054*F5054)</f>
        <v/>
      </c>
      <c r="H5054" s="8">
        <f>IF(G5054="","",G5054-I5054)</f>
        <v/>
      </c>
      <c r="I5054" s="8">
        <f>IF(D5054="","",VLOOKUP(D5054, RECETTES!B:G, 6, FALSE)*E5054)</f>
        <v/>
      </c>
      <c r="J5054" s="8">
        <f>IF(G5054="","",G5054*0.20)</f>
        <v/>
      </c>
      <c r="K5054" s="8">
        <f>IF(G5054="","",G5054+J5054)</f>
        <v/>
      </c>
    </row>
    <row r="5055">
      <c r="F5055" s="8" t="n"/>
      <c r="G5055" s="8">
        <f>IF(E5055="","",E5055*F5055)</f>
        <v/>
      </c>
      <c r="H5055" s="8">
        <f>IF(G5055="","",G5055-I5055)</f>
        <v/>
      </c>
      <c r="I5055" s="8">
        <f>IF(D5055="","",VLOOKUP(D5055, RECETTES!B:G, 6, FALSE)*E5055)</f>
        <v/>
      </c>
      <c r="J5055" s="8">
        <f>IF(G5055="","",G5055*0.20)</f>
        <v/>
      </c>
      <c r="K5055" s="8">
        <f>IF(G5055="","",G5055+J5055)</f>
        <v/>
      </c>
    </row>
    <row r="5056">
      <c r="F5056" s="8" t="n"/>
      <c r="G5056" s="8">
        <f>IF(E5056="","",E5056*F5056)</f>
        <v/>
      </c>
      <c r="H5056" s="8">
        <f>IF(G5056="","",G5056-I5056)</f>
        <v/>
      </c>
      <c r="I5056" s="8">
        <f>IF(D5056="","",VLOOKUP(D5056, RECETTES!B:G, 6, FALSE)*E5056)</f>
        <v/>
      </c>
      <c r="J5056" s="8">
        <f>IF(G5056="","",G5056*0.20)</f>
        <v/>
      </c>
      <c r="K5056" s="8">
        <f>IF(G5056="","",G5056+J5056)</f>
        <v/>
      </c>
    </row>
    <row r="5057">
      <c r="F5057" s="8" t="n"/>
      <c r="G5057" s="8">
        <f>IF(E5057="","",E5057*F5057)</f>
        <v/>
      </c>
      <c r="H5057" s="8">
        <f>IF(G5057="","",G5057-I5057)</f>
        <v/>
      </c>
      <c r="I5057" s="8">
        <f>IF(D5057="","",VLOOKUP(D5057, RECETTES!B:G, 6, FALSE)*E5057)</f>
        <v/>
      </c>
      <c r="J5057" s="8">
        <f>IF(G5057="","",G5057*0.20)</f>
        <v/>
      </c>
      <c r="K5057" s="8">
        <f>IF(G5057="","",G5057+J5057)</f>
        <v/>
      </c>
    </row>
    <row r="5058">
      <c r="F5058" s="8" t="n"/>
      <c r="G5058" s="8">
        <f>IF(E5058="","",E5058*F5058)</f>
        <v/>
      </c>
      <c r="H5058" s="8">
        <f>IF(G5058="","",G5058-I5058)</f>
        <v/>
      </c>
      <c r="I5058" s="8">
        <f>IF(D5058="","",VLOOKUP(D5058, RECETTES!B:G, 6, FALSE)*E5058)</f>
        <v/>
      </c>
      <c r="J5058" s="8">
        <f>IF(G5058="","",G5058*0.20)</f>
        <v/>
      </c>
      <c r="K5058" s="8">
        <f>IF(G5058="","",G5058+J5058)</f>
        <v/>
      </c>
    </row>
    <row r="5059">
      <c r="F5059" s="8" t="n"/>
      <c r="G5059" s="8">
        <f>IF(E5059="","",E5059*F5059)</f>
        <v/>
      </c>
      <c r="H5059" s="8">
        <f>IF(G5059="","",G5059-I5059)</f>
        <v/>
      </c>
      <c r="I5059" s="8">
        <f>IF(D5059="","",VLOOKUP(D5059, RECETTES!B:G, 6, FALSE)*E5059)</f>
        <v/>
      </c>
      <c r="J5059" s="8">
        <f>IF(G5059="","",G5059*0.20)</f>
        <v/>
      </c>
      <c r="K5059" s="8">
        <f>IF(G5059="","",G5059+J5059)</f>
        <v/>
      </c>
    </row>
    <row r="5060">
      <c r="F5060" s="8" t="n"/>
      <c r="G5060" s="8">
        <f>IF(E5060="","",E5060*F5060)</f>
        <v/>
      </c>
      <c r="H5060" s="8">
        <f>IF(G5060="","",G5060-I5060)</f>
        <v/>
      </c>
      <c r="I5060" s="8">
        <f>IF(D5060="","",VLOOKUP(D5060, RECETTES!B:G, 6, FALSE)*E5060)</f>
        <v/>
      </c>
      <c r="J5060" s="8">
        <f>IF(G5060="","",G5060*0.20)</f>
        <v/>
      </c>
      <c r="K5060" s="8">
        <f>IF(G5060="","",G5060+J5060)</f>
        <v/>
      </c>
    </row>
    <row r="5061">
      <c r="F5061" s="8" t="n"/>
      <c r="G5061" s="8">
        <f>IF(E5061="","",E5061*F5061)</f>
        <v/>
      </c>
      <c r="H5061" s="8">
        <f>IF(G5061="","",G5061-I5061)</f>
        <v/>
      </c>
      <c r="I5061" s="8">
        <f>IF(D5061="","",VLOOKUP(D5061, RECETTES!B:G, 6, FALSE)*E5061)</f>
        <v/>
      </c>
      <c r="J5061" s="8">
        <f>IF(G5061="","",G5061*0.20)</f>
        <v/>
      </c>
      <c r="K5061" s="8">
        <f>IF(G5061="","",G5061+J5061)</f>
        <v/>
      </c>
    </row>
    <row r="5062">
      <c r="F5062" s="8" t="n"/>
      <c r="G5062" s="8">
        <f>IF(E5062="","",E5062*F5062)</f>
        <v/>
      </c>
      <c r="H5062" s="8">
        <f>IF(G5062="","",G5062-I5062)</f>
        <v/>
      </c>
      <c r="I5062" s="8">
        <f>IF(D5062="","",VLOOKUP(D5062, RECETTES!B:G, 6, FALSE)*E5062)</f>
        <v/>
      </c>
      <c r="J5062" s="8">
        <f>IF(G5062="","",G5062*0.20)</f>
        <v/>
      </c>
      <c r="K5062" s="8">
        <f>IF(G5062="","",G5062+J5062)</f>
        <v/>
      </c>
    </row>
    <row r="5063">
      <c r="F5063" s="8" t="n"/>
      <c r="G5063" s="8">
        <f>IF(E5063="","",E5063*F5063)</f>
        <v/>
      </c>
      <c r="H5063" s="8">
        <f>IF(G5063="","",G5063-I5063)</f>
        <v/>
      </c>
      <c r="I5063" s="8">
        <f>IF(D5063="","",VLOOKUP(D5063, RECETTES!B:G, 6, FALSE)*E5063)</f>
        <v/>
      </c>
      <c r="J5063" s="8">
        <f>IF(G5063="","",G5063*0.20)</f>
        <v/>
      </c>
      <c r="K5063" s="8">
        <f>IF(G5063="","",G5063+J5063)</f>
        <v/>
      </c>
    </row>
    <row r="5064">
      <c r="F5064" s="8" t="n"/>
      <c r="G5064" s="8">
        <f>IF(E5064="","",E5064*F5064)</f>
        <v/>
      </c>
      <c r="H5064" s="8">
        <f>IF(G5064="","",G5064-I5064)</f>
        <v/>
      </c>
      <c r="I5064" s="8">
        <f>IF(D5064="","",VLOOKUP(D5064, RECETTES!B:G, 6, FALSE)*E5064)</f>
        <v/>
      </c>
      <c r="J5064" s="8">
        <f>IF(G5064="","",G5064*0.20)</f>
        <v/>
      </c>
      <c r="K5064" s="8">
        <f>IF(G5064="","",G5064+J5064)</f>
        <v/>
      </c>
    </row>
    <row r="5065">
      <c r="F5065" s="8" t="n"/>
      <c r="G5065" s="8">
        <f>IF(E5065="","",E5065*F5065)</f>
        <v/>
      </c>
      <c r="H5065" s="8">
        <f>IF(G5065="","",G5065-I5065)</f>
        <v/>
      </c>
      <c r="I5065" s="8">
        <f>IF(D5065="","",VLOOKUP(D5065, RECETTES!B:G, 6, FALSE)*E5065)</f>
        <v/>
      </c>
      <c r="J5065" s="8">
        <f>IF(G5065="","",G5065*0.20)</f>
        <v/>
      </c>
      <c r="K5065" s="8">
        <f>IF(G5065="","",G5065+J5065)</f>
        <v/>
      </c>
    </row>
    <row r="5066">
      <c r="F5066" s="8" t="n"/>
      <c r="G5066" s="8">
        <f>IF(E5066="","",E5066*F5066)</f>
        <v/>
      </c>
      <c r="H5066" s="8">
        <f>IF(G5066="","",G5066-I5066)</f>
        <v/>
      </c>
      <c r="I5066" s="8">
        <f>IF(D5066="","",VLOOKUP(D5066, RECETTES!B:G, 6, FALSE)*E5066)</f>
        <v/>
      </c>
      <c r="J5066" s="8">
        <f>IF(G5066="","",G5066*0.20)</f>
        <v/>
      </c>
      <c r="K5066" s="8">
        <f>IF(G5066="","",G5066+J5066)</f>
        <v/>
      </c>
    </row>
    <row r="5067">
      <c r="F5067" s="8" t="n"/>
      <c r="G5067" s="8">
        <f>IF(E5067="","",E5067*F5067)</f>
        <v/>
      </c>
      <c r="H5067" s="8">
        <f>IF(G5067="","",G5067-I5067)</f>
        <v/>
      </c>
      <c r="I5067" s="8">
        <f>IF(D5067="","",VLOOKUP(D5067, RECETTES!B:G, 6, FALSE)*E5067)</f>
        <v/>
      </c>
      <c r="J5067" s="8">
        <f>IF(G5067="","",G5067*0.20)</f>
        <v/>
      </c>
      <c r="K5067" s="8">
        <f>IF(G5067="","",G5067+J5067)</f>
        <v/>
      </c>
    </row>
    <row r="5068">
      <c r="F5068" s="8" t="n"/>
      <c r="G5068" s="8">
        <f>IF(E5068="","",E5068*F5068)</f>
        <v/>
      </c>
      <c r="H5068" s="8">
        <f>IF(G5068="","",G5068-I5068)</f>
        <v/>
      </c>
      <c r="I5068" s="8">
        <f>IF(D5068="","",VLOOKUP(D5068, RECETTES!B:G, 6, FALSE)*E5068)</f>
        <v/>
      </c>
      <c r="J5068" s="8">
        <f>IF(G5068="","",G5068*0.20)</f>
        <v/>
      </c>
      <c r="K5068" s="8">
        <f>IF(G5068="","",G5068+J5068)</f>
        <v/>
      </c>
    </row>
    <row r="5069">
      <c r="F5069" s="8" t="n"/>
      <c r="G5069" s="8">
        <f>IF(E5069="","",E5069*F5069)</f>
        <v/>
      </c>
      <c r="H5069" s="8">
        <f>IF(G5069="","",G5069-I5069)</f>
        <v/>
      </c>
      <c r="I5069" s="8">
        <f>IF(D5069="","",VLOOKUP(D5069, RECETTES!B:G, 6, FALSE)*E5069)</f>
        <v/>
      </c>
      <c r="J5069" s="8">
        <f>IF(G5069="","",G5069*0.20)</f>
        <v/>
      </c>
      <c r="K5069" s="8">
        <f>IF(G5069="","",G5069+J5069)</f>
        <v/>
      </c>
    </row>
    <row r="5070">
      <c r="F5070" s="8" t="n"/>
      <c r="G5070" s="8">
        <f>IF(E5070="","",E5070*F5070)</f>
        <v/>
      </c>
      <c r="H5070" s="8">
        <f>IF(G5070="","",G5070-I5070)</f>
        <v/>
      </c>
      <c r="I5070" s="8">
        <f>IF(D5070="","",VLOOKUP(D5070, RECETTES!B:G, 6, FALSE)*E5070)</f>
        <v/>
      </c>
      <c r="J5070" s="8">
        <f>IF(G5070="","",G5070*0.20)</f>
        <v/>
      </c>
      <c r="K5070" s="8">
        <f>IF(G5070="","",G5070+J5070)</f>
        <v/>
      </c>
    </row>
    <row r="5071">
      <c r="F5071" s="8" t="n"/>
      <c r="G5071" s="8">
        <f>IF(E5071="","",E5071*F5071)</f>
        <v/>
      </c>
      <c r="H5071" s="8">
        <f>IF(G5071="","",G5071-I5071)</f>
        <v/>
      </c>
      <c r="I5071" s="8">
        <f>IF(D5071="","",VLOOKUP(D5071, RECETTES!B:G, 6, FALSE)*E5071)</f>
        <v/>
      </c>
      <c r="J5071" s="8">
        <f>IF(G5071="","",G5071*0.20)</f>
        <v/>
      </c>
      <c r="K5071" s="8">
        <f>IF(G5071="","",G5071+J5071)</f>
        <v/>
      </c>
    </row>
    <row r="5072">
      <c r="F5072" s="8" t="n"/>
      <c r="G5072" s="8">
        <f>IF(E5072="","",E5072*F5072)</f>
        <v/>
      </c>
      <c r="H5072" s="8">
        <f>IF(G5072="","",G5072-I5072)</f>
        <v/>
      </c>
      <c r="I5072" s="8">
        <f>IF(D5072="","",VLOOKUP(D5072, RECETTES!B:G, 6, FALSE)*E5072)</f>
        <v/>
      </c>
      <c r="J5072" s="8">
        <f>IF(G5072="","",G5072*0.20)</f>
        <v/>
      </c>
      <c r="K5072" s="8">
        <f>IF(G5072="","",G5072+J5072)</f>
        <v/>
      </c>
    </row>
    <row r="5073">
      <c r="F5073" s="8" t="n"/>
      <c r="G5073" s="8">
        <f>IF(E5073="","",E5073*F5073)</f>
        <v/>
      </c>
      <c r="H5073" s="8">
        <f>IF(G5073="","",G5073-I5073)</f>
        <v/>
      </c>
      <c r="I5073" s="8">
        <f>IF(D5073="","",VLOOKUP(D5073, RECETTES!B:G, 6, FALSE)*E5073)</f>
        <v/>
      </c>
      <c r="J5073" s="8">
        <f>IF(G5073="","",G5073*0.20)</f>
        <v/>
      </c>
      <c r="K5073" s="8">
        <f>IF(G5073="","",G5073+J5073)</f>
        <v/>
      </c>
    </row>
    <row r="5074">
      <c r="F5074" s="8" t="n"/>
      <c r="G5074" s="8">
        <f>IF(E5074="","",E5074*F5074)</f>
        <v/>
      </c>
      <c r="H5074" s="8">
        <f>IF(G5074="","",G5074-I5074)</f>
        <v/>
      </c>
      <c r="I5074" s="8">
        <f>IF(D5074="","",VLOOKUP(D5074, RECETTES!B:G, 6, FALSE)*E5074)</f>
        <v/>
      </c>
      <c r="J5074" s="8">
        <f>IF(G5074="","",G5074*0.20)</f>
        <v/>
      </c>
      <c r="K5074" s="8">
        <f>IF(G5074="","",G5074+J5074)</f>
        <v/>
      </c>
    </row>
    <row r="5075">
      <c r="F5075" s="8" t="n"/>
      <c r="G5075" s="8">
        <f>IF(E5075="","",E5075*F5075)</f>
        <v/>
      </c>
      <c r="H5075" s="8">
        <f>IF(G5075="","",G5075-I5075)</f>
        <v/>
      </c>
      <c r="I5075" s="8">
        <f>IF(D5075="","",VLOOKUP(D5075, RECETTES!B:G, 6, FALSE)*E5075)</f>
        <v/>
      </c>
      <c r="J5075" s="8">
        <f>IF(G5075="","",G5075*0.20)</f>
        <v/>
      </c>
      <c r="K5075" s="8">
        <f>IF(G5075="","",G5075+J5075)</f>
        <v/>
      </c>
    </row>
    <row r="5076">
      <c r="F5076" s="8" t="n"/>
      <c r="G5076" s="8">
        <f>IF(E5076="","",E5076*F5076)</f>
        <v/>
      </c>
      <c r="H5076" s="8">
        <f>IF(G5076="","",G5076-I5076)</f>
        <v/>
      </c>
      <c r="I5076" s="8">
        <f>IF(D5076="","",VLOOKUP(D5076, RECETTES!B:G, 6, FALSE)*E5076)</f>
        <v/>
      </c>
      <c r="J5076" s="8">
        <f>IF(G5076="","",G5076*0.20)</f>
        <v/>
      </c>
      <c r="K5076" s="8">
        <f>IF(G5076="","",G5076+J5076)</f>
        <v/>
      </c>
    </row>
    <row r="5077">
      <c r="F5077" s="8" t="n"/>
      <c r="G5077" s="8">
        <f>IF(E5077="","",E5077*F5077)</f>
        <v/>
      </c>
      <c r="H5077" s="8">
        <f>IF(G5077="","",G5077-I5077)</f>
        <v/>
      </c>
      <c r="I5077" s="8">
        <f>IF(D5077="","",VLOOKUP(D5077, RECETTES!B:G, 6, FALSE)*E5077)</f>
        <v/>
      </c>
      <c r="J5077" s="8">
        <f>IF(G5077="","",G5077*0.20)</f>
        <v/>
      </c>
      <c r="K5077" s="8">
        <f>IF(G5077="","",G5077+J5077)</f>
        <v/>
      </c>
    </row>
    <row r="5078">
      <c r="F5078" s="8" t="n"/>
      <c r="G5078" s="8">
        <f>IF(E5078="","",E5078*F5078)</f>
        <v/>
      </c>
      <c r="H5078" s="8">
        <f>IF(G5078="","",G5078-I5078)</f>
        <v/>
      </c>
      <c r="I5078" s="8">
        <f>IF(D5078="","",VLOOKUP(D5078, RECETTES!B:G, 6, FALSE)*E5078)</f>
        <v/>
      </c>
      <c r="J5078" s="8">
        <f>IF(G5078="","",G5078*0.20)</f>
        <v/>
      </c>
      <c r="K5078" s="8">
        <f>IF(G5078="","",G5078+J5078)</f>
        <v/>
      </c>
    </row>
    <row r="5079">
      <c r="F5079" s="8" t="n"/>
      <c r="G5079" s="8">
        <f>IF(E5079="","",E5079*F5079)</f>
        <v/>
      </c>
      <c r="H5079" s="8">
        <f>IF(G5079="","",G5079-I5079)</f>
        <v/>
      </c>
      <c r="I5079" s="8">
        <f>IF(D5079="","",VLOOKUP(D5079, RECETTES!B:G, 6, FALSE)*E5079)</f>
        <v/>
      </c>
      <c r="J5079" s="8">
        <f>IF(G5079="","",G5079*0.20)</f>
        <v/>
      </c>
      <c r="K5079" s="8">
        <f>IF(G5079="","",G5079+J5079)</f>
        <v/>
      </c>
    </row>
    <row r="5080">
      <c r="F5080" s="8" t="n"/>
      <c r="G5080" s="8">
        <f>IF(E5080="","",E5080*F5080)</f>
        <v/>
      </c>
      <c r="H5080" s="8">
        <f>IF(G5080="","",G5080-I5080)</f>
        <v/>
      </c>
      <c r="I5080" s="8">
        <f>IF(D5080="","",VLOOKUP(D5080, RECETTES!B:G, 6, FALSE)*E5080)</f>
        <v/>
      </c>
      <c r="J5080" s="8">
        <f>IF(G5080="","",G5080*0.20)</f>
        <v/>
      </c>
      <c r="K5080" s="8">
        <f>IF(G5080="","",G5080+J5080)</f>
        <v/>
      </c>
    </row>
    <row r="5081">
      <c r="F5081" s="8" t="n"/>
      <c r="G5081" s="8">
        <f>IF(E5081="","",E5081*F5081)</f>
        <v/>
      </c>
      <c r="H5081" s="8">
        <f>IF(G5081="","",G5081-I5081)</f>
        <v/>
      </c>
      <c r="I5081" s="8">
        <f>IF(D5081="","",VLOOKUP(D5081, RECETTES!B:G, 6, FALSE)*E5081)</f>
        <v/>
      </c>
      <c r="J5081" s="8">
        <f>IF(G5081="","",G5081*0.20)</f>
        <v/>
      </c>
      <c r="K5081" s="8">
        <f>IF(G5081="","",G5081+J5081)</f>
        <v/>
      </c>
    </row>
    <row r="5082">
      <c r="F5082" s="8" t="n"/>
      <c r="G5082" s="8">
        <f>IF(E5082="","",E5082*F5082)</f>
        <v/>
      </c>
      <c r="H5082" s="8">
        <f>IF(G5082="","",G5082-I5082)</f>
        <v/>
      </c>
      <c r="I5082" s="8">
        <f>IF(D5082="","",VLOOKUP(D5082, RECETTES!B:G, 6, FALSE)*E5082)</f>
        <v/>
      </c>
      <c r="J5082" s="8">
        <f>IF(G5082="","",G5082*0.20)</f>
        <v/>
      </c>
      <c r="K5082" s="8">
        <f>IF(G5082="","",G5082+J5082)</f>
        <v/>
      </c>
    </row>
    <row r="5083">
      <c r="F5083" s="8" t="n"/>
      <c r="G5083" s="8">
        <f>IF(E5083="","",E5083*F5083)</f>
        <v/>
      </c>
      <c r="H5083" s="8">
        <f>IF(G5083="","",G5083-I5083)</f>
        <v/>
      </c>
      <c r="I5083" s="8">
        <f>IF(D5083="","",VLOOKUP(D5083, RECETTES!B:G, 6, FALSE)*E5083)</f>
        <v/>
      </c>
      <c r="J5083" s="8">
        <f>IF(G5083="","",G5083*0.20)</f>
        <v/>
      </c>
      <c r="K5083" s="8">
        <f>IF(G5083="","",G5083+J5083)</f>
        <v/>
      </c>
    </row>
    <row r="5084">
      <c r="F5084" s="8" t="n"/>
      <c r="G5084" s="8">
        <f>IF(E5084="","",E5084*F5084)</f>
        <v/>
      </c>
      <c r="H5084" s="8">
        <f>IF(G5084="","",G5084-I5084)</f>
        <v/>
      </c>
      <c r="I5084" s="8">
        <f>IF(D5084="","",VLOOKUP(D5084, RECETTES!B:G, 6, FALSE)*E5084)</f>
        <v/>
      </c>
      <c r="J5084" s="8">
        <f>IF(G5084="","",G5084*0.20)</f>
        <v/>
      </c>
      <c r="K5084" s="8">
        <f>IF(G5084="","",G5084+J5084)</f>
        <v/>
      </c>
    </row>
    <row r="5085">
      <c r="F5085" s="8" t="n"/>
      <c r="G5085" s="8">
        <f>IF(E5085="","",E5085*F5085)</f>
        <v/>
      </c>
      <c r="H5085" s="8">
        <f>IF(G5085="","",G5085-I5085)</f>
        <v/>
      </c>
      <c r="I5085" s="8">
        <f>IF(D5085="","",VLOOKUP(D5085, RECETTES!B:G, 6, FALSE)*E5085)</f>
        <v/>
      </c>
      <c r="J5085" s="8">
        <f>IF(G5085="","",G5085*0.20)</f>
        <v/>
      </c>
      <c r="K5085" s="8">
        <f>IF(G5085="","",G5085+J5085)</f>
        <v/>
      </c>
    </row>
    <row r="5086">
      <c r="F5086" s="8" t="n"/>
      <c r="G5086" s="8">
        <f>IF(E5086="","",E5086*F5086)</f>
        <v/>
      </c>
      <c r="H5086" s="8">
        <f>IF(G5086="","",G5086-I5086)</f>
        <v/>
      </c>
      <c r="I5086" s="8">
        <f>IF(D5086="","",VLOOKUP(D5086, RECETTES!B:G, 6, FALSE)*E5086)</f>
        <v/>
      </c>
      <c r="J5086" s="8">
        <f>IF(G5086="","",G5086*0.20)</f>
        <v/>
      </c>
      <c r="K5086" s="8">
        <f>IF(G5086="","",G5086+J5086)</f>
        <v/>
      </c>
    </row>
    <row r="5087">
      <c r="F5087" s="8" t="n"/>
      <c r="G5087" s="8">
        <f>IF(E5087="","",E5087*F5087)</f>
        <v/>
      </c>
      <c r="H5087" s="8">
        <f>IF(G5087="","",G5087-I5087)</f>
        <v/>
      </c>
      <c r="I5087" s="8">
        <f>IF(D5087="","",VLOOKUP(D5087, RECETTES!B:G, 6, FALSE)*E5087)</f>
        <v/>
      </c>
      <c r="J5087" s="8">
        <f>IF(G5087="","",G5087*0.20)</f>
        <v/>
      </c>
      <c r="K5087" s="8">
        <f>IF(G5087="","",G5087+J5087)</f>
        <v/>
      </c>
    </row>
    <row r="5088">
      <c r="F5088" s="8" t="n"/>
      <c r="G5088" s="8">
        <f>IF(E5088="","",E5088*F5088)</f>
        <v/>
      </c>
      <c r="H5088" s="8">
        <f>IF(G5088="","",G5088-I5088)</f>
        <v/>
      </c>
      <c r="I5088" s="8">
        <f>IF(D5088="","",VLOOKUP(D5088, RECETTES!B:G, 6, FALSE)*E5088)</f>
        <v/>
      </c>
      <c r="J5088" s="8">
        <f>IF(G5088="","",G5088*0.20)</f>
        <v/>
      </c>
      <c r="K5088" s="8">
        <f>IF(G5088="","",G5088+J5088)</f>
        <v/>
      </c>
    </row>
    <row r="5089">
      <c r="F5089" s="8" t="n"/>
      <c r="G5089" s="8">
        <f>IF(E5089="","",E5089*F5089)</f>
        <v/>
      </c>
      <c r="H5089" s="8">
        <f>IF(G5089="","",G5089-I5089)</f>
        <v/>
      </c>
      <c r="I5089" s="8">
        <f>IF(D5089="","",VLOOKUP(D5089, RECETTES!B:G, 6, FALSE)*E5089)</f>
        <v/>
      </c>
      <c r="J5089" s="8">
        <f>IF(G5089="","",G5089*0.20)</f>
        <v/>
      </c>
      <c r="K5089" s="8">
        <f>IF(G5089="","",G5089+J5089)</f>
        <v/>
      </c>
    </row>
    <row r="5090">
      <c r="F5090" s="8" t="n"/>
      <c r="G5090" s="8">
        <f>IF(E5090="","",E5090*F5090)</f>
        <v/>
      </c>
      <c r="H5090" s="8">
        <f>IF(G5090="","",G5090-I5090)</f>
        <v/>
      </c>
      <c r="I5090" s="8">
        <f>IF(D5090="","",VLOOKUP(D5090, RECETTES!B:G, 6, FALSE)*E5090)</f>
        <v/>
      </c>
      <c r="J5090" s="8">
        <f>IF(G5090="","",G5090*0.20)</f>
        <v/>
      </c>
      <c r="K5090" s="8">
        <f>IF(G5090="","",G5090+J5090)</f>
        <v/>
      </c>
    </row>
    <row r="5091">
      <c r="F5091" s="8" t="n"/>
      <c r="G5091" s="8">
        <f>IF(E5091="","",E5091*F5091)</f>
        <v/>
      </c>
      <c r="H5091" s="8">
        <f>IF(G5091="","",G5091-I5091)</f>
        <v/>
      </c>
      <c r="I5091" s="8">
        <f>IF(D5091="","",VLOOKUP(D5091, RECETTES!B:G, 6, FALSE)*E5091)</f>
        <v/>
      </c>
      <c r="J5091" s="8">
        <f>IF(G5091="","",G5091*0.20)</f>
        <v/>
      </c>
      <c r="K5091" s="8">
        <f>IF(G5091="","",G5091+J5091)</f>
        <v/>
      </c>
    </row>
    <row r="5092">
      <c r="F5092" s="8" t="n"/>
      <c r="G5092" s="8">
        <f>IF(E5092="","",E5092*F5092)</f>
        <v/>
      </c>
      <c r="H5092" s="8">
        <f>IF(G5092="","",G5092-I5092)</f>
        <v/>
      </c>
      <c r="I5092" s="8">
        <f>IF(D5092="","",VLOOKUP(D5092, RECETTES!B:G, 6, FALSE)*E5092)</f>
        <v/>
      </c>
      <c r="J5092" s="8">
        <f>IF(G5092="","",G5092*0.20)</f>
        <v/>
      </c>
      <c r="K5092" s="8">
        <f>IF(G5092="","",G5092+J5092)</f>
        <v/>
      </c>
    </row>
    <row r="5093">
      <c r="F5093" s="8" t="n"/>
      <c r="G5093" s="8">
        <f>IF(E5093="","",E5093*F5093)</f>
        <v/>
      </c>
      <c r="H5093" s="8">
        <f>IF(G5093="","",G5093-I5093)</f>
        <v/>
      </c>
      <c r="I5093" s="8">
        <f>IF(D5093="","",VLOOKUP(D5093, RECETTES!B:G, 6, FALSE)*E5093)</f>
        <v/>
      </c>
      <c r="J5093" s="8">
        <f>IF(G5093="","",G5093*0.20)</f>
        <v/>
      </c>
      <c r="K5093" s="8">
        <f>IF(G5093="","",G5093+J5093)</f>
        <v/>
      </c>
    </row>
    <row r="5094">
      <c r="F5094" s="8" t="n"/>
      <c r="G5094" s="8">
        <f>IF(E5094="","",E5094*F5094)</f>
        <v/>
      </c>
      <c r="H5094" s="8">
        <f>IF(G5094="","",G5094-I5094)</f>
        <v/>
      </c>
      <c r="I5094" s="8">
        <f>IF(D5094="","",VLOOKUP(D5094, RECETTES!B:G, 6, FALSE)*E5094)</f>
        <v/>
      </c>
      <c r="J5094" s="8">
        <f>IF(G5094="","",G5094*0.20)</f>
        <v/>
      </c>
      <c r="K5094" s="8">
        <f>IF(G5094="","",G5094+J5094)</f>
        <v/>
      </c>
    </row>
    <row r="5095">
      <c r="F5095" s="8" t="n"/>
      <c r="G5095" s="8">
        <f>IF(E5095="","",E5095*F5095)</f>
        <v/>
      </c>
      <c r="H5095" s="8">
        <f>IF(G5095="","",G5095-I5095)</f>
        <v/>
      </c>
      <c r="I5095" s="8">
        <f>IF(D5095="","",VLOOKUP(D5095, RECETTES!B:G, 6, FALSE)*E5095)</f>
        <v/>
      </c>
      <c r="J5095" s="8">
        <f>IF(G5095="","",G5095*0.20)</f>
        <v/>
      </c>
      <c r="K5095" s="8">
        <f>IF(G5095="","",G5095+J5095)</f>
        <v/>
      </c>
    </row>
    <row r="5096">
      <c r="F5096" s="8" t="n"/>
      <c r="G5096" s="8">
        <f>IF(E5096="","",E5096*F5096)</f>
        <v/>
      </c>
      <c r="H5096" s="8">
        <f>IF(G5096="","",G5096-I5096)</f>
        <v/>
      </c>
      <c r="I5096" s="8">
        <f>IF(D5096="","",VLOOKUP(D5096, RECETTES!B:G, 6, FALSE)*E5096)</f>
        <v/>
      </c>
      <c r="J5096" s="8">
        <f>IF(G5096="","",G5096*0.20)</f>
        <v/>
      </c>
      <c r="K5096" s="8">
        <f>IF(G5096="","",G5096+J5096)</f>
        <v/>
      </c>
    </row>
    <row r="5097">
      <c r="F5097" s="8" t="n"/>
      <c r="G5097" s="8">
        <f>IF(E5097="","",E5097*F5097)</f>
        <v/>
      </c>
      <c r="H5097" s="8">
        <f>IF(G5097="","",G5097-I5097)</f>
        <v/>
      </c>
      <c r="I5097" s="8">
        <f>IF(D5097="","",VLOOKUP(D5097, RECETTES!B:G, 6, FALSE)*E5097)</f>
        <v/>
      </c>
      <c r="J5097" s="8">
        <f>IF(G5097="","",G5097*0.20)</f>
        <v/>
      </c>
      <c r="K5097" s="8">
        <f>IF(G5097="","",G5097+J5097)</f>
        <v/>
      </c>
    </row>
    <row r="5098">
      <c r="F5098" s="8" t="n"/>
      <c r="G5098" s="8">
        <f>IF(E5098="","",E5098*F5098)</f>
        <v/>
      </c>
      <c r="H5098" s="8">
        <f>IF(G5098="","",G5098-I5098)</f>
        <v/>
      </c>
      <c r="I5098" s="8">
        <f>IF(D5098="","",VLOOKUP(D5098, RECETTES!B:G, 6, FALSE)*E5098)</f>
        <v/>
      </c>
      <c r="J5098" s="8">
        <f>IF(G5098="","",G5098*0.20)</f>
        <v/>
      </c>
      <c r="K5098" s="8">
        <f>IF(G5098="","",G5098+J5098)</f>
        <v/>
      </c>
    </row>
    <row r="5099">
      <c r="F5099" s="8" t="n"/>
      <c r="G5099" s="8">
        <f>IF(E5099="","",E5099*F5099)</f>
        <v/>
      </c>
      <c r="H5099" s="8">
        <f>IF(G5099="","",G5099-I5099)</f>
        <v/>
      </c>
      <c r="I5099" s="8">
        <f>IF(D5099="","",VLOOKUP(D5099, RECETTES!B:G, 6, FALSE)*E5099)</f>
        <v/>
      </c>
      <c r="J5099" s="8">
        <f>IF(G5099="","",G5099*0.20)</f>
        <v/>
      </c>
      <c r="K5099" s="8">
        <f>IF(G5099="","",G5099+J5099)</f>
        <v/>
      </c>
    </row>
    <row r="5100">
      <c r="F5100" s="8" t="n"/>
      <c r="G5100" s="8">
        <f>IF(E5100="","",E5100*F5100)</f>
        <v/>
      </c>
      <c r="H5100" s="8">
        <f>IF(G5100="","",G5100-I5100)</f>
        <v/>
      </c>
      <c r="I5100" s="8">
        <f>IF(D5100="","",VLOOKUP(D5100, RECETTES!B:G, 6, FALSE)*E5100)</f>
        <v/>
      </c>
      <c r="J5100" s="8">
        <f>IF(G5100="","",G5100*0.20)</f>
        <v/>
      </c>
      <c r="K5100" s="8">
        <f>IF(G5100="","",G5100+J5100)</f>
        <v/>
      </c>
    </row>
    <row r="5101">
      <c r="F5101" s="8" t="n"/>
      <c r="G5101" s="8">
        <f>IF(E5101="","",E5101*F5101)</f>
        <v/>
      </c>
      <c r="H5101" s="8">
        <f>IF(G5101="","",G5101-I5101)</f>
        <v/>
      </c>
      <c r="I5101" s="8">
        <f>IF(D5101="","",VLOOKUP(D5101, RECETTES!B:G, 6, FALSE)*E5101)</f>
        <v/>
      </c>
      <c r="J5101" s="8">
        <f>IF(G5101="","",G5101*0.20)</f>
        <v/>
      </c>
      <c r="K5101" s="8">
        <f>IF(G5101="","",G5101+J5101)</f>
        <v/>
      </c>
    </row>
    <row r="5102">
      <c r="F5102" s="8" t="n"/>
      <c r="G5102" s="8">
        <f>IF(E5102="","",E5102*F5102)</f>
        <v/>
      </c>
      <c r="H5102" s="8">
        <f>IF(G5102="","",G5102-I5102)</f>
        <v/>
      </c>
      <c r="I5102" s="8">
        <f>IF(D5102="","",VLOOKUP(D5102, RECETTES!B:G, 6, FALSE)*E5102)</f>
        <v/>
      </c>
      <c r="J5102" s="8">
        <f>IF(G5102="","",G5102*0.20)</f>
        <v/>
      </c>
      <c r="K5102" s="8">
        <f>IF(G5102="","",G5102+J5102)</f>
        <v/>
      </c>
    </row>
    <row r="5103">
      <c r="F5103" s="8" t="n"/>
      <c r="G5103" s="8">
        <f>IF(E5103="","",E5103*F5103)</f>
        <v/>
      </c>
      <c r="H5103" s="8">
        <f>IF(G5103="","",G5103-I5103)</f>
        <v/>
      </c>
      <c r="I5103" s="8">
        <f>IF(D5103="","",VLOOKUP(D5103, RECETTES!B:G, 6, FALSE)*E5103)</f>
        <v/>
      </c>
      <c r="J5103" s="8">
        <f>IF(G5103="","",G5103*0.20)</f>
        <v/>
      </c>
      <c r="K5103" s="8">
        <f>IF(G5103="","",G5103+J5103)</f>
        <v/>
      </c>
    </row>
    <row r="5104">
      <c r="F5104" s="8" t="n"/>
      <c r="G5104" s="8">
        <f>IF(E5104="","",E5104*F5104)</f>
        <v/>
      </c>
      <c r="H5104" s="8">
        <f>IF(G5104="","",G5104-I5104)</f>
        <v/>
      </c>
      <c r="I5104" s="8">
        <f>IF(D5104="","",VLOOKUP(D5104, RECETTES!B:G, 6, FALSE)*E5104)</f>
        <v/>
      </c>
      <c r="J5104" s="8">
        <f>IF(G5104="","",G5104*0.20)</f>
        <v/>
      </c>
      <c r="K5104" s="8">
        <f>IF(G5104="","",G5104+J5104)</f>
        <v/>
      </c>
    </row>
    <row r="5105">
      <c r="F5105" s="8" t="n"/>
      <c r="G5105" s="8">
        <f>IF(E5105="","",E5105*F5105)</f>
        <v/>
      </c>
      <c r="H5105" s="8">
        <f>IF(G5105="","",G5105-I5105)</f>
        <v/>
      </c>
      <c r="I5105" s="8">
        <f>IF(D5105="","",VLOOKUP(D5105, RECETTES!B:G, 6, FALSE)*E5105)</f>
        <v/>
      </c>
      <c r="J5105" s="8">
        <f>IF(G5105="","",G5105*0.20)</f>
        <v/>
      </c>
      <c r="K5105" s="8">
        <f>IF(G5105="","",G5105+J5105)</f>
        <v/>
      </c>
    </row>
    <row r="5106">
      <c r="F5106" s="8" t="n"/>
      <c r="G5106" s="8">
        <f>IF(E5106="","",E5106*F5106)</f>
        <v/>
      </c>
      <c r="H5106" s="8">
        <f>IF(G5106="","",G5106-I5106)</f>
        <v/>
      </c>
      <c r="I5106" s="8">
        <f>IF(D5106="","",VLOOKUP(D5106, RECETTES!B:G, 6, FALSE)*E5106)</f>
        <v/>
      </c>
      <c r="J5106" s="8">
        <f>IF(G5106="","",G5106*0.20)</f>
        <v/>
      </c>
      <c r="K5106" s="8">
        <f>IF(G5106="","",G5106+J5106)</f>
        <v/>
      </c>
    </row>
    <row r="5107">
      <c r="F5107" s="8" t="n"/>
      <c r="G5107" s="8">
        <f>IF(E5107="","",E5107*F5107)</f>
        <v/>
      </c>
      <c r="H5107" s="8">
        <f>IF(G5107="","",G5107-I5107)</f>
        <v/>
      </c>
      <c r="I5107" s="8">
        <f>IF(D5107="","",VLOOKUP(D5107, RECETTES!B:G, 6, FALSE)*E5107)</f>
        <v/>
      </c>
      <c r="J5107" s="8">
        <f>IF(G5107="","",G5107*0.20)</f>
        <v/>
      </c>
      <c r="K5107" s="8">
        <f>IF(G5107="","",G5107+J5107)</f>
        <v/>
      </c>
    </row>
    <row r="5108">
      <c r="F5108" s="8" t="n"/>
      <c r="G5108" s="8">
        <f>IF(E5108="","",E5108*F5108)</f>
        <v/>
      </c>
      <c r="H5108" s="8">
        <f>IF(G5108="","",G5108-I5108)</f>
        <v/>
      </c>
      <c r="I5108" s="8">
        <f>IF(D5108="","",VLOOKUP(D5108, RECETTES!B:G, 6, FALSE)*E5108)</f>
        <v/>
      </c>
      <c r="J5108" s="8">
        <f>IF(G5108="","",G5108*0.20)</f>
        <v/>
      </c>
      <c r="K5108" s="8">
        <f>IF(G5108="","",G5108+J5108)</f>
        <v/>
      </c>
    </row>
    <row r="5109">
      <c r="F5109" s="8" t="n"/>
      <c r="G5109" s="8">
        <f>IF(E5109="","",E5109*F5109)</f>
        <v/>
      </c>
      <c r="H5109" s="8">
        <f>IF(G5109="","",G5109-I5109)</f>
        <v/>
      </c>
      <c r="I5109" s="8">
        <f>IF(D5109="","",VLOOKUP(D5109, RECETTES!B:G, 6, FALSE)*E5109)</f>
        <v/>
      </c>
      <c r="J5109" s="8">
        <f>IF(G5109="","",G5109*0.20)</f>
        <v/>
      </c>
      <c r="K5109" s="8">
        <f>IF(G5109="","",G5109+J5109)</f>
        <v/>
      </c>
    </row>
    <row r="5110">
      <c r="F5110" s="8" t="n"/>
      <c r="G5110" s="8">
        <f>IF(E5110="","",E5110*F5110)</f>
        <v/>
      </c>
      <c r="H5110" s="8">
        <f>IF(G5110="","",G5110-I5110)</f>
        <v/>
      </c>
      <c r="I5110" s="8">
        <f>IF(D5110="","",VLOOKUP(D5110, RECETTES!B:G, 6, FALSE)*E5110)</f>
        <v/>
      </c>
      <c r="J5110" s="8">
        <f>IF(G5110="","",G5110*0.20)</f>
        <v/>
      </c>
      <c r="K5110" s="8">
        <f>IF(G5110="","",G5110+J5110)</f>
        <v/>
      </c>
    </row>
    <row r="5111">
      <c r="F5111" s="8" t="n"/>
      <c r="G5111" s="8">
        <f>IF(E5111="","",E5111*F5111)</f>
        <v/>
      </c>
      <c r="H5111" s="8">
        <f>IF(G5111="","",G5111-I5111)</f>
        <v/>
      </c>
      <c r="I5111" s="8">
        <f>IF(D5111="","",VLOOKUP(D5111, RECETTES!B:G, 6, FALSE)*E5111)</f>
        <v/>
      </c>
      <c r="J5111" s="8">
        <f>IF(G5111="","",G5111*0.20)</f>
        <v/>
      </c>
      <c r="K5111" s="8">
        <f>IF(G5111="","",G5111+J5111)</f>
        <v/>
      </c>
    </row>
    <row r="5112">
      <c r="F5112" s="8" t="n"/>
      <c r="G5112" s="8">
        <f>IF(E5112="","",E5112*F5112)</f>
        <v/>
      </c>
      <c r="H5112" s="8">
        <f>IF(G5112="","",G5112-I5112)</f>
        <v/>
      </c>
      <c r="I5112" s="8">
        <f>IF(D5112="","",VLOOKUP(D5112, RECETTES!B:G, 6, FALSE)*E5112)</f>
        <v/>
      </c>
      <c r="J5112" s="8">
        <f>IF(G5112="","",G5112*0.20)</f>
        <v/>
      </c>
      <c r="K5112" s="8">
        <f>IF(G5112="","",G5112+J5112)</f>
        <v/>
      </c>
    </row>
    <row r="5113">
      <c r="F5113" s="8" t="n"/>
      <c r="G5113" s="8">
        <f>IF(E5113="","",E5113*F5113)</f>
        <v/>
      </c>
      <c r="H5113" s="8">
        <f>IF(G5113="","",G5113-I5113)</f>
        <v/>
      </c>
      <c r="I5113" s="8">
        <f>IF(D5113="","",VLOOKUP(D5113, RECETTES!B:G, 6, FALSE)*E5113)</f>
        <v/>
      </c>
      <c r="J5113" s="8">
        <f>IF(G5113="","",G5113*0.20)</f>
        <v/>
      </c>
      <c r="K5113" s="8">
        <f>IF(G5113="","",G5113+J5113)</f>
        <v/>
      </c>
    </row>
    <row r="5114">
      <c r="F5114" s="8" t="n"/>
      <c r="G5114" s="8">
        <f>IF(E5114="","",E5114*F5114)</f>
        <v/>
      </c>
      <c r="H5114" s="8">
        <f>IF(G5114="","",G5114-I5114)</f>
        <v/>
      </c>
      <c r="I5114" s="8">
        <f>IF(D5114="","",VLOOKUP(D5114, RECETTES!B:G, 6, FALSE)*E5114)</f>
        <v/>
      </c>
      <c r="J5114" s="8">
        <f>IF(G5114="","",G5114*0.20)</f>
        <v/>
      </c>
      <c r="K5114" s="8">
        <f>IF(G5114="","",G5114+J5114)</f>
        <v/>
      </c>
    </row>
    <row r="5115">
      <c r="F5115" s="8" t="n"/>
      <c r="G5115" s="8">
        <f>IF(E5115="","",E5115*F5115)</f>
        <v/>
      </c>
      <c r="H5115" s="8">
        <f>IF(G5115="","",G5115-I5115)</f>
        <v/>
      </c>
      <c r="I5115" s="8">
        <f>IF(D5115="","",VLOOKUP(D5115, RECETTES!B:G, 6, FALSE)*E5115)</f>
        <v/>
      </c>
      <c r="J5115" s="8">
        <f>IF(G5115="","",G5115*0.20)</f>
        <v/>
      </c>
      <c r="K5115" s="8">
        <f>IF(G5115="","",G5115+J5115)</f>
        <v/>
      </c>
    </row>
    <row r="5116">
      <c r="F5116" s="8" t="n"/>
      <c r="G5116" s="8">
        <f>IF(E5116="","",E5116*F5116)</f>
        <v/>
      </c>
      <c r="H5116" s="8">
        <f>IF(G5116="","",G5116-I5116)</f>
        <v/>
      </c>
      <c r="I5116" s="8">
        <f>IF(D5116="","",VLOOKUP(D5116, RECETTES!B:G, 6, FALSE)*E5116)</f>
        <v/>
      </c>
      <c r="J5116" s="8">
        <f>IF(G5116="","",G5116*0.20)</f>
        <v/>
      </c>
      <c r="K5116" s="8">
        <f>IF(G5116="","",G5116+J5116)</f>
        <v/>
      </c>
    </row>
    <row r="5117">
      <c r="F5117" s="8" t="n"/>
      <c r="G5117" s="8">
        <f>IF(E5117="","",E5117*F5117)</f>
        <v/>
      </c>
      <c r="H5117" s="8">
        <f>IF(G5117="","",G5117-I5117)</f>
        <v/>
      </c>
      <c r="I5117" s="8">
        <f>IF(D5117="","",VLOOKUP(D5117, RECETTES!B:G, 6, FALSE)*E5117)</f>
        <v/>
      </c>
      <c r="J5117" s="8">
        <f>IF(G5117="","",G5117*0.20)</f>
        <v/>
      </c>
      <c r="K5117" s="8">
        <f>IF(G5117="","",G5117+J5117)</f>
        <v/>
      </c>
    </row>
    <row r="5118">
      <c r="F5118" s="8" t="n"/>
      <c r="G5118" s="8">
        <f>IF(E5118="","",E5118*F5118)</f>
        <v/>
      </c>
      <c r="H5118" s="8">
        <f>IF(G5118="","",G5118-I5118)</f>
        <v/>
      </c>
      <c r="I5118" s="8">
        <f>IF(D5118="","",VLOOKUP(D5118, RECETTES!B:G, 6, FALSE)*E5118)</f>
        <v/>
      </c>
      <c r="J5118" s="8">
        <f>IF(G5118="","",G5118*0.20)</f>
        <v/>
      </c>
      <c r="K5118" s="8">
        <f>IF(G5118="","",G5118+J5118)</f>
        <v/>
      </c>
    </row>
    <row r="5119">
      <c r="F5119" s="8" t="n"/>
      <c r="G5119" s="8">
        <f>IF(E5119="","",E5119*F5119)</f>
        <v/>
      </c>
      <c r="H5119" s="8">
        <f>IF(G5119="","",G5119-I5119)</f>
        <v/>
      </c>
      <c r="I5119" s="8">
        <f>IF(D5119="","",VLOOKUP(D5119, RECETTES!B:G, 6, FALSE)*E5119)</f>
        <v/>
      </c>
      <c r="J5119" s="8">
        <f>IF(G5119="","",G5119*0.20)</f>
        <v/>
      </c>
      <c r="K5119" s="8">
        <f>IF(G5119="","",G5119+J5119)</f>
        <v/>
      </c>
    </row>
    <row r="5120">
      <c r="F5120" s="8" t="n"/>
      <c r="G5120" s="8">
        <f>IF(E5120="","",E5120*F5120)</f>
        <v/>
      </c>
      <c r="H5120" s="8">
        <f>IF(G5120="","",G5120-I5120)</f>
        <v/>
      </c>
      <c r="I5120" s="8">
        <f>IF(D5120="","",VLOOKUP(D5120, RECETTES!B:G, 6, FALSE)*E5120)</f>
        <v/>
      </c>
      <c r="J5120" s="8">
        <f>IF(G5120="","",G5120*0.20)</f>
        <v/>
      </c>
      <c r="K5120" s="8">
        <f>IF(G5120="","",G5120+J5120)</f>
        <v/>
      </c>
    </row>
    <row r="5121">
      <c r="F5121" s="8" t="n"/>
      <c r="G5121" s="8">
        <f>IF(E5121="","",E5121*F5121)</f>
        <v/>
      </c>
      <c r="H5121" s="8">
        <f>IF(G5121="","",G5121-I5121)</f>
        <v/>
      </c>
      <c r="I5121" s="8">
        <f>IF(D5121="","",VLOOKUP(D5121, RECETTES!B:G, 6, FALSE)*E5121)</f>
        <v/>
      </c>
      <c r="J5121" s="8">
        <f>IF(G5121="","",G5121*0.20)</f>
        <v/>
      </c>
      <c r="K5121" s="8">
        <f>IF(G5121="","",G5121+J5121)</f>
        <v/>
      </c>
    </row>
    <row r="5122">
      <c r="F5122" s="8" t="n"/>
      <c r="G5122" s="8">
        <f>IF(E5122="","",E5122*F5122)</f>
        <v/>
      </c>
      <c r="H5122" s="8">
        <f>IF(G5122="","",G5122-I5122)</f>
        <v/>
      </c>
      <c r="I5122" s="8">
        <f>IF(D5122="","",VLOOKUP(D5122, RECETTES!B:G, 6, FALSE)*E5122)</f>
        <v/>
      </c>
      <c r="J5122" s="8">
        <f>IF(G5122="","",G5122*0.20)</f>
        <v/>
      </c>
      <c r="K5122" s="8">
        <f>IF(G5122="","",G5122+J5122)</f>
        <v/>
      </c>
    </row>
    <row r="5123">
      <c r="F5123" s="8" t="n"/>
      <c r="G5123" s="8">
        <f>IF(E5123="","",E5123*F5123)</f>
        <v/>
      </c>
      <c r="H5123" s="8">
        <f>IF(G5123="","",G5123-I5123)</f>
        <v/>
      </c>
      <c r="I5123" s="8">
        <f>IF(D5123="","",VLOOKUP(D5123, RECETTES!B:G, 6, FALSE)*E5123)</f>
        <v/>
      </c>
      <c r="J5123" s="8">
        <f>IF(G5123="","",G5123*0.20)</f>
        <v/>
      </c>
      <c r="K5123" s="8">
        <f>IF(G5123="","",G5123+J5123)</f>
        <v/>
      </c>
    </row>
    <row r="5124">
      <c r="F5124" s="8" t="n"/>
      <c r="G5124" s="8">
        <f>IF(E5124="","",E5124*F5124)</f>
        <v/>
      </c>
      <c r="H5124" s="8">
        <f>IF(G5124="","",G5124-I5124)</f>
        <v/>
      </c>
      <c r="I5124" s="8">
        <f>IF(D5124="","",VLOOKUP(D5124, RECETTES!B:G, 6, FALSE)*E5124)</f>
        <v/>
      </c>
      <c r="J5124" s="8">
        <f>IF(G5124="","",G5124*0.20)</f>
        <v/>
      </c>
      <c r="K5124" s="8">
        <f>IF(G5124="","",G5124+J5124)</f>
        <v/>
      </c>
    </row>
    <row r="5125">
      <c r="F5125" s="8" t="n"/>
      <c r="G5125" s="8">
        <f>IF(E5125="","",E5125*F5125)</f>
        <v/>
      </c>
      <c r="H5125" s="8">
        <f>IF(G5125="","",G5125-I5125)</f>
        <v/>
      </c>
      <c r="I5125" s="8">
        <f>IF(D5125="","",VLOOKUP(D5125, RECETTES!B:G, 6, FALSE)*E5125)</f>
        <v/>
      </c>
      <c r="J5125" s="8">
        <f>IF(G5125="","",G5125*0.20)</f>
        <v/>
      </c>
      <c r="K5125" s="8">
        <f>IF(G5125="","",G5125+J5125)</f>
        <v/>
      </c>
    </row>
    <row r="5126">
      <c r="F5126" s="8" t="n"/>
      <c r="G5126" s="8">
        <f>IF(E5126="","",E5126*F5126)</f>
        <v/>
      </c>
      <c r="H5126" s="8">
        <f>IF(G5126="","",G5126-I5126)</f>
        <v/>
      </c>
      <c r="I5126" s="8">
        <f>IF(D5126="","",VLOOKUP(D5126, RECETTES!B:G, 6, FALSE)*E5126)</f>
        <v/>
      </c>
      <c r="J5126" s="8">
        <f>IF(G5126="","",G5126*0.20)</f>
        <v/>
      </c>
      <c r="K5126" s="8">
        <f>IF(G5126="","",G5126+J5126)</f>
        <v/>
      </c>
    </row>
    <row r="5127">
      <c r="F5127" s="8" t="n"/>
      <c r="G5127" s="8">
        <f>IF(E5127="","",E5127*F5127)</f>
        <v/>
      </c>
      <c r="H5127" s="8">
        <f>IF(G5127="","",G5127-I5127)</f>
        <v/>
      </c>
      <c r="I5127" s="8">
        <f>IF(D5127="","",VLOOKUP(D5127, RECETTES!B:G, 6, FALSE)*E5127)</f>
        <v/>
      </c>
      <c r="J5127" s="8">
        <f>IF(G5127="","",G5127*0.20)</f>
        <v/>
      </c>
      <c r="K5127" s="8">
        <f>IF(G5127="","",G5127+J5127)</f>
        <v/>
      </c>
    </row>
    <row r="5128">
      <c r="F5128" s="8" t="n"/>
      <c r="G5128" s="8">
        <f>IF(E5128="","",E5128*F5128)</f>
        <v/>
      </c>
      <c r="H5128" s="8">
        <f>IF(G5128="","",G5128-I5128)</f>
        <v/>
      </c>
      <c r="I5128" s="8">
        <f>IF(D5128="","",VLOOKUP(D5128, RECETTES!B:G, 6, FALSE)*E5128)</f>
        <v/>
      </c>
      <c r="J5128" s="8">
        <f>IF(G5128="","",G5128*0.20)</f>
        <v/>
      </c>
      <c r="K5128" s="8">
        <f>IF(G5128="","",G5128+J5128)</f>
        <v/>
      </c>
    </row>
    <row r="5129">
      <c r="F5129" s="8" t="n"/>
      <c r="G5129" s="8">
        <f>IF(E5129="","",E5129*F5129)</f>
        <v/>
      </c>
      <c r="H5129" s="8">
        <f>IF(G5129="","",G5129-I5129)</f>
        <v/>
      </c>
      <c r="I5129" s="8">
        <f>IF(D5129="","",VLOOKUP(D5129, RECETTES!B:G, 6, FALSE)*E5129)</f>
        <v/>
      </c>
      <c r="J5129" s="8">
        <f>IF(G5129="","",G5129*0.20)</f>
        <v/>
      </c>
      <c r="K5129" s="8">
        <f>IF(G5129="","",G5129+J5129)</f>
        <v/>
      </c>
    </row>
    <row r="5130">
      <c r="F5130" s="8" t="n"/>
      <c r="G5130" s="8">
        <f>IF(E5130="","",E5130*F5130)</f>
        <v/>
      </c>
      <c r="H5130" s="8">
        <f>IF(G5130="","",G5130-I5130)</f>
        <v/>
      </c>
      <c r="I5130" s="8">
        <f>IF(D5130="","",VLOOKUP(D5130, RECETTES!B:G, 6, FALSE)*E5130)</f>
        <v/>
      </c>
      <c r="J5130" s="8">
        <f>IF(G5130="","",G5130*0.20)</f>
        <v/>
      </c>
      <c r="K5130" s="8">
        <f>IF(G5130="","",G5130+J5130)</f>
        <v/>
      </c>
    </row>
    <row r="5131">
      <c r="F5131" s="8" t="n"/>
      <c r="G5131" s="8">
        <f>IF(E5131="","",E5131*F5131)</f>
        <v/>
      </c>
      <c r="H5131" s="8">
        <f>IF(G5131="","",G5131-I5131)</f>
        <v/>
      </c>
      <c r="I5131" s="8">
        <f>IF(D5131="","",VLOOKUP(D5131, RECETTES!B:G, 6, FALSE)*E5131)</f>
        <v/>
      </c>
      <c r="J5131" s="8">
        <f>IF(G5131="","",G5131*0.20)</f>
        <v/>
      </c>
      <c r="K5131" s="8">
        <f>IF(G5131="","",G5131+J5131)</f>
        <v/>
      </c>
    </row>
    <row r="5132">
      <c r="F5132" s="8" t="n"/>
      <c r="G5132" s="8">
        <f>IF(E5132="","",E5132*F5132)</f>
        <v/>
      </c>
      <c r="H5132" s="8">
        <f>IF(G5132="","",G5132-I5132)</f>
        <v/>
      </c>
      <c r="I5132" s="8">
        <f>IF(D5132="","",VLOOKUP(D5132, RECETTES!B:G, 6, FALSE)*E5132)</f>
        <v/>
      </c>
      <c r="J5132" s="8">
        <f>IF(G5132="","",G5132*0.20)</f>
        <v/>
      </c>
      <c r="K5132" s="8">
        <f>IF(G5132="","",G5132+J5132)</f>
        <v/>
      </c>
    </row>
    <row r="5133">
      <c r="F5133" s="8" t="n"/>
      <c r="G5133" s="8">
        <f>IF(E5133="","",E5133*F5133)</f>
        <v/>
      </c>
      <c r="H5133" s="8">
        <f>IF(G5133="","",G5133-I5133)</f>
        <v/>
      </c>
      <c r="I5133" s="8">
        <f>IF(D5133="","",VLOOKUP(D5133, RECETTES!B:G, 6, FALSE)*E5133)</f>
        <v/>
      </c>
      <c r="J5133" s="8">
        <f>IF(G5133="","",G5133*0.20)</f>
        <v/>
      </c>
      <c r="K5133" s="8">
        <f>IF(G5133="","",G5133+J5133)</f>
        <v/>
      </c>
    </row>
    <row r="5134">
      <c r="F5134" s="8" t="n"/>
      <c r="G5134" s="8">
        <f>IF(E5134="","",E5134*F5134)</f>
        <v/>
      </c>
      <c r="H5134" s="8">
        <f>IF(G5134="","",G5134-I5134)</f>
        <v/>
      </c>
      <c r="I5134" s="8">
        <f>IF(D5134="","",VLOOKUP(D5134, RECETTES!B:G, 6, FALSE)*E5134)</f>
        <v/>
      </c>
      <c r="J5134" s="8">
        <f>IF(G5134="","",G5134*0.20)</f>
        <v/>
      </c>
      <c r="K5134" s="8">
        <f>IF(G5134="","",G5134+J5134)</f>
        <v/>
      </c>
    </row>
    <row r="5135">
      <c r="F5135" s="8" t="n"/>
      <c r="G5135" s="8">
        <f>IF(E5135="","",E5135*F5135)</f>
        <v/>
      </c>
      <c r="H5135" s="8">
        <f>IF(G5135="","",G5135-I5135)</f>
        <v/>
      </c>
      <c r="I5135" s="8">
        <f>IF(D5135="","",VLOOKUP(D5135, RECETTES!B:G, 6, FALSE)*E5135)</f>
        <v/>
      </c>
      <c r="J5135" s="8">
        <f>IF(G5135="","",G5135*0.20)</f>
        <v/>
      </c>
      <c r="K5135" s="8">
        <f>IF(G5135="","",G5135+J5135)</f>
        <v/>
      </c>
    </row>
    <row r="5136">
      <c r="F5136" s="8" t="n"/>
      <c r="G5136" s="8">
        <f>IF(E5136="","",E5136*F5136)</f>
        <v/>
      </c>
      <c r="H5136" s="8">
        <f>IF(G5136="","",G5136-I5136)</f>
        <v/>
      </c>
      <c r="I5136" s="8">
        <f>IF(D5136="","",VLOOKUP(D5136, RECETTES!B:G, 6, FALSE)*E5136)</f>
        <v/>
      </c>
      <c r="J5136" s="8">
        <f>IF(G5136="","",G5136*0.20)</f>
        <v/>
      </c>
      <c r="K5136" s="8">
        <f>IF(G5136="","",G5136+J5136)</f>
        <v/>
      </c>
    </row>
    <row r="5137">
      <c r="F5137" s="8" t="n"/>
      <c r="G5137" s="8">
        <f>IF(E5137="","",E5137*F5137)</f>
        <v/>
      </c>
      <c r="H5137" s="8">
        <f>IF(G5137="","",G5137-I5137)</f>
        <v/>
      </c>
      <c r="I5137" s="8">
        <f>IF(D5137="","",VLOOKUP(D5137, RECETTES!B:G, 6, FALSE)*E5137)</f>
        <v/>
      </c>
      <c r="J5137" s="8">
        <f>IF(G5137="","",G5137*0.20)</f>
        <v/>
      </c>
      <c r="K5137" s="8">
        <f>IF(G5137="","",G5137+J5137)</f>
        <v/>
      </c>
    </row>
    <row r="5138">
      <c r="F5138" s="8" t="n"/>
      <c r="G5138" s="8">
        <f>IF(E5138="","",E5138*F5138)</f>
        <v/>
      </c>
      <c r="H5138" s="8">
        <f>IF(G5138="","",G5138-I5138)</f>
        <v/>
      </c>
      <c r="I5138" s="8">
        <f>IF(D5138="","",VLOOKUP(D5138, RECETTES!B:G, 6, FALSE)*E5138)</f>
        <v/>
      </c>
      <c r="J5138" s="8">
        <f>IF(G5138="","",G5138*0.20)</f>
        <v/>
      </c>
      <c r="K5138" s="8">
        <f>IF(G5138="","",G5138+J5138)</f>
        <v/>
      </c>
    </row>
    <row r="5139">
      <c r="F5139" s="8" t="n"/>
      <c r="G5139" s="8">
        <f>IF(E5139="","",E5139*F5139)</f>
        <v/>
      </c>
      <c r="H5139" s="8">
        <f>IF(G5139="","",G5139-I5139)</f>
        <v/>
      </c>
      <c r="I5139" s="8">
        <f>IF(D5139="","",VLOOKUP(D5139, RECETTES!B:G, 6, FALSE)*E5139)</f>
        <v/>
      </c>
      <c r="J5139" s="8">
        <f>IF(G5139="","",G5139*0.20)</f>
        <v/>
      </c>
      <c r="K5139" s="8">
        <f>IF(G5139="","",G5139+J5139)</f>
        <v/>
      </c>
    </row>
    <row r="5140">
      <c r="F5140" s="8" t="n"/>
      <c r="G5140" s="8">
        <f>IF(E5140="","",E5140*F5140)</f>
        <v/>
      </c>
      <c r="H5140" s="8">
        <f>IF(G5140="","",G5140-I5140)</f>
        <v/>
      </c>
      <c r="I5140" s="8">
        <f>IF(D5140="","",VLOOKUP(D5140, RECETTES!B:G, 6, FALSE)*E5140)</f>
        <v/>
      </c>
      <c r="J5140" s="8">
        <f>IF(G5140="","",G5140*0.20)</f>
        <v/>
      </c>
      <c r="K5140" s="8">
        <f>IF(G5140="","",G5140+J5140)</f>
        <v/>
      </c>
    </row>
    <row r="5141">
      <c r="F5141" s="8" t="n"/>
      <c r="G5141" s="8">
        <f>IF(E5141="","",E5141*F5141)</f>
        <v/>
      </c>
      <c r="H5141" s="8">
        <f>IF(G5141="","",G5141-I5141)</f>
        <v/>
      </c>
      <c r="I5141" s="8">
        <f>IF(D5141="","",VLOOKUP(D5141, RECETTES!B:G, 6, FALSE)*E5141)</f>
        <v/>
      </c>
      <c r="J5141" s="8">
        <f>IF(G5141="","",G5141*0.20)</f>
        <v/>
      </c>
      <c r="K5141" s="8">
        <f>IF(G5141="","",G5141+J5141)</f>
        <v/>
      </c>
    </row>
    <row r="5142">
      <c r="F5142" s="8" t="n"/>
      <c r="G5142" s="8">
        <f>IF(E5142="","",E5142*F5142)</f>
        <v/>
      </c>
      <c r="H5142" s="8">
        <f>IF(G5142="","",G5142-I5142)</f>
        <v/>
      </c>
      <c r="I5142" s="8">
        <f>IF(D5142="","",VLOOKUP(D5142, RECETTES!B:G, 6, FALSE)*E5142)</f>
        <v/>
      </c>
      <c r="J5142" s="8">
        <f>IF(G5142="","",G5142*0.20)</f>
        <v/>
      </c>
      <c r="K5142" s="8">
        <f>IF(G5142="","",G5142+J5142)</f>
        <v/>
      </c>
    </row>
    <row r="5143">
      <c r="F5143" s="8" t="n"/>
      <c r="G5143" s="8">
        <f>IF(E5143="","",E5143*F5143)</f>
        <v/>
      </c>
      <c r="H5143" s="8">
        <f>IF(G5143="","",G5143-I5143)</f>
        <v/>
      </c>
      <c r="I5143" s="8">
        <f>IF(D5143="","",VLOOKUP(D5143, RECETTES!B:G, 6, FALSE)*E5143)</f>
        <v/>
      </c>
      <c r="J5143" s="8">
        <f>IF(G5143="","",G5143*0.20)</f>
        <v/>
      </c>
      <c r="K5143" s="8">
        <f>IF(G5143="","",G5143+J5143)</f>
        <v/>
      </c>
    </row>
    <row r="5144">
      <c r="F5144" s="8" t="n"/>
      <c r="G5144" s="8">
        <f>IF(E5144="","",E5144*F5144)</f>
        <v/>
      </c>
      <c r="H5144" s="8">
        <f>IF(G5144="","",G5144-I5144)</f>
        <v/>
      </c>
      <c r="I5144" s="8">
        <f>IF(D5144="","",VLOOKUP(D5144, RECETTES!B:G, 6, FALSE)*E5144)</f>
        <v/>
      </c>
      <c r="J5144" s="8">
        <f>IF(G5144="","",G5144*0.20)</f>
        <v/>
      </c>
      <c r="K5144" s="8">
        <f>IF(G5144="","",G5144+J5144)</f>
        <v/>
      </c>
    </row>
    <row r="5145">
      <c r="F5145" s="8" t="n"/>
      <c r="G5145" s="8">
        <f>IF(E5145="","",E5145*F5145)</f>
        <v/>
      </c>
      <c r="H5145" s="8">
        <f>IF(G5145="","",G5145-I5145)</f>
        <v/>
      </c>
      <c r="I5145" s="8">
        <f>IF(D5145="","",VLOOKUP(D5145, RECETTES!B:G, 6, FALSE)*E5145)</f>
        <v/>
      </c>
      <c r="J5145" s="8">
        <f>IF(G5145="","",G5145*0.20)</f>
        <v/>
      </c>
      <c r="K5145" s="8">
        <f>IF(G5145="","",G5145+J5145)</f>
        <v/>
      </c>
    </row>
    <row r="5146">
      <c r="F5146" s="8" t="n"/>
      <c r="G5146" s="8">
        <f>IF(E5146="","",E5146*F5146)</f>
        <v/>
      </c>
      <c r="H5146" s="8">
        <f>IF(G5146="","",G5146-I5146)</f>
        <v/>
      </c>
      <c r="I5146" s="8">
        <f>IF(D5146="","",VLOOKUP(D5146, RECETTES!B:G, 6, FALSE)*E5146)</f>
        <v/>
      </c>
      <c r="J5146" s="8">
        <f>IF(G5146="","",G5146*0.20)</f>
        <v/>
      </c>
      <c r="K5146" s="8">
        <f>IF(G5146="","",G5146+J5146)</f>
        <v/>
      </c>
    </row>
    <row r="5147">
      <c r="F5147" s="8" t="n"/>
      <c r="G5147" s="8">
        <f>IF(E5147="","",E5147*F5147)</f>
        <v/>
      </c>
      <c r="H5147" s="8">
        <f>IF(G5147="","",G5147-I5147)</f>
        <v/>
      </c>
      <c r="I5147" s="8">
        <f>IF(D5147="","",VLOOKUP(D5147, RECETTES!B:G, 6, FALSE)*E5147)</f>
        <v/>
      </c>
      <c r="J5147" s="8">
        <f>IF(G5147="","",G5147*0.20)</f>
        <v/>
      </c>
      <c r="K5147" s="8">
        <f>IF(G5147="","",G5147+J5147)</f>
        <v/>
      </c>
    </row>
    <row r="5148">
      <c r="F5148" s="8" t="n"/>
      <c r="G5148" s="8">
        <f>IF(E5148="","",E5148*F5148)</f>
        <v/>
      </c>
      <c r="H5148" s="8">
        <f>IF(G5148="","",G5148-I5148)</f>
        <v/>
      </c>
      <c r="I5148" s="8">
        <f>IF(D5148="","",VLOOKUP(D5148, RECETTES!B:G, 6, FALSE)*E5148)</f>
        <v/>
      </c>
      <c r="J5148" s="8">
        <f>IF(G5148="","",G5148*0.20)</f>
        <v/>
      </c>
      <c r="K5148" s="8">
        <f>IF(G5148="","",G5148+J5148)</f>
        <v/>
      </c>
    </row>
    <row r="5149">
      <c r="F5149" s="8" t="n"/>
      <c r="G5149" s="8">
        <f>IF(E5149="","",E5149*F5149)</f>
        <v/>
      </c>
      <c r="H5149" s="8">
        <f>IF(G5149="","",G5149-I5149)</f>
        <v/>
      </c>
      <c r="I5149" s="8">
        <f>IF(D5149="","",VLOOKUP(D5149, RECETTES!B:G, 6, FALSE)*E5149)</f>
        <v/>
      </c>
      <c r="J5149" s="8">
        <f>IF(G5149="","",G5149*0.20)</f>
        <v/>
      </c>
      <c r="K5149" s="8">
        <f>IF(G5149="","",G5149+J5149)</f>
        <v/>
      </c>
    </row>
    <row r="5150">
      <c r="F5150" s="8" t="n"/>
      <c r="G5150" s="8">
        <f>IF(E5150="","",E5150*F5150)</f>
        <v/>
      </c>
      <c r="H5150" s="8">
        <f>IF(G5150="","",G5150-I5150)</f>
        <v/>
      </c>
      <c r="I5150" s="8">
        <f>IF(D5150="","",VLOOKUP(D5150, RECETTES!B:G, 6, FALSE)*E5150)</f>
        <v/>
      </c>
      <c r="J5150" s="8">
        <f>IF(G5150="","",G5150*0.20)</f>
        <v/>
      </c>
      <c r="K5150" s="8">
        <f>IF(G5150="","",G5150+J5150)</f>
        <v/>
      </c>
    </row>
    <row r="5151">
      <c r="F5151" s="8" t="n"/>
      <c r="G5151" s="8">
        <f>IF(E5151="","",E5151*F5151)</f>
        <v/>
      </c>
      <c r="H5151" s="8">
        <f>IF(G5151="","",G5151-I5151)</f>
        <v/>
      </c>
      <c r="I5151" s="8">
        <f>IF(D5151="","",VLOOKUP(D5151, RECETTES!B:G, 6, FALSE)*E5151)</f>
        <v/>
      </c>
      <c r="J5151" s="8">
        <f>IF(G5151="","",G5151*0.20)</f>
        <v/>
      </c>
      <c r="K5151" s="8">
        <f>IF(G5151="","",G5151+J5151)</f>
        <v/>
      </c>
    </row>
    <row r="5152">
      <c r="F5152" s="8" t="n"/>
      <c r="G5152" s="8">
        <f>IF(E5152="","",E5152*F5152)</f>
        <v/>
      </c>
      <c r="H5152" s="8">
        <f>IF(G5152="","",G5152-I5152)</f>
        <v/>
      </c>
      <c r="I5152" s="8">
        <f>IF(D5152="","",VLOOKUP(D5152, RECETTES!B:G, 6, FALSE)*E5152)</f>
        <v/>
      </c>
      <c r="J5152" s="8">
        <f>IF(G5152="","",G5152*0.20)</f>
        <v/>
      </c>
      <c r="K5152" s="8">
        <f>IF(G5152="","",G5152+J5152)</f>
        <v/>
      </c>
    </row>
    <row r="5153">
      <c r="F5153" s="8" t="n"/>
      <c r="G5153" s="8">
        <f>IF(E5153="","",E5153*F5153)</f>
        <v/>
      </c>
      <c r="H5153" s="8">
        <f>IF(G5153="","",G5153-I5153)</f>
        <v/>
      </c>
      <c r="I5153" s="8">
        <f>IF(D5153="","",VLOOKUP(D5153, RECETTES!B:G, 6, FALSE)*E5153)</f>
        <v/>
      </c>
      <c r="J5153" s="8">
        <f>IF(G5153="","",G5153*0.20)</f>
        <v/>
      </c>
      <c r="K5153" s="8">
        <f>IF(G5153="","",G5153+J5153)</f>
        <v/>
      </c>
    </row>
    <row r="5154">
      <c r="F5154" s="8" t="n"/>
      <c r="G5154" s="8">
        <f>IF(E5154="","",E5154*F5154)</f>
        <v/>
      </c>
      <c r="H5154" s="8">
        <f>IF(G5154="","",G5154-I5154)</f>
        <v/>
      </c>
      <c r="I5154" s="8">
        <f>IF(D5154="","",VLOOKUP(D5154, RECETTES!B:G, 6, FALSE)*E5154)</f>
        <v/>
      </c>
      <c r="J5154" s="8">
        <f>IF(G5154="","",G5154*0.20)</f>
        <v/>
      </c>
      <c r="K5154" s="8">
        <f>IF(G5154="","",G5154+J5154)</f>
        <v/>
      </c>
    </row>
    <row r="5155">
      <c r="F5155" s="8" t="n"/>
      <c r="G5155" s="8">
        <f>IF(E5155="","",E5155*F5155)</f>
        <v/>
      </c>
      <c r="H5155" s="8">
        <f>IF(G5155="","",G5155-I5155)</f>
        <v/>
      </c>
      <c r="I5155" s="8">
        <f>IF(D5155="","",VLOOKUP(D5155, RECETTES!B:G, 6, FALSE)*E5155)</f>
        <v/>
      </c>
      <c r="J5155" s="8">
        <f>IF(G5155="","",G5155*0.20)</f>
        <v/>
      </c>
      <c r="K5155" s="8">
        <f>IF(G5155="","",G5155+J5155)</f>
        <v/>
      </c>
    </row>
    <row r="5156">
      <c r="F5156" s="8" t="n"/>
      <c r="G5156" s="8">
        <f>IF(E5156="","",E5156*F5156)</f>
        <v/>
      </c>
      <c r="H5156" s="8">
        <f>IF(G5156="","",G5156-I5156)</f>
        <v/>
      </c>
      <c r="I5156" s="8">
        <f>IF(D5156="","",VLOOKUP(D5156, RECETTES!B:G, 6, FALSE)*E5156)</f>
        <v/>
      </c>
      <c r="J5156" s="8">
        <f>IF(G5156="","",G5156*0.20)</f>
        <v/>
      </c>
      <c r="K5156" s="8">
        <f>IF(G5156="","",G5156+J5156)</f>
        <v/>
      </c>
    </row>
    <row r="5157">
      <c r="F5157" s="8" t="n"/>
      <c r="G5157" s="8">
        <f>IF(E5157="","",E5157*F5157)</f>
        <v/>
      </c>
      <c r="H5157" s="8">
        <f>IF(G5157="","",G5157-I5157)</f>
        <v/>
      </c>
      <c r="I5157" s="8">
        <f>IF(D5157="","",VLOOKUP(D5157, RECETTES!B:G, 6, FALSE)*E5157)</f>
        <v/>
      </c>
      <c r="J5157" s="8">
        <f>IF(G5157="","",G5157*0.20)</f>
        <v/>
      </c>
      <c r="K5157" s="8">
        <f>IF(G5157="","",G5157+J5157)</f>
        <v/>
      </c>
    </row>
    <row r="5158">
      <c r="F5158" s="8" t="n"/>
      <c r="G5158" s="8">
        <f>IF(E5158="","",E5158*F5158)</f>
        <v/>
      </c>
      <c r="H5158" s="8">
        <f>IF(G5158="","",G5158-I5158)</f>
        <v/>
      </c>
      <c r="I5158" s="8">
        <f>IF(D5158="","",VLOOKUP(D5158, RECETTES!B:G, 6, FALSE)*E5158)</f>
        <v/>
      </c>
      <c r="J5158" s="8">
        <f>IF(G5158="","",G5158*0.20)</f>
        <v/>
      </c>
      <c r="K5158" s="8">
        <f>IF(G5158="","",G5158+J5158)</f>
        <v/>
      </c>
    </row>
    <row r="5159">
      <c r="F5159" s="8" t="n"/>
      <c r="G5159" s="8">
        <f>IF(E5159="","",E5159*F5159)</f>
        <v/>
      </c>
      <c r="H5159" s="8">
        <f>IF(G5159="","",G5159-I5159)</f>
        <v/>
      </c>
      <c r="I5159" s="8">
        <f>IF(D5159="","",VLOOKUP(D5159, RECETTES!B:G, 6, FALSE)*E5159)</f>
        <v/>
      </c>
      <c r="J5159" s="8">
        <f>IF(G5159="","",G5159*0.20)</f>
        <v/>
      </c>
      <c r="K5159" s="8">
        <f>IF(G5159="","",G5159+J5159)</f>
        <v/>
      </c>
    </row>
    <row r="5160">
      <c r="F5160" s="8" t="n"/>
      <c r="G5160" s="8">
        <f>IF(E5160="","",E5160*F5160)</f>
        <v/>
      </c>
      <c r="H5160" s="8">
        <f>IF(G5160="","",G5160-I5160)</f>
        <v/>
      </c>
      <c r="I5160" s="8">
        <f>IF(D5160="","",VLOOKUP(D5160, RECETTES!B:G, 6, FALSE)*E5160)</f>
        <v/>
      </c>
      <c r="J5160" s="8">
        <f>IF(G5160="","",G5160*0.20)</f>
        <v/>
      </c>
      <c r="K5160" s="8">
        <f>IF(G5160="","",G5160+J5160)</f>
        <v/>
      </c>
    </row>
    <row r="5161">
      <c r="F5161" s="8" t="n"/>
      <c r="G5161" s="8">
        <f>IF(E5161="","",E5161*F5161)</f>
        <v/>
      </c>
      <c r="H5161" s="8">
        <f>IF(G5161="","",G5161-I5161)</f>
        <v/>
      </c>
      <c r="I5161" s="8">
        <f>IF(D5161="","",VLOOKUP(D5161, RECETTES!B:G, 6, FALSE)*E5161)</f>
        <v/>
      </c>
      <c r="J5161" s="8">
        <f>IF(G5161="","",G5161*0.20)</f>
        <v/>
      </c>
      <c r="K5161" s="8">
        <f>IF(G5161="","",G5161+J5161)</f>
        <v/>
      </c>
    </row>
    <row r="5162">
      <c r="F5162" s="8" t="n"/>
      <c r="G5162" s="8">
        <f>IF(E5162="","",E5162*F5162)</f>
        <v/>
      </c>
      <c r="H5162" s="8">
        <f>IF(G5162="","",G5162-I5162)</f>
        <v/>
      </c>
      <c r="I5162" s="8">
        <f>IF(D5162="","",VLOOKUP(D5162, RECETTES!B:G, 6, FALSE)*E5162)</f>
        <v/>
      </c>
      <c r="J5162" s="8">
        <f>IF(G5162="","",G5162*0.20)</f>
        <v/>
      </c>
      <c r="K5162" s="8">
        <f>IF(G5162="","",G5162+J5162)</f>
        <v/>
      </c>
    </row>
    <row r="5163">
      <c r="F5163" s="8" t="n"/>
      <c r="G5163" s="8">
        <f>IF(E5163="","",E5163*F5163)</f>
        <v/>
      </c>
      <c r="H5163" s="8">
        <f>IF(G5163="","",G5163-I5163)</f>
        <v/>
      </c>
      <c r="I5163" s="8">
        <f>IF(D5163="","",VLOOKUP(D5163, RECETTES!B:G, 6, FALSE)*E5163)</f>
        <v/>
      </c>
      <c r="J5163" s="8">
        <f>IF(G5163="","",G5163*0.20)</f>
        <v/>
      </c>
      <c r="K5163" s="8">
        <f>IF(G5163="","",G5163+J5163)</f>
        <v/>
      </c>
    </row>
    <row r="5164">
      <c r="F5164" s="8" t="n"/>
      <c r="G5164" s="8">
        <f>IF(E5164="","",E5164*F5164)</f>
        <v/>
      </c>
      <c r="H5164" s="8">
        <f>IF(G5164="","",G5164-I5164)</f>
        <v/>
      </c>
      <c r="I5164" s="8">
        <f>IF(D5164="","",VLOOKUP(D5164, RECETTES!B:G, 6, FALSE)*E5164)</f>
        <v/>
      </c>
      <c r="J5164" s="8">
        <f>IF(G5164="","",G5164*0.20)</f>
        <v/>
      </c>
      <c r="K5164" s="8">
        <f>IF(G5164="","",G5164+J5164)</f>
        <v/>
      </c>
    </row>
    <row r="5165">
      <c r="F5165" s="8" t="n"/>
      <c r="G5165" s="8">
        <f>IF(E5165="","",E5165*F5165)</f>
        <v/>
      </c>
      <c r="H5165" s="8">
        <f>IF(G5165="","",G5165-I5165)</f>
        <v/>
      </c>
      <c r="I5165" s="8">
        <f>IF(D5165="","",VLOOKUP(D5165, RECETTES!B:G, 6, FALSE)*E5165)</f>
        <v/>
      </c>
      <c r="J5165" s="8">
        <f>IF(G5165="","",G5165*0.20)</f>
        <v/>
      </c>
      <c r="K5165" s="8">
        <f>IF(G5165="","",G5165+J5165)</f>
        <v/>
      </c>
    </row>
    <row r="5166">
      <c r="F5166" s="8" t="n"/>
      <c r="G5166" s="8">
        <f>IF(E5166="","",E5166*F5166)</f>
        <v/>
      </c>
      <c r="H5166" s="8">
        <f>IF(G5166="","",G5166-I5166)</f>
        <v/>
      </c>
      <c r="I5166" s="8">
        <f>IF(D5166="","",VLOOKUP(D5166, RECETTES!B:G, 6, FALSE)*E5166)</f>
        <v/>
      </c>
      <c r="J5166" s="8">
        <f>IF(G5166="","",G5166*0.20)</f>
        <v/>
      </c>
      <c r="K5166" s="8">
        <f>IF(G5166="","",G5166+J5166)</f>
        <v/>
      </c>
    </row>
    <row r="5167">
      <c r="F5167" s="8" t="n"/>
      <c r="G5167" s="8">
        <f>IF(E5167="","",E5167*F5167)</f>
        <v/>
      </c>
      <c r="H5167" s="8">
        <f>IF(G5167="","",G5167-I5167)</f>
        <v/>
      </c>
      <c r="I5167" s="8">
        <f>IF(D5167="","",VLOOKUP(D5167, RECETTES!B:G, 6, FALSE)*E5167)</f>
        <v/>
      </c>
      <c r="J5167" s="8">
        <f>IF(G5167="","",G5167*0.20)</f>
        <v/>
      </c>
      <c r="K5167" s="8">
        <f>IF(G5167="","",G5167+J5167)</f>
        <v/>
      </c>
    </row>
    <row r="5168">
      <c r="F5168" s="8" t="n"/>
      <c r="G5168" s="8">
        <f>IF(E5168="","",E5168*F5168)</f>
        <v/>
      </c>
      <c r="H5168" s="8">
        <f>IF(G5168="","",G5168-I5168)</f>
        <v/>
      </c>
      <c r="I5168" s="8">
        <f>IF(D5168="","",VLOOKUP(D5168, RECETTES!B:G, 6, FALSE)*E5168)</f>
        <v/>
      </c>
      <c r="J5168" s="8">
        <f>IF(G5168="","",G5168*0.20)</f>
        <v/>
      </c>
      <c r="K5168" s="8">
        <f>IF(G5168="","",G5168+J5168)</f>
        <v/>
      </c>
    </row>
    <row r="5169">
      <c r="F5169" s="8" t="n"/>
      <c r="G5169" s="8">
        <f>IF(E5169="","",E5169*F5169)</f>
        <v/>
      </c>
      <c r="H5169" s="8">
        <f>IF(G5169="","",G5169-I5169)</f>
        <v/>
      </c>
      <c r="I5169" s="8">
        <f>IF(D5169="","",VLOOKUP(D5169, RECETTES!B:G, 6, FALSE)*E5169)</f>
        <v/>
      </c>
      <c r="J5169" s="8">
        <f>IF(G5169="","",G5169*0.20)</f>
        <v/>
      </c>
      <c r="K5169" s="8">
        <f>IF(G5169="","",G5169+J5169)</f>
        <v/>
      </c>
    </row>
    <row r="5170">
      <c r="F5170" s="8" t="n"/>
      <c r="G5170" s="8">
        <f>IF(E5170="","",E5170*F5170)</f>
        <v/>
      </c>
      <c r="H5170" s="8">
        <f>IF(G5170="","",G5170-I5170)</f>
        <v/>
      </c>
      <c r="I5170" s="8">
        <f>IF(D5170="","",VLOOKUP(D5170, RECETTES!B:G, 6, FALSE)*E5170)</f>
        <v/>
      </c>
      <c r="J5170" s="8">
        <f>IF(G5170="","",G5170*0.20)</f>
        <v/>
      </c>
      <c r="K5170" s="8">
        <f>IF(G5170="","",G5170+J5170)</f>
        <v/>
      </c>
    </row>
    <row r="5171">
      <c r="F5171" s="8" t="n"/>
      <c r="G5171" s="8">
        <f>IF(E5171="","",E5171*F5171)</f>
        <v/>
      </c>
      <c r="H5171" s="8">
        <f>IF(G5171="","",G5171-I5171)</f>
        <v/>
      </c>
      <c r="I5171" s="8">
        <f>IF(D5171="","",VLOOKUP(D5171, RECETTES!B:G, 6, FALSE)*E5171)</f>
        <v/>
      </c>
      <c r="J5171" s="8">
        <f>IF(G5171="","",G5171*0.20)</f>
        <v/>
      </c>
      <c r="K5171" s="8">
        <f>IF(G5171="","",G5171+J5171)</f>
        <v/>
      </c>
    </row>
    <row r="5172">
      <c r="F5172" s="8" t="n"/>
      <c r="G5172" s="8">
        <f>IF(E5172="","",E5172*F5172)</f>
        <v/>
      </c>
      <c r="H5172" s="8">
        <f>IF(G5172="","",G5172-I5172)</f>
        <v/>
      </c>
      <c r="I5172" s="8">
        <f>IF(D5172="","",VLOOKUP(D5172, RECETTES!B:G, 6, FALSE)*E5172)</f>
        <v/>
      </c>
      <c r="J5172" s="8">
        <f>IF(G5172="","",G5172*0.20)</f>
        <v/>
      </c>
      <c r="K5172" s="8">
        <f>IF(G5172="","",G5172+J5172)</f>
        <v/>
      </c>
    </row>
    <row r="5173">
      <c r="F5173" s="8" t="n"/>
      <c r="G5173" s="8">
        <f>IF(E5173="","",E5173*F5173)</f>
        <v/>
      </c>
      <c r="H5173" s="8">
        <f>IF(G5173="","",G5173-I5173)</f>
        <v/>
      </c>
      <c r="I5173" s="8">
        <f>IF(D5173="","",VLOOKUP(D5173, RECETTES!B:G, 6, FALSE)*E5173)</f>
        <v/>
      </c>
      <c r="J5173" s="8">
        <f>IF(G5173="","",G5173*0.20)</f>
        <v/>
      </c>
      <c r="K5173" s="8">
        <f>IF(G5173="","",G5173+J5173)</f>
        <v/>
      </c>
    </row>
    <row r="5174">
      <c r="F5174" s="8" t="n"/>
      <c r="G5174" s="8">
        <f>IF(E5174="","",E5174*F5174)</f>
        <v/>
      </c>
      <c r="H5174" s="8">
        <f>IF(G5174="","",G5174-I5174)</f>
        <v/>
      </c>
      <c r="I5174" s="8">
        <f>IF(D5174="","",VLOOKUP(D5174, RECETTES!B:G, 6, FALSE)*E5174)</f>
        <v/>
      </c>
      <c r="J5174" s="8">
        <f>IF(G5174="","",G5174*0.20)</f>
        <v/>
      </c>
      <c r="K5174" s="8">
        <f>IF(G5174="","",G5174+J5174)</f>
        <v/>
      </c>
    </row>
    <row r="5175">
      <c r="F5175" s="8" t="n"/>
      <c r="G5175" s="8">
        <f>IF(E5175="","",E5175*F5175)</f>
        <v/>
      </c>
      <c r="H5175" s="8">
        <f>IF(G5175="","",G5175-I5175)</f>
        <v/>
      </c>
      <c r="I5175" s="8">
        <f>IF(D5175="","",VLOOKUP(D5175, RECETTES!B:G, 6, FALSE)*E5175)</f>
        <v/>
      </c>
      <c r="J5175" s="8">
        <f>IF(G5175="","",G5175*0.20)</f>
        <v/>
      </c>
      <c r="K5175" s="8">
        <f>IF(G5175="","",G5175+J5175)</f>
        <v/>
      </c>
    </row>
    <row r="5176">
      <c r="F5176" s="8" t="n"/>
      <c r="G5176" s="8">
        <f>IF(E5176="","",E5176*F5176)</f>
        <v/>
      </c>
      <c r="H5176" s="8">
        <f>IF(G5176="","",G5176-I5176)</f>
        <v/>
      </c>
      <c r="I5176" s="8">
        <f>IF(D5176="","",VLOOKUP(D5176, RECETTES!B:G, 6, FALSE)*E5176)</f>
        <v/>
      </c>
      <c r="J5176" s="8">
        <f>IF(G5176="","",G5176*0.20)</f>
        <v/>
      </c>
      <c r="K5176" s="8">
        <f>IF(G5176="","",G5176+J5176)</f>
        <v/>
      </c>
    </row>
    <row r="5177">
      <c r="F5177" s="8" t="n"/>
      <c r="G5177" s="8">
        <f>IF(E5177="","",E5177*F5177)</f>
        <v/>
      </c>
      <c r="H5177" s="8">
        <f>IF(G5177="","",G5177-I5177)</f>
        <v/>
      </c>
      <c r="I5177" s="8">
        <f>IF(D5177="","",VLOOKUP(D5177, RECETTES!B:G, 6, FALSE)*E5177)</f>
        <v/>
      </c>
      <c r="J5177" s="8">
        <f>IF(G5177="","",G5177*0.20)</f>
        <v/>
      </c>
      <c r="K5177" s="8">
        <f>IF(G5177="","",G5177+J5177)</f>
        <v/>
      </c>
    </row>
    <row r="5178">
      <c r="F5178" s="8" t="n"/>
      <c r="G5178" s="8">
        <f>IF(E5178="","",E5178*F5178)</f>
        <v/>
      </c>
      <c r="H5178" s="8">
        <f>IF(G5178="","",G5178-I5178)</f>
        <v/>
      </c>
      <c r="I5178" s="8">
        <f>IF(D5178="","",VLOOKUP(D5178, RECETTES!B:G, 6, FALSE)*E5178)</f>
        <v/>
      </c>
      <c r="J5178" s="8">
        <f>IF(G5178="","",G5178*0.20)</f>
        <v/>
      </c>
      <c r="K5178" s="8">
        <f>IF(G5178="","",G5178+J5178)</f>
        <v/>
      </c>
    </row>
    <row r="5179">
      <c r="F5179" s="8" t="n"/>
      <c r="G5179" s="8">
        <f>IF(E5179="","",E5179*F5179)</f>
        <v/>
      </c>
      <c r="H5179" s="8">
        <f>IF(G5179="","",G5179-I5179)</f>
        <v/>
      </c>
      <c r="I5179" s="8">
        <f>IF(D5179="","",VLOOKUP(D5179, RECETTES!B:G, 6, FALSE)*E5179)</f>
        <v/>
      </c>
      <c r="J5179" s="8">
        <f>IF(G5179="","",G5179*0.20)</f>
        <v/>
      </c>
      <c r="K5179" s="8">
        <f>IF(G5179="","",G5179+J5179)</f>
        <v/>
      </c>
    </row>
    <row r="5180">
      <c r="F5180" s="8" t="n"/>
      <c r="G5180" s="8">
        <f>IF(E5180="","",E5180*F5180)</f>
        <v/>
      </c>
      <c r="H5180" s="8">
        <f>IF(G5180="","",G5180-I5180)</f>
        <v/>
      </c>
      <c r="I5180" s="8">
        <f>IF(D5180="","",VLOOKUP(D5180, RECETTES!B:G, 6, FALSE)*E5180)</f>
        <v/>
      </c>
      <c r="J5180" s="8">
        <f>IF(G5180="","",G5180*0.20)</f>
        <v/>
      </c>
      <c r="K5180" s="8">
        <f>IF(G5180="","",G5180+J5180)</f>
        <v/>
      </c>
    </row>
    <row r="5181">
      <c r="F5181" s="8" t="n"/>
      <c r="G5181" s="8">
        <f>IF(E5181="","",E5181*F5181)</f>
        <v/>
      </c>
      <c r="H5181" s="8">
        <f>IF(G5181="","",G5181-I5181)</f>
        <v/>
      </c>
      <c r="I5181" s="8">
        <f>IF(D5181="","",VLOOKUP(D5181, RECETTES!B:G, 6, FALSE)*E5181)</f>
        <v/>
      </c>
      <c r="J5181" s="8">
        <f>IF(G5181="","",G5181*0.20)</f>
        <v/>
      </c>
      <c r="K5181" s="8">
        <f>IF(G5181="","",G5181+J5181)</f>
        <v/>
      </c>
    </row>
    <row r="5182">
      <c r="F5182" s="8" t="n"/>
      <c r="G5182" s="8">
        <f>IF(E5182="","",E5182*F5182)</f>
        <v/>
      </c>
      <c r="H5182" s="8">
        <f>IF(G5182="","",G5182-I5182)</f>
        <v/>
      </c>
      <c r="I5182" s="8">
        <f>IF(D5182="","",VLOOKUP(D5182, RECETTES!B:G, 6, FALSE)*E5182)</f>
        <v/>
      </c>
      <c r="J5182" s="8">
        <f>IF(G5182="","",G5182*0.20)</f>
        <v/>
      </c>
      <c r="K5182" s="8">
        <f>IF(G5182="","",G5182+J5182)</f>
        <v/>
      </c>
    </row>
    <row r="5183">
      <c r="F5183" s="8" t="n"/>
      <c r="G5183" s="8">
        <f>IF(E5183="","",E5183*F5183)</f>
        <v/>
      </c>
      <c r="H5183" s="8">
        <f>IF(G5183="","",G5183-I5183)</f>
        <v/>
      </c>
      <c r="I5183" s="8">
        <f>IF(D5183="","",VLOOKUP(D5183, RECETTES!B:G, 6, FALSE)*E5183)</f>
        <v/>
      </c>
      <c r="J5183" s="8">
        <f>IF(G5183="","",G5183*0.20)</f>
        <v/>
      </c>
      <c r="K5183" s="8">
        <f>IF(G5183="","",G5183+J5183)</f>
        <v/>
      </c>
    </row>
    <row r="5184">
      <c r="F5184" s="8" t="n"/>
      <c r="G5184" s="8">
        <f>IF(E5184="","",E5184*F5184)</f>
        <v/>
      </c>
      <c r="H5184" s="8">
        <f>IF(G5184="","",G5184-I5184)</f>
        <v/>
      </c>
      <c r="I5184" s="8">
        <f>IF(D5184="","",VLOOKUP(D5184, RECETTES!B:G, 6, FALSE)*E5184)</f>
        <v/>
      </c>
      <c r="J5184" s="8">
        <f>IF(G5184="","",G5184*0.20)</f>
        <v/>
      </c>
      <c r="K5184" s="8">
        <f>IF(G5184="","",G5184+J5184)</f>
        <v/>
      </c>
    </row>
    <row r="5185">
      <c r="F5185" s="8" t="n"/>
      <c r="G5185" s="8">
        <f>IF(E5185="","",E5185*F5185)</f>
        <v/>
      </c>
      <c r="H5185" s="8">
        <f>IF(G5185="","",G5185-I5185)</f>
        <v/>
      </c>
      <c r="I5185" s="8">
        <f>IF(D5185="","",VLOOKUP(D5185, RECETTES!B:G, 6, FALSE)*E5185)</f>
        <v/>
      </c>
      <c r="J5185" s="8">
        <f>IF(G5185="","",G5185*0.20)</f>
        <v/>
      </c>
      <c r="K5185" s="8">
        <f>IF(G5185="","",G5185+J5185)</f>
        <v/>
      </c>
    </row>
    <row r="5186">
      <c r="F5186" s="8" t="n"/>
      <c r="G5186" s="8">
        <f>IF(E5186="","",E5186*F5186)</f>
        <v/>
      </c>
      <c r="H5186" s="8">
        <f>IF(G5186="","",G5186-I5186)</f>
        <v/>
      </c>
      <c r="I5186" s="8">
        <f>IF(D5186="","",VLOOKUP(D5186, RECETTES!B:G, 6, FALSE)*E5186)</f>
        <v/>
      </c>
      <c r="J5186" s="8">
        <f>IF(G5186="","",G5186*0.20)</f>
        <v/>
      </c>
      <c r="K5186" s="8">
        <f>IF(G5186="","",G5186+J5186)</f>
        <v/>
      </c>
    </row>
    <row r="5187">
      <c r="F5187" s="8" t="n"/>
      <c r="G5187" s="8">
        <f>IF(E5187="","",E5187*F5187)</f>
        <v/>
      </c>
      <c r="H5187" s="8">
        <f>IF(G5187="","",G5187-I5187)</f>
        <v/>
      </c>
      <c r="I5187" s="8">
        <f>IF(D5187="","",VLOOKUP(D5187, RECETTES!B:G, 6, FALSE)*E5187)</f>
        <v/>
      </c>
      <c r="J5187" s="8">
        <f>IF(G5187="","",G5187*0.20)</f>
        <v/>
      </c>
      <c r="K5187" s="8">
        <f>IF(G5187="","",G5187+J5187)</f>
        <v/>
      </c>
    </row>
    <row r="5188">
      <c r="F5188" s="8" t="n"/>
      <c r="G5188" s="8">
        <f>IF(E5188="","",E5188*F5188)</f>
        <v/>
      </c>
      <c r="H5188" s="8">
        <f>IF(G5188="","",G5188-I5188)</f>
        <v/>
      </c>
      <c r="I5188" s="8">
        <f>IF(D5188="","",VLOOKUP(D5188, RECETTES!B:G, 6, FALSE)*E5188)</f>
        <v/>
      </c>
      <c r="J5188" s="8">
        <f>IF(G5188="","",G5188*0.20)</f>
        <v/>
      </c>
      <c r="K5188" s="8">
        <f>IF(G5188="","",G5188+J5188)</f>
        <v/>
      </c>
    </row>
    <row r="5189">
      <c r="F5189" s="8" t="n"/>
      <c r="G5189" s="8">
        <f>IF(E5189="","",E5189*F5189)</f>
        <v/>
      </c>
      <c r="H5189" s="8">
        <f>IF(G5189="","",G5189-I5189)</f>
        <v/>
      </c>
      <c r="I5189" s="8">
        <f>IF(D5189="","",VLOOKUP(D5189, RECETTES!B:G, 6, FALSE)*E5189)</f>
        <v/>
      </c>
      <c r="J5189" s="8">
        <f>IF(G5189="","",G5189*0.20)</f>
        <v/>
      </c>
      <c r="K5189" s="8">
        <f>IF(G5189="","",G5189+J5189)</f>
        <v/>
      </c>
    </row>
    <row r="5190">
      <c r="F5190" s="8" t="n"/>
      <c r="G5190" s="8">
        <f>IF(E5190="","",E5190*F5190)</f>
        <v/>
      </c>
      <c r="H5190" s="8">
        <f>IF(G5190="","",G5190-I5190)</f>
        <v/>
      </c>
      <c r="I5190" s="8">
        <f>IF(D5190="","",VLOOKUP(D5190, RECETTES!B:G, 6, FALSE)*E5190)</f>
        <v/>
      </c>
      <c r="J5190" s="8">
        <f>IF(G5190="","",G5190*0.20)</f>
        <v/>
      </c>
      <c r="K5190" s="8">
        <f>IF(G5190="","",G5190+J5190)</f>
        <v/>
      </c>
    </row>
    <row r="5191">
      <c r="F5191" s="8" t="n"/>
      <c r="G5191" s="8">
        <f>IF(E5191="","",E5191*F5191)</f>
        <v/>
      </c>
      <c r="H5191" s="8">
        <f>IF(G5191="","",G5191-I5191)</f>
        <v/>
      </c>
      <c r="I5191" s="8">
        <f>IF(D5191="","",VLOOKUP(D5191, RECETTES!B:G, 6, FALSE)*E5191)</f>
        <v/>
      </c>
      <c r="J5191" s="8">
        <f>IF(G5191="","",G5191*0.20)</f>
        <v/>
      </c>
      <c r="K5191" s="8">
        <f>IF(G5191="","",G5191+J5191)</f>
        <v/>
      </c>
    </row>
    <row r="5192">
      <c r="F5192" s="8" t="n"/>
      <c r="G5192" s="8">
        <f>IF(E5192="","",E5192*F5192)</f>
        <v/>
      </c>
      <c r="H5192" s="8">
        <f>IF(G5192="","",G5192-I5192)</f>
        <v/>
      </c>
      <c r="I5192" s="8">
        <f>IF(D5192="","",VLOOKUP(D5192, RECETTES!B:G, 6, FALSE)*E5192)</f>
        <v/>
      </c>
      <c r="J5192" s="8">
        <f>IF(G5192="","",G5192*0.20)</f>
        <v/>
      </c>
      <c r="K5192" s="8">
        <f>IF(G5192="","",G5192+J5192)</f>
        <v/>
      </c>
    </row>
    <row r="5193">
      <c r="F5193" s="8" t="n"/>
      <c r="G5193" s="8">
        <f>IF(E5193="","",E5193*F5193)</f>
        <v/>
      </c>
      <c r="H5193" s="8">
        <f>IF(G5193="","",G5193-I5193)</f>
        <v/>
      </c>
      <c r="I5193" s="8">
        <f>IF(D5193="","",VLOOKUP(D5193, RECETTES!B:G, 6, FALSE)*E5193)</f>
        <v/>
      </c>
      <c r="J5193" s="8">
        <f>IF(G5193="","",G5193*0.20)</f>
        <v/>
      </c>
      <c r="K5193" s="8">
        <f>IF(G5193="","",G5193+J5193)</f>
        <v/>
      </c>
    </row>
    <row r="5194">
      <c r="F5194" s="8" t="n"/>
      <c r="G5194" s="8">
        <f>IF(E5194="","",E5194*F5194)</f>
        <v/>
      </c>
      <c r="H5194" s="8">
        <f>IF(G5194="","",G5194-I5194)</f>
        <v/>
      </c>
      <c r="I5194" s="8">
        <f>IF(D5194="","",VLOOKUP(D5194, RECETTES!B:G, 6, FALSE)*E5194)</f>
        <v/>
      </c>
      <c r="J5194" s="8">
        <f>IF(G5194="","",G5194*0.20)</f>
        <v/>
      </c>
      <c r="K5194" s="8">
        <f>IF(G5194="","",G5194+J5194)</f>
        <v/>
      </c>
    </row>
    <row r="5195">
      <c r="F5195" s="8" t="n"/>
      <c r="G5195" s="8">
        <f>IF(E5195="","",E5195*F5195)</f>
        <v/>
      </c>
      <c r="H5195" s="8">
        <f>IF(G5195="","",G5195-I5195)</f>
        <v/>
      </c>
      <c r="I5195" s="8">
        <f>IF(D5195="","",VLOOKUP(D5195, RECETTES!B:G, 6, FALSE)*E5195)</f>
        <v/>
      </c>
      <c r="J5195" s="8">
        <f>IF(G5195="","",G5195*0.20)</f>
        <v/>
      </c>
      <c r="K5195" s="8">
        <f>IF(G5195="","",G5195+J5195)</f>
        <v/>
      </c>
    </row>
    <row r="5196">
      <c r="F5196" s="8" t="n"/>
      <c r="G5196" s="8">
        <f>IF(E5196="","",E5196*F5196)</f>
        <v/>
      </c>
      <c r="H5196" s="8">
        <f>IF(G5196="","",G5196-I5196)</f>
        <v/>
      </c>
      <c r="I5196" s="8">
        <f>IF(D5196="","",VLOOKUP(D5196, RECETTES!B:G, 6, FALSE)*E5196)</f>
        <v/>
      </c>
      <c r="J5196" s="8">
        <f>IF(G5196="","",G5196*0.20)</f>
        <v/>
      </c>
      <c r="K5196" s="8">
        <f>IF(G5196="","",G5196+J5196)</f>
        <v/>
      </c>
    </row>
    <row r="5197">
      <c r="F5197" s="8" t="n"/>
      <c r="G5197" s="8">
        <f>IF(E5197="","",E5197*F5197)</f>
        <v/>
      </c>
      <c r="H5197" s="8">
        <f>IF(G5197="","",G5197-I5197)</f>
        <v/>
      </c>
      <c r="I5197" s="8">
        <f>IF(D5197="","",VLOOKUP(D5197, RECETTES!B:G, 6, FALSE)*E5197)</f>
        <v/>
      </c>
      <c r="J5197" s="8">
        <f>IF(G5197="","",G5197*0.20)</f>
        <v/>
      </c>
      <c r="K5197" s="8">
        <f>IF(G5197="","",G5197+J5197)</f>
        <v/>
      </c>
    </row>
    <row r="5198">
      <c r="F5198" s="8" t="n"/>
      <c r="G5198" s="8">
        <f>IF(E5198="","",E5198*F5198)</f>
        <v/>
      </c>
      <c r="H5198" s="8">
        <f>IF(G5198="","",G5198-I5198)</f>
        <v/>
      </c>
      <c r="I5198" s="8">
        <f>IF(D5198="","",VLOOKUP(D5198, RECETTES!B:G, 6, FALSE)*E5198)</f>
        <v/>
      </c>
      <c r="J5198" s="8">
        <f>IF(G5198="","",G5198*0.20)</f>
        <v/>
      </c>
      <c r="K5198" s="8">
        <f>IF(G5198="","",G5198+J5198)</f>
        <v/>
      </c>
    </row>
    <row r="5199">
      <c r="F5199" s="8" t="n"/>
      <c r="G5199" s="8">
        <f>IF(E5199="","",E5199*F5199)</f>
        <v/>
      </c>
      <c r="H5199" s="8">
        <f>IF(G5199="","",G5199-I5199)</f>
        <v/>
      </c>
      <c r="I5199" s="8">
        <f>IF(D5199="","",VLOOKUP(D5199, RECETTES!B:G, 6, FALSE)*E5199)</f>
        <v/>
      </c>
      <c r="J5199" s="8">
        <f>IF(G5199="","",G5199*0.20)</f>
        <v/>
      </c>
      <c r="K5199" s="8">
        <f>IF(G5199="","",G5199+J5199)</f>
        <v/>
      </c>
    </row>
    <row r="5200">
      <c r="F5200" s="8" t="n"/>
      <c r="G5200" s="8">
        <f>IF(E5200="","",E5200*F5200)</f>
        <v/>
      </c>
      <c r="H5200" s="8">
        <f>IF(G5200="","",G5200-I5200)</f>
        <v/>
      </c>
      <c r="I5200" s="8">
        <f>IF(D5200="","",VLOOKUP(D5200, RECETTES!B:G, 6, FALSE)*E5200)</f>
        <v/>
      </c>
      <c r="J5200" s="8">
        <f>IF(G5200="","",G5200*0.20)</f>
        <v/>
      </c>
      <c r="K5200" s="8">
        <f>IF(G5200="","",G5200+J5200)</f>
        <v/>
      </c>
    </row>
    <row r="5201">
      <c r="F5201" s="8" t="n"/>
      <c r="G5201" s="8">
        <f>IF(E5201="","",E5201*F5201)</f>
        <v/>
      </c>
      <c r="H5201" s="8">
        <f>IF(G5201="","",G5201-I5201)</f>
        <v/>
      </c>
      <c r="I5201" s="8">
        <f>IF(D5201="","",VLOOKUP(D5201, RECETTES!B:G, 6, FALSE)*E5201)</f>
        <v/>
      </c>
      <c r="J5201" s="8">
        <f>IF(G5201="","",G5201*0.20)</f>
        <v/>
      </c>
      <c r="K5201" s="8">
        <f>IF(G5201="","",G5201+J5201)</f>
        <v/>
      </c>
    </row>
    <row r="5202">
      <c r="F5202" s="8" t="n"/>
      <c r="G5202" s="8">
        <f>IF(E5202="","",E5202*F5202)</f>
        <v/>
      </c>
      <c r="H5202" s="8">
        <f>IF(G5202="","",G5202-I5202)</f>
        <v/>
      </c>
      <c r="I5202" s="8">
        <f>IF(D5202="","",VLOOKUP(D5202, RECETTES!B:G, 6, FALSE)*E5202)</f>
        <v/>
      </c>
      <c r="J5202" s="8">
        <f>IF(G5202="","",G5202*0.20)</f>
        <v/>
      </c>
      <c r="K5202" s="8">
        <f>IF(G5202="","",G5202+J5202)</f>
        <v/>
      </c>
    </row>
    <row r="5203">
      <c r="F5203" s="8" t="n"/>
      <c r="G5203" s="8">
        <f>IF(E5203="","",E5203*F5203)</f>
        <v/>
      </c>
      <c r="H5203" s="8">
        <f>IF(G5203="","",G5203-I5203)</f>
        <v/>
      </c>
      <c r="I5203" s="8">
        <f>IF(D5203="","",VLOOKUP(D5203, RECETTES!B:G, 6, FALSE)*E5203)</f>
        <v/>
      </c>
      <c r="J5203" s="8">
        <f>IF(G5203="","",G5203*0.20)</f>
        <v/>
      </c>
      <c r="K5203" s="8">
        <f>IF(G5203="","",G5203+J5203)</f>
        <v/>
      </c>
    </row>
    <row r="5204">
      <c r="F5204" s="8" t="n"/>
      <c r="G5204" s="8">
        <f>IF(E5204="","",E5204*F5204)</f>
        <v/>
      </c>
      <c r="H5204" s="8">
        <f>IF(G5204="","",G5204-I5204)</f>
        <v/>
      </c>
      <c r="I5204" s="8">
        <f>IF(D5204="","",VLOOKUP(D5204, RECETTES!B:G, 6, FALSE)*E5204)</f>
        <v/>
      </c>
      <c r="J5204" s="8">
        <f>IF(G5204="","",G5204*0.20)</f>
        <v/>
      </c>
      <c r="K5204" s="8">
        <f>IF(G5204="","",G5204+J5204)</f>
        <v/>
      </c>
    </row>
    <row r="5205">
      <c r="F5205" s="8" t="n"/>
      <c r="G5205" s="8">
        <f>IF(E5205="","",E5205*F5205)</f>
        <v/>
      </c>
      <c r="H5205" s="8">
        <f>IF(G5205="","",G5205-I5205)</f>
        <v/>
      </c>
      <c r="I5205" s="8">
        <f>IF(D5205="","",VLOOKUP(D5205, RECETTES!B:G, 6, FALSE)*E5205)</f>
        <v/>
      </c>
      <c r="J5205" s="8">
        <f>IF(G5205="","",G5205*0.20)</f>
        <v/>
      </c>
      <c r="K5205" s="8">
        <f>IF(G5205="","",G5205+J5205)</f>
        <v/>
      </c>
    </row>
    <row r="5206">
      <c r="F5206" s="8" t="n"/>
      <c r="G5206" s="8">
        <f>IF(E5206="","",E5206*F5206)</f>
        <v/>
      </c>
      <c r="H5206" s="8">
        <f>IF(G5206="","",G5206-I5206)</f>
        <v/>
      </c>
      <c r="I5206" s="8">
        <f>IF(D5206="","",VLOOKUP(D5206, RECETTES!B:G, 6, FALSE)*E5206)</f>
        <v/>
      </c>
      <c r="J5206" s="8">
        <f>IF(G5206="","",G5206*0.20)</f>
        <v/>
      </c>
      <c r="K5206" s="8">
        <f>IF(G5206="","",G5206+J5206)</f>
        <v/>
      </c>
    </row>
    <row r="5207">
      <c r="F5207" s="8" t="n"/>
      <c r="G5207" s="8">
        <f>IF(E5207="","",E5207*F5207)</f>
        <v/>
      </c>
      <c r="H5207" s="8">
        <f>IF(G5207="","",G5207-I5207)</f>
        <v/>
      </c>
      <c r="I5207" s="8">
        <f>IF(D5207="","",VLOOKUP(D5207, RECETTES!B:G, 6, FALSE)*E5207)</f>
        <v/>
      </c>
      <c r="J5207" s="8">
        <f>IF(G5207="","",G5207*0.20)</f>
        <v/>
      </c>
      <c r="K5207" s="8">
        <f>IF(G5207="","",G5207+J5207)</f>
        <v/>
      </c>
    </row>
    <row r="5208">
      <c r="F5208" s="8" t="n"/>
      <c r="G5208" s="8">
        <f>IF(E5208="","",E5208*F5208)</f>
        <v/>
      </c>
      <c r="H5208" s="8">
        <f>IF(G5208="","",G5208-I5208)</f>
        <v/>
      </c>
      <c r="I5208" s="8">
        <f>IF(D5208="","",VLOOKUP(D5208, RECETTES!B:G, 6, FALSE)*E5208)</f>
        <v/>
      </c>
      <c r="J5208" s="8">
        <f>IF(G5208="","",G5208*0.20)</f>
        <v/>
      </c>
      <c r="K5208" s="8">
        <f>IF(G5208="","",G5208+J5208)</f>
        <v/>
      </c>
    </row>
    <row r="5209">
      <c r="F5209" s="8" t="n"/>
      <c r="G5209" s="8">
        <f>IF(E5209="","",E5209*F5209)</f>
        <v/>
      </c>
      <c r="H5209" s="8">
        <f>IF(G5209="","",G5209-I5209)</f>
        <v/>
      </c>
      <c r="I5209" s="8">
        <f>IF(D5209="","",VLOOKUP(D5209, RECETTES!B:G, 6, FALSE)*E5209)</f>
        <v/>
      </c>
      <c r="J5209" s="8">
        <f>IF(G5209="","",G5209*0.20)</f>
        <v/>
      </c>
      <c r="K5209" s="8">
        <f>IF(G5209="","",G5209+J5209)</f>
        <v/>
      </c>
    </row>
    <row r="5210">
      <c r="F5210" s="8" t="n"/>
      <c r="G5210" s="8">
        <f>IF(E5210="","",E5210*F5210)</f>
        <v/>
      </c>
      <c r="H5210" s="8">
        <f>IF(G5210="","",G5210-I5210)</f>
        <v/>
      </c>
      <c r="I5210" s="8">
        <f>IF(D5210="","",VLOOKUP(D5210, RECETTES!B:G, 6, FALSE)*E5210)</f>
        <v/>
      </c>
      <c r="J5210" s="8">
        <f>IF(G5210="","",G5210*0.20)</f>
        <v/>
      </c>
      <c r="K5210" s="8">
        <f>IF(G5210="","",G5210+J5210)</f>
        <v/>
      </c>
    </row>
    <row r="5211">
      <c r="F5211" s="8" t="n"/>
      <c r="G5211" s="8">
        <f>IF(E5211="","",E5211*F5211)</f>
        <v/>
      </c>
      <c r="H5211" s="8">
        <f>IF(G5211="","",G5211-I5211)</f>
        <v/>
      </c>
      <c r="I5211" s="8">
        <f>IF(D5211="","",VLOOKUP(D5211, RECETTES!B:G, 6, FALSE)*E5211)</f>
        <v/>
      </c>
      <c r="J5211" s="8">
        <f>IF(G5211="","",G5211*0.20)</f>
        <v/>
      </c>
      <c r="K5211" s="8">
        <f>IF(G5211="","",G5211+J5211)</f>
        <v/>
      </c>
    </row>
    <row r="5212">
      <c r="F5212" s="8" t="n"/>
      <c r="G5212" s="8">
        <f>IF(E5212="","",E5212*F5212)</f>
        <v/>
      </c>
      <c r="H5212" s="8">
        <f>IF(G5212="","",G5212-I5212)</f>
        <v/>
      </c>
      <c r="I5212" s="8">
        <f>IF(D5212="","",VLOOKUP(D5212, RECETTES!B:G, 6, FALSE)*E5212)</f>
        <v/>
      </c>
      <c r="J5212" s="8">
        <f>IF(G5212="","",G5212*0.20)</f>
        <v/>
      </c>
      <c r="K5212" s="8">
        <f>IF(G5212="","",G5212+J5212)</f>
        <v/>
      </c>
    </row>
    <row r="5213">
      <c r="F5213" s="8" t="n"/>
      <c r="G5213" s="8">
        <f>IF(E5213="","",E5213*F5213)</f>
        <v/>
      </c>
      <c r="H5213" s="8">
        <f>IF(G5213="","",G5213-I5213)</f>
        <v/>
      </c>
      <c r="I5213" s="8">
        <f>IF(D5213="","",VLOOKUP(D5213, RECETTES!B:G, 6, FALSE)*E5213)</f>
        <v/>
      </c>
      <c r="J5213" s="8">
        <f>IF(G5213="","",G5213*0.20)</f>
        <v/>
      </c>
      <c r="K5213" s="8">
        <f>IF(G5213="","",G5213+J5213)</f>
        <v/>
      </c>
    </row>
    <row r="5214">
      <c r="F5214" s="8" t="n"/>
      <c r="G5214" s="8">
        <f>IF(E5214="","",E5214*F5214)</f>
        <v/>
      </c>
      <c r="H5214" s="8">
        <f>IF(G5214="","",G5214-I5214)</f>
        <v/>
      </c>
      <c r="I5214" s="8">
        <f>IF(D5214="","",VLOOKUP(D5214, RECETTES!B:G, 6, FALSE)*E5214)</f>
        <v/>
      </c>
      <c r="J5214" s="8">
        <f>IF(G5214="","",G5214*0.20)</f>
        <v/>
      </c>
      <c r="K5214" s="8">
        <f>IF(G5214="","",G5214+J5214)</f>
        <v/>
      </c>
    </row>
    <row r="5215">
      <c r="F5215" s="8" t="n"/>
      <c r="G5215" s="8">
        <f>IF(E5215="","",E5215*F5215)</f>
        <v/>
      </c>
      <c r="H5215" s="8">
        <f>IF(G5215="","",G5215-I5215)</f>
        <v/>
      </c>
      <c r="I5215" s="8">
        <f>IF(D5215="","",VLOOKUP(D5215, RECETTES!B:G, 6, FALSE)*E5215)</f>
        <v/>
      </c>
      <c r="J5215" s="8">
        <f>IF(G5215="","",G5215*0.20)</f>
        <v/>
      </c>
      <c r="K5215" s="8">
        <f>IF(G5215="","",G5215+J5215)</f>
        <v/>
      </c>
    </row>
    <row r="5216">
      <c r="F5216" s="8" t="n"/>
      <c r="G5216" s="8">
        <f>IF(E5216="","",E5216*F5216)</f>
        <v/>
      </c>
      <c r="H5216" s="8">
        <f>IF(G5216="","",G5216-I5216)</f>
        <v/>
      </c>
      <c r="I5216" s="8">
        <f>IF(D5216="","",VLOOKUP(D5216, RECETTES!B:G, 6, FALSE)*E5216)</f>
        <v/>
      </c>
      <c r="J5216" s="8">
        <f>IF(G5216="","",G5216*0.20)</f>
        <v/>
      </c>
      <c r="K5216" s="8">
        <f>IF(G5216="","",G5216+J5216)</f>
        <v/>
      </c>
    </row>
    <row r="5217">
      <c r="F5217" s="8" t="n"/>
      <c r="G5217" s="8">
        <f>IF(E5217="","",E5217*F5217)</f>
        <v/>
      </c>
      <c r="H5217" s="8">
        <f>IF(G5217="","",G5217-I5217)</f>
        <v/>
      </c>
      <c r="I5217" s="8">
        <f>IF(D5217="","",VLOOKUP(D5217, RECETTES!B:G, 6, FALSE)*E5217)</f>
        <v/>
      </c>
      <c r="J5217" s="8">
        <f>IF(G5217="","",G5217*0.20)</f>
        <v/>
      </c>
      <c r="K5217" s="8">
        <f>IF(G5217="","",G5217+J5217)</f>
        <v/>
      </c>
    </row>
    <row r="5218">
      <c r="F5218" s="8" t="n"/>
      <c r="G5218" s="8">
        <f>IF(E5218="","",E5218*F5218)</f>
        <v/>
      </c>
      <c r="H5218" s="8">
        <f>IF(G5218="","",G5218-I5218)</f>
        <v/>
      </c>
      <c r="I5218" s="8">
        <f>IF(D5218="","",VLOOKUP(D5218, RECETTES!B:G, 6, FALSE)*E5218)</f>
        <v/>
      </c>
      <c r="J5218" s="8">
        <f>IF(G5218="","",G5218*0.20)</f>
        <v/>
      </c>
      <c r="K5218" s="8">
        <f>IF(G5218="","",G5218+J5218)</f>
        <v/>
      </c>
    </row>
    <row r="5219">
      <c r="F5219" s="8" t="n"/>
      <c r="G5219" s="8">
        <f>IF(E5219="","",E5219*F5219)</f>
        <v/>
      </c>
      <c r="H5219" s="8">
        <f>IF(G5219="","",G5219-I5219)</f>
        <v/>
      </c>
      <c r="I5219" s="8">
        <f>IF(D5219="","",VLOOKUP(D5219, RECETTES!B:G, 6, FALSE)*E5219)</f>
        <v/>
      </c>
      <c r="J5219" s="8">
        <f>IF(G5219="","",G5219*0.20)</f>
        <v/>
      </c>
      <c r="K5219" s="8">
        <f>IF(G5219="","",G5219+J5219)</f>
        <v/>
      </c>
    </row>
    <row r="5220">
      <c r="F5220" s="8" t="n"/>
      <c r="G5220" s="8">
        <f>IF(E5220="","",E5220*F5220)</f>
        <v/>
      </c>
      <c r="H5220" s="8">
        <f>IF(G5220="","",G5220-I5220)</f>
        <v/>
      </c>
      <c r="I5220" s="8">
        <f>IF(D5220="","",VLOOKUP(D5220, RECETTES!B:G, 6, FALSE)*E5220)</f>
        <v/>
      </c>
      <c r="J5220" s="8">
        <f>IF(G5220="","",G5220*0.20)</f>
        <v/>
      </c>
      <c r="K5220" s="8">
        <f>IF(G5220="","",G5220+J5220)</f>
        <v/>
      </c>
    </row>
    <row r="5221">
      <c r="F5221" s="8" t="n"/>
      <c r="G5221" s="8">
        <f>IF(E5221="","",E5221*F5221)</f>
        <v/>
      </c>
      <c r="H5221" s="8">
        <f>IF(G5221="","",G5221-I5221)</f>
        <v/>
      </c>
      <c r="I5221" s="8">
        <f>IF(D5221="","",VLOOKUP(D5221, RECETTES!B:G, 6, FALSE)*E5221)</f>
        <v/>
      </c>
      <c r="J5221" s="8">
        <f>IF(G5221="","",G5221*0.20)</f>
        <v/>
      </c>
      <c r="K5221" s="8">
        <f>IF(G5221="","",G5221+J5221)</f>
        <v/>
      </c>
    </row>
    <row r="5222">
      <c r="F5222" s="8" t="n"/>
      <c r="G5222" s="8">
        <f>IF(E5222="","",E5222*F5222)</f>
        <v/>
      </c>
      <c r="H5222" s="8">
        <f>IF(G5222="","",G5222-I5222)</f>
        <v/>
      </c>
      <c r="I5222" s="8">
        <f>IF(D5222="","",VLOOKUP(D5222, RECETTES!B:G, 6, FALSE)*E5222)</f>
        <v/>
      </c>
      <c r="J5222" s="8">
        <f>IF(G5222="","",G5222*0.20)</f>
        <v/>
      </c>
      <c r="K5222" s="8">
        <f>IF(G5222="","",G5222+J5222)</f>
        <v/>
      </c>
    </row>
    <row r="5223">
      <c r="F5223" s="8" t="n"/>
      <c r="G5223" s="8">
        <f>IF(E5223="","",E5223*F5223)</f>
        <v/>
      </c>
      <c r="H5223" s="8">
        <f>IF(G5223="","",G5223-I5223)</f>
        <v/>
      </c>
      <c r="I5223" s="8">
        <f>IF(D5223="","",VLOOKUP(D5223, RECETTES!B:G, 6, FALSE)*E5223)</f>
        <v/>
      </c>
      <c r="J5223" s="8">
        <f>IF(G5223="","",G5223*0.20)</f>
        <v/>
      </c>
      <c r="K5223" s="8">
        <f>IF(G5223="","",G5223+J5223)</f>
        <v/>
      </c>
    </row>
    <row r="5224">
      <c r="F5224" s="8" t="n"/>
      <c r="G5224" s="8">
        <f>IF(E5224="","",E5224*F5224)</f>
        <v/>
      </c>
      <c r="H5224" s="8">
        <f>IF(G5224="","",G5224-I5224)</f>
        <v/>
      </c>
      <c r="I5224" s="8">
        <f>IF(D5224="","",VLOOKUP(D5224, RECETTES!B:G, 6, FALSE)*E5224)</f>
        <v/>
      </c>
      <c r="J5224" s="8">
        <f>IF(G5224="","",G5224*0.20)</f>
        <v/>
      </c>
      <c r="K5224" s="8">
        <f>IF(G5224="","",G5224+J5224)</f>
        <v/>
      </c>
    </row>
    <row r="5225">
      <c r="F5225" s="8" t="n"/>
      <c r="G5225" s="8">
        <f>IF(E5225="","",E5225*F5225)</f>
        <v/>
      </c>
      <c r="H5225" s="8">
        <f>IF(G5225="","",G5225-I5225)</f>
        <v/>
      </c>
      <c r="I5225" s="8">
        <f>IF(D5225="","",VLOOKUP(D5225, RECETTES!B:G, 6, FALSE)*E5225)</f>
        <v/>
      </c>
      <c r="J5225" s="8">
        <f>IF(G5225="","",G5225*0.20)</f>
        <v/>
      </c>
      <c r="K5225" s="8">
        <f>IF(G5225="","",G5225+J5225)</f>
        <v/>
      </c>
    </row>
    <row r="5226">
      <c r="F5226" s="8" t="n"/>
      <c r="G5226" s="8">
        <f>IF(E5226="","",E5226*F5226)</f>
        <v/>
      </c>
      <c r="H5226" s="8">
        <f>IF(G5226="","",G5226-I5226)</f>
        <v/>
      </c>
      <c r="I5226" s="8">
        <f>IF(D5226="","",VLOOKUP(D5226, RECETTES!B:G, 6, FALSE)*E5226)</f>
        <v/>
      </c>
      <c r="J5226" s="8">
        <f>IF(G5226="","",G5226*0.20)</f>
        <v/>
      </c>
      <c r="K5226" s="8">
        <f>IF(G5226="","",G5226+J5226)</f>
        <v/>
      </c>
    </row>
    <row r="5227">
      <c r="F5227" s="8" t="n"/>
      <c r="G5227" s="8">
        <f>IF(E5227="","",E5227*F5227)</f>
        <v/>
      </c>
      <c r="H5227" s="8">
        <f>IF(G5227="","",G5227-I5227)</f>
        <v/>
      </c>
      <c r="I5227" s="8">
        <f>IF(D5227="","",VLOOKUP(D5227, RECETTES!B:G, 6, FALSE)*E5227)</f>
        <v/>
      </c>
      <c r="J5227" s="8">
        <f>IF(G5227="","",G5227*0.20)</f>
        <v/>
      </c>
      <c r="K5227" s="8">
        <f>IF(G5227="","",G5227+J5227)</f>
        <v/>
      </c>
    </row>
    <row r="5228">
      <c r="F5228" s="8" t="n"/>
      <c r="G5228" s="8">
        <f>IF(E5228="","",E5228*F5228)</f>
        <v/>
      </c>
      <c r="H5228" s="8">
        <f>IF(G5228="","",G5228-I5228)</f>
        <v/>
      </c>
      <c r="I5228" s="8">
        <f>IF(D5228="","",VLOOKUP(D5228, RECETTES!B:G, 6, FALSE)*E5228)</f>
        <v/>
      </c>
      <c r="J5228" s="8">
        <f>IF(G5228="","",G5228*0.20)</f>
        <v/>
      </c>
      <c r="K5228" s="8">
        <f>IF(G5228="","",G5228+J5228)</f>
        <v/>
      </c>
    </row>
    <row r="5229">
      <c r="F5229" s="8" t="n"/>
      <c r="G5229" s="8">
        <f>IF(E5229="","",E5229*F5229)</f>
        <v/>
      </c>
      <c r="H5229" s="8">
        <f>IF(G5229="","",G5229-I5229)</f>
        <v/>
      </c>
      <c r="I5229" s="8">
        <f>IF(D5229="","",VLOOKUP(D5229, RECETTES!B:G, 6, FALSE)*E5229)</f>
        <v/>
      </c>
      <c r="J5229" s="8">
        <f>IF(G5229="","",G5229*0.20)</f>
        <v/>
      </c>
      <c r="K5229" s="8">
        <f>IF(G5229="","",G5229+J5229)</f>
        <v/>
      </c>
    </row>
    <row r="5230">
      <c r="F5230" s="8" t="n"/>
      <c r="G5230" s="8">
        <f>IF(E5230="","",E5230*F5230)</f>
        <v/>
      </c>
      <c r="H5230" s="8">
        <f>IF(G5230="","",G5230-I5230)</f>
        <v/>
      </c>
      <c r="I5230" s="8">
        <f>IF(D5230="","",VLOOKUP(D5230, RECETTES!B:G, 6, FALSE)*E5230)</f>
        <v/>
      </c>
      <c r="J5230" s="8">
        <f>IF(G5230="","",G5230*0.20)</f>
        <v/>
      </c>
      <c r="K5230" s="8">
        <f>IF(G5230="","",G5230+J5230)</f>
        <v/>
      </c>
    </row>
    <row r="5231">
      <c r="F5231" s="8" t="n"/>
      <c r="G5231" s="8">
        <f>IF(E5231="","",E5231*F5231)</f>
        <v/>
      </c>
      <c r="H5231" s="8">
        <f>IF(G5231="","",G5231-I5231)</f>
        <v/>
      </c>
      <c r="I5231" s="8">
        <f>IF(D5231="","",VLOOKUP(D5231, RECETTES!B:G, 6, FALSE)*E5231)</f>
        <v/>
      </c>
      <c r="J5231" s="8">
        <f>IF(G5231="","",G5231*0.20)</f>
        <v/>
      </c>
      <c r="K5231" s="8">
        <f>IF(G5231="","",G5231+J5231)</f>
        <v/>
      </c>
    </row>
    <row r="5232">
      <c r="F5232" s="8" t="n"/>
      <c r="G5232" s="8">
        <f>IF(E5232="","",E5232*F5232)</f>
        <v/>
      </c>
      <c r="H5232" s="8">
        <f>IF(G5232="","",G5232-I5232)</f>
        <v/>
      </c>
      <c r="I5232" s="8">
        <f>IF(D5232="","",VLOOKUP(D5232, RECETTES!B:G, 6, FALSE)*E5232)</f>
        <v/>
      </c>
      <c r="J5232" s="8">
        <f>IF(G5232="","",G5232*0.20)</f>
        <v/>
      </c>
      <c r="K5232" s="8">
        <f>IF(G5232="","",G5232+J5232)</f>
        <v/>
      </c>
    </row>
    <row r="5233">
      <c r="F5233" s="8" t="n"/>
      <c r="G5233" s="8">
        <f>IF(E5233="","",E5233*F5233)</f>
        <v/>
      </c>
      <c r="H5233" s="8">
        <f>IF(G5233="","",G5233-I5233)</f>
        <v/>
      </c>
      <c r="I5233" s="8">
        <f>IF(D5233="","",VLOOKUP(D5233, RECETTES!B:G, 6, FALSE)*E5233)</f>
        <v/>
      </c>
      <c r="J5233" s="8">
        <f>IF(G5233="","",G5233*0.20)</f>
        <v/>
      </c>
      <c r="K5233" s="8">
        <f>IF(G5233="","",G5233+J5233)</f>
        <v/>
      </c>
    </row>
    <row r="5234">
      <c r="F5234" s="8" t="n"/>
      <c r="G5234" s="8">
        <f>IF(E5234="","",E5234*F5234)</f>
        <v/>
      </c>
      <c r="H5234" s="8">
        <f>IF(G5234="","",G5234-I5234)</f>
        <v/>
      </c>
      <c r="I5234" s="8">
        <f>IF(D5234="","",VLOOKUP(D5234, RECETTES!B:G, 6, FALSE)*E5234)</f>
        <v/>
      </c>
      <c r="J5234" s="8">
        <f>IF(G5234="","",G5234*0.20)</f>
        <v/>
      </c>
      <c r="K5234" s="8">
        <f>IF(G5234="","",G5234+J5234)</f>
        <v/>
      </c>
    </row>
    <row r="5235">
      <c r="F5235" s="8" t="n"/>
      <c r="G5235" s="8">
        <f>IF(E5235="","",E5235*F5235)</f>
        <v/>
      </c>
      <c r="H5235" s="8">
        <f>IF(G5235="","",G5235-I5235)</f>
        <v/>
      </c>
      <c r="I5235" s="8">
        <f>IF(D5235="","",VLOOKUP(D5235, RECETTES!B:G, 6, FALSE)*E5235)</f>
        <v/>
      </c>
      <c r="J5235" s="8">
        <f>IF(G5235="","",G5235*0.20)</f>
        <v/>
      </c>
      <c r="K5235" s="8">
        <f>IF(G5235="","",G5235+J5235)</f>
        <v/>
      </c>
    </row>
    <row r="5236">
      <c r="F5236" s="8" t="n"/>
      <c r="G5236" s="8">
        <f>IF(E5236="","",E5236*F5236)</f>
        <v/>
      </c>
      <c r="H5236" s="8">
        <f>IF(G5236="","",G5236-I5236)</f>
        <v/>
      </c>
      <c r="I5236" s="8">
        <f>IF(D5236="","",VLOOKUP(D5236, RECETTES!B:G, 6, FALSE)*E5236)</f>
        <v/>
      </c>
      <c r="J5236" s="8">
        <f>IF(G5236="","",G5236*0.20)</f>
        <v/>
      </c>
      <c r="K5236" s="8">
        <f>IF(G5236="","",G5236+J5236)</f>
        <v/>
      </c>
    </row>
    <row r="5237">
      <c r="F5237" s="8" t="n"/>
      <c r="G5237" s="8">
        <f>IF(E5237="","",E5237*F5237)</f>
        <v/>
      </c>
      <c r="H5237" s="8">
        <f>IF(G5237="","",G5237-I5237)</f>
        <v/>
      </c>
      <c r="I5237" s="8">
        <f>IF(D5237="","",VLOOKUP(D5237, RECETTES!B:G, 6, FALSE)*E5237)</f>
        <v/>
      </c>
      <c r="J5237" s="8">
        <f>IF(G5237="","",G5237*0.20)</f>
        <v/>
      </c>
      <c r="K5237" s="8">
        <f>IF(G5237="","",G5237+J5237)</f>
        <v/>
      </c>
    </row>
    <row r="5238">
      <c r="F5238" s="8" t="n"/>
      <c r="G5238" s="8">
        <f>IF(E5238="","",E5238*F5238)</f>
        <v/>
      </c>
      <c r="H5238" s="8">
        <f>IF(G5238="","",G5238-I5238)</f>
        <v/>
      </c>
      <c r="I5238" s="8">
        <f>IF(D5238="","",VLOOKUP(D5238, RECETTES!B:G, 6, FALSE)*E5238)</f>
        <v/>
      </c>
      <c r="J5238" s="8">
        <f>IF(G5238="","",G5238*0.20)</f>
        <v/>
      </c>
      <c r="K5238" s="8">
        <f>IF(G5238="","",G5238+J5238)</f>
        <v/>
      </c>
    </row>
    <row r="5239">
      <c r="F5239" s="8" t="n"/>
      <c r="G5239" s="8">
        <f>IF(E5239="","",E5239*F5239)</f>
        <v/>
      </c>
      <c r="H5239" s="8">
        <f>IF(G5239="","",G5239-I5239)</f>
        <v/>
      </c>
      <c r="I5239" s="8">
        <f>IF(D5239="","",VLOOKUP(D5239, RECETTES!B:G, 6, FALSE)*E5239)</f>
        <v/>
      </c>
      <c r="J5239" s="8">
        <f>IF(G5239="","",G5239*0.20)</f>
        <v/>
      </c>
      <c r="K5239" s="8">
        <f>IF(G5239="","",G5239+J5239)</f>
        <v/>
      </c>
    </row>
    <row r="5240">
      <c r="F5240" s="8" t="n"/>
      <c r="G5240" s="8">
        <f>IF(E5240="","",E5240*F5240)</f>
        <v/>
      </c>
      <c r="H5240" s="8">
        <f>IF(G5240="","",G5240-I5240)</f>
        <v/>
      </c>
      <c r="I5240" s="8">
        <f>IF(D5240="","",VLOOKUP(D5240, RECETTES!B:G, 6, FALSE)*E5240)</f>
        <v/>
      </c>
      <c r="J5240" s="8">
        <f>IF(G5240="","",G5240*0.20)</f>
        <v/>
      </c>
      <c r="K5240" s="8">
        <f>IF(G5240="","",G5240+J5240)</f>
        <v/>
      </c>
    </row>
    <row r="5241">
      <c r="F5241" s="8" t="n"/>
      <c r="G5241" s="8">
        <f>IF(E5241="","",E5241*F5241)</f>
        <v/>
      </c>
      <c r="H5241" s="8">
        <f>IF(G5241="","",G5241-I5241)</f>
        <v/>
      </c>
      <c r="I5241" s="8">
        <f>IF(D5241="","",VLOOKUP(D5241, RECETTES!B:G, 6, FALSE)*E5241)</f>
        <v/>
      </c>
      <c r="J5241" s="8">
        <f>IF(G5241="","",G5241*0.20)</f>
        <v/>
      </c>
      <c r="K5241" s="8">
        <f>IF(G5241="","",G5241+J5241)</f>
        <v/>
      </c>
    </row>
    <row r="5242">
      <c r="F5242" s="8" t="n"/>
      <c r="G5242" s="8">
        <f>IF(E5242="","",E5242*F5242)</f>
        <v/>
      </c>
      <c r="H5242" s="8">
        <f>IF(G5242="","",G5242-I5242)</f>
        <v/>
      </c>
      <c r="I5242" s="8">
        <f>IF(D5242="","",VLOOKUP(D5242, RECETTES!B:G, 6, FALSE)*E5242)</f>
        <v/>
      </c>
      <c r="J5242" s="8">
        <f>IF(G5242="","",G5242*0.20)</f>
        <v/>
      </c>
      <c r="K5242" s="8">
        <f>IF(G5242="","",G5242+J5242)</f>
        <v/>
      </c>
    </row>
    <row r="5243">
      <c r="F5243" s="8" t="n"/>
      <c r="G5243" s="8">
        <f>IF(E5243="","",E5243*F5243)</f>
        <v/>
      </c>
      <c r="H5243" s="8">
        <f>IF(G5243="","",G5243-I5243)</f>
        <v/>
      </c>
      <c r="I5243" s="8">
        <f>IF(D5243="","",VLOOKUP(D5243, RECETTES!B:G, 6, FALSE)*E5243)</f>
        <v/>
      </c>
      <c r="J5243" s="8">
        <f>IF(G5243="","",G5243*0.20)</f>
        <v/>
      </c>
      <c r="K5243" s="8">
        <f>IF(G5243="","",G5243+J5243)</f>
        <v/>
      </c>
    </row>
    <row r="5244">
      <c r="F5244" s="8" t="n"/>
      <c r="G5244" s="8">
        <f>IF(E5244="","",E5244*F5244)</f>
        <v/>
      </c>
      <c r="H5244" s="8">
        <f>IF(G5244="","",G5244-I5244)</f>
        <v/>
      </c>
      <c r="I5244" s="8">
        <f>IF(D5244="","",VLOOKUP(D5244, RECETTES!B:G, 6, FALSE)*E5244)</f>
        <v/>
      </c>
      <c r="J5244" s="8">
        <f>IF(G5244="","",G5244*0.20)</f>
        <v/>
      </c>
      <c r="K5244" s="8">
        <f>IF(G5244="","",G5244+J5244)</f>
        <v/>
      </c>
    </row>
    <row r="5245">
      <c r="F5245" s="8" t="n"/>
      <c r="G5245" s="8">
        <f>IF(E5245="","",E5245*F5245)</f>
        <v/>
      </c>
      <c r="H5245" s="8">
        <f>IF(G5245="","",G5245-I5245)</f>
        <v/>
      </c>
      <c r="I5245" s="8">
        <f>IF(D5245="","",VLOOKUP(D5245, RECETTES!B:G, 6, FALSE)*E5245)</f>
        <v/>
      </c>
      <c r="J5245" s="8">
        <f>IF(G5245="","",G5245*0.20)</f>
        <v/>
      </c>
      <c r="K5245" s="8">
        <f>IF(G5245="","",G5245+J5245)</f>
        <v/>
      </c>
    </row>
    <row r="5246">
      <c r="F5246" s="8" t="n"/>
      <c r="G5246" s="8">
        <f>IF(E5246="","",E5246*F5246)</f>
        <v/>
      </c>
      <c r="H5246" s="8">
        <f>IF(G5246="","",G5246-I5246)</f>
        <v/>
      </c>
      <c r="I5246" s="8">
        <f>IF(D5246="","",VLOOKUP(D5246, RECETTES!B:G, 6, FALSE)*E5246)</f>
        <v/>
      </c>
      <c r="J5246" s="8">
        <f>IF(G5246="","",G5246*0.20)</f>
        <v/>
      </c>
      <c r="K5246" s="8">
        <f>IF(G5246="","",G5246+J5246)</f>
        <v/>
      </c>
    </row>
    <row r="5247">
      <c r="F5247" s="8" t="n"/>
      <c r="G5247" s="8">
        <f>IF(E5247="","",E5247*F5247)</f>
        <v/>
      </c>
      <c r="H5247" s="8">
        <f>IF(G5247="","",G5247-I5247)</f>
        <v/>
      </c>
      <c r="I5247" s="8">
        <f>IF(D5247="","",VLOOKUP(D5247, RECETTES!B:G, 6, FALSE)*E5247)</f>
        <v/>
      </c>
      <c r="J5247" s="8">
        <f>IF(G5247="","",G5247*0.20)</f>
        <v/>
      </c>
      <c r="K5247" s="8">
        <f>IF(G5247="","",G5247+J5247)</f>
        <v/>
      </c>
    </row>
    <row r="5248">
      <c r="F5248" s="8" t="n"/>
      <c r="G5248" s="8">
        <f>IF(E5248="","",E5248*F5248)</f>
        <v/>
      </c>
      <c r="H5248" s="8">
        <f>IF(G5248="","",G5248-I5248)</f>
        <v/>
      </c>
      <c r="I5248" s="8">
        <f>IF(D5248="","",VLOOKUP(D5248, RECETTES!B:G, 6, FALSE)*E5248)</f>
        <v/>
      </c>
      <c r="J5248" s="8">
        <f>IF(G5248="","",G5248*0.20)</f>
        <v/>
      </c>
      <c r="K5248" s="8">
        <f>IF(G5248="","",G5248+J5248)</f>
        <v/>
      </c>
    </row>
    <row r="5249">
      <c r="F5249" s="8" t="n"/>
      <c r="G5249" s="8">
        <f>IF(E5249="","",E5249*F5249)</f>
        <v/>
      </c>
      <c r="H5249" s="8">
        <f>IF(G5249="","",G5249-I5249)</f>
        <v/>
      </c>
      <c r="I5249" s="8">
        <f>IF(D5249="","",VLOOKUP(D5249, RECETTES!B:G, 6, FALSE)*E5249)</f>
        <v/>
      </c>
      <c r="J5249" s="8">
        <f>IF(G5249="","",G5249*0.20)</f>
        <v/>
      </c>
      <c r="K5249" s="8">
        <f>IF(G5249="","",G5249+J5249)</f>
        <v/>
      </c>
    </row>
    <row r="5250">
      <c r="F5250" s="8" t="n"/>
      <c r="G5250" s="8">
        <f>IF(E5250="","",E5250*F5250)</f>
        <v/>
      </c>
      <c r="H5250" s="8">
        <f>IF(G5250="","",G5250-I5250)</f>
        <v/>
      </c>
      <c r="I5250" s="8">
        <f>IF(D5250="","",VLOOKUP(D5250, RECETTES!B:G, 6, FALSE)*E5250)</f>
        <v/>
      </c>
      <c r="J5250" s="8">
        <f>IF(G5250="","",G5250*0.20)</f>
        <v/>
      </c>
      <c r="K5250" s="8">
        <f>IF(G5250="","",G5250+J5250)</f>
        <v/>
      </c>
    </row>
    <row r="5251">
      <c r="F5251" s="8" t="n"/>
      <c r="G5251" s="8">
        <f>IF(E5251="","",E5251*F5251)</f>
        <v/>
      </c>
      <c r="H5251" s="8">
        <f>IF(G5251="","",G5251-I5251)</f>
        <v/>
      </c>
      <c r="I5251" s="8">
        <f>IF(D5251="","",VLOOKUP(D5251, RECETTES!B:G, 6, FALSE)*E5251)</f>
        <v/>
      </c>
      <c r="J5251" s="8">
        <f>IF(G5251="","",G5251*0.20)</f>
        <v/>
      </c>
      <c r="K5251" s="8">
        <f>IF(G5251="","",G5251+J5251)</f>
        <v/>
      </c>
    </row>
    <row r="5252">
      <c r="F5252" s="8" t="n"/>
      <c r="G5252" s="8">
        <f>IF(E5252="","",E5252*F5252)</f>
        <v/>
      </c>
      <c r="H5252" s="8">
        <f>IF(G5252="","",G5252-I5252)</f>
        <v/>
      </c>
      <c r="I5252" s="8">
        <f>IF(D5252="","",VLOOKUP(D5252, RECETTES!B:G, 6, FALSE)*E5252)</f>
        <v/>
      </c>
      <c r="J5252" s="8">
        <f>IF(G5252="","",G5252*0.20)</f>
        <v/>
      </c>
      <c r="K5252" s="8">
        <f>IF(G5252="","",G5252+J5252)</f>
        <v/>
      </c>
    </row>
    <row r="5253">
      <c r="F5253" s="8" t="n"/>
      <c r="G5253" s="8">
        <f>IF(E5253="","",E5253*F5253)</f>
        <v/>
      </c>
      <c r="H5253" s="8">
        <f>IF(G5253="","",G5253-I5253)</f>
        <v/>
      </c>
      <c r="I5253" s="8">
        <f>IF(D5253="","",VLOOKUP(D5253, RECETTES!B:G, 6, FALSE)*E5253)</f>
        <v/>
      </c>
      <c r="J5253" s="8">
        <f>IF(G5253="","",G5253*0.20)</f>
        <v/>
      </c>
      <c r="K5253" s="8">
        <f>IF(G5253="","",G5253+J5253)</f>
        <v/>
      </c>
    </row>
    <row r="5254">
      <c r="F5254" s="8" t="n"/>
      <c r="G5254" s="8">
        <f>IF(E5254="","",E5254*F5254)</f>
        <v/>
      </c>
      <c r="H5254" s="8">
        <f>IF(G5254="","",G5254-I5254)</f>
        <v/>
      </c>
      <c r="I5254" s="8">
        <f>IF(D5254="","",VLOOKUP(D5254, RECETTES!B:G, 6, FALSE)*E5254)</f>
        <v/>
      </c>
      <c r="J5254" s="8">
        <f>IF(G5254="","",G5254*0.20)</f>
        <v/>
      </c>
      <c r="K5254" s="8">
        <f>IF(G5254="","",G5254+J5254)</f>
        <v/>
      </c>
    </row>
    <row r="5255">
      <c r="F5255" s="8" t="n"/>
      <c r="G5255" s="8">
        <f>IF(E5255="","",E5255*F5255)</f>
        <v/>
      </c>
      <c r="H5255" s="8">
        <f>IF(G5255="","",G5255-I5255)</f>
        <v/>
      </c>
      <c r="I5255" s="8">
        <f>IF(D5255="","",VLOOKUP(D5255, RECETTES!B:G, 6, FALSE)*E5255)</f>
        <v/>
      </c>
      <c r="J5255" s="8">
        <f>IF(G5255="","",G5255*0.20)</f>
        <v/>
      </c>
      <c r="K5255" s="8">
        <f>IF(G5255="","",G5255+J5255)</f>
        <v/>
      </c>
    </row>
    <row r="5256">
      <c r="F5256" s="8" t="n"/>
      <c r="G5256" s="8">
        <f>IF(E5256="","",E5256*F5256)</f>
        <v/>
      </c>
      <c r="H5256" s="8">
        <f>IF(G5256="","",G5256-I5256)</f>
        <v/>
      </c>
      <c r="I5256" s="8">
        <f>IF(D5256="","",VLOOKUP(D5256, RECETTES!B:G, 6, FALSE)*E5256)</f>
        <v/>
      </c>
      <c r="J5256" s="8">
        <f>IF(G5256="","",G5256*0.20)</f>
        <v/>
      </c>
      <c r="K5256" s="8">
        <f>IF(G5256="","",G5256+J5256)</f>
        <v/>
      </c>
    </row>
    <row r="5257">
      <c r="F5257" s="8" t="n"/>
      <c r="G5257" s="8">
        <f>IF(E5257="","",E5257*F5257)</f>
        <v/>
      </c>
      <c r="H5257" s="8">
        <f>IF(G5257="","",G5257-I5257)</f>
        <v/>
      </c>
      <c r="I5257" s="8">
        <f>IF(D5257="","",VLOOKUP(D5257, RECETTES!B:G, 6, FALSE)*E5257)</f>
        <v/>
      </c>
      <c r="J5257" s="8">
        <f>IF(G5257="","",G5257*0.20)</f>
        <v/>
      </c>
      <c r="K5257" s="8">
        <f>IF(G5257="","",G5257+J5257)</f>
        <v/>
      </c>
    </row>
    <row r="5258">
      <c r="F5258" s="8" t="n"/>
      <c r="G5258" s="8">
        <f>IF(E5258="","",E5258*F5258)</f>
        <v/>
      </c>
      <c r="H5258" s="8">
        <f>IF(G5258="","",G5258-I5258)</f>
        <v/>
      </c>
      <c r="I5258" s="8">
        <f>IF(D5258="","",VLOOKUP(D5258, RECETTES!B:G, 6, FALSE)*E5258)</f>
        <v/>
      </c>
      <c r="J5258" s="8">
        <f>IF(G5258="","",G5258*0.20)</f>
        <v/>
      </c>
      <c r="K5258" s="8">
        <f>IF(G5258="","",G5258+J5258)</f>
        <v/>
      </c>
    </row>
    <row r="5259">
      <c r="F5259" s="8" t="n"/>
      <c r="G5259" s="8">
        <f>IF(E5259="","",E5259*F5259)</f>
        <v/>
      </c>
      <c r="H5259" s="8">
        <f>IF(G5259="","",G5259-I5259)</f>
        <v/>
      </c>
      <c r="I5259" s="8">
        <f>IF(D5259="","",VLOOKUP(D5259, RECETTES!B:G, 6, FALSE)*E5259)</f>
        <v/>
      </c>
      <c r="J5259" s="8">
        <f>IF(G5259="","",G5259*0.20)</f>
        <v/>
      </c>
      <c r="K5259" s="8">
        <f>IF(G5259="","",G5259+J5259)</f>
        <v/>
      </c>
    </row>
    <row r="5260">
      <c r="F5260" s="8" t="n"/>
      <c r="G5260" s="8">
        <f>IF(E5260="","",E5260*F5260)</f>
        <v/>
      </c>
      <c r="H5260" s="8">
        <f>IF(G5260="","",G5260-I5260)</f>
        <v/>
      </c>
      <c r="I5260" s="8">
        <f>IF(D5260="","",VLOOKUP(D5260, RECETTES!B:G, 6, FALSE)*E5260)</f>
        <v/>
      </c>
      <c r="J5260" s="8">
        <f>IF(G5260="","",G5260*0.20)</f>
        <v/>
      </c>
      <c r="K5260" s="8">
        <f>IF(G5260="","",G5260+J5260)</f>
        <v/>
      </c>
    </row>
    <row r="5261">
      <c r="F5261" s="8" t="n"/>
      <c r="G5261" s="8">
        <f>IF(E5261="","",E5261*F5261)</f>
        <v/>
      </c>
      <c r="H5261" s="8">
        <f>IF(G5261="","",G5261-I5261)</f>
        <v/>
      </c>
      <c r="I5261" s="8">
        <f>IF(D5261="","",VLOOKUP(D5261, RECETTES!B:G, 6, FALSE)*E5261)</f>
        <v/>
      </c>
      <c r="J5261" s="8">
        <f>IF(G5261="","",G5261*0.20)</f>
        <v/>
      </c>
      <c r="K5261" s="8">
        <f>IF(G5261="","",G5261+J5261)</f>
        <v/>
      </c>
    </row>
    <row r="5262">
      <c r="F5262" s="8" t="n"/>
      <c r="G5262" s="8">
        <f>IF(E5262="","",E5262*F5262)</f>
        <v/>
      </c>
      <c r="H5262" s="8">
        <f>IF(G5262="","",G5262-I5262)</f>
        <v/>
      </c>
      <c r="I5262" s="8">
        <f>IF(D5262="","",VLOOKUP(D5262, RECETTES!B:G, 6, FALSE)*E5262)</f>
        <v/>
      </c>
      <c r="J5262" s="8">
        <f>IF(G5262="","",G5262*0.20)</f>
        <v/>
      </c>
      <c r="K5262" s="8">
        <f>IF(G5262="","",G5262+J5262)</f>
        <v/>
      </c>
    </row>
    <row r="5263">
      <c r="F5263" s="8" t="n"/>
      <c r="G5263" s="8">
        <f>IF(E5263="","",E5263*F5263)</f>
        <v/>
      </c>
      <c r="H5263" s="8">
        <f>IF(G5263="","",G5263-I5263)</f>
        <v/>
      </c>
      <c r="I5263" s="8">
        <f>IF(D5263="","",VLOOKUP(D5263, RECETTES!B:G, 6, FALSE)*E5263)</f>
        <v/>
      </c>
      <c r="J5263" s="8">
        <f>IF(G5263="","",G5263*0.20)</f>
        <v/>
      </c>
      <c r="K5263" s="8">
        <f>IF(G5263="","",G5263+J5263)</f>
        <v/>
      </c>
    </row>
    <row r="5264">
      <c r="F5264" s="8" t="n"/>
      <c r="G5264" s="8">
        <f>IF(E5264="","",E5264*F5264)</f>
        <v/>
      </c>
      <c r="H5264" s="8">
        <f>IF(G5264="","",G5264-I5264)</f>
        <v/>
      </c>
      <c r="I5264" s="8">
        <f>IF(D5264="","",VLOOKUP(D5264, RECETTES!B:G, 6, FALSE)*E5264)</f>
        <v/>
      </c>
      <c r="J5264" s="8">
        <f>IF(G5264="","",G5264*0.20)</f>
        <v/>
      </c>
      <c r="K5264" s="8">
        <f>IF(G5264="","",G5264+J5264)</f>
        <v/>
      </c>
    </row>
    <row r="5265">
      <c r="F5265" s="8" t="n"/>
      <c r="G5265" s="8">
        <f>IF(E5265="","",E5265*F5265)</f>
        <v/>
      </c>
      <c r="H5265" s="8">
        <f>IF(G5265="","",G5265-I5265)</f>
        <v/>
      </c>
      <c r="I5265" s="8">
        <f>IF(D5265="","",VLOOKUP(D5265, RECETTES!B:G, 6, FALSE)*E5265)</f>
        <v/>
      </c>
      <c r="J5265" s="8">
        <f>IF(G5265="","",G5265*0.20)</f>
        <v/>
      </c>
      <c r="K5265" s="8">
        <f>IF(G5265="","",G5265+J5265)</f>
        <v/>
      </c>
    </row>
    <row r="5266">
      <c r="F5266" s="8" t="n"/>
      <c r="G5266" s="8">
        <f>IF(E5266="","",E5266*F5266)</f>
        <v/>
      </c>
      <c r="H5266" s="8">
        <f>IF(G5266="","",G5266-I5266)</f>
        <v/>
      </c>
      <c r="I5266" s="8">
        <f>IF(D5266="","",VLOOKUP(D5266, RECETTES!B:G, 6, FALSE)*E5266)</f>
        <v/>
      </c>
      <c r="J5266" s="8">
        <f>IF(G5266="","",G5266*0.20)</f>
        <v/>
      </c>
      <c r="K5266" s="8">
        <f>IF(G5266="","",G5266+J5266)</f>
        <v/>
      </c>
    </row>
    <row r="5267">
      <c r="F5267" s="8" t="n"/>
      <c r="G5267" s="8">
        <f>IF(E5267="","",E5267*F5267)</f>
        <v/>
      </c>
      <c r="H5267" s="8">
        <f>IF(G5267="","",G5267-I5267)</f>
        <v/>
      </c>
      <c r="I5267" s="8">
        <f>IF(D5267="","",VLOOKUP(D5267, RECETTES!B:G, 6, FALSE)*E5267)</f>
        <v/>
      </c>
      <c r="J5267" s="8">
        <f>IF(G5267="","",G5267*0.20)</f>
        <v/>
      </c>
      <c r="K5267" s="8">
        <f>IF(G5267="","",G5267+J5267)</f>
        <v/>
      </c>
    </row>
    <row r="5268">
      <c r="F5268" s="8" t="n"/>
      <c r="G5268" s="8">
        <f>IF(E5268="","",E5268*F5268)</f>
        <v/>
      </c>
      <c r="H5268" s="8">
        <f>IF(G5268="","",G5268-I5268)</f>
        <v/>
      </c>
      <c r="I5268" s="8">
        <f>IF(D5268="","",VLOOKUP(D5268, RECETTES!B:G, 6, FALSE)*E5268)</f>
        <v/>
      </c>
      <c r="J5268" s="8">
        <f>IF(G5268="","",G5268*0.20)</f>
        <v/>
      </c>
      <c r="K5268" s="8">
        <f>IF(G5268="","",G5268+J5268)</f>
        <v/>
      </c>
    </row>
    <row r="5269">
      <c r="F5269" s="8" t="n"/>
      <c r="G5269" s="8">
        <f>IF(E5269="","",E5269*F5269)</f>
        <v/>
      </c>
      <c r="H5269" s="8">
        <f>IF(G5269="","",G5269-I5269)</f>
        <v/>
      </c>
      <c r="I5269" s="8">
        <f>IF(D5269="","",VLOOKUP(D5269, RECETTES!B:G, 6, FALSE)*E5269)</f>
        <v/>
      </c>
      <c r="J5269" s="8">
        <f>IF(G5269="","",G5269*0.20)</f>
        <v/>
      </c>
      <c r="K5269" s="8">
        <f>IF(G5269="","",G5269+J5269)</f>
        <v/>
      </c>
    </row>
    <row r="5270">
      <c r="F5270" s="8" t="n"/>
      <c r="G5270" s="8">
        <f>IF(E5270="","",E5270*F5270)</f>
        <v/>
      </c>
      <c r="H5270" s="8">
        <f>IF(G5270="","",G5270-I5270)</f>
        <v/>
      </c>
      <c r="I5270" s="8">
        <f>IF(D5270="","",VLOOKUP(D5270, RECETTES!B:G, 6, FALSE)*E5270)</f>
        <v/>
      </c>
      <c r="J5270" s="8">
        <f>IF(G5270="","",G5270*0.20)</f>
        <v/>
      </c>
      <c r="K5270" s="8">
        <f>IF(G5270="","",G5270+J5270)</f>
        <v/>
      </c>
    </row>
    <row r="5271">
      <c r="F5271" s="8" t="n"/>
      <c r="G5271" s="8">
        <f>IF(E5271="","",E5271*F5271)</f>
        <v/>
      </c>
      <c r="H5271" s="8">
        <f>IF(G5271="","",G5271-I5271)</f>
        <v/>
      </c>
      <c r="I5271" s="8">
        <f>IF(D5271="","",VLOOKUP(D5271, RECETTES!B:G, 6, FALSE)*E5271)</f>
        <v/>
      </c>
      <c r="J5271" s="8">
        <f>IF(G5271="","",G5271*0.20)</f>
        <v/>
      </c>
      <c r="K5271" s="8">
        <f>IF(G5271="","",G5271+J5271)</f>
        <v/>
      </c>
    </row>
    <row r="5272">
      <c r="F5272" s="8" t="n"/>
      <c r="G5272" s="8">
        <f>IF(E5272="","",E5272*F5272)</f>
        <v/>
      </c>
      <c r="H5272" s="8">
        <f>IF(G5272="","",G5272-I5272)</f>
        <v/>
      </c>
      <c r="I5272" s="8">
        <f>IF(D5272="","",VLOOKUP(D5272, RECETTES!B:G, 6, FALSE)*E5272)</f>
        <v/>
      </c>
      <c r="J5272" s="8">
        <f>IF(G5272="","",G5272*0.20)</f>
        <v/>
      </c>
      <c r="K5272" s="8">
        <f>IF(G5272="","",G5272+J5272)</f>
        <v/>
      </c>
    </row>
    <row r="5273">
      <c r="F5273" s="8" t="n"/>
      <c r="G5273" s="8">
        <f>IF(E5273="","",E5273*F5273)</f>
        <v/>
      </c>
      <c r="H5273" s="8">
        <f>IF(G5273="","",G5273-I5273)</f>
        <v/>
      </c>
      <c r="I5273" s="8">
        <f>IF(D5273="","",VLOOKUP(D5273, RECETTES!B:G, 6, FALSE)*E5273)</f>
        <v/>
      </c>
      <c r="J5273" s="8">
        <f>IF(G5273="","",G5273*0.20)</f>
        <v/>
      </c>
      <c r="K5273" s="8">
        <f>IF(G5273="","",G5273+J5273)</f>
        <v/>
      </c>
    </row>
    <row r="5274">
      <c r="F5274" s="8" t="n"/>
      <c r="G5274" s="8">
        <f>IF(E5274="","",E5274*F5274)</f>
        <v/>
      </c>
      <c r="H5274" s="8">
        <f>IF(G5274="","",G5274-I5274)</f>
        <v/>
      </c>
      <c r="I5274" s="8">
        <f>IF(D5274="","",VLOOKUP(D5274, RECETTES!B:G, 6, FALSE)*E5274)</f>
        <v/>
      </c>
      <c r="J5274" s="8">
        <f>IF(G5274="","",G5274*0.20)</f>
        <v/>
      </c>
      <c r="K5274" s="8">
        <f>IF(G5274="","",G5274+J5274)</f>
        <v/>
      </c>
    </row>
    <row r="5275">
      <c r="F5275" s="8" t="n"/>
      <c r="G5275" s="8">
        <f>IF(E5275="","",E5275*F5275)</f>
        <v/>
      </c>
      <c r="H5275" s="8">
        <f>IF(G5275="","",G5275-I5275)</f>
        <v/>
      </c>
      <c r="I5275" s="8">
        <f>IF(D5275="","",VLOOKUP(D5275, RECETTES!B:G, 6, FALSE)*E5275)</f>
        <v/>
      </c>
      <c r="J5275" s="8">
        <f>IF(G5275="","",G5275*0.20)</f>
        <v/>
      </c>
      <c r="K5275" s="8">
        <f>IF(G5275="","",G5275+J5275)</f>
        <v/>
      </c>
    </row>
    <row r="5276">
      <c r="F5276" s="8" t="n"/>
      <c r="G5276" s="8">
        <f>IF(E5276="","",E5276*F5276)</f>
        <v/>
      </c>
      <c r="H5276" s="8">
        <f>IF(G5276="","",G5276-I5276)</f>
        <v/>
      </c>
      <c r="I5276" s="8">
        <f>IF(D5276="","",VLOOKUP(D5276, RECETTES!B:G, 6, FALSE)*E5276)</f>
        <v/>
      </c>
      <c r="J5276" s="8">
        <f>IF(G5276="","",G5276*0.20)</f>
        <v/>
      </c>
      <c r="K5276" s="8">
        <f>IF(G5276="","",G5276+J5276)</f>
        <v/>
      </c>
    </row>
    <row r="5277">
      <c r="F5277" s="8" t="n"/>
      <c r="G5277" s="8">
        <f>IF(E5277="","",E5277*F5277)</f>
        <v/>
      </c>
      <c r="H5277" s="8">
        <f>IF(G5277="","",G5277-I5277)</f>
        <v/>
      </c>
      <c r="I5277" s="8">
        <f>IF(D5277="","",VLOOKUP(D5277, RECETTES!B:G, 6, FALSE)*E5277)</f>
        <v/>
      </c>
      <c r="J5277" s="8">
        <f>IF(G5277="","",G5277*0.20)</f>
        <v/>
      </c>
      <c r="K5277" s="8">
        <f>IF(G5277="","",G5277+J5277)</f>
        <v/>
      </c>
    </row>
    <row r="5278">
      <c r="F5278" s="8" t="n"/>
      <c r="G5278" s="8">
        <f>IF(E5278="","",E5278*F5278)</f>
        <v/>
      </c>
      <c r="H5278" s="8">
        <f>IF(G5278="","",G5278-I5278)</f>
        <v/>
      </c>
      <c r="I5278" s="8">
        <f>IF(D5278="","",VLOOKUP(D5278, RECETTES!B:G, 6, FALSE)*E5278)</f>
        <v/>
      </c>
      <c r="J5278" s="8">
        <f>IF(G5278="","",G5278*0.20)</f>
        <v/>
      </c>
      <c r="K5278" s="8">
        <f>IF(G5278="","",G5278+J5278)</f>
        <v/>
      </c>
    </row>
    <row r="5279">
      <c r="F5279" s="8" t="n"/>
      <c r="G5279" s="8">
        <f>IF(E5279="","",E5279*F5279)</f>
        <v/>
      </c>
      <c r="H5279" s="8">
        <f>IF(G5279="","",G5279-I5279)</f>
        <v/>
      </c>
      <c r="I5279" s="8">
        <f>IF(D5279="","",VLOOKUP(D5279, RECETTES!B:G, 6, FALSE)*E5279)</f>
        <v/>
      </c>
      <c r="J5279" s="8">
        <f>IF(G5279="","",G5279*0.20)</f>
        <v/>
      </c>
      <c r="K5279" s="8">
        <f>IF(G5279="","",G5279+J5279)</f>
        <v/>
      </c>
    </row>
    <row r="5280">
      <c r="F5280" s="8" t="n"/>
      <c r="G5280" s="8">
        <f>IF(E5280="","",E5280*F5280)</f>
        <v/>
      </c>
      <c r="H5280" s="8">
        <f>IF(G5280="","",G5280-I5280)</f>
        <v/>
      </c>
      <c r="I5280" s="8">
        <f>IF(D5280="","",VLOOKUP(D5280, RECETTES!B:G, 6, FALSE)*E5280)</f>
        <v/>
      </c>
      <c r="J5280" s="8">
        <f>IF(G5280="","",G5280*0.20)</f>
        <v/>
      </c>
      <c r="K5280" s="8">
        <f>IF(G5280="","",G5280+J5280)</f>
        <v/>
      </c>
    </row>
    <row r="5281">
      <c r="F5281" s="8" t="n"/>
      <c r="G5281" s="8">
        <f>IF(E5281="","",E5281*F5281)</f>
        <v/>
      </c>
      <c r="H5281" s="8">
        <f>IF(G5281="","",G5281-I5281)</f>
        <v/>
      </c>
      <c r="I5281" s="8">
        <f>IF(D5281="","",VLOOKUP(D5281, RECETTES!B:G, 6, FALSE)*E5281)</f>
        <v/>
      </c>
      <c r="J5281" s="8">
        <f>IF(G5281="","",G5281*0.20)</f>
        <v/>
      </c>
      <c r="K5281" s="8">
        <f>IF(G5281="","",G5281+J5281)</f>
        <v/>
      </c>
    </row>
    <row r="5282">
      <c r="F5282" s="8" t="n"/>
      <c r="G5282" s="8">
        <f>IF(E5282="","",E5282*F5282)</f>
        <v/>
      </c>
      <c r="H5282" s="8">
        <f>IF(G5282="","",G5282-I5282)</f>
        <v/>
      </c>
      <c r="I5282" s="8">
        <f>IF(D5282="","",VLOOKUP(D5282, RECETTES!B:G, 6, FALSE)*E5282)</f>
        <v/>
      </c>
      <c r="J5282" s="8">
        <f>IF(G5282="","",G5282*0.20)</f>
        <v/>
      </c>
      <c r="K5282" s="8">
        <f>IF(G5282="","",G5282+J5282)</f>
        <v/>
      </c>
    </row>
    <row r="5283">
      <c r="F5283" s="8" t="n"/>
      <c r="G5283" s="8">
        <f>IF(E5283="","",E5283*F5283)</f>
        <v/>
      </c>
      <c r="H5283" s="8">
        <f>IF(G5283="","",G5283-I5283)</f>
        <v/>
      </c>
      <c r="I5283" s="8">
        <f>IF(D5283="","",VLOOKUP(D5283, RECETTES!B:G, 6, FALSE)*E5283)</f>
        <v/>
      </c>
      <c r="J5283" s="8">
        <f>IF(G5283="","",G5283*0.20)</f>
        <v/>
      </c>
      <c r="K5283" s="8">
        <f>IF(G5283="","",G5283+J5283)</f>
        <v/>
      </c>
    </row>
    <row r="5284">
      <c r="F5284" s="8" t="n"/>
      <c r="G5284" s="8">
        <f>IF(E5284="","",E5284*F5284)</f>
        <v/>
      </c>
      <c r="H5284" s="8">
        <f>IF(G5284="","",G5284-I5284)</f>
        <v/>
      </c>
      <c r="I5284" s="8">
        <f>IF(D5284="","",VLOOKUP(D5284, RECETTES!B:G, 6, FALSE)*E5284)</f>
        <v/>
      </c>
      <c r="J5284" s="8">
        <f>IF(G5284="","",G5284*0.20)</f>
        <v/>
      </c>
      <c r="K5284" s="8">
        <f>IF(G5284="","",G5284+J5284)</f>
        <v/>
      </c>
    </row>
    <row r="5285">
      <c r="F5285" s="8" t="n"/>
      <c r="G5285" s="8">
        <f>IF(E5285="","",E5285*F5285)</f>
        <v/>
      </c>
      <c r="H5285" s="8">
        <f>IF(G5285="","",G5285-I5285)</f>
        <v/>
      </c>
      <c r="I5285" s="8">
        <f>IF(D5285="","",VLOOKUP(D5285, RECETTES!B:G, 6, FALSE)*E5285)</f>
        <v/>
      </c>
      <c r="J5285" s="8">
        <f>IF(G5285="","",G5285*0.20)</f>
        <v/>
      </c>
      <c r="K5285" s="8">
        <f>IF(G5285="","",G5285+J5285)</f>
        <v/>
      </c>
    </row>
    <row r="5286">
      <c r="F5286" s="8" t="n"/>
      <c r="G5286" s="8">
        <f>IF(E5286="","",E5286*F5286)</f>
        <v/>
      </c>
      <c r="H5286" s="8">
        <f>IF(G5286="","",G5286-I5286)</f>
        <v/>
      </c>
      <c r="I5286" s="8">
        <f>IF(D5286="","",VLOOKUP(D5286, RECETTES!B:G, 6, FALSE)*E5286)</f>
        <v/>
      </c>
      <c r="J5286" s="8">
        <f>IF(G5286="","",G5286*0.20)</f>
        <v/>
      </c>
      <c r="K5286" s="8">
        <f>IF(G5286="","",G5286+J5286)</f>
        <v/>
      </c>
    </row>
    <row r="5287">
      <c r="F5287" s="8" t="n"/>
      <c r="G5287" s="8">
        <f>IF(E5287="","",E5287*F5287)</f>
        <v/>
      </c>
      <c r="H5287" s="8">
        <f>IF(G5287="","",G5287-I5287)</f>
        <v/>
      </c>
      <c r="I5287" s="8">
        <f>IF(D5287="","",VLOOKUP(D5287, RECETTES!B:G, 6, FALSE)*E5287)</f>
        <v/>
      </c>
      <c r="J5287" s="8">
        <f>IF(G5287="","",G5287*0.20)</f>
        <v/>
      </c>
      <c r="K5287" s="8">
        <f>IF(G5287="","",G5287+J5287)</f>
        <v/>
      </c>
    </row>
    <row r="5288">
      <c r="F5288" s="8" t="n"/>
      <c r="G5288" s="8">
        <f>IF(E5288="","",E5288*F5288)</f>
        <v/>
      </c>
      <c r="H5288" s="8">
        <f>IF(G5288="","",G5288-I5288)</f>
        <v/>
      </c>
      <c r="I5288" s="8">
        <f>IF(D5288="","",VLOOKUP(D5288, RECETTES!B:G, 6, FALSE)*E5288)</f>
        <v/>
      </c>
      <c r="J5288" s="8">
        <f>IF(G5288="","",G5288*0.20)</f>
        <v/>
      </c>
      <c r="K5288" s="8">
        <f>IF(G5288="","",G5288+J5288)</f>
        <v/>
      </c>
    </row>
    <row r="5289">
      <c r="F5289" s="8" t="n"/>
      <c r="G5289" s="8">
        <f>IF(E5289="","",E5289*F5289)</f>
        <v/>
      </c>
      <c r="H5289" s="8">
        <f>IF(G5289="","",G5289-I5289)</f>
        <v/>
      </c>
      <c r="I5289" s="8">
        <f>IF(D5289="","",VLOOKUP(D5289, RECETTES!B:G, 6, FALSE)*E5289)</f>
        <v/>
      </c>
      <c r="J5289" s="8">
        <f>IF(G5289="","",G5289*0.20)</f>
        <v/>
      </c>
      <c r="K5289" s="8">
        <f>IF(G5289="","",G5289+J5289)</f>
        <v/>
      </c>
    </row>
    <row r="5290">
      <c r="F5290" s="8" t="n"/>
      <c r="G5290" s="8">
        <f>IF(E5290="","",E5290*F5290)</f>
        <v/>
      </c>
      <c r="H5290" s="8">
        <f>IF(G5290="","",G5290-I5290)</f>
        <v/>
      </c>
      <c r="I5290" s="8">
        <f>IF(D5290="","",VLOOKUP(D5290, RECETTES!B:G, 6, FALSE)*E5290)</f>
        <v/>
      </c>
      <c r="J5290" s="8">
        <f>IF(G5290="","",G5290*0.20)</f>
        <v/>
      </c>
      <c r="K5290" s="8">
        <f>IF(G5290="","",G5290+J5290)</f>
        <v/>
      </c>
    </row>
    <row r="5291">
      <c r="F5291" s="8" t="n"/>
      <c r="G5291" s="8">
        <f>IF(E5291="","",E5291*F5291)</f>
        <v/>
      </c>
      <c r="H5291" s="8">
        <f>IF(G5291="","",G5291-I5291)</f>
        <v/>
      </c>
      <c r="I5291" s="8">
        <f>IF(D5291="","",VLOOKUP(D5291, RECETTES!B:G, 6, FALSE)*E5291)</f>
        <v/>
      </c>
      <c r="J5291" s="8">
        <f>IF(G5291="","",G5291*0.20)</f>
        <v/>
      </c>
      <c r="K5291" s="8">
        <f>IF(G5291="","",G5291+J5291)</f>
        <v/>
      </c>
    </row>
    <row r="5292">
      <c r="F5292" s="8" t="n"/>
      <c r="G5292" s="8">
        <f>IF(E5292="","",E5292*F5292)</f>
        <v/>
      </c>
      <c r="H5292" s="8">
        <f>IF(G5292="","",G5292-I5292)</f>
        <v/>
      </c>
      <c r="I5292" s="8">
        <f>IF(D5292="","",VLOOKUP(D5292, RECETTES!B:G, 6, FALSE)*E5292)</f>
        <v/>
      </c>
      <c r="J5292" s="8">
        <f>IF(G5292="","",G5292*0.20)</f>
        <v/>
      </c>
      <c r="K5292" s="8">
        <f>IF(G5292="","",G5292+J5292)</f>
        <v/>
      </c>
    </row>
    <row r="5293">
      <c r="F5293" s="8" t="n"/>
      <c r="G5293" s="8">
        <f>IF(E5293="","",E5293*F5293)</f>
        <v/>
      </c>
      <c r="H5293" s="8">
        <f>IF(G5293="","",G5293-I5293)</f>
        <v/>
      </c>
      <c r="I5293" s="8">
        <f>IF(D5293="","",VLOOKUP(D5293, RECETTES!B:G, 6, FALSE)*E5293)</f>
        <v/>
      </c>
      <c r="J5293" s="8">
        <f>IF(G5293="","",G5293*0.20)</f>
        <v/>
      </c>
      <c r="K5293" s="8">
        <f>IF(G5293="","",G5293+J5293)</f>
        <v/>
      </c>
    </row>
    <row r="5294">
      <c r="F5294" s="8" t="n"/>
      <c r="G5294" s="8">
        <f>IF(E5294="","",E5294*F5294)</f>
        <v/>
      </c>
      <c r="H5294" s="8">
        <f>IF(G5294="","",G5294-I5294)</f>
        <v/>
      </c>
      <c r="I5294" s="8">
        <f>IF(D5294="","",VLOOKUP(D5294, RECETTES!B:G, 6, FALSE)*E5294)</f>
        <v/>
      </c>
      <c r="J5294" s="8">
        <f>IF(G5294="","",G5294*0.20)</f>
        <v/>
      </c>
      <c r="K5294" s="8">
        <f>IF(G5294="","",G5294+J5294)</f>
        <v/>
      </c>
    </row>
    <row r="5295">
      <c r="F5295" s="8" t="n"/>
      <c r="G5295" s="8">
        <f>IF(E5295="","",E5295*F5295)</f>
        <v/>
      </c>
      <c r="H5295" s="8">
        <f>IF(G5295="","",G5295-I5295)</f>
        <v/>
      </c>
      <c r="I5295" s="8">
        <f>IF(D5295="","",VLOOKUP(D5295, RECETTES!B:G, 6, FALSE)*E5295)</f>
        <v/>
      </c>
      <c r="J5295" s="8">
        <f>IF(G5295="","",G5295*0.20)</f>
        <v/>
      </c>
      <c r="K5295" s="8">
        <f>IF(G5295="","",G5295+J5295)</f>
        <v/>
      </c>
    </row>
    <row r="5296">
      <c r="F5296" s="8" t="n"/>
      <c r="G5296" s="8">
        <f>IF(E5296="","",E5296*F5296)</f>
        <v/>
      </c>
      <c r="H5296" s="8">
        <f>IF(G5296="","",G5296-I5296)</f>
        <v/>
      </c>
      <c r="I5296" s="8">
        <f>IF(D5296="","",VLOOKUP(D5296, RECETTES!B:G, 6, FALSE)*E5296)</f>
        <v/>
      </c>
      <c r="J5296" s="8">
        <f>IF(G5296="","",G5296*0.20)</f>
        <v/>
      </c>
      <c r="K5296" s="8">
        <f>IF(G5296="","",G5296+J5296)</f>
        <v/>
      </c>
    </row>
    <row r="5297">
      <c r="F5297" s="8" t="n"/>
      <c r="G5297" s="8">
        <f>IF(E5297="","",E5297*F5297)</f>
        <v/>
      </c>
      <c r="H5297" s="8">
        <f>IF(G5297="","",G5297-I5297)</f>
        <v/>
      </c>
      <c r="I5297" s="8">
        <f>IF(D5297="","",VLOOKUP(D5297, RECETTES!B:G, 6, FALSE)*E5297)</f>
        <v/>
      </c>
      <c r="J5297" s="8">
        <f>IF(G5297="","",G5297*0.20)</f>
        <v/>
      </c>
      <c r="K5297" s="8">
        <f>IF(G5297="","",G5297+J5297)</f>
        <v/>
      </c>
    </row>
    <row r="5298">
      <c r="F5298" s="8" t="n"/>
      <c r="G5298" s="8">
        <f>IF(E5298="","",E5298*F5298)</f>
        <v/>
      </c>
      <c r="H5298" s="8">
        <f>IF(G5298="","",G5298-I5298)</f>
        <v/>
      </c>
      <c r="I5298" s="8">
        <f>IF(D5298="","",VLOOKUP(D5298, RECETTES!B:G, 6, FALSE)*E5298)</f>
        <v/>
      </c>
      <c r="J5298" s="8">
        <f>IF(G5298="","",G5298*0.20)</f>
        <v/>
      </c>
      <c r="K5298" s="8">
        <f>IF(G5298="","",G5298+J5298)</f>
        <v/>
      </c>
    </row>
    <row r="5299">
      <c r="F5299" s="8" t="n"/>
      <c r="G5299" s="8">
        <f>IF(E5299="","",E5299*F5299)</f>
        <v/>
      </c>
      <c r="H5299" s="8">
        <f>IF(G5299="","",G5299-I5299)</f>
        <v/>
      </c>
      <c r="I5299" s="8">
        <f>IF(D5299="","",VLOOKUP(D5299, RECETTES!B:G, 6, FALSE)*E5299)</f>
        <v/>
      </c>
      <c r="J5299" s="8">
        <f>IF(G5299="","",G5299*0.20)</f>
        <v/>
      </c>
      <c r="K5299" s="8">
        <f>IF(G5299="","",G5299+J5299)</f>
        <v/>
      </c>
    </row>
    <row r="5300">
      <c r="F5300" s="8" t="n"/>
      <c r="G5300" s="8">
        <f>IF(E5300="","",E5300*F5300)</f>
        <v/>
      </c>
      <c r="H5300" s="8">
        <f>IF(G5300="","",G5300-I5300)</f>
        <v/>
      </c>
      <c r="I5300" s="8">
        <f>IF(D5300="","",VLOOKUP(D5300, RECETTES!B:G, 6, FALSE)*E5300)</f>
        <v/>
      </c>
      <c r="J5300" s="8">
        <f>IF(G5300="","",G5300*0.20)</f>
        <v/>
      </c>
      <c r="K5300" s="8">
        <f>IF(G5300="","",G5300+J5300)</f>
        <v/>
      </c>
    </row>
    <row r="5301">
      <c r="F5301" s="8" t="n"/>
      <c r="G5301" s="8">
        <f>IF(E5301="","",E5301*F5301)</f>
        <v/>
      </c>
      <c r="H5301" s="8">
        <f>IF(G5301="","",G5301-I5301)</f>
        <v/>
      </c>
      <c r="I5301" s="8">
        <f>IF(D5301="","",VLOOKUP(D5301, RECETTES!B:G, 6, FALSE)*E5301)</f>
        <v/>
      </c>
      <c r="J5301" s="8">
        <f>IF(G5301="","",G5301*0.20)</f>
        <v/>
      </c>
      <c r="K5301" s="8">
        <f>IF(G5301="","",G5301+J5301)</f>
        <v/>
      </c>
    </row>
    <row r="5302">
      <c r="F5302" s="8" t="n"/>
      <c r="G5302" s="8">
        <f>IF(E5302="","",E5302*F5302)</f>
        <v/>
      </c>
      <c r="H5302" s="8">
        <f>IF(G5302="","",G5302-I5302)</f>
        <v/>
      </c>
      <c r="I5302" s="8">
        <f>IF(D5302="","",VLOOKUP(D5302, RECETTES!B:G, 6, FALSE)*E5302)</f>
        <v/>
      </c>
      <c r="J5302" s="8">
        <f>IF(G5302="","",G5302*0.20)</f>
        <v/>
      </c>
      <c r="K5302" s="8">
        <f>IF(G5302="","",G5302+J5302)</f>
        <v/>
      </c>
    </row>
    <row r="5303">
      <c r="F5303" s="8" t="n"/>
      <c r="G5303" s="8">
        <f>IF(E5303="","",E5303*F5303)</f>
        <v/>
      </c>
      <c r="H5303" s="8">
        <f>IF(G5303="","",G5303-I5303)</f>
        <v/>
      </c>
      <c r="I5303" s="8">
        <f>IF(D5303="","",VLOOKUP(D5303, RECETTES!B:G, 6, FALSE)*E5303)</f>
        <v/>
      </c>
      <c r="J5303" s="8">
        <f>IF(G5303="","",G5303*0.20)</f>
        <v/>
      </c>
      <c r="K5303" s="8">
        <f>IF(G5303="","",G5303+J5303)</f>
        <v/>
      </c>
    </row>
    <row r="5304">
      <c r="F5304" s="8" t="n"/>
      <c r="G5304" s="8">
        <f>IF(E5304="","",E5304*F5304)</f>
        <v/>
      </c>
      <c r="H5304" s="8">
        <f>IF(G5304="","",G5304-I5304)</f>
        <v/>
      </c>
      <c r="I5304" s="8">
        <f>IF(D5304="","",VLOOKUP(D5304, RECETTES!B:G, 6, FALSE)*E5304)</f>
        <v/>
      </c>
      <c r="J5304" s="8">
        <f>IF(G5304="","",G5304*0.20)</f>
        <v/>
      </c>
      <c r="K5304" s="8">
        <f>IF(G5304="","",G5304+J5304)</f>
        <v/>
      </c>
    </row>
    <row r="5305">
      <c r="F5305" s="8" t="n"/>
      <c r="G5305" s="8">
        <f>IF(E5305="","",E5305*F5305)</f>
        <v/>
      </c>
      <c r="H5305" s="8">
        <f>IF(G5305="","",G5305-I5305)</f>
        <v/>
      </c>
      <c r="I5305" s="8">
        <f>IF(D5305="","",VLOOKUP(D5305, RECETTES!B:G, 6, FALSE)*E5305)</f>
        <v/>
      </c>
      <c r="J5305" s="8">
        <f>IF(G5305="","",G5305*0.20)</f>
        <v/>
      </c>
      <c r="K5305" s="8">
        <f>IF(G5305="","",G5305+J5305)</f>
        <v/>
      </c>
    </row>
    <row r="5306">
      <c r="F5306" s="8" t="n"/>
      <c r="G5306" s="8">
        <f>IF(E5306="","",E5306*F5306)</f>
        <v/>
      </c>
      <c r="H5306" s="8">
        <f>IF(G5306="","",G5306-I5306)</f>
        <v/>
      </c>
      <c r="I5306" s="8">
        <f>IF(D5306="","",VLOOKUP(D5306, RECETTES!B:G, 6, FALSE)*E5306)</f>
        <v/>
      </c>
      <c r="J5306" s="8">
        <f>IF(G5306="","",G5306*0.20)</f>
        <v/>
      </c>
      <c r="K5306" s="8">
        <f>IF(G5306="","",G5306+J5306)</f>
        <v/>
      </c>
    </row>
    <row r="5307">
      <c r="F5307" s="8" t="n"/>
      <c r="G5307" s="8">
        <f>IF(E5307="","",E5307*F5307)</f>
        <v/>
      </c>
      <c r="H5307" s="8">
        <f>IF(G5307="","",G5307-I5307)</f>
        <v/>
      </c>
      <c r="I5307" s="8">
        <f>IF(D5307="","",VLOOKUP(D5307, RECETTES!B:G, 6, FALSE)*E5307)</f>
        <v/>
      </c>
      <c r="J5307" s="8">
        <f>IF(G5307="","",G5307*0.20)</f>
        <v/>
      </c>
      <c r="K5307" s="8">
        <f>IF(G5307="","",G5307+J5307)</f>
        <v/>
      </c>
    </row>
    <row r="5308">
      <c r="F5308" s="8" t="n"/>
      <c r="G5308" s="8">
        <f>IF(E5308="","",E5308*F5308)</f>
        <v/>
      </c>
      <c r="H5308" s="8">
        <f>IF(G5308="","",G5308-I5308)</f>
        <v/>
      </c>
      <c r="I5308" s="8">
        <f>IF(D5308="","",VLOOKUP(D5308, RECETTES!B:G, 6, FALSE)*E5308)</f>
        <v/>
      </c>
      <c r="J5308" s="8">
        <f>IF(G5308="","",G5308*0.20)</f>
        <v/>
      </c>
      <c r="K5308" s="8">
        <f>IF(G5308="","",G5308+J5308)</f>
        <v/>
      </c>
    </row>
    <row r="5309">
      <c r="F5309" s="8" t="n"/>
      <c r="G5309" s="8">
        <f>IF(E5309="","",E5309*F5309)</f>
        <v/>
      </c>
      <c r="H5309" s="8">
        <f>IF(G5309="","",G5309-I5309)</f>
        <v/>
      </c>
      <c r="I5309" s="8">
        <f>IF(D5309="","",VLOOKUP(D5309, RECETTES!B:G, 6, FALSE)*E5309)</f>
        <v/>
      </c>
      <c r="J5309" s="8">
        <f>IF(G5309="","",G5309*0.20)</f>
        <v/>
      </c>
      <c r="K5309" s="8">
        <f>IF(G5309="","",G5309+J5309)</f>
        <v/>
      </c>
    </row>
    <row r="5310">
      <c r="F5310" s="8" t="n"/>
      <c r="G5310" s="8">
        <f>IF(E5310="","",E5310*F5310)</f>
        <v/>
      </c>
      <c r="H5310" s="8">
        <f>IF(G5310="","",G5310-I5310)</f>
        <v/>
      </c>
      <c r="I5310" s="8">
        <f>IF(D5310="","",VLOOKUP(D5310, RECETTES!B:G, 6, FALSE)*E5310)</f>
        <v/>
      </c>
      <c r="J5310" s="8">
        <f>IF(G5310="","",G5310*0.20)</f>
        <v/>
      </c>
      <c r="K5310" s="8">
        <f>IF(G5310="","",G5310+J5310)</f>
        <v/>
      </c>
    </row>
    <row r="5311">
      <c r="F5311" s="8" t="n"/>
      <c r="G5311" s="8">
        <f>IF(E5311="","",E5311*F5311)</f>
        <v/>
      </c>
      <c r="H5311" s="8">
        <f>IF(G5311="","",G5311-I5311)</f>
        <v/>
      </c>
      <c r="I5311" s="8">
        <f>IF(D5311="","",VLOOKUP(D5311, RECETTES!B:G, 6, FALSE)*E5311)</f>
        <v/>
      </c>
      <c r="J5311" s="8">
        <f>IF(G5311="","",G5311*0.20)</f>
        <v/>
      </c>
      <c r="K5311" s="8">
        <f>IF(G5311="","",G5311+J5311)</f>
        <v/>
      </c>
    </row>
    <row r="5312">
      <c r="F5312" s="8" t="n"/>
      <c r="G5312" s="8">
        <f>IF(E5312="","",E5312*F5312)</f>
        <v/>
      </c>
      <c r="H5312" s="8">
        <f>IF(G5312="","",G5312-I5312)</f>
        <v/>
      </c>
      <c r="I5312" s="8">
        <f>IF(D5312="","",VLOOKUP(D5312, RECETTES!B:G, 6, FALSE)*E5312)</f>
        <v/>
      </c>
      <c r="J5312" s="8">
        <f>IF(G5312="","",G5312*0.20)</f>
        <v/>
      </c>
      <c r="K5312" s="8">
        <f>IF(G5312="","",G5312+J5312)</f>
        <v/>
      </c>
    </row>
    <row r="5313">
      <c r="F5313" s="8" t="n"/>
      <c r="G5313" s="8">
        <f>IF(E5313="","",E5313*F5313)</f>
        <v/>
      </c>
      <c r="H5313" s="8">
        <f>IF(G5313="","",G5313-I5313)</f>
        <v/>
      </c>
      <c r="I5313" s="8">
        <f>IF(D5313="","",VLOOKUP(D5313, RECETTES!B:G, 6, FALSE)*E5313)</f>
        <v/>
      </c>
      <c r="J5313" s="8">
        <f>IF(G5313="","",G5313*0.20)</f>
        <v/>
      </c>
      <c r="K5313" s="8">
        <f>IF(G5313="","",G5313+J5313)</f>
        <v/>
      </c>
    </row>
    <row r="5314">
      <c r="F5314" s="8" t="n"/>
      <c r="G5314" s="8">
        <f>IF(E5314="","",E5314*F5314)</f>
        <v/>
      </c>
      <c r="H5314" s="8">
        <f>IF(G5314="","",G5314-I5314)</f>
        <v/>
      </c>
      <c r="I5314" s="8">
        <f>IF(D5314="","",VLOOKUP(D5314, RECETTES!B:G, 6, FALSE)*E5314)</f>
        <v/>
      </c>
      <c r="J5314" s="8">
        <f>IF(G5314="","",G5314*0.20)</f>
        <v/>
      </c>
      <c r="K5314" s="8">
        <f>IF(G5314="","",G5314+J5314)</f>
        <v/>
      </c>
    </row>
    <row r="5315">
      <c r="F5315" s="8" t="n"/>
      <c r="G5315" s="8">
        <f>IF(E5315="","",E5315*F5315)</f>
        <v/>
      </c>
      <c r="H5315" s="8">
        <f>IF(G5315="","",G5315-I5315)</f>
        <v/>
      </c>
      <c r="I5315" s="8">
        <f>IF(D5315="","",VLOOKUP(D5315, RECETTES!B:G, 6, FALSE)*E5315)</f>
        <v/>
      </c>
      <c r="J5315" s="8">
        <f>IF(G5315="","",G5315*0.20)</f>
        <v/>
      </c>
      <c r="K5315" s="8">
        <f>IF(G5315="","",G5315+J5315)</f>
        <v/>
      </c>
    </row>
    <row r="5316">
      <c r="F5316" s="8" t="n"/>
      <c r="G5316" s="8">
        <f>IF(E5316="","",E5316*F5316)</f>
        <v/>
      </c>
      <c r="H5316" s="8">
        <f>IF(G5316="","",G5316-I5316)</f>
        <v/>
      </c>
      <c r="I5316" s="8">
        <f>IF(D5316="","",VLOOKUP(D5316, RECETTES!B:G, 6, FALSE)*E5316)</f>
        <v/>
      </c>
      <c r="J5316" s="8">
        <f>IF(G5316="","",G5316*0.20)</f>
        <v/>
      </c>
      <c r="K5316" s="8">
        <f>IF(G5316="","",G5316+J5316)</f>
        <v/>
      </c>
    </row>
    <row r="5317">
      <c r="F5317" s="8" t="n"/>
      <c r="G5317" s="8">
        <f>IF(E5317="","",E5317*F5317)</f>
        <v/>
      </c>
      <c r="H5317" s="8">
        <f>IF(G5317="","",G5317-I5317)</f>
        <v/>
      </c>
      <c r="I5317" s="8">
        <f>IF(D5317="","",VLOOKUP(D5317, RECETTES!B:G, 6, FALSE)*E5317)</f>
        <v/>
      </c>
      <c r="J5317" s="8">
        <f>IF(G5317="","",G5317*0.20)</f>
        <v/>
      </c>
      <c r="K5317" s="8">
        <f>IF(G5317="","",G5317+J5317)</f>
        <v/>
      </c>
    </row>
    <row r="5318">
      <c r="F5318" s="8" t="n"/>
      <c r="G5318" s="8">
        <f>IF(E5318="","",E5318*F5318)</f>
        <v/>
      </c>
      <c r="H5318" s="8">
        <f>IF(G5318="","",G5318-I5318)</f>
        <v/>
      </c>
      <c r="I5318" s="8">
        <f>IF(D5318="","",VLOOKUP(D5318, RECETTES!B:G, 6, FALSE)*E5318)</f>
        <v/>
      </c>
      <c r="J5318" s="8">
        <f>IF(G5318="","",G5318*0.20)</f>
        <v/>
      </c>
      <c r="K5318" s="8">
        <f>IF(G5318="","",G5318+J5318)</f>
        <v/>
      </c>
    </row>
    <row r="5319">
      <c r="F5319" s="8" t="n"/>
      <c r="G5319" s="8">
        <f>IF(E5319="","",E5319*F5319)</f>
        <v/>
      </c>
      <c r="H5319" s="8">
        <f>IF(G5319="","",G5319-I5319)</f>
        <v/>
      </c>
      <c r="I5319" s="8">
        <f>IF(D5319="","",VLOOKUP(D5319, RECETTES!B:G, 6, FALSE)*E5319)</f>
        <v/>
      </c>
      <c r="J5319" s="8">
        <f>IF(G5319="","",G5319*0.20)</f>
        <v/>
      </c>
      <c r="K5319" s="8">
        <f>IF(G5319="","",G5319+J5319)</f>
        <v/>
      </c>
    </row>
    <row r="5320">
      <c r="F5320" s="8" t="n"/>
      <c r="G5320" s="8">
        <f>IF(E5320="","",E5320*F5320)</f>
        <v/>
      </c>
      <c r="H5320" s="8">
        <f>IF(G5320="","",G5320-I5320)</f>
        <v/>
      </c>
      <c r="I5320" s="8">
        <f>IF(D5320="","",VLOOKUP(D5320, RECETTES!B:G, 6, FALSE)*E5320)</f>
        <v/>
      </c>
      <c r="J5320" s="8">
        <f>IF(G5320="","",G5320*0.20)</f>
        <v/>
      </c>
      <c r="K5320" s="8">
        <f>IF(G5320="","",G5320+J5320)</f>
        <v/>
      </c>
    </row>
    <row r="5321">
      <c r="F5321" s="8" t="n"/>
      <c r="G5321" s="8">
        <f>IF(E5321="","",E5321*F5321)</f>
        <v/>
      </c>
      <c r="H5321" s="8">
        <f>IF(G5321="","",G5321-I5321)</f>
        <v/>
      </c>
      <c r="I5321" s="8">
        <f>IF(D5321="","",VLOOKUP(D5321, RECETTES!B:G, 6, FALSE)*E5321)</f>
        <v/>
      </c>
      <c r="J5321" s="8">
        <f>IF(G5321="","",G5321*0.20)</f>
        <v/>
      </c>
      <c r="K5321" s="8">
        <f>IF(G5321="","",G5321+J5321)</f>
        <v/>
      </c>
    </row>
    <row r="5322">
      <c r="F5322" s="8" t="n"/>
      <c r="G5322" s="8">
        <f>IF(E5322="","",E5322*F5322)</f>
        <v/>
      </c>
      <c r="H5322" s="8">
        <f>IF(G5322="","",G5322-I5322)</f>
        <v/>
      </c>
      <c r="I5322" s="8">
        <f>IF(D5322="","",VLOOKUP(D5322, RECETTES!B:G, 6, FALSE)*E5322)</f>
        <v/>
      </c>
      <c r="J5322" s="8">
        <f>IF(G5322="","",G5322*0.20)</f>
        <v/>
      </c>
      <c r="K5322" s="8">
        <f>IF(G5322="","",G5322+J5322)</f>
        <v/>
      </c>
    </row>
    <row r="5323">
      <c r="F5323" s="8" t="n"/>
      <c r="G5323" s="8">
        <f>IF(E5323="","",E5323*F5323)</f>
        <v/>
      </c>
      <c r="H5323" s="8">
        <f>IF(G5323="","",G5323-I5323)</f>
        <v/>
      </c>
      <c r="I5323" s="8">
        <f>IF(D5323="","",VLOOKUP(D5323, RECETTES!B:G, 6, FALSE)*E5323)</f>
        <v/>
      </c>
      <c r="J5323" s="8">
        <f>IF(G5323="","",G5323*0.20)</f>
        <v/>
      </c>
      <c r="K5323" s="8">
        <f>IF(G5323="","",G5323+J5323)</f>
        <v/>
      </c>
    </row>
    <row r="5324">
      <c r="F5324" s="8" t="n"/>
      <c r="G5324" s="8">
        <f>IF(E5324="","",E5324*F5324)</f>
        <v/>
      </c>
      <c r="H5324" s="8">
        <f>IF(G5324="","",G5324-I5324)</f>
        <v/>
      </c>
      <c r="I5324" s="8">
        <f>IF(D5324="","",VLOOKUP(D5324, RECETTES!B:G, 6, FALSE)*E5324)</f>
        <v/>
      </c>
      <c r="J5324" s="8">
        <f>IF(G5324="","",G5324*0.20)</f>
        <v/>
      </c>
      <c r="K5324" s="8">
        <f>IF(G5324="","",G5324+J5324)</f>
        <v/>
      </c>
    </row>
    <row r="5325">
      <c r="F5325" s="8" t="n"/>
      <c r="G5325" s="8">
        <f>IF(E5325="","",E5325*F5325)</f>
        <v/>
      </c>
      <c r="H5325" s="8">
        <f>IF(G5325="","",G5325-I5325)</f>
        <v/>
      </c>
      <c r="I5325" s="8">
        <f>IF(D5325="","",VLOOKUP(D5325, RECETTES!B:G, 6, FALSE)*E5325)</f>
        <v/>
      </c>
      <c r="J5325" s="8">
        <f>IF(G5325="","",G5325*0.20)</f>
        <v/>
      </c>
      <c r="K5325" s="8">
        <f>IF(G5325="","",G5325+J5325)</f>
        <v/>
      </c>
    </row>
    <row r="5326">
      <c r="F5326" s="8" t="n"/>
      <c r="G5326" s="8">
        <f>IF(E5326="","",E5326*F5326)</f>
        <v/>
      </c>
      <c r="H5326" s="8">
        <f>IF(G5326="","",G5326-I5326)</f>
        <v/>
      </c>
      <c r="I5326" s="8">
        <f>IF(D5326="","",VLOOKUP(D5326, RECETTES!B:G, 6, FALSE)*E5326)</f>
        <v/>
      </c>
      <c r="J5326" s="8">
        <f>IF(G5326="","",G5326*0.20)</f>
        <v/>
      </c>
      <c r="K5326" s="8">
        <f>IF(G5326="","",G5326+J5326)</f>
        <v/>
      </c>
    </row>
    <row r="5327">
      <c r="F5327" s="8" t="n"/>
      <c r="G5327" s="8">
        <f>IF(E5327="","",E5327*F5327)</f>
        <v/>
      </c>
      <c r="H5327" s="8">
        <f>IF(G5327="","",G5327-I5327)</f>
        <v/>
      </c>
      <c r="I5327" s="8">
        <f>IF(D5327="","",VLOOKUP(D5327, RECETTES!B:G, 6, FALSE)*E5327)</f>
        <v/>
      </c>
      <c r="J5327" s="8">
        <f>IF(G5327="","",G5327*0.20)</f>
        <v/>
      </c>
      <c r="K5327" s="8">
        <f>IF(G5327="","",G5327+J5327)</f>
        <v/>
      </c>
    </row>
    <row r="5328">
      <c r="F5328" s="8" t="n"/>
      <c r="G5328" s="8">
        <f>IF(E5328="","",E5328*F5328)</f>
        <v/>
      </c>
      <c r="H5328" s="8">
        <f>IF(G5328="","",G5328-I5328)</f>
        <v/>
      </c>
      <c r="I5328" s="8">
        <f>IF(D5328="","",VLOOKUP(D5328, RECETTES!B:G, 6, FALSE)*E5328)</f>
        <v/>
      </c>
      <c r="J5328" s="8">
        <f>IF(G5328="","",G5328*0.20)</f>
        <v/>
      </c>
      <c r="K5328" s="8">
        <f>IF(G5328="","",G5328+J5328)</f>
        <v/>
      </c>
    </row>
    <row r="5329">
      <c r="F5329" s="8" t="n"/>
      <c r="G5329" s="8">
        <f>IF(E5329="","",E5329*F5329)</f>
        <v/>
      </c>
      <c r="H5329" s="8">
        <f>IF(G5329="","",G5329-I5329)</f>
        <v/>
      </c>
      <c r="I5329" s="8">
        <f>IF(D5329="","",VLOOKUP(D5329, RECETTES!B:G, 6, FALSE)*E5329)</f>
        <v/>
      </c>
      <c r="J5329" s="8">
        <f>IF(G5329="","",G5329*0.20)</f>
        <v/>
      </c>
      <c r="K5329" s="8">
        <f>IF(G5329="","",G5329+J5329)</f>
        <v/>
      </c>
    </row>
    <row r="5330">
      <c r="F5330" s="8" t="n"/>
      <c r="G5330" s="8">
        <f>IF(E5330="","",E5330*F5330)</f>
        <v/>
      </c>
      <c r="H5330" s="8">
        <f>IF(G5330="","",G5330-I5330)</f>
        <v/>
      </c>
      <c r="I5330" s="8">
        <f>IF(D5330="","",VLOOKUP(D5330, RECETTES!B:G, 6, FALSE)*E5330)</f>
        <v/>
      </c>
      <c r="J5330" s="8">
        <f>IF(G5330="","",G5330*0.20)</f>
        <v/>
      </c>
      <c r="K5330" s="8">
        <f>IF(G5330="","",G5330+J5330)</f>
        <v/>
      </c>
    </row>
    <row r="5331">
      <c r="F5331" s="8" t="n"/>
      <c r="G5331" s="8">
        <f>IF(E5331="","",E5331*F5331)</f>
        <v/>
      </c>
      <c r="H5331" s="8">
        <f>IF(G5331="","",G5331-I5331)</f>
        <v/>
      </c>
      <c r="I5331" s="8">
        <f>IF(D5331="","",VLOOKUP(D5331, RECETTES!B:G, 6, FALSE)*E5331)</f>
        <v/>
      </c>
      <c r="J5331" s="8">
        <f>IF(G5331="","",G5331*0.20)</f>
        <v/>
      </c>
      <c r="K5331" s="8">
        <f>IF(G5331="","",G5331+J5331)</f>
        <v/>
      </c>
    </row>
    <row r="5332">
      <c r="F5332" s="8" t="n"/>
      <c r="G5332" s="8">
        <f>IF(E5332="","",E5332*F5332)</f>
        <v/>
      </c>
      <c r="H5332" s="8">
        <f>IF(G5332="","",G5332-I5332)</f>
        <v/>
      </c>
      <c r="I5332" s="8">
        <f>IF(D5332="","",VLOOKUP(D5332, RECETTES!B:G, 6, FALSE)*E5332)</f>
        <v/>
      </c>
      <c r="J5332" s="8">
        <f>IF(G5332="","",G5332*0.20)</f>
        <v/>
      </c>
      <c r="K5332" s="8">
        <f>IF(G5332="","",G5332+J5332)</f>
        <v/>
      </c>
    </row>
    <row r="5333">
      <c r="F5333" s="8" t="n"/>
      <c r="G5333" s="8">
        <f>IF(E5333="","",E5333*F5333)</f>
        <v/>
      </c>
      <c r="H5333" s="8">
        <f>IF(G5333="","",G5333-I5333)</f>
        <v/>
      </c>
      <c r="I5333" s="8">
        <f>IF(D5333="","",VLOOKUP(D5333, RECETTES!B:G, 6, FALSE)*E5333)</f>
        <v/>
      </c>
      <c r="J5333" s="8">
        <f>IF(G5333="","",G5333*0.20)</f>
        <v/>
      </c>
      <c r="K5333" s="8">
        <f>IF(G5333="","",G5333+J5333)</f>
        <v/>
      </c>
    </row>
    <row r="5334">
      <c r="F5334" s="8" t="n"/>
      <c r="G5334" s="8">
        <f>IF(E5334="","",E5334*F5334)</f>
        <v/>
      </c>
      <c r="H5334" s="8">
        <f>IF(G5334="","",G5334-I5334)</f>
        <v/>
      </c>
      <c r="I5334" s="8">
        <f>IF(D5334="","",VLOOKUP(D5334, RECETTES!B:G, 6, FALSE)*E5334)</f>
        <v/>
      </c>
      <c r="J5334" s="8">
        <f>IF(G5334="","",G5334*0.20)</f>
        <v/>
      </c>
      <c r="K5334" s="8">
        <f>IF(G5334="","",G5334+J5334)</f>
        <v/>
      </c>
    </row>
    <row r="5335">
      <c r="F5335" s="8" t="n"/>
      <c r="G5335" s="8">
        <f>IF(E5335="","",E5335*F5335)</f>
        <v/>
      </c>
      <c r="H5335" s="8">
        <f>IF(G5335="","",G5335-I5335)</f>
        <v/>
      </c>
      <c r="I5335" s="8">
        <f>IF(D5335="","",VLOOKUP(D5335, RECETTES!B:G, 6, FALSE)*E5335)</f>
        <v/>
      </c>
      <c r="J5335" s="8">
        <f>IF(G5335="","",G5335*0.20)</f>
        <v/>
      </c>
      <c r="K5335" s="8">
        <f>IF(G5335="","",G5335+J5335)</f>
        <v/>
      </c>
    </row>
    <row r="5336">
      <c r="F5336" s="8" t="n"/>
      <c r="G5336" s="8">
        <f>IF(E5336="","",E5336*F5336)</f>
        <v/>
      </c>
      <c r="H5336" s="8">
        <f>IF(G5336="","",G5336-I5336)</f>
        <v/>
      </c>
      <c r="I5336" s="8">
        <f>IF(D5336="","",VLOOKUP(D5336, RECETTES!B:G, 6, FALSE)*E5336)</f>
        <v/>
      </c>
      <c r="J5336" s="8">
        <f>IF(G5336="","",G5336*0.20)</f>
        <v/>
      </c>
      <c r="K5336" s="8">
        <f>IF(G5336="","",G5336+J5336)</f>
        <v/>
      </c>
    </row>
    <row r="5337">
      <c r="F5337" s="8" t="n"/>
      <c r="G5337" s="8">
        <f>IF(E5337="","",E5337*F5337)</f>
        <v/>
      </c>
      <c r="H5337" s="8">
        <f>IF(G5337="","",G5337-I5337)</f>
        <v/>
      </c>
      <c r="I5337" s="8">
        <f>IF(D5337="","",VLOOKUP(D5337, RECETTES!B:G, 6, FALSE)*E5337)</f>
        <v/>
      </c>
      <c r="J5337" s="8">
        <f>IF(G5337="","",G5337*0.20)</f>
        <v/>
      </c>
      <c r="K5337" s="8">
        <f>IF(G5337="","",G5337+J5337)</f>
        <v/>
      </c>
    </row>
    <row r="5338">
      <c r="F5338" s="8" t="n"/>
      <c r="G5338" s="8">
        <f>IF(E5338="","",E5338*F5338)</f>
        <v/>
      </c>
      <c r="H5338" s="8">
        <f>IF(G5338="","",G5338-I5338)</f>
        <v/>
      </c>
      <c r="I5338" s="8">
        <f>IF(D5338="","",VLOOKUP(D5338, RECETTES!B:G, 6, FALSE)*E5338)</f>
        <v/>
      </c>
      <c r="J5338" s="8">
        <f>IF(G5338="","",G5338*0.20)</f>
        <v/>
      </c>
      <c r="K5338" s="8">
        <f>IF(G5338="","",G5338+J5338)</f>
        <v/>
      </c>
    </row>
    <row r="5339">
      <c r="F5339" s="8" t="n"/>
      <c r="G5339" s="8">
        <f>IF(E5339="","",E5339*F5339)</f>
        <v/>
      </c>
      <c r="H5339" s="8">
        <f>IF(G5339="","",G5339-I5339)</f>
        <v/>
      </c>
      <c r="I5339" s="8">
        <f>IF(D5339="","",VLOOKUP(D5339, RECETTES!B:G, 6, FALSE)*E5339)</f>
        <v/>
      </c>
      <c r="J5339" s="8">
        <f>IF(G5339="","",G5339*0.20)</f>
        <v/>
      </c>
      <c r="K5339" s="8">
        <f>IF(G5339="","",G5339+J5339)</f>
        <v/>
      </c>
    </row>
    <row r="5340">
      <c r="F5340" s="8" t="n"/>
      <c r="G5340" s="8">
        <f>IF(E5340="","",E5340*F5340)</f>
        <v/>
      </c>
      <c r="H5340" s="8">
        <f>IF(G5340="","",G5340-I5340)</f>
        <v/>
      </c>
      <c r="I5340" s="8">
        <f>IF(D5340="","",VLOOKUP(D5340, RECETTES!B:G, 6, FALSE)*E5340)</f>
        <v/>
      </c>
      <c r="J5340" s="8">
        <f>IF(G5340="","",G5340*0.20)</f>
        <v/>
      </c>
      <c r="K5340" s="8">
        <f>IF(G5340="","",G5340+J5340)</f>
        <v/>
      </c>
    </row>
    <row r="5341">
      <c r="F5341" s="8" t="n"/>
      <c r="G5341" s="8">
        <f>IF(E5341="","",E5341*F5341)</f>
        <v/>
      </c>
      <c r="H5341" s="8">
        <f>IF(G5341="","",G5341-I5341)</f>
        <v/>
      </c>
      <c r="I5341" s="8">
        <f>IF(D5341="","",VLOOKUP(D5341, RECETTES!B:G, 6, FALSE)*E5341)</f>
        <v/>
      </c>
      <c r="J5341" s="8">
        <f>IF(G5341="","",G5341*0.20)</f>
        <v/>
      </c>
      <c r="K5341" s="8">
        <f>IF(G5341="","",G5341+J5341)</f>
        <v/>
      </c>
    </row>
    <row r="5342">
      <c r="F5342" s="8" t="n"/>
      <c r="G5342" s="8">
        <f>IF(E5342="","",E5342*F5342)</f>
        <v/>
      </c>
      <c r="H5342" s="8">
        <f>IF(G5342="","",G5342-I5342)</f>
        <v/>
      </c>
      <c r="I5342" s="8">
        <f>IF(D5342="","",VLOOKUP(D5342, RECETTES!B:G, 6, FALSE)*E5342)</f>
        <v/>
      </c>
      <c r="J5342" s="8">
        <f>IF(G5342="","",G5342*0.20)</f>
        <v/>
      </c>
      <c r="K5342" s="8">
        <f>IF(G5342="","",G5342+J5342)</f>
        <v/>
      </c>
    </row>
    <row r="5343">
      <c r="F5343" s="8" t="n"/>
      <c r="G5343" s="8">
        <f>IF(E5343="","",E5343*F5343)</f>
        <v/>
      </c>
      <c r="H5343" s="8">
        <f>IF(G5343="","",G5343-I5343)</f>
        <v/>
      </c>
      <c r="I5343" s="8">
        <f>IF(D5343="","",VLOOKUP(D5343, RECETTES!B:G, 6, FALSE)*E5343)</f>
        <v/>
      </c>
      <c r="J5343" s="8">
        <f>IF(G5343="","",G5343*0.20)</f>
        <v/>
      </c>
      <c r="K5343" s="8">
        <f>IF(G5343="","",G5343+J5343)</f>
        <v/>
      </c>
    </row>
    <row r="5344">
      <c r="F5344" s="8" t="n"/>
      <c r="G5344" s="8">
        <f>IF(E5344="","",E5344*F5344)</f>
        <v/>
      </c>
      <c r="H5344" s="8">
        <f>IF(G5344="","",G5344-I5344)</f>
        <v/>
      </c>
      <c r="I5344" s="8">
        <f>IF(D5344="","",VLOOKUP(D5344, RECETTES!B:G, 6, FALSE)*E5344)</f>
        <v/>
      </c>
      <c r="J5344" s="8">
        <f>IF(G5344="","",G5344*0.20)</f>
        <v/>
      </c>
      <c r="K5344" s="8">
        <f>IF(G5344="","",G5344+J5344)</f>
        <v/>
      </c>
    </row>
    <row r="5345">
      <c r="F5345" s="8" t="n"/>
      <c r="G5345" s="8">
        <f>IF(E5345="","",E5345*F5345)</f>
        <v/>
      </c>
      <c r="H5345" s="8">
        <f>IF(G5345="","",G5345-I5345)</f>
        <v/>
      </c>
      <c r="I5345" s="8">
        <f>IF(D5345="","",VLOOKUP(D5345, RECETTES!B:G, 6, FALSE)*E5345)</f>
        <v/>
      </c>
      <c r="J5345" s="8">
        <f>IF(G5345="","",G5345*0.20)</f>
        <v/>
      </c>
      <c r="K5345" s="8">
        <f>IF(G5345="","",G5345+J5345)</f>
        <v/>
      </c>
    </row>
    <row r="5346">
      <c r="F5346" s="8" t="n"/>
      <c r="G5346" s="8">
        <f>IF(E5346="","",E5346*F5346)</f>
        <v/>
      </c>
      <c r="H5346" s="8">
        <f>IF(G5346="","",G5346-I5346)</f>
        <v/>
      </c>
      <c r="I5346" s="8">
        <f>IF(D5346="","",VLOOKUP(D5346, RECETTES!B:G, 6, FALSE)*E5346)</f>
        <v/>
      </c>
      <c r="J5346" s="8">
        <f>IF(G5346="","",G5346*0.20)</f>
        <v/>
      </c>
      <c r="K5346" s="8">
        <f>IF(G5346="","",G5346+J5346)</f>
        <v/>
      </c>
    </row>
    <row r="5347">
      <c r="F5347" s="8" t="n"/>
      <c r="G5347" s="8">
        <f>IF(E5347="","",E5347*F5347)</f>
        <v/>
      </c>
      <c r="H5347" s="8">
        <f>IF(G5347="","",G5347-I5347)</f>
        <v/>
      </c>
      <c r="I5347" s="8">
        <f>IF(D5347="","",VLOOKUP(D5347, RECETTES!B:G, 6, FALSE)*E5347)</f>
        <v/>
      </c>
      <c r="J5347" s="8">
        <f>IF(G5347="","",G5347*0.20)</f>
        <v/>
      </c>
      <c r="K5347" s="8">
        <f>IF(G5347="","",G5347+J5347)</f>
        <v/>
      </c>
    </row>
    <row r="5348">
      <c r="F5348" s="8" t="n"/>
      <c r="G5348" s="8">
        <f>IF(E5348="","",E5348*F5348)</f>
        <v/>
      </c>
      <c r="H5348" s="8">
        <f>IF(G5348="","",G5348-I5348)</f>
        <v/>
      </c>
      <c r="I5348" s="8">
        <f>IF(D5348="","",VLOOKUP(D5348, RECETTES!B:G, 6, FALSE)*E5348)</f>
        <v/>
      </c>
      <c r="J5348" s="8">
        <f>IF(G5348="","",G5348*0.20)</f>
        <v/>
      </c>
      <c r="K5348" s="8">
        <f>IF(G5348="","",G5348+J5348)</f>
        <v/>
      </c>
    </row>
    <row r="5349">
      <c r="F5349" s="8" t="n"/>
      <c r="G5349" s="8">
        <f>IF(E5349="","",E5349*F5349)</f>
        <v/>
      </c>
      <c r="H5349" s="8">
        <f>IF(G5349="","",G5349-I5349)</f>
        <v/>
      </c>
      <c r="I5349" s="8">
        <f>IF(D5349="","",VLOOKUP(D5349, RECETTES!B:G, 6, FALSE)*E5349)</f>
        <v/>
      </c>
      <c r="J5349" s="8">
        <f>IF(G5349="","",G5349*0.20)</f>
        <v/>
      </c>
      <c r="K5349" s="8">
        <f>IF(G5349="","",G5349+J5349)</f>
        <v/>
      </c>
    </row>
    <row r="5350">
      <c r="F5350" s="8" t="n"/>
      <c r="G5350" s="8">
        <f>IF(E5350="","",E5350*F5350)</f>
        <v/>
      </c>
      <c r="H5350" s="8">
        <f>IF(G5350="","",G5350-I5350)</f>
        <v/>
      </c>
      <c r="I5350" s="8">
        <f>IF(D5350="","",VLOOKUP(D5350, RECETTES!B:G, 6, FALSE)*E5350)</f>
        <v/>
      </c>
      <c r="J5350" s="8">
        <f>IF(G5350="","",G5350*0.20)</f>
        <v/>
      </c>
      <c r="K5350" s="8">
        <f>IF(G5350="","",G5350+J5350)</f>
        <v/>
      </c>
    </row>
    <row r="5351">
      <c r="F5351" s="8" t="n"/>
      <c r="G5351" s="8">
        <f>IF(E5351="","",E5351*F5351)</f>
        <v/>
      </c>
      <c r="H5351" s="8">
        <f>IF(G5351="","",G5351-I5351)</f>
        <v/>
      </c>
      <c r="I5351" s="8">
        <f>IF(D5351="","",VLOOKUP(D5351, RECETTES!B:G, 6, FALSE)*E5351)</f>
        <v/>
      </c>
      <c r="J5351" s="8">
        <f>IF(G5351="","",G5351*0.20)</f>
        <v/>
      </c>
      <c r="K5351" s="8">
        <f>IF(G5351="","",G5351+J5351)</f>
        <v/>
      </c>
    </row>
    <row r="5352">
      <c r="F5352" s="8" t="n"/>
      <c r="G5352" s="8">
        <f>IF(E5352="","",E5352*F5352)</f>
        <v/>
      </c>
      <c r="H5352" s="8">
        <f>IF(G5352="","",G5352-I5352)</f>
        <v/>
      </c>
      <c r="I5352" s="8">
        <f>IF(D5352="","",VLOOKUP(D5352, RECETTES!B:G, 6, FALSE)*E5352)</f>
        <v/>
      </c>
      <c r="J5352" s="8">
        <f>IF(G5352="","",G5352*0.20)</f>
        <v/>
      </c>
      <c r="K5352" s="8">
        <f>IF(G5352="","",G5352+J5352)</f>
        <v/>
      </c>
    </row>
    <row r="5353">
      <c r="F5353" s="8" t="n"/>
      <c r="G5353" s="8">
        <f>IF(E5353="","",E5353*F5353)</f>
        <v/>
      </c>
      <c r="H5353" s="8">
        <f>IF(G5353="","",G5353-I5353)</f>
        <v/>
      </c>
      <c r="I5353" s="8">
        <f>IF(D5353="","",VLOOKUP(D5353, RECETTES!B:G, 6, FALSE)*E5353)</f>
        <v/>
      </c>
      <c r="J5353" s="8">
        <f>IF(G5353="","",G5353*0.20)</f>
        <v/>
      </c>
      <c r="K5353" s="8">
        <f>IF(G5353="","",G5353+J5353)</f>
        <v/>
      </c>
    </row>
    <row r="5354">
      <c r="F5354" s="8" t="n"/>
      <c r="G5354" s="8">
        <f>IF(E5354="","",E5354*F5354)</f>
        <v/>
      </c>
      <c r="H5354" s="8">
        <f>IF(G5354="","",G5354-I5354)</f>
        <v/>
      </c>
      <c r="I5354" s="8">
        <f>IF(D5354="","",VLOOKUP(D5354, RECETTES!B:G, 6, FALSE)*E5354)</f>
        <v/>
      </c>
      <c r="J5354" s="8">
        <f>IF(G5354="","",G5354*0.20)</f>
        <v/>
      </c>
      <c r="K5354" s="8">
        <f>IF(G5354="","",G5354+J5354)</f>
        <v/>
      </c>
    </row>
    <row r="5355">
      <c r="F5355" s="8" t="n"/>
      <c r="G5355" s="8">
        <f>IF(E5355="","",E5355*F5355)</f>
        <v/>
      </c>
      <c r="H5355" s="8">
        <f>IF(G5355="","",G5355-I5355)</f>
        <v/>
      </c>
      <c r="I5355" s="8">
        <f>IF(D5355="","",VLOOKUP(D5355, RECETTES!B:G, 6, FALSE)*E5355)</f>
        <v/>
      </c>
      <c r="J5355" s="8">
        <f>IF(G5355="","",G5355*0.20)</f>
        <v/>
      </c>
      <c r="K5355" s="8">
        <f>IF(G5355="","",G5355+J5355)</f>
        <v/>
      </c>
    </row>
    <row r="5356">
      <c r="F5356" s="8" t="n"/>
      <c r="G5356" s="8">
        <f>IF(E5356="","",E5356*F5356)</f>
        <v/>
      </c>
      <c r="H5356" s="8">
        <f>IF(G5356="","",G5356-I5356)</f>
        <v/>
      </c>
      <c r="I5356" s="8">
        <f>IF(D5356="","",VLOOKUP(D5356, RECETTES!B:G, 6, FALSE)*E5356)</f>
        <v/>
      </c>
      <c r="J5356" s="8">
        <f>IF(G5356="","",G5356*0.20)</f>
        <v/>
      </c>
      <c r="K5356" s="8">
        <f>IF(G5356="","",G5356+J5356)</f>
        <v/>
      </c>
    </row>
    <row r="5357">
      <c r="F5357" s="8" t="n"/>
      <c r="G5357" s="8">
        <f>IF(E5357="","",E5357*F5357)</f>
        <v/>
      </c>
      <c r="H5357" s="8">
        <f>IF(G5357="","",G5357-I5357)</f>
        <v/>
      </c>
      <c r="I5357" s="8">
        <f>IF(D5357="","",VLOOKUP(D5357, RECETTES!B:G, 6, FALSE)*E5357)</f>
        <v/>
      </c>
      <c r="J5357" s="8">
        <f>IF(G5357="","",G5357*0.20)</f>
        <v/>
      </c>
      <c r="K5357" s="8">
        <f>IF(G5357="","",G5357+J5357)</f>
        <v/>
      </c>
    </row>
    <row r="5358">
      <c r="F5358" s="8" t="n"/>
      <c r="G5358" s="8">
        <f>IF(E5358="","",E5358*F5358)</f>
        <v/>
      </c>
      <c r="H5358" s="8">
        <f>IF(G5358="","",G5358-I5358)</f>
        <v/>
      </c>
      <c r="I5358" s="8">
        <f>IF(D5358="","",VLOOKUP(D5358, RECETTES!B:G, 6, FALSE)*E5358)</f>
        <v/>
      </c>
      <c r="J5358" s="8">
        <f>IF(G5358="","",G5358*0.20)</f>
        <v/>
      </c>
      <c r="K5358" s="8">
        <f>IF(G5358="","",G5358+J5358)</f>
        <v/>
      </c>
    </row>
    <row r="5359">
      <c r="F5359" s="8" t="n"/>
      <c r="G5359" s="8">
        <f>IF(E5359="","",E5359*F5359)</f>
        <v/>
      </c>
      <c r="H5359" s="8">
        <f>IF(G5359="","",G5359-I5359)</f>
        <v/>
      </c>
      <c r="I5359" s="8">
        <f>IF(D5359="","",VLOOKUP(D5359, RECETTES!B:G, 6, FALSE)*E5359)</f>
        <v/>
      </c>
      <c r="J5359" s="8">
        <f>IF(G5359="","",G5359*0.20)</f>
        <v/>
      </c>
      <c r="K5359" s="8">
        <f>IF(G5359="","",G5359+J5359)</f>
        <v/>
      </c>
    </row>
    <row r="5360">
      <c r="F5360" s="8" t="n"/>
      <c r="G5360" s="8">
        <f>IF(E5360="","",E5360*F5360)</f>
        <v/>
      </c>
      <c r="H5360" s="8">
        <f>IF(G5360="","",G5360-I5360)</f>
        <v/>
      </c>
      <c r="I5360" s="8">
        <f>IF(D5360="","",VLOOKUP(D5360, RECETTES!B:G, 6, FALSE)*E5360)</f>
        <v/>
      </c>
      <c r="J5360" s="8">
        <f>IF(G5360="","",G5360*0.20)</f>
        <v/>
      </c>
      <c r="K5360" s="8">
        <f>IF(G5360="","",G5360+J5360)</f>
        <v/>
      </c>
    </row>
    <row r="5361">
      <c r="F5361" s="8" t="n"/>
      <c r="G5361" s="8">
        <f>IF(E5361="","",E5361*F5361)</f>
        <v/>
      </c>
      <c r="H5361" s="8">
        <f>IF(G5361="","",G5361-I5361)</f>
        <v/>
      </c>
      <c r="I5361" s="8">
        <f>IF(D5361="","",VLOOKUP(D5361, RECETTES!B:G, 6, FALSE)*E5361)</f>
        <v/>
      </c>
      <c r="J5361" s="8">
        <f>IF(G5361="","",G5361*0.20)</f>
        <v/>
      </c>
      <c r="K5361" s="8">
        <f>IF(G5361="","",G5361+J5361)</f>
        <v/>
      </c>
    </row>
    <row r="5362">
      <c r="F5362" s="8" t="n"/>
      <c r="G5362" s="8">
        <f>IF(E5362="","",E5362*F5362)</f>
        <v/>
      </c>
      <c r="H5362" s="8">
        <f>IF(G5362="","",G5362-I5362)</f>
        <v/>
      </c>
      <c r="I5362" s="8">
        <f>IF(D5362="","",VLOOKUP(D5362, RECETTES!B:G, 6, FALSE)*E5362)</f>
        <v/>
      </c>
      <c r="J5362" s="8">
        <f>IF(G5362="","",G5362*0.20)</f>
        <v/>
      </c>
      <c r="K5362" s="8">
        <f>IF(G5362="","",G5362+J5362)</f>
        <v/>
      </c>
    </row>
    <row r="5363">
      <c r="F5363" s="8" t="n"/>
      <c r="G5363" s="8">
        <f>IF(E5363="","",E5363*F5363)</f>
        <v/>
      </c>
      <c r="H5363" s="8">
        <f>IF(G5363="","",G5363-I5363)</f>
        <v/>
      </c>
      <c r="I5363" s="8">
        <f>IF(D5363="","",VLOOKUP(D5363, RECETTES!B:G, 6, FALSE)*E5363)</f>
        <v/>
      </c>
      <c r="J5363" s="8">
        <f>IF(G5363="","",G5363*0.20)</f>
        <v/>
      </c>
      <c r="K5363" s="8">
        <f>IF(G5363="","",G5363+J5363)</f>
        <v/>
      </c>
    </row>
    <row r="5364">
      <c r="F5364" s="8" t="n"/>
      <c r="G5364" s="8">
        <f>IF(E5364="","",E5364*F5364)</f>
        <v/>
      </c>
      <c r="H5364" s="8">
        <f>IF(G5364="","",G5364-I5364)</f>
        <v/>
      </c>
      <c r="I5364" s="8">
        <f>IF(D5364="","",VLOOKUP(D5364, RECETTES!B:G, 6, FALSE)*E5364)</f>
        <v/>
      </c>
      <c r="J5364" s="8">
        <f>IF(G5364="","",G5364*0.20)</f>
        <v/>
      </c>
      <c r="K5364" s="8">
        <f>IF(G5364="","",G5364+J5364)</f>
        <v/>
      </c>
    </row>
    <row r="5365">
      <c r="F5365" s="8" t="n"/>
      <c r="G5365" s="8">
        <f>IF(E5365="","",E5365*F5365)</f>
        <v/>
      </c>
      <c r="H5365" s="8">
        <f>IF(G5365="","",G5365-I5365)</f>
        <v/>
      </c>
      <c r="I5365" s="8">
        <f>IF(D5365="","",VLOOKUP(D5365, RECETTES!B:G, 6, FALSE)*E5365)</f>
        <v/>
      </c>
      <c r="J5365" s="8">
        <f>IF(G5365="","",G5365*0.20)</f>
        <v/>
      </c>
      <c r="K5365" s="8">
        <f>IF(G5365="","",G5365+J5365)</f>
        <v/>
      </c>
    </row>
    <row r="5366">
      <c r="F5366" s="8" t="n"/>
      <c r="G5366" s="8">
        <f>IF(E5366="","",E5366*F5366)</f>
        <v/>
      </c>
      <c r="H5366" s="8">
        <f>IF(G5366="","",G5366-I5366)</f>
        <v/>
      </c>
      <c r="I5366" s="8">
        <f>IF(D5366="","",VLOOKUP(D5366, RECETTES!B:G, 6, FALSE)*E5366)</f>
        <v/>
      </c>
      <c r="J5366" s="8">
        <f>IF(G5366="","",G5366*0.20)</f>
        <v/>
      </c>
      <c r="K5366" s="8">
        <f>IF(G5366="","",G5366+J5366)</f>
        <v/>
      </c>
    </row>
    <row r="5367">
      <c r="F5367" s="8" t="n"/>
      <c r="G5367" s="8">
        <f>IF(E5367="","",E5367*F5367)</f>
        <v/>
      </c>
      <c r="H5367" s="8">
        <f>IF(G5367="","",G5367-I5367)</f>
        <v/>
      </c>
      <c r="I5367" s="8">
        <f>IF(D5367="","",VLOOKUP(D5367, RECETTES!B:G, 6, FALSE)*E5367)</f>
        <v/>
      </c>
      <c r="J5367" s="8">
        <f>IF(G5367="","",G5367*0.20)</f>
        <v/>
      </c>
      <c r="K5367" s="8">
        <f>IF(G5367="","",G5367+J5367)</f>
        <v/>
      </c>
    </row>
    <row r="5368">
      <c r="F5368" s="8" t="n"/>
      <c r="G5368" s="8">
        <f>IF(E5368="","",E5368*F5368)</f>
        <v/>
      </c>
      <c r="H5368" s="8">
        <f>IF(G5368="","",G5368-I5368)</f>
        <v/>
      </c>
      <c r="I5368" s="8">
        <f>IF(D5368="","",VLOOKUP(D5368, RECETTES!B:G, 6, FALSE)*E5368)</f>
        <v/>
      </c>
      <c r="J5368" s="8">
        <f>IF(G5368="","",G5368*0.20)</f>
        <v/>
      </c>
      <c r="K5368" s="8">
        <f>IF(G5368="","",G5368+J5368)</f>
        <v/>
      </c>
    </row>
    <row r="5369">
      <c r="F5369" s="8" t="n"/>
      <c r="G5369" s="8">
        <f>IF(E5369="","",E5369*F5369)</f>
        <v/>
      </c>
      <c r="H5369" s="8">
        <f>IF(G5369="","",G5369-I5369)</f>
        <v/>
      </c>
      <c r="I5369" s="8">
        <f>IF(D5369="","",VLOOKUP(D5369, RECETTES!B:G, 6, FALSE)*E5369)</f>
        <v/>
      </c>
      <c r="J5369" s="8">
        <f>IF(G5369="","",G5369*0.20)</f>
        <v/>
      </c>
      <c r="K5369" s="8">
        <f>IF(G5369="","",G5369+J5369)</f>
        <v/>
      </c>
    </row>
    <row r="5370">
      <c r="F5370" s="8" t="n"/>
      <c r="G5370" s="8">
        <f>IF(E5370="","",E5370*F5370)</f>
        <v/>
      </c>
      <c r="H5370" s="8">
        <f>IF(G5370="","",G5370-I5370)</f>
        <v/>
      </c>
      <c r="I5370" s="8">
        <f>IF(D5370="","",VLOOKUP(D5370, RECETTES!B:G, 6, FALSE)*E5370)</f>
        <v/>
      </c>
      <c r="J5370" s="8">
        <f>IF(G5370="","",G5370*0.20)</f>
        <v/>
      </c>
      <c r="K5370" s="8">
        <f>IF(G5370="","",G5370+J5370)</f>
        <v/>
      </c>
    </row>
    <row r="5371">
      <c r="F5371" s="8" t="n"/>
      <c r="G5371" s="8">
        <f>IF(E5371="","",E5371*F5371)</f>
        <v/>
      </c>
      <c r="H5371" s="8">
        <f>IF(G5371="","",G5371-I5371)</f>
        <v/>
      </c>
      <c r="I5371" s="8">
        <f>IF(D5371="","",VLOOKUP(D5371, RECETTES!B:G, 6, FALSE)*E5371)</f>
        <v/>
      </c>
      <c r="J5371" s="8">
        <f>IF(G5371="","",G5371*0.20)</f>
        <v/>
      </c>
      <c r="K5371" s="8">
        <f>IF(G5371="","",G5371+J5371)</f>
        <v/>
      </c>
    </row>
    <row r="5372">
      <c r="F5372" s="8" t="n"/>
      <c r="G5372" s="8">
        <f>IF(E5372="","",E5372*F5372)</f>
        <v/>
      </c>
      <c r="H5372" s="8">
        <f>IF(G5372="","",G5372-I5372)</f>
        <v/>
      </c>
      <c r="I5372" s="8">
        <f>IF(D5372="","",VLOOKUP(D5372, RECETTES!B:G, 6, FALSE)*E5372)</f>
        <v/>
      </c>
      <c r="J5372" s="8">
        <f>IF(G5372="","",G5372*0.20)</f>
        <v/>
      </c>
      <c r="K5372" s="8">
        <f>IF(G5372="","",G5372+J5372)</f>
        <v/>
      </c>
    </row>
    <row r="5373">
      <c r="F5373" s="8" t="n"/>
      <c r="G5373" s="8">
        <f>IF(E5373="","",E5373*F5373)</f>
        <v/>
      </c>
      <c r="H5373" s="8">
        <f>IF(G5373="","",G5373-I5373)</f>
        <v/>
      </c>
      <c r="I5373" s="8">
        <f>IF(D5373="","",VLOOKUP(D5373, RECETTES!B:G, 6, FALSE)*E5373)</f>
        <v/>
      </c>
      <c r="J5373" s="8">
        <f>IF(G5373="","",G5373*0.20)</f>
        <v/>
      </c>
      <c r="K5373" s="8">
        <f>IF(G5373="","",G5373+J5373)</f>
        <v/>
      </c>
    </row>
    <row r="5374">
      <c r="F5374" s="8" t="n"/>
      <c r="G5374" s="8">
        <f>IF(E5374="","",E5374*F5374)</f>
        <v/>
      </c>
      <c r="H5374" s="8">
        <f>IF(G5374="","",G5374-I5374)</f>
        <v/>
      </c>
      <c r="I5374" s="8">
        <f>IF(D5374="","",VLOOKUP(D5374, RECETTES!B:G, 6, FALSE)*E5374)</f>
        <v/>
      </c>
      <c r="J5374" s="8">
        <f>IF(G5374="","",G5374*0.20)</f>
        <v/>
      </c>
      <c r="K5374" s="8">
        <f>IF(G5374="","",G5374+J5374)</f>
        <v/>
      </c>
    </row>
    <row r="5375">
      <c r="F5375" s="8" t="n"/>
      <c r="G5375" s="8">
        <f>IF(E5375="","",E5375*F5375)</f>
        <v/>
      </c>
      <c r="H5375" s="8">
        <f>IF(G5375="","",G5375-I5375)</f>
        <v/>
      </c>
      <c r="I5375" s="8">
        <f>IF(D5375="","",VLOOKUP(D5375, RECETTES!B:G, 6, FALSE)*E5375)</f>
        <v/>
      </c>
      <c r="J5375" s="8">
        <f>IF(G5375="","",G5375*0.20)</f>
        <v/>
      </c>
      <c r="K5375" s="8">
        <f>IF(G5375="","",G5375+J5375)</f>
        <v/>
      </c>
    </row>
    <row r="5376">
      <c r="F5376" s="8" t="n"/>
      <c r="G5376" s="8">
        <f>IF(E5376="","",E5376*F5376)</f>
        <v/>
      </c>
      <c r="H5376" s="8">
        <f>IF(G5376="","",G5376-I5376)</f>
        <v/>
      </c>
      <c r="I5376" s="8">
        <f>IF(D5376="","",VLOOKUP(D5376, RECETTES!B:G, 6, FALSE)*E5376)</f>
        <v/>
      </c>
      <c r="J5376" s="8">
        <f>IF(G5376="","",G5376*0.20)</f>
        <v/>
      </c>
      <c r="K5376" s="8">
        <f>IF(G5376="","",G5376+J5376)</f>
        <v/>
      </c>
    </row>
    <row r="5377">
      <c r="F5377" s="8" t="n"/>
      <c r="G5377" s="8">
        <f>IF(E5377="","",E5377*F5377)</f>
        <v/>
      </c>
      <c r="H5377" s="8">
        <f>IF(G5377="","",G5377-I5377)</f>
        <v/>
      </c>
      <c r="I5377" s="8">
        <f>IF(D5377="","",VLOOKUP(D5377, RECETTES!B:G, 6, FALSE)*E5377)</f>
        <v/>
      </c>
      <c r="J5377" s="8">
        <f>IF(G5377="","",G5377*0.20)</f>
        <v/>
      </c>
      <c r="K5377" s="8">
        <f>IF(G5377="","",G5377+J5377)</f>
        <v/>
      </c>
    </row>
    <row r="5378">
      <c r="F5378" s="8" t="n"/>
      <c r="G5378" s="8">
        <f>IF(E5378="","",E5378*F5378)</f>
        <v/>
      </c>
      <c r="H5378" s="8">
        <f>IF(G5378="","",G5378-I5378)</f>
        <v/>
      </c>
      <c r="I5378" s="8">
        <f>IF(D5378="","",VLOOKUP(D5378, RECETTES!B:G, 6, FALSE)*E5378)</f>
        <v/>
      </c>
      <c r="J5378" s="8">
        <f>IF(G5378="","",G5378*0.20)</f>
        <v/>
      </c>
      <c r="K5378" s="8">
        <f>IF(G5378="","",G5378+J5378)</f>
        <v/>
      </c>
    </row>
    <row r="5379">
      <c r="F5379" s="8" t="n"/>
      <c r="G5379" s="8">
        <f>IF(E5379="","",E5379*F5379)</f>
        <v/>
      </c>
      <c r="H5379" s="8">
        <f>IF(G5379="","",G5379-I5379)</f>
        <v/>
      </c>
      <c r="I5379" s="8">
        <f>IF(D5379="","",VLOOKUP(D5379, RECETTES!B:G, 6, FALSE)*E5379)</f>
        <v/>
      </c>
      <c r="J5379" s="8">
        <f>IF(G5379="","",G5379*0.20)</f>
        <v/>
      </c>
      <c r="K5379" s="8">
        <f>IF(G5379="","",G5379+J5379)</f>
        <v/>
      </c>
    </row>
    <row r="5380">
      <c r="F5380" s="8" t="n"/>
      <c r="G5380" s="8">
        <f>IF(E5380="","",E5380*F5380)</f>
        <v/>
      </c>
      <c r="H5380" s="8">
        <f>IF(G5380="","",G5380-I5380)</f>
        <v/>
      </c>
      <c r="I5380" s="8">
        <f>IF(D5380="","",VLOOKUP(D5380, RECETTES!B:G, 6, FALSE)*E5380)</f>
        <v/>
      </c>
      <c r="J5380" s="8">
        <f>IF(G5380="","",G5380*0.20)</f>
        <v/>
      </c>
      <c r="K5380" s="8">
        <f>IF(G5380="","",G5380+J5380)</f>
        <v/>
      </c>
    </row>
    <row r="5381">
      <c r="F5381" s="8" t="n"/>
      <c r="G5381" s="8">
        <f>IF(E5381="","",E5381*F5381)</f>
        <v/>
      </c>
      <c r="H5381" s="8">
        <f>IF(G5381="","",G5381-I5381)</f>
        <v/>
      </c>
      <c r="I5381" s="8">
        <f>IF(D5381="","",VLOOKUP(D5381, RECETTES!B:G, 6, FALSE)*E5381)</f>
        <v/>
      </c>
      <c r="J5381" s="8">
        <f>IF(G5381="","",G5381*0.20)</f>
        <v/>
      </c>
      <c r="K5381" s="8">
        <f>IF(G5381="","",G5381+J5381)</f>
        <v/>
      </c>
    </row>
    <row r="5382">
      <c r="F5382" s="8" t="n"/>
      <c r="G5382" s="8">
        <f>IF(E5382="","",E5382*F5382)</f>
        <v/>
      </c>
      <c r="H5382" s="8">
        <f>IF(G5382="","",G5382-I5382)</f>
        <v/>
      </c>
      <c r="I5382" s="8">
        <f>IF(D5382="","",VLOOKUP(D5382, RECETTES!B:G, 6, FALSE)*E5382)</f>
        <v/>
      </c>
      <c r="J5382" s="8">
        <f>IF(G5382="","",G5382*0.20)</f>
        <v/>
      </c>
      <c r="K5382" s="8">
        <f>IF(G5382="","",G5382+J5382)</f>
        <v/>
      </c>
    </row>
    <row r="5383">
      <c r="F5383" s="8" t="n"/>
      <c r="G5383" s="8">
        <f>IF(E5383="","",E5383*F5383)</f>
        <v/>
      </c>
      <c r="H5383" s="8">
        <f>IF(G5383="","",G5383-I5383)</f>
        <v/>
      </c>
      <c r="I5383" s="8">
        <f>IF(D5383="","",VLOOKUP(D5383, RECETTES!B:G, 6, FALSE)*E5383)</f>
        <v/>
      </c>
      <c r="J5383" s="8">
        <f>IF(G5383="","",G5383*0.20)</f>
        <v/>
      </c>
      <c r="K5383" s="8">
        <f>IF(G5383="","",G5383+J5383)</f>
        <v/>
      </c>
    </row>
    <row r="5384">
      <c r="F5384" s="8" t="n"/>
      <c r="G5384" s="8">
        <f>IF(E5384="","",E5384*F5384)</f>
        <v/>
      </c>
      <c r="H5384" s="8">
        <f>IF(G5384="","",G5384-I5384)</f>
        <v/>
      </c>
      <c r="I5384" s="8">
        <f>IF(D5384="","",VLOOKUP(D5384, RECETTES!B:G, 6, FALSE)*E5384)</f>
        <v/>
      </c>
      <c r="J5384" s="8">
        <f>IF(G5384="","",G5384*0.20)</f>
        <v/>
      </c>
      <c r="K5384" s="8">
        <f>IF(G5384="","",G5384+J5384)</f>
        <v/>
      </c>
    </row>
    <row r="5385">
      <c r="F5385" s="8" t="n"/>
      <c r="G5385" s="8">
        <f>IF(E5385="","",E5385*F5385)</f>
        <v/>
      </c>
      <c r="H5385" s="8">
        <f>IF(G5385="","",G5385-I5385)</f>
        <v/>
      </c>
      <c r="I5385" s="8">
        <f>IF(D5385="","",VLOOKUP(D5385, RECETTES!B:G, 6, FALSE)*E5385)</f>
        <v/>
      </c>
      <c r="J5385" s="8">
        <f>IF(G5385="","",G5385*0.20)</f>
        <v/>
      </c>
      <c r="K5385" s="8">
        <f>IF(G5385="","",G5385+J5385)</f>
        <v/>
      </c>
    </row>
    <row r="5386">
      <c r="F5386" s="8" t="n"/>
      <c r="G5386" s="8">
        <f>IF(E5386="","",E5386*F5386)</f>
        <v/>
      </c>
      <c r="H5386" s="8">
        <f>IF(G5386="","",G5386-I5386)</f>
        <v/>
      </c>
      <c r="I5386" s="8">
        <f>IF(D5386="","",VLOOKUP(D5386, RECETTES!B:G, 6, FALSE)*E5386)</f>
        <v/>
      </c>
      <c r="J5386" s="8">
        <f>IF(G5386="","",G5386*0.20)</f>
        <v/>
      </c>
      <c r="K5386" s="8">
        <f>IF(G5386="","",G5386+J5386)</f>
        <v/>
      </c>
    </row>
    <row r="5387">
      <c r="F5387" s="8" t="n"/>
      <c r="G5387" s="8">
        <f>IF(E5387="","",E5387*F5387)</f>
        <v/>
      </c>
      <c r="H5387" s="8">
        <f>IF(G5387="","",G5387-I5387)</f>
        <v/>
      </c>
      <c r="I5387" s="8">
        <f>IF(D5387="","",VLOOKUP(D5387, RECETTES!B:G, 6, FALSE)*E5387)</f>
        <v/>
      </c>
      <c r="J5387" s="8">
        <f>IF(G5387="","",G5387*0.20)</f>
        <v/>
      </c>
      <c r="K5387" s="8">
        <f>IF(G5387="","",G5387+J5387)</f>
        <v/>
      </c>
    </row>
    <row r="5388">
      <c r="F5388" s="8" t="n"/>
      <c r="G5388" s="8">
        <f>IF(E5388="","",E5388*F5388)</f>
        <v/>
      </c>
      <c r="H5388" s="8">
        <f>IF(G5388="","",G5388-I5388)</f>
        <v/>
      </c>
      <c r="I5388" s="8">
        <f>IF(D5388="","",VLOOKUP(D5388, RECETTES!B:G, 6, FALSE)*E5388)</f>
        <v/>
      </c>
      <c r="J5388" s="8">
        <f>IF(G5388="","",G5388*0.20)</f>
        <v/>
      </c>
      <c r="K5388" s="8">
        <f>IF(G5388="","",G5388+J5388)</f>
        <v/>
      </c>
    </row>
    <row r="5389">
      <c r="F5389" s="8" t="n"/>
      <c r="G5389" s="8">
        <f>IF(E5389="","",E5389*F5389)</f>
        <v/>
      </c>
      <c r="H5389" s="8">
        <f>IF(G5389="","",G5389-I5389)</f>
        <v/>
      </c>
      <c r="I5389" s="8">
        <f>IF(D5389="","",VLOOKUP(D5389, RECETTES!B:G, 6, FALSE)*E5389)</f>
        <v/>
      </c>
      <c r="J5389" s="8">
        <f>IF(G5389="","",G5389*0.20)</f>
        <v/>
      </c>
      <c r="K5389" s="8">
        <f>IF(G5389="","",G5389+J5389)</f>
        <v/>
      </c>
    </row>
    <row r="5390">
      <c r="F5390" s="8" t="n"/>
      <c r="G5390" s="8">
        <f>IF(E5390="","",E5390*F5390)</f>
        <v/>
      </c>
      <c r="H5390" s="8">
        <f>IF(G5390="","",G5390-I5390)</f>
        <v/>
      </c>
      <c r="I5390" s="8">
        <f>IF(D5390="","",VLOOKUP(D5390, RECETTES!B:G, 6, FALSE)*E5390)</f>
        <v/>
      </c>
      <c r="J5390" s="8">
        <f>IF(G5390="","",G5390*0.20)</f>
        <v/>
      </c>
      <c r="K5390" s="8">
        <f>IF(G5390="","",G5390+J5390)</f>
        <v/>
      </c>
    </row>
    <row r="5391">
      <c r="F5391" s="8" t="n"/>
      <c r="G5391" s="8">
        <f>IF(E5391="","",E5391*F5391)</f>
        <v/>
      </c>
      <c r="H5391" s="8">
        <f>IF(G5391="","",G5391-I5391)</f>
        <v/>
      </c>
      <c r="I5391" s="8">
        <f>IF(D5391="","",VLOOKUP(D5391, RECETTES!B:G, 6, FALSE)*E5391)</f>
        <v/>
      </c>
      <c r="J5391" s="8">
        <f>IF(G5391="","",G5391*0.20)</f>
        <v/>
      </c>
      <c r="K5391" s="8">
        <f>IF(G5391="","",G5391+J5391)</f>
        <v/>
      </c>
    </row>
    <row r="5392">
      <c r="F5392" s="8" t="n"/>
      <c r="G5392" s="8">
        <f>IF(E5392="","",E5392*F5392)</f>
        <v/>
      </c>
      <c r="H5392" s="8">
        <f>IF(G5392="","",G5392-I5392)</f>
        <v/>
      </c>
      <c r="I5392" s="8">
        <f>IF(D5392="","",VLOOKUP(D5392, RECETTES!B:G, 6, FALSE)*E5392)</f>
        <v/>
      </c>
      <c r="J5392" s="8">
        <f>IF(G5392="","",G5392*0.20)</f>
        <v/>
      </c>
      <c r="K5392" s="8">
        <f>IF(G5392="","",G5392+J5392)</f>
        <v/>
      </c>
    </row>
    <row r="5393">
      <c r="F5393" s="8" t="n"/>
      <c r="G5393" s="8">
        <f>IF(E5393="","",E5393*F5393)</f>
        <v/>
      </c>
      <c r="H5393" s="8">
        <f>IF(G5393="","",G5393-I5393)</f>
        <v/>
      </c>
      <c r="I5393" s="8">
        <f>IF(D5393="","",VLOOKUP(D5393, RECETTES!B:G, 6, FALSE)*E5393)</f>
        <v/>
      </c>
      <c r="J5393" s="8">
        <f>IF(G5393="","",G5393*0.20)</f>
        <v/>
      </c>
      <c r="K5393" s="8">
        <f>IF(G5393="","",G5393+J5393)</f>
        <v/>
      </c>
    </row>
    <row r="5394">
      <c r="F5394" s="8" t="n"/>
      <c r="G5394" s="8">
        <f>IF(E5394="","",E5394*F5394)</f>
        <v/>
      </c>
      <c r="H5394" s="8">
        <f>IF(G5394="","",G5394-I5394)</f>
        <v/>
      </c>
      <c r="I5394" s="8">
        <f>IF(D5394="","",VLOOKUP(D5394, RECETTES!B:G, 6, FALSE)*E5394)</f>
        <v/>
      </c>
      <c r="J5394" s="8">
        <f>IF(G5394="","",G5394*0.20)</f>
        <v/>
      </c>
      <c r="K5394" s="8">
        <f>IF(G5394="","",G5394+J5394)</f>
        <v/>
      </c>
    </row>
    <row r="5395">
      <c r="F5395" s="8" t="n"/>
      <c r="G5395" s="8">
        <f>IF(E5395="","",E5395*F5395)</f>
        <v/>
      </c>
      <c r="H5395" s="8">
        <f>IF(G5395="","",G5395-I5395)</f>
        <v/>
      </c>
      <c r="I5395" s="8">
        <f>IF(D5395="","",VLOOKUP(D5395, RECETTES!B:G, 6, FALSE)*E5395)</f>
        <v/>
      </c>
      <c r="J5395" s="8">
        <f>IF(G5395="","",G5395*0.20)</f>
        <v/>
      </c>
      <c r="K5395" s="8">
        <f>IF(G5395="","",G5395+J5395)</f>
        <v/>
      </c>
    </row>
    <row r="5396">
      <c r="F5396" s="8" t="n"/>
      <c r="G5396" s="8">
        <f>IF(E5396="","",E5396*F5396)</f>
        <v/>
      </c>
      <c r="H5396" s="8">
        <f>IF(G5396="","",G5396-I5396)</f>
        <v/>
      </c>
      <c r="I5396" s="8">
        <f>IF(D5396="","",VLOOKUP(D5396, RECETTES!B:G, 6, FALSE)*E5396)</f>
        <v/>
      </c>
      <c r="J5396" s="8">
        <f>IF(G5396="","",G5396*0.20)</f>
        <v/>
      </c>
      <c r="K5396" s="8">
        <f>IF(G5396="","",G5396+J5396)</f>
        <v/>
      </c>
    </row>
    <row r="5397">
      <c r="F5397" s="8" t="n"/>
      <c r="G5397" s="8">
        <f>IF(E5397="","",E5397*F5397)</f>
        <v/>
      </c>
      <c r="H5397" s="8">
        <f>IF(G5397="","",G5397-I5397)</f>
        <v/>
      </c>
      <c r="I5397" s="8">
        <f>IF(D5397="","",VLOOKUP(D5397, RECETTES!B:G, 6, FALSE)*E5397)</f>
        <v/>
      </c>
      <c r="J5397" s="8">
        <f>IF(G5397="","",G5397*0.20)</f>
        <v/>
      </c>
      <c r="K5397" s="8">
        <f>IF(G5397="","",G5397+J5397)</f>
        <v/>
      </c>
    </row>
    <row r="5398">
      <c r="F5398" s="8" t="n"/>
      <c r="G5398" s="8">
        <f>IF(E5398="","",E5398*F5398)</f>
        <v/>
      </c>
      <c r="H5398" s="8">
        <f>IF(G5398="","",G5398-I5398)</f>
        <v/>
      </c>
      <c r="I5398" s="8">
        <f>IF(D5398="","",VLOOKUP(D5398, RECETTES!B:G, 6, FALSE)*E5398)</f>
        <v/>
      </c>
      <c r="J5398" s="8">
        <f>IF(G5398="","",G5398*0.20)</f>
        <v/>
      </c>
      <c r="K5398" s="8">
        <f>IF(G5398="","",G5398+J5398)</f>
        <v/>
      </c>
    </row>
    <row r="5399">
      <c r="F5399" s="8" t="n"/>
      <c r="G5399" s="8">
        <f>IF(E5399="","",E5399*F5399)</f>
        <v/>
      </c>
      <c r="H5399" s="8">
        <f>IF(G5399="","",G5399-I5399)</f>
        <v/>
      </c>
      <c r="I5399" s="8">
        <f>IF(D5399="","",VLOOKUP(D5399, RECETTES!B:G, 6, FALSE)*E5399)</f>
        <v/>
      </c>
      <c r="J5399" s="8">
        <f>IF(G5399="","",G5399*0.20)</f>
        <v/>
      </c>
      <c r="K5399" s="8">
        <f>IF(G5399="","",G5399+J5399)</f>
        <v/>
      </c>
    </row>
    <row r="5400">
      <c r="F5400" s="8" t="n"/>
      <c r="G5400" s="8">
        <f>IF(E5400="","",E5400*F5400)</f>
        <v/>
      </c>
      <c r="H5400" s="8">
        <f>IF(G5400="","",G5400-I5400)</f>
        <v/>
      </c>
      <c r="I5400" s="8">
        <f>IF(D5400="","",VLOOKUP(D5400, RECETTES!B:G, 6, FALSE)*E5400)</f>
        <v/>
      </c>
      <c r="J5400" s="8">
        <f>IF(G5400="","",G5400*0.20)</f>
        <v/>
      </c>
      <c r="K5400" s="8">
        <f>IF(G5400="","",G5400+J5400)</f>
        <v/>
      </c>
    </row>
    <row r="5401">
      <c r="F5401" s="8" t="n"/>
      <c r="G5401" s="8">
        <f>IF(E5401="","",E5401*F5401)</f>
        <v/>
      </c>
      <c r="H5401" s="8">
        <f>IF(G5401="","",G5401-I5401)</f>
        <v/>
      </c>
      <c r="I5401" s="8">
        <f>IF(D5401="","",VLOOKUP(D5401, RECETTES!B:G, 6, FALSE)*E5401)</f>
        <v/>
      </c>
      <c r="J5401" s="8">
        <f>IF(G5401="","",G5401*0.20)</f>
        <v/>
      </c>
      <c r="K5401" s="8">
        <f>IF(G5401="","",G5401+J5401)</f>
        <v/>
      </c>
    </row>
    <row r="5402">
      <c r="F5402" s="8" t="n"/>
      <c r="G5402" s="8">
        <f>IF(E5402="","",E5402*F5402)</f>
        <v/>
      </c>
      <c r="H5402" s="8">
        <f>IF(G5402="","",G5402-I5402)</f>
        <v/>
      </c>
      <c r="I5402" s="8">
        <f>IF(D5402="","",VLOOKUP(D5402, RECETTES!B:G, 6, FALSE)*E5402)</f>
        <v/>
      </c>
      <c r="J5402" s="8">
        <f>IF(G5402="","",G5402*0.20)</f>
        <v/>
      </c>
      <c r="K5402" s="8">
        <f>IF(G5402="","",G5402+J5402)</f>
        <v/>
      </c>
    </row>
    <row r="5403">
      <c r="F5403" s="8" t="n"/>
      <c r="G5403" s="8">
        <f>IF(E5403="","",E5403*F5403)</f>
        <v/>
      </c>
      <c r="H5403" s="8">
        <f>IF(G5403="","",G5403-I5403)</f>
        <v/>
      </c>
      <c r="I5403" s="8">
        <f>IF(D5403="","",VLOOKUP(D5403, RECETTES!B:G, 6, FALSE)*E5403)</f>
        <v/>
      </c>
      <c r="J5403" s="8">
        <f>IF(G5403="","",G5403*0.20)</f>
        <v/>
      </c>
      <c r="K5403" s="8">
        <f>IF(G5403="","",G5403+J5403)</f>
        <v/>
      </c>
    </row>
    <row r="5404">
      <c r="F5404" s="8" t="n"/>
      <c r="G5404" s="8">
        <f>IF(E5404="","",E5404*F5404)</f>
        <v/>
      </c>
      <c r="H5404" s="8">
        <f>IF(G5404="","",G5404-I5404)</f>
        <v/>
      </c>
      <c r="I5404" s="8">
        <f>IF(D5404="","",VLOOKUP(D5404, RECETTES!B:G, 6, FALSE)*E5404)</f>
        <v/>
      </c>
      <c r="J5404" s="8">
        <f>IF(G5404="","",G5404*0.20)</f>
        <v/>
      </c>
      <c r="K5404" s="8">
        <f>IF(G5404="","",G5404+J5404)</f>
        <v/>
      </c>
    </row>
    <row r="5405">
      <c r="F5405" s="8" t="n"/>
      <c r="G5405" s="8">
        <f>IF(E5405="","",E5405*F5405)</f>
        <v/>
      </c>
      <c r="H5405" s="8">
        <f>IF(G5405="","",G5405-I5405)</f>
        <v/>
      </c>
      <c r="I5405" s="8">
        <f>IF(D5405="","",VLOOKUP(D5405, RECETTES!B:G, 6, FALSE)*E5405)</f>
        <v/>
      </c>
      <c r="J5405" s="8">
        <f>IF(G5405="","",G5405*0.20)</f>
        <v/>
      </c>
      <c r="K5405" s="8">
        <f>IF(G5405="","",G5405+J5405)</f>
        <v/>
      </c>
    </row>
    <row r="5406">
      <c r="F5406" s="8" t="n"/>
      <c r="G5406" s="8">
        <f>IF(E5406="","",E5406*F5406)</f>
        <v/>
      </c>
      <c r="H5406" s="8">
        <f>IF(G5406="","",G5406-I5406)</f>
        <v/>
      </c>
      <c r="I5406" s="8">
        <f>IF(D5406="","",VLOOKUP(D5406, RECETTES!B:G, 6, FALSE)*E5406)</f>
        <v/>
      </c>
      <c r="J5406" s="8">
        <f>IF(G5406="","",G5406*0.20)</f>
        <v/>
      </c>
      <c r="K5406" s="8">
        <f>IF(G5406="","",G5406+J5406)</f>
        <v/>
      </c>
    </row>
    <row r="5407">
      <c r="F5407" s="8" t="n"/>
      <c r="G5407" s="8">
        <f>IF(E5407="","",E5407*F5407)</f>
        <v/>
      </c>
      <c r="H5407" s="8">
        <f>IF(G5407="","",G5407-I5407)</f>
        <v/>
      </c>
      <c r="I5407" s="8">
        <f>IF(D5407="","",VLOOKUP(D5407, RECETTES!B:G, 6, FALSE)*E5407)</f>
        <v/>
      </c>
      <c r="J5407" s="8">
        <f>IF(G5407="","",G5407*0.20)</f>
        <v/>
      </c>
      <c r="K5407" s="8">
        <f>IF(G5407="","",G5407+J5407)</f>
        <v/>
      </c>
    </row>
    <row r="5408">
      <c r="F5408" s="8" t="n"/>
      <c r="G5408" s="8">
        <f>IF(E5408="","",E5408*F5408)</f>
        <v/>
      </c>
      <c r="H5408" s="8">
        <f>IF(G5408="","",G5408-I5408)</f>
        <v/>
      </c>
      <c r="I5408" s="8">
        <f>IF(D5408="","",VLOOKUP(D5408, RECETTES!B:G, 6, FALSE)*E5408)</f>
        <v/>
      </c>
      <c r="J5408" s="8">
        <f>IF(G5408="","",G5408*0.20)</f>
        <v/>
      </c>
      <c r="K5408" s="8">
        <f>IF(G5408="","",G5408+J5408)</f>
        <v/>
      </c>
    </row>
    <row r="5409">
      <c r="F5409" s="8" t="n"/>
      <c r="G5409" s="8">
        <f>IF(E5409="","",E5409*F5409)</f>
        <v/>
      </c>
      <c r="H5409" s="8">
        <f>IF(G5409="","",G5409-I5409)</f>
        <v/>
      </c>
      <c r="I5409" s="8">
        <f>IF(D5409="","",VLOOKUP(D5409, RECETTES!B:G, 6, FALSE)*E5409)</f>
        <v/>
      </c>
      <c r="J5409" s="8">
        <f>IF(G5409="","",G5409*0.20)</f>
        <v/>
      </c>
      <c r="K5409" s="8">
        <f>IF(G5409="","",G5409+J5409)</f>
        <v/>
      </c>
    </row>
    <row r="5410">
      <c r="F5410" s="8" t="n"/>
      <c r="G5410" s="8">
        <f>IF(E5410="","",E5410*F5410)</f>
        <v/>
      </c>
      <c r="H5410" s="8">
        <f>IF(G5410="","",G5410-I5410)</f>
        <v/>
      </c>
      <c r="I5410" s="8">
        <f>IF(D5410="","",VLOOKUP(D5410, RECETTES!B:G, 6, FALSE)*E5410)</f>
        <v/>
      </c>
      <c r="J5410" s="8">
        <f>IF(G5410="","",G5410*0.20)</f>
        <v/>
      </c>
      <c r="K5410" s="8">
        <f>IF(G5410="","",G5410+J5410)</f>
        <v/>
      </c>
    </row>
    <row r="5411">
      <c r="F5411" s="8" t="n"/>
      <c r="G5411" s="8">
        <f>IF(E5411="","",E5411*F5411)</f>
        <v/>
      </c>
      <c r="H5411" s="8">
        <f>IF(G5411="","",G5411-I5411)</f>
        <v/>
      </c>
      <c r="I5411" s="8">
        <f>IF(D5411="","",VLOOKUP(D5411, RECETTES!B:G, 6, FALSE)*E5411)</f>
        <v/>
      </c>
      <c r="J5411" s="8">
        <f>IF(G5411="","",G5411*0.20)</f>
        <v/>
      </c>
      <c r="K5411" s="8">
        <f>IF(G5411="","",G5411+J5411)</f>
        <v/>
      </c>
    </row>
    <row r="5412">
      <c r="F5412" s="8" t="n"/>
      <c r="G5412" s="8">
        <f>IF(E5412="","",E5412*F5412)</f>
        <v/>
      </c>
      <c r="H5412" s="8">
        <f>IF(G5412="","",G5412-I5412)</f>
        <v/>
      </c>
      <c r="I5412" s="8">
        <f>IF(D5412="","",VLOOKUP(D5412, RECETTES!B:G, 6, FALSE)*E5412)</f>
        <v/>
      </c>
      <c r="J5412" s="8">
        <f>IF(G5412="","",G5412*0.20)</f>
        <v/>
      </c>
      <c r="K5412" s="8">
        <f>IF(G5412="","",G5412+J5412)</f>
        <v/>
      </c>
    </row>
    <row r="5413">
      <c r="F5413" s="8" t="n"/>
      <c r="G5413" s="8">
        <f>IF(E5413="","",E5413*F5413)</f>
        <v/>
      </c>
      <c r="H5413" s="8">
        <f>IF(G5413="","",G5413-I5413)</f>
        <v/>
      </c>
      <c r="I5413" s="8">
        <f>IF(D5413="","",VLOOKUP(D5413, RECETTES!B:G, 6, FALSE)*E5413)</f>
        <v/>
      </c>
      <c r="J5413" s="8">
        <f>IF(G5413="","",G5413*0.20)</f>
        <v/>
      </c>
      <c r="K5413" s="8">
        <f>IF(G5413="","",G5413+J5413)</f>
        <v/>
      </c>
    </row>
    <row r="5414">
      <c r="F5414" s="8" t="n"/>
      <c r="G5414" s="8">
        <f>IF(E5414="","",E5414*F5414)</f>
        <v/>
      </c>
      <c r="H5414" s="8">
        <f>IF(G5414="","",G5414-I5414)</f>
        <v/>
      </c>
      <c r="I5414" s="8">
        <f>IF(D5414="","",VLOOKUP(D5414, RECETTES!B:G, 6, FALSE)*E5414)</f>
        <v/>
      </c>
      <c r="J5414" s="8">
        <f>IF(G5414="","",G5414*0.20)</f>
        <v/>
      </c>
      <c r="K5414" s="8">
        <f>IF(G5414="","",G5414+J5414)</f>
        <v/>
      </c>
    </row>
    <row r="5415">
      <c r="F5415" s="8" t="n"/>
      <c r="G5415" s="8">
        <f>IF(E5415="","",E5415*F5415)</f>
        <v/>
      </c>
      <c r="H5415" s="8">
        <f>IF(G5415="","",G5415-I5415)</f>
        <v/>
      </c>
      <c r="I5415" s="8">
        <f>IF(D5415="","",VLOOKUP(D5415, RECETTES!B:G, 6, FALSE)*E5415)</f>
        <v/>
      </c>
      <c r="J5415" s="8">
        <f>IF(G5415="","",G5415*0.20)</f>
        <v/>
      </c>
      <c r="K5415" s="8">
        <f>IF(G5415="","",G5415+J5415)</f>
        <v/>
      </c>
    </row>
    <row r="5416">
      <c r="F5416" s="8" t="n"/>
      <c r="G5416" s="8">
        <f>IF(E5416="","",E5416*F5416)</f>
        <v/>
      </c>
      <c r="H5416" s="8">
        <f>IF(G5416="","",G5416-I5416)</f>
        <v/>
      </c>
      <c r="I5416" s="8">
        <f>IF(D5416="","",VLOOKUP(D5416, RECETTES!B:G, 6, FALSE)*E5416)</f>
        <v/>
      </c>
      <c r="J5416" s="8">
        <f>IF(G5416="","",G5416*0.20)</f>
        <v/>
      </c>
      <c r="K5416" s="8">
        <f>IF(G5416="","",G5416+J5416)</f>
        <v/>
      </c>
    </row>
    <row r="5417">
      <c r="F5417" s="8" t="n"/>
      <c r="G5417" s="8">
        <f>IF(E5417="","",E5417*F5417)</f>
        <v/>
      </c>
      <c r="H5417" s="8">
        <f>IF(G5417="","",G5417-I5417)</f>
        <v/>
      </c>
      <c r="I5417" s="8">
        <f>IF(D5417="","",VLOOKUP(D5417, RECETTES!B:G, 6, FALSE)*E5417)</f>
        <v/>
      </c>
      <c r="J5417" s="8">
        <f>IF(G5417="","",G5417*0.20)</f>
        <v/>
      </c>
      <c r="K5417" s="8">
        <f>IF(G5417="","",G5417+J5417)</f>
        <v/>
      </c>
    </row>
    <row r="5418">
      <c r="F5418" s="8" t="n"/>
      <c r="G5418" s="8">
        <f>IF(E5418="","",E5418*F5418)</f>
        <v/>
      </c>
      <c r="H5418" s="8">
        <f>IF(G5418="","",G5418-I5418)</f>
        <v/>
      </c>
      <c r="I5418" s="8">
        <f>IF(D5418="","",VLOOKUP(D5418, RECETTES!B:G, 6, FALSE)*E5418)</f>
        <v/>
      </c>
      <c r="J5418" s="8">
        <f>IF(G5418="","",G5418*0.20)</f>
        <v/>
      </c>
      <c r="K5418" s="8">
        <f>IF(G5418="","",G5418+J5418)</f>
        <v/>
      </c>
    </row>
    <row r="5419">
      <c r="F5419" s="8" t="n"/>
      <c r="G5419" s="8">
        <f>IF(E5419="","",E5419*F5419)</f>
        <v/>
      </c>
      <c r="H5419" s="8">
        <f>IF(G5419="","",G5419-I5419)</f>
        <v/>
      </c>
      <c r="I5419" s="8">
        <f>IF(D5419="","",VLOOKUP(D5419, RECETTES!B:G, 6, FALSE)*E5419)</f>
        <v/>
      </c>
      <c r="J5419" s="8">
        <f>IF(G5419="","",G5419*0.20)</f>
        <v/>
      </c>
      <c r="K5419" s="8">
        <f>IF(G5419="","",G5419+J5419)</f>
        <v/>
      </c>
    </row>
    <row r="5420">
      <c r="F5420" s="8" t="n"/>
      <c r="G5420" s="8">
        <f>IF(E5420="","",E5420*F5420)</f>
        <v/>
      </c>
      <c r="H5420" s="8">
        <f>IF(G5420="","",G5420-I5420)</f>
        <v/>
      </c>
      <c r="I5420" s="8">
        <f>IF(D5420="","",VLOOKUP(D5420, RECETTES!B:G, 6, FALSE)*E5420)</f>
        <v/>
      </c>
      <c r="J5420" s="8">
        <f>IF(G5420="","",G5420*0.20)</f>
        <v/>
      </c>
      <c r="K5420" s="8">
        <f>IF(G5420="","",G5420+J5420)</f>
        <v/>
      </c>
    </row>
    <row r="5421">
      <c r="F5421" s="8" t="n"/>
      <c r="G5421" s="8">
        <f>IF(E5421="","",E5421*F5421)</f>
        <v/>
      </c>
      <c r="H5421" s="8">
        <f>IF(G5421="","",G5421-I5421)</f>
        <v/>
      </c>
      <c r="I5421" s="8">
        <f>IF(D5421="","",VLOOKUP(D5421, RECETTES!B:G, 6, FALSE)*E5421)</f>
        <v/>
      </c>
      <c r="J5421" s="8">
        <f>IF(G5421="","",G5421*0.20)</f>
        <v/>
      </c>
      <c r="K5421" s="8">
        <f>IF(G5421="","",G5421+J5421)</f>
        <v/>
      </c>
    </row>
    <row r="5422">
      <c r="F5422" s="8" t="n"/>
      <c r="G5422" s="8">
        <f>IF(E5422="","",E5422*F5422)</f>
        <v/>
      </c>
      <c r="H5422" s="8">
        <f>IF(G5422="","",G5422-I5422)</f>
        <v/>
      </c>
      <c r="I5422" s="8">
        <f>IF(D5422="","",VLOOKUP(D5422, RECETTES!B:G, 6, FALSE)*E5422)</f>
        <v/>
      </c>
      <c r="J5422" s="8">
        <f>IF(G5422="","",G5422*0.20)</f>
        <v/>
      </c>
      <c r="K5422" s="8">
        <f>IF(G5422="","",G5422+J5422)</f>
        <v/>
      </c>
    </row>
    <row r="5423">
      <c r="F5423" s="8" t="n"/>
      <c r="G5423" s="8">
        <f>IF(E5423="","",E5423*F5423)</f>
        <v/>
      </c>
      <c r="H5423" s="8">
        <f>IF(G5423="","",G5423-I5423)</f>
        <v/>
      </c>
      <c r="I5423" s="8">
        <f>IF(D5423="","",VLOOKUP(D5423, RECETTES!B:G, 6, FALSE)*E5423)</f>
        <v/>
      </c>
      <c r="J5423" s="8">
        <f>IF(G5423="","",G5423*0.20)</f>
        <v/>
      </c>
      <c r="K5423" s="8">
        <f>IF(G5423="","",G5423+J5423)</f>
        <v/>
      </c>
    </row>
    <row r="5424">
      <c r="F5424" s="8" t="n"/>
      <c r="G5424" s="8">
        <f>IF(E5424="","",E5424*F5424)</f>
        <v/>
      </c>
      <c r="H5424" s="8">
        <f>IF(G5424="","",G5424-I5424)</f>
        <v/>
      </c>
      <c r="I5424" s="8">
        <f>IF(D5424="","",VLOOKUP(D5424, RECETTES!B:G, 6, FALSE)*E5424)</f>
        <v/>
      </c>
      <c r="J5424" s="8">
        <f>IF(G5424="","",G5424*0.20)</f>
        <v/>
      </c>
      <c r="K5424" s="8">
        <f>IF(G5424="","",G5424+J5424)</f>
        <v/>
      </c>
    </row>
    <row r="5425">
      <c r="F5425" s="8" t="n"/>
      <c r="G5425" s="8">
        <f>IF(E5425="","",E5425*F5425)</f>
        <v/>
      </c>
      <c r="H5425" s="8">
        <f>IF(G5425="","",G5425-I5425)</f>
        <v/>
      </c>
      <c r="I5425" s="8">
        <f>IF(D5425="","",VLOOKUP(D5425, RECETTES!B:G, 6, FALSE)*E5425)</f>
        <v/>
      </c>
      <c r="J5425" s="8">
        <f>IF(G5425="","",G5425*0.20)</f>
        <v/>
      </c>
      <c r="K5425" s="8">
        <f>IF(G5425="","",G5425+J5425)</f>
        <v/>
      </c>
    </row>
    <row r="5426">
      <c r="F5426" s="8" t="n"/>
      <c r="G5426" s="8">
        <f>IF(E5426="","",E5426*F5426)</f>
        <v/>
      </c>
      <c r="H5426" s="8">
        <f>IF(G5426="","",G5426-I5426)</f>
        <v/>
      </c>
      <c r="I5426" s="8">
        <f>IF(D5426="","",VLOOKUP(D5426, RECETTES!B:G, 6, FALSE)*E5426)</f>
        <v/>
      </c>
      <c r="J5426" s="8">
        <f>IF(G5426="","",G5426*0.20)</f>
        <v/>
      </c>
      <c r="K5426" s="8">
        <f>IF(G5426="","",G5426+J5426)</f>
        <v/>
      </c>
    </row>
    <row r="5427">
      <c r="F5427" s="8" t="n"/>
      <c r="G5427" s="8">
        <f>IF(E5427="","",E5427*F5427)</f>
        <v/>
      </c>
      <c r="H5427" s="8">
        <f>IF(G5427="","",G5427-I5427)</f>
        <v/>
      </c>
      <c r="I5427" s="8">
        <f>IF(D5427="","",VLOOKUP(D5427, RECETTES!B:G, 6, FALSE)*E5427)</f>
        <v/>
      </c>
      <c r="J5427" s="8">
        <f>IF(G5427="","",G5427*0.20)</f>
        <v/>
      </c>
      <c r="K5427" s="8">
        <f>IF(G5427="","",G5427+J5427)</f>
        <v/>
      </c>
    </row>
    <row r="5428">
      <c r="F5428" s="8" t="n"/>
      <c r="G5428" s="8">
        <f>IF(E5428="","",E5428*F5428)</f>
        <v/>
      </c>
      <c r="H5428" s="8">
        <f>IF(G5428="","",G5428-I5428)</f>
        <v/>
      </c>
      <c r="I5428" s="8">
        <f>IF(D5428="","",VLOOKUP(D5428, RECETTES!B:G, 6, FALSE)*E5428)</f>
        <v/>
      </c>
      <c r="J5428" s="8">
        <f>IF(G5428="","",G5428*0.20)</f>
        <v/>
      </c>
      <c r="K5428" s="8">
        <f>IF(G5428="","",G5428+J5428)</f>
        <v/>
      </c>
    </row>
    <row r="5429">
      <c r="F5429" s="8" t="n"/>
      <c r="G5429" s="8">
        <f>IF(E5429="","",E5429*F5429)</f>
        <v/>
      </c>
      <c r="H5429" s="8">
        <f>IF(G5429="","",G5429-I5429)</f>
        <v/>
      </c>
      <c r="I5429" s="8">
        <f>IF(D5429="","",VLOOKUP(D5429, RECETTES!B:G, 6, FALSE)*E5429)</f>
        <v/>
      </c>
      <c r="J5429" s="8">
        <f>IF(G5429="","",G5429*0.20)</f>
        <v/>
      </c>
      <c r="K5429" s="8">
        <f>IF(G5429="","",G5429+J5429)</f>
        <v/>
      </c>
    </row>
    <row r="5430">
      <c r="F5430" s="8" t="n"/>
      <c r="G5430" s="8">
        <f>IF(E5430="","",E5430*F5430)</f>
        <v/>
      </c>
      <c r="H5430" s="8">
        <f>IF(G5430="","",G5430-I5430)</f>
        <v/>
      </c>
      <c r="I5430" s="8">
        <f>IF(D5430="","",VLOOKUP(D5430, RECETTES!B:G, 6, FALSE)*E5430)</f>
        <v/>
      </c>
      <c r="J5430" s="8">
        <f>IF(G5430="","",G5430*0.20)</f>
        <v/>
      </c>
      <c r="K5430" s="8">
        <f>IF(G5430="","",G5430+J5430)</f>
        <v/>
      </c>
    </row>
    <row r="5431">
      <c r="F5431" s="8" t="n"/>
      <c r="G5431" s="8">
        <f>IF(E5431="","",E5431*F5431)</f>
        <v/>
      </c>
      <c r="H5431" s="8">
        <f>IF(G5431="","",G5431-I5431)</f>
        <v/>
      </c>
      <c r="I5431" s="8">
        <f>IF(D5431="","",VLOOKUP(D5431, RECETTES!B:G, 6, FALSE)*E5431)</f>
        <v/>
      </c>
      <c r="J5431" s="8">
        <f>IF(G5431="","",G5431*0.20)</f>
        <v/>
      </c>
      <c r="K5431" s="8">
        <f>IF(G5431="","",G5431+J5431)</f>
        <v/>
      </c>
    </row>
    <row r="5432">
      <c r="F5432" s="8" t="n"/>
      <c r="G5432" s="8">
        <f>IF(E5432="","",E5432*F5432)</f>
        <v/>
      </c>
      <c r="H5432" s="8">
        <f>IF(G5432="","",G5432-I5432)</f>
        <v/>
      </c>
      <c r="I5432" s="8">
        <f>IF(D5432="","",VLOOKUP(D5432, RECETTES!B:G, 6, FALSE)*E5432)</f>
        <v/>
      </c>
      <c r="J5432" s="8">
        <f>IF(G5432="","",G5432*0.20)</f>
        <v/>
      </c>
      <c r="K5432" s="8">
        <f>IF(G5432="","",G5432+J5432)</f>
        <v/>
      </c>
    </row>
    <row r="5433">
      <c r="F5433" s="8" t="n"/>
      <c r="G5433" s="8">
        <f>IF(E5433="","",E5433*F5433)</f>
        <v/>
      </c>
      <c r="H5433" s="8">
        <f>IF(G5433="","",G5433-I5433)</f>
        <v/>
      </c>
      <c r="I5433" s="8">
        <f>IF(D5433="","",VLOOKUP(D5433, RECETTES!B:G, 6, FALSE)*E5433)</f>
        <v/>
      </c>
      <c r="J5433" s="8">
        <f>IF(G5433="","",G5433*0.20)</f>
        <v/>
      </c>
      <c r="K5433" s="8">
        <f>IF(G5433="","",G5433+J5433)</f>
        <v/>
      </c>
    </row>
    <row r="5434">
      <c r="F5434" s="8" t="n"/>
      <c r="G5434" s="8">
        <f>IF(E5434="","",E5434*F5434)</f>
        <v/>
      </c>
      <c r="H5434" s="8">
        <f>IF(G5434="","",G5434-I5434)</f>
        <v/>
      </c>
      <c r="I5434" s="8">
        <f>IF(D5434="","",VLOOKUP(D5434, RECETTES!B:G, 6, FALSE)*E5434)</f>
        <v/>
      </c>
      <c r="J5434" s="8">
        <f>IF(G5434="","",G5434*0.20)</f>
        <v/>
      </c>
      <c r="K5434" s="8">
        <f>IF(G5434="","",G5434+J5434)</f>
        <v/>
      </c>
    </row>
    <row r="5435">
      <c r="F5435" s="8" t="n"/>
      <c r="G5435" s="8">
        <f>IF(E5435="","",E5435*F5435)</f>
        <v/>
      </c>
      <c r="H5435" s="8">
        <f>IF(G5435="","",G5435-I5435)</f>
        <v/>
      </c>
      <c r="I5435" s="8">
        <f>IF(D5435="","",VLOOKUP(D5435, RECETTES!B:G, 6, FALSE)*E5435)</f>
        <v/>
      </c>
      <c r="J5435" s="8">
        <f>IF(G5435="","",G5435*0.20)</f>
        <v/>
      </c>
      <c r="K5435" s="8">
        <f>IF(G5435="","",G5435+J5435)</f>
        <v/>
      </c>
    </row>
    <row r="5436">
      <c r="F5436" s="8" t="n"/>
      <c r="G5436" s="8">
        <f>IF(E5436="","",E5436*F5436)</f>
        <v/>
      </c>
      <c r="H5436" s="8">
        <f>IF(G5436="","",G5436-I5436)</f>
        <v/>
      </c>
      <c r="I5436" s="8">
        <f>IF(D5436="","",VLOOKUP(D5436, RECETTES!B:G, 6, FALSE)*E5436)</f>
        <v/>
      </c>
      <c r="J5436" s="8">
        <f>IF(G5436="","",G5436*0.20)</f>
        <v/>
      </c>
      <c r="K5436" s="8">
        <f>IF(G5436="","",G5436+J5436)</f>
        <v/>
      </c>
    </row>
    <row r="5437">
      <c r="F5437" s="8" t="n"/>
      <c r="G5437" s="8">
        <f>IF(E5437="","",E5437*F5437)</f>
        <v/>
      </c>
      <c r="H5437" s="8">
        <f>IF(G5437="","",G5437-I5437)</f>
        <v/>
      </c>
      <c r="I5437" s="8">
        <f>IF(D5437="","",VLOOKUP(D5437, RECETTES!B:G, 6, FALSE)*E5437)</f>
        <v/>
      </c>
      <c r="J5437" s="8">
        <f>IF(G5437="","",G5437*0.20)</f>
        <v/>
      </c>
      <c r="K5437" s="8">
        <f>IF(G5437="","",G5437+J5437)</f>
        <v/>
      </c>
    </row>
    <row r="5438">
      <c r="F5438" s="8" t="n"/>
      <c r="G5438" s="8">
        <f>IF(E5438="","",E5438*F5438)</f>
        <v/>
      </c>
      <c r="H5438" s="8">
        <f>IF(G5438="","",G5438-I5438)</f>
        <v/>
      </c>
      <c r="I5438" s="8">
        <f>IF(D5438="","",VLOOKUP(D5438, RECETTES!B:G, 6, FALSE)*E5438)</f>
        <v/>
      </c>
      <c r="J5438" s="8">
        <f>IF(G5438="","",G5438*0.20)</f>
        <v/>
      </c>
      <c r="K5438" s="8">
        <f>IF(G5438="","",G5438+J5438)</f>
        <v/>
      </c>
    </row>
    <row r="5439">
      <c r="F5439" s="8" t="n"/>
      <c r="G5439" s="8">
        <f>IF(E5439="","",E5439*F5439)</f>
        <v/>
      </c>
      <c r="H5439" s="8">
        <f>IF(G5439="","",G5439-I5439)</f>
        <v/>
      </c>
      <c r="I5439" s="8">
        <f>IF(D5439="","",VLOOKUP(D5439, RECETTES!B:G, 6, FALSE)*E5439)</f>
        <v/>
      </c>
      <c r="J5439" s="8">
        <f>IF(G5439="","",G5439*0.20)</f>
        <v/>
      </c>
      <c r="K5439" s="8">
        <f>IF(G5439="","",G5439+J5439)</f>
        <v/>
      </c>
    </row>
    <row r="5440">
      <c r="F5440" s="8" t="n"/>
      <c r="G5440" s="8">
        <f>IF(E5440="","",E5440*F5440)</f>
        <v/>
      </c>
      <c r="H5440" s="8">
        <f>IF(G5440="","",G5440-I5440)</f>
        <v/>
      </c>
      <c r="I5440" s="8">
        <f>IF(D5440="","",VLOOKUP(D5440, RECETTES!B:G, 6, FALSE)*E5440)</f>
        <v/>
      </c>
      <c r="J5440" s="8">
        <f>IF(G5440="","",G5440*0.20)</f>
        <v/>
      </c>
      <c r="K5440" s="8">
        <f>IF(G5440="","",G5440+J5440)</f>
        <v/>
      </c>
    </row>
    <row r="5441">
      <c r="F5441" s="8" t="n"/>
      <c r="G5441" s="8">
        <f>IF(E5441="","",E5441*F5441)</f>
        <v/>
      </c>
      <c r="H5441" s="8">
        <f>IF(G5441="","",G5441-I5441)</f>
        <v/>
      </c>
      <c r="I5441" s="8">
        <f>IF(D5441="","",VLOOKUP(D5441, RECETTES!B:G, 6, FALSE)*E5441)</f>
        <v/>
      </c>
      <c r="J5441" s="8">
        <f>IF(G5441="","",G5441*0.20)</f>
        <v/>
      </c>
      <c r="K5441" s="8">
        <f>IF(G5441="","",G5441+J5441)</f>
        <v/>
      </c>
    </row>
    <row r="5442">
      <c r="F5442" s="8" t="n"/>
      <c r="G5442" s="8">
        <f>IF(E5442="","",E5442*F5442)</f>
        <v/>
      </c>
      <c r="H5442" s="8">
        <f>IF(G5442="","",G5442-I5442)</f>
        <v/>
      </c>
      <c r="I5442" s="8">
        <f>IF(D5442="","",VLOOKUP(D5442, RECETTES!B:G, 6, FALSE)*E5442)</f>
        <v/>
      </c>
      <c r="J5442" s="8">
        <f>IF(G5442="","",G5442*0.20)</f>
        <v/>
      </c>
      <c r="K5442" s="8">
        <f>IF(G5442="","",G5442+J5442)</f>
        <v/>
      </c>
    </row>
    <row r="5443">
      <c r="F5443" s="8" t="n"/>
      <c r="G5443" s="8">
        <f>IF(E5443="","",E5443*F5443)</f>
        <v/>
      </c>
      <c r="H5443" s="8">
        <f>IF(G5443="","",G5443-I5443)</f>
        <v/>
      </c>
      <c r="I5443" s="8">
        <f>IF(D5443="","",VLOOKUP(D5443, RECETTES!B:G, 6, FALSE)*E5443)</f>
        <v/>
      </c>
      <c r="J5443" s="8">
        <f>IF(G5443="","",G5443*0.20)</f>
        <v/>
      </c>
      <c r="K5443" s="8">
        <f>IF(G5443="","",G5443+J5443)</f>
        <v/>
      </c>
    </row>
    <row r="5444">
      <c r="F5444" s="8" t="n"/>
      <c r="G5444" s="8">
        <f>IF(E5444="","",E5444*F5444)</f>
        <v/>
      </c>
      <c r="H5444" s="8">
        <f>IF(G5444="","",G5444-I5444)</f>
        <v/>
      </c>
      <c r="I5444" s="8">
        <f>IF(D5444="","",VLOOKUP(D5444, RECETTES!B:G, 6, FALSE)*E5444)</f>
        <v/>
      </c>
      <c r="J5444" s="8">
        <f>IF(G5444="","",G5444*0.20)</f>
        <v/>
      </c>
      <c r="K5444" s="8">
        <f>IF(G5444="","",G5444+J5444)</f>
        <v/>
      </c>
    </row>
    <row r="5445">
      <c r="F5445" s="8" t="n"/>
      <c r="G5445" s="8">
        <f>IF(E5445="","",E5445*F5445)</f>
        <v/>
      </c>
      <c r="H5445" s="8">
        <f>IF(G5445="","",G5445-I5445)</f>
        <v/>
      </c>
      <c r="I5445" s="8">
        <f>IF(D5445="","",VLOOKUP(D5445, RECETTES!B:G, 6, FALSE)*E5445)</f>
        <v/>
      </c>
      <c r="J5445" s="8">
        <f>IF(G5445="","",G5445*0.20)</f>
        <v/>
      </c>
      <c r="K5445" s="8">
        <f>IF(G5445="","",G5445+J5445)</f>
        <v/>
      </c>
    </row>
    <row r="5446">
      <c r="F5446" s="8" t="n"/>
      <c r="G5446" s="8">
        <f>IF(E5446="","",E5446*F5446)</f>
        <v/>
      </c>
      <c r="H5446" s="8">
        <f>IF(G5446="","",G5446-I5446)</f>
        <v/>
      </c>
      <c r="I5446" s="8">
        <f>IF(D5446="","",VLOOKUP(D5446, RECETTES!B:G, 6, FALSE)*E5446)</f>
        <v/>
      </c>
      <c r="J5446" s="8">
        <f>IF(G5446="","",G5446*0.20)</f>
        <v/>
      </c>
      <c r="K5446" s="8">
        <f>IF(G5446="","",G5446+J5446)</f>
        <v/>
      </c>
    </row>
    <row r="5447">
      <c r="F5447" s="8" t="n"/>
      <c r="G5447" s="8">
        <f>IF(E5447="","",E5447*F5447)</f>
        <v/>
      </c>
      <c r="H5447" s="8">
        <f>IF(G5447="","",G5447-I5447)</f>
        <v/>
      </c>
      <c r="I5447" s="8">
        <f>IF(D5447="","",VLOOKUP(D5447, RECETTES!B:G, 6, FALSE)*E5447)</f>
        <v/>
      </c>
      <c r="J5447" s="8">
        <f>IF(G5447="","",G5447*0.20)</f>
        <v/>
      </c>
      <c r="K5447" s="8">
        <f>IF(G5447="","",G5447+J5447)</f>
        <v/>
      </c>
    </row>
    <row r="5448">
      <c r="F5448" s="8" t="n"/>
      <c r="G5448" s="8">
        <f>IF(E5448="","",E5448*F5448)</f>
        <v/>
      </c>
      <c r="H5448" s="8">
        <f>IF(G5448="","",G5448-I5448)</f>
        <v/>
      </c>
      <c r="I5448" s="8">
        <f>IF(D5448="","",VLOOKUP(D5448, RECETTES!B:G, 6, FALSE)*E5448)</f>
        <v/>
      </c>
      <c r="J5448" s="8">
        <f>IF(G5448="","",G5448*0.20)</f>
        <v/>
      </c>
      <c r="K5448" s="8">
        <f>IF(G5448="","",G5448+J5448)</f>
        <v/>
      </c>
    </row>
    <row r="5449">
      <c r="F5449" s="8" t="n"/>
      <c r="G5449" s="8">
        <f>IF(E5449="","",E5449*F5449)</f>
        <v/>
      </c>
      <c r="H5449" s="8">
        <f>IF(G5449="","",G5449-I5449)</f>
        <v/>
      </c>
      <c r="I5449" s="8">
        <f>IF(D5449="","",VLOOKUP(D5449, RECETTES!B:G, 6, FALSE)*E5449)</f>
        <v/>
      </c>
      <c r="J5449" s="8">
        <f>IF(G5449="","",G5449*0.20)</f>
        <v/>
      </c>
      <c r="K5449" s="8">
        <f>IF(G5449="","",G5449+J5449)</f>
        <v/>
      </c>
    </row>
    <row r="5450">
      <c r="F5450" s="8" t="n"/>
      <c r="G5450" s="8">
        <f>IF(E5450="","",E5450*F5450)</f>
        <v/>
      </c>
      <c r="H5450" s="8">
        <f>IF(G5450="","",G5450-I5450)</f>
        <v/>
      </c>
      <c r="I5450" s="8">
        <f>IF(D5450="","",VLOOKUP(D5450, RECETTES!B:G, 6, FALSE)*E5450)</f>
        <v/>
      </c>
      <c r="J5450" s="8">
        <f>IF(G5450="","",G5450*0.20)</f>
        <v/>
      </c>
      <c r="K5450" s="8">
        <f>IF(G5450="","",G5450+J5450)</f>
        <v/>
      </c>
    </row>
    <row r="5451">
      <c r="F5451" s="8" t="n"/>
      <c r="G5451" s="8">
        <f>IF(E5451="","",E5451*F5451)</f>
        <v/>
      </c>
      <c r="H5451" s="8">
        <f>IF(G5451="","",G5451-I5451)</f>
        <v/>
      </c>
      <c r="I5451" s="8">
        <f>IF(D5451="","",VLOOKUP(D5451, RECETTES!B:G, 6, FALSE)*E5451)</f>
        <v/>
      </c>
      <c r="J5451" s="8">
        <f>IF(G5451="","",G5451*0.20)</f>
        <v/>
      </c>
      <c r="K5451" s="8">
        <f>IF(G5451="","",G5451+J5451)</f>
        <v/>
      </c>
    </row>
    <row r="5452">
      <c r="F5452" s="8" t="n"/>
      <c r="G5452" s="8">
        <f>IF(E5452="","",E5452*F5452)</f>
        <v/>
      </c>
      <c r="H5452" s="8">
        <f>IF(G5452="","",G5452-I5452)</f>
        <v/>
      </c>
      <c r="I5452" s="8">
        <f>IF(D5452="","",VLOOKUP(D5452, RECETTES!B:G, 6, FALSE)*E5452)</f>
        <v/>
      </c>
      <c r="J5452" s="8">
        <f>IF(G5452="","",G5452*0.20)</f>
        <v/>
      </c>
      <c r="K5452" s="8">
        <f>IF(G5452="","",G5452+J5452)</f>
        <v/>
      </c>
    </row>
    <row r="5453">
      <c r="F5453" s="8" t="n"/>
      <c r="G5453" s="8">
        <f>IF(E5453="","",E5453*F5453)</f>
        <v/>
      </c>
      <c r="H5453" s="8">
        <f>IF(G5453="","",G5453-I5453)</f>
        <v/>
      </c>
      <c r="I5453" s="8">
        <f>IF(D5453="","",VLOOKUP(D5453, RECETTES!B:G, 6, FALSE)*E5453)</f>
        <v/>
      </c>
      <c r="J5453" s="8">
        <f>IF(G5453="","",G5453*0.20)</f>
        <v/>
      </c>
      <c r="K5453" s="8">
        <f>IF(G5453="","",G5453+J5453)</f>
        <v/>
      </c>
    </row>
    <row r="5454">
      <c r="F5454" s="8" t="n"/>
      <c r="G5454" s="8">
        <f>IF(E5454="","",E5454*F5454)</f>
        <v/>
      </c>
      <c r="H5454" s="8">
        <f>IF(G5454="","",G5454-I5454)</f>
        <v/>
      </c>
      <c r="I5454" s="8">
        <f>IF(D5454="","",VLOOKUP(D5454, RECETTES!B:G, 6, FALSE)*E5454)</f>
        <v/>
      </c>
      <c r="J5454" s="8">
        <f>IF(G5454="","",G5454*0.20)</f>
        <v/>
      </c>
      <c r="K5454" s="8">
        <f>IF(G5454="","",G5454+J5454)</f>
        <v/>
      </c>
    </row>
    <row r="5455">
      <c r="F5455" s="8" t="n"/>
      <c r="G5455" s="8">
        <f>IF(E5455="","",E5455*F5455)</f>
        <v/>
      </c>
      <c r="H5455" s="8">
        <f>IF(G5455="","",G5455-I5455)</f>
        <v/>
      </c>
      <c r="I5455" s="8">
        <f>IF(D5455="","",VLOOKUP(D5455, RECETTES!B:G, 6, FALSE)*E5455)</f>
        <v/>
      </c>
      <c r="J5455" s="8">
        <f>IF(G5455="","",G5455*0.20)</f>
        <v/>
      </c>
      <c r="K5455" s="8">
        <f>IF(G5455="","",G5455+J5455)</f>
        <v/>
      </c>
    </row>
    <row r="5456">
      <c r="F5456" s="8" t="n"/>
      <c r="G5456" s="8">
        <f>IF(E5456="","",E5456*F5456)</f>
        <v/>
      </c>
      <c r="H5456" s="8">
        <f>IF(G5456="","",G5456-I5456)</f>
        <v/>
      </c>
      <c r="I5456" s="8">
        <f>IF(D5456="","",VLOOKUP(D5456, RECETTES!B:G, 6, FALSE)*E5456)</f>
        <v/>
      </c>
      <c r="J5456" s="8">
        <f>IF(G5456="","",G5456*0.20)</f>
        <v/>
      </c>
      <c r="K5456" s="8">
        <f>IF(G5456="","",G5456+J5456)</f>
        <v/>
      </c>
    </row>
    <row r="5457">
      <c r="F5457" s="8" t="n"/>
      <c r="G5457" s="8">
        <f>IF(E5457="","",E5457*F5457)</f>
        <v/>
      </c>
      <c r="H5457" s="8">
        <f>IF(G5457="","",G5457-I5457)</f>
        <v/>
      </c>
      <c r="I5457" s="8">
        <f>IF(D5457="","",VLOOKUP(D5457, RECETTES!B:G, 6, FALSE)*E5457)</f>
        <v/>
      </c>
      <c r="J5457" s="8">
        <f>IF(G5457="","",G5457*0.20)</f>
        <v/>
      </c>
      <c r="K5457" s="8">
        <f>IF(G5457="","",G5457+J5457)</f>
        <v/>
      </c>
    </row>
    <row r="5458">
      <c r="F5458" s="8" t="n"/>
      <c r="G5458" s="8">
        <f>IF(E5458="","",E5458*F5458)</f>
        <v/>
      </c>
      <c r="H5458" s="8">
        <f>IF(G5458="","",G5458-I5458)</f>
        <v/>
      </c>
      <c r="I5458" s="8">
        <f>IF(D5458="","",VLOOKUP(D5458, RECETTES!B:G, 6, FALSE)*E5458)</f>
        <v/>
      </c>
      <c r="J5458" s="8">
        <f>IF(G5458="","",G5458*0.20)</f>
        <v/>
      </c>
      <c r="K5458" s="8">
        <f>IF(G5458="","",G5458+J5458)</f>
        <v/>
      </c>
    </row>
    <row r="5459">
      <c r="F5459" s="8" t="n"/>
      <c r="G5459" s="8">
        <f>IF(E5459="","",E5459*F5459)</f>
        <v/>
      </c>
      <c r="H5459" s="8">
        <f>IF(G5459="","",G5459-I5459)</f>
        <v/>
      </c>
      <c r="I5459" s="8">
        <f>IF(D5459="","",VLOOKUP(D5459, RECETTES!B:G, 6, FALSE)*E5459)</f>
        <v/>
      </c>
      <c r="J5459" s="8">
        <f>IF(G5459="","",G5459*0.20)</f>
        <v/>
      </c>
      <c r="K5459" s="8">
        <f>IF(G5459="","",G5459+J5459)</f>
        <v/>
      </c>
    </row>
    <row r="5460">
      <c r="F5460" s="8" t="n"/>
      <c r="G5460" s="8">
        <f>IF(E5460="","",E5460*F5460)</f>
        <v/>
      </c>
      <c r="H5460" s="8">
        <f>IF(G5460="","",G5460-I5460)</f>
        <v/>
      </c>
      <c r="I5460" s="8">
        <f>IF(D5460="","",VLOOKUP(D5460, RECETTES!B:G, 6, FALSE)*E5460)</f>
        <v/>
      </c>
      <c r="J5460" s="8">
        <f>IF(G5460="","",G5460*0.20)</f>
        <v/>
      </c>
      <c r="K5460" s="8">
        <f>IF(G5460="","",G5460+J5460)</f>
        <v/>
      </c>
    </row>
    <row r="5461">
      <c r="F5461" s="8" t="n"/>
      <c r="G5461" s="8">
        <f>IF(E5461="","",E5461*F5461)</f>
        <v/>
      </c>
      <c r="H5461" s="8">
        <f>IF(G5461="","",G5461-I5461)</f>
        <v/>
      </c>
      <c r="I5461" s="8">
        <f>IF(D5461="","",VLOOKUP(D5461, RECETTES!B:G, 6, FALSE)*E5461)</f>
        <v/>
      </c>
      <c r="J5461" s="8">
        <f>IF(G5461="","",G5461*0.20)</f>
        <v/>
      </c>
      <c r="K5461" s="8">
        <f>IF(G5461="","",G5461+J5461)</f>
        <v/>
      </c>
    </row>
    <row r="5462">
      <c r="F5462" s="8" t="n"/>
      <c r="G5462" s="8">
        <f>IF(E5462="","",E5462*F5462)</f>
        <v/>
      </c>
      <c r="H5462" s="8">
        <f>IF(G5462="","",G5462-I5462)</f>
        <v/>
      </c>
      <c r="I5462" s="8">
        <f>IF(D5462="","",VLOOKUP(D5462, RECETTES!B:G, 6, FALSE)*E5462)</f>
        <v/>
      </c>
      <c r="J5462" s="8">
        <f>IF(G5462="","",G5462*0.20)</f>
        <v/>
      </c>
      <c r="K5462" s="8">
        <f>IF(G5462="","",G5462+J5462)</f>
        <v/>
      </c>
    </row>
    <row r="5463">
      <c r="F5463" s="8" t="n"/>
      <c r="G5463" s="8">
        <f>IF(E5463="","",E5463*F5463)</f>
        <v/>
      </c>
      <c r="H5463" s="8">
        <f>IF(G5463="","",G5463-I5463)</f>
        <v/>
      </c>
      <c r="I5463" s="8">
        <f>IF(D5463="","",VLOOKUP(D5463, RECETTES!B:G, 6, FALSE)*E5463)</f>
        <v/>
      </c>
      <c r="J5463" s="8">
        <f>IF(G5463="","",G5463*0.20)</f>
        <v/>
      </c>
      <c r="K5463" s="8">
        <f>IF(G5463="","",G5463+J5463)</f>
        <v/>
      </c>
    </row>
    <row r="5464">
      <c r="F5464" s="8" t="n"/>
      <c r="G5464" s="8">
        <f>IF(E5464="","",E5464*F5464)</f>
        <v/>
      </c>
      <c r="H5464" s="8">
        <f>IF(G5464="","",G5464-I5464)</f>
        <v/>
      </c>
      <c r="I5464" s="8">
        <f>IF(D5464="","",VLOOKUP(D5464, RECETTES!B:G, 6, FALSE)*E5464)</f>
        <v/>
      </c>
      <c r="J5464" s="8">
        <f>IF(G5464="","",G5464*0.20)</f>
        <v/>
      </c>
      <c r="K5464" s="8">
        <f>IF(G5464="","",G5464+J5464)</f>
        <v/>
      </c>
    </row>
    <row r="5465">
      <c r="F5465" s="8" t="n"/>
      <c r="G5465" s="8">
        <f>IF(E5465="","",E5465*F5465)</f>
        <v/>
      </c>
      <c r="H5465" s="8">
        <f>IF(G5465="","",G5465-I5465)</f>
        <v/>
      </c>
      <c r="I5465" s="8">
        <f>IF(D5465="","",VLOOKUP(D5465, RECETTES!B:G, 6, FALSE)*E5465)</f>
        <v/>
      </c>
      <c r="J5465" s="8">
        <f>IF(G5465="","",G5465*0.20)</f>
        <v/>
      </c>
      <c r="K5465" s="8">
        <f>IF(G5465="","",G5465+J5465)</f>
        <v/>
      </c>
    </row>
    <row r="5466">
      <c r="F5466" s="8" t="n"/>
      <c r="G5466" s="8">
        <f>IF(E5466="","",E5466*F5466)</f>
        <v/>
      </c>
      <c r="H5466" s="8">
        <f>IF(G5466="","",G5466-I5466)</f>
        <v/>
      </c>
      <c r="I5466" s="8">
        <f>IF(D5466="","",VLOOKUP(D5466, RECETTES!B:G, 6, FALSE)*E5466)</f>
        <v/>
      </c>
      <c r="J5466" s="8">
        <f>IF(G5466="","",G5466*0.20)</f>
        <v/>
      </c>
      <c r="K5466" s="8">
        <f>IF(G5466="","",G5466+J5466)</f>
        <v/>
      </c>
    </row>
    <row r="5467">
      <c r="F5467" s="8" t="n"/>
      <c r="G5467" s="8">
        <f>IF(E5467="","",E5467*F5467)</f>
        <v/>
      </c>
      <c r="H5467" s="8">
        <f>IF(G5467="","",G5467-I5467)</f>
        <v/>
      </c>
      <c r="I5467" s="8">
        <f>IF(D5467="","",VLOOKUP(D5467, RECETTES!B:G, 6, FALSE)*E5467)</f>
        <v/>
      </c>
      <c r="J5467" s="8">
        <f>IF(G5467="","",G5467*0.20)</f>
        <v/>
      </c>
      <c r="K5467" s="8">
        <f>IF(G5467="","",G5467+J5467)</f>
        <v/>
      </c>
    </row>
    <row r="5468">
      <c r="F5468" s="8" t="n"/>
      <c r="G5468" s="8">
        <f>IF(E5468="","",E5468*F5468)</f>
        <v/>
      </c>
      <c r="H5468" s="8">
        <f>IF(G5468="","",G5468-I5468)</f>
        <v/>
      </c>
      <c r="I5468" s="8">
        <f>IF(D5468="","",VLOOKUP(D5468, RECETTES!B:G, 6, FALSE)*E5468)</f>
        <v/>
      </c>
      <c r="J5468" s="8">
        <f>IF(G5468="","",G5468*0.20)</f>
        <v/>
      </c>
      <c r="K5468" s="8">
        <f>IF(G5468="","",G5468+J5468)</f>
        <v/>
      </c>
    </row>
    <row r="5469">
      <c r="F5469" s="8" t="n"/>
      <c r="G5469" s="8">
        <f>IF(E5469="","",E5469*F5469)</f>
        <v/>
      </c>
      <c r="H5469" s="8">
        <f>IF(G5469="","",G5469-I5469)</f>
        <v/>
      </c>
      <c r="I5469" s="8">
        <f>IF(D5469="","",VLOOKUP(D5469, RECETTES!B:G, 6, FALSE)*E5469)</f>
        <v/>
      </c>
      <c r="J5469" s="8">
        <f>IF(G5469="","",G5469*0.20)</f>
        <v/>
      </c>
      <c r="K5469" s="8">
        <f>IF(G5469="","",G5469+J5469)</f>
        <v/>
      </c>
    </row>
    <row r="5470">
      <c r="F5470" s="8" t="n"/>
      <c r="G5470" s="8">
        <f>IF(E5470="","",E5470*F5470)</f>
        <v/>
      </c>
      <c r="H5470" s="8">
        <f>IF(G5470="","",G5470-I5470)</f>
        <v/>
      </c>
      <c r="I5470" s="8">
        <f>IF(D5470="","",VLOOKUP(D5470, RECETTES!B:G, 6, FALSE)*E5470)</f>
        <v/>
      </c>
      <c r="J5470" s="8">
        <f>IF(G5470="","",G5470*0.20)</f>
        <v/>
      </c>
      <c r="K5470" s="8">
        <f>IF(G5470="","",G5470+J5470)</f>
        <v/>
      </c>
    </row>
    <row r="5471">
      <c r="F5471" s="8" t="n"/>
      <c r="G5471" s="8">
        <f>IF(E5471="","",E5471*F5471)</f>
        <v/>
      </c>
      <c r="H5471" s="8">
        <f>IF(G5471="","",G5471-I5471)</f>
        <v/>
      </c>
      <c r="I5471" s="8">
        <f>IF(D5471="","",VLOOKUP(D5471, RECETTES!B:G, 6, FALSE)*E5471)</f>
        <v/>
      </c>
      <c r="J5471" s="8">
        <f>IF(G5471="","",G5471*0.20)</f>
        <v/>
      </c>
      <c r="K5471" s="8">
        <f>IF(G5471="","",G5471+J5471)</f>
        <v/>
      </c>
    </row>
    <row r="5472">
      <c r="F5472" s="8" t="n"/>
      <c r="G5472" s="8">
        <f>IF(E5472="","",E5472*F5472)</f>
        <v/>
      </c>
      <c r="H5472" s="8">
        <f>IF(G5472="","",G5472-I5472)</f>
        <v/>
      </c>
      <c r="I5472" s="8">
        <f>IF(D5472="","",VLOOKUP(D5472, RECETTES!B:G, 6, FALSE)*E5472)</f>
        <v/>
      </c>
      <c r="J5472" s="8">
        <f>IF(G5472="","",G5472*0.20)</f>
        <v/>
      </c>
      <c r="K5472" s="8">
        <f>IF(G5472="","",G5472+J5472)</f>
        <v/>
      </c>
    </row>
    <row r="5473">
      <c r="F5473" s="8" t="n"/>
      <c r="G5473" s="8">
        <f>IF(E5473="","",E5473*F5473)</f>
        <v/>
      </c>
      <c r="H5473" s="8">
        <f>IF(G5473="","",G5473-I5473)</f>
        <v/>
      </c>
      <c r="I5473" s="8">
        <f>IF(D5473="","",VLOOKUP(D5473, RECETTES!B:G, 6, FALSE)*E5473)</f>
        <v/>
      </c>
      <c r="J5473" s="8">
        <f>IF(G5473="","",G5473*0.20)</f>
        <v/>
      </c>
      <c r="K5473" s="8">
        <f>IF(G5473="","",G5473+J5473)</f>
        <v/>
      </c>
    </row>
    <row r="5474">
      <c r="F5474" s="8" t="n"/>
      <c r="G5474" s="8">
        <f>IF(E5474="","",E5474*F5474)</f>
        <v/>
      </c>
      <c r="H5474" s="8">
        <f>IF(G5474="","",G5474-I5474)</f>
        <v/>
      </c>
      <c r="I5474" s="8">
        <f>IF(D5474="","",VLOOKUP(D5474, RECETTES!B:G, 6, FALSE)*E5474)</f>
        <v/>
      </c>
      <c r="J5474" s="8">
        <f>IF(G5474="","",G5474*0.20)</f>
        <v/>
      </c>
      <c r="K5474" s="8">
        <f>IF(G5474="","",G5474+J5474)</f>
        <v/>
      </c>
    </row>
    <row r="5475">
      <c r="F5475" s="8" t="n"/>
      <c r="G5475" s="8">
        <f>IF(E5475="","",E5475*F5475)</f>
        <v/>
      </c>
      <c r="H5475" s="8">
        <f>IF(G5475="","",G5475-I5475)</f>
        <v/>
      </c>
      <c r="I5475" s="8">
        <f>IF(D5475="","",VLOOKUP(D5475, RECETTES!B:G, 6, FALSE)*E5475)</f>
        <v/>
      </c>
      <c r="J5475" s="8">
        <f>IF(G5475="","",G5475*0.20)</f>
        <v/>
      </c>
      <c r="K5475" s="8">
        <f>IF(G5475="","",G5475+J5475)</f>
        <v/>
      </c>
    </row>
    <row r="5476">
      <c r="F5476" s="8" t="n"/>
      <c r="G5476" s="8">
        <f>IF(E5476="","",E5476*F5476)</f>
        <v/>
      </c>
      <c r="H5476" s="8">
        <f>IF(G5476="","",G5476-I5476)</f>
        <v/>
      </c>
      <c r="I5476" s="8">
        <f>IF(D5476="","",VLOOKUP(D5476, RECETTES!B:G, 6, FALSE)*E5476)</f>
        <v/>
      </c>
      <c r="J5476" s="8">
        <f>IF(G5476="","",G5476*0.20)</f>
        <v/>
      </c>
      <c r="K5476" s="8">
        <f>IF(G5476="","",G5476+J5476)</f>
        <v/>
      </c>
    </row>
    <row r="5477">
      <c r="F5477" s="8" t="n"/>
      <c r="G5477" s="8">
        <f>IF(E5477="","",E5477*F5477)</f>
        <v/>
      </c>
      <c r="H5477" s="8">
        <f>IF(G5477="","",G5477-I5477)</f>
        <v/>
      </c>
      <c r="I5477" s="8">
        <f>IF(D5477="","",VLOOKUP(D5477, RECETTES!B:G, 6, FALSE)*E5477)</f>
        <v/>
      </c>
      <c r="J5477" s="8">
        <f>IF(G5477="","",G5477*0.20)</f>
        <v/>
      </c>
      <c r="K5477" s="8">
        <f>IF(G5477="","",G5477+J5477)</f>
        <v/>
      </c>
    </row>
    <row r="5478">
      <c r="F5478" s="8" t="n"/>
      <c r="G5478" s="8">
        <f>IF(E5478="","",E5478*F5478)</f>
        <v/>
      </c>
      <c r="H5478" s="8">
        <f>IF(G5478="","",G5478-I5478)</f>
        <v/>
      </c>
      <c r="I5478" s="8">
        <f>IF(D5478="","",VLOOKUP(D5478, RECETTES!B:G, 6, FALSE)*E5478)</f>
        <v/>
      </c>
      <c r="J5478" s="8">
        <f>IF(G5478="","",G5478*0.20)</f>
        <v/>
      </c>
      <c r="K5478" s="8">
        <f>IF(G5478="","",G5478+J5478)</f>
        <v/>
      </c>
    </row>
    <row r="5479">
      <c r="F5479" s="8" t="n"/>
      <c r="G5479" s="8">
        <f>IF(E5479="","",E5479*F5479)</f>
        <v/>
      </c>
      <c r="H5479" s="8">
        <f>IF(G5479="","",G5479-I5479)</f>
        <v/>
      </c>
      <c r="I5479" s="8">
        <f>IF(D5479="","",VLOOKUP(D5479, RECETTES!B:G, 6, FALSE)*E5479)</f>
        <v/>
      </c>
      <c r="J5479" s="8">
        <f>IF(G5479="","",G5479*0.20)</f>
        <v/>
      </c>
      <c r="K5479" s="8">
        <f>IF(G5479="","",G5479+J5479)</f>
        <v/>
      </c>
    </row>
    <row r="5480">
      <c r="F5480" s="8" t="n"/>
      <c r="G5480" s="8">
        <f>IF(E5480="","",E5480*F5480)</f>
        <v/>
      </c>
      <c r="H5480" s="8">
        <f>IF(G5480="","",G5480-I5480)</f>
        <v/>
      </c>
      <c r="I5480" s="8">
        <f>IF(D5480="","",VLOOKUP(D5480, RECETTES!B:G, 6, FALSE)*E5480)</f>
        <v/>
      </c>
      <c r="J5480" s="8">
        <f>IF(G5480="","",G5480*0.20)</f>
        <v/>
      </c>
      <c r="K5480" s="8">
        <f>IF(G5480="","",G5480+J5480)</f>
        <v/>
      </c>
    </row>
    <row r="5481">
      <c r="F5481" s="8" t="n"/>
      <c r="G5481" s="8">
        <f>IF(E5481="","",E5481*F5481)</f>
        <v/>
      </c>
      <c r="H5481" s="8">
        <f>IF(G5481="","",G5481-I5481)</f>
        <v/>
      </c>
      <c r="I5481" s="8">
        <f>IF(D5481="","",VLOOKUP(D5481, RECETTES!B:G, 6, FALSE)*E5481)</f>
        <v/>
      </c>
      <c r="J5481" s="8">
        <f>IF(G5481="","",G5481*0.20)</f>
        <v/>
      </c>
      <c r="K5481" s="8">
        <f>IF(G5481="","",G5481+J5481)</f>
        <v/>
      </c>
    </row>
    <row r="5482">
      <c r="F5482" s="8" t="n"/>
      <c r="G5482" s="8">
        <f>IF(E5482="","",E5482*F5482)</f>
        <v/>
      </c>
      <c r="H5482" s="8">
        <f>IF(G5482="","",G5482-I5482)</f>
        <v/>
      </c>
      <c r="I5482" s="8">
        <f>IF(D5482="","",VLOOKUP(D5482, RECETTES!B:G, 6, FALSE)*E5482)</f>
        <v/>
      </c>
      <c r="J5482" s="8">
        <f>IF(G5482="","",G5482*0.20)</f>
        <v/>
      </c>
      <c r="K5482" s="8">
        <f>IF(G5482="","",G5482+J5482)</f>
        <v/>
      </c>
    </row>
    <row r="5483">
      <c r="F5483" s="8" t="n"/>
      <c r="G5483" s="8">
        <f>IF(E5483="","",E5483*F5483)</f>
        <v/>
      </c>
      <c r="H5483" s="8">
        <f>IF(G5483="","",G5483-I5483)</f>
        <v/>
      </c>
      <c r="I5483" s="8">
        <f>IF(D5483="","",VLOOKUP(D5483, RECETTES!B:G, 6, FALSE)*E5483)</f>
        <v/>
      </c>
      <c r="J5483" s="8">
        <f>IF(G5483="","",G5483*0.20)</f>
        <v/>
      </c>
      <c r="K5483" s="8">
        <f>IF(G5483="","",G5483+J5483)</f>
        <v/>
      </c>
    </row>
    <row r="5484">
      <c r="F5484" s="8" t="n"/>
      <c r="G5484" s="8">
        <f>IF(E5484="","",E5484*F5484)</f>
        <v/>
      </c>
      <c r="H5484" s="8">
        <f>IF(G5484="","",G5484-I5484)</f>
        <v/>
      </c>
      <c r="I5484" s="8">
        <f>IF(D5484="","",VLOOKUP(D5484, RECETTES!B:G, 6, FALSE)*E5484)</f>
        <v/>
      </c>
      <c r="J5484" s="8">
        <f>IF(G5484="","",G5484*0.20)</f>
        <v/>
      </c>
      <c r="K5484" s="8">
        <f>IF(G5484="","",G5484+J5484)</f>
        <v/>
      </c>
    </row>
    <row r="5485">
      <c r="F5485" s="8" t="n"/>
      <c r="G5485" s="8">
        <f>IF(E5485="","",E5485*F5485)</f>
        <v/>
      </c>
      <c r="H5485" s="8">
        <f>IF(G5485="","",G5485-I5485)</f>
        <v/>
      </c>
      <c r="I5485" s="8">
        <f>IF(D5485="","",VLOOKUP(D5485, RECETTES!B:G, 6, FALSE)*E5485)</f>
        <v/>
      </c>
      <c r="J5485" s="8">
        <f>IF(G5485="","",G5485*0.20)</f>
        <v/>
      </c>
      <c r="K5485" s="8">
        <f>IF(G5485="","",G5485+J5485)</f>
        <v/>
      </c>
    </row>
    <row r="5486">
      <c r="F5486" s="8" t="n"/>
      <c r="G5486" s="8">
        <f>IF(E5486="","",E5486*F5486)</f>
        <v/>
      </c>
      <c r="H5486" s="8">
        <f>IF(G5486="","",G5486-I5486)</f>
        <v/>
      </c>
      <c r="I5486" s="8">
        <f>IF(D5486="","",VLOOKUP(D5486, RECETTES!B:G, 6, FALSE)*E5486)</f>
        <v/>
      </c>
      <c r="J5486" s="8">
        <f>IF(G5486="","",G5486*0.20)</f>
        <v/>
      </c>
      <c r="K5486" s="8">
        <f>IF(G5486="","",G5486+J5486)</f>
        <v/>
      </c>
    </row>
    <row r="5487">
      <c r="F5487" s="8" t="n"/>
      <c r="G5487" s="8">
        <f>IF(E5487="","",E5487*F5487)</f>
        <v/>
      </c>
      <c r="H5487" s="8">
        <f>IF(G5487="","",G5487-I5487)</f>
        <v/>
      </c>
      <c r="I5487" s="8">
        <f>IF(D5487="","",VLOOKUP(D5487, RECETTES!B:G, 6, FALSE)*E5487)</f>
        <v/>
      </c>
      <c r="J5487" s="8">
        <f>IF(G5487="","",G5487*0.20)</f>
        <v/>
      </c>
      <c r="K5487" s="8">
        <f>IF(G5487="","",G5487+J5487)</f>
        <v/>
      </c>
    </row>
    <row r="5488">
      <c r="F5488" s="8" t="n"/>
      <c r="G5488" s="8">
        <f>IF(E5488="","",E5488*F5488)</f>
        <v/>
      </c>
      <c r="H5488" s="8">
        <f>IF(G5488="","",G5488-I5488)</f>
        <v/>
      </c>
      <c r="I5488" s="8">
        <f>IF(D5488="","",VLOOKUP(D5488, RECETTES!B:G, 6, FALSE)*E5488)</f>
        <v/>
      </c>
      <c r="J5488" s="8">
        <f>IF(G5488="","",G5488*0.20)</f>
        <v/>
      </c>
      <c r="K5488" s="8">
        <f>IF(G5488="","",G5488+J5488)</f>
        <v/>
      </c>
    </row>
    <row r="5489">
      <c r="F5489" s="8" t="n"/>
      <c r="G5489" s="8">
        <f>IF(E5489="","",E5489*F5489)</f>
        <v/>
      </c>
      <c r="H5489" s="8">
        <f>IF(G5489="","",G5489-I5489)</f>
        <v/>
      </c>
      <c r="I5489" s="8">
        <f>IF(D5489="","",VLOOKUP(D5489, RECETTES!B:G, 6, FALSE)*E5489)</f>
        <v/>
      </c>
      <c r="J5489" s="8">
        <f>IF(G5489="","",G5489*0.20)</f>
        <v/>
      </c>
      <c r="K5489" s="8">
        <f>IF(G5489="","",G5489+J5489)</f>
        <v/>
      </c>
    </row>
    <row r="5490">
      <c r="F5490" s="8" t="n"/>
      <c r="G5490" s="8">
        <f>IF(E5490="","",E5490*F5490)</f>
        <v/>
      </c>
      <c r="H5490" s="8">
        <f>IF(G5490="","",G5490-I5490)</f>
        <v/>
      </c>
      <c r="I5490" s="8">
        <f>IF(D5490="","",VLOOKUP(D5490, RECETTES!B:G, 6, FALSE)*E5490)</f>
        <v/>
      </c>
      <c r="J5490" s="8">
        <f>IF(G5490="","",G5490*0.20)</f>
        <v/>
      </c>
      <c r="K5490" s="8">
        <f>IF(G5490="","",G5490+J5490)</f>
        <v/>
      </c>
    </row>
    <row r="5491">
      <c r="F5491" s="8" t="n"/>
      <c r="G5491" s="8">
        <f>IF(E5491="","",E5491*F5491)</f>
        <v/>
      </c>
      <c r="H5491" s="8">
        <f>IF(G5491="","",G5491-I5491)</f>
        <v/>
      </c>
      <c r="I5491" s="8">
        <f>IF(D5491="","",VLOOKUP(D5491, RECETTES!B:G, 6, FALSE)*E5491)</f>
        <v/>
      </c>
      <c r="J5491" s="8">
        <f>IF(G5491="","",G5491*0.20)</f>
        <v/>
      </c>
      <c r="K5491" s="8">
        <f>IF(G5491="","",G5491+J5491)</f>
        <v/>
      </c>
    </row>
    <row r="5492">
      <c r="F5492" s="8" t="n"/>
      <c r="G5492" s="8">
        <f>IF(E5492="","",E5492*F5492)</f>
        <v/>
      </c>
      <c r="H5492" s="8">
        <f>IF(G5492="","",G5492-I5492)</f>
        <v/>
      </c>
      <c r="I5492" s="8">
        <f>IF(D5492="","",VLOOKUP(D5492, RECETTES!B:G, 6, FALSE)*E5492)</f>
        <v/>
      </c>
      <c r="J5492" s="8">
        <f>IF(G5492="","",G5492*0.20)</f>
        <v/>
      </c>
      <c r="K5492" s="8">
        <f>IF(G5492="","",G5492+J5492)</f>
        <v/>
      </c>
    </row>
    <row r="5493">
      <c r="F5493" s="8" t="n"/>
      <c r="G5493" s="8">
        <f>IF(E5493="","",E5493*F5493)</f>
        <v/>
      </c>
      <c r="H5493" s="8">
        <f>IF(G5493="","",G5493-I5493)</f>
        <v/>
      </c>
      <c r="I5493" s="8">
        <f>IF(D5493="","",VLOOKUP(D5493, RECETTES!B:G, 6, FALSE)*E5493)</f>
        <v/>
      </c>
      <c r="J5493" s="8">
        <f>IF(G5493="","",G5493*0.20)</f>
        <v/>
      </c>
      <c r="K5493" s="8">
        <f>IF(G5493="","",G5493+J5493)</f>
        <v/>
      </c>
    </row>
    <row r="5494">
      <c r="F5494" s="8" t="n"/>
      <c r="G5494" s="8">
        <f>IF(E5494="","",E5494*F5494)</f>
        <v/>
      </c>
      <c r="H5494" s="8">
        <f>IF(G5494="","",G5494-I5494)</f>
        <v/>
      </c>
      <c r="I5494" s="8">
        <f>IF(D5494="","",VLOOKUP(D5494, RECETTES!B:G, 6, FALSE)*E5494)</f>
        <v/>
      </c>
      <c r="J5494" s="8">
        <f>IF(G5494="","",G5494*0.20)</f>
        <v/>
      </c>
      <c r="K5494" s="8">
        <f>IF(G5494="","",G5494+J5494)</f>
        <v/>
      </c>
    </row>
    <row r="5495">
      <c r="F5495" s="8" t="n"/>
      <c r="G5495" s="8">
        <f>IF(E5495="","",E5495*F5495)</f>
        <v/>
      </c>
      <c r="H5495" s="8">
        <f>IF(G5495="","",G5495-I5495)</f>
        <v/>
      </c>
      <c r="I5495" s="8">
        <f>IF(D5495="","",VLOOKUP(D5495, RECETTES!B:G, 6, FALSE)*E5495)</f>
        <v/>
      </c>
      <c r="J5495" s="8">
        <f>IF(G5495="","",G5495*0.20)</f>
        <v/>
      </c>
      <c r="K5495" s="8">
        <f>IF(G5495="","",G5495+J5495)</f>
        <v/>
      </c>
    </row>
    <row r="5496">
      <c r="F5496" s="8" t="n"/>
      <c r="G5496" s="8">
        <f>IF(E5496="","",E5496*F5496)</f>
        <v/>
      </c>
      <c r="H5496" s="8">
        <f>IF(G5496="","",G5496-I5496)</f>
        <v/>
      </c>
      <c r="I5496" s="8">
        <f>IF(D5496="","",VLOOKUP(D5496, RECETTES!B:G, 6, FALSE)*E5496)</f>
        <v/>
      </c>
      <c r="J5496" s="8">
        <f>IF(G5496="","",G5496*0.20)</f>
        <v/>
      </c>
      <c r="K5496" s="8">
        <f>IF(G5496="","",G5496+J5496)</f>
        <v/>
      </c>
    </row>
    <row r="5497">
      <c r="F5497" s="8" t="n"/>
      <c r="G5497" s="8">
        <f>IF(E5497="","",E5497*F5497)</f>
        <v/>
      </c>
      <c r="H5497" s="8">
        <f>IF(G5497="","",G5497-I5497)</f>
        <v/>
      </c>
      <c r="I5497" s="8">
        <f>IF(D5497="","",VLOOKUP(D5497, RECETTES!B:G, 6, FALSE)*E5497)</f>
        <v/>
      </c>
      <c r="J5497" s="8">
        <f>IF(G5497="","",G5497*0.20)</f>
        <v/>
      </c>
      <c r="K5497" s="8">
        <f>IF(G5497="","",G5497+J5497)</f>
        <v/>
      </c>
    </row>
    <row r="5498">
      <c r="F5498" s="8" t="n"/>
      <c r="G5498" s="8">
        <f>IF(E5498="","",E5498*F5498)</f>
        <v/>
      </c>
      <c r="H5498" s="8">
        <f>IF(G5498="","",G5498-I5498)</f>
        <v/>
      </c>
      <c r="I5498" s="8">
        <f>IF(D5498="","",VLOOKUP(D5498, RECETTES!B:G, 6, FALSE)*E5498)</f>
        <v/>
      </c>
      <c r="J5498" s="8">
        <f>IF(G5498="","",G5498*0.20)</f>
        <v/>
      </c>
      <c r="K5498" s="8">
        <f>IF(G5498="","",G5498+J5498)</f>
        <v/>
      </c>
    </row>
    <row r="5499">
      <c r="F5499" s="8" t="n"/>
      <c r="G5499" s="8">
        <f>IF(E5499="","",E5499*F5499)</f>
        <v/>
      </c>
      <c r="H5499" s="8">
        <f>IF(G5499="","",G5499-I5499)</f>
        <v/>
      </c>
      <c r="I5499" s="8">
        <f>IF(D5499="","",VLOOKUP(D5499, RECETTES!B:G, 6, FALSE)*E5499)</f>
        <v/>
      </c>
      <c r="J5499" s="8">
        <f>IF(G5499="","",G5499*0.20)</f>
        <v/>
      </c>
      <c r="K5499" s="8">
        <f>IF(G5499="","",G5499+J5499)</f>
        <v/>
      </c>
    </row>
    <row r="5500">
      <c r="F5500" s="8" t="n"/>
      <c r="G5500" s="8">
        <f>IF(E5500="","",E5500*F5500)</f>
        <v/>
      </c>
      <c r="H5500" s="8">
        <f>IF(G5500="","",G5500-I5500)</f>
        <v/>
      </c>
      <c r="I5500" s="8">
        <f>IF(D5500="","",VLOOKUP(D5500, RECETTES!B:G, 6, FALSE)*E5500)</f>
        <v/>
      </c>
      <c r="J5500" s="8">
        <f>IF(G5500="","",G5500*0.20)</f>
        <v/>
      </c>
      <c r="K5500" s="8">
        <f>IF(G5500="","",G5500+J5500)</f>
        <v/>
      </c>
    </row>
    <row r="5501">
      <c r="F5501" s="8" t="n"/>
      <c r="G5501" s="8">
        <f>IF(E5501="","",E5501*F5501)</f>
        <v/>
      </c>
      <c r="H5501" s="8">
        <f>IF(G5501="","",G5501-I5501)</f>
        <v/>
      </c>
      <c r="I5501" s="8">
        <f>IF(D5501="","",VLOOKUP(D5501, RECETTES!B:G, 6, FALSE)*E5501)</f>
        <v/>
      </c>
      <c r="J5501" s="8">
        <f>IF(G5501="","",G5501*0.20)</f>
        <v/>
      </c>
      <c r="K5501" s="8">
        <f>IF(G5501="","",G5501+J5501)</f>
        <v/>
      </c>
    </row>
    <row r="5502">
      <c r="F5502" s="8" t="n"/>
      <c r="G5502" s="8">
        <f>IF(E5502="","",E5502*F5502)</f>
        <v/>
      </c>
      <c r="H5502" s="8">
        <f>IF(G5502="","",G5502-I5502)</f>
        <v/>
      </c>
      <c r="I5502" s="8">
        <f>IF(D5502="","",VLOOKUP(D5502, RECETTES!B:G, 6, FALSE)*E5502)</f>
        <v/>
      </c>
      <c r="J5502" s="8">
        <f>IF(G5502="","",G5502*0.20)</f>
        <v/>
      </c>
      <c r="K5502" s="8">
        <f>IF(G5502="","",G5502+J5502)</f>
        <v/>
      </c>
    </row>
    <row r="5503">
      <c r="F5503" s="8" t="n"/>
      <c r="G5503" s="8">
        <f>IF(E5503="","",E5503*F5503)</f>
        <v/>
      </c>
      <c r="H5503" s="8">
        <f>IF(G5503="","",G5503-I5503)</f>
        <v/>
      </c>
      <c r="I5503" s="8">
        <f>IF(D5503="","",VLOOKUP(D5503, RECETTES!B:G, 6, FALSE)*E5503)</f>
        <v/>
      </c>
      <c r="J5503" s="8">
        <f>IF(G5503="","",G5503*0.20)</f>
        <v/>
      </c>
      <c r="K5503" s="8">
        <f>IF(G5503="","",G5503+J5503)</f>
        <v/>
      </c>
    </row>
    <row r="5504">
      <c r="F5504" s="8" t="n"/>
      <c r="G5504" s="8">
        <f>IF(E5504="","",E5504*F5504)</f>
        <v/>
      </c>
      <c r="H5504" s="8">
        <f>IF(G5504="","",G5504-I5504)</f>
        <v/>
      </c>
      <c r="I5504" s="8">
        <f>IF(D5504="","",VLOOKUP(D5504, RECETTES!B:G, 6, FALSE)*E5504)</f>
        <v/>
      </c>
      <c r="J5504" s="8">
        <f>IF(G5504="","",G5504*0.20)</f>
        <v/>
      </c>
      <c r="K5504" s="8">
        <f>IF(G5504="","",G5504+J5504)</f>
        <v/>
      </c>
    </row>
    <row r="5505">
      <c r="F5505" s="8" t="n"/>
      <c r="G5505" s="8">
        <f>IF(E5505="","",E5505*F5505)</f>
        <v/>
      </c>
      <c r="H5505" s="8">
        <f>IF(G5505="","",G5505-I5505)</f>
        <v/>
      </c>
      <c r="I5505" s="8">
        <f>IF(D5505="","",VLOOKUP(D5505, RECETTES!B:G, 6, FALSE)*E5505)</f>
        <v/>
      </c>
      <c r="J5505" s="8">
        <f>IF(G5505="","",G5505*0.20)</f>
        <v/>
      </c>
      <c r="K5505" s="8">
        <f>IF(G5505="","",G5505+J5505)</f>
        <v/>
      </c>
    </row>
    <row r="5506">
      <c r="F5506" s="8" t="n"/>
      <c r="G5506" s="8">
        <f>IF(E5506="","",E5506*F5506)</f>
        <v/>
      </c>
      <c r="H5506" s="8">
        <f>IF(G5506="","",G5506-I5506)</f>
        <v/>
      </c>
      <c r="I5506" s="8">
        <f>IF(D5506="","",VLOOKUP(D5506, RECETTES!B:G, 6, FALSE)*E5506)</f>
        <v/>
      </c>
      <c r="J5506" s="8">
        <f>IF(G5506="","",G5506*0.20)</f>
        <v/>
      </c>
      <c r="K5506" s="8">
        <f>IF(G5506="","",G5506+J5506)</f>
        <v/>
      </c>
    </row>
    <row r="5507">
      <c r="F5507" s="8" t="n"/>
      <c r="G5507" s="8">
        <f>IF(E5507="","",E5507*F5507)</f>
        <v/>
      </c>
      <c r="H5507" s="8">
        <f>IF(G5507="","",G5507-I5507)</f>
        <v/>
      </c>
      <c r="I5507" s="8">
        <f>IF(D5507="","",VLOOKUP(D5507, RECETTES!B:G, 6, FALSE)*E5507)</f>
        <v/>
      </c>
      <c r="J5507" s="8">
        <f>IF(G5507="","",G5507*0.20)</f>
        <v/>
      </c>
      <c r="K5507" s="8">
        <f>IF(G5507="","",G5507+J5507)</f>
        <v/>
      </c>
    </row>
    <row r="5508">
      <c r="F5508" s="8" t="n"/>
      <c r="G5508" s="8">
        <f>IF(E5508="","",E5508*F5508)</f>
        <v/>
      </c>
      <c r="H5508" s="8">
        <f>IF(G5508="","",G5508-I5508)</f>
        <v/>
      </c>
      <c r="I5508" s="8">
        <f>IF(D5508="","",VLOOKUP(D5508, RECETTES!B:G, 6, FALSE)*E5508)</f>
        <v/>
      </c>
      <c r="J5508" s="8">
        <f>IF(G5508="","",G5508*0.20)</f>
        <v/>
      </c>
      <c r="K5508" s="8">
        <f>IF(G5508="","",G5508+J5508)</f>
        <v/>
      </c>
    </row>
    <row r="5509">
      <c r="F5509" s="8" t="n"/>
      <c r="G5509" s="8">
        <f>IF(E5509="","",E5509*F5509)</f>
        <v/>
      </c>
      <c r="H5509" s="8">
        <f>IF(G5509="","",G5509-I5509)</f>
        <v/>
      </c>
      <c r="I5509" s="8">
        <f>IF(D5509="","",VLOOKUP(D5509, RECETTES!B:G, 6, FALSE)*E5509)</f>
        <v/>
      </c>
      <c r="J5509" s="8">
        <f>IF(G5509="","",G5509*0.20)</f>
        <v/>
      </c>
      <c r="K5509" s="8">
        <f>IF(G5509="","",G5509+J5509)</f>
        <v/>
      </c>
    </row>
    <row r="5510">
      <c r="F5510" s="8" t="n"/>
      <c r="G5510" s="8">
        <f>IF(E5510="","",E5510*F5510)</f>
        <v/>
      </c>
      <c r="H5510" s="8">
        <f>IF(G5510="","",G5510-I5510)</f>
        <v/>
      </c>
      <c r="I5510" s="8">
        <f>IF(D5510="","",VLOOKUP(D5510, RECETTES!B:G, 6, FALSE)*E5510)</f>
        <v/>
      </c>
      <c r="J5510" s="8">
        <f>IF(G5510="","",G5510*0.20)</f>
        <v/>
      </c>
      <c r="K5510" s="8">
        <f>IF(G5510="","",G5510+J5510)</f>
        <v/>
      </c>
    </row>
    <row r="5511">
      <c r="F5511" s="8" t="n"/>
      <c r="G5511" s="8">
        <f>IF(E5511="","",E5511*F5511)</f>
        <v/>
      </c>
      <c r="H5511" s="8">
        <f>IF(G5511="","",G5511-I5511)</f>
        <v/>
      </c>
      <c r="I5511" s="8">
        <f>IF(D5511="","",VLOOKUP(D5511, RECETTES!B:G, 6, FALSE)*E5511)</f>
        <v/>
      </c>
      <c r="J5511" s="8">
        <f>IF(G5511="","",G5511*0.20)</f>
        <v/>
      </c>
      <c r="K5511" s="8">
        <f>IF(G5511="","",G5511+J5511)</f>
        <v/>
      </c>
    </row>
    <row r="5512">
      <c r="F5512" s="8" t="n"/>
      <c r="G5512" s="8">
        <f>IF(E5512="","",E5512*F5512)</f>
        <v/>
      </c>
      <c r="H5512" s="8">
        <f>IF(G5512="","",G5512-I5512)</f>
        <v/>
      </c>
      <c r="I5512" s="8">
        <f>IF(D5512="","",VLOOKUP(D5512, RECETTES!B:G, 6, FALSE)*E5512)</f>
        <v/>
      </c>
      <c r="J5512" s="8">
        <f>IF(G5512="","",G5512*0.20)</f>
        <v/>
      </c>
      <c r="K5512" s="8">
        <f>IF(G5512="","",G5512+J5512)</f>
        <v/>
      </c>
    </row>
    <row r="5513">
      <c r="F5513" s="8" t="n"/>
      <c r="G5513" s="8">
        <f>IF(E5513="","",E5513*F5513)</f>
        <v/>
      </c>
      <c r="H5513" s="8">
        <f>IF(G5513="","",G5513-I5513)</f>
        <v/>
      </c>
      <c r="I5513" s="8">
        <f>IF(D5513="","",VLOOKUP(D5513, RECETTES!B:G, 6, FALSE)*E5513)</f>
        <v/>
      </c>
      <c r="J5513" s="8">
        <f>IF(G5513="","",G5513*0.20)</f>
        <v/>
      </c>
      <c r="K5513" s="8">
        <f>IF(G5513="","",G5513+J5513)</f>
        <v/>
      </c>
    </row>
    <row r="5514">
      <c r="F5514" s="8" t="n"/>
      <c r="G5514" s="8">
        <f>IF(E5514="","",E5514*F5514)</f>
        <v/>
      </c>
      <c r="H5514" s="8">
        <f>IF(G5514="","",G5514-I5514)</f>
        <v/>
      </c>
      <c r="I5514" s="8">
        <f>IF(D5514="","",VLOOKUP(D5514, RECETTES!B:G, 6, FALSE)*E5514)</f>
        <v/>
      </c>
      <c r="J5514" s="8">
        <f>IF(G5514="","",G5514*0.20)</f>
        <v/>
      </c>
      <c r="K5514" s="8">
        <f>IF(G5514="","",G5514+J5514)</f>
        <v/>
      </c>
    </row>
    <row r="5515">
      <c r="F5515" s="8" t="n"/>
      <c r="G5515" s="8">
        <f>IF(E5515="","",E5515*F5515)</f>
        <v/>
      </c>
      <c r="H5515" s="8">
        <f>IF(G5515="","",G5515-I5515)</f>
        <v/>
      </c>
      <c r="I5515" s="8">
        <f>IF(D5515="","",VLOOKUP(D5515, RECETTES!B:G, 6, FALSE)*E5515)</f>
        <v/>
      </c>
      <c r="J5515" s="8">
        <f>IF(G5515="","",G5515*0.20)</f>
        <v/>
      </c>
      <c r="K5515" s="8">
        <f>IF(G5515="","",G5515+J5515)</f>
        <v/>
      </c>
    </row>
    <row r="5516">
      <c r="F5516" s="8" t="n"/>
      <c r="G5516" s="8">
        <f>IF(E5516="","",E5516*F5516)</f>
        <v/>
      </c>
      <c r="H5516" s="8">
        <f>IF(G5516="","",G5516-I5516)</f>
        <v/>
      </c>
      <c r="I5516" s="8">
        <f>IF(D5516="","",VLOOKUP(D5516, RECETTES!B:G, 6, FALSE)*E5516)</f>
        <v/>
      </c>
      <c r="J5516" s="8">
        <f>IF(G5516="","",G5516*0.20)</f>
        <v/>
      </c>
      <c r="K5516" s="8">
        <f>IF(G5516="","",G5516+J5516)</f>
        <v/>
      </c>
    </row>
    <row r="5517">
      <c r="F5517" s="8" t="n"/>
      <c r="G5517" s="8">
        <f>IF(E5517="","",E5517*F5517)</f>
        <v/>
      </c>
      <c r="H5517" s="8">
        <f>IF(G5517="","",G5517-I5517)</f>
        <v/>
      </c>
      <c r="I5517" s="8">
        <f>IF(D5517="","",VLOOKUP(D5517, RECETTES!B:G, 6, FALSE)*E5517)</f>
        <v/>
      </c>
      <c r="J5517" s="8">
        <f>IF(G5517="","",G5517*0.20)</f>
        <v/>
      </c>
      <c r="K5517" s="8">
        <f>IF(G5517="","",G5517+J5517)</f>
        <v/>
      </c>
    </row>
    <row r="5518">
      <c r="F5518" s="8" t="n"/>
      <c r="G5518" s="8">
        <f>IF(E5518="","",E5518*F5518)</f>
        <v/>
      </c>
      <c r="H5518" s="8">
        <f>IF(G5518="","",G5518-I5518)</f>
        <v/>
      </c>
      <c r="I5518" s="8">
        <f>IF(D5518="","",VLOOKUP(D5518, RECETTES!B:G, 6, FALSE)*E5518)</f>
        <v/>
      </c>
      <c r="J5518" s="8">
        <f>IF(G5518="","",G5518*0.20)</f>
        <v/>
      </c>
      <c r="K5518" s="8">
        <f>IF(G5518="","",G5518+J5518)</f>
        <v/>
      </c>
    </row>
    <row r="5519">
      <c r="F5519" s="8" t="n"/>
      <c r="G5519" s="8">
        <f>IF(E5519="","",E5519*F5519)</f>
        <v/>
      </c>
      <c r="H5519" s="8">
        <f>IF(G5519="","",G5519-I5519)</f>
        <v/>
      </c>
      <c r="I5519" s="8">
        <f>IF(D5519="","",VLOOKUP(D5519, RECETTES!B:G, 6, FALSE)*E5519)</f>
        <v/>
      </c>
      <c r="J5519" s="8">
        <f>IF(G5519="","",G5519*0.20)</f>
        <v/>
      </c>
      <c r="K5519" s="8">
        <f>IF(G5519="","",G5519+J5519)</f>
        <v/>
      </c>
    </row>
    <row r="5520">
      <c r="F5520" s="8" t="n"/>
      <c r="G5520" s="8">
        <f>IF(E5520="","",E5520*F5520)</f>
        <v/>
      </c>
      <c r="H5520" s="8">
        <f>IF(G5520="","",G5520-I5520)</f>
        <v/>
      </c>
      <c r="I5520" s="8">
        <f>IF(D5520="","",VLOOKUP(D5520, RECETTES!B:G, 6, FALSE)*E5520)</f>
        <v/>
      </c>
      <c r="J5520" s="8">
        <f>IF(G5520="","",G5520*0.20)</f>
        <v/>
      </c>
      <c r="K5520" s="8">
        <f>IF(G5520="","",G5520+J5520)</f>
        <v/>
      </c>
    </row>
    <row r="5521">
      <c r="F5521" s="8" t="n"/>
      <c r="G5521" s="8">
        <f>IF(E5521="","",E5521*F5521)</f>
        <v/>
      </c>
      <c r="H5521" s="8">
        <f>IF(G5521="","",G5521-I5521)</f>
        <v/>
      </c>
      <c r="I5521" s="8">
        <f>IF(D5521="","",VLOOKUP(D5521, RECETTES!B:G, 6, FALSE)*E5521)</f>
        <v/>
      </c>
      <c r="J5521" s="8">
        <f>IF(G5521="","",G5521*0.20)</f>
        <v/>
      </c>
      <c r="K5521" s="8">
        <f>IF(G5521="","",G5521+J5521)</f>
        <v/>
      </c>
    </row>
    <row r="5522">
      <c r="F5522" s="8" t="n"/>
      <c r="G5522" s="8">
        <f>IF(E5522="","",E5522*F5522)</f>
        <v/>
      </c>
      <c r="H5522" s="8">
        <f>IF(G5522="","",G5522-I5522)</f>
        <v/>
      </c>
      <c r="I5522" s="8">
        <f>IF(D5522="","",VLOOKUP(D5522, RECETTES!B:G, 6, FALSE)*E5522)</f>
        <v/>
      </c>
      <c r="J5522" s="8">
        <f>IF(G5522="","",G5522*0.20)</f>
        <v/>
      </c>
      <c r="K5522" s="8">
        <f>IF(G5522="","",G5522+J5522)</f>
        <v/>
      </c>
    </row>
    <row r="5523">
      <c r="F5523" s="8" t="n"/>
      <c r="G5523" s="8">
        <f>IF(E5523="","",E5523*F5523)</f>
        <v/>
      </c>
      <c r="H5523" s="8">
        <f>IF(G5523="","",G5523-I5523)</f>
        <v/>
      </c>
      <c r="I5523" s="8">
        <f>IF(D5523="","",VLOOKUP(D5523, RECETTES!B:G, 6, FALSE)*E5523)</f>
        <v/>
      </c>
      <c r="J5523" s="8">
        <f>IF(G5523="","",G5523*0.20)</f>
        <v/>
      </c>
      <c r="K5523" s="8">
        <f>IF(G5523="","",G5523+J5523)</f>
        <v/>
      </c>
    </row>
    <row r="5524">
      <c r="F5524" s="8" t="n"/>
      <c r="G5524" s="8">
        <f>IF(E5524="","",E5524*F5524)</f>
        <v/>
      </c>
      <c r="H5524" s="8">
        <f>IF(G5524="","",G5524-I5524)</f>
        <v/>
      </c>
      <c r="I5524" s="8">
        <f>IF(D5524="","",VLOOKUP(D5524, RECETTES!B:G, 6, FALSE)*E5524)</f>
        <v/>
      </c>
      <c r="J5524" s="8">
        <f>IF(G5524="","",G5524*0.20)</f>
        <v/>
      </c>
      <c r="K5524" s="8">
        <f>IF(G5524="","",G5524+J5524)</f>
        <v/>
      </c>
    </row>
    <row r="5525">
      <c r="F5525" s="8" t="n"/>
      <c r="G5525" s="8">
        <f>IF(E5525="","",E5525*F5525)</f>
        <v/>
      </c>
      <c r="H5525" s="8">
        <f>IF(G5525="","",G5525-I5525)</f>
        <v/>
      </c>
      <c r="I5525" s="8">
        <f>IF(D5525="","",VLOOKUP(D5525, RECETTES!B:G, 6, FALSE)*E5525)</f>
        <v/>
      </c>
      <c r="J5525" s="8">
        <f>IF(G5525="","",G5525*0.20)</f>
        <v/>
      </c>
      <c r="K5525" s="8">
        <f>IF(G5525="","",G5525+J5525)</f>
        <v/>
      </c>
    </row>
    <row r="5526">
      <c r="F5526" s="8" t="n"/>
      <c r="G5526" s="8">
        <f>IF(E5526="","",E5526*F5526)</f>
        <v/>
      </c>
      <c r="H5526" s="8">
        <f>IF(G5526="","",G5526-I5526)</f>
        <v/>
      </c>
      <c r="I5526" s="8">
        <f>IF(D5526="","",VLOOKUP(D5526, RECETTES!B:G, 6, FALSE)*E5526)</f>
        <v/>
      </c>
      <c r="J5526" s="8">
        <f>IF(G5526="","",G5526*0.20)</f>
        <v/>
      </c>
      <c r="K5526" s="8">
        <f>IF(G5526="","",G5526+J5526)</f>
        <v/>
      </c>
    </row>
    <row r="5527">
      <c r="F5527" s="8" t="n"/>
      <c r="G5527" s="8">
        <f>IF(E5527="","",E5527*F5527)</f>
        <v/>
      </c>
      <c r="H5527" s="8">
        <f>IF(G5527="","",G5527-I5527)</f>
        <v/>
      </c>
      <c r="I5527" s="8">
        <f>IF(D5527="","",VLOOKUP(D5527, RECETTES!B:G, 6, FALSE)*E5527)</f>
        <v/>
      </c>
      <c r="J5527" s="8">
        <f>IF(G5527="","",G5527*0.20)</f>
        <v/>
      </c>
      <c r="K5527" s="8">
        <f>IF(G5527="","",G5527+J5527)</f>
        <v/>
      </c>
    </row>
    <row r="5528">
      <c r="F5528" s="8" t="n"/>
      <c r="G5528" s="8">
        <f>IF(E5528="","",E5528*F5528)</f>
        <v/>
      </c>
      <c r="H5528" s="8">
        <f>IF(G5528="","",G5528-I5528)</f>
        <v/>
      </c>
      <c r="I5528" s="8">
        <f>IF(D5528="","",VLOOKUP(D5528, RECETTES!B:G, 6, FALSE)*E5528)</f>
        <v/>
      </c>
      <c r="J5528" s="8">
        <f>IF(G5528="","",G5528*0.20)</f>
        <v/>
      </c>
      <c r="K5528" s="8">
        <f>IF(G5528="","",G5528+J5528)</f>
        <v/>
      </c>
    </row>
    <row r="5529">
      <c r="F5529" s="8" t="n"/>
      <c r="G5529" s="8">
        <f>IF(E5529="","",E5529*F5529)</f>
        <v/>
      </c>
      <c r="H5529" s="8">
        <f>IF(G5529="","",G5529-I5529)</f>
        <v/>
      </c>
      <c r="I5529" s="8">
        <f>IF(D5529="","",VLOOKUP(D5529, RECETTES!B:G, 6, FALSE)*E5529)</f>
        <v/>
      </c>
      <c r="J5529" s="8">
        <f>IF(G5529="","",G5529*0.20)</f>
        <v/>
      </c>
      <c r="K5529" s="8">
        <f>IF(G5529="","",G5529+J5529)</f>
        <v/>
      </c>
    </row>
    <row r="5530">
      <c r="F5530" s="8" t="n"/>
      <c r="G5530" s="8">
        <f>IF(E5530="","",E5530*F5530)</f>
        <v/>
      </c>
      <c r="H5530" s="8">
        <f>IF(G5530="","",G5530-I5530)</f>
        <v/>
      </c>
      <c r="I5530" s="8">
        <f>IF(D5530="","",VLOOKUP(D5530, RECETTES!B:G, 6, FALSE)*E5530)</f>
        <v/>
      </c>
      <c r="J5530" s="8">
        <f>IF(G5530="","",G5530*0.20)</f>
        <v/>
      </c>
      <c r="K5530" s="8">
        <f>IF(G5530="","",G5530+J5530)</f>
        <v/>
      </c>
    </row>
    <row r="5531">
      <c r="F5531" s="8" t="n"/>
      <c r="G5531" s="8">
        <f>IF(E5531="","",E5531*F5531)</f>
        <v/>
      </c>
      <c r="H5531" s="8">
        <f>IF(G5531="","",G5531-I5531)</f>
        <v/>
      </c>
      <c r="I5531" s="8">
        <f>IF(D5531="","",VLOOKUP(D5531, RECETTES!B:G, 6, FALSE)*E5531)</f>
        <v/>
      </c>
      <c r="J5531" s="8">
        <f>IF(G5531="","",G5531*0.20)</f>
        <v/>
      </c>
      <c r="K5531" s="8">
        <f>IF(G5531="","",G5531+J5531)</f>
        <v/>
      </c>
    </row>
    <row r="5532">
      <c r="F5532" s="8" t="n"/>
      <c r="G5532" s="8">
        <f>IF(E5532="","",E5532*F5532)</f>
        <v/>
      </c>
      <c r="H5532" s="8">
        <f>IF(G5532="","",G5532-I5532)</f>
        <v/>
      </c>
      <c r="I5532" s="8">
        <f>IF(D5532="","",VLOOKUP(D5532, RECETTES!B:G, 6, FALSE)*E5532)</f>
        <v/>
      </c>
      <c r="J5532" s="8">
        <f>IF(G5532="","",G5532*0.20)</f>
        <v/>
      </c>
      <c r="K5532" s="8">
        <f>IF(G5532="","",G5532+J5532)</f>
        <v/>
      </c>
    </row>
    <row r="5533">
      <c r="F5533" s="8" t="n"/>
      <c r="G5533" s="8">
        <f>IF(E5533="","",E5533*F5533)</f>
        <v/>
      </c>
      <c r="H5533" s="8">
        <f>IF(G5533="","",G5533-I5533)</f>
        <v/>
      </c>
      <c r="I5533" s="8">
        <f>IF(D5533="","",VLOOKUP(D5533, RECETTES!B:G, 6, FALSE)*E5533)</f>
        <v/>
      </c>
      <c r="J5533" s="8">
        <f>IF(G5533="","",G5533*0.20)</f>
        <v/>
      </c>
      <c r="K5533" s="8">
        <f>IF(G5533="","",G5533+J5533)</f>
        <v/>
      </c>
    </row>
    <row r="5534">
      <c r="F5534" s="8" t="n"/>
      <c r="G5534" s="8">
        <f>IF(E5534="","",E5534*F5534)</f>
        <v/>
      </c>
      <c r="H5534" s="8">
        <f>IF(G5534="","",G5534-I5534)</f>
        <v/>
      </c>
      <c r="I5534" s="8">
        <f>IF(D5534="","",VLOOKUP(D5534, RECETTES!B:G, 6, FALSE)*E5534)</f>
        <v/>
      </c>
      <c r="J5534" s="8">
        <f>IF(G5534="","",G5534*0.20)</f>
        <v/>
      </c>
      <c r="K5534" s="8">
        <f>IF(G5534="","",G5534+J5534)</f>
        <v/>
      </c>
    </row>
    <row r="5535">
      <c r="F5535" s="8" t="n"/>
      <c r="G5535" s="8">
        <f>IF(E5535="","",E5535*F5535)</f>
        <v/>
      </c>
      <c r="H5535" s="8">
        <f>IF(G5535="","",G5535-I5535)</f>
        <v/>
      </c>
      <c r="I5535" s="8">
        <f>IF(D5535="","",VLOOKUP(D5535, RECETTES!B:G, 6, FALSE)*E5535)</f>
        <v/>
      </c>
      <c r="J5535" s="8">
        <f>IF(G5535="","",G5535*0.20)</f>
        <v/>
      </c>
      <c r="K5535" s="8">
        <f>IF(G5535="","",G5535+J5535)</f>
        <v/>
      </c>
    </row>
    <row r="5536">
      <c r="F5536" s="8" t="n"/>
      <c r="G5536" s="8">
        <f>IF(E5536="","",E5536*F5536)</f>
        <v/>
      </c>
      <c r="H5536" s="8">
        <f>IF(G5536="","",G5536-I5536)</f>
        <v/>
      </c>
      <c r="I5536" s="8">
        <f>IF(D5536="","",VLOOKUP(D5536, RECETTES!B:G, 6, FALSE)*E5536)</f>
        <v/>
      </c>
      <c r="J5536" s="8">
        <f>IF(G5536="","",G5536*0.20)</f>
        <v/>
      </c>
      <c r="K5536" s="8">
        <f>IF(G5536="","",G5536+J5536)</f>
        <v/>
      </c>
    </row>
    <row r="5537">
      <c r="F5537" s="8" t="n"/>
      <c r="G5537" s="8">
        <f>IF(E5537="","",E5537*F5537)</f>
        <v/>
      </c>
      <c r="H5537" s="8">
        <f>IF(G5537="","",G5537-I5537)</f>
        <v/>
      </c>
      <c r="I5537" s="8">
        <f>IF(D5537="","",VLOOKUP(D5537, RECETTES!B:G, 6, FALSE)*E5537)</f>
        <v/>
      </c>
      <c r="J5537" s="8">
        <f>IF(G5537="","",G5537*0.20)</f>
        <v/>
      </c>
      <c r="K5537" s="8">
        <f>IF(G5537="","",G5537+J5537)</f>
        <v/>
      </c>
    </row>
    <row r="5538">
      <c r="F5538" s="8" t="n"/>
      <c r="G5538" s="8">
        <f>IF(E5538="","",E5538*F5538)</f>
        <v/>
      </c>
      <c r="H5538" s="8">
        <f>IF(G5538="","",G5538-I5538)</f>
        <v/>
      </c>
      <c r="I5538" s="8">
        <f>IF(D5538="","",VLOOKUP(D5538, RECETTES!B:G, 6, FALSE)*E5538)</f>
        <v/>
      </c>
      <c r="J5538" s="8">
        <f>IF(G5538="","",G5538*0.20)</f>
        <v/>
      </c>
      <c r="K5538" s="8">
        <f>IF(G5538="","",G5538+J5538)</f>
        <v/>
      </c>
    </row>
    <row r="5539">
      <c r="F5539" s="8" t="n"/>
      <c r="G5539" s="8">
        <f>IF(E5539="","",E5539*F5539)</f>
        <v/>
      </c>
      <c r="H5539" s="8">
        <f>IF(G5539="","",G5539-I5539)</f>
        <v/>
      </c>
      <c r="I5539" s="8">
        <f>IF(D5539="","",VLOOKUP(D5539, RECETTES!B:G, 6, FALSE)*E5539)</f>
        <v/>
      </c>
      <c r="J5539" s="8">
        <f>IF(G5539="","",G5539*0.20)</f>
        <v/>
      </c>
      <c r="K5539" s="8">
        <f>IF(G5539="","",G5539+J5539)</f>
        <v/>
      </c>
    </row>
    <row r="5540">
      <c r="F5540" s="8" t="n"/>
      <c r="G5540" s="8">
        <f>IF(E5540="","",E5540*F5540)</f>
        <v/>
      </c>
      <c r="H5540" s="8">
        <f>IF(G5540="","",G5540-I5540)</f>
        <v/>
      </c>
      <c r="I5540" s="8">
        <f>IF(D5540="","",VLOOKUP(D5540, RECETTES!B:G, 6, FALSE)*E5540)</f>
        <v/>
      </c>
      <c r="J5540" s="8">
        <f>IF(G5540="","",G5540*0.20)</f>
        <v/>
      </c>
      <c r="K5540" s="8">
        <f>IF(G5540="","",G5540+J5540)</f>
        <v/>
      </c>
    </row>
    <row r="5541">
      <c r="F5541" s="8" t="n"/>
      <c r="G5541" s="8">
        <f>IF(E5541="","",E5541*F5541)</f>
        <v/>
      </c>
      <c r="H5541" s="8">
        <f>IF(G5541="","",G5541-I5541)</f>
        <v/>
      </c>
      <c r="I5541" s="8">
        <f>IF(D5541="","",VLOOKUP(D5541, RECETTES!B:G, 6, FALSE)*E5541)</f>
        <v/>
      </c>
      <c r="J5541" s="8">
        <f>IF(G5541="","",G5541*0.20)</f>
        <v/>
      </c>
      <c r="K5541" s="8">
        <f>IF(G5541="","",G5541+J5541)</f>
        <v/>
      </c>
    </row>
    <row r="5542">
      <c r="F5542" s="8" t="n"/>
      <c r="G5542" s="8">
        <f>IF(E5542="","",E5542*F5542)</f>
        <v/>
      </c>
      <c r="H5542" s="8">
        <f>IF(G5542="","",G5542-I5542)</f>
        <v/>
      </c>
      <c r="I5542" s="8">
        <f>IF(D5542="","",VLOOKUP(D5542, RECETTES!B:G, 6, FALSE)*E5542)</f>
        <v/>
      </c>
      <c r="J5542" s="8">
        <f>IF(G5542="","",G5542*0.20)</f>
        <v/>
      </c>
      <c r="K5542" s="8">
        <f>IF(G5542="","",G5542+J5542)</f>
        <v/>
      </c>
    </row>
    <row r="5543">
      <c r="F5543" s="8" t="n"/>
      <c r="G5543" s="8">
        <f>IF(E5543="","",E5543*F5543)</f>
        <v/>
      </c>
      <c r="H5543" s="8">
        <f>IF(G5543="","",G5543-I5543)</f>
        <v/>
      </c>
      <c r="I5543" s="8">
        <f>IF(D5543="","",VLOOKUP(D5543, RECETTES!B:G, 6, FALSE)*E5543)</f>
        <v/>
      </c>
      <c r="J5543" s="8">
        <f>IF(G5543="","",G5543*0.20)</f>
        <v/>
      </c>
      <c r="K5543" s="8">
        <f>IF(G5543="","",G5543+J5543)</f>
        <v/>
      </c>
    </row>
    <row r="5544">
      <c r="F5544" s="8" t="n"/>
      <c r="G5544" s="8">
        <f>IF(E5544="","",E5544*F5544)</f>
        <v/>
      </c>
      <c r="H5544" s="8">
        <f>IF(G5544="","",G5544-I5544)</f>
        <v/>
      </c>
      <c r="I5544" s="8">
        <f>IF(D5544="","",VLOOKUP(D5544, RECETTES!B:G, 6, FALSE)*E5544)</f>
        <v/>
      </c>
      <c r="J5544" s="8">
        <f>IF(G5544="","",G5544*0.20)</f>
        <v/>
      </c>
      <c r="K5544" s="8">
        <f>IF(G5544="","",G5544+J5544)</f>
        <v/>
      </c>
    </row>
    <row r="5545">
      <c r="F5545" s="8" t="n"/>
      <c r="G5545" s="8">
        <f>IF(E5545="","",E5545*F5545)</f>
        <v/>
      </c>
      <c r="H5545" s="8">
        <f>IF(G5545="","",G5545-I5545)</f>
        <v/>
      </c>
      <c r="I5545" s="8">
        <f>IF(D5545="","",VLOOKUP(D5545, RECETTES!B:G, 6, FALSE)*E5545)</f>
        <v/>
      </c>
      <c r="J5545" s="8">
        <f>IF(G5545="","",G5545*0.20)</f>
        <v/>
      </c>
      <c r="K5545" s="8">
        <f>IF(G5545="","",G5545+J5545)</f>
        <v/>
      </c>
    </row>
    <row r="5546">
      <c r="F5546" s="8" t="n"/>
      <c r="G5546" s="8">
        <f>IF(E5546="","",E5546*F5546)</f>
        <v/>
      </c>
      <c r="H5546" s="8">
        <f>IF(G5546="","",G5546-I5546)</f>
        <v/>
      </c>
      <c r="I5546" s="8">
        <f>IF(D5546="","",VLOOKUP(D5546, RECETTES!B:G, 6, FALSE)*E5546)</f>
        <v/>
      </c>
      <c r="J5546" s="8">
        <f>IF(G5546="","",G5546*0.20)</f>
        <v/>
      </c>
      <c r="K5546" s="8">
        <f>IF(G5546="","",G5546+J5546)</f>
        <v/>
      </c>
    </row>
    <row r="5547">
      <c r="F5547" s="8" t="n"/>
      <c r="G5547" s="8">
        <f>IF(E5547="","",E5547*F5547)</f>
        <v/>
      </c>
      <c r="H5547" s="8">
        <f>IF(G5547="","",G5547-I5547)</f>
        <v/>
      </c>
      <c r="I5547" s="8">
        <f>IF(D5547="","",VLOOKUP(D5547, RECETTES!B:G, 6, FALSE)*E5547)</f>
        <v/>
      </c>
      <c r="J5547" s="8">
        <f>IF(G5547="","",G5547*0.20)</f>
        <v/>
      </c>
      <c r="K5547" s="8">
        <f>IF(G5547="","",G5547+J5547)</f>
        <v/>
      </c>
    </row>
    <row r="5548">
      <c r="F5548" s="8" t="n"/>
      <c r="G5548" s="8">
        <f>IF(E5548="","",E5548*F5548)</f>
        <v/>
      </c>
      <c r="H5548" s="8">
        <f>IF(G5548="","",G5548-I5548)</f>
        <v/>
      </c>
      <c r="I5548" s="8">
        <f>IF(D5548="","",VLOOKUP(D5548, RECETTES!B:G, 6, FALSE)*E5548)</f>
        <v/>
      </c>
      <c r="J5548" s="8">
        <f>IF(G5548="","",G5548*0.20)</f>
        <v/>
      </c>
      <c r="K5548" s="8">
        <f>IF(G5548="","",G5548+J5548)</f>
        <v/>
      </c>
    </row>
    <row r="5549">
      <c r="F5549" s="8" t="n"/>
      <c r="G5549" s="8">
        <f>IF(E5549="","",E5549*F5549)</f>
        <v/>
      </c>
      <c r="H5549" s="8">
        <f>IF(G5549="","",G5549-I5549)</f>
        <v/>
      </c>
      <c r="I5549" s="8">
        <f>IF(D5549="","",VLOOKUP(D5549, RECETTES!B:G, 6, FALSE)*E5549)</f>
        <v/>
      </c>
      <c r="J5549" s="8">
        <f>IF(G5549="","",G5549*0.20)</f>
        <v/>
      </c>
      <c r="K5549" s="8">
        <f>IF(G5549="","",G5549+J5549)</f>
        <v/>
      </c>
    </row>
    <row r="5550">
      <c r="F5550" s="8" t="n"/>
      <c r="G5550" s="8">
        <f>IF(E5550="","",E5550*F5550)</f>
        <v/>
      </c>
      <c r="H5550" s="8">
        <f>IF(G5550="","",G5550-I5550)</f>
        <v/>
      </c>
      <c r="I5550" s="8">
        <f>IF(D5550="","",VLOOKUP(D5550, RECETTES!B:G, 6, FALSE)*E5550)</f>
        <v/>
      </c>
      <c r="J5550" s="8">
        <f>IF(G5550="","",G5550*0.20)</f>
        <v/>
      </c>
      <c r="K5550" s="8">
        <f>IF(G5550="","",G5550+J5550)</f>
        <v/>
      </c>
    </row>
    <row r="5551">
      <c r="F5551" s="8" t="n"/>
      <c r="G5551" s="8">
        <f>IF(E5551="","",E5551*F5551)</f>
        <v/>
      </c>
      <c r="H5551" s="8">
        <f>IF(G5551="","",G5551-I5551)</f>
        <v/>
      </c>
      <c r="I5551" s="8">
        <f>IF(D5551="","",VLOOKUP(D5551, RECETTES!B:G, 6, FALSE)*E5551)</f>
        <v/>
      </c>
      <c r="J5551" s="8">
        <f>IF(G5551="","",G5551*0.20)</f>
        <v/>
      </c>
      <c r="K5551" s="8">
        <f>IF(G5551="","",G5551+J5551)</f>
        <v/>
      </c>
    </row>
    <row r="5552">
      <c r="F5552" s="8" t="n"/>
      <c r="G5552" s="8">
        <f>IF(E5552="","",E5552*F5552)</f>
        <v/>
      </c>
      <c r="H5552" s="8">
        <f>IF(G5552="","",G5552-I5552)</f>
        <v/>
      </c>
      <c r="I5552" s="8">
        <f>IF(D5552="","",VLOOKUP(D5552, RECETTES!B:G, 6, FALSE)*E5552)</f>
        <v/>
      </c>
      <c r="J5552" s="8">
        <f>IF(G5552="","",G5552*0.20)</f>
        <v/>
      </c>
      <c r="K5552" s="8">
        <f>IF(G5552="","",G5552+J5552)</f>
        <v/>
      </c>
    </row>
    <row r="5553">
      <c r="F5553" s="8" t="n"/>
      <c r="G5553" s="8">
        <f>IF(E5553="","",E5553*F5553)</f>
        <v/>
      </c>
      <c r="H5553" s="8">
        <f>IF(G5553="","",G5553-I5553)</f>
        <v/>
      </c>
      <c r="I5553" s="8">
        <f>IF(D5553="","",VLOOKUP(D5553, RECETTES!B:G, 6, FALSE)*E5553)</f>
        <v/>
      </c>
      <c r="J5553" s="8">
        <f>IF(G5553="","",G5553*0.20)</f>
        <v/>
      </c>
      <c r="K5553" s="8">
        <f>IF(G5553="","",G5553+J5553)</f>
        <v/>
      </c>
    </row>
    <row r="5554">
      <c r="F5554" s="8" t="n"/>
      <c r="G5554" s="8">
        <f>IF(E5554="","",E5554*F5554)</f>
        <v/>
      </c>
      <c r="H5554" s="8">
        <f>IF(G5554="","",G5554-I5554)</f>
        <v/>
      </c>
      <c r="I5554" s="8">
        <f>IF(D5554="","",VLOOKUP(D5554, RECETTES!B:G, 6, FALSE)*E5554)</f>
        <v/>
      </c>
      <c r="J5554" s="8">
        <f>IF(G5554="","",G5554*0.20)</f>
        <v/>
      </c>
      <c r="K5554" s="8">
        <f>IF(G5554="","",G5554+J5554)</f>
        <v/>
      </c>
    </row>
    <row r="5555">
      <c r="F5555" s="8" t="n"/>
      <c r="G5555" s="8">
        <f>IF(E5555="","",E5555*F5555)</f>
        <v/>
      </c>
      <c r="H5555" s="8">
        <f>IF(G5555="","",G5555-I5555)</f>
        <v/>
      </c>
      <c r="I5555" s="8">
        <f>IF(D5555="","",VLOOKUP(D5555, RECETTES!B:G, 6, FALSE)*E5555)</f>
        <v/>
      </c>
      <c r="J5555" s="8">
        <f>IF(G5555="","",G5555*0.20)</f>
        <v/>
      </c>
      <c r="K5555" s="8">
        <f>IF(G5555="","",G5555+J5555)</f>
        <v/>
      </c>
    </row>
    <row r="5556">
      <c r="F5556" s="8" t="n"/>
      <c r="G5556" s="8">
        <f>IF(E5556="","",E5556*F5556)</f>
        <v/>
      </c>
      <c r="H5556" s="8">
        <f>IF(G5556="","",G5556-I5556)</f>
        <v/>
      </c>
      <c r="I5556" s="8">
        <f>IF(D5556="","",VLOOKUP(D5556, RECETTES!B:G, 6, FALSE)*E5556)</f>
        <v/>
      </c>
      <c r="J5556" s="8">
        <f>IF(G5556="","",G5556*0.20)</f>
        <v/>
      </c>
      <c r="K5556" s="8">
        <f>IF(G5556="","",G5556+J5556)</f>
        <v/>
      </c>
    </row>
    <row r="5557">
      <c r="F5557" s="8" t="n"/>
      <c r="G5557" s="8">
        <f>IF(E5557="","",E5557*F5557)</f>
        <v/>
      </c>
      <c r="H5557" s="8">
        <f>IF(G5557="","",G5557-I5557)</f>
        <v/>
      </c>
      <c r="I5557" s="8">
        <f>IF(D5557="","",VLOOKUP(D5557, RECETTES!B:G, 6, FALSE)*E5557)</f>
        <v/>
      </c>
      <c r="J5557" s="8">
        <f>IF(G5557="","",G5557*0.20)</f>
        <v/>
      </c>
      <c r="K5557" s="8">
        <f>IF(G5557="","",G5557+J5557)</f>
        <v/>
      </c>
    </row>
    <row r="5558">
      <c r="F5558" s="8" t="n"/>
      <c r="G5558" s="8">
        <f>IF(E5558="","",E5558*F5558)</f>
        <v/>
      </c>
      <c r="H5558" s="8">
        <f>IF(G5558="","",G5558-I5558)</f>
        <v/>
      </c>
      <c r="I5558" s="8">
        <f>IF(D5558="","",VLOOKUP(D5558, RECETTES!B:G, 6, FALSE)*E5558)</f>
        <v/>
      </c>
      <c r="J5558" s="8">
        <f>IF(G5558="","",G5558*0.20)</f>
        <v/>
      </c>
      <c r="K5558" s="8">
        <f>IF(G5558="","",G5558+J5558)</f>
        <v/>
      </c>
    </row>
    <row r="5559">
      <c r="F5559" s="8" t="n"/>
      <c r="G5559" s="8">
        <f>IF(E5559="","",E5559*F5559)</f>
        <v/>
      </c>
      <c r="H5559" s="8">
        <f>IF(G5559="","",G5559-I5559)</f>
        <v/>
      </c>
      <c r="I5559" s="8">
        <f>IF(D5559="","",VLOOKUP(D5559, RECETTES!B:G, 6, FALSE)*E5559)</f>
        <v/>
      </c>
      <c r="J5559" s="8">
        <f>IF(G5559="","",G5559*0.20)</f>
        <v/>
      </c>
      <c r="K5559" s="8">
        <f>IF(G5559="","",G5559+J5559)</f>
        <v/>
      </c>
    </row>
    <row r="5560">
      <c r="F5560" s="8" t="n"/>
      <c r="G5560" s="8">
        <f>IF(E5560="","",E5560*F5560)</f>
        <v/>
      </c>
      <c r="H5560" s="8">
        <f>IF(G5560="","",G5560-I5560)</f>
        <v/>
      </c>
      <c r="I5560" s="8">
        <f>IF(D5560="","",VLOOKUP(D5560, RECETTES!B:G, 6, FALSE)*E5560)</f>
        <v/>
      </c>
      <c r="J5560" s="8">
        <f>IF(G5560="","",G5560*0.20)</f>
        <v/>
      </c>
      <c r="K5560" s="8">
        <f>IF(G5560="","",G5560+J5560)</f>
        <v/>
      </c>
    </row>
    <row r="5561">
      <c r="F5561" s="8" t="n"/>
      <c r="G5561" s="8">
        <f>IF(E5561="","",E5561*F5561)</f>
        <v/>
      </c>
      <c r="H5561" s="8">
        <f>IF(G5561="","",G5561-I5561)</f>
        <v/>
      </c>
      <c r="I5561" s="8">
        <f>IF(D5561="","",VLOOKUP(D5561, RECETTES!B:G, 6, FALSE)*E5561)</f>
        <v/>
      </c>
      <c r="J5561" s="8">
        <f>IF(G5561="","",G5561*0.20)</f>
        <v/>
      </c>
      <c r="K5561" s="8">
        <f>IF(G5561="","",G5561+J5561)</f>
        <v/>
      </c>
    </row>
    <row r="5562">
      <c r="F5562" s="8" t="n"/>
      <c r="G5562" s="8">
        <f>IF(E5562="","",E5562*F5562)</f>
        <v/>
      </c>
      <c r="H5562" s="8">
        <f>IF(G5562="","",G5562-I5562)</f>
        <v/>
      </c>
      <c r="I5562" s="8">
        <f>IF(D5562="","",VLOOKUP(D5562, RECETTES!B:G, 6, FALSE)*E5562)</f>
        <v/>
      </c>
      <c r="J5562" s="8">
        <f>IF(G5562="","",G5562*0.20)</f>
        <v/>
      </c>
      <c r="K5562" s="8">
        <f>IF(G5562="","",G5562+J5562)</f>
        <v/>
      </c>
    </row>
    <row r="5563">
      <c r="F5563" s="8" t="n"/>
      <c r="G5563" s="8">
        <f>IF(E5563="","",E5563*F5563)</f>
        <v/>
      </c>
      <c r="H5563" s="8">
        <f>IF(G5563="","",G5563-I5563)</f>
        <v/>
      </c>
      <c r="I5563" s="8">
        <f>IF(D5563="","",VLOOKUP(D5563, RECETTES!B:G, 6, FALSE)*E5563)</f>
        <v/>
      </c>
      <c r="J5563" s="8">
        <f>IF(G5563="","",G5563*0.20)</f>
        <v/>
      </c>
      <c r="K5563" s="8">
        <f>IF(G5563="","",G5563+J5563)</f>
        <v/>
      </c>
    </row>
    <row r="5564">
      <c r="F5564" s="8" t="n"/>
      <c r="G5564" s="8">
        <f>IF(E5564="","",E5564*F5564)</f>
        <v/>
      </c>
      <c r="H5564" s="8">
        <f>IF(G5564="","",G5564-I5564)</f>
        <v/>
      </c>
      <c r="I5564" s="8">
        <f>IF(D5564="","",VLOOKUP(D5564, RECETTES!B:G, 6, FALSE)*E5564)</f>
        <v/>
      </c>
      <c r="J5564" s="8">
        <f>IF(G5564="","",G5564*0.20)</f>
        <v/>
      </c>
      <c r="K5564" s="8">
        <f>IF(G5564="","",G5564+J5564)</f>
        <v/>
      </c>
    </row>
    <row r="5565">
      <c r="F5565" s="8" t="n"/>
      <c r="G5565" s="8">
        <f>IF(E5565="","",E5565*F5565)</f>
        <v/>
      </c>
      <c r="H5565" s="8">
        <f>IF(G5565="","",G5565-I5565)</f>
        <v/>
      </c>
      <c r="I5565" s="8">
        <f>IF(D5565="","",VLOOKUP(D5565, RECETTES!B:G, 6, FALSE)*E5565)</f>
        <v/>
      </c>
      <c r="J5565" s="8">
        <f>IF(G5565="","",G5565*0.20)</f>
        <v/>
      </c>
      <c r="K5565" s="8">
        <f>IF(G5565="","",G5565+J5565)</f>
        <v/>
      </c>
    </row>
    <row r="5566">
      <c r="F5566" s="8" t="n"/>
      <c r="G5566" s="8">
        <f>IF(E5566="","",E5566*F5566)</f>
        <v/>
      </c>
      <c r="H5566" s="8">
        <f>IF(G5566="","",G5566-I5566)</f>
        <v/>
      </c>
      <c r="I5566" s="8">
        <f>IF(D5566="","",VLOOKUP(D5566, RECETTES!B:G, 6, FALSE)*E5566)</f>
        <v/>
      </c>
      <c r="J5566" s="8">
        <f>IF(G5566="","",G5566*0.20)</f>
        <v/>
      </c>
      <c r="K5566" s="8">
        <f>IF(G5566="","",G5566+J5566)</f>
        <v/>
      </c>
    </row>
    <row r="5567">
      <c r="F5567" s="8" t="n"/>
      <c r="G5567" s="8">
        <f>IF(E5567="","",E5567*F5567)</f>
        <v/>
      </c>
      <c r="H5567" s="8">
        <f>IF(G5567="","",G5567-I5567)</f>
        <v/>
      </c>
      <c r="I5567" s="8">
        <f>IF(D5567="","",VLOOKUP(D5567, RECETTES!B:G, 6, FALSE)*E5567)</f>
        <v/>
      </c>
      <c r="J5567" s="8">
        <f>IF(G5567="","",G5567*0.20)</f>
        <v/>
      </c>
      <c r="K5567" s="8">
        <f>IF(G5567="","",G5567+J5567)</f>
        <v/>
      </c>
    </row>
    <row r="5568">
      <c r="F5568" s="8" t="n"/>
      <c r="G5568" s="8">
        <f>IF(E5568="","",E5568*F5568)</f>
        <v/>
      </c>
      <c r="H5568" s="8">
        <f>IF(G5568="","",G5568-I5568)</f>
        <v/>
      </c>
      <c r="I5568" s="8">
        <f>IF(D5568="","",VLOOKUP(D5568, RECETTES!B:G, 6, FALSE)*E5568)</f>
        <v/>
      </c>
      <c r="J5568" s="8">
        <f>IF(G5568="","",G5568*0.20)</f>
        <v/>
      </c>
      <c r="K5568" s="8">
        <f>IF(G5568="","",G5568+J5568)</f>
        <v/>
      </c>
    </row>
    <row r="5569">
      <c r="F5569" s="8" t="n"/>
      <c r="G5569" s="8">
        <f>IF(E5569="","",E5569*F5569)</f>
        <v/>
      </c>
      <c r="H5569" s="8">
        <f>IF(G5569="","",G5569-I5569)</f>
        <v/>
      </c>
      <c r="I5569" s="8">
        <f>IF(D5569="","",VLOOKUP(D5569, RECETTES!B:G, 6, FALSE)*E5569)</f>
        <v/>
      </c>
      <c r="J5569" s="8">
        <f>IF(G5569="","",G5569*0.20)</f>
        <v/>
      </c>
      <c r="K5569" s="8">
        <f>IF(G5569="","",G5569+J5569)</f>
        <v/>
      </c>
    </row>
    <row r="5570">
      <c r="F5570" s="8" t="n"/>
      <c r="G5570" s="8">
        <f>IF(E5570="","",E5570*F5570)</f>
        <v/>
      </c>
      <c r="H5570" s="8">
        <f>IF(G5570="","",G5570-I5570)</f>
        <v/>
      </c>
      <c r="I5570" s="8">
        <f>IF(D5570="","",VLOOKUP(D5570, RECETTES!B:G, 6, FALSE)*E5570)</f>
        <v/>
      </c>
      <c r="J5570" s="8">
        <f>IF(G5570="","",G5570*0.20)</f>
        <v/>
      </c>
      <c r="K5570" s="8">
        <f>IF(G5570="","",G5570+J5570)</f>
        <v/>
      </c>
    </row>
    <row r="5571">
      <c r="F5571" s="8" t="n"/>
      <c r="G5571" s="8">
        <f>IF(E5571="","",E5571*F5571)</f>
        <v/>
      </c>
      <c r="H5571" s="8">
        <f>IF(G5571="","",G5571-I5571)</f>
        <v/>
      </c>
      <c r="I5571" s="8">
        <f>IF(D5571="","",VLOOKUP(D5571, RECETTES!B:G, 6, FALSE)*E5571)</f>
        <v/>
      </c>
      <c r="J5571" s="8">
        <f>IF(G5571="","",G5571*0.20)</f>
        <v/>
      </c>
      <c r="K5571" s="8">
        <f>IF(G5571="","",G5571+J5571)</f>
        <v/>
      </c>
    </row>
    <row r="5572">
      <c r="F5572" s="8" t="n"/>
      <c r="G5572" s="8">
        <f>IF(E5572="","",E5572*F5572)</f>
        <v/>
      </c>
      <c r="H5572" s="8">
        <f>IF(G5572="","",G5572-I5572)</f>
        <v/>
      </c>
      <c r="I5572" s="8">
        <f>IF(D5572="","",VLOOKUP(D5572, RECETTES!B:G, 6, FALSE)*E5572)</f>
        <v/>
      </c>
      <c r="J5572" s="8">
        <f>IF(G5572="","",G5572*0.20)</f>
        <v/>
      </c>
      <c r="K5572" s="8">
        <f>IF(G5572="","",G5572+J5572)</f>
        <v/>
      </c>
    </row>
    <row r="5573">
      <c r="F5573" s="8" t="n"/>
      <c r="G5573" s="8">
        <f>IF(E5573="","",E5573*F5573)</f>
        <v/>
      </c>
      <c r="H5573" s="8">
        <f>IF(G5573="","",G5573-I5573)</f>
        <v/>
      </c>
      <c r="I5573" s="8">
        <f>IF(D5573="","",VLOOKUP(D5573, RECETTES!B:G, 6, FALSE)*E5573)</f>
        <v/>
      </c>
      <c r="J5573" s="8">
        <f>IF(G5573="","",G5573*0.20)</f>
        <v/>
      </c>
      <c r="K5573" s="8">
        <f>IF(G5573="","",G5573+J5573)</f>
        <v/>
      </c>
    </row>
    <row r="5574">
      <c r="F5574" s="8" t="n"/>
      <c r="G5574" s="8">
        <f>IF(E5574="","",E5574*F5574)</f>
        <v/>
      </c>
      <c r="H5574" s="8">
        <f>IF(G5574="","",G5574-I5574)</f>
        <v/>
      </c>
      <c r="I5574" s="8">
        <f>IF(D5574="","",VLOOKUP(D5574, RECETTES!B:G, 6, FALSE)*E5574)</f>
        <v/>
      </c>
      <c r="J5574" s="8">
        <f>IF(G5574="","",G5574*0.20)</f>
        <v/>
      </c>
      <c r="K5574" s="8">
        <f>IF(G5574="","",G5574+J5574)</f>
        <v/>
      </c>
    </row>
    <row r="5575">
      <c r="F5575" s="8" t="n"/>
      <c r="G5575" s="8">
        <f>IF(E5575="","",E5575*F5575)</f>
        <v/>
      </c>
      <c r="H5575" s="8">
        <f>IF(G5575="","",G5575-I5575)</f>
        <v/>
      </c>
      <c r="I5575" s="8">
        <f>IF(D5575="","",VLOOKUP(D5575, RECETTES!B:G, 6, FALSE)*E5575)</f>
        <v/>
      </c>
      <c r="J5575" s="8">
        <f>IF(G5575="","",G5575*0.20)</f>
        <v/>
      </c>
      <c r="K5575" s="8">
        <f>IF(G5575="","",G5575+J5575)</f>
        <v/>
      </c>
    </row>
    <row r="5576">
      <c r="F5576" s="8" t="n"/>
      <c r="G5576" s="8">
        <f>IF(E5576="","",E5576*F5576)</f>
        <v/>
      </c>
      <c r="H5576" s="8">
        <f>IF(G5576="","",G5576-I5576)</f>
        <v/>
      </c>
      <c r="I5576" s="8">
        <f>IF(D5576="","",VLOOKUP(D5576, RECETTES!B:G, 6, FALSE)*E5576)</f>
        <v/>
      </c>
      <c r="J5576" s="8">
        <f>IF(G5576="","",G5576*0.20)</f>
        <v/>
      </c>
      <c r="K5576" s="8">
        <f>IF(G5576="","",G5576+J5576)</f>
        <v/>
      </c>
    </row>
    <row r="5577">
      <c r="F5577" s="8" t="n"/>
      <c r="G5577" s="8">
        <f>IF(E5577="","",E5577*F5577)</f>
        <v/>
      </c>
      <c r="H5577" s="8">
        <f>IF(G5577="","",G5577-I5577)</f>
        <v/>
      </c>
      <c r="I5577" s="8">
        <f>IF(D5577="","",VLOOKUP(D5577, RECETTES!B:G, 6, FALSE)*E5577)</f>
        <v/>
      </c>
      <c r="J5577" s="8">
        <f>IF(G5577="","",G5577*0.20)</f>
        <v/>
      </c>
      <c r="K5577" s="8">
        <f>IF(G5577="","",G5577+J5577)</f>
        <v/>
      </c>
    </row>
    <row r="5578">
      <c r="F5578" s="8" t="n"/>
      <c r="G5578" s="8">
        <f>IF(E5578="","",E5578*F5578)</f>
        <v/>
      </c>
      <c r="H5578" s="8">
        <f>IF(G5578="","",G5578-I5578)</f>
        <v/>
      </c>
      <c r="I5578" s="8">
        <f>IF(D5578="","",VLOOKUP(D5578, RECETTES!B:G, 6, FALSE)*E5578)</f>
        <v/>
      </c>
      <c r="J5578" s="8">
        <f>IF(G5578="","",G5578*0.20)</f>
        <v/>
      </c>
      <c r="K5578" s="8">
        <f>IF(G5578="","",G5578+J5578)</f>
        <v/>
      </c>
    </row>
    <row r="5579">
      <c r="F5579" s="8" t="n"/>
      <c r="G5579" s="8">
        <f>IF(E5579="","",E5579*F5579)</f>
        <v/>
      </c>
      <c r="H5579" s="8">
        <f>IF(G5579="","",G5579-I5579)</f>
        <v/>
      </c>
      <c r="I5579" s="8">
        <f>IF(D5579="","",VLOOKUP(D5579, RECETTES!B:G, 6, FALSE)*E5579)</f>
        <v/>
      </c>
      <c r="J5579" s="8">
        <f>IF(G5579="","",G5579*0.20)</f>
        <v/>
      </c>
      <c r="K5579" s="8">
        <f>IF(G5579="","",G5579+J5579)</f>
        <v/>
      </c>
    </row>
    <row r="5580">
      <c r="F5580" s="8" t="n"/>
      <c r="G5580" s="8">
        <f>IF(E5580="","",E5580*F5580)</f>
        <v/>
      </c>
      <c r="H5580" s="8">
        <f>IF(G5580="","",G5580-I5580)</f>
        <v/>
      </c>
      <c r="I5580" s="8">
        <f>IF(D5580="","",VLOOKUP(D5580, RECETTES!B:G, 6, FALSE)*E5580)</f>
        <v/>
      </c>
      <c r="J5580" s="8">
        <f>IF(G5580="","",G5580*0.20)</f>
        <v/>
      </c>
      <c r="K5580" s="8">
        <f>IF(G5580="","",G5580+J5580)</f>
        <v/>
      </c>
    </row>
    <row r="5581">
      <c r="F5581" s="8" t="n"/>
      <c r="G5581" s="8">
        <f>IF(E5581="","",E5581*F5581)</f>
        <v/>
      </c>
      <c r="H5581" s="8">
        <f>IF(G5581="","",G5581-I5581)</f>
        <v/>
      </c>
      <c r="I5581" s="8">
        <f>IF(D5581="","",VLOOKUP(D5581, RECETTES!B:G, 6, FALSE)*E5581)</f>
        <v/>
      </c>
      <c r="J5581" s="8">
        <f>IF(G5581="","",G5581*0.20)</f>
        <v/>
      </c>
      <c r="K5581" s="8">
        <f>IF(G5581="","",G5581+J5581)</f>
        <v/>
      </c>
    </row>
    <row r="5582">
      <c r="F5582" s="8" t="n"/>
      <c r="G5582" s="8">
        <f>IF(E5582="","",E5582*F5582)</f>
        <v/>
      </c>
      <c r="H5582" s="8">
        <f>IF(G5582="","",G5582-I5582)</f>
        <v/>
      </c>
      <c r="I5582" s="8">
        <f>IF(D5582="","",VLOOKUP(D5582, RECETTES!B:G, 6, FALSE)*E5582)</f>
        <v/>
      </c>
      <c r="J5582" s="8">
        <f>IF(G5582="","",G5582*0.20)</f>
        <v/>
      </c>
      <c r="K5582" s="8">
        <f>IF(G5582="","",G5582+J5582)</f>
        <v/>
      </c>
    </row>
    <row r="5583">
      <c r="F5583" s="8" t="n"/>
      <c r="G5583" s="8">
        <f>IF(E5583="","",E5583*F5583)</f>
        <v/>
      </c>
      <c r="H5583" s="8">
        <f>IF(G5583="","",G5583-I5583)</f>
        <v/>
      </c>
      <c r="I5583" s="8">
        <f>IF(D5583="","",VLOOKUP(D5583, RECETTES!B:G, 6, FALSE)*E5583)</f>
        <v/>
      </c>
      <c r="J5583" s="8">
        <f>IF(G5583="","",G5583*0.20)</f>
        <v/>
      </c>
      <c r="K5583" s="8">
        <f>IF(G5583="","",G5583+J5583)</f>
        <v/>
      </c>
    </row>
    <row r="5584">
      <c r="F5584" s="8" t="n"/>
      <c r="G5584" s="8">
        <f>IF(E5584="","",E5584*F5584)</f>
        <v/>
      </c>
      <c r="H5584" s="8">
        <f>IF(G5584="","",G5584-I5584)</f>
        <v/>
      </c>
      <c r="I5584" s="8">
        <f>IF(D5584="","",VLOOKUP(D5584, RECETTES!B:G, 6, FALSE)*E5584)</f>
        <v/>
      </c>
      <c r="J5584" s="8">
        <f>IF(G5584="","",G5584*0.20)</f>
        <v/>
      </c>
      <c r="K5584" s="8">
        <f>IF(G5584="","",G5584+J5584)</f>
        <v/>
      </c>
    </row>
    <row r="5585">
      <c r="F5585" s="8" t="n"/>
      <c r="G5585" s="8">
        <f>IF(E5585="","",E5585*F5585)</f>
        <v/>
      </c>
      <c r="H5585" s="8">
        <f>IF(G5585="","",G5585-I5585)</f>
        <v/>
      </c>
      <c r="I5585" s="8">
        <f>IF(D5585="","",VLOOKUP(D5585, RECETTES!B:G, 6, FALSE)*E5585)</f>
        <v/>
      </c>
      <c r="J5585" s="8">
        <f>IF(G5585="","",G5585*0.20)</f>
        <v/>
      </c>
      <c r="K5585" s="8">
        <f>IF(G5585="","",G5585+J5585)</f>
        <v/>
      </c>
    </row>
    <row r="5586">
      <c r="F5586" s="8" t="n"/>
      <c r="G5586" s="8">
        <f>IF(E5586="","",E5586*F5586)</f>
        <v/>
      </c>
      <c r="H5586" s="8">
        <f>IF(G5586="","",G5586-I5586)</f>
        <v/>
      </c>
      <c r="I5586" s="8">
        <f>IF(D5586="","",VLOOKUP(D5586, RECETTES!B:G, 6, FALSE)*E5586)</f>
        <v/>
      </c>
      <c r="J5586" s="8">
        <f>IF(G5586="","",G5586*0.20)</f>
        <v/>
      </c>
      <c r="K5586" s="8">
        <f>IF(G5586="","",G5586+J5586)</f>
        <v/>
      </c>
    </row>
    <row r="5587">
      <c r="F5587" s="8" t="n"/>
      <c r="G5587" s="8">
        <f>IF(E5587="","",E5587*F5587)</f>
        <v/>
      </c>
      <c r="H5587" s="8">
        <f>IF(G5587="","",G5587-I5587)</f>
        <v/>
      </c>
      <c r="I5587" s="8">
        <f>IF(D5587="","",VLOOKUP(D5587, RECETTES!B:G, 6, FALSE)*E5587)</f>
        <v/>
      </c>
      <c r="J5587" s="8">
        <f>IF(G5587="","",G5587*0.20)</f>
        <v/>
      </c>
      <c r="K5587" s="8">
        <f>IF(G5587="","",G5587+J5587)</f>
        <v/>
      </c>
    </row>
    <row r="5588">
      <c r="F5588" s="8" t="n"/>
      <c r="G5588" s="8">
        <f>IF(E5588="","",E5588*F5588)</f>
        <v/>
      </c>
      <c r="H5588" s="8">
        <f>IF(G5588="","",G5588-I5588)</f>
        <v/>
      </c>
      <c r="I5588" s="8">
        <f>IF(D5588="","",VLOOKUP(D5588, RECETTES!B:G, 6, FALSE)*E5588)</f>
        <v/>
      </c>
      <c r="J5588" s="8">
        <f>IF(G5588="","",G5588*0.20)</f>
        <v/>
      </c>
      <c r="K5588" s="8">
        <f>IF(G5588="","",G5588+J5588)</f>
        <v/>
      </c>
    </row>
    <row r="5589">
      <c r="F5589" s="8" t="n"/>
      <c r="G5589" s="8">
        <f>IF(E5589="","",E5589*F5589)</f>
        <v/>
      </c>
      <c r="H5589" s="8">
        <f>IF(G5589="","",G5589-I5589)</f>
        <v/>
      </c>
      <c r="I5589" s="8">
        <f>IF(D5589="","",VLOOKUP(D5589, RECETTES!B:G, 6, FALSE)*E5589)</f>
        <v/>
      </c>
      <c r="J5589" s="8">
        <f>IF(G5589="","",G5589*0.20)</f>
        <v/>
      </c>
      <c r="K5589" s="8">
        <f>IF(G5589="","",G5589+J5589)</f>
        <v/>
      </c>
    </row>
    <row r="5590">
      <c r="F5590" s="8" t="n"/>
      <c r="G5590" s="8">
        <f>IF(E5590="","",E5590*F5590)</f>
        <v/>
      </c>
      <c r="H5590" s="8">
        <f>IF(G5590="","",G5590-I5590)</f>
        <v/>
      </c>
      <c r="I5590" s="8">
        <f>IF(D5590="","",VLOOKUP(D5590, RECETTES!B:G, 6, FALSE)*E5590)</f>
        <v/>
      </c>
      <c r="J5590" s="8">
        <f>IF(G5590="","",G5590*0.20)</f>
        <v/>
      </c>
      <c r="K5590" s="8">
        <f>IF(G5590="","",G5590+J5590)</f>
        <v/>
      </c>
    </row>
    <row r="5591">
      <c r="F5591" s="8" t="n"/>
      <c r="G5591" s="8">
        <f>IF(E5591="","",E5591*F5591)</f>
        <v/>
      </c>
      <c r="H5591" s="8">
        <f>IF(G5591="","",G5591-I5591)</f>
        <v/>
      </c>
      <c r="I5591" s="8">
        <f>IF(D5591="","",VLOOKUP(D5591, RECETTES!B:G, 6, FALSE)*E5591)</f>
        <v/>
      </c>
      <c r="J5591" s="8">
        <f>IF(G5591="","",G5591*0.20)</f>
        <v/>
      </c>
      <c r="K5591" s="8">
        <f>IF(G5591="","",G5591+J5591)</f>
        <v/>
      </c>
    </row>
    <row r="5592">
      <c r="F5592" s="8" t="n"/>
      <c r="G5592" s="8">
        <f>IF(E5592="","",E5592*F5592)</f>
        <v/>
      </c>
      <c r="H5592" s="8">
        <f>IF(G5592="","",G5592-I5592)</f>
        <v/>
      </c>
      <c r="I5592" s="8">
        <f>IF(D5592="","",VLOOKUP(D5592, RECETTES!B:G, 6, FALSE)*E5592)</f>
        <v/>
      </c>
      <c r="J5592" s="8">
        <f>IF(G5592="","",G5592*0.20)</f>
        <v/>
      </c>
      <c r="K5592" s="8">
        <f>IF(G5592="","",G5592+J5592)</f>
        <v/>
      </c>
    </row>
    <row r="5593">
      <c r="F5593" s="8" t="n"/>
      <c r="G5593" s="8">
        <f>IF(E5593="","",E5593*F5593)</f>
        <v/>
      </c>
      <c r="H5593" s="8">
        <f>IF(G5593="","",G5593-I5593)</f>
        <v/>
      </c>
      <c r="I5593" s="8">
        <f>IF(D5593="","",VLOOKUP(D5593, RECETTES!B:G, 6, FALSE)*E5593)</f>
        <v/>
      </c>
      <c r="J5593" s="8">
        <f>IF(G5593="","",G5593*0.20)</f>
        <v/>
      </c>
      <c r="K5593" s="8">
        <f>IF(G5593="","",G5593+J5593)</f>
        <v/>
      </c>
    </row>
    <row r="5594">
      <c r="F5594" s="8" t="n"/>
      <c r="G5594" s="8">
        <f>IF(E5594="","",E5594*F5594)</f>
        <v/>
      </c>
      <c r="H5594" s="8">
        <f>IF(G5594="","",G5594-I5594)</f>
        <v/>
      </c>
      <c r="I5594" s="8">
        <f>IF(D5594="","",VLOOKUP(D5594, RECETTES!B:G, 6, FALSE)*E5594)</f>
        <v/>
      </c>
      <c r="J5594" s="8">
        <f>IF(G5594="","",G5594*0.20)</f>
        <v/>
      </c>
      <c r="K5594" s="8">
        <f>IF(G5594="","",G5594+J5594)</f>
        <v/>
      </c>
    </row>
    <row r="5595">
      <c r="F5595" s="8" t="n"/>
      <c r="G5595" s="8">
        <f>IF(E5595="","",E5595*F5595)</f>
        <v/>
      </c>
      <c r="H5595" s="8">
        <f>IF(G5595="","",G5595-I5595)</f>
        <v/>
      </c>
      <c r="I5595" s="8">
        <f>IF(D5595="","",VLOOKUP(D5595, RECETTES!B:G, 6, FALSE)*E5595)</f>
        <v/>
      </c>
      <c r="J5595" s="8">
        <f>IF(G5595="","",G5595*0.20)</f>
        <v/>
      </c>
      <c r="K5595" s="8">
        <f>IF(G5595="","",G5595+J5595)</f>
        <v/>
      </c>
    </row>
    <row r="5596">
      <c r="F5596" s="8" t="n"/>
      <c r="G5596" s="8">
        <f>IF(E5596="","",E5596*F5596)</f>
        <v/>
      </c>
      <c r="H5596" s="8">
        <f>IF(G5596="","",G5596-I5596)</f>
        <v/>
      </c>
      <c r="I5596" s="8">
        <f>IF(D5596="","",VLOOKUP(D5596, RECETTES!B:G, 6, FALSE)*E5596)</f>
        <v/>
      </c>
      <c r="J5596" s="8">
        <f>IF(G5596="","",G5596*0.20)</f>
        <v/>
      </c>
      <c r="K5596" s="8">
        <f>IF(G5596="","",G5596+J5596)</f>
        <v/>
      </c>
    </row>
    <row r="5597">
      <c r="F5597" s="8" t="n"/>
      <c r="G5597" s="8">
        <f>IF(E5597="","",E5597*F5597)</f>
        <v/>
      </c>
      <c r="H5597" s="8">
        <f>IF(G5597="","",G5597-I5597)</f>
        <v/>
      </c>
      <c r="I5597" s="8">
        <f>IF(D5597="","",VLOOKUP(D5597, RECETTES!B:G, 6, FALSE)*E5597)</f>
        <v/>
      </c>
      <c r="J5597" s="8">
        <f>IF(G5597="","",G5597*0.20)</f>
        <v/>
      </c>
      <c r="K5597" s="8">
        <f>IF(G5597="","",G5597+J5597)</f>
        <v/>
      </c>
    </row>
    <row r="5598">
      <c r="F5598" s="8" t="n"/>
      <c r="G5598" s="8">
        <f>IF(E5598="","",E5598*F5598)</f>
        <v/>
      </c>
      <c r="H5598" s="8">
        <f>IF(G5598="","",G5598-I5598)</f>
        <v/>
      </c>
      <c r="I5598" s="8">
        <f>IF(D5598="","",VLOOKUP(D5598, RECETTES!B:G, 6, FALSE)*E5598)</f>
        <v/>
      </c>
      <c r="J5598" s="8">
        <f>IF(G5598="","",G5598*0.20)</f>
        <v/>
      </c>
      <c r="K5598" s="8">
        <f>IF(G5598="","",G5598+J5598)</f>
        <v/>
      </c>
    </row>
    <row r="5599">
      <c r="F5599" s="8" t="n"/>
      <c r="G5599" s="8">
        <f>IF(E5599="","",E5599*F5599)</f>
        <v/>
      </c>
      <c r="H5599" s="8">
        <f>IF(G5599="","",G5599-I5599)</f>
        <v/>
      </c>
      <c r="I5599" s="8">
        <f>IF(D5599="","",VLOOKUP(D5599, RECETTES!B:G, 6, FALSE)*E5599)</f>
        <v/>
      </c>
      <c r="J5599" s="8">
        <f>IF(G5599="","",G5599*0.20)</f>
        <v/>
      </c>
      <c r="K5599" s="8">
        <f>IF(G5599="","",G5599+J5599)</f>
        <v/>
      </c>
    </row>
    <row r="5600">
      <c r="F5600" s="8" t="n"/>
      <c r="G5600" s="8">
        <f>IF(E5600="","",E5600*F5600)</f>
        <v/>
      </c>
      <c r="H5600" s="8">
        <f>IF(G5600="","",G5600-I5600)</f>
        <v/>
      </c>
      <c r="I5600" s="8">
        <f>IF(D5600="","",VLOOKUP(D5600, RECETTES!B:G, 6, FALSE)*E5600)</f>
        <v/>
      </c>
      <c r="J5600" s="8">
        <f>IF(G5600="","",G5600*0.20)</f>
        <v/>
      </c>
      <c r="K5600" s="8">
        <f>IF(G5600="","",G5600+J5600)</f>
        <v/>
      </c>
    </row>
    <row r="5601">
      <c r="F5601" s="8" t="n"/>
      <c r="G5601" s="8">
        <f>IF(E5601="","",E5601*F5601)</f>
        <v/>
      </c>
      <c r="H5601" s="8">
        <f>IF(G5601="","",G5601-I5601)</f>
        <v/>
      </c>
      <c r="I5601" s="8">
        <f>IF(D5601="","",VLOOKUP(D5601, RECETTES!B:G, 6, FALSE)*E5601)</f>
        <v/>
      </c>
      <c r="J5601" s="8">
        <f>IF(G5601="","",G5601*0.20)</f>
        <v/>
      </c>
      <c r="K5601" s="8">
        <f>IF(G5601="","",G5601+J5601)</f>
        <v/>
      </c>
    </row>
    <row r="5602">
      <c r="F5602" s="8" t="n"/>
      <c r="G5602" s="8">
        <f>IF(E5602="","",E5602*F5602)</f>
        <v/>
      </c>
      <c r="H5602" s="8">
        <f>IF(G5602="","",G5602-I5602)</f>
        <v/>
      </c>
      <c r="I5602" s="8">
        <f>IF(D5602="","",VLOOKUP(D5602, RECETTES!B:G, 6, FALSE)*E5602)</f>
        <v/>
      </c>
      <c r="J5602" s="8">
        <f>IF(G5602="","",G5602*0.20)</f>
        <v/>
      </c>
      <c r="K5602" s="8">
        <f>IF(G5602="","",G5602+J5602)</f>
        <v/>
      </c>
    </row>
    <row r="5603">
      <c r="F5603" s="8" t="n"/>
      <c r="G5603" s="8">
        <f>IF(E5603="","",E5603*F5603)</f>
        <v/>
      </c>
      <c r="H5603" s="8">
        <f>IF(G5603="","",G5603-I5603)</f>
        <v/>
      </c>
      <c r="I5603" s="8">
        <f>IF(D5603="","",VLOOKUP(D5603, RECETTES!B:G, 6, FALSE)*E5603)</f>
        <v/>
      </c>
      <c r="J5603" s="8">
        <f>IF(G5603="","",G5603*0.20)</f>
        <v/>
      </c>
      <c r="K5603" s="8">
        <f>IF(G5603="","",G5603+J5603)</f>
        <v/>
      </c>
    </row>
    <row r="5604">
      <c r="F5604" s="8" t="n"/>
      <c r="G5604" s="8">
        <f>IF(E5604="","",E5604*F5604)</f>
        <v/>
      </c>
      <c r="H5604" s="8">
        <f>IF(G5604="","",G5604-I5604)</f>
        <v/>
      </c>
      <c r="I5604" s="8">
        <f>IF(D5604="","",VLOOKUP(D5604, RECETTES!B:G, 6, FALSE)*E5604)</f>
        <v/>
      </c>
      <c r="J5604" s="8">
        <f>IF(G5604="","",G5604*0.20)</f>
        <v/>
      </c>
      <c r="K5604" s="8">
        <f>IF(G5604="","",G5604+J5604)</f>
        <v/>
      </c>
    </row>
    <row r="5605">
      <c r="F5605" s="8" t="n"/>
      <c r="G5605" s="8">
        <f>IF(E5605="","",E5605*F5605)</f>
        <v/>
      </c>
      <c r="H5605" s="8">
        <f>IF(G5605="","",G5605-I5605)</f>
        <v/>
      </c>
      <c r="I5605" s="8">
        <f>IF(D5605="","",VLOOKUP(D5605, RECETTES!B:G, 6, FALSE)*E5605)</f>
        <v/>
      </c>
      <c r="J5605" s="8">
        <f>IF(G5605="","",G5605*0.20)</f>
        <v/>
      </c>
      <c r="K5605" s="8">
        <f>IF(G5605="","",G5605+J5605)</f>
        <v/>
      </c>
    </row>
    <row r="5606">
      <c r="F5606" s="8" t="n"/>
      <c r="G5606" s="8">
        <f>IF(E5606="","",E5606*F5606)</f>
        <v/>
      </c>
      <c r="H5606" s="8">
        <f>IF(G5606="","",G5606-I5606)</f>
        <v/>
      </c>
      <c r="I5606" s="8">
        <f>IF(D5606="","",VLOOKUP(D5606, RECETTES!B:G, 6, FALSE)*E5606)</f>
        <v/>
      </c>
      <c r="J5606" s="8">
        <f>IF(G5606="","",G5606*0.20)</f>
        <v/>
      </c>
      <c r="K5606" s="8">
        <f>IF(G5606="","",G5606+J5606)</f>
        <v/>
      </c>
    </row>
    <row r="5607">
      <c r="F5607" s="8" t="n"/>
      <c r="G5607" s="8">
        <f>IF(E5607="","",E5607*F5607)</f>
        <v/>
      </c>
      <c r="H5607" s="8">
        <f>IF(G5607="","",G5607-I5607)</f>
        <v/>
      </c>
      <c r="I5607" s="8">
        <f>IF(D5607="","",VLOOKUP(D5607, RECETTES!B:G, 6, FALSE)*E5607)</f>
        <v/>
      </c>
      <c r="J5607" s="8">
        <f>IF(G5607="","",G5607*0.20)</f>
        <v/>
      </c>
      <c r="K5607" s="8">
        <f>IF(G5607="","",G5607+J5607)</f>
        <v/>
      </c>
    </row>
    <row r="5608">
      <c r="F5608" s="8" t="n"/>
      <c r="G5608" s="8">
        <f>IF(E5608="","",E5608*F5608)</f>
        <v/>
      </c>
      <c r="H5608" s="8">
        <f>IF(G5608="","",G5608-I5608)</f>
        <v/>
      </c>
      <c r="I5608" s="8">
        <f>IF(D5608="","",VLOOKUP(D5608, RECETTES!B:G, 6, FALSE)*E5608)</f>
        <v/>
      </c>
      <c r="J5608" s="8">
        <f>IF(G5608="","",G5608*0.20)</f>
        <v/>
      </c>
      <c r="K5608" s="8">
        <f>IF(G5608="","",G5608+J5608)</f>
        <v/>
      </c>
    </row>
    <row r="5609">
      <c r="F5609" s="8" t="n"/>
      <c r="G5609" s="8">
        <f>IF(E5609="","",E5609*F5609)</f>
        <v/>
      </c>
      <c r="H5609" s="8">
        <f>IF(G5609="","",G5609-I5609)</f>
        <v/>
      </c>
      <c r="I5609" s="8">
        <f>IF(D5609="","",VLOOKUP(D5609, RECETTES!B:G, 6, FALSE)*E5609)</f>
        <v/>
      </c>
      <c r="J5609" s="8">
        <f>IF(G5609="","",G5609*0.20)</f>
        <v/>
      </c>
      <c r="K5609" s="8">
        <f>IF(G5609="","",G5609+J5609)</f>
        <v/>
      </c>
    </row>
    <row r="5610">
      <c r="F5610" s="8" t="n"/>
      <c r="G5610" s="8">
        <f>IF(E5610="","",E5610*F5610)</f>
        <v/>
      </c>
      <c r="H5610" s="8">
        <f>IF(G5610="","",G5610-I5610)</f>
        <v/>
      </c>
      <c r="I5610" s="8">
        <f>IF(D5610="","",VLOOKUP(D5610, RECETTES!B:G, 6, FALSE)*E5610)</f>
        <v/>
      </c>
      <c r="J5610" s="8">
        <f>IF(G5610="","",G5610*0.20)</f>
        <v/>
      </c>
      <c r="K5610" s="8">
        <f>IF(G5610="","",G5610+J5610)</f>
        <v/>
      </c>
    </row>
    <row r="5611">
      <c r="F5611" s="8" t="n"/>
      <c r="G5611" s="8">
        <f>IF(E5611="","",E5611*F5611)</f>
        <v/>
      </c>
      <c r="H5611" s="8">
        <f>IF(G5611="","",G5611-I5611)</f>
        <v/>
      </c>
      <c r="I5611" s="8">
        <f>IF(D5611="","",VLOOKUP(D5611, RECETTES!B:G, 6, FALSE)*E5611)</f>
        <v/>
      </c>
      <c r="J5611" s="8">
        <f>IF(G5611="","",G5611*0.20)</f>
        <v/>
      </c>
      <c r="K5611" s="8">
        <f>IF(G5611="","",G5611+J5611)</f>
        <v/>
      </c>
    </row>
    <row r="5612">
      <c r="F5612" s="8" t="n"/>
      <c r="G5612" s="8">
        <f>IF(E5612="","",E5612*F5612)</f>
        <v/>
      </c>
      <c r="H5612" s="8">
        <f>IF(G5612="","",G5612-I5612)</f>
        <v/>
      </c>
      <c r="I5612" s="8">
        <f>IF(D5612="","",VLOOKUP(D5612, RECETTES!B:G, 6, FALSE)*E5612)</f>
        <v/>
      </c>
      <c r="J5612" s="8">
        <f>IF(G5612="","",G5612*0.20)</f>
        <v/>
      </c>
      <c r="K5612" s="8">
        <f>IF(G5612="","",G5612+J5612)</f>
        <v/>
      </c>
    </row>
    <row r="5613">
      <c r="F5613" s="8" t="n"/>
      <c r="G5613" s="8">
        <f>IF(E5613="","",E5613*F5613)</f>
        <v/>
      </c>
      <c r="H5613" s="8">
        <f>IF(G5613="","",G5613-I5613)</f>
        <v/>
      </c>
      <c r="I5613" s="8">
        <f>IF(D5613="","",VLOOKUP(D5613, RECETTES!B:G, 6, FALSE)*E5613)</f>
        <v/>
      </c>
      <c r="J5613" s="8">
        <f>IF(G5613="","",G5613*0.20)</f>
        <v/>
      </c>
      <c r="K5613" s="8">
        <f>IF(G5613="","",G5613+J5613)</f>
        <v/>
      </c>
    </row>
    <row r="5614">
      <c r="F5614" s="8" t="n"/>
      <c r="G5614" s="8">
        <f>IF(E5614="","",E5614*F5614)</f>
        <v/>
      </c>
      <c r="H5614" s="8">
        <f>IF(G5614="","",G5614-I5614)</f>
        <v/>
      </c>
      <c r="I5614" s="8">
        <f>IF(D5614="","",VLOOKUP(D5614, RECETTES!B:G, 6, FALSE)*E5614)</f>
        <v/>
      </c>
      <c r="J5614" s="8">
        <f>IF(G5614="","",G5614*0.20)</f>
        <v/>
      </c>
      <c r="K5614" s="8">
        <f>IF(G5614="","",G5614+J5614)</f>
        <v/>
      </c>
    </row>
    <row r="5615">
      <c r="F5615" s="8" t="n"/>
      <c r="G5615" s="8">
        <f>IF(E5615="","",E5615*F5615)</f>
        <v/>
      </c>
      <c r="H5615" s="8">
        <f>IF(G5615="","",G5615-I5615)</f>
        <v/>
      </c>
      <c r="I5615" s="8">
        <f>IF(D5615="","",VLOOKUP(D5615, RECETTES!B:G, 6, FALSE)*E5615)</f>
        <v/>
      </c>
      <c r="J5615" s="8">
        <f>IF(G5615="","",G5615*0.20)</f>
        <v/>
      </c>
      <c r="K5615" s="8">
        <f>IF(G5615="","",G5615+J5615)</f>
        <v/>
      </c>
    </row>
    <row r="5616">
      <c r="F5616" s="8" t="n"/>
      <c r="G5616" s="8">
        <f>IF(E5616="","",E5616*F5616)</f>
        <v/>
      </c>
      <c r="H5616" s="8">
        <f>IF(G5616="","",G5616-I5616)</f>
        <v/>
      </c>
      <c r="I5616" s="8">
        <f>IF(D5616="","",VLOOKUP(D5616, RECETTES!B:G, 6, FALSE)*E5616)</f>
        <v/>
      </c>
      <c r="J5616" s="8">
        <f>IF(G5616="","",G5616*0.20)</f>
        <v/>
      </c>
      <c r="K5616" s="8">
        <f>IF(G5616="","",G5616+J5616)</f>
        <v/>
      </c>
    </row>
    <row r="5617">
      <c r="F5617" s="8" t="n"/>
      <c r="G5617" s="8">
        <f>IF(E5617="","",E5617*F5617)</f>
        <v/>
      </c>
      <c r="H5617" s="8">
        <f>IF(G5617="","",G5617-I5617)</f>
        <v/>
      </c>
      <c r="I5617" s="8">
        <f>IF(D5617="","",VLOOKUP(D5617, RECETTES!B:G, 6, FALSE)*E5617)</f>
        <v/>
      </c>
      <c r="J5617" s="8">
        <f>IF(G5617="","",G5617*0.20)</f>
        <v/>
      </c>
      <c r="K5617" s="8">
        <f>IF(G5617="","",G5617+J5617)</f>
        <v/>
      </c>
    </row>
    <row r="5618">
      <c r="F5618" s="8" t="n"/>
      <c r="G5618" s="8">
        <f>IF(E5618="","",E5618*F5618)</f>
        <v/>
      </c>
      <c r="H5618" s="8">
        <f>IF(G5618="","",G5618-I5618)</f>
        <v/>
      </c>
      <c r="I5618" s="8">
        <f>IF(D5618="","",VLOOKUP(D5618, RECETTES!B:G, 6, FALSE)*E5618)</f>
        <v/>
      </c>
      <c r="J5618" s="8">
        <f>IF(G5618="","",G5618*0.20)</f>
        <v/>
      </c>
      <c r="K5618" s="8">
        <f>IF(G5618="","",G5618+J5618)</f>
        <v/>
      </c>
    </row>
    <row r="5619">
      <c r="F5619" s="8" t="n"/>
      <c r="G5619" s="8">
        <f>IF(E5619="","",E5619*F5619)</f>
        <v/>
      </c>
      <c r="H5619" s="8">
        <f>IF(G5619="","",G5619-I5619)</f>
        <v/>
      </c>
      <c r="I5619" s="8">
        <f>IF(D5619="","",VLOOKUP(D5619, RECETTES!B:G, 6, FALSE)*E5619)</f>
        <v/>
      </c>
      <c r="J5619" s="8">
        <f>IF(G5619="","",G5619*0.20)</f>
        <v/>
      </c>
      <c r="K5619" s="8">
        <f>IF(G5619="","",G5619+J5619)</f>
        <v/>
      </c>
    </row>
    <row r="5620">
      <c r="F5620" s="8" t="n"/>
      <c r="G5620" s="8">
        <f>IF(E5620="","",E5620*F5620)</f>
        <v/>
      </c>
      <c r="H5620" s="8">
        <f>IF(G5620="","",G5620-I5620)</f>
        <v/>
      </c>
      <c r="I5620" s="8">
        <f>IF(D5620="","",VLOOKUP(D5620, RECETTES!B:G, 6, FALSE)*E5620)</f>
        <v/>
      </c>
      <c r="J5620" s="8">
        <f>IF(G5620="","",G5620*0.20)</f>
        <v/>
      </c>
      <c r="K5620" s="8">
        <f>IF(G5620="","",G5620+J5620)</f>
        <v/>
      </c>
    </row>
    <row r="5621">
      <c r="F5621" s="8" t="n"/>
      <c r="G5621" s="8">
        <f>IF(E5621="","",E5621*F5621)</f>
        <v/>
      </c>
      <c r="H5621" s="8">
        <f>IF(G5621="","",G5621-I5621)</f>
        <v/>
      </c>
      <c r="I5621" s="8">
        <f>IF(D5621="","",VLOOKUP(D5621, RECETTES!B:G, 6, FALSE)*E5621)</f>
        <v/>
      </c>
      <c r="J5621" s="8">
        <f>IF(G5621="","",G5621*0.20)</f>
        <v/>
      </c>
      <c r="K5621" s="8">
        <f>IF(G5621="","",G5621+J5621)</f>
        <v/>
      </c>
    </row>
    <row r="5622">
      <c r="F5622" s="8" t="n"/>
      <c r="G5622" s="8">
        <f>IF(E5622="","",E5622*F5622)</f>
        <v/>
      </c>
      <c r="H5622" s="8">
        <f>IF(G5622="","",G5622-I5622)</f>
        <v/>
      </c>
      <c r="I5622" s="8">
        <f>IF(D5622="","",VLOOKUP(D5622, RECETTES!B:G, 6, FALSE)*E5622)</f>
        <v/>
      </c>
      <c r="J5622" s="8">
        <f>IF(G5622="","",G5622*0.20)</f>
        <v/>
      </c>
      <c r="K5622" s="8">
        <f>IF(G5622="","",G5622+J5622)</f>
        <v/>
      </c>
    </row>
    <row r="5623">
      <c r="F5623" s="8" t="n"/>
      <c r="G5623" s="8">
        <f>IF(E5623="","",E5623*F5623)</f>
        <v/>
      </c>
      <c r="H5623" s="8">
        <f>IF(G5623="","",G5623-I5623)</f>
        <v/>
      </c>
      <c r="I5623" s="8">
        <f>IF(D5623="","",VLOOKUP(D5623, RECETTES!B:G, 6, FALSE)*E5623)</f>
        <v/>
      </c>
      <c r="J5623" s="8">
        <f>IF(G5623="","",G5623*0.20)</f>
        <v/>
      </c>
      <c r="K5623" s="8">
        <f>IF(G5623="","",G5623+J5623)</f>
        <v/>
      </c>
    </row>
    <row r="5624">
      <c r="F5624" s="8" t="n"/>
      <c r="G5624" s="8">
        <f>IF(E5624="","",E5624*F5624)</f>
        <v/>
      </c>
      <c r="H5624" s="8">
        <f>IF(G5624="","",G5624-I5624)</f>
        <v/>
      </c>
      <c r="I5624" s="8">
        <f>IF(D5624="","",VLOOKUP(D5624, RECETTES!B:G, 6, FALSE)*E5624)</f>
        <v/>
      </c>
      <c r="J5624" s="8">
        <f>IF(G5624="","",G5624*0.20)</f>
        <v/>
      </c>
      <c r="K5624" s="8">
        <f>IF(G5624="","",G5624+J5624)</f>
        <v/>
      </c>
    </row>
    <row r="5625">
      <c r="F5625" s="8" t="n"/>
      <c r="G5625" s="8">
        <f>IF(E5625="","",E5625*F5625)</f>
        <v/>
      </c>
      <c r="H5625" s="8">
        <f>IF(G5625="","",G5625-I5625)</f>
        <v/>
      </c>
      <c r="I5625" s="8">
        <f>IF(D5625="","",VLOOKUP(D5625, RECETTES!B:G, 6, FALSE)*E5625)</f>
        <v/>
      </c>
      <c r="J5625" s="8">
        <f>IF(G5625="","",G5625*0.20)</f>
        <v/>
      </c>
      <c r="K5625" s="8">
        <f>IF(G5625="","",G5625+J5625)</f>
        <v/>
      </c>
    </row>
    <row r="5626">
      <c r="F5626" s="8" t="n"/>
      <c r="G5626" s="8">
        <f>IF(E5626="","",E5626*F5626)</f>
        <v/>
      </c>
      <c r="H5626" s="8">
        <f>IF(G5626="","",G5626-I5626)</f>
        <v/>
      </c>
      <c r="I5626" s="8">
        <f>IF(D5626="","",VLOOKUP(D5626, RECETTES!B:G, 6, FALSE)*E5626)</f>
        <v/>
      </c>
      <c r="J5626" s="8">
        <f>IF(G5626="","",G5626*0.20)</f>
        <v/>
      </c>
      <c r="K5626" s="8">
        <f>IF(G5626="","",G5626+J5626)</f>
        <v/>
      </c>
    </row>
    <row r="5627">
      <c r="F5627" s="8" t="n"/>
      <c r="G5627" s="8">
        <f>IF(E5627="","",E5627*F5627)</f>
        <v/>
      </c>
      <c r="H5627" s="8">
        <f>IF(G5627="","",G5627-I5627)</f>
        <v/>
      </c>
      <c r="I5627" s="8">
        <f>IF(D5627="","",VLOOKUP(D5627, RECETTES!B:G, 6, FALSE)*E5627)</f>
        <v/>
      </c>
      <c r="J5627" s="8">
        <f>IF(G5627="","",G5627*0.20)</f>
        <v/>
      </c>
      <c r="K5627" s="8">
        <f>IF(G5627="","",G5627+J5627)</f>
        <v/>
      </c>
    </row>
    <row r="5628">
      <c r="F5628" s="8" t="n"/>
      <c r="G5628" s="8">
        <f>IF(E5628="","",E5628*F5628)</f>
        <v/>
      </c>
      <c r="H5628" s="8">
        <f>IF(G5628="","",G5628-I5628)</f>
        <v/>
      </c>
      <c r="I5628" s="8">
        <f>IF(D5628="","",VLOOKUP(D5628, RECETTES!B:G, 6, FALSE)*E5628)</f>
        <v/>
      </c>
      <c r="J5628" s="8">
        <f>IF(G5628="","",G5628*0.20)</f>
        <v/>
      </c>
      <c r="K5628" s="8">
        <f>IF(G5628="","",G5628+J5628)</f>
        <v/>
      </c>
    </row>
    <row r="5629">
      <c r="F5629" s="8" t="n"/>
      <c r="G5629" s="8">
        <f>IF(E5629="","",E5629*F5629)</f>
        <v/>
      </c>
      <c r="H5629" s="8">
        <f>IF(G5629="","",G5629-I5629)</f>
        <v/>
      </c>
      <c r="I5629" s="8">
        <f>IF(D5629="","",VLOOKUP(D5629, RECETTES!B:G, 6, FALSE)*E5629)</f>
        <v/>
      </c>
      <c r="J5629" s="8">
        <f>IF(G5629="","",G5629*0.20)</f>
        <v/>
      </c>
      <c r="K5629" s="8">
        <f>IF(G5629="","",G5629+J5629)</f>
        <v/>
      </c>
    </row>
    <row r="5630">
      <c r="F5630" s="8" t="n"/>
      <c r="G5630" s="8">
        <f>IF(E5630="","",E5630*F5630)</f>
        <v/>
      </c>
      <c r="H5630" s="8">
        <f>IF(G5630="","",G5630-I5630)</f>
        <v/>
      </c>
      <c r="I5630" s="8">
        <f>IF(D5630="","",VLOOKUP(D5630, RECETTES!B:G, 6, FALSE)*E5630)</f>
        <v/>
      </c>
      <c r="J5630" s="8">
        <f>IF(G5630="","",G5630*0.20)</f>
        <v/>
      </c>
      <c r="K5630" s="8">
        <f>IF(G5630="","",G5630+J5630)</f>
        <v/>
      </c>
    </row>
    <row r="5631">
      <c r="F5631" s="8" t="n"/>
      <c r="G5631" s="8">
        <f>IF(E5631="","",E5631*F5631)</f>
        <v/>
      </c>
      <c r="H5631" s="8">
        <f>IF(G5631="","",G5631-I5631)</f>
        <v/>
      </c>
      <c r="I5631" s="8">
        <f>IF(D5631="","",VLOOKUP(D5631, RECETTES!B:G, 6, FALSE)*E5631)</f>
        <v/>
      </c>
      <c r="J5631" s="8">
        <f>IF(G5631="","",G5631*0.20)</f>
        <v/>
      </c>
      <c r="K5631" s="8">
        <f>IF(G5631="","",G5631+J5631)</f>
        <v/>
      </c>
    </row>
    <row r="5632">
      <c r="F5632" s="8" t="n"/>
      <c r="G5632" s="8">
        <f>IF(E5632="","",E5632*F5632)</f>
        <v/>
      </c>
      <c r="H5632" s="8">
        <f>IF(G5632="","",G5632-I5632)</f>
        <v/>
      </c>
      <c r="I5632" s="8">
        <f>IF(D5632="","",VLOOKUP(D5632, RECETTES!B:G, 6, FALSE)*E5632)</f>
        <v/>
      </c>
      <c r="J5632" s="8">
        <f>IF(G5632="","",G5632*0.20)</f>
        <v/>
      </c>
      <c r="K5632" s="8">
        <f>IF(G5632="","",G5632+J5632)</f>
        <v/>
      </c>
    </row>
    <row r="5633">
      <c r="F5633" s="8" t="n"/>
      <c r="G5633" s="8">
        <f>IF(E5633="","",E5633*F5633)</f>
        <v/>
      </c>
      <c r="H5633" s="8">
        <f>IF(G5633="","",G5633-I5633)</f>
        <v/>
      </c>
      <c r="I5633" s="8">
        <f>IF(D5633="","",VLOOKUP(D5633, RECETTES!B:G, 6, FALSE)*E5633)</f>
        <v/>
      </c>
      <c r="J5633" s="8">
        <f>IF(G5633="","",G5633*0.20)</f>
        <v/>
      </c>
      <c r="K5633" s="8">
        <f>IF(G5633="","",G5633+J5633)</f>
        <v/>
      </c>
    </row>
    <row r="5634">
      <c r="F5634" s="8" t="n"/>
      <c r="G5634" s="8">
        <f>IF(E5634="","",E5634*F5634)</f>
        <v/>
      </c>
      <c r="H5634" s="8">
        <f>IF(G5634="","",G5634-I5634)</f>
        <v/>
      </c>
      <c r="I5634" s="8">
        <f>IF(D5634="","",VLOOKUP(D5634, RECETTES!B:G, 6, FALSE)*E5634)</f>
        <v/>
      </c>
      <c r="J5634" s="8">
        <f>IF(G5634="","",G5634*0.20)</f>
        <v/>
      </c>
      <c r="K5634" s="8">
        <f>IF(G5634="","",G5634+J5634)</f>
        <v/>
      </c>
    </row>
    <row r="5635">
      <c r="F5635" s="8" t="n"/>
      <c r="G5635" s="8">
        <f>IF(E5635="","",E5635*F5635)</f>
        <v/>
      </c>
      <c r="H5635" s="8">
        <f>IF(G5635="","",G5635-I5635)</f>
        <v/>
      </c>
      <c r="I5635" s="8">
        <f>IF(D5635="","",VLOOKUP(D5635, RECETTES!B:G, 6, FALSE)*E5635)</f>
        <v/>
      </c>
      <c r="J5635" s="8">
        <f>IF(G5635="","",G5635*0.20)</f>
        <v/>
      </c>
      <c r="K5635" s="8">
        <f>IF(G5635="","",G5635+J5635)</f>
        <v/>
      </c>
    </row>
    <row r="5636">
      <c r="F5636" s="8" t="n"/>
      <c r="G5636" s="8">
        <f>IF(E5636="","",E5636*F5636)</f>
        <v/>
      </c>
      <c r="H5636" s="8">
        <f>IF(G5636="","",G5636-I5636)</f>
        <v/>
      </c>
      <c r="I5636" s="8">
        <f>IF(D5636="","",VLOOKUP(D5636, RECETTES!B:G, 6, FALSE)*E5636)</f>
        <v/>
      </c>
      <c r="J5636" s="8">
        <f>IF(G5636="","",G5636*0.20)</f>
        <v/>
      </c>
      <c r="K5636" s="8">
        <f>IF(G5636="","",G5636+J5636)</f>
        <v/>
      </c>
    </row>
    <row r="5637">
      <c r="F5637" s="8" t="n"/>
      <c r="G5637" s="8">
        <f>IF(E5637="","",E5637*F5637)</f>
        <v/>
      </c>
      <c r="H5637" s="8">
        <f>IF(G5637="","",G5637-I5637)</f>
        <v/>
      </c>
      <c r="I5637" s="8">
        <f>IF(D5637="","",VLOOKUP(D5637, RECETTES!B:G, 6, FALSE)*E5637)</f>
        <v/>
      </c>
      <c r="J5637" s="8">
        <f>IF(G5637="","",G5637*0.20)</f>
        <v/>
      </c>
      <c r="K5637" s="8">
        <f>IF(G5637="","",G5637+J5637)</f>
        <v/>
      </c>
    </row>
    <row r="5638">
      <c r="F5638" s="8" t="n"/>
      <c r="G5638" s="8">
        <f>IF(E5638="","",E5638*F5638)</f>
        <v/>
      </c>
      <c r="H5638" s="8">
        <f>IF(G5638="","",G5638-I5638)</f>
        <v/>
      </c>
      <c r="I5638" s="8">
        <f>IF(D5638="","",VLOOKUP(D5638, RECETTES!B:G, 6, FALSE)*E5638)</f>
        <v/>
      </c>
      <c r="J5638" s="8">
        <f>IF(G5638="","",G5638*0.20)</f>
        <v/>
      </c>
      <c r="K5638" s="8">
        <f>IF(G5638="","",G5638+J5638)</f>
        <v/>
      </c>
    </row>
    <row r="5639">
      <c r="F5639" s="8" t="n"/>
      <c r="G5639" s="8">
        <f>IF(E5639="","",E5639*F5639)</f>
        <v/>
      </c>
      <c r="H5639" s="8">
        <f>IF(G5639="","",G5639-I5639)</f>
        <v/>
      </c>
      <c r="I5639" s="8">
        <f>IF(D5639="","",VLOOKUP(D5639, RECETTES!B:G, 6, FALSE)*E5639)</f>
        <v/>
      </c>
      <c r="J5639" s="8">
        <f>IF(G5639="","",G5639*0.20)</f>
        <v/>
      </c>
      <c r="K5639" s="8">
        <f>IF(G5639="","",G5639+J5639)</f>
        <v/>
      </c>
    </row>
    <row r="5640">
      <c r="F5640" s="8" t="n"/>
      <c r="G5640" s="8">
        <f>IF(E5640="","",E5640*F5640)</f>
        <v/>
      </c>
      <c r="H5640" s="8">
        <f>IF(G5640="","",G5640-I5640)</f>
        <v/>
      </c>
      <c r="I5640" s="8">
        <f>IF(D5640="","",VLOOKUP(D5640, RECETTES!B:G, 6, FALSE)*E5640)</f>
        <v/>
      </c>
      <c r="J5640" s="8">
        <f>IF(G5640="","",G5640*0.20)</f>
        <v/>
      </c>
      <c r="K5640" s="8">
        <f>IF(G5640="","",G5640+J5640)</f>
        <v/>
      </c>
    </row>
    <row r="5641">
      <c r="F5641" s="8" t="n"/>
      <c r="G5641" s="8">
        <f>IF(E5641="","",E5641*F5641)</f>
        <v/>
      </c>
      <c r="H5641" s="8">
        <f>IF(G5641="","",G5641-I5641)</f>
        <v/>
      </c>
      <c r="I5641" s="8">
        <f>IF(D5641="","",VLOOKUP(D5641, RECETTES!B:G, 6, FALSE)*E5641)</f>
        <v/>
      </c>
      <c r="J5641" s="8">
        <f>IF(G5641="","",G5641*0.20)</f>
        <v/>
      </c>
      <c r="K5641" s="8">
        <f>IF(G5641="","",G5641+J5641)</f>
        <v/>
      </c>
    </row>
    <row r="5642">
      <c r="F5642" s="8" t="n"/>
      <c r="G5642" s="8">
        <f>IF(E5642="","",E5642*F5642)</f>
        <v/>
      </c>
      <c r="H5642" s="8">
        <f>IF(G5642="","",G5642-I5642)</f>
        <v/>
      </c>
      <c r="I5642" s="8">
        <f>IF(D5642="","",VLOOKUP(D5642, RECETTES!B:G, 6, FALSE)*E5642)</f>
        <v/>
      </c>
      <c r="J5642" s="8">
        <f>IF(G5642="","",G5642*0.20)</f>
        <v/>
      </c>
      <c r="K5642" s="8">
        <f>IF(G5642="","",G5642+J5642)</f>
        <v/>
      </c>
    </row>
    <row r="5643">
      <c r="F5643" s="8" t="n"/>
      <c r="G5643" s="8">
        <f>IF(E5643="","",E5643*F5643)</f>
        <v/>
      </c>
      <c r="H5643" s="8">
        <f>IF(G5643="","",G5643-I5643)</f>
        <v/>
      </c>
      <c r="I5643" s="8">
        <f>IF(D5643="","",VLOOKUP(D5643, RECETTES!B:G, 6, FALSE)*E5643)</f>
        <v/>
      </c>
      <c r="J5643" s="8">
        <f>IF(G5643="","",G5643*0.20)</f>
        <v/>
      </c>
      <c r="K5643" s="8">
        <f>IF(G5643="","",G5643+J5643)</f>
        <v/>
      </c>
    </row>
    <row r="5644">
      <c r="F5644" s="8" t="n"/>
      <c r="G5644" s="8">
        <f>IF(E5644="","",E5644*F5644)</f>
        <v/>
      </c>
      <c r="H5644" s="8">
        <f>IF(G5644="","",G5644-I5644)</f>
        <v/>
      </c>
      <c r="I5644" s="8">
        <f>IF(D5644="","",VLOOKUP(D5644, RECETTES!B:G, 6, FALSE)*E5644)</f>
        <v/>
      </c>
      <c r="J5644" s="8">
        <f>IF(G5644="","",G5644*0.20)</f>
        <v/>
      </c>
      <c r="K5644" s="8">
        <f>IF(G5644="","",G5644+J5644)</f>
        <v/>
      </c>
    </row>
    <row r="5645">
      <c r="F5645" s="8" t="n"/>
      <c r="G5645" s="8">
        <f>IF(E5645="","",E5645*F5645)</f>
        <v/>
      </c>
      <c r="H5645" s="8">
        <f>IF(G5645="","",G5645-I5645)</f>
        <v/>
      </c>
      <c r="I5645" s="8">
        <f>IF(D5645="","",VLOOKUP(D5645, RECETTES!B:G, 6, FALSE)*E5645)</f>
        <v/>
      </c>
      <c r="J5645" s="8">
        <f>IF(G5645="","",G5645*0.20)</f>
        <v/>
      </c>
      <c r="K5645" s="8">
        <f>IF(G5645="","",G5645+J5645)</f>
        <v/>
      </c>
    </row>
    <row r="5646">
      <c r="F5646" s="8" t="n"/>
      <c r="G5646" s="8">
        <f>IF(E5646="","",E5646*F5646)</f>
        <v/>
      </c>
      <c r="H5646" s="8">
        <f>IF(G5646="","",G5646-I5646)</f>
        <v/>
      </c>
      <c r="I5646" s="8">
        <f>IF(D5646="","",VLOOKUP(D5646, RECETTES!B:G, 6, FALSE)*E5646)</f>
        <v/>
      </c>
      <c r="J5646" s="8">
        <f>IF(G5646="","",G5646*0.20)</f>
        <v/>
      </c>
      <c r="K5646" s="8">
        <f>IF(G5646="","",G5646+J5646)</f>
        <v/>
      </c>
    </row>
    <row r="5647">
      <c r="F5647" s="8" t="n"/>
      <c r="G5647" s="8">
        <f>IF(E5647="","",E5647*F5647)</f>
        <v/>
      </c>
      <c r="H5647" s="8">
        <f>IF(G5647="","",G5647-I5647)</f>
        <v/>
      </c>
      <c r="I5647" s="8">
        <f>IF(D5647="","",VLOOKUP(D5647, RECETTES!B:G, 6, FALSE)*E5647)</f>
        <v/>
      </c>
      <c r="J5647" s="8">
        <f>IF(G5647="","",G5647*0.20)</f>
        <v/>
      </c>
      <c r="K5647" s="8">
        <f>IF(G5647="","",G5647+J5647)</f>
        <v/>
      </c>
    </row>
    <row r="5648">
      <c r="F5648" s="8" t="n"/>
      <c r="G5648" s="8">
        <f>IF(E5648="","",E5648*F5648)</f>
        <v/>
      </c>
      <c r="H5648" s="8">
        <f>IF(G5648="","",G5648-I5648)</f>
        <v/>
      </c>
      <c r="I5648" s="8">
        <f>IF(D5648="","",VLOOKUP(D5648, RECETTES!B:G, 6, FALSE)*E5648)</f>
        <v/>
      </c>
      <c r="J5648" s="8">
        <f>IF(G5648="","",G5648*0.20)</f>
        <v/>
      </c>
      <c r="K5648" s="8">
        <f>IF(G5648="","",G5648+J5648)</f>
        <v/>
      </c>
    </row>
    <row r="5649">
      <c r="F5649" s="8" t="n"/>
      <c r="G5649" s="8">
        <f>IF(E5649="","",E5649*F5649)</f>
        <v/>
      </c>
      <c r="H5649" s="8">
        <f>IF(G5649="","",G5649-I5649)</f>
        <v/>
      </c>
      <c r="I5649" s="8">
        <f>IF(D5649="","",VLOOKUP(D5649, RECETTES!B:G, 6, FALSE)*E5649)</f>
        <v/>
      </c>
      <c r="J5649" s="8">
        <f>IF(G5649="","",G5649*0.20)</f>
        <v/>
      </c>
      <c r="K5649" s="8">
        <f>IF(G5649="","",G5649+J5649)</f>
        <v/>
      </c>
    </row>
    <row r="5650">
      <c r="F5650" s="8" t="n"/>
      <c r="G5650" s="8">
        <f>IF(E5650="","",E5650*F5650)</f>
        <v/>
      </c>
      <c r="H5650" s="8">
        <f>IF(G5650="","",G5650-I5650)</f>
        <v/>
      </c>
      <c r="I5650" s="8">
        <f>IF(D5650="","",VLOOKUP(D5650, RECETTES!B:G, 6, FALSE)*E5650)</f>
        <v/>
      </c>
      <c r="J5650" s="8">
        <f>IF(G5650="","",G5650*0.20)</f>
        <v/>
      </c>
      <c r="K5650" s="8">
        <f>IF(G5650="","",G5650+J5650)</f>
        <v/>
      </c>
    </row>
    <row r="5651">
      <c r="F5651" s="8" t="n"/>
      <c r="G5651" s="8">
        <f>IF(E5651="","",E5651*F5651)</f>
        <v/>
      </c>
      <c r="H5651" s="8">
        <f>IF(G5651="","",G5651-I5651)</f>
        <v/>
      </c>
      <c r="I5651" s="8">
        <f>IF(D5651="","",VLOOKUP(D5651, RECETTES!B:G, 6, FALSE)*E5651)</f>
        <v/>
      </c>
      <c r="J5651" s="8">
        <f>IF(G5651="","",G5651*0.20)</f>
        <v/>
      </c>
      <c r="K5651" s="8">
        <f>IF(G5651="","",G5651+J5651)</f>
        <v/>
      </c>
    </row>
    <row r="5652">
      <c r="F5652" s="8" t="n"/>
      <c r="G5652" s="8">
        <f>IF(E5652="","",E5652*F5652)</f>
        <v/>
      </c>
      <c r="H5652" s="8">
        <f>IF(G5652="","",G5652-I5652)</f>
        <v/>
      </c>
      <c r="I5652" s="8">
        <f>IF(D5652="","",VLOOKUP(D5652, RECETTES!B:G, 6, FALSE)*E5652)</f>
        <v/>
      </c>
      <c r="J5652" s="8">
        <f>IF(G5652="","",G5652*0.20)</f>
        <v/>
      </c>
      <c r="K5652" s="8">
        <f>IF(G5652="","",G5652+J5652)</f>
        <v/>
      </c>
    </row>
    <row r="5653">
      <c r="F5653" s="8" t="n"/>
      <c r="G5653" s="8">
        <f>IF(E5653="","",E5653*F5653)</f>
        <v/>
      </c>
      <c r="H5653" s="8">
        <f>IF(G5653="","",G5653-I5653)</f>
        <v/>
      </c>
      <c r="I5653" s="8">
        <f>IF(D5653="","",VLOOKUP(D5653, RECETTES!B:G, 6, FALSE)*E5653)</f>
        <v/>
      </c>
      <c r="J5653" s="8">
        <f>IF(G5653="","",G5653*0.20)</f>
        <v/>
      </c>
      <c r="K5653" s="8">
        <f>IF(G5653="","",G5653+J5653)</f>
        <v/>
      </c>
    </row>
    <row r="5654">
      <c r="F5654" s="8" t="n"/>
      <c r="G5654" s="8">
        <f>IF(E5654="","",E5654*F5654)</f>
        <v/>
      </c>
      <c r="H5654" s="8">
        <f>IF(G5654="","",G5654-I5654)</f>
        <v/>
      </c>
      <c r="I5654" s="8">
        <f>IF(D5654="","",VLOOKUP(D5654, RECETTES!B:G, 6, FALSE)*E5654)</f>
        <v/>
      </c>
      <c r="J5654" s="8">
        <f>IF(G5654="","",G5654*0.20)</f>
        <v/>
      </c>
      <c r="K5654" s="8">
        <f>IF(G5654="","",G5654+J5654)</f>
        <v/>
      </c>
    </row>
    <row r="5655">
      <c r="F5655" s="8" t="n"/>
      <c r="G5655" s="8">
        <f>IF(E5655="","",E5655*F5655)</f>
        <v/>
      </c>
      <c r="H5655" s="8">
        <f>IF(G5655="","",G5655-I5655)</f>
        <v/>
      </c>
      <c r="I5655" s="8">
        <f>IF(D5655="","",VLOOKUP(D5655, RECETTES!B:G, 6, FALSE)*E5655)</f>
        <v/>
      </c>
      <c r="J5655" s="8">
        <f>IF(G5655="","",G5655*0.20)</f>
        <v/>
      </c>
      <c r="K5655" s="8">
        <f>IF(G5655="","",G5655+J5655)</f>
        <v/>
      </c>
    </row>
    <row r="5656">
      <c r="F5656" s="8" t="n"/>
      <c r="G5656" s="8">
        <f>IF(E5656="","",E5656*F5656)</f>
        <v/>
      </c>
      <c r="H5656" s="8">
        <f>IF(G5656="","",G5656-I5656)</f>
        <v/>
      </c>
      <c r="I5656" s="8">
        <f>IF(D5656="","",VLOOKUP(D5656, RECETTES!B:G, 6, FALSE)*E5656)</f>
        <v/>
      </c>
      <c r="J5656" s="8">
        <f>IF(G5656="","",G5656*0.20)</f>
        <v/>
      </c>
      <c r="K5656" s="8">
        <f>IF(G5656="","",G5656+J5656)</f>
        <v/>
      </c>
    </row>
    <row r="5657">
      <c r="F5657" s="8" t="n"/>
      <c r="G5657" s="8">
        <f>IF(E5657="","",E5657*F5657)</f>
        <v/>
      </c>
      <c r="H5657" s="8">
        <f>IF(G5657="","",G5657-I5657)</f>
        <v/>
      </c>
      <c r="I5657" s="8">
        <f>IF(D5657="","",VLOOKUP(D5657, RECETTES!B:G, 6, FALSE)*E5657)</f>
        <v/>
      </c>
      <c r="J5657" s="8">
        <f>IF(G5657="","",G5657*0.20)</f>
        <v/>
      </c>
      <c r="K5657" s="8">
        <f>IF(G5657="","",G5657+J5657)</f>
        <v/>
      </c>
    </row>
    <row r="5658">
      <c r="F5658" s="8" t="n"/>
      <c r="G5658" s="8">
        <f>IF(E5658="","",E5658*F5658)</f>
        <v/>
      </c>
      <c r="H5658" s="8">
        <f>IF(G5658="","",G5658-I5658)</f>
        <v/>
      </c>
      <c r="I5658" s="8">
        <f>IF(D5658="","",VLOOKUP(D5658, RECETTES!B:G, 6, FALSE)*E5658)</f>
        <v/>
      </c>
      <c r="J5658" s="8">
        <f>IF(G5658="","",G5658*0.20)</f>
        <v/>
      </c>
      <c r="K5658" s="8">
        <f>IF(G5658="","",G5658+J5658)</f>
        <v/>
      </c>
    </row>
    <row r="5659">
      <c r="F5659" s="8" t="n"/>
      <c r="G5659" s="8">
        <f>IF(E5659="","",E5659*F5659)</f>
        <v/>
      </c>
      <c r="H5659" s="8">
        <f>IF(G5659="","",G5659-I5659)</f>
        <v/>
      </c>
      <c r="I5659" s="8">
        <f>IF(D5659="","",VLOOKUP(D5659, RECETTES!B:G, 6, FALSE)*E5659)</f>
        <v/>
      </c>
      <c r="J5659" s="8">
        <f>IF(G5659="","",G5659*0.20)</f>
        <v/>
      </c>
      <c r="K5659" s="8">
        <f>IF(G5659="","",G5659+J5659)</f>
        <v/>
      </c>
    </row>
    <row r="5660">
      <c r="F5660" s="8" t="n"/>
      <c r="G5660" s="8">
        <f>IF(E5660="","",E5660*F5660)</f>
        <v/>
      </c>
      <c r="H5660" s="8">
        <f>IF(G5660="","",G5660-I5660)</f>
        <v/>
      </c>
      <c r="I5660" s="8">
        <f>IF(D5660="","",VLOOKUP(D5660, RECETTES!B:G, 6, FALSE)*E5660)</f>
        <v/>
      </c>
      <c r="J5660" s="8">
        <f>IF(G5660="","",G5660*0.20)</f>
        <v/>
      </c>
      <c r="K5660" s="8">
        <f>IF(G5660="","",G5660+J5660)</f>
        <v/>
      </c>
    </row>
    <row r="5661">
      <c r="F5661" s="8" t="n"/>
      <c r="G5661" s="8">
        <f>IF(E5661="","",E5661*F5661)</f>
        <v/>
      </c>
      <c r="H5661" s="8">
        <f>IF(G5661="","",G5661-I5661)</f>
        <v/>
      </c>
      <c r="I5661" s="8">
        <f>IF(D5661="","",VLOOKUP(D5661, RECETTES!B:G, 6, FALSE)*E5661)</f>
        <v/>
      </c>
      <c r="J5661" s="8">
        <f>IF(G5661="","",G5661*0.20)</f>
        <v/>
      </c>
      <c r="K5661" s="8">
        <f>IF(G5661="","",G5661+J5661)</f>
        <v/>
      </c>
    </row>
    <row r="5662">
      <c r="F5662" s="8" t="n"/>
      <c r="G5662" s="8">
        <f>IF(E5662="","",E5662*F5662)</f>
        <v/>
      </c>
      <c r="H5662" s="8">
        <f>IF(G5662="","",G5662-I5662)</f>
        <v/>
      </c>
      <c r="I5662" s="8">
        <f>IF(D5662="","",VLOOKUP(D5662, RECETTES!B:G, 6, FALSE)*E5662)</f>
        <v/>
      </c>
      <c r="J5662" s="8">
        <f>IF(G5662="","",G5662*0.20)</f>
        <v/>
      </c>
      <c r="K5662" s="8">
        <f>IF(G5662="","",G5662+J5662)</f>
        <v/>
      </c>
    </row>
    <row r="5663">
      <c r="F5663" s="8" t="n"/>
      <c r="G5663" s="8">
        <f>IF(E5663="","",E5663*F5663)</f>
        <v/>
      </c>
      <c r="H5663" s="8">
        <f>IF(G5663="","",G5663-I5663)</f>
        <v/>
      </c>
      <c r="I5663" s="8">
        <f>IF(D5663="","",VLOOKUP(D5663, RECETTES!B:G, 6, FALSE)*E5663)</f>
        <v/>
      </c>
      <c r="J5663" s="8">
        <f>IF(G5663="","",G5663*0.20)</f>
        <v/>
      </c>
      <c r="K5663" s="8">
        <f>IF(G5663="","",G5663+J5663)</f>
        <v/>
      </c>
    </row>
    <row r="5664">
      <c r="F5664" s="8" t="n"/>
      <c r="G5664" s="8">
        <f>IF(E5664="","",E5664*F5664)</f>
        <v/>
      </c>
      <c r="H5664" s="8">
        <f>IF(G5664="","",G5664-I5664)</f>
        <v/>
      </c>
      <c r="I5664" s="8">
        <f>IF(D5664="","",VLOOKUP(D5664, RECETTES!B:G, 6, FALSE)*E5664)</f>
        <v/>
      </c>
      <c r="J5664" s="8">
        <f>IF(G5664="","",G5664*0.20)</f>
        <v/>
      </c>
      <c r="K5664" s="8">
        <f>IF(G5664="","",G5664+J5664)</f>
        <v/>
      </c>
    </row>
    <row r="5665">
      <c r="F5665" s="8" t="n"/>
      <c r="G5665" s="8">
        <f>IF(E5665="","",E5665*F5665)</f>
        <v/>
      </c>
      <c r="H5665" s="8">
        <f>IF(G5665="","",G5665-I5665)</f>
        <v/>
      </c>
      <c r="I5665" s="8">
        <f>IF(D5665="","",VLOOKUP(D5665, RECETTES!B:G, 6, FALSE)*E5665)</f>
        <v/>
      </c>
      <c r="J5665" s="8">
        <f>IF(G5665="","",G5665*0.20)</f>
        <v/>
      </c>
      <c r="K5665" s="8">
        <f>IF(G5665="","",G5665+J5665)</f>
        <v/>
      </c>
    </row>
    <row r="5666">
      <c r="F5666" s="8" t="n"/>
      <c r="G5666" s="8">
        <f>IF(E5666="","",E5666*F5666)</f>
        <v/>
      </c>
      <c r="H5666" s="8">
        <f>IF(G5666="","",G5666-I5666)</f>
        <v/>
      </c>
      <c r="I5666" s="8">
        <f>IF(D5666="","",VLOOKUP(D5666, RECETTES!B:G, 6, FALSE)*E5666)</f>
        <v/>
      </c>
      <c r="J5666" s="8">
        <f>IF(G5666="","",G5666*0.20)</f>
        <v/>
      </c>
      <c r="K5666" s="8">
        <f>IF(G5666="","",G5666+J5666)</f>
        <v/>
      </c>
    </row>
    <row r="5667">
      <c r="F5667" s="8" t="n"/>
      <c r="G5667" s="8">
        <f>IF(E5667="","",E5667*F5667)</f>
        <v/>
      </c>
      <c r="H5667" s="8">
        <f>IF(G5667="","",G5667-I5667)</f>
        <v/>
      </c>
      <c r="I5667" s="8">
        <f>IF(D5667="","",VLOOKUP(D5667, RECETTES!B:G, 6, FALSE)*E5667)</f>
        <v/>
      </c>
      <c r="J5667" s="8">
        <f>IF(G5667="","",G5667*0.20)</f>
        <v/>
      </c>
      <c r="K5667" s="8">
        <f>IF(G5667="","",G5667+J5667)</f>
        <v/>
      </c>
    </row>
    <row r="5668">
      <c r="F5668" s="8" t="n"/>
      <c r="G5668" s="8">
        <f>IF(E5668="","",E5668*F5668)</f>
        <v/>
      </c>
      <c r="H5668" s="8">
        <f>IF(G5668="","",G5668-I5668)</f>
        <v/>
      </c>
      <c r="I5668" s="8">
        <f>IF(D5668="","",VLOOKUP(D5668, RECETTES!B:G, 6, FALSE)*E5668)</f>
        <v/>
      </c>
      <c r="J5668" s="8">
        <f>IF(G5668="","",G5668*0.20)</f>
        <v/>
      </c>
      <c r="K5668" s="8">
        <f>IF(G5668="","",G5668+J5668)</f>
        <v/>
      </c>
    </row>
    <row r="5669">
      <c r="F5669" s="8" t="n"/>
      <c r="G5669" s="8">
        <f>IF(E5669="","",E5669*F5669)</f>
        <v/>
      </c>
      <c r="H5669" s="8">
        <f>IF(G5669="","",G5669-I5669)</f>
        <v/>
      </c>
      <c r="I5669" s="8">
        <f>IF(D5669="","",VLOOKUP(D5669, RECETTES!B:G, 6, FALSE)*E5669)</f>
        <v/>
      </c>
      <c r="J5669" s="8">
        <f>IF(G5669="","",G5669*0.20)</f>
        <v/>
      </c>
      <c r="K5669" s="8">
        <f>IF(G5669="","",G5669+J5669)</f>
        <v/>
      </c>
    </row>
    <row r="5670">
      <c r="F5670" s="8" t="n"/>
      <c r="G5670" s="8">
        <f>IF(E5670="","",E5670*F5670)</f>
        <v/>
      </c>
      <c r="H5670" s="8">
        <f>IF(G5670="","",G5670-I5670)</f>
        <v/>
      </c>
      <c r="I5670" s="8">
        <f>IF(D5670="","",VLOOKUP(D5670, RECETTES!B:G, 6, FALSE)*E5670)</f>
        <v/>
      </c>
      <c r="J5670" s="8">
        <f>IF(G5670="","",G5670*0.20)</f>
        <v/>
      </c>
      <c r="K5670" s="8">
        <f>IF(G5670="","",G5670+J5670)</f>
        <v/>
      </c>
    </row>
    <row r="5671">
      <c r="F5671" s="8" t="n"/>
      <c r="G5671" s="8">
        <f>IF(E5671="","",E5671*F5671)</f>
        <v/>
      </c>
      <c r="H5671" s="8">
        <f>IF(G5671="","",G5671-I5671)</f>
        <v/>
      </c>
      <c r="I5671" s="8">
        <f>IF(D5671="","",VLOOKUP(D5671, RECETTES!B:G, 6, FALSE)*E5671)</f>
        <v/>
      </c>
      <c r="J5671" s="8">
        <f>IF(G5671="","",G5671*0.20)</f>
        <v/>
      </c>
      <c r="K5671" s="8">
        <f>IF(G5671="","",G5671+J5671)</f>
        <v/>
      </c>
    </row>
    <row r="5672">
      <c r="F5672" s="8" t="n"/>
      <c r="G5672" s="8">
        <f>IF(E5672="","",E5672*F5672)</f>
        <v/>
      </c>
      <c r="H5672" s="8">
        <f>IF(G5672="","",G5672-I5672)</f>
        <v/>
      </c>
      <c r="I5672" s="8">
        <f>IF(D5672="","",VLOOKUP(D5672, RECETTES!B:G, 6, FALSE)*E5672)</f>
        <v/>
      </c>
      <c r="J5672" s="8">
        <f>IF(G5672="","",G5672*0.20)</f>
        <v/>
      </c>
      <c r="K5672" s="8">
        <f>IF(G5672="","",G5672+J5672)</f>
        <v/>
      </c>
    </row>
    <row r="5673">
      <c r="F5673" s="8" t="n"/>
      <c r="G5673" s="8">
        <f>IF(E5673="","",E5673*F5673)</f>
        <v/>
      </c>
      <c r="H5673" s="8">
        <f>IF(G5673="","",G5673-I5673)</f>
        <v/>
      </c>
      <c r="I5673" s="8">
        <f>IF(D5673="","",VLOOKUP(D5673, RECETTES!B:G, 6, FALSE)*E5673)</f>
        <v/>
      </c>
      <c r="J5673" s="8">
        <f>IF(G5673="","",G5673*0.20)</f>
        <v/>
      </c>
      <c r="K5673" s="8">
        <f>IF(G5673="","",G5673+J5673)</f>
        <v/>
      </c>
    </row>
    <row r="5674">
      <c r="F5674" s="8" t="n"/>
      <c r="G5674" s="8">
        <f>IF(E5674="","",E5674*F5674)</f>
        <v/>
      </c>
      <c r="H5674" s="8">
        <f>IF(G5674="","",G5674-I5674)</f>
        <v/>
      </c>
      <c r="I5674" s="8">
        <f>IF(D5674="","",VLOOKUP(D5674, RECETTES!B:G, 6, FALSE)*E5674)</f>
        <v/>
      </c>
      <c r="J5674" s="8">
        <f>IF(G5674="","",G5674*0.20)</f>
        <v/>
      </c>
      <c r="K5674" s="8">
        <f>IF(G5674="","",G5674+J5674)</f>
        <v/>
      </c>
    </row>
    <row r="5675">
      <c r="F5675" s="8" t="n"/>
      <c r="G5675" s="8">
        <f>IF(E5675="","",E5675*F5675)</f>
        <v/>
      </c>
      <c r="H5675" s="8">
        <f>IF(G5675="","",G5675-I5675)</f>
        <v/>
      </c>
      <c r="I5675" s="8">
        <f>IF(D5675="","",VLOOKUP(D5675, RECETTES!B:G, 6, FALSE)*E5675)</f>
        <v/>
      </c>
      <c r="J5675" s="8">
        <f>IF(G5675="","",G5675*0.20)</f>
        <v/>
      </c>
      <c r="K5675" s="8">
        <f>IF(G5675="","",G5675+J5675)</f>
        <v/>
      </c>
    </row>
    <row r="5676">
      <c r="F5676" s="8" t="n"/>
      <c r="G5676" s="8">
        <f>IF(E5676="","",E5676*F5676)</f>
        <v/>
      </c>
      <c r="H5676" s="8">
        <f>IF(G5676="","",G5676-I5676)</f>
        <v/>
      </c>
      <c r="I5676" s="8">
        <f>IF(D5676="","",VLOOKUP(D5676, RECETTES!B:G, 6, FALSE)*E5676)</f>
        <v/>
      </c>
      <c r="J5676" s="8">
        <f>IF(G5676="","",G5676*0.20)</f>
        <v/>
      </c>
      <c r="K5676" s="8">
        <f>IF(G5676="","",G5676+J5676)</f>
        <v/>
      </c>
    </row>
    <row r="5677">
      <c r="F5677" s="8" t="n"/>
      <c r="G5677" s="8">
        <f>IF(E5677="","",E5677*F5677)</f>
        <v/>
      </c>
      <c r="H5677" s="8">
        <f>IF(G5677="","",G5677-I5677)</f>
        <v/>
      </c>
      <c r="I5677" s="8">
        <f>IF(D5677="","",VLOOKUP(D5677, RECETTES!B:G, 6, FALSE)*E5677)</f>
        <v/>
      </c>
      <c r="J5677" s="8">
        <f>IF(G5677="","",G5677*0.20)</f>
        <v/>
      </c>
      <c r="K5677" s="8">
        <f>IF(G5677="","",G5677+J5677)</f>
        <v/>
      </c>
    </row>
    <row r="5678">
      <c r="F5678" s="8" t="n"/>
      <c r="G5678" s="8">
        <f>IF(E5678="","",E5678*F5678)</f>
        <v/>
      </c>
      <c r="H5678" s="8">
        <f>IF(G5678="","",G5678-I5678)</f>
        <v/>
      </c>
      <c r="I5678" s="8">
        <f>IF(D5678="","",VLOOKUP(D5678, RECETTES!B:G, 6, FALSE)*E5678)</f>
        <v/>
      </c>
      <c r="J5678" s="8">
        <f>IF(G5678="","",G5678*0.20)</f>
        <v/>
      </c>
      <c r="K5678" s="8">
        <f>IF(G5678="","",G5678+J5678)</f>
        <v/>
      </c>
    </row>
    <row r="5679">
      <c r="F5679" s="8" t="n"/>
      <c r="G5679" s="8">
        <f>IF(E5679="","",E5679*F5679)</f>
        <v/>
      </c>
      <c r="H5679" s="8">
        <f>IF(G5679="","",G5679-I5679)</f>
        <v/>
      </c>
      <c r="I5679" s="8">
        <f>IF(D5679="","",VLOOKUP(D5679, RECETTES!B:G, 6, FALSE)*E5679)</f>
        <v/>
      </c>
      <c r="J5679" s="8">
        <f>IF(G5679="","",G5679*0.20)</f>
        <v/>
      </c>
      <c r="K5679" s="8">
        <f>IF(G5679="","",G5679+J5679)</f>
        <v/>
      </c>
    </row>
    <row r="5680">
      <c r="F5680" s="8" t="n"/>
      <c r="G5680" s="8">
        <f>IF(E5680="","",E5680*F5680)</f>
        <v/>
      </c>
      <c r="H5680" s="8">
        <f>IF(G5680="","",G5680-I5680)</f>
        <v/>
      </c>
      <c r="I5680" s="8">
        <f>IF(D5680="","",VLOOKUP(D5680, RECETTES!B:G, 6, FALSE)*E5680)</f>
        <v/>
      </c>
      <c r="J5680" s="8">
        <f>IF(G5680="","",G5680*0.20)</f>
        <v/>
      </c>
      <c r="K5680" s="8">
        <f>IF(G5680="","",G5680+J5680)</f>
        <v/>
      </c>
    </row>
    <row r="5681">
      <c r="F5681" s="8" t="n"/>
      <c r="G5681" s="8">
        <f>IF(E5681="","",E5681*F5681)</f>
        <v/>
      </c>
      <c r="H5681" s="8">
        <f>IF(G5681="","",G5681-I5681)</f>
        <v/>
      </c>
      <c r="I5681" s="8">
        <f>IF(D5681="","",VLOOKUP(D5681, RECETTES!B:G, 6, FALSE)*E5681)</f>
        <v/>
      </c>
      <c r="J5681" s="8">
        <f>IF(G5681="","",G5681*0.20)</f>
        <v/>
      </c>
      <c r="K5681" s="8">
        <f>IF(G5681="","",G5681+J5681)</f>
        <v/>
      </c>
    </row>
    <row r="5682">
      <c r="F5682" s="8" t="n"/>
      <c r="G5682" s="8">
        <f>IF(E5682="","",E5682*F5682)</f>
        <v/>
      </c>
      <c r="H5682" s="8">
        <f>IF(G5682="","",G5682-I5682)</f>
        <v/>
      </c>
      <c r="I5682" s="8">
        <f>IF(D5682="","",VLOOKUP(D5682, RECETTES!B:G, 6, FALSE)*E5682)</f>
        <v/>
      </c>
      <c r="J5682" s="8">
        <f>IF(G5682="","",G5682*0.20)</f>
        <v/>
      </c>
      <c r="K5682" s="8">
        <f>IF(G5682="","",G5682+J5682)</f>
        <v/>
      </c>
    </row>
    <row r="5683">
      <c r="F5683" s="8" t="n"/>
      <c r="G5683" s="8">
        <f>IF(E5683="","",E5683*F5683)</f>
        <v/>
      </c>
      <c r="H5683" s="8">
        <f>IF(G5683="","",G5683-I5683)</f>
        <v/>
      </c>
      <c r="I5683" s="8">
        <f>IF(D5683="","",VLOOKUP(D5683, RECETTES!B:G, 6, FALSE)*E5683)</f>
        <v/>
      </c>
      <c r="J5683" s="8">
        <f>IF(G5683="","",G5683*0.20)</f>
        <v/>
      </c>
      <c r="K5683" s="8">
        <f>IF(G5683="","",G5683+J5683)</f>
        <v/>
      </c>
    </row>
    <row r="5684">
      <c r="F5684" s="8" t="n"/>
      <c r="G5684" s="8">
        <f>IF(E5684="","",E5684*F5684)</f>
        <v/>
      </c>
      <c r="H5684" s="8">
        <f>IF(G5684="","",G5684-I5684)</f>
        <v/>
      </c>
      <c r="I5684" s="8">
        <f>IF(D5684="","",VLOOKUP(D5684, RECETTES!B:G, 6, FALSE)*E5684)</f>
        <v/>
      </c>
      <c r="J5684" s="8">
        <f>IF(G5684="","",G5684*0.20)</f>
        <v/>
      </c>
      <c r="K5684" s="8">
        <f>IF(G5684="","",G5684+J5684)</f>
        <v/>
      </c>
    </row>
    <row r="5685">
      <c r="F5685" s="8" t="n"/>
      <c r="G5685" s="8">
        <f>IF(E5685="","",E5685*F5685)</f>
        <v/>
      </c>
      <c r="H5685" s="8">
        <f>IF(G5685="","",G5685-I5685)</f>
        <v/>
      </c>
      <c r="I5685" s="8">
        <f>IF(D5685="","",VLOOKUP(D5685, RECETTES!B:G, 6, FALSE)*E5685)</f>
        <v/>
      </c>
      <c r="J5685" s="8">
        <f>IF(G5685="","",G5685*0.20)</f>
        <v/>
      </c>
      <c r="K5685" s="8">
        <f>IF(G5685="","",G5685+J5685)</f>
        <v/>
      </c>
    </row>
    <row r="5686">
      <c r="F5686" s="8" t="n"/>
      <c r="G5686" s="8">
        <f>IF(E5686="","",E5686*F5686)</f>
        <v/>
      </c>
      <c r="H5686" s="8">
        <f>IF(G5686="","",G5686-I5686)</f>
        <v/>
      </c>
      <c r="I5686" s="8">
        <f>IF(D5686="","",VLOOKUP(D5686, RECETTES!B:G, 6, FALSE)*E5686)</f>
        <v/>
      </c>
      <c r="J5686" s="8">
        <f>IF(G5686="","",G5686*0.20)</f>
        <v/>
      </c>
      <c r="K5686" s="8">
        <f>IF(G5686="","",G5686+J5686)</f>
        <v/>
      </c>
    </row>
    <row r="5687">
      <c r="F5687" s="8" t="n"/>
      <c r="G5687" s="8">
        <f>IF(E5687="","",E5687*F5687)</f>
        <v/>
      </c>
      <c r="H5687" s="8">
        <f>IF(G5687="","",G5687-I5687)</f>
        <v/>
      </c>
      <c r="I5687" s="8">
        <f>IF(D5687="","",VLOOKUP(D5687, RECETTES!B:G, 6, FALSE)*E5687)</f>
        <v/>
      </c>
      <c r="J5687" s="8">
        <f>IF(G5687="","",G5687*0.20)</f>
        <v/>
      </c>
      <c r="K5687" s="8">
        <f>IF(G5687="","",G5687+J5687)</f>
        <v/>
      </c>
    </row>
    <row r="5688">
      <c r="F5688" s="8" t="n"/>
      <c r="G5688" s="8">
        <f>IF(E5688="","",E5688*F5688)</f>
        <v/>
      </c>
      <c r="H5688" s="8">
        <f>IF(G5688="","",G5688-I5688)</f>
        <v/>
      </c>
      <c r="I5688" s="8">
        <f>IF(D5688="","",VLOOKUP(D5688, RECETTES!B:G, 6, FALSE)*E5688)</f>
        <v/>
      </c>
      <c r="J5688" s="8">
        <f>IF(G5688="","",G5688*0.20)</f>
        <v/>
      </c>
      <c r="K5688" s="8">
        <f>IF(G5688="","",G5688+J5688)</f>
        <v/>
      </c>
    </row>
    <row r="5689">
      <c r="F5689" s="8" t="n"/>
      <c r="G5689" s="8">
        <f>IF(E5689="","",E5689*F5689)</f>
        <v/>
      </c>
      <c r="H5689" s="8">
        <f>IF(G5689="","",G5689-I5689)</f>
        <v/>
      </c>
      <c r="I5689" s="8">
        <f>IF(D5689="","",VLOOKUP(D5689, RECETTES!B:G, 6, FALSE)*E5689)</f>
        <v/>
      </c>
      <c r="J5689" s="8">
        <f>IF(G5689="","",G5689*0.20)</f>
        <v/>
      </c>
      <c r="K5689" s="8">
        <f>IF(G5689="","",G5689+J5689)</f>
        <v/>
      </c>
    </row>
    <row r="5690">
      <c r="F5690" s="8" t="n"/>
      <c r="G5690" s="8">
        <f>IF(E5690="","",E5690*F5690)</f>
        <v/>
      </c>
      <c r="H5690" s="8">
        <f>IF(G5690="","",G5690-I5690)</f>
        <v/>
      </c>
      <c r="I5690" s="8">
        <f>IF(D5690="","",VLOOKUP(D5690, RECETTES!B:G, 6, FALSE)*E5690)</f>
        <v/>
      </c>
      <c r="J5690" s="8">
        <f>IF(G5690="","",G5690*0.20)</f>
        <v/>
      </c>
      <c r="K5690" s="8">
        <f>IF(G5690="","",G5690+J5690)</f>
        <v/>
      </c>
    </row>
    <row r="5691">
      <c r="F5691" s="8" t="n"/>
      <c r="G5691" s="8">
        <f>IF(E5691="","",E5691*F5691)</f>
        <v/>
      </c>
      <c r="H5691" s="8">
        <f>IF(G5691="","",G5691-I5691)</f>
        <v/>
      </c>
      <c r="I5691" s="8">
        <f>IF(D5691="","",VLOOKUP(D5691, RECETTES!B:G, 6, FALSE)*E5691)</f>
        <v/>
      </c>
      <c r="J5691" s="8">
        <f>IF(G5691="","",G5691*0.20)</f>
        <v/>
      </c>
      <c r="K5691" s="8">
        <f>IF(G5691="","",G5691+J5691)</f>
        <v/>
      </c>
    </row>
    <row r="5692">
      <c r="F5692" s="8" t="n"/>
      <c r="G5692" s="8">
        <f>IF(E5692="","",E5692*F5692)</f>
        <v/>
      </c>
      <c r="H5692" s="8">
        <f>IF(G5692="","",G5692-I5692)</f>
        <v/>
      </c>
      <c r="I5692" s="8">
        <f>IF(D5692="","",VLOOKUP(D5692, RECETTES!B:G, 6, FALSE)*E5692)</f>
        <v/>
      </c>
      <c r="J5692" s="8">
        <f>IF(G5692="","",G5692*0.20)</f>
        <v/>
      </c>
      <c r="K5692" s="8">
        <f>IF(G5692="","",G5692+J5692)</f>
        <v/>
      </c>
    </row>
    <row r="5693">
      <c r="F5693" s="8" t="n"/>
      <c r="G5693" s="8">
        <f>IF(E5693="","",E5693*F5693)</f>
        <v/>
      </c>
      <c r="H5693" s="8">
        <f>IF(G5693="","",G5693-I5693)</f>
        <v/>
      </c>
      <c r="I5693" s="8">
        <f>IF(D5693="","",VLOOKUP(D5693, RECETTES!B:G, 6, FALSE)*E5693)</f>
        <v/>
      </c>
      <c r="J5693" s="8">
        <f>IF(G5693="","",G5693*0.20)</f>
        <v/>
      </c>
      <c r="K5693" s="8">
        <f>IF(G5693="","",G5693+J5693)</f>
        <v/>
      </c>
    </row>
    <row r="5694">
      <c r="F5694" s="8" t="n"/>
      <c r="G5694" s="8">
        <f>IF(E5694="","",E5694*F5694)</f>
        <v/>
      </c>
      <c r="H5694" s="8">
        <f>IF(G5694="","",G5694-I5694)</f>
        <v/>
      </c>
      <c r="I5694" s="8">
        <f>IF(D5694="","",VLOOKUP(D5694, RECETTES!B:G, 6, FALSE)*E5694)</f>
        <v/>
      </c>
      <c r="J5694" s="8">
        <f>IF(G5694="","",G5694*0.20)</f>
        <v/>
      </c>
      <c r="K5694" s="8">
        <f>IF(G5694="","",G5694+J5694)</f>
        <v/>
      </c>
    </row>
    <row r="5695">
      <c r="F5695" s="8" t="n"/>
      <c r="G5695" s="8">
        <f>IF(E5695="","",E5695*F5695)</f>
        <v/>
      </c>
      <c r="H5695" s="8">
        <f>IF(G5695="","",G5695-I5695)</f>
        <v/>
      </c>
      <c r="I5695" s="8">
        <f>IF(D5695="","",VLOOKUP(D5695, RECETTES!B:G, 6, FALSE)*E5695)</f>
        <v/>
      </c>
      <c r="J5695" s="8">
        <f>IF(G5695="","",G5695*0.20)</f>
        <v/>
      </c>
      <c r="K5695" s="8">
        <f>IF(G5695="","",G5695+J5695)</f>
        <v/>
      </c>
    </row>
    <row r="5696">
      <c r="F5696" s="8" t="n"/>
      <c r="G5696" s="8">
        <f>IF(E5696="","",E5696*F5696)</f>
        <v/>
      </c>
      <c r="H5696" s="8">
        <f>IF(G5696="","",G5696-I5696)</f>
        <v/>
      </c>
      <c r="I5696" s="8">
        <f>IF(D5696="","",VLOOKUP(D5696, RECETTES!B:G, 6, FALSE)*E5696)</f>
        <v/>
      </c>
      <c r="J5696" s="8">
        <f>IF(G5696="","",G5696*0.20)</f>
        <v/>
      </c>
      <c r="K5696" s="8">
        <f>IF(G5696="","",G5696+J5696)</f>
        <v/>
      </c>
    </row>
    <row r="5697">
      <c r="F5697" s="8" t="n"/>
      <c r="G5697" s="8">
        <f>IF(E5697="","",E5697*F5697)</f>
        <v/>
      </c>
      <c r="H5697" s="8">
        <f>IF(G5697="","",G5697-I5697)</f>
        <v/>
      </c>
      <c r="I5697" s="8">
        <f>IF(D5697="","",VLOOKUP(D5697, RECETTES!B:G, 6, FALSE)*E5697)</f>
        <v/>
      </c>
      <c r="J5697" s="8">
        <f>IF(G5697="","",G5697*0.20)</f>
        <v/>
      </c>
      <c r="K5697" s="8">
        <f>IF(G5697="","",G5697+J5697)</f>
        <v/>
      </c>
    </row>
    <row r="5698">
      <c r="F5698" s="8" t="n"/>
      <c r="G5698" s="8">
        <f>IF(E5698="","",E5698*F5698)</f>
        <v/>
      </c>
      <c r="H5698" s="8">
        <f>IF(G5698="","",G5698-I5698)</f>
        <v/>
      </c>
      <c r="I5698" s="8">
        <f>IF(D5698="","",VLOOKUP(D5698, RECETTES!B:G, 6, FALSE)*E5698)</f>
        <v/>
      </c>
      <c r="J5698" s="8">
        <f>IF(G5698="","",G5698*0.20)</f>
        <v/>
      </c>
      <c r="K5698" s="8">
        <f>IF(G5698="","",G5698+J5698)</f>
        <v/>
      </c>
    </row>
    <row r="5699">
      <c r="F5699" s="8" t="n"/>
      <c r="G5699" s="8">
        <f>IF(E5699="","",E5699*F5699)</f>
        <v/>
      </c>
      <c r="H5699" s="8">
        <f>IF(G5699="","",G5699-I5699)</f>
        <v/>
      </c>
      <c r="I5699" s="8">
        <f>IF(D5699="","",VLOOKUP(D5699, RECETTES!B:G, 6, FALSE)*E5699)</f>
        <v/>
      </c>
      <c r="J5699" s="8">
        <f>IF(G5699="","",G5699*0.20)</f>
        <v/>
      </c>
      <c r="K5699" s="8">
        <f>IF(G5699="","",G5699+J5699)</f>
        <v/>
      </c>
    </row>
    <row r="5700">
      <c r="F5700" s="8" t="n"/>
      <c r="G5700" s="8">
        <f>IF(E5700="","",E5700*F5700)</f>
        <v/>
      </c>
      <c r="H5700" s="8">
        <f>IF(G5700="","",G5700-I5700)</f>
        <v/>
      </c>
      <c r="I5700" s="8">
        <f>IF(D5700="","",VLOOKUP(D5700, RECETTES!B:G, 6, FALSE)*E5700)</f>
        <v/>
      </c>
      <c r="J5700" s="8">
        <f>IF(G5700="","",G5700*0.20)</f>
        <v/>
      </c>
      <c r="K5700" s="8">
        <f>IF(G5700="","",G5700+J5700)</f>
        <v/>
      </c>
    </row>
    <row r="5701">
      <c r="F5701" s="8" t="n"/>
      <c r="G5701" s="8">
        <f>IF(E5701="","",E5701*F5701)</f>
        <v/>
      </c>
      <c r="H5701" s="8">
        <f>IF(G5701="","",G5701-I5701)</f>
        <v/>
      </c>
      <c r="I5701" s="8">
        <f>IF(D5701="","",VLOOKUP(D5701, RECETTES!B:G, 6, FALSE)*E5701)</f>
        <v/>
      </c>
      <c r="J5701" s="8">
        <f>IF(G5701="","",G5701*0.20)</f>
        <v/>
      </c>
      <c r="K5701" s="8">
        <f>IF(G5701="","",G5701+J5701)</f>
        <v/>
      </c>
    </row>
    <row r="5702">
      <c r="F5702" s="8" t="n"/>
      <c r="G5702" s="8">
        <f>IF(E5702="","",E5702*F5702)</f>
        <v/>
      </c>
      <c r="H5702" s="8">
        <f>IF(G5702="","",G5702-I5702)</f>
        <v/>
      </c>
      <c r="I5702" s="8">
        <f>IF(D5702="","",VLOOKUP(D5702, RECETTES!B:G, 6, FALSE)*E5702)</f>
        <v/>
      </c>
      <c r="J5702" s="8">
        <f>IF(G5702="","",G5702*0.20)</f>
        <v/>
      </c>
      <c r="K5702" s="8">
        <f>IF(G5702="","",G5702+J5702)</f>
        <v/>
      </c>
    </row>
    <row r="5703">
      <c r="F5703" s="8" t="n"/>
      <c r="G5703" s="8">
        <f>IF(E5703="","",E5703*F5703)</f>
        <v/>
      </c>
      <c r="H5703" s="8">
        <f>IF(G5703="","",G5703-I5703)</f>
        <v/>
      </c>
      <c r="I5703" s="8">
        <f>IF(D5703="","",VLOOKUP(D5703, RECETTES!B:G, 6, FALSE)*E5703)</f>
        <v/>
      </c>
      <c r="J5703" s="8">
        <f>IF(G5703="","",G5703*0.20)</f>
        <v/>
      </c>
      <c r="K5703" s="8">
        <f>IF(G5703="","",G5703+J5703)</f>
        <v/>
      </c>
    </row>
    <row r="5704">
      <c r="F5704" s="8" t="n"/>
      <c r="G5704" s="8">
        <f>IF(E5704="","",E5704*F5704)</f>
        <v/>
      </c>
      <c r="H5704" s="8">
        <f>IF(G5704="","",G5704-I5704)</f>
        <v/>
      </c>
      <c r="I5704" s="8">
        <f>IF(D5704="","",VLOOKUP(D5704, RECETTES!B:G, 6, FALSE)*E5704)</f>
        <v/>
      </c>
      <c r="J5704" s="8">
        <f>IF(G5704="","",G5704*0.20)</f>
        <v/>
      </c>
      <c r="K5704" s="8">
        <f>IF(G5704="","",G5704+J5704)</f>
        <v/>
      </c>
    </row>
    <row r="5705">
      <c r="F5705" s="8" t="n"/>
      <c r="G5705" s="8">
        <f>IF(E5705="","",E5705*F5705)</f>
        <v/>
      </c>
      <c r="H5705" s="8">
        <f>IF(G5705="","",G5705-I5705)</f>
        <v/>
      </c>
      <c r="I5705" s="8">
        <f>IF(D5705="","",VLOOKUP(D5705, RECETTES!B:G, 6, FALSE)*E5705)</f>
        <v/>
      </c>
      <c r="J5705" s="8">
        <f>IF(G5705="","",G5705*0.20)</f>
        <v/>
      </c>
      <c r="K5705" s="8">
        <f>IF(G5705="","",G5705+J5705)</f>
        <v/>
      </c>
    </row>
    <row r="5706">
      <c r="F5706" s="8" t="n"/>
      <c r="G5706" s="8">
        <f>IF(E5706="","",E5706*F5706)</f>
        <v/>
      </c>
      <c r="H5706" s="8">
        <f>IF(G5706="","",G5706-I5706)</f>
        <v/>
      </c>
      <c r="I5706" s="8">
        <f>IF(D5706="","",VLOOKUP(D5706, RECETTES!B:G, 6, FALSE)*E5706)</f>
        <v/>
      </c>
      <c r="J5706" s="8">
        <f>IF(G5706="","",G5706*0.20)</f>
        <v/>
      </c>
      <c r="K5706" s="8">
        <f>IF(G5706="","",G5706+J5706)</f>
        <v/>
      </c>
    </row>
    <row r="5707">
      <c r="F5707" s="8" t="n"/>
      <c r="G5707" s="8">
        <f>IF(E5707="","",E5707*F5707)</f>
        <v/>
      </c>
      <c r="H5707" s="8">
        <f>IF(G5707="","",G5707-I5707)</f>
        <v/>
      </c>
      <c r="I5707" s="8">
        <f>IF(D5707="","",VLOOKUP(D5707, RECETTES!B:G, 6, FALSE)*E5707)</f>
        <v/>
      </c>
      <c r="J5707" s="8">
        <f>IF(G5707="","",G5707*0.20)</f>
        <v/>
      </c>
      <c r="K5707" s="8">
        <f>IF(G5707="","",G5707+J5707)</f>
        <v/>
      </c>
    </row>
    <row r="5708">
      <c r="F5708" s="8" t="n"/>
      <c r="G5708" s="8">
        <f>IF(E5708="","",E5708*F5708)</f>
        <v/>
      </c>
      <c r="H5708" s="8">
        <f>IF(G5708="","",G5708-I5708)</f>
        <v/>
      </c>
      <c r="I5708" s="8">
        <f>IF(D5708="","",VLOOKUP(D5708, RECETTES!B:G, 6, FALSE)*E5708)</f>
        <v/>
      </c>
      <c r="J5708" s="8">
        <f>IF(G5708="","",G5708*0.20)</f>
        <v/>
      </c>
      <c r="K5708" s="8">
        <f>IF(G5708="","",G5708+J5708)</f>
        <v/>
      </c>
    </row>
    <row r="5709">
      <c r="F5709" s="8" t="n"/>
      <c r="G5709" s="8">
        <f>IF(E5709="","",E5709*F5709)</f>
        <v/>
      </c>
      <c r="H5709" s="8">
        <f>IF(G5709="","",G5709-I5709)</f>
        <v/>
      </c>
      <c r="I5709" s="8">
        <f>IF(D5709="","",VLOOKUP(D5709, RECETTES!B:G, 6, FALSE)*E5709)</f>
        <v/>
      </c>
      <c r="J5709" s="8">
        <f>IF(G5709="","",G5709*0.20)</f>
        <v/>
      </c>
      <c r="K5709" s="8">
        <f>IF(G5709="","",G5709+J5709)</f>
        <v/>
      </c>
    </row>
    <row r="5710">
      <c r="F5710" s="8" t="n"/>
      <c r="G5710" s="8">
        <f>IF(E5710="","",E5710*F5710)</f>
        <v/>
      </c>
      <c r="H5710" s="8">
        <f>IF(G5710="","",G5710-I5710)</f>
        <v/>
      </c>
      <c r="I5710" s="8">
        <f>IF(D5710="","",VLOOKUP(D5710, RECETTES!B:G, 6, FALSE)*E5710)</f>
        <v/>
      </c>
      <c r="J5710" s="8">
        <f>IF(G5710="","",G5710*0.20)</f>
        <v/>
      </c>
      <c r="K5710" s="8">
        <f>IF(G5710="","",G5710+J5710)</f>
        <v/>
      </c>
    </row>
    <row r="5711">
      <c r="F5711" s="8" t="n"/>
      <c r="G5711" s="8">
        <f>IF(E5711="","",E5711*F5711)</f>
        <v/>
      </c>
      <c r="H5711" s="8">
        <f>IF(G5711="","",G5711-I5711)</f>
        <v/>
      </c>
      <c r="I5711" s="8">
        <f>IF(D5711="","",VLOOKUP(D5711, RECETTES!B:G, 6, FALSE)*E5711)</f>
        <v/>
      </c>
      <c r="J5711" s="8">
        <f>IF(G5711="","",G5711*0.20)</f>
        <v/>
      </c>
      <c r="K5711" s="8">
        <f>IF(G5711="","",G5711+J5711)</f>
        <v/>
      </c>
    </row>
    <row r="5712">
      <c r="F5712" s="8" t="n"/>
      <c r="G5712" s="8">
        <f>IF(E5712="","",E5712*F5712)</f>
        <v/>
      </c>
      <c r="H5712" s="8">
        <f>IF(G5712="","",G5712-I5712)</f>
        <v/>
      </c>
      <c r="I5712" s="8">
        <f>IF(D5712="","",VLOOKUP(D5712, RECETTES!B:G, 6, FALSE)*E5712)</f>
        <v/>
      </c>
      <c r="J5712" s="8">
        <f>IF(G5712="","",G5712*0.20)</f>
        <v/>
      </c>
      <c r="K5712" s="8">
        <f>IF(G5712="","",G5712+J5712)</f>
        <v/>
      </c>
    </row>
    <row r="5713">
      <c r="F5713" s="8" t="n"/>
      <c r="G5713" s="8">
        <f>IF(E5713="","",E5713*F5713)</f>
        <v/>
      </c>
      <c r="H5713" s="8">
        <f>IF(G5713="","",G5713-I5713)</f>
        <v/>
      </c>
      <c r="I5713" s="8">
        <f>IF(D5713="","",VLOOKUP(D5713, RECETTES!B:G, 6, FALSE)*E5713)</f>
        <v/>
      </c>
      <c r="J5713" s="8">
        <f>IF(G5713="","",G5713*0.20)</f>
        <v/>
      </c>
      <c r="K5713" s="8">
        <f>IF(G5713="","",G5713+J5713)</f>
        <v/>
      </c>
    </row>
    <row r="5714">
      <c r="F5714" s="8" t="n"/>
      <c r="G5714" s="8">
        <f>IF(E5714="","",E5714*F5714)</f>
        <v/>
      </c>
      <c r="H5714" s="8">
        <f>IF(G5714="","",G5714-I5714)</f>
        <v/>
      </c>
      <c r="I5714" s="8">
        <f>IF(D5714="","",VLOOKUP(D5714, RECETTES!B:G, 6, FALSE)*E5714)</f>
        <v/>
      </c>
      <c r="J5714" s="8">
        <f>IF(G5714="","",G5714*0.20)</f>
        <v/>
      </c>
      <c r="K5714" s="8">
        <f>IF(G5714="","",G5714+J5714)</f>
        <v/>
      </c>
    </row>
    <row r="5715">
      <c r="F5715" s="8" t="n"/>
      <c r="G5715" s="8">
        <f>IF(E5715="","",E5715*F5715)</f>
        <v/>
      </c>
      <c r="H5715" s="8">
        <f>IF(G5715="","",G5715-I5715)</f>
        <v/>
      </c>
      <c r="I5715" s="8">
        <f>IF(D5715="","",VLOOKUP(D5715, RECETTES!B:G, 6, FALSE)*E5715)</f>
        <v/>
      </c>
      <c r="J5715" s="8">
        <f>IF(G5715="","",G5715*0.20)</f>
        <v/>
      </c>
      <c r="K5715" s="8">
        <f>IF(G5715="","",G5715+J5715)</f>
        <v/>
      </c>
    </row>
    <row r="5716">
      <c r="F5716" s="8" t="n"/>
      <c r="G5716" s="8">
        <f>IF(E5716="","",E5716*F5716)</f>
        <v/>
      </c>
      <c r="H5716" s="8">
        <f>IF(G5716="","",G5716-I5716)</f>
        <v/>
      </c>
      <c r="I5716" s="8">
        <f>IF(D5716="","",VLOOKUP(D5716, RECETTES!B:G, 6, FALSE)*E5716)</f>
        <v/>
      </c>
      <c r="J5716" s="8">
        <f>IF(G5716="","",G5716*0.20)</f>
        <v/>
      </c>
      <c r="K5716" s="8">
        <f>IF(G5716="","",G5716+J5716)</f>
        <v/>
      </c>
    </row>
    <row r="5717">
      <c r="F5717" s="8" t="n"/>
      <c r="G5717" s="8">
        <f>IF(E5717="","",E5717*F5717)</f>
        <v/>
      </c>
      <c r="H5717" s="8">
        <f>IF(G5717="","",G5717-I5717)</f>
        <v/>
      </c>
      <c r="I5717" s="8">
        <f>IF(D5717="","",VLOOKUP(D5717, RECETTES!B:G, 6, FALSE)*E5717)</f>
        <v/>
      </c>
      <c r="J5717" s="8">
        <f>IF(G5717="","",G5717*0.20)</f>
        <v/>
      </c>
      <c r="K5717" s="8">
        <f>IF(G5717="","",G5717+J5717)</f>
        <v/>
      </c>
    </row>
    <row r="5718">
      <c r="F5718" s="8" t="n"/>
      <c r="G5718" s="8">
        <f>IF(E5718="","",E5718*F5718)</f>
        <v/>
      </c>
      <c r="H5718" s="8">
        <f>IF(G5718="","",G5718-I5718)</f>
        <v/>
      </c>
      <c r="I5718" s="8">
        <f>IF(D5718="","",VLOOKUP(D5718, RECETTES!B:G, 6, FALSE)*E5718)</f>
        <v/>
      </c>
      <c r="J5718" s="8">
        <f>IF(G5718="","",G5718*0.20)</f>
        <v/>
      </c>
      <c r="K5718" s="8">
        <f>IF(G5718="","",G5718+J5718)</f>
        <v/>
      </c>
    </row>
    <row r="5719">
      <c r="F5719" s="8" t="n"/>
      <c r="G5719" s="8">
        <f>IF(E5719="","",E5719*F5719)</f>
        <v/>
      </c>
      <c r="H5719" s="8">
        <f>IF(G5719="","",G5719-I5719)</f>
        <v/>
      </c>
      <c r="I5719" s="8">
        <f>IF(D5719="","",VLOOKUP(D5719, RECETTES!B:G, 6, FALSE)*E5719)</f>
        <v/>
      </c>
      <c r="J5719" s="8">
        <f>IF(G5719="","",G5719*0.20)</f>
        <v/>
      </c>
      <c r="K5719" s="8">
        <f>IF(G5719="","",G5719+J5719)</f>
        <v/>
      </c>
    </row>
    <row r="5720">
      <c r="F5720" s="8" t="n"/>
      <c r="G5720" s="8">
        <f>IF(E5720="","",E5720*F5720)</f>
        <v/>
      </c>
      <c r="H5720" s="8">
        <f>IF(G5720="","",G5720-I5720)</f>
        <v/>
      </c>
      <c r="I5720" s="8">
        <f>IF(D5720="","",VLOOKUP(D5720, RECETTES!B:G, 6, FALSE)*E5720)</f>
        <v/>
      </c>
      <c r="J5720" s="8">
        <f>IF(G5720="","",G5720*0.20)</f>
        <v/>
      </c>
      <c r="K5720" s="8">
        <f>IF(G5720="","",G5720+J5720)</f>
        <v/>
      </c>
    </row>
    <row r="5721">
      <c r="F5721" s="8" t="n"/>
      <c r="G5721" s="8">
        <f>IF(E5721="","",E5721*F5721)</f>
        <v/>
      </c>
      <c r="H5721" s="8">
        <f>IF(G5721="","",G5721-I5721)</f>
        <v/>
      </c>
      <c r="I5721" s="8">
        <f>IF(D5721="","",VLOOKUP(D5721, RECETTES!B:G, 6, FALSE)*E5721)</f>
        <v/>
      </c>
      <c r="J5721" s="8">
        <f>IF(G5721="","",G5721*0.20)</f>
        <v/>
      </c>
      <c r="K5721" s="8">
        <f>IF(G5721="","",G5721+J5721)</f>
        <v/>
      </c>
    </row>
    <row r="5722">
      <c r="F5722" s="8" t="n"/>
      <c r="G5722" s="8">
        <f>IF(E5722="","",E5722*F5722)</f>
        <v/>
      </c>
      <c r="H5722" s="8">
        <f>IF(G5722="","",G5722-I5722)</f>
        <v/>
      </c>
      <c r="I5722" s="8">
        <f>IF(D5722="","",VLOOKUP(D5722, RECETTES!B:G, 6, FALSE)*E5722)</f>
        <v/>
      </c>
      <c r="J5722" s="8">
        <f>IF(G5722="","",G5722*0.20)</f>
        <v/>
      </c>
      <c r="K5722" s="8">
        <f>IF(G5722="","",G5722+J5722)</f>
        <v/>
      </c>
    </row>
    <row r="5723">
      <c r="F5723" s="8" t="n"/>
      <c r="G5723" s="8">
        <f>IF(E5723="","",E5723*F5723)</f>
        <v/>
      </c>
      <c r="H5723" s="8">
        <f>IF(G5723="","",G5723-I5723)</f>
        <v/>
      </c>
      <c r="I5723" s="8">
        <f>IF(D5723="","",VLOOKUP(D5723, RECETTES!B:G, 6, FALSE)*E5723)</f>
        <v/>
      </c>
      <c r="J5723" s="8">
        <f>IF(G5723="","",G5723*0.20)</f>
        <v/>
      </c>
      <c r="K5723" s="8">
        <f>IF(G5723="","",G5723+J5723)</f>
        <v/>
      </c>
    </row>
    <row r="5724">
      <c r="F5724" s="8" t="n"/>
      <c r="G5724" s="8">
        <f>IF(E5724="","",E5724*F5724)</f>
        <v/>
      </c>
      <c r="H5724" s="8">
        <f>IF(G5724="","",G5724-I5724)</f>
        <v/>
      </c>
      <c r="I5724" s="8">
        <f>IF(D5724="","",VLOOKUP(D5724, RECETTES!B:G, 6, FALSE)*E5724)</f>
        <v/>
      </c>
      <c r="J5724" s="8">
        <f>IF(G5724="","",G5724*0.20)</f>
        <v/>
      </c>
      <c r="K5724" s="8">
        <f>IF(G5724="","",G5724+J5724)</f>
        <v/>
      </c>
    </row>
    <row r="5725">
      <c r="F5725" s="8" t="n"/>
      <c r="G5725" s="8">
        <f>IF(E5725="","",E5725*F5725)</f>
        <v/>
      </c>
      <c r="H5725" s="8">
        <f>IF(G5725="","",G5725-I5725)</f>
        <v/>
      </c>
      <c r="I5725" s="8">
        <f>IF(D5725="","",VLOOKUP(D5725, RECETTES!B:G, 6, FALSE)*E5725)</f>
        <v/>
      </c>
      <c r="J5725" s="8">
        <f>IF(G5725="","",G5725*0.20)</f>
        <v/>
      </c>
      <c r="K5725" s="8">
        <f>IF(G5725="","",G5725+J5725)</f>
        <v/>
      </c>
    </row>
    <row r="5726">
      <c r="F5726" s="8" t="n"/>
      <c r="G5726" s="8">
        <f>IF(E5726="","",E5726*F5726)</f>
        <v/>
      </c>
      <c r="H5726" s="8">
        <f>IF(G5726="","",G5726-I5726)</f>
        <v/>
      </c>
      <c r="I5726" s="8">
        <f>IF(D5726="","",VLOOKUP(D5726, RECETTES!B:G, 6, FALSE)*E5726)</f>
        <v/>
      </c>
      <c r="J5726" s="8">
        <f>IF(G5726="","",G5726*0.20)</f>
        <v/>
      </c>
      <c r="K5726" s="8">
        <f>IF(G5726="","",G5726+J5726)</f>
        <v/>
      </c>
    </row>
    <row r="5727">
      <c r="F5727" s="8" t="n"/>
      <c r="G5727" s="8">
        <f>IF(E5727="","",E5727*F5727)</f>
        <v/>
      </c>
      <c r="H5727" s="8">
        <f>IF(G5727="","",G5727-I5727)</f>
        <v/>
      </c>
      <c r="I5727" s="8">
        <f>IF(D5727="","",VLOOKUP(D5727, RECETTES!B:G, 6, FALSE)*E5727)</f>
        <v/>
      </c>
      <c r="J5727" s="8">
        <f>IF(G5727="","",G5727*0.20)</f>
        <v/>
      </c>
      <c r="K5727" s="8">
        <f>IF(G5727="","",G5727+J5727)</f>
        <v/>
      </c>
    </row>
    <row r="5728">
      <c r="F5728" s="8" t="n"/>
      <c r="G5728" s="8">
        <f>IF(E5728="","",E5728*F5728)</f>
        <v/>
      </c>
      <c r="H5728" s="8">
        <f>IF(G5728="","",G5728-I5728)</f>
        <v/>
      </c>
      <c r="I5728" s="8">
        <f>IF(D5728="","",VLOOKUP(D5728, RECETTES!B:G, 6, FALSE)*E5728)</f>
        <v/>
      </c>
      <c r="J5728" s="8">
        <f>IF(G5728="","",G5728*0.20)</f>
        <v/>
      </c>
      <c r="K5728" s="8">
        <f>IF(G5728="","",G5728+J5728)</f>
        <v/>
      </c>
    </row>
    <row r="5729">
      <c r="F5729" s="8" t="n"/>
      <c r="G5729" s="8">
        <f>IF(E5729="","",E5729*F5729)</f>
        <v/>
      </c>
      <c r="H5729" s="8">
        <f>IF(G5729="","",G5729-I5729)</f>
        <v/>
      </c>
      <c r="I5729" s="8">
        <f>IF(D5729="","",VLOOKUP(D5729, RECETTES!B:G, 6, FALSE)*E5729)</f>
        <v/>
      </c>
      <c r="J5729" s="8">
        <f>IF(G5729="","",G5729*0.20)</f>
        <v/>
      </c>
      <c r="K5729" s="8">
        <f>IF(G5729="","",G5729+J5729)</f>
        <v/>
      </c>
    </row>
    <row r="5730">
      <c r="F5730" s="8" t="n"/>
      <c r="G5730" s="8">
        <f>IF(E5730="","",E5730*F5730)</f>
        <v/>
      </c>
      <c r="H5730" s="8">
        <f>IF(G5730="","",G5730-I5730)</f>
        <v/>
      </c>
      <c r="I5730" s="8">
        <f>IF(D5730="","",VLOOKUP(D5730, RECETTES!B:G, 6, FALSE)*E5730)</f>
        <v/>
      </c>
      <c r="J5730" s="8">
        <f>IF(G5730="","",G5730*0.20)</f>
        <v/>
      </c>
      <c r="K5730" s="8">
        <f>IF(G5730="","",G5730+J5730)</f>
        <v/>
      </c>
    </row>
    <row r="5731">
      <c r="F5731" s="8" t="n"/>
      <c r="G5731" s="8">
        <f>IF(E5731="","",E5731*F5731)</f>
        <v/>
      </c>
      <c r="H5731" s="8">
        <f>IF(G5731="","",G5731-I5731)</f>
        <v/>
      </c>
      <c r="I5731" s="8">
        <f>IF(D5731="","",VLOOKUP(D5731, RECETTES!B:G, 6, FALSE)*E5731)</f>
        <v/>
      </c>
      <c r="J5731" s="8">
        <f>IF(G5731="","",G5731*0.20)</f>
        <v/>
      </c>
      <c r="K5731" s="8">
        <f>IF(G5731="","",G5731+J5731)</f>
        <v/>
      </c>
    </row>
    <row r="5732">
      <c r="F5732" s="8" t="n"/>
      <c r="G5732" s="8">
        <f>IF(E5732="","",E5732*F5732)</f>
        <v/>
      </c>
      <c r="H5732" s="8">
        <f>IF(G5732="","",G5732-I5732)</f>
        <v/>
      </c>
      <c r="I5732" s="8">
        <f>IF(D5732="","",VLOOKUP(D5732, RECETTES!B:G, 6, FALSE)*E5732)</f>
        <v/>
      </c>
      <c r="J5732" s="8">
        <f>IF(G5732="","",G5732*0.20)</f>
        <v/>
      </c>
      <c r="K5732" s="8">
        <f>IF(G5732="","",G5732+J5732)</f>
        <v/>
      </c>
    </row>
    <row r="5733">
      <c r="F5733" s="8" t="n"/>
      <c r="G5733" s="8">
        <f>IF(E5733="","",E5733*F5733)</f>
        <v/>
      </c>
      <c r="H5733" s="8">
        <f>IF(G5733="","",G5733-I5733)</f>
        <v/>
      </c>
      <c r="I5733" s="8">
        <f>IF(D5733="","",VLOOKUP(D5733, RECETTES!B:G, 6, FALSE)*E5733)</f>
        <v/>
      </c>
      <c r="J5733" s="8">
        <f>IF(G5733="","",G5733*0.20)</f>
        <v/>
      </c>
      <c r="K5733" s="8">
        <f>IF(G5733="","",G5733+J5733)</f>
        <v/>
      </c>
    </row>
    <row r="5734">
      <c r="F5734" s="8" t="n"/>
      <c r="G5734" s="8">
        <f>IF(E5734="","",E5734*F5734)</f>
        <v/>
      </c>
      <c r="H5734" s="8">
        <f>IF(G5734="","",G5734-I5734)</f>
        <v/>
      </c>
      <c r="I5734" s="8">
        <f>IF(D5734="","",VLOOKUP(D5734, RECETTES!B:G, 6, FALSE)*E5734)</f>
        <v/>
      </c>
      <c r="J5734" s="8">
        <f>IF(G5734="","",G5734*0.20)</f>
        <v/>
      </c>
      <c r="K5734" s="8">
        <f>IF(G5734="","",G5734+J5734)</f>
        <v/>
      </c>
    </row>
    <row r="5735">
      <c r="F5735" s="8" t="n"/>
      <c r="G5735" s="8">
        <f>IF(E5735="","",E5735*F5735)</f>
        <v/>
      </c>
      <c r="H5735" s="8">
        <f>IF(G5735="","",G5735-I5735)</f>
        <v/>
      </c>
      <c r="I5735" s="8">
        <f>IF(D5735="","",VLOOKUP(D5735, RECETTES!B:G, 6, FALSE)*E5735)</f>
        <v/>
      </c>
      <c r="J5735" s="8">
        <f>IF(G5735="","",G5735*0.20)</f>
        <v/>
      </c>
      <c r="K5735" s="8">
        <f>IF(G5735="","",G5735+J5735)</f>
        <v/>
      </c>
    </row>
    <row r="5736">
      <c r="F5736" s="8" t="n"/>
      <c r="G5736" s="8">
        <f>IF(E5736="","",E5736*F5736)</f>
        <v/>
      </c>
      <c r="H5736" s="8">
        <f>IF(G5736="","",G5736-I5736)</f>
        <v/>
      </c>
      <c r="I5736" s="8">
        <f>IF(D5736="","",VLOOKUP(D5736, RECETTES!B:G, 6, FALSE)*E5736)</f>
        <v/>
      </c>
      <c r="J5736" s="8">
        <f>IF(G5736="","",G5736*0.20)</f>
        <v/>
      </c>
      <c r="K5736" s="8">
        <f>IF(G5736="","",G5736+J5736)</f>
        <v/>
      </c>
    </row>
    <row r="5737">
      <c r="F5737" s="8" t="n"/>
      <c r="G5737" s="8">
        <f>IF(E5737="","",E5737*F5737)</f>
        <v/>
      </c>
      <c r="H5737" s="8">
        <f>IF(G5737="","",G5737-I5737)</f>
        <v/>
      </c>
      <c r="I5737" s="8">
        <f>IF(D5737="","",VLOOKUP(D5737, RECETTES!B:G, 6, FALSE)*E5737)</f>
        <v/>
      </c>
      <c r="J5737" s="8">
        <f>IF(G5737="","",G5737*0.20)</f>
        <v/>
      </c>
      <c r="K5737" s="8">
        <f>IF(G5737="","",G5737+J5737)</f>
        <v/>
      </c>
    </row>
    <row r="5738">
      <c r="F5738" s="8" t="n"/>
      <c r="G5738" s="8">
        <f>IF(E5738="","",E5738*F5738)</f>
        <v/>
      </c>
      <c r="H5738" s="8">
        <f>IF(G5738="","",G5738-I5738)</f>
        <v/>
      </c>
      <c r="I5738" s="8">
        <f>IF(D5738="","",VLOOKUP(D5738, RECETTES!B:G, 6, FALSE)*E5738)</f>
        <v/>
      </c>
      <c r="J5738" s="8">
        <f>IF(G5738="","",G5738*0.20)</f>
        <v/>
      </c>
      <c r="K5738" s="8">
        <f>IF(G5738="","",G5738+J5738)</f>
        <v/>
      </c>
    </row>
    <row r="5739">
      <c r="F5739" s="8" t="n"/>
      <c r="G5739" s="8">
        <f>IF(E5739="","",E5739*F5739)</f>
        <v/>
      </c>
      <c r="H5739" s="8">
        <f>IF(G5739="","",G5739-I5739)</f>
        <v/>
      </c>
      <c r="I5739" s="8">
        <f>IF(D5739="","",VLOOKUP(D5739, RECETTES!B:G, 6, FALSE)*E5739)</f>
        <v/>
      </c>
      <c r="J5739" s="8">
        <f>IF(G5739="","",G5739*0.20)</f>
        <v/>
      </c>
      <c r="K5739" s="8">
        <f>IF(G5739="","",G5739+J5739)</f>
        <v/>
      </c>
    </row>
    <row r="5740">
      <c r="F5740" s="8" t="n"/>
      <c r="G5740" s="8">
        <f>IF(E5740="","",E5740*F5740)</f>
        <v/>
      </c>
      <c r="H5740" s="8">
        <f>IF(G5740="","",G5740-I5740)</f>
        <v/>
      </c>
      <c r="I5740" s="8">
        <f>IF(D5740="","",VLOOKUP(D5740, RECETTES!B:G, 6, FALSE)*E5740)</f>
        <v/>
      </c>
      <c r="J5740" s="8">
        <f>IF(G5740="","",G5740*0.20)</f>
        <v/>
      </c>
      <c r="K5740" s="8">
        <f>IF(G5740="","",G5740+J5740)</f>
        <v/>
      </c>
    </row>
    <row r="5741">
      <c r="F5741" s="8" t="n"/>
      <c r="G5741" s="8">
        <f>IF(E5741="","",E5741*F5741)</f>
        <v/>
      </c>
      <c r="H5741" s="8">
        <f>IF(G5741="","",G5741-I5741)</f>
        <v/>
      </c>
      <c r="I5741" s="8">
        <f>IF(D5741="","",VLOOKUP(D5741, RECETTES!B:G, 6, FALSE)*E5741)</f>
        <v/>
      </c>
      <c r="J5741" s="8">
        <f>IF(G5741="","",G5741*0.20)</f>
        <v/>
      </c>
      <c r="K5741" s="8">
        <f>IF(G5741="","",G5741+J5741)</f>
        <v/>
      </c>
    </row>
    <row r="5742">
      <c r="F5742" s="8" t="n"/>
      <c r="G5742" s="8">
        <f>IF(E5742="","",E5742*F5742)</f>
        <v/>
      </c>
      <c r="H5742" s="8">
        <f>IF(G5742="","",G5742-I5742)</f>
        <v/>
      </c>
      <c r="I5742" s="8">
        <f>IF(D5742="","",VLOOKUP(D5742, RECETTES!B:G, 6, FALSE)*E5742)</f>
        <v/>
      </c>
      <c r="J5742" s="8">
        <f>IF(G5742="","",G5742*0.20)</f>
        <v/>
      </c>
      <c r="K5742" s="8">
        <f>IF(G5742="","",G5742+J5742)</f>
        <v/>
      </c>
    </row>
    <row r="5743">
      <c r="F5743" s="8" t="n"/>
      <c r="G5743" s="8">
        <f>IF(E5743="","",E5743*F5743)</f>
        <v/>
      </c>
      <c r="H5743" s="8">
        <f>IF(G5743="","",G5743-I5743)</f>
        <v/>
      </c>
      <c r="I5743" s="8">
        <f>IF(D5743="","",VLOOKUP(D5743, RECETTES!B:G, 6, FALSE)*E5743)</f>
        <v/>
      </c>
      <c r="J5743" s="8">
        <f>IF(G5743="","",G5743*0.20)</f>
        <v/>
      </c>
      <c r="K5743" s="8">
        <f>IF(G5743="","",G5743+J5743)</f>
        <v/>
      </c>
    </row>
    <row r="5744">
      <c r="F5744" s="8" t="n"/>
      <c r="G5744" s="8">
        <f>IF(E5744="","",E5744*F5744)</f>
        <v/>
      </c>
      <c r="H5744" s="8">
        <f>IF(G5744="","",G5744-I5744)</f>
        <v/>
      </c>
      <c r="I5744" s="8">
        <f>IF(D5744="","",VLOOKUP(D5744, RECETTES!B:G, 6, FALSE)*E5744)</f>
        <v/>
      </c>
      <c r="J5744" s="8">
        <f>IF(G5744="","",G5744*0.20)</f>
        <v/>
      </c>
      <c r="K5744" s="8">
        <f>IF(G5744="","",G5744+J5744)</f>
        <v/>
      </c>
    </row>
    <row r="5745">
      <c r="F5745" s="8" t="n"/>
      <c r="G5745" s="8">
        <f>IF(E5745="","",E5745*F5745)</f>
        <v/>
      </c>
      <c r="H5745" s="8">
        <f>IF(G5745="","",G5745-I5745)</f>
        <v/>
      </c>
      <c r="I5745" s="8">
        <f>IF(D5745="","",VLOOKUP(D5745, RECETTES!B:G, 6, FALSE)*E5745)</f>
        <v/>
      </c>
      <c r="J5745" s="8">
        <f>IF(G5745="","",G5745*0.20)</f>
        <v/>
      </c>
      <c r="K5745" s="8">
        <f>IF(G5745="","",G5745+J5745)</f>
        <v/>
      </c>
    </row>
    <row r="5746">
      <c r="F5746" s="8" t="n"/>
      <c r="G5746" s="8">
        <f>IF(E5746="","",E5746*F5746)</f>
        <v/>
      </c>
      <c r="H5746" s="8">
        <f>IF(G5746="","",G5746-I5746)</f>
        <v/>
      </c>
      <c r="I5746" s="8">
        <f>IF(D5746="","",VLOOKUP(D5746, RECETTES!B:G, 6, FALSE)*E5746)</f>
        <v/>
      </c>
      <c r="J5746" s="8">
        <f>IF(G5746="","",G5746*0.20)</f>
        <v/>
      </c>
      <c r="K5746" s="8">
        <f>IF(G5746="","",G5746+J5746)</f>
        <v/>
      </c>
    </row>
    <row r="5747">
      <c r="F5747" s="8" t="n"/>
      <c r="G5747" s="8">
        <f>IF(E5747="","",E5747*F5747)</f>
        <v/>
      </c>
      <c r="H5747" s="8">
        <f>IF(G5747="","",G5747-I5747)</f>
        <v/>
      </c>
      <c r="I5747" s="8">
        <f>IF(D5747="","",VLOOKUP(D5747, RECETTES!B:G, 6, FALSE)*E5747)</f>
        <v/>
      </c>
      <c r="J5747" s="8">
        <f>IF(G5747="","",G5747*0.20)</f>
        <v/>
      </c>
      <c r="K5747" s="8">
        <f>IF(G5747="","",G5747+J5747)</f>
        <v/>
      </c>
    </row>
    <row r="5748">
      <c r="F5748" s="8" t="n"/>
      <c r="G5748" s="8">
        <f>IF(E5748="","",E5748*F5748)</f>
        <v/>
      </c>
      <c r="H5748" s="8">
        <f>IF(G5748="","",G5748-I5748)</f>
        <v/>
      </c>
      <c r="I5748" s="8">
        <f>IF(D5748="","",VLOOKUP(D5748, RECETTES!B:G, 6, FALSE)*E5748)</f>
        <v/>
      </c>
      <c r="J5748" s="8">
        <f>IF(G5748="","",G5748*0.20)</f>
        <v/>
      </c>
      <c r="K5748" s="8">
        <f>IF(G5748="","",G5748+J5748)</f>
        <v/>
      </c>
    </row>
    <row r="5749">
      <c r="F5749" s="8" t="n"/>
      <c r="G5749" s="8">
        <f>IF(E5749="","",E5749*F5749)</f>
        <v/>
      </c>
      <c r="H5749" s="8">
        <f>IF(G5749="","",G5749-I5749)</f>
        <v/>
      </c>
      <c r="I5749" s="8">
        <f>IF(D5749="","",VLOOKUP(D5749, RECETTES!B:G, 6, FALSE)*E5749)</f>
        <v/>
      </c>
      <c r="J5749" s="8">
        <f>IF(G5749="","",G5749*0.20)</f>
        <v/>
      </c>
      <c r="K5749" s="8">
        <f>IF(G5749="","",G5749+J5749)</f>
        <v/>
      </c>
    </row>
    <row r="5750">
      <c r="F5750" s="8" t="n"/>
      <c r="G5750" s="8">
        <f>IF(E5750="","",E5750*F5750)</f>
        <v/>
      </c>
      <c r="H5750" s="8">
        <f>IF(G5750="","",G5750-I5750)</f>
        <v/>
      </c>
      <c r="I5750" s="8">
        <f>IF(D5750="","",VLOOKUP(D5750, RECETTES!B:G, 6, FALSE)*E5750)</f>
        <v/>
      </c>
      <c r="J5750" s="8">
        <f>IF(G5750="","",G5750*0.20)</f>
        <v/>
      </c>
      <c r="K5750" s="8">
        <f>IF(G5750="","",G5750+J5750)</f>
        <v/>
      </c>
    </row>
    <row r="5751">
      <c r="F5751" s="8" t="n"/>
      <c r="G5751" s="8">
        <f>IF(E5751="","",E5751*F5751)</f>
        <v/>
      </c>
      <c r="H5751" s="8">
        <f>IF(G5751="","",G5751-I5751)</f>
        <v/>
      </c>
      <c r="I5751" s="8">
        <f>IF(D5751="","",VLOOKUP(D5751, RECETTES!B:G, 6, FALSE)*E5751)</f>
        <v/>
      </c>
      <c r="J5751" s="8">
        <f>IF(G5751="","",G5751*0.20)</f>
        <v/>
      </c>
      <c r="K5751" s="8">
        <f>IF(G5751="","",G5751+J5751)</f>
        <v/>
      </c>
    </row>
    <row r="5752">
      <c r="F5752" s="8" t="n"/>
      <c r="G5752" s="8">
        <f>IF(E5752="","",E5752*F5752)</f>
        <v/>
      </c>
      <c r="H5752" s="8">
        <f>IF(G5752="","",G5752-I5752)</f>
        <v/>
      </c>
      <c r="I5752" s="8">
        <f>IF(D5752="","",VLOOKUP(D5752, RECETTES!B:G, 6, FALSE)*E5752)</f>
        <v/>
      </c>
      <c r="J5752" s="8">
        <f>IF(G5752="","",G5752*0.20)</f>
        <v/>
      </c>
      <c r="K5752" s="8">
        <f>IF(G5752="","",G5752+J5752)</f>
        <v/>
      </c>
    </row>
    <row r="5753">
      <c r="F5753" s="8" t="n"/>
      <c r="G5753" s="8">
        <f>IF(E5753="","",E5753*F5753)</f>
        <v/>
      </c>
      <c r="H5753" s="8">
        <f>IF(G5753="","",G5753-I5753)</f>
        <v/>
      </c>
      <c r="I5753" s="8">
        <f>IF(D5753="","",VLOOKUP(D5753, RECETTES!B:G, 6, FALSE)*E5753)</f>
        <v/>
      </c>
      <c r="J5753" s="8">
        <f>IF(G5753="","",G5753*0.20)</f>
        <v/>
      </c>
      <c r="K5753" s="8">
        <f>IF(G5753="","",G5753+J5753)</f>
        <v/>
      </c>
    </row>
    <row r="5754">
      <c r="F5754" s="8" t="n"/>
      <c r="G5754" s="8">
        <f>IF(E5754="","",E5754*F5754)</f>
        <v/>
      </c>
      <c r="H5754" s="8">
        <f>IF(G5754="","",G5754-I5754)</f>
        <v/>
      </c>
      <c r="I5754" s="8">
        <f>IF(D5754="","",VLOOKUP(D5754, RECETTES!B:G, 6, FALSE)*E5754)</f>
        <v/>
      </c>
      <c r="J5754" s="8">
        <f>IF(G5754="","",G5754*0.20)</f>
        <v/>
      </c>
      <c r="K5754" s="8">
        <f>IF(G5754="","",G5754+J5754)</f>
        <v/>
      </c>
    </row>
    <row r="5755">
      <c r="F5755" s="8" t="n"/>
      <c r="G5755" s="8">
        <f>IF(E5755="","",E5755*F5755)</f>
        <v/>
      </c>
      <c r="H5755" s="8">
        <f>IF(G5755="","",G5755-I5755)</f>
        <v/>
      </c>
      <c r="I5755" s="8">
        <f>IF(D5755="","",VLOOKUP(D5755, RECETTES!B:G, 6, FALSE)*E5755)</f>
        <v/>
      </c>
      <c r="J5755" s="8">
        <f>IF(G5755="","",G5755*0.20)</f>
        <v/>
      </c>
      <c r="K5755" s="8">
        <f>IF(G5755="","",G5755+J5755)</f>
        <v/>
      </c>
    </row>
    <row r="5756">
      <c r="F5756" s="8" t="n"/>
      <c r="G5756" s="8">
        <f>IF(E5756="","",E5756*F5756)</f>
        <v/>
      </c>
      <c r="H5756" s="8">
        <f>IF(G5756="","",G5756-I5756)</f>
        <v/>
      </c>
      <c r="I5756" s="8">
        <f>IF(D5756="","",VLOOKUP(D5756, RECETTES!B:G, 6, FALSE)*E5756)</f>
        <v/>
      </c>
      <c r="J5756" s="8">
        <f>IF(G5756="","",G5756*0.20)</f>
        <v/>
      </c>
      <c r="K5756" s="8">
        <f>IF(G5756="","",G5756+J5756)</f>
        <v/>
      </c>
    </row>
    <row r="5757">
      <c r="F5757" s="8" t="n"/>
      <c r="G5757" s="8">
        <f>IF(E5757="","",E5757*F5757)</f>
        <v/>
      </c>
      <c r="H5757" s="8">
        <f>IF(G5757="","",G5757-I5757)</f>
        <v/>
      </c>
      <c r="I5757" s="8">
        <f>IF(D5757="","",VLOOKUP(D5757, RECETTES!B:G, 6, FALSE)*E5757)</f>
        <v/>
      </c>
      <c r="J5757" s="8">
        <f>IF(G5757="","",G5757*0.20)</f>
        <v/>
      </c>
      <c r="K5757" s="8">
        <f>IF(G5757="","",G5757+J5757)</f>
        <v/>
      </c>
    </row>
    <row r="5758">
      <c r="F5758" s="8" t="n"/>
      <c r="G5758" s="8">
        <f>IF(E5758="","",E5758*F5758)</f>
        <v/>
      </c>
      <c r="H5758" s="8">
        <f>IF(G5758="","",G5758-I5758)</f>
        <v/>
      </c>
      <c r="I5758" s="8">
        <f>IF(D5758="","",VLOOKUP(D5758, RECETTES!B:G, 6, FALSE)*E5758)</f>
        <v/>
      </c>
      <c r="J5758" s="8">
        <f>IF(G5758="","",G5758*0.20)</f>
        <v/>
      </c>
      <c r="K5758" s="8">
        <f>IF(G5758="","",G5758+J5758)</f>
        <v/>
      </c>
    </row>
    <row r="5759">
      <c r="F5759" s="8" t="n"/>
      <c r="G5759" s="8">
        <f>IF(E5759="","",E5759*F5759)</f>
        <v/>
      </c>
      <c r="H5759" s="8">
        <f>IF(G5759="","",G5759-I5759)</f>
        <v/>
      </c>
      <c r="I5759" s="8">
        <f>IF(D5759="","",VLOOKUP(D5759, RECETTES!B:G, 6, FALSE)*E5759)</f>
        <v/>
      </c>
      <c r="J5759" s="8">
        <f>IF(G5759="","",G5759*0.20)</f>
        <v/>
      </c>
      <c r="K5759" s="8">
        <f>IF(G5759="","",G5759+J5759)</f>
        <v/>
      </c>
    </row>
    <row r="5760">
      <c r="F5760" s="8" t="n"/>
      <c r="G5760" s="8">
        <f>IF(E5760="","",E5760*F5760)</f>
        <v/>
      </c>
      <c r="H5760" s="8">
        <f>IF(G5760="","",G5760-I5760)</f>
        <v/>
      </c>
      <c r="I5760" s="8">
        <f>IF(D5760="","",VLOOKUP(D5760, RECETTES!B:G, 6, FALSE)*E5760)</f>
        <v/>
      </c>
      <c r="J5760" s="8">
        <f>IF(G5760="","",G5760*0.20)</f>
        <v/>
      </c>
      <c r="K5760" s="8">
        <f>IF(G5760="","",G5760+J5760)</f>
        <v/>
      </c>
    </row>
    <row r="5761">
      <c r="F5761" s="8" t="n"/>
      <c r="G5761" s="8">
        <f>IF(E5761="","",E5761*F5761)</f>
        <v/>
      </c>
      <c r="H5761" s="8">
        <f>IF(G5761="","",G5761-I5761)</f>
        <v/>
      </c>
      <c r="I5761" s="8">
        <f>IF(D5761="","",VLOOKUP(D5761, RECETTES!B:G, 6, FALSE)*E5761)</f>
        <v/>
      </c>
      <c r="J5761" s="8">
        <f>IF(G5761="","",G5761*0.20)</f>
        <v/>
      </c>
      <c r="K5761" s="8">
        <f>IF(G5761="","",G5761+J5761)</f>
        <v/>
      </c>
    </row>
    <row r="5762">
      <c r="F5762" s="8" t="n"/>
      <c r="G5762" s="8">
        <f>IF(E5762="","",E5762*F5762)</f>
        <v/>
      </c>
      <c r="H5762" s="8">
        <f>IF(G5762="","",G5762-I5762)</f>
        <v/>
      </c>
      <c r="I5762" s="8">
        <f>IF(D5762="","",VLOOKUP(D5762, RECETTES!B:G, 6, FALSE)*E5762)</f>
        <v/>
      </c>
      <c r="J5762" s="8">
        <f>IF(G5762="","",G5762*0.20)</f>
        <v/>
      </c>
      <c r="K5762" s="8">
        <f>IF(G5762="","",G5762+J5762)</f>
        <v/>
      </c>
    </row>
    <row r="5763">
      <c r="F5763" s="8" t="n"/>
      <c r="G5763" s="8">
        <f>IF(E5763="","",E5763*F5763)</f>
        <v/>
      </c>
      <c r="H5763" s="8">
        <f>IF(G5763="","",G5763-I5763)</f>
        <v/>
      </c>
      <c r="I5763" s="8">
        <f>IF(D5763="","",VLOOKUP(D5763, RECETTES!B:G, 6, FALSE)*E5763)</f>
        <v/>
      </c>
      <c r="J5763" s="8">
        <f>IF(G5763="","",G5763*0.20)</f>
        <v/>
      </c>
      <c r="K5763" s="8">
        <f>IF(G5763="","",G5763+J5763)</f>
        <v/>
      </c>
    </row>
    <row r="5764">
      <c r="F5764" s="8" t="n"/>
      <c r="G5764" s="8">
        <f>IF(E5764="","",E5764*F5764)</f>
        <v/>
      </c>
      <c r="H5764" s="8">
        <f>IF(G5764="","",G5764-I5764)</f>
        <v/>
      </c>
      <c r="I5764" s="8">
        <f>IF(D5764="","",VLOOKUP(D5764, RECETTES!B:G, 6, FALSE)*E5764)</f>
        <v/>
      </c>
      <c r="J5764" s="8">
        <f>IF(G5764="","",G5764*0.20)</f>
        <v/>
      </c>
      <c r="K5764" s="8">
        <f>IF(G5764="","",G5764+J5764)</f>
        <v/>
      </c>
    </row>
    <row r="5765">
      <c r="F5765" s="8" t="n"/>
      <c r="G5765" s="8">
        <f>IF(E5765="","",E5765*F5765)</f>
        <v/>
      </c>
      <c r="H5765" s="8">
        <f>IF(G5765="","",G5765-I5765)</f>
        <v/>
      </c>
      <c r="I5765" s="8">
        <f>IF(D5765="","",VLOOKUP(D5765, RECETTES!B:G, 6, FALSE)*E5765)</f>
        <v/>
      </c>
      <c r="J5765" s="8">
        <f>IF(G5765="","",G5765*0.20)</f>
        <v/>
      </c>
      <c r="K5765" s="8">
        <f>IF(G5765="","",G5765+J5765)</f>
        <v/>
      </c>
    </row>
    <row r="5766">
      <c r="F5766" s="8" t="n"/>
      <c r="G5766" s="8">
        <f>IF(E5766="","",E5766*F5766)</f>
        <v/>
      </c>
      <c r="H5766" s="8">
        <f>IF(G5766="","",G5766-I5766)</f>
        <v/>
      </c>
      <c r="I5766" s="8">
        <f>IF(D5766="","",VLOOKUP(D5766, RECETTES!B:G, 6, FALSE)*E5766)</f>
        <v/>
      </c>
      <c r="J5766" s="8">
        <f>IF(G5766="","",G5766*0.20)</f>
        <v/>
      </c>
      <c r="K5766" s="8">
        <f>IF(G5766="","",G5766+J5766)</f>
        <v/>
      </c>
    </row>
    <row r="5767">
      <c r="F5767" s="8" t="n"/>
      <c r="G5767" s="8">
        <f>IF(E5767="","",E5767*F5767)</f>
        <v/>
      </c>
      <c r="H5767" s="8">
        <f>IF(G5767="","",G5767-I5767)</f>
        <v/>
      </c>
      <c r="I5767" s="8">
        <f>IF(D5767="","",VLOOKUP(D5767, RECETTES!B:G, 6, FALSE)*E5767)</f>
        <v/>
      </c>
      <c r="J5767" s="8">
        <f>IF(G5767="","",G5767*0.20)</f>
        <v/>
      </c>
      <c r="K5767" s="8">
        <f>IF(G5767="","",G5767+J5767)</f>
        <v/>
      </c>
    </row>
    <row r="5768">
      <c r="F5768" s="8" t="n"/>
      <c r="G5768" s="8">
        <f>IF(E5768="","",E5768*F5768)</f>
        <v/>
      </c>
      <c r="H5768" s="8">
        <f>IF(G5768="","",G5768-I5768)</f>
        <v/>
      </c>
      <c r="I5768" s="8">
        <f>IF(D5768="","",VLOOKUP(D5768, RECETTES!B:G, 6, FALSE)*E5768)</f>
        <v/>
      </c>
      <c r="J5768" s="8">
        <f>IF(G5768="","",G5768*0.20)</f>
        <v/>
      </c>
      <c r="K5768" s="8">
        <f>IF(G5768="","",G5768+J5768)</f>
        <v/>
      </c>
    </row>
    <row r="5769">
      <c r="F5769" s="8" t="n"/>
      <c r="G5769" s="8">
        <f>IF(E5769="","",E5769*F5769)</f>
        <v/>
      </c>
      <c r="H5769" s="8">
        <f>IF(G5769="","",G5769-I5769)</f>
        <v/>
      </c>
      <c r="I5769" s="8">
        <f>IF(D5769="","",VLOOKUP(D5769, RECETTES!B:G, 6, FALSE)*E5769)</f>
        <v/>
      </c>
      <c r="J5769" s="8">
        <f>IF(G5769="","",G5769*0.20)</f>
        <v/>
      </c>
      <c r="K5769" s="8">
        <f>IF(G5769="","",G5769+J5769)</f>
        <v/>
      </c>
    </row>
    <row r="5770">
      <c r="F5770" s="8" t="n"/>
      <c r="G5770" s="8">
        <f>IF(E5770="","",E5770*F5770)</f>
        <v/>
      </c>
      <c r="H5770" s="8">
        <f>IF(G5770="","",G5770-I5770)</f>
        <v/>
      </c>
      <c r="I5770" s="8">
        <f>IF(D5770="","",VLOOKUP(D5770, RECETTES!B:G, 6, FALSE)*E5770)</f>
        <v/>
      </c>
      <c r="J5770" s="8">
        <f>IF(G5770="","",G5770*0.20)</f>
        <v/>
      </c>
      <c r="K5770" s="8">
        <f>IF(G5770="","",G5770+J5770)</f>
        <v/>
      </c>
    </row>
    <row r="5771">
      <c r="F5771" s="8" t="n"/>
      <c r="G5771" s="8">
        <f>IF(E5771="","",E5771*F5771)</f>
        <v/>
      </c>
      <c r="H5771" s="8">
        <f>IF(G5771="","",G5771-I5771)</f>
        <v/>
      </c>
      <c r="I5771" s="8">
        <f>IF(D5771="","",VLOOKUP(D5771, RECETTES!B:G, 6, FALSE)*E5771)</f>
        <v/>
      </c>
      <c r="J5771" s="8">
        <f>IF(G5771="","",G5771*0.20)</f>
        <v/>
      </c>
      <c r="K5771" s="8">
        <f>IF(G5771="","",G5771+J5771)</f>
        <v/>
      </c>
    </row>
    <row r="5772">
      <c r="F5772" s="8" t="n"/>
      <c r="G5772" s="8">
        <f>IF(E5772="","",E5772*F5772)</f>
        <v/>
      </c>
      <c r="H5772" s="8">
        <f>IF(G5772="","",G5772-I5772)</f>
        <v/>
      </c>
      <c r="I5772" s="8">
        <f>IF(D5772="","",VLOOKUP(D5772, RECETTES!B:G, 6, FALSE)*E5772)</f>
        <v/>
      </c>
      <c r="J5772" s="8">
        <f>IF(G5772="","",G5772*0.20)</f>
        <v/>
      </c>
      <c r="K5772" s="8">
        <f>IF(G5772="","",G5772+J5772)</f>
        <v/>
      </c>
    </row>
    <row r="5773">
      <c r="F5773" s="8" t="n"/>
      <c r="G5773" s="8">
        <f>IF(E5773="","",E5773*F5773)</f>
        <v/>
      </c>
      <c r="H5773" s="8">
        <f>IF(G5773="","",G5773-I5773)</f>
        <v/>
      </c>
      <c r="I5773" s="8">
        <f>IF(D5773="","",VLOOKUP(D5773, RECETTES!B:G, 6, FALSE)*E5773)</f>
        <v/>
      </c>
      <c r="J5773" s="8">
        <f>IF(G5773="","",G5773*0.20)</f>
        <v/>
      </c>
      <c r="K5773" s="8">
        <f>IF(G5773="","",G5773+J5773)</f>
        <v/>
      </c>
    </row>
    <row r="5774">
      <c r="F5774" s="8" t="n"/>
      <c r="G5774" s="8">
        <f>IF(E5774="","",E5774*F5774)</f>
        <v/>
      </c>
      <c r="H5774" s="8">
        <f>IF(G5774="","",G5774-I5774)</f>
        <v/>
      </c>
      <c r="I5774" s="8">
        <f>IF(D5774="","",VLOOKUP(D5774, RECETTES!B:G, 6, FALSE)*E5774)</f>
        <v/>
      </c>
      <c r="J5774" s="8">
        <f>IF(G5774="","",G5774*0.20)</f>
        <v/>
      </c>
      <c r="K5774" s="8">
        <f>IF(G5774="","",G5774+J5774)</f>
        <v/>
      </c>
    </row>
    <row r="5775">
      <c r="F5775" s="8" t="n"/>
      <c r="G5775" s="8">
        <f>IF(E5775="","",E5775*F5775)</f>
        <v/>
      </c>
      <c r="H5775" s="8">
        <f>IF(G5775="","",G5775-I5775)</f>
        <v/>
      </c>
      <c r="I5775" s="8">
        <f>IF(D5775="","",VLOOKUP(D5775, RECETTES!B:G, 6, FALSE)*E5775)</f>
        <v/>
      </c>
      <c r="J5775" s="8">
        <f>IF(G5775="","",G5775*0.20)</f>
        <v/>
      </c>
      <c r="K5775" s="8">
        <f>IF(G5775="","",G5775+J5775)</f>
        <v/>
      </c>
    </row>
    <row r="5776">
      <c r="F5776" s="8" t="n"/>
      <c r="G5776" s="8">
        <f>IF(E5776="","",E5776*F5776)</f>
        <v/>
      </c>
      <c r="H5776" s="8">
        <f>IF(G5776="","",G5776-I5776)</f>
        <v/>
      </c>
      <c r="I5776" s="8">
        <f>IF(D5776="","",VLOOKUP(D5776, RECETTES!B:G, 6, FALSE)*E5776)</f>
        <v/>
      </c>
      <c r="J5776" s="8">
        <f>IF(G5776="","",G5776*0.20)</f>
        <v/>
      </c>
      <c r="K5776" s="8">
        <f>IF(G5776="","",G5776+J5776)</f>
        <v/>
      </c>
    </row>
    <row r="5777">
      <c r="F5777" s="8" t="n"/>
      <c r="G5777" s="8">
        <f>IF(E5777="","",E5777*F5777)</f>
        <v/>
      </c>
      <c r="H5777" s="8">
        <f>IF(G5777="","",G5777-I5777)</f>
        <v/>
      </c>
      <c r="I5777" s="8">
        <f>IF(D5777="","",VLOOKUP(D5777, RECETTES!B:G, 6, FALSE)*E5777)</f>
        <v/>
      </c>
      <c r="J5777" s="8">
        <f>IF(G5777="","",G5777*0.20)</f>
        <v/>
      </c>
      <c r="K5777" s="8">
        <f>IF(G5777="","",G5777+J5777)</f>
        <v/>
      </c>
    </row>
    <row r="5778">
      <c r="F5778" s="8" t="n"/>
      <c r="G5778" s="8">
        <f>IF(E5778="","",E5778*F5778)</f>
        <v/>
      </c>
      <c r="H5778" s="8">
        <f>IF(G5778="","",G5778-I5778)</f>
        <v/>
      </c>
      <c r="I5778" s="8">
        <f>IF(D5778="","",VLOOKUP(D5778, RECETTES!B:G, 6, FALSE)*E5778)</f>
        <v/>
      </c>
      <c r="J5778" s="8">
        <f>IF(G5778="","",G5778*0.20)</f>
        <v/>
      </c>
      <c r="K5778" s="8">
        <f>IF(G5778="","",G5778+J5778)</f>
        <v/>
      </c>
    </row>
    <row r="5779">
      <c r="F5779" s="8" t="n"/>
      <c r="G5779" s="8">
        <f>IF(E5779="","",E5779*F5779)</f>
        <v/>
      </c>
      <c r="H5779" s="8">
        <f>IF(G5779="","",G5779-I5779)</f>
        <v/>
      </c>
      <c r="I5779" s="8">
        <f>IF(D5779="","",VLOOKUP(D5779, RECETTES!B:G, 6, FALSE)*E5779)</f>
        <v/>
      </c>
      <c r="J5779" s="8">
        <f>IF(G5779="","",G5779*0.20)</f>
        <v/>
      </c>
      <c r="K5779" s="8">
        <f>IF(G5779="","",G5779+J5779)</f>
        <v/>
      </c>
    </row>
    <row r="5780">
      <c r="F5780" s="8" t="n"/>
      <c r="G5780" s="8">
        <f>IF(E5780="","",E5780*F5780)</f>
        <v/>
      </c>
      <c r="H5780" s="8">
        <f>IF(G5780="","",G5780-I5780)</f>
        <v/>
      </c>
      <c r="I5780" s="8">
        <f>IF(D5780="","",VLOOKUP(D5780, RECETTES!B:G, 6, FALSE)*E5780)</f>
        <v/>
      </c>
      <c r="J5780" s="8">
        <f>IF(G5780="","",G5780*0.20)</f>
        <v/>
      </c>
      <c r="K5780" s="8">
        <f>IF(G5780="","",G5780+J5780)</f>
        <v/>
      </c>
    </row>
    <row r="5781">
      <c r="F5781" s="8" t="n"/>
      <c r="G5781" s="8">
        <f>IF(E5781="","",E5781*F5781)</f>
        <v/>
      </c>
      <c r="H5781" s="8">
        <f>IF(G5781="","",G5781-I5781)</f>
        <v/>
      </c>
      <c r="I5781" s="8">
        <f>IF(D5781="","",VLOOKUP(D5781, RECETTES!B:G, 6, FALSE)*E5781)</f>
        <v/>
      </c>
      <c r="J5781" s="8">
        <f>IF(G5781="","",G5781*0.20)</f>
        <v/>
      </c>
      <c r="K5781" s="8">
        <f>IF(G5781="","",G5781+J5781)</f>
        <v/>
      </c>
    </row>
    <row r="5782">
      <c r="F5782" s="8" t="n"/>
      <c r="G5782" s="8">
        <f>IF(E5782="","",E5782*F5782)</f>
        <v/>
      </c>
      <c r="H5782" s="8">
        <f>IF(G5782="","",G5782-I5782)</f>
        <v/>
      </c>
      <c r="I5782" s="8">
        <f>IF(D5782="","",VLOOKUP(D5782, RECETTES!B:G, 6, FALSE)*E5782)</f>
        <v/>
      </c>
      <c r="J5782" s="8">
        <f>IF(G5782="","",G5782*0.20)</f>
        <v/>
      </c>
      <c r="K5782" s="8">
        <f>IF(G5782="","",G5782+J5782)</f>
        <v/>
      </c>
    </row>
    <row r="5783">
      <c r="F5783" s="8" t="n"/>
      <c r="G5783" s="8">
        <f>IF(E5783="","",E5783*F5783)</f>
        <v/>
      </c>
      <c r="H5783" s="8">
        <f>IF(G5783="","",G5783-I5783)</f>
        <v/>
      </c>
      <c r="I5783" s="8">
        <f>IF(D5783="","",VLOOKUP(D5783, RECETTES!B:G, 6, FALSE)*E5783)</f>
        <v/>
      </c>
      <c r="J5783" s="8">
        <f>IF(G5783="","",G5783*0.20)</f>
        <v/>
      </c>
      <c r="K5783" s="8">
        <f>IF(G5783="","",G5783+J5783)</f>
        <v/>
      </c>
    </row>
    <row r="5784">
      <c r="F5784" s="8" t="n"/>
      <c r="G5784" s="8">
        <f>IF(E5784="","",E5784*F5784)</f>
        <v/>
      </c>
      <c r="H5784" s="8">
        <f>IF(G5784="","",G5784-I5784)</f>
        <v/>
      </c>
      <c r="I5784" s="8">
        <f>IF(D5784="","",VLOOKUP(D5784, RECETTES!B:G, 6, FALSE)*E5784)</f>
        <v/>
      </c>
      <c r="J5784" s="8">
        <f>IF(G5784="","",G5784*0.20)</f>
        <v/>
      </c>
      <c r="K5784" s="8">
        <f>IF(G5784="","",G5784+J5784)</f>
        <v/>
      </c>
    </row>
    <row r="5785">
      <c r="F5785" s="8" t="n"/>
      <c r="G5785" s="8">
        <f>IF(E5785="","",E5785*F5785)</f>
        <v/>
      </c>
      <c r="H5785" s="8">
        <f>IF(G5785="","",G5785-I5785)</f>
        <v/>
      </c>
      <c r="I5785" s="8">
        <f>IF(D5785="","",VLOOKUP(D5785, RECETTES!B:G, 6, FALSE)*E5785)</f>
        <v/>
      </c>
      <c r="J5785" s="8">
        <f>IF(G5785="","",G5785*0.20)</f>
        <v/>
      </c>
      <c r="K5785" s="8">
        <f>IF(G5785="","",G5785+J5785)</f>
        <v/>
      </c>
    </row>
    <row r="5786">
      <c r="F5786" s="8" t="n"/>
      <c r="G5786" s="8">
        <f>IF(E5786="","",E5786*F5786)</f>
        <v/>
      </c>
      <c r="H5786" s="8">
        <f>IF(G5786="","",G5786-I5786)</f>
        <v/>
      </c>
      <c r="I5786" s="8">
        <f>IF(D5786="","",VLOOKUP(D5786, RECETTES!B:G, 6, FALSE)*E5786)</f>
        <v/>
      </c>
      <c r="J5786" s="8">
        <f>IF(G5786="","",G5786*0.20)</f>
        <v/>
      </c>
      <c r="K5786" s="8">
        <f>IF(G5786="","",G5786+J5786)</f>
        <v/>
      </c>
    </row>
    <row r="5787">
      <c r="F5787" s="8" t="n"/>
      <c r="G5787" s="8">
        <f>IF(E5787="","",E5787*F5787)</f>
        <v/>
      </c>
      <c r="H5787" s="8">
        <f>IF(G5787="","",G5787-I5787)</f>
        <v/>
      </c>
      <c r="I5787" s="8">
        <f>IF(D5787="","",VLOOKUP(D5787, RECETTES!B:G, 6, FALSE)*E5787)</f>
        <v/>
      </c>
      <c r="J5787" s="8">
        <f>IF(G5787="","",G5787*0.20)</f>
        <v/>
      </c>
      <c r="K5787" s="8">
        <f>IF(G5787="","",G5787+J5787)</f>
        <v/>
      </c>
    </row>
    <row r="5788">
      <c r="F5788" s="8" t="n"/>
      <c r="G5788" s="8">
        <f>IF(E5788="","",E5788*F5788)</f>
        <v/>
      </c>
      <c r="H5788" s="8">
        <f>IF(G5788="","",G5788-I5788)</f>
        <v/>
      </c>
      <c r="I5788" s="8">
        <f>IF(D5788="","",VLOOKUP(D5788, RECETTES!B:G, 6, FALSE)*E5788)</f>
        <v/>
      </c>
      <c r="J5788" s="8">
        <f>IF(G5788="","",G5788*0.20)</f>
        <v/>
      </c>
      <c r="K5788" s="8">
        <f>IF(G5788="","",G5788+J5788)</f>
        <v/>
      </c>
    </row>
    <row r="5789">
      <c r="F5789" s="8" t="n"/>
      <c r="G5789" s="8">
        <f>IF(E5789="","",E5789*F5789)</f>
        <v/>
      </c>
      <c r="H5789" s="8">
        <f>IF(G5789="","",G5789-I5789)</f>
        <v/>
      </c>
      <c r="I5789" s="8">
        <f>IF(D5789="","",VLOOKUP(D5789, RECETTES!B:G, 6, FALSE)*E5789)</f>
        <v/>
      </c>
      <c r="J5789" s="8">
        <f>IF(G5789="","",G5789*0.20)</f>
        <v/>
      </c>
      <c r="K5789" s="8">
        <f>IF(G5789="","",G5789+J5789)</f>
        <v/>
      </c>
    </row>
    <row r="5790">
      <c r="F5790" s="8" t="n"/>
      <c r="G5790" s="8">
        <f>IF(E5790="","",E5790*F5790)</f>
        <v/>
      </c>
      <c r="H5790" s="8">
        <f>IF(G5790="","",G5790-I5790)</f>
        <v/>
      </c>
      <c r="I5790" s="8">
        <f>IF(D5790="","",VLOOKUP(D5790, RECETTES!B:G, 6, FALSE)*E5790)</f>
        <v/>
      </c>
      <c r="J5790" s="8">
        <f>IF(G5790="","",G5790*0.20)</f>
        <v/>
      </c>
      <c r="K5790" s="8">
        <f>IF(G5790="","",G5790+J5790)</f>
        <v/>
      </c>
    </row>
    <row r="5791">
      <c r="F5791" s="8" t="n"/>
      <c r="G5791" s="8">
        <f>IF(E5791="","",E5791*F5791)</f>
        <v/>
      </c>
      <c r="H5791" s="8">
        <f>IF(G5791="","",G5791-I5791)</f>
        <v/>
      </c>
      <c r="I5791" s="8">
        <f>IF(D5791="","",VLOOKUP(D5791, RECETTES!B:G, 6, FALSE)*E5791)</f>
        <v/>
      </c>
      <c r="J5791" s="8">
        <f>IF(G5791="","",G5791*0.20)</f>
        <v/>
      </c>
      <c r="K5791" s="8">
        <f>IF(G5791="","",G5791+J5791)</f>
        <v/>
      </c>
    </row>
    <row r="5792">
      <c r="F5792" s="8" t="n"/>
      <c r="G5792" s="8">
        <f>IF(E5792="","",E5792*F5792)</f>
        <v/>
      </c>
      <c r="H5792" s="8">
        <f>IF(G5792="","",G5792-I5792)</f>
        <v/>
      </c>
      <c r="I5792" s="8">
        <f>IF(D5792="","",VLOOKUP(D5792, RECETTES!B:G, 6, FALSE)*E5792)</f>
        <v/>
      </c>
      <c r="J5792" s="8">
        <f>IF(G5792="","",G5792*0.20)</f>
        <v/>
      </c>
      <c r="K5792" s="8">
        <f>IF(G5792="","",G5792+J5792)</f>
        <v/>
      </c>
    </row>
    <row r="5793">
      <c r="F5793" s="8" t="n"/>
      <c r="G5793" s="8">
        <f>IF(E5793="","",E5793*F5793)</f>
        <v/>
      </c>
      <c r="H5793" s="8">
        <f>IF(G5793="","",G5793-I5793)</f>
        <v/>
      </c>
      <c r="I5793" s="8">
        <f>IF(D5793="","",VLOOKUP(D5793, RECETTES!B:G, 6, FALSE)*E5793)</f>
        <v/>
      </c>
      <c r="J5793" s="8">
        <f>IF(G5793="","",G5793*0.20)</f>
        <v/>
      </c>
      <c r="K5793" s="8">
        <f>IF(G5793="","",G5793+J5793)</f>
        <v/>
      </c>
    </row>
    <row r="5794">
      <c r="F5794" s="8" t="n"/>
      <c r="G5794" s="8">
        <f>IF(E5794="","",E5794*F5794)</f>
        <v/>
      </c>
      <c r="H5794" s="8">
        <f>IF(G5794="","",G5794-I5794)</f>
        <v/>
      </c>
      <c r="I5794" s="8">
        <f>IF(D5794="","",VLOOKUP(D5794, RECETTES!B:G, 6, FALSE)*E5794)</f>
        <v/>
      </c>
      <c r="J5794" s="8">
        <f>IF(G5794="","",G5794*0.20)</f>
        <v/>
      </c>
      <c r="K5794" s="8">
        <f>IF(G5794="","",G5794+J5794)</f>
        <v/>
      </c>
    </row>
    <row r="5795">
      <c r="F5795" s="8" t="n"/>
      <c r="G5795" s="8">
        <f>IF(E5795="","",E5795*F5795)</f>
        <v/>
      </c>
      <c r="H5795" s="8">
        <f>IF(G5795="","",G5795-I5795)</f>
        <v/>
      </c>
      <c r="I5795" s="8">
        <f>IF(D5795="","",VLOOKUP(D5795, RECETTES!B:G, 6, FALSE)*E5795)</f>
        <v/>
      </c>
      <c r="J5795" s="8">
        <f>IF(G5795="","",G5795*0.20)</f>
        <v/>
      </c>
      <c r="K5795" s="8">
        <f>IF(G5795="","",G5795+J5795)</f>
        <v/>
      </c>
    </row>
    <row r="5796">
      <c r="F5796" s="8" t="n"/>
      <c r="G5796" s="8">
        <f>IF(E5796="","",E5796*F5796)</f>
        <v/>
      </c>
      <c r="H5796" s="8">
        <f>IF(G5796="","",G5796-I5796)</f>
        <v/>
      </c>
      <c r="I5796" s="8">
        <f>IF(D5796="","",VLOOKUP(D5796, RECETTES!B:G, 6, FALSE)*E5796)</f>
        <v/>
      </c>
      <c r="J5796" s="8">
        <f>IF(G5796="","",G5796*0.20)</f>
        <v/>
      </c>
      <c r="K5796" s="8">
        <f>IF(G5796="","",G5796+J5796)</f>
        <v/>
      </c>
    </row>
    <row r="5797">
      <c r="F5797" s="8" t="n"/>
      <c r="G5797" s="8">
        <f>IF(E5797="","",E5797*F5797)</f>
        <v/>
      </c>
      <c r="H5797" s="8">
        <f>IF(G5797="","",G5797-I5797)</f>
        <v/>
      </c>
      <c r="I5797" s="8">
        <f>IF(D5797="","",VLOOKUP(D5797, RECETTES!B:G, 6, FALSE)*E5797)</f>
        <v/>
      </c>
      <c r="J5797" s="8">
        <f>IF(G5797="","",G5797*0.20)</f>
        <v/>
      </c>
      <c r="K5797" s="8">
        <f>IF(G5797="","",G5797+J5797)</f>
        <v/>
      </c>
    </row>
    <row r="5798">
      <c r="F5798" s="8" t="n"/>
      <c r="G5798" s="8">
        <f>IF(E5798="","",E5798*F5798)</f>
        <v/>
      </c>
      <c r="H5798" s="8">
        <f>IF(G5798="","",G5798-I5798)</f>
        <v/>
      </c>
      <c r="I5798" s="8">
        <f>IF(D5798="","",VLOOKUP(D5798, RECETTES!B:G, 6, FALSE)*E5798)</f>
        <v/>
      </c>
      <c r="J5798" s="8">
        <f>IF(G5798="","",G5798*0.20)</f>
        <v/>
      </c>
      <c r="K5798" s="8">
        <f>IF(G5798="","",G5798+J5798)</f>
        <v/>
      </c>
    </row>
    <row r="5799">
      <c r="F5799" s="8" t="n"/>
      <c r="G5799" s="8">
        <f>IF(E5799="","",E5799*F5799)</f>
        <v/>
      </c>
      <c r="H5799" s="8">
        <f>IF(G5799="","",G5799-I5799)</f>
        <v/>
      </c>
      <c r="I5799" s="8">
        <f>IF(D5799="","",VLOOKUP(D5799, RECETTES!B:G, 6, FALSE)*E5799)</f>
        <v/>
      </c>
      <c r="J5799" s="8">
        <f>IF(G5799="","",G5799*0.20)</f>
        <v/>
      </c>
      <c r="K5799" s="8">
        <f>IF(G5799="","",G5799+J5799)</f>
        <v/>
      </c>
    </row>
    <row r="5800">
      <c r="F5800" s="8" t="n"/>
      <c r="G5800" s="8">
        <f>IF(E5800="","",E5800*F5800)</f>
        <v/>
      </c>
      <c r="H5800" s="8">
        <f>IF(G5800="","",G5800-I5800)</f>
        <v/>
      </c>
      <c r="I5800" s="8">
        <f>IF(D5800="","",VLOOKUP(D5800, RECETTES!B:G, 6, FALSE)*E5800)</f>
        <v/>
      </c>
      <c r="J5800" s="8">
        <f>IF(G5800="","",G5800*0.20)</f>
        <v/>
      </c>
      <c r="K5800" s="8">
        <f>IF(G5800="","",G5800+J5800)</f>
        <v/>
      </c>
    </row>
    <row r="5801">
      <c r="F5801" s="8" t="n"/>
      <c r="G5801" s="8">
        <f>IF(E5801="","",E5801*F5801)</f>
        <v/>
      </c>
      <c r="H5801" s="8">
        <f>IF(G5801="","",G5801-I5801)</f>
        <v/>
      </c>
      <c r="I5801" s="8">
        <f>IF(D5801="","",VLOOKUP(D5801, RECETTES!B:G, 6, FALSE)*E5801)</f>
        <v/>
      </c>
      <c r="J5801" s="8">
        <f>IF(G5801="","",G5801*0.20)</f>
        <v/>
      </c>
      <c r="K5801" s="8">
        <f>IF(G5801="","",G5801+J5801)</f>
        <v/>
      </c>
    </row>
    <row r="5802">
      <c r="F5802" s="8" t="n"/>
      <c r="G5802" s="8">
        <f>IF(E5802="","",E5802*F5802)</f>
        <v/>
      </c>
      <c r="H5802" s="8">
        <f>IF(G5802="","",G5802-I5802)</f>
        <v/>
      </c>
      <c r="I5802" s="8">
        <f>IF(D5802="","",VLOOKUP(D5802, RECETTES!B:G, 6, FALSE)*E5802)</f>
        <v/>
      </c>
      <c r="J5802" s="8">
        <f>IF(G5802="","",G5802*0.20)</f>
        <v/>
      </c>
      <c r="K5802" s="8">
        <f>IF(G5802="","",G5802+J5802)</f>
        <v/>
      </c>
    </row>
    <row r="5803">
      <c r="F5803" s="8" t="n"/>
      <c r="G5803" s="8">
        <f>IF(E5803="","",E5803*F5803)</f>
        <v/>
      </c>
      <c r="H5803" s="8">
        <f>IF(G5803="","",G5803-I5803)</f>
        <v/>
      </c>
      <c r="I5803" s="8">
        <f>IF(D5803="","",VLOOKUP(D5803, RECETTES!B:G, 6, FALSE)*E5803)</f>
        <v/>
      </c>
      <c r="J5803" s="8">
        <f>IF(G5803="","",G5803*0.20)</f>
        <v/>
      </c>
      <c r="K5803" s="8">
        <f>IF(G5803="","",G5803+J5803)</f>
        <v/>
      </c>
    </row>
    <row r="5804">
      <c r="F5804" s="8" t="n"/>
      <c r="G5804" s="8">
        <f>IF(E5804="","",E5804*F5804)</f>
        <v/>
      </c>
      <c r="H5804" s="8">
        <f>IF(G5804="","",G5804-I5804)</f>
        <v/>
      </c>
      <c r="I5804" s="8">
        <f>IF(D5804="","",VLOOKUP(D5804, RECETTES!B:G, 6, FALSE)*E5804)</f>
        <v/>
      </c>
      <c r="J5804" s="8">
        <f>IF(G5804="","",G5804*0.20)</f>
        <v/>
      </c>
      <c r="K5804" s="8">
        <f>IF(G5804="","",G5804+J5804)</f>
        <v/>
      </c>
    </row>
    <row r="5805">
      <c r="F5805" s="8" t="n"/>
      <c r="G5805" s="8">
        <f>IF(E5805="","",E5805*F5805)</f>
        <v/>
      </c>
      <c r="H5805" s="8">
        <f>IF(G5805="","",G5805-I5805)</f>
        <v/>
      </c>
      <c r="I5805" s="8">
        <f>IF(D5805="","",VLOOKUP(D5805, RECETTES!B:G, 6, FALSE)*E5805)</f>
        <v/>
      </c>
      <c r="J5805" s="8">
        <f>IF(G5805="","",G5805*0.20)</f>
        <v/>
      </c>
      <c r="K5805" s="8">
        <f>IF(G5805="","",G5805+J5805)</f>
        <v/>
      </c>
    </row>
    <row r="5806">
      <c r="F5806" s="8" t="n"/>
      <c r="G5806" s="8">
        <f>IF(E5806="","",E5806*F5806)</f>
        <v/>
      </c>
      <c r="H5806" s="8">
        <f>IF(G5806="","",G5806-I5806)</f>
        <v/>
      </c>
      <c r="I5806" s="8">
        <f>IF(D5806="","",VLOOKUP(D5806, RECETTES!B:G, 6, FALSE)*E5806)</f>
        <v/>
      </c>
      <c r="J5806" s="8">
        <f>IF(G5806="","",G5806*0.20)</f>
        <v/>
      </c>
      <c r="K5806" s="8">
        <f>IF(G5806="","",G5806+J5806)</f>
        <v/>
      </c>
    </row>
    <row r="5807">
      <c r="F5807" s="8" t="n"/>
      <c r="G5807" s="8">
        <f>IF(E5807="","",E5807*F5807)</f>
        <v/>
      </c>
      <c r="H5807" s="8">
        <f>IF(G5807="","",G5807-I5807)</f>
        <v/>
      </c>
      <c r="I5807" s="8">
        <f>IF(D5807="","",VLOOKUP(D5807, RECETTES!B:G, 6, FALSE)*E5807)</f>
        <v/>
      </c>
      <c r="J5807" s="8">
        <f>IF(G5807="","",G5807*0.20)</f>
        <v/>
      </c>
      <c r="K5807" s="8">
        <f>IF(G5807="","",G5807+J5807)</f>
        <v/>
      </c>
    </row>
    <row r="5808">
      <c r="F5808" s="8" t="n"/>
      <c r="G5808" s="8">
        <f>IF(E5808="","",E5808*F5808)</f>
        <v/>
      </c>
      <c r="H5808" s="8">
        <f>IF(G5808="","",G5808-I5808)</f>
        <v/>
      </c>
      <c r="I5808" s="8">
        <f>IF(D5808="","",VLOOKUP(D5808, RECETTES!B:G, 6, FALSE)*E5808)</f>
        <v/>
      </c>
      <c r="J5808" s="8">
        <f>IF(G5808="","",G5808*0.20)</f>
        <v/>
      </c>
      <c r="K5808" s="8">
        <f>IF(G5808="","",G5808+J5808)</f>
        <v/>
      </c>
    </row>
    <row r="5809">
      <c r="F5809" s="8" t="n"/>
      <c r="G5809" s="8">
        <f>IF(E5809="","",E5809*F5809)</f>
        <v/>
      </c>
      <c r="H5809" s="8">
        <f>IF(G5809="","",G5809-I5809)</f>
        <v/>
      </c>
      <c r="I5809" s="8">
        <f>IF(D5809="","",VLOOKUP(D5809, RECETTES!B:G, 6, FALSE)*E5809)</f>
        <v/>
      </c>
      <c r="J5809" s="8">
        <f>IF(G5809="","",G5809*0.20)</f>
        <v/>
      </c>
      <c r="K5809" s="8">
        <f>IF(G5809="","",G5809+J5809)</f>
        <v/>
      </c>
    </row>
    <row r="5810">
      <c r="F5810" s="8" t="n"/>
      <c r="G5810" s="8">
        <f>IF(E5810="","",E5810*F5810)</f>
        <v/>
      </c>
      <c r="H5810" s="8">
        <f>IF(G5810="","",G5810-I5810)</f>
        <v/>
      </c>
      <c r="I5810" s="8">
        <f>IF(D5810="","",VLOOKUP(D5810, RECETTES!B:G, 6, FALSE)*E5810)</f>
        <v/>
      </c>
      <c r="J5810" s="8">
        <f>IF(G5810="","",G5810*0.20)</f>
        <v/>
      </c>
      <c r="K5810" s="8">
        <f>IF(G5810="","",G5810+J5810)</f>
        <v/>
      </c>
    </row>
    <row r="5811">
      <c r="F5811" s="8" t="n"/>
      <c r="G5811" s="8">
        <f>IF(E5811="","",E5811*F5811)</f>
        <v/>
      </c>
      <c r="H5811" s="8">
        <f>IF(G5811="","",G5811-I5811)</f>
        <v/>
      </c>
      <c r="I5811" s="8">
        <f>IF(D5811="","",VLOOKUP(D5811, RECETTES!B:G, 6, FALSE)*E5811)</f>
        <v/>
      </c>
      <c r="J5811" s="8">
        <f>IF(G5811="","",G5811*0.20)</f>
        <v/>
      </c>
      <c r="K5811" s="8">
        <f>IF(G5811="","",G5811+J5811)</f>
        <v/>
      </c>
    </row>
    <row r="5812">
      <c r="F5812" s="8" t="n"/>
      <c r="G5812" s="8">
        <f>IF(E5812="","",E5812*F5812)</f>
        <v/>
      </c>
      <c r="H5812" s="8">
        <f>IF(G5812="","",G5812-I5812)</f>
        <v/>
      </c>
      <c r="I5812" s="8">
        <f>IF(D5812="","",VLOOKUP(D5812, RECETTES!B:G, 6, FALSE)*E5812)</f>
        <v/>
      </c>
      <c r="J5812" s="8">
        <f>IF(G5812="","",G5812*0.20)</f>
        <v/>
      </c>
      <c r="K5812" s="8">
        <f>IF(G5812="","",G5812+J5812)</f>
        <v/>
      </c>
    </row>
    <row r="5813">
      <c r="F5813" s="8" t="n"/>
      <c r="G5813" s="8">
        <f>IF(E5813="","",E5813*F5813)</f>
        <v/>
      </c>
      <c r="H5813" s="8">
        <f>IF(G5813="","",G5813-I5813)</f>
        <v/>
      </c>
      <c r="I5813" s="8">
        <f>IF(D5813="","",VLOOKUP(D5813, RECETTES!B:G, 6, FALSE)*E5813)</f>
        <v/>
      </c>
      <c r="J5813" s="8">
        <f>IF(G5813="","",G5813*0.20)</f>
        <v/>
      </c>
      <c r="K5813" s="8">
        <f>IF(G5813="","",G5813+J5813)</f>
        <v/>
      </c>
    </row>
    <row r="5814">
      <c r="F5814" s="8" t="n"/>
      <c r="G5814" s="8">
        <f>IF(E5814="","",E5814*F5814)</f>
        <v/>
      </c>
      <c r="H5814" s="8">
        <f>IF(G5814="","",G5814-I5814)</f>
        <v/>
      </c>
      <c r="I5814" s="8">
        <f>IF(D5814="","",VLOOKUP(D5814, RECETTES!B:G, 6, FALSE)*E5814)</f>
        <v/>
      </c>
      <c r="J5814" s="8">
        <f>IF(G5814="","",G5814*0.20)</f>
        <v/>
      </c>
      <c r="K5814" s="8">
        <f>IF(G5814="","",G5814+J5814)</f>
        <v/>
      </c>
    </row>
    <row r="5815">
      <c r="F5815" s="8" t="n"/>
      <c r="G5815" s="8">
        <f>IF(E5815="","",E5815*F5815)</f>
        <v/>
      </c>
      <c r="H5815" s="8">
        <f>IF(G5815="","",G5815-I5815)</f>
        <v/>
      </c>
      <c r="I5815" s="8">
        <f>IF(D5815="","",VLOOKUP(D5815, RECETTES!B:G, 6, FALSE)*E5815)</f>
        <v/>
      </c>
      <c r="J5815" s="8">
        <f>IF(G5815="","",G5815*0.20)</f>
        <v/>
      </c>
      <c r="K5815" s="8">
        <f>IF(G5815="","",G5815+J5815)</f>
        <v/>
      </c>
    </row>
    <row r="5816">
      <c r="F5816" s="8" t="n"/>
      <c r="G5816" s="8">
        <f>IF(E5816="","",E5816*F5816)</f>
        <v/>
      </c>
      <c r="H5816" s="8">
        <f>IF(G5816="","",G5816-I5816)</f>
        <v/>
      </c>
      <c r="I5816" s="8">
        <f>IF(D5816="","",VLOOKUP(D5816, RECETTES!B:G, 6, FALSE)*E5816)</f>
        <v/>
      </c>
      <c r="J5816" s="8">
        <f>IF(G5816="","",G5816*0.20)</f>
        <v/>
      </c>
      <c r="K5816" s="8">
        <f>IF(G5816="","",G5816+J5816)</f>
        <v/>
      </c>
    </row>
    <row r="5817">
      <c r="F5817" s="8" t="n"/>
      <c r="G5817" s="8">
        <f>IF(E5817="","",E5817*F5817)</f>
        <v/>
      </c>
      <c r="H5817" s="8">
        <f>IF(G5817="","",G5817-I5817)</f>
        <v/>
      </c>
      <c r="I5817" s="8">
        <f>IF(D5817="","",VLOOKUP(D5817, RECETTES!B:G, 6, FALSE)*E5817)</f>
        <v/>
      </c>
      <c r="J5817" s="8">
        <f>IF(G5817="","",G5817*0.20)</f>
        <v/>
      </c>
      <c r="K5817" s="8">
        <f>IF(G5817="","",G5817+J5817)</f>
        <v/>
      </c>
    </row>
    <row r="5818">
      <c r="F5818" s="8" t="n"/>
      <c r="G5818" s="8">
        <f>IF(E5818="","",E5818*F5818)</f>
        <v/>
      </c>
      <c r="H5818" s="8">
        <f>IF(G5818="","",G5818-I5818)</f>
        <v/>
      </c>
      <c r="I5818" s="8">
        <f>IF(D5818="","",VLOOKUP(D5818, RECETTES!B:G, 6, FALSE)*E5818)</f>
        <v/>
      </c>
      <c r="J5818" s="8">
        <f>IF(G5818="","",G5818*0.20)</f>
        <v/>
      </c>
      <c r="K5818" s="8">
        <f>IF(G5818="","",G5818+J5818)</f>
        <v/>
      </c>
    </row>
    <row r="5819">
      <c r="F5819" s="8" t="n"/>
      <c r="G5819" s="8">
        <f>IF(E5819="","",E5819*F5819)</f>
        <v/>
      </c>
      <c r="H5819" s="8">
        <f>IF(G5819="","",G5819-I5819)</f>
        <v/>
      </c>
      <c r="I5819" s="8">
        <f>IF(D5819="","",VLOOKUP(D5819, RECETTES!B:G, 6, FALSE)*E5819)</f>
        <v/>
      </c>
      <c r="J5819" s="8">
        <f>IF(G5819="","",G5819*0.20)</f>
        <v/>
      </c>
      <c r="K5819" s="8">
        <f>IF(G5819="","",G5819+J5819)</f>
        <v/>
      </c>
    </row>
    <row r="5820">
      <c r="F5820" s="8" t="n"/>
      <c r="G5820" s="8">
        <f>IF(E5820="","",E5820*F5820)</f>
        <v/>
      </c>
      <c r="H5820" s="8">
        <f>IF(G5820="","",G5820-I5820)</f>
        <v/>
      </c>
      <c r="I5820" s="8">
        <f>IF(D5820="","",VLOOKUP(D5820, RECETTES!B:G, 6, FALSE)*E5820)</f>
        <v/>
      </c>
      <c r="J5820" s="8">
        <f>IF(G5820="","",G5820*0.20)</f>
        <v/>
      </c>
      <c r="K5820" s="8">
        <f>IF(G5820="","",G5820+J5820)</f>
        <v/>
      </c>
    </row>
    <row r="5821">
      <c r="F5821" s="8" t="n"/>
      <c r="G5821" s="8">
        <f>IF(E5821="","",E5821*F5821)</f>
        <v/>
      </c>
      <c r="H5821" s="8">
        <f>IF(G5821="","",G5821-I5821)</f>
        <v/>
      </c>
      <c r="I5821" s="8">
        <f>IF(D5821="","",VLOOKUP(D5821, RECETTES!B:G, 6, FALSE)*E5821)</f>
        <v/>
      </c>
      <c r="J5821" s="8">
        <f>IF(G5821="","",G5821*0.20)</f>
        <v/>
      </c>
      <c r="K5821" s="8">
        <f>IF(G5821="","",G5821+J5821)</f>
        <v/>
      </c>
    </row>
    <row r="5822">
      <c r="F5822" s="8" t="n"/>
      <c r="G5822" s="8">
        <f>IF(E5822="","",E5822*F5822)</f>
        <v/>
      </c>
      <c r="H5822" s="8">
        <f>IF(G5822="","",G5822-I5822)</f>
        <v/>
      </c>
      <c r="I5822" s="8">
        <f>IF(D5822="","",VLOOKUP(D5822, RECETTES!B:G, 6, FALSE)*E5822)</f>
        <v/>
      </c>
      <c r="J5822" s="8">
        <f>IF(G5822="","",G5822*0.20)</f>
        <v/>
      </c>
      <c r="K5822" s="8">
        <f>IF(G5822="","",G5822+J5822)</f>
        <v/>
      </c>
    </row>
    <row r="5823">
      <c r="F5823" s="8" t="n"/>
      <c r="G5823" s="8">
        <f>IF(E5823="","",E5823*F5823)</f>
        <v/>
      </c>
      <c r="H5823" s="8">
        <f>IF(G5823="","",G5823-I5823)</f>
        <v/>
      </c>
      <c r="I5823" s="8">
        <f>IF(D5823="","",VLOOKUP(D5823, RECETTES!B:G, 6, FALSE)*E5823)</f>
        <v/>
      </c>
      <c r="J5823" s="8">
        <f>IF(G5823="","",G5823*0.20)</f>
        <v/>
      </c>
      <c r="K5823" s="8">
        <f>IF(G5823="","",G5823+J5823)</f>
        <v/>
      </c>
    </row>
    <row r="5824">
      <c r="F5824" s="8" t="n"/>
      <c r="G5824" s="8">
        <f>IF(E5824="","",E5824*F5824)</f>
        <v/>
      </c>
      <c r="H5824" s="8">
        <f>IF(G5824="","",G5824-I5824)</f>
        <v/>
      </c>
      <c r="I5824" s="8">
        <f>IF(D5824="","",VLOOKUP(D5824, RECETTES!B:G, 6, FALSE)*E5824)</f>
        <v/>
      </c>
      <c r="J5824" s="8">
        <f>IF(G5824="","",G5824*0.20)</f>
        <v/>
      </c>
      <c r="K5824" s="8">
        <f>IF(G5824="","",G5824+J5824)</f>
        <v/>
      </c>
    </row>
    <row r="5825">
      <c r="F5825" s="8" t="n"/>
      <c r="G5825" s="8">
        <f>IF(E5825="","",E5825*F5825)</f>
        <v/>
      </c>
      <c r="H5825" s="8">
        <f>IF(G5825="","",G5825-I5825)</f>
        <v/>
      </c>
      <c r="I5825" s="8">
        <f>IF(D5825="","",VLOOKUP(D5825, RECETTES!B:G, 6, FALSE)*E5825)</f>
        <v/>
      </c>
      <c r="J5825" s="8">
        <f>IF(G5825="","",G5825*0.20)</f>
        <v/>
      </c>
      <c r="K5825" s="8">
        <f>IF(G5825="","",G5825+J5825)</f>
        <v/>
      </c>
    </row>
    <row r="5826">
      <c r="F5826" s="8" t="n"/>
      <c r="G5826" s="8">
        <f>IF(E5826="","",E5826*F5826)</f>
        <v/>
      </c>
      <c r="H5826" s="8">
        <f>IF(G5826="","",G5826-I5826)</f>
        <v/>
      </c>
      <c r="I5826" s="8">
        <f>IF(D5826="","",VLOOKUP(D5826, RECETTES!B:G, 6, FALSE)*E5826)</f>
        <v/>
      </c>
      <c r="J5826" s="8">
        <f>IF(G5826="","",G5826*0.20)</f>
        <v/>
      </c>
      <c r="K5826" s="8">
        <f>IF(G5826="","",G5826+J5826)</f>
        <v/>
      </c>
    </row>
    <row r="5827">
      <c r="F5827" s="8" t="n"/>
      <c r="G5827" s="8">
        <f>IF(E5827="","",E5827*F5827)</f>
        <v/>
      </c>
      <c r="H5827" s="8">
        <f>IF(G5827="","",G5827-I5827)</f>
        <v/>
      </c>
      <c r="I5827" s="8">
        <f>IF(D5827="","",VLOOKUP(D5827, RECETTES!B:G, 6, FALSE)*E5827)</f>
        <v/>
      </c>
      <c r="J5827" s="8">
        <f>IF(G5827="","",G5827*0.20)</f>
        <v/>
      </c>
      <c r="K5827" s="8">
        <f>IF(G5827="","",G5827+J5827)</f>
        <v/>
      </c>
    </row>
    <row r="5828">
      <c r="F5828" s="8" t="n"/>
      <c r="G5828" s="8">
        <f>IF(E5828="","",E5828*F5828)</f>
        <v/>
      </c>
      <c r="H5828" s="8">
        <f>IF(G5828="","",G5828-I5828)</f>
        <v/>
      </c>
      <c r="I5828" s="8">
        <f>IF(D5828="","",VLOOKUP(D5828, RECETTES!B:G, 6, FALSE)*E5828)</f>
        <v/>
      </c>
      <c r="J5828" s="8">
        <f>IF(G5828="","",G5828*0.20)</f>
        <v/>
      </c>
      <c r="K5828" s="8">
        <f>IF(G5828="","",G5828+J5828)</f>
        <v/>
      </c>
    </row>
    <row r="5829">
      <c r="F5829" s="8" t="n"/>
      <c r="G5829" s="8">
        <f>IF(E5829="","",E5829*F5829)</f>
        <v/>
      </c>
      <c r="H5829" s="8">
        <f>IF(G5829="","",G5829-I5829)</f>
        <v/>
      </c>
      <c r="I5829" s="8">
        <f>IF(D5829="","",VLOOKUP(D5829, RECETTES!B:G, 6, FALSE)*E5829)</f>
        <v/>
      </c>
      <c r="J5829" s="8">
        <f>IF(G5829="","",G5829*0.20)</f>
        <v/>
      </c>
      <c r="K5829" s="8">
        <f>IF(G5829="","",G5829+J5829)</f>
        <v/>
      </c>
    </row>
    <row r="5830">
      <c r="F5830" s="8" t="n"/>
      <c r="G5830" s="8">
        <f>IF(E5830="","",E5830*F5830)</f>
        <v/>
      </c>
      <c r="H5830" s="8">
        <f>IF(G5830="","",G5830-I5830)</f>
        <v/>
      </c>
      <c r="I5830" s="8">
        <f>IF(D5830="","",VLOOKUP(D5830, RECETTES!B:G, 6, FALSE)*E5830)</f>
        <v/>
      </c>
      <c r="J5830" s="8">
        <f>IF(G5830="","",G5830*0.20)</f>
        <v/>
      </c>
      <c r="K5830" s="8">
        <f>IF(G5830="","",G5830+J5830)</f>
        <v/>
      </c>
    </row>
    <row r="5831">
      <c r="F5831" s="8" t="n"/>
      <c r="G5831" s="8">
        <f>IF(E5831="","",E5831*F5831)</f>
        <v/>
      </c>
      <c r="H5831" s="8">
        <f>IF(G5831="","",G5831-I5831)</f>
        <v/>
      </c>
      <c r="I5831" s="8">
        <f>IF(D5831="","",VLOOKUP(D5831, RECETTES!B:G, 6, FALSE)*E5831)</f>
        <v/>
      </c>
      <c r="J5831" s="8">
        <f>IF(G5831="","",G5831*0.20)</f>
        <v/>
      </c>
      <c r="K5831" s="8">
        <f>IF(G5831="","",G5831+J5831)</f>
        <v/>
      </c>
    </row>
    <row r="5832">
      <c r="F5832" s="8" t="n"/>
      <c r="G5832" s="8">
        <f>IF(E5832="","",E5832*F5832)</f>
        <v/>
      </c>
      <c r="H5832" s="8">
        <f>IF(G5832="","",G5832-I5832)</f>
        <v/>
      </c>
      <c r="I5832" s="8">
        <f>IF(D5832="","",VLOOKUP(D5832, RECETTES!B:G, 6, FALSE)*E5832)</f>
        <v/>
      </c>
      <c r="J5832" s="8">
        <f>IF(G5832="","",G5832*0.20)</f>
        <v/>
      </c>
      <c r="K5832" s="8">
        <f>IF(G5832="","",G5832+J5832)</f>
        <v/>
      </c>
    </row>
    <row r="5833">
      <c r="F5833" s="8" t="n"/>
      <c r="G5833" s="8">
        <f>IF(E5833="","",E5833*F5833)</f>
        <v/>
      </c>
      <c r="H5833" s="8">
        <f>IF(G5833="","",G5833-I5833)</f>
        <v/>
      </c>
      <c r="I5833" s="8">
        <f>IF(D5833="","",VLOOKUP(D5833, RECETTES!B:G, 6, FALSE)*E5833)</f>
        <v/>
      </c>
      <c r="J5833" s="8">
        <f>IF(G5833="","",G5833*0.20)</f>
        <v/>
      </c>
      <c r="K5833" s="8">
        <f>IF(G5833="","",G5833+J5833)</f>
        <v/>
      </c>
    </row>
    <row r="5834">
      <c r="F5834" s="8" t="n"/>
      <c r="G5834" s="8">
        <f>IF(E5834="","",E5834*F5834)</f>
        <v/>
      </c>
      <c r="H5834" s="8">
        <f>IF(G5834="","",G5834-I5834)</f>
        <v/>
      </c>
      <c r="I5834" s="8">
        <f>IF(D5834="","",VLOOKUP(D5834, RECETTES!B:G, 6, FALSE)*E5834)</f>
        <v/>
      </c>
      <c r="J5834" s="8">
        <f>IF(G5834="","",G5834*0.20)</f>
        <v/>
      </c>
      <c r="K5834" s="8">
        <f>IF(G5834="","",G5834+J5834)</f>
        <v/>
      </c>
    </row>
    <row r="5835">
      <c r="F5835" s="8" t="n"/>
      <c r="G5835" s="8">
        <f>IF(E5835="","",E5835*F5835)</f>
        <v/>
      </c>
      <c r="H5835" s="8">
        <f>IF(G5835="","",G5835-I5835)</f>
        <v/>
      </c>
      <c r="I5835" s="8">
        <f>IF(D5835="","",VLOOKUP(D5835, RECETTES!B:G, 6, FALSE)*E5835)</f>
        <v/>
      </c>
      <c r="J5835" s="8">
        <f>IF(G5835="","",G5835*0.20)</f>
        <v/>
      </c>
      <c r="K5835" s="8">
        <f>IF(G5835="","",G5835+J5835)</f>
        <v/>
      </c>
    </row>
    <row r="5836">
      <c r="F5836" s="8" t="n"/>
      <c r="G5836" s="8">
        <f>IF(E5836="","",E5836*F5836)</f>
        <v/>
      </c>
      <c r="H5836" s="8">
        <f>IF(G5836="","",G5836-I5836)</f>
        <v/>
      </c>
      <c r="I5836" s="8">
        <f>IF(D5836="","",VLOOKUP(D5836, RECETTES!B:G, 6, FALSE)*E5836)</f>
        <v/>
      </c>
      <c r="J5836" s="8">
        <f>IF(G5836="","",G5836*0.20)</f>
        <v/>
      </c>
      <c r="K5836" s="8">
        <f>IF(G5836="","",G5836+J5836)</f>
        <v/>
      </c>
    </row>
    <row r="5837">
      <c r="F5837" s="8" t="n"/>
      <c r="G5837" s="8">
        <f>IF(E5837="","",E5837*F5837)</f>
        <v/>
      </c>
      <c r="H5837" s="8">
        <f>IF(G5837="","",G5837-I5837)</f>
        <v/>
      </c>
      <c r="I5837" s="8">
        <f>IF(D5837="","",VLOOKUP(D5837, RECETTES!B:G, 6, FALSE)*E5837)</f>
        <v/>
      </c>
      <c r="J5837" s="8">
        <f>IF(G5837="","",G5837*0.20)</f>
        <v/>
      </c>
      <c r="K5837" s="8">
        <f>IF(G5837="","",G5837+J5837)</f>
        <v/>
      </c>
    </row>
    <row r="5838">
      <c r="F5838" s="8" t="n"/>
      <c r="G5838" s="8">
        <f>IF(E5838="","",E5838*F5838)</f>
        <v/>
      </c>
      <c r="H5838" s="8">
        <f>IF(G5838="","",G5838-I5838)</f>
        <v/>
      </c>
      <c r="I5838" s="8">
        <f>IF(D5838="","",VLOOKUP(D5838, RECETTES!B:G, 6, FALSE)*E5838)</f>
        <v/>
      </c>
      <c r="J5838" s="8">
        <f>IF(G5838="","",G5838*0.20)</f>
        <v/>
      </c>
      <c r="K5838" s="8">
        <f>IF(G5838="","",G5838+J5838)</f>
        <v/>
      </c>
    </row>
    <row r="5839">
      <c r="F5839" s="8" t="n"/>
      <c r="G5839" s="8">
        <f>IF(E5839="","",E5839*F5839)</f>
        <v/>
      </c>
      <c r="H5839" s="8">
        <f>IF(G5839="","",G5839-I5839)</f>
        <v/>
      </c>
      <c r="I5839" s="8">
        <f>IF(D5839="","",VLOOKUP(D5839, RECETTES!B:G, 6, FALSE)*E5839)</f>
        <v/>
      </c>
      <c r="J5839" s="8">
        <f>IF(G5839="","",G5839*0.20)</f>
        <v/>
      </c>
      <c r="K5839" s="8">
        <f>IF(G5839="","",G5839+J5839)</f>
        <v/>
      </c>
    </row>
    <row r="5840">
      <c r="F5840" s="8" t="n"/>
      <c r="G5840" s="8">
        <f>IF(E5840="","",E5840*F5840)</f>
        <v/>
      </c>
      <c r="H5840" s="8">
        <f>IF(G5840="","",G5840-I5840)</f>
        <v/>
      </c>
      <c r="I5840" s="8">
        <f>IF(D5840="","",VLOOKUP(D5840, RECETTES!B:G, 6, FALSE)*E5840)</f>
        <v/>
      </c>
      <c r="J5840" s="8">
        <f>IF(G5840="","",G5840*0.20)</f>
        <v/>
      </c>
      <c r="K5840" s="8">
        <f>IF(G5840="","",G5840+J5840)</f>
        <v/>
      </c>
    </row>
    <row r="5841">
      <c r="F5841" s="8" t="n"/>
      <c r="G5841" s="8">
        <f>IF(E5841="","",E5841*F5841)</f>
        <v/>
      </c>
      <c r="H5841" s="8">
        <f>IF(G5841="","",G5841-I5841)</f>
        <v/>
      </c>
      <c r="I5841" s="8">
        <f>IF(D5841="","",VLOOKUP(D5841, RECETTES!B:G, 6, FALSE)*E5841)</f>
        <v/>
      </c>
      <c r="J5841" s="8">
        <f>IF(G5841="","",G5841*0.20)</f>
        <v/>
      </c>
      <c r="K5841" s="8">
        <f>IF(G5841="","",G5841+J5841)</f>
        <v/>
      </c>
    </row>
    <row r="5842">
      <c r="F5842" s="8" t="n"/>
      <c r="G5842" s="8">
        <f>IF(E5842="","",E5842*F5842)</f>
        <v/>
      </c>
      <c r="H5842" s="8">
        <f>IF(G5842="","",G5842-I5842)</f>
        <v/>
      </c>
      <c r="I5842" s="8">
        <f>IF(D5842="","",VLOOKUP(D5842, RECETTES!B:G, 6, FALSE)*E5842)</f>
        <v/>
      </c>
      <c r="J5842" s="8">
        <f>IF(G5842="","",G5842*0.20)</f>
        <v/>
      </c>
      <c r="K5842" s="8">
        <f>IF(G5842="","",G5842+J5842)</f>
        <v/>
      </c>
    </row>
    <row r="5843">
      <c r="F5843" s="8" t="n"/>
      <c r="G5843" s="8">
        <f>IF(E5843="","",E5843*F5843)</f>
        <v/>
      </c>
      <c r="H5843" s="8">
        <f>IF(G5843="","",G5843-I5843)</f>
        <v/>
      </c>
      <c r="I5843" s="8">
        <f>IF(D5843="","",VLOOKUP(D5843, RECETTES!B:G, 6, FALSE)*E5843)</f>
        <v/>
      </c>
      <c r="J5843" s="8">
        <f>IF(G5843="","",G5843*0.20)</f>
        <v/>
      </c>
      <c r="K5843" s="8">
        <f>IF(G5843="","",G5843+J5843)</f>
        <v/>
      </c>
    </row>
    <row r="5844">
      <c r="F5844" s="8" t="n"/>
      <c r="G5844" s="8">
        <f>IF(E5844="","",E5844*F5844)</f>
        <v/>
      </c>
      <c r="H5844" s="8">
        <f>IF(G5844="","",G5844-I5844)</f>
        <v/>
      </c>
      <c r="I5844" s="8">
        <f>IF(D5844="","",VLOOKUP(D5844, RECETTES!B:G, 6, FALSE)*E5844)</f>
        <v/>
      </c>
      <c r="J5844" s="8">
        <f>IF(G5844="","",G5844*0.20)</f>
        <v/>
      </c>
      <c r="K5844" s="8">
        <f>IF(G5844="","",G5844+J5844)</f>
        <v/>
      </c>
    </row>
    <row r="5845">
      <c r="F5845" s="8" t="n"/>
      <c r="G5845" s="8">
        <f>IF(E5845="","",E5845*F5845)</f>
        <v/>
      </c>
      <c r="H5845" s="8">
        <f>IF(G5845="","",G5845-I5845)</f>
        <v/>
      </c>
      <c r="I5845" s="8">
        <f>IF(D5845="","",VLOOKUP(D5845, RECETTES!B:G, 6, FALSE)*E5845)</f>
        <v/>
      </c>
      <c r="J5845" s="8">
        <f>IF(G5845="","",G5845*0.20)</f>
        <v/>
      </c>
      <c r="K5845" s="8">
        <f>IF(G5845="","",G5845+J5845)</f>
        <v/>
      </c>
    </row>
    <row r="5846">
      <c r="F5846" s="8" t="n"/>
      <c r="G5846" s="8">
        <f>IF(E5846="","",E5846*F5846)</f>
        <v/>
      </c>
      <c r="H5846" s="8">
        <f>IF(G5846="","",G5846-I5846)</f>
        <v/>
      </c>
      <c r="I5846" s="8">
        <f>IF(D5846="","",VLOOKUP(D5846, RECETTES!B:G, 6, FALSE)*E5846)</f>
        <v/>
      </c>
      <c r="J5846" s="8">
        <f>IF(G5846="","",G5846*0.20)</f>
        <v/>
      </c>
      <c r="K5846" s="8">
        <f>IF(G5846="","",G5846+J5846)</f>
        <v/>
      </c>
    </row>
    <row r="5847">
      <c r="F5847" s="8" t="n"/>
      <c r="G5847" s="8">
        <f>IF(E5847="","",E5847*F5847)</f>
        <v/>
      </c>
      <c r="H5847" s="8">
        <f>IF(G5847="","",G5847-I5847)</f>
        <v/>
      </c>
      <c r="I5847" s="8">
        <f>IF(D5847="","",VLOOKUP(D5847, RECETTES!B:G, 6, FALSE)*E5847)</f>
        <v/>
      </c>
      <c r="J5847" s="8">
        <f>IF(G5847="","",G5847*0.20)</f>
        <v/>
      </c>
      <c r="K5847" s="8">
        <f>IF(G5847="","",G5847+J5847)</f>
        <v/>
      </c>
    </row>
    <row r="5848">
      <c r="F5848" s="8" t="n"/>
      <c r="G5848" s="8">
        <f>IF(E5848="","",E5848*F5848)</f>
        <v/>
      </c>
      <c r="H5848" s="8">
        <f>IF(G5848="","",G5848-I5848)</f>
        <v/>
      </c>
      <c r="I5848" s="8">
        <f>IF(D5848="","",VLOOKUP(D5848, RECETTES!B:G, 6, FALSE)*E5848)</f>
        <v/>
      </c>
      <c r="J5848" s="8">
        <f>IF(G5848="","",G5848*0.20)</f>
        <v/>
      </c>
      <c r="K5848" s="8">
        <f>IF(G5848="","",G5848+J5848)</f>
        <v/>
      </c>
    </row>
    <row r="5849">
      <c r="F5849" s="8" t="n"/>
      <c r="G5849" s="8">
        <f>IF(E5849="","",E5849*F5849)</f>
        <v/>
      </c>
      <c r="H5849" s="8">
        <f>IF(G5849="","",G5849-I5849)</f>
        <v/>
      </c>
      <c r="I5849" s="8">
        <f>IF(D5849="","",VLOOKUP(D5849, RECETTES!B:G, 6, FALSE)*E5849)</f>
        <v/>
      </c>
      <c r="J5849" s="8">
        <f>IF(G5849="","",G5849*0.20)</f>
        <v/>
      </c>
      <c r="K5849" s="8">
        <f>IF(G5849="","",G5849+J5849)</f>
        <v/>
      </c>
    </row>
    <row r="5850">
      <c r="F5850" s="8" t="n"/>
      <c r="G5850" s="8">
        <f>IF(E5850="","",E5850*F5850)</f>
        <v/>
      </c>
      <c r="H5850" s="8">
        <f>IF(G5850="","",G5850-I5850)</f>
        <v/>
      </c>
      <c r="I5850" s="8">
        <f>IF(D5850="","",VLOOKUP(D5850, RECETTES!B:G, 6, FALSE)*E5850)</f>
        <v/>
      </c>
      <c r="J5850" s="8">
        <f>IF(G5850="","",G5850*0.20)</f>
        <v/>
      </c>
      <c r="K5850" s="8">
        <f>IF(G5850="","",G5850+J5850)</f>
        <v/>
      </c>
    </row>
    <row r="5851">
      <c r="F5851" s="8" t="n"/>
      <c r="G5851" s="8">
        <f>IF(E5851="","",E5851*F5851)</f>
        <v/>
      </c>
      <c r="H5851" s="8">
        <f>IF(G5851="","",G5851-I5851)</f>
        <v/>
      </c>
      <c r="I5851" s="8">
        <f>IF(D5851="","",VLOOKUP(D5851, RECETTES!B:G, 6, FALSE)*E5851)</f>
        <v/>
      </c>
      <c r="J5851" s="8">
        <f>IF(G5851="","",G5851*0.20)</f>
        <v/>
      </c>
      <c r="K5851" s="8">
        <f>IF(G5851="","",G5851+J5851)</f>
        <v/>
      </c>
    </row>
    <row r="5852">
      <c r="F5852" s="8" t="n"/>
      <c r="G5852" s="8">
        <f>IF(E5852="","",E5852*F5852)</f>
        <v/>
      </c>
      <c r="H5852" s="8">
        <f>IF(G5852="","",G5852-I5852)</f>
        <v/>
      </c>
      <c r="I5852" s="8">
        <f>IF(D5852="","",VLOOKUP(D5852, RECETTES!B:G, 6, FALSE)*E5852)</f>
        <v/>
      </c>
      <c r="J5852" s="8">
        <f>IF(G5852="","",G5852*0.20)</f>
        <v/>
      </c>
      <c r="K5852" s="8">
        <f>IF(G5852="","",G5852+J5852)</f>
        <v/>
      </c>
    </row>
    <row r="5853">
      <c r="F5853" s="8" t="n"/>
      <c r="G5853" s="8">
        <f>IF(E5853="","",E5853*F5853)</f>
        <v/>
      </c>
      <c r="H5853" s="8">
        <f>IF(G5853="","",G5853-I5853)</f>
        <v/>
      </c>
      <c r="I5853" s="8">
        <f>IF(D5853="","",VLOOKUP(D5853, RECETTES!B:G, 6, FALSE)*E5853)</f>
        <v/>
      </c>
      <c r="J5853" s="8">
        <f>IF(G5853="","",G5853*0.20)</f>
        <v/>
      </c>
      <c r="K5853" s="8">
        <f>IF(G5853="","",G5853+J5853)</f>
        <v/>
      </c>
    </row>
    <row r="5854">
      <c r="F5854" s="8" t="n"/>
      <c r="G5854" s="8">
        <f>IF(E5854="","",E5854*F5854)</f>
        <v/>
      </c>
      <c r="H5854" s="8">
        <f>IF(G5854="","",G5854-I5854)</f>
        <v/>
      </c>
      <c r="I5854" s="8">
        <f>IF(D5854="","",VLOOKUP(D5854, RECETTES!B:G, 6, FALSE)*E5854)</f>
        <v/>
      </c>
      <c r="J5854" s="8">
        <f>IF(G5854="","",G5854*0.20)</f>
        <v/>
      </c>
      <c r="K5854" s="8">
        <f>IF(G5854="","",G5854+J5854)</f>
        <v/>
      </c>
    </row>
    <row r="5855">
      <c r="F5855" s="8" t="n"/>
      <c r="G5855" s="8">
        <f>IF(E5855="","",E5855*F5855)</f>
        <v/>
      </c>
      <c r="H5855" s="8">
        <f>IF(G5855="","",G5855-I5855)</f>
        <v/>
      </c>
      <c r="I5855" s="8">
        <f>IF(D5855="","",VLOOKUP(D5855, RECETTES!B:G, 6, FALSE)*E5855)</f>
        <v/>
      </c>
      <c r="J5855" s="8">
        <f>IF(G5855="","",G5855*0.20)</f>
        <v/>
      </c>
      <c r="K5855" s="8">
        <f>IF(G5855="","",G5855+J5855)</f>
        <v/>
      </c>
    </row>
    <row r="5856">
      <c r="F5856" s="8" t="n"/>
      <c r="G5856" s="8">
        <f>IF(E5856="","",E5856*F5856)</f>
        <v/>
      </c>
      <c r="H5856" s="8">
        <f>IF(G5856="","",G5856-I5856)</f>
        <v/>
      </c>
      <c r="I5856" s="8">
        <f>IF(D5856="","",VLOOKUP(D5856, RECETTES!B:G, 6, FALSE)*E5856)</f>
        <v/>
      </c>
      <c r="J5856" s="8">
        <f>IF(G5856="","",G5856*0.20)</f>
        <v/>
      </c>
      <c r="K5856" s="8">
        <f>IF(G5856="","",G5856+J5856)</f>
        <v/>
      </c>
    </row>
    <row r="5857">
      <c r="F5857" s="8" t="n"/>
      <c r="G5857" s="8">
        <f>IF(E5857="","",E5857*F5857)</f>
        <v/>
      </c>
      <c r="H5857" s="8">
        <f>IF(G5857="","",G5857-I5857)</f>
        <v/>
      </c>
      <c r="I5857" s="8">
        <f>IF(D5857="","",VLOOKUP(D5857, RECETTES!B:G, 6, FALSE)*E5857)</f>
        <v/>
      </c>
      <c r="J5857" s="8">
        <f>IF(G5857="","",G5857*0.20)</f>
        <v/>
      </c>
      <c r="K5857" s="8">
        <f>IF(G5857="","",G5857+J5857)</f>
        <v/>
      </c>
    </row>
    <row r="5858">
      <c r="F5858" s="8" t="n"/>
      <c r="G5858" s="8">
        <f>IF(E5858="","",E5858*F5858)</f>
        <v/>
      </c>
      <c r="H5858" s="8">
        <f>IF(G5858="","",G5858-I5858)</f>
        <v/>
      </c>
      <c r="I5858" s="8">
        <f>IF(D5858="","",VLOOKUP(D5858, RECETTES!B:G, 6, FALSE)*E5858)</f>
        <v/>
      </c>
      <c r="J5858" s="8">
        <f>IF(G5858="","",G5858*0.20)</f>
        <v/>
      </c>
      <c r="K5858" s="8">
        <f>IF(G5858="","",G5858+J5858)</f>
        <v/>
      </c>
    </row>
    <row r="5859">
      <c r="F5859" s="8" t="n"/>
      <c r="G5859" s="8">
        <f>IF(E5859="","",E5859*F5859)</f>
        <v/>
      </c>
      <c r="H5859" s="8">
        <f>IF(G5859="","",G5859-I5859)</f>
        <v/>
      </c>
      <c r="I5859" s="8">
        <f>IF(D5859="","",VLOOKUP(D5859, RECETTES!B:G, 6, FALSE)*E5859)</f>
        <v/>
      </c>
      <c r="J5859" s="8">
        <f>IF(G5859="","",G5859*0.20)</f>
        <v/>
      </c>
      <c r="K5859" s="8">
        <f>IF(G5859="","",G5859+J5859)</f>
        <v/>
      </c>
    </row>
    <row r="5860">
      <c r="F5860" s="8" t="n"/>
      <c r="G5860" s="8">
        <f>IF(E5860="","",E5860*F5860)</f>
        <v/>
      </c>
      <c r="H5860" s="8">
        <f>IF(G5860="","",G5860-I5860)</f>
        <v/>
      </c>
      <c r="I5860" s="8">
        <f>IF(D5860="","",VLOOKUP(D5860, RECETTES!B:G, 6, FALSE)*E5860)</f>
        <v/>
      </c>
      <c r="J5860" s="8">
        <f>IF(G5860="","",G5860*0.20)</f>
        <v/>
      </c>
      <c r="K5860" s="8">
        <f>IF(G5860="","",G5860+J5860)</f>
        <v/>
      </c>
    </row>
    <row r="5861">
      <c r="F5861" s="8" t="n"/>
      <c r="G5861" s="8">
        <f>IF(E5861="","",E5861*F5861)</f>
        <v/>
      </c>
      <c r="H5861" s="8">
        <f>IF(G5861="","",G5861-I5861)</f>
        <v/>
      </c>
      <c r="I5861" s="8">
        <f>IF(D5861="","",VLOOKUP(D5861, RECETTES!B:G, 6, FALSE)*E5861)</f>
        <v/>
      </c>
      <c r="J5861" s="8">
        <f>IF(G5861="","",G5861*0.20)</f>
        <v/>
      </c>
      <c r="K5861" s="8">
        <f>IF(G5861="","",G5861+J5861)</f>
        <v/>
      </c>
    </row>
    <row r="5862">
      <c r="F5862" s="8" t="n"/>
      <c r="G5862" s="8">
        <f>IF(E5862="","",E5862*F5862)</f>
        <v/>
      </c>
      <c r="H5862" s="8">
        <f>IF(G5862="","",G5862-I5862)</f>
        <v/>
      </c>
      <c r="I5862" s="8">
        <f>IF(D5862="","",VLOOKUP(D5862, RECETTES!B:G, 6, FALSE)*E5862)</f>
        <v/>
      </c>
      <c r="J5862" s="8">
        <f>IF(G5862="","",G5862*0.20)</f>
        <v/>
      </c>
      <c r="K5862" s="8">
        <f>IF(G5862="","",G5862+J5862)</f>
        <v/>
      </c>
    </row>
    <row r="5863">
      <c r="F5863" s="8" t="n"/>
      <c r="G5863" s="8">
        <f>IF(E5863="","",E5863*F5863)</f>
        <v/>
      </c>
      <c r="H5863" s="8">
        <f>IF(G5863="","",G5863-I5863)</f>
        <v/>
      </c>
      <c r="I5863" s="8">
        <f>IF(D5863="","",VLOOKUP(D5863, RECETTES!B:G, 6, FALSE)*E5863)</f>
        <v/>
      </c>
      <c r="J5863" s="8">
        <f>IF(G5863="","",G5863*0.20)</f>
        <v/>
      </c>
      <c r="K5863" s="8">
        <f>IF(G5863="","",G5863+J5863)</f>
        <v/>
      </c>
    </row>
    <row r="5864">
      <c r="F5864" s="8" t="n"/>
      <c r="G5864" s="8">
        <f>IF(E5864="","",E5864*F5864)</f>
        <v/>
      </c>
      <c r="H5864" s="8">
        <f>IF(G5864="","",G5864-I5864)</f>
        <v/>
      </c>
      <c r="I5864" s="8">
        <f>IF(D5864="","",VLOOKUP(D5864, RECETTES!B:G, 6, FALSE)*E5864)</f>
        <v/>
      </c>
      <c r="J5864" s="8">
        <f>IF(G5864="","",G5864*0.20)</f>
        <v/>
      </c>
      <c r="K5864" s="8">
        <f>IF(G5864="","",G5864+J5864)</f>
        <v/>
      </c>
    </row>
    <row r="5865">
      <c r="F5865" s="8" t="n"/>
      <c r="G5865" s="8">
        <f>IF(E5865="","",E5865*F5865)</f>
        <v/>
      </c>
      <c r="H5865" s="8">
        <f>IF(G5865="","",G5865-I5865)</f>
        <v/>
      </c>
      <c r="I5865" s="8">
        <f>IF(D5865="","",VLOOKUP(D5865, RECETTES!B:G, 6, FALSE)*E5865)</f>
        <v/>
      </c>
      <c r="J5865" s="8">
        <f>IF(G5865="","",G5865*0.20)</f>
        <v/>
      </c>
      <c r="K5865" s="8">
        <f>IF(G5865="","",G5865+J5865)</f>
        <v/>
      </c>
    </row>
    <row r="5866">
      <c r="F5866" s="8" t="n"/>
      <c r="G5866" s="8">
        <f>IF(E5866="","",E5866*F5866)</f>
        <v/>
      </c>
      <c r="H5866" s="8">
        <f>IF(G5866="","",G5866-I5866)</f>
        <v/>
      </c>
      <c r="I5866" s="8">
        <f>IF(D5866="","",VLOOKUP(D5866, RECETTES!B:G, 6, FALSE)*E5866)</f>
        <v/>
      </c>
      <c r="J5866" s="8">
        <f>IF(G5866="","",G5866*0.20)</f>
        <v/>
      </c>
      <c r="K5866" s="8">
        <f>IF(G5866="","",G5866+J5866)</f>
        <v/>
      </c>
    </row>
    <row r="5867">
      <c r="F5867" s="8" t="n"/>
      <c r="G5867" s="8">
        <f>IF(E5867="","",E5867*F5867)</f>
        <v/>
      </c>
      <c r="H5867" s="8">
        <f>IF(G5867="","",G5867-I5867)</f>
        <v/>
      </c>
      <c r="I5867" s="8">
        <f>IF(D5867="","",VLOOKUP(D5867, RECETTES!B:G, 6, FALSE)*E5867)</f>
        <v/>
      </c>
      <c r="J5867" s="8">
        <f>IF(G5867="","",G5867*0.20)</f>
        <v/>
      </c>
      <c r="K5867" s="8">
        <f>IF(G5867="","",G5867+J5867)</f>
        <v/>
      </c>
    </row>
    <row r="5868">
      <c r="F5868" s="8" t="n"/>
      <c r="G5868" s="8">
        <f>IF(E5868="","",E5868*F5868)</f>
        <v/>
      </c>
      <c r="H5868" s="8">
        <f>IF(G5868="","",G5868-I5868)</f>
        <v/>
      </c>
      <c r="I5868" s="8">
        <f>IF(D5868="","",VLOOKUP(D5868, RECETTES!B:G, 6, FALSE)*E5868)</f>
        <v/>
      </c>
      <c r="J5868" s="8">
        <f>IF(G5868="","",G5868*0.20)</f>
        <v/>
      </c>
      <c r="K5868" s="8">
        <f>IF(G5868="","",G5868+J5868)</f>
        <v/>
      </c>
    </row>
    <row r="5869">
      <c r="F5869" s="8" t="n"/>
      <c r="G5869" s="8">
        <f>IF(E5869="","",E5869*F5869)</f>
        <v/>
      </c>
      <c r="H5869" s="8">
        <f>IF(G5869="","",G5869-I5869)</f>
        <v/>
      </c>
      <c r="I5869" s="8">
        <f>IF(D5869="","",VLOOKUP(D5869, RECETTES!B:G, 6, FALSE)*E5869)</f>
        <v/>
      </c>
      <c r="J5869" s="8">
        <f>IF(G5869="","",G5869*0.20)</f>
        <v/>
      </c>
      <c r="K5869" s="8">
        <f>IF(G5869="","",G5869+J5869)</f>
        <v/>
      </c>
    </row>
    <row r="5870">
      <c r="F5870" s="8" t="n"/>
      <c r="G5870" s="8">
        <f>IF(E5870="","",E5870*F5870)</f>
        <v/>
      </c>
      <c r="H5870" s="8">
        <f>IF(G5870="","",G5870-I5870)</f>
        <v/>
      </c>
      <c r="I5870" s="8">
        <f>IF(D5870="","",VLOOKUP(D5870, RECETTES!B:G, 6, FALSE)*E5870)</f>
        <v/>
      </c>
      <c r="J5870" s="8">
        <f>IF(G5870="","",G5870*0.20)</f>
        <v/>
      </c>
      <c r="K5870" s="8">
        <f>IF(G5870="","",G5870+J5870)</f>
        <v/>
      </c>
    </row>
    <row r="5871">
      <c r="F5871" s="8" t="n"/>
      <c r="G5871" s="8">
        <f>IF(E5871="","",E5871*F5871)</f>
        <v/>
      </c>
      <c r="H5871" s="8">
        <f>IF(G5871="","",G5871-I5871)</f>
        <v/>
      </c>
      <c r="I5871" s="8">
        <f>IF(D5871="","",VLOOKUP(D5871, RECETTES!B:G, 6, FALSE)*E5871)</f>
        <v/>
      </c>
      <c r="J5871" s="8">
        <f>IF(G5871="","",G5871*0.20)</f>
        <v/>
      </c>
      <c r="K5871" s="8">
        <f>IF(G5871="","",G5871+J5871)</f>
        <v/>
      </c>
    </row>
    <row r="5872">
      <c r="F5872" s="8" t="n"/>
      <c r="G5872" s="8">
        <f>IF(E5872="","",E5872*F5872)</f>
        <v/>
      </c>
      <c r="H5872" s="8">
        <f>IF(G5872="","",G5872-I5872)</f>
        <v/>
      </c>
      <c r="I5872" s="8">
        <f>IF(D5872="","",VLOOKUP(D5872, RECETTES!B:G, 6, FALSE)*E5872)</f>
        <v/>
      </c>
      <c r="J5872" s="8">
        <f>IF(G5872="","",G5872*0.20)</f>
        <v/>
      </c>
      <c r="K5872" s="8">
        <f>IF(G5872="","",G5872+J5872)</f>
        <v/>
      </c>
    </row>
    <row r="5873">
      <c r="F5873" s="8" t="n"/>
      <c r="G5873" s="8">
        <f>IF(E5873="","",E5873*F5873)</f>
        <v/>
      </c>
      <c r="H5873" s="8">
        <f>IF(G5873="","",G5873-I5873)</f>
        <v/>
      </c>
      <c r="I5873" s="8">
        <f>IF(D5873="","",VLOOKUP(D5873, RECETTES!B:G, 6, FALSE)*E5873)</f>
        <v/>
      </c>
      <c r="J5873" s="8">
        <f>IF(G5873="","",G5873*0.20)</f>
        <v/>
      </c>
      <c r="K5873" s="8">
        <f>IF(G5873="","",G5873+J5873)</f>
        <v/>
      </c>
    </row>
    <row r="5874">
      <c r="F5874" s="8" t="n"/>
      <c r="G5874" s="8">
        <f>IF(E5874="","",E5874*F5874)</f>
        <v/>
      </c>
      <c r="H5874" s="8">
        <f>IF(G5874="","",G5874-I5874)</f>
        <v/>
      </c>
      <c r="I5874" s="8">
        <f>IF(D5874="","",VLOOKUP(D5874, RECETTES!B:G, 6, FALSE)*E5874)</f>
        <v/>
      </c>
      <c r="J5874" s="8">
        <f>IF(G5874="","",G5874*0.20)</f>
        <v/>
      </c>
      <c r="K5874" s="8">
        <f>IF(G5874="","",G5874+J5874)</f>
        <v/>
      </c>
    </row>
    <row r="5875">
      <c r="F5875" s="8" t="n"/>
      <c r="G5875" s="8">
        <f>IF(E5875="","",E5875*F5875)</f>
        <v/>
      </c>
      <c r="H5875" s="8">
        <f>IF(G5875="","",G5875-I5875)</f>
        <v/>
      </c>
      <c r="I5875" s="8">
        <f>IF(D5875="","",VLOOKUP(D5875, RECETTES!B:G, 6, FALSE)*E5875)</f>
        <v/>
      </c>
      <c r="J5875" s="8">
        <f>IF(G5875="","",G5875*0.20)</f>
        <v/>
      </c>
      <c r="K5875" s="8">
        <f>IF(G5875="","",G5875+J5875)</f>
        <v/>
      </c>
    </row>
    <row r="5876">
      <c r="F5876" s="8" t="n"/>
      <c r="G5876" s="8">
        <f>IF(E5876="","",E5876*F5876)</f>
        <v/>
      </c>
      <c r="H5876" s="8">
        <f>IF(G5876="","",G5876-I5876)</f>
        <v/>
      </c>
      <c r="I5876" s="8">
        <f>IF(D5876="","",VLOOKUP(D5876, RECETTES!B:G, 6, FALSE)*E5876)</f>
        <v/>
      </c>
      <c r="J5876" s="8">
        <f>IF(G5876="","",G5876*0.20)</f>
        <v/>
      </c>
      <c r="K5876" s="8">
        <f>IF(G5876="","",G5876+J5876)</f>
        <v/>
      </c>
    </row>
    <row r="5877">
      <c r="F5877" s="8" t="n"/>
      <c r="G5877" s="8">
        <f>IF(E5877="","",E5877*F5877)</f>
        <v/>
      </c>
      <c r="H5877" s="8">
        <f>IF(G5877="","",G5877-I5877)</f>
        <v/>
      </c>
      <c r="I5877" s="8">
        <f>IF(D5877="","",VLOOKUP(D5877, RECETTES!B:G, 6, FALSE)*E5877)</f>
        <v/>
      </c>
      <c r="J5877" s="8">
        <f>IF(G5877="","",G5877*0.20)</f>
        <v/>
      </c>
      <c r="K5877" s="8">
        <f>IF(G5877="","",G5877+J5877)</f>
        <v/>
      </c>
    </row>
    <row r="5878">
      <c r="F5878" s="8" t="n"/>
      <c r="G5878" s="8">
        <f>IF(E5878="","",E5878*F5878)</f>
        <v/>
      </c>
      <c r="H5878" s="8">
        <f>IF(G5878="","",G5878-I5878)</f>
        <v/>
      </c>
      <c r="I5878" s="8">
        <f>IF(D5878="","",VLOOKUP(D5878, RECETTES!B:G, 6, FALSE)*E5878)</f>
        <v/>
      </c>
      <c r="J5878" s="8">
        <f>IF(G5878="","",G5878*0.20)</f>
        <v/>
      </c>
      <c r="K5878" s="8">
        <f>IF(G5878="","",G5878+J5878)</f>
        <v/>
      </c>
    </row>
    <row r="5879">
      <c r="F5879" s="8" t="n"/>
      <c r="G5879" s="8">
        <f>IF(E5879="","",E5879*F5879)</f>
        <v/>
      </c>
      <c r="H5879" s="8">
        <f>IF(G5879="","",G5879-I5879)</f>
        <v/>
      </c>
      <c r="I5879" s="8">
        <f>IF(D5879="","",VLOOKUP(D5879, RECETTES!B:G, 6, FALSE)*E5879)</f>
        <v/>
      </c>
      <c r="J5879" s="8">
        <f>IF(G5879="","",G5879*0.20)</f>
        <v/>
      </c>
      <c r="K5879" s="8">
        <f>IF(G5879="","",G5879+J5879)</f>
        <v/>
      </c>
    </row>
    <row r="5880">
      <c r="F5880" s="8" t="n"/>
      <c r="G5880" s="8">
        <f>IF(E5880="","",E5880*F5880)</f>
        <v/>
      </c>
      <c r="H5880" s="8">
        <f>IF(G5880="","",G5880-I5880)</f>
        <v/>
      </c>
      <c r="I5880" s="8">
        <f>IF(D5880="","",VLOOKUP(D5880, RECETTES!B:G, 6, FALSE)*E5880)</f>
        <v/>
      </c>
      <c r="J5880" s="8">
        <f>IF(G5880="","",G5880*0.20)</f>
        <v/>
      </c>
      <c r="K5880" s="8">
        <f>IF(G5880="","",G5880+J5880)</f>
        <v/>
      </c>
    </row>
    <row r="5881">
      <c r="F5881" s="8" t="n"/>
      <c r="G5881" s="8">
        <f>IF(E5881="","",E5881*F5881)</f>
        <v/>
      </c>
      <c r="H5881" s="8">
        <f>IF(G5881="","",G5881-I5881)</f>
        <v/>
      </c>
      <c r="I5881" s="8">
        <f>IF(D5881="","",VLOOKUP(D5881, RECETTES!B:G, 6, FALSE)*E5881)</f>
        <v/>
      </c>
      <c r="J5881" s="8">
        <f>IF(G5881="","",G5881*0.20)</f>
        <v/>
      </c>
      <c r="K5881" s="8">
        <f>IF(G5881="","",G5881+J5881)</f>
        <v/>
      </c>
    </row>
    <row r="5882">
      <c r="F5882" s="8" t="n"/>
      <c r="G5882" s="8">
        <f>IF(E5882="","",E5882*F5882)</f>
        <v/>
      </c>
      <c r="H5882" s="8">
        <f>IF(G5882="","",G5882-I5882)</f>
        <v/>
      </c>
      <c r="I5882" s="8">
        <f>IF(D5882="","",VLOOKUP(D5882, RECETTES!B:G, 6, FALSE)*E5882)</f>
        <v/>
      </c>
      <c r="J5882" s="8">
        <f>IF(G5882="","",G5882*0.20)</f>
        <v/>
      </c>
      <c r="K5882" s="8">
        <f>IF(G5882="","",G5882+J5882)</f>
        <v/>
      </c>
    </row>
    <row r="5883">
      <c r="F5883" s="8" t="n"/>
      <c r="G5883" s="8">
        <f>IF(E5883="","",E5883*F5883)</f>
        <v/>
      </c>
      <c r="H5883" s="8">
        <f>IF(G5883="","",G5883-I5883)</f>
        <v/>
      </c>
      <c r="I5883" s="8">
        <f>IF(D5883="","",VLOOKUP(D5883, RECETTES!B:G, 6, FALSE)*E5883)</f>
        <v/>
      </c>
      <c r="J5883" s="8">
        <f>IF(G5883="","",G5883*0.20)</f>
        <v/>
      </c>
      <c r="K5883" s="8">
        <f>IF(G5883="","",G5883+J5883)</f>
        <v/>
      </c>
    </row>
    <row r="5884">
      <c r="F5884" s="8" t="n"/>
      <c r="G5884" s="8">
        <f>IF(E5884="","",E5884*F5884)</f>
        <v/>
      </c>
      <c r="H5884" s="8">
        <f>IF(G5884="","",G5884-I5884)</f>
        <v/>
      </c>
      <c r="I5884" s="8">
        <f>IF(D5884="","",VLOOKUP(D5884, RECETTES!B:G, 6, FALSE)*E5884)</f>
        <v/>
      </c>
      <c r="J5884" s="8">
        <f>IF(G5884="","",G5884*0.20)</f>
        <v/>
      </c>
      <c r="K5884" s="8">
        <f>IF(G5884="","",G5884+J5884)</f>
        <v/>
      </c>
    </row>
    <row r="5885">
      <c r="F5885" s="8" t="n"/>
      <c r="G5885" s="8">
        <f>IF(E5885="","",E5885*F5885)</f>
        <v/>
      </c>
      <c r="H5885" s="8">
        <f>IF(G5885="","",G5885-I5885)</f>
        <v/>
      </c>
      <c r="I5885" s="8">
        <f>IF(D5885="","",VLOOKUP(D5885, RECETTES!B:G, 6, FALSE)*E5885)</f>
        <v/>
      </c>
      <c r="J5885" s="8">
        <f>IF(G5885="","",G5885*0.20)</f>
        <v/>
      </c>
      <c r="K5885" s="8">
        <f>IF(G5885="","",G5885+J5885)</f>
        <v/>
      </c>
    </row>
    <row r="5886">
      <c r="F5886" s="8" t="n"/>
      <c r="G5886" s="8">
        <f>IF(E5886="","",E5886*F5886)</f>
        <v/>
      </c>
      <c r="H5886" s="8">
        <f>IF(G5886="","",G5886-I5886)</f>
        <v/>
      </c>
      <c r="I5886" s="8">
        <f>IF(D5886="","",VLOOKUP(D5886, RECETTES!B:G, 6, FALSE)*E5886)</f>
        <v/>
      </c>
      <c r="J5886" s="8">
        <f>IF(G5886="","",G5886*0.20)</f>
        <v/>
      </c>
      <c r="K5886" s="8">
        <f>IF(G5886="","",G5886+J5886)</f>
        <v/>
      </c>
    </row>
    <row r="5887">
      <c r="F5887" s="8" t="n"/>
      <c r="G5887" s="8">
        <f>IF(E5887="","",E5887*F5887)</f>
        <v/>
      </c>
      <c r="H5887" s="8">
        <f>IF(G5887="","",G5887-I5887)</f>
        <v/>
      </c>
      <c r="I5887" s="8">
        <f>IF(D5887="","",VLOOKUP(D5887, RECETTES!B:G, 6, FALSE)*E5887)</f>
        <v/>
      </c>
      <c r="J5887" s="8">
        <f>IF(G5887="","",G5887*0.20)</f>
        <v/>
      </c>
      <c r="K5887" s="8">
        <f>IF(G5887="","",G5887+J5887)</f>
        <v/>
      </c>
    </row>
    <row r="5888">
      <c r="F5888" s="8" t="n"/>
      <c r="G5888" s="8">
        <f>IF(E5888="","",E5888*F5888)</f>
        <v/>
      </c>
      <c r="H5888" s="8">
        <f>IF(G5888="","",G5888-I5888)</f>
        <v/>
      </c>
      <c r="I5888" s="8">
        <f>IF(D5888="","",VLOOKUP(D5888, RECETTES!B:G, 6, FALSE)*E5888)</f>
        <v/>
      </c>
      <c r="J5888" s="8">
        <f>IF(G5888="","",G5888*0.20)</f>
        <v/>
      </c>
      <c r="K5888" s="8">
        <f>IF(G5888="","",G5888+J5888)</f>
        <v/>
      </c>
    </row>
    <row r="5889">
      <c r="F5889" s="8" t="n"/>
      <c r="G5889" s="8">
        <f>IF(E5889="","",E5889*F5889)</f>
        <v/>
      </c>
      <c r="H5889" s="8">
        <f>IF(G5889="","",G5889-I5889)</f>
        <v/>
      </c>
      <c r="I5889" s="8">
        <f>IF(D5889="","",VLOOKUP(D5889, RECETTES!B:G, 6, FALSE)*E5889)</f>
        <v/>
      </c>
      <c r="J5889" s="8">
        <f>IF(G5889="","",G5889*0.20)</f>
        <v/>
      </c>
      <c r="K5889" s="8">
        <f>IF(G5889="","",G5889+J5889)</f>
        <v/>
      </c>
    </row>
    <row r="5890">
      <c r="F5890" s="8" t="n"/>
      <c r="G5890" s="8">
        <f>IF(E5890="","",E5890*F5890)</f>
        <v/>
      </c>
      <c r="H5890" s="8">
        <f>IF(G5890="","",G5890-I5890)</f>
        <v/>
      </c>
      <c r="I5890" s="8">
        <f>IF(D5890="","",VLOOKUP(D5890, RECETTES!B:G, 6, FALSE)*E5890)</f>
        <v/>
      </c>
      <c r="J5890" s="8">
        <f>IF(G5890="","",G5890*0.20)</f>
        <v/>
      </c>
      <c r="K5890" s="8">
        <f>IF(G5890="","",G5890+J5890)</f>
        <v/>
      </c>
    </row>
    <row r="5891">
      <c r="F5891" s="8" t="n"/>
      <c r="G5891" s="8">
        <f>IF(E5891="","",E5891*F5891)</f>
        <v/>
      </c>
      <c r="H5891" s="8">
        <f>IF(G5891="","",G5891-I5891)</f>
        <v/>
      </c>
      <c r="I5891" s="8">
        <f>IF(D5891="","",VLOOKUP(D5891, RECETTES!B:G, 6, FALSE)*E5891)</f>
        <v/>
      </c>
      <c r="J5891" s="8">
        <f>IF(G5891="","",G5891*0.20)</f>
        <v/>
      </c>
      <c r="K5891" s="8">
        <f>IF(G5891="","",G5891+J5891)</f>
        <v/>
      </c>
    </row>
    <row r="5892">
      <c r="F5892" s="8" t="n"/>
      <c r="G5892" s="8">
        <f>IF(E5892="","",E5892*F5892)</f>
        <v/>
      </c>
      <c r="H5892" s="8">
        <f>IF(G5892="","",G5892-I5892)</f>
        <v/>
      </c>
      <c r="I5892" s="8">
        <f>IF(D5892="","",VLOOKUP(D5892, RECETTES!B:G, 6, FALSE)*E5892)</f>
        <v/>
      </c>
      <c r="J5892" s="8">
        <f>IF(G5892="","",G5892*0.20)</f>
        <v/>
      </c>
      <c r="K5892" s="8">
        <f>IF(G5892="","",G5892+J5892)</f>
        <v/>
      </c>
    </row>
    <row r="5893">
      <c r="F5893" s="8" t="n"/>
      <c r="G5893" s="8">
        <f>IF(E5893="","",E5893*F5893)</f>
        <v/>
      </c>
      <c r="H5893" s="8">
        <f>IF(G5893="","",G5893-I5893)</f>
        <v/>
      </c>
      <c r="I5893" s="8">
        <f>IF(D5893="","",VLOOKUP(D5893, RECETTES!B:G, 6, FALSE)*E5893)</f>
        <v/>
      </c>
      <c r="J5893" s="8">
        <f>IF(G5893="","",G5893*0.20)</f>
        <v/>
      </c>
      <c r="K5893" s="8">
        <f>IF(G5893="","",G5893+J5893)</f>
        <v/>
      </c>
    </row>
    <row r="5894">
      <c r="F5894" s="8" t="n"/>
      <c r="G5894" s="8">
        <f>IF(E5894="","",E5894*F5894)</f>
        <v/>
      </c>
      <c r="H5894" s="8">
        <f>IF(G5894="","",G5894-I5894)</f>
        <v/>
      </c>
      <c r="I5894" s="8">
        <f>IF(D5894="","",VLOOKUP(D5894, RECETTES!B:G, 6, FALSE)*E5894)</f>
        <v/>
      </c>
      <c r="J5894" s="8">
        <f>IF(G5894="","",G5894*0.20)</f>
        <v/>
      </c>
      <c r="K5894" s="8">
        <f>IF(G5894="","",G5894+J5894)</f>
        <v/>
      </c>
    </row>
    <row r="5895">
      <c r="F5895" s="8" t="n"/>
      <c r="G5895" s="8">
        <f>IF(E5895="","",E5895*F5895)</f>
        <v/>
      </c>
      <c r="H5895" s="8">
        <f>IF(G5895="","",G5895-I5895)</f>
        <v/>
      </c>
      <c r="I5895" s="8">
        <f>IF(D5895="","",VLOOKUP(D5895, RECETTES!B:G, 6, FALSE)*E5895)</f>
        <v/>
      </c>
      <c r="J5895" s="8">
        <f>IF(G5895="","",G5895*0.20)</f>
        <v/>
      </c>
      <c r="K5895" s="8">
        <f>IF(G5895="","",G5895+J5895)</f>
        <v/>
      </c>
    </row>
    <row r="5896">
      <c r="F5896" s="8" t="n"/>
      <c r="G5896" s="8">
        <f>IF(E5896="","",E5896*F5896)</f>
        <v/>
      </c>
      <c r="H5896" s="8">
        <f>IF(G5896="","",G5896-I5896)</f>
        <v/>
      </c>
      <c r="I5896" s="8">
        <f>IF(D5896="","",VLOOKUP(D5896, RECETTES!B:G, 6, FALSE)*E5896)</f>
        <v/>
      </c>
      <c r="J5896" s="8">
        <f>IF(G5896="","",G5896*0.20)</f>
        <v/>
      </c>
      <c r="K5896" s="8">
        <f>IF(G5896="","",G5896+J5896)</f>
        <v/>
      </c>
    </row>
    <row r="5897">
      <c r="F5897" s="8" t="n"/>
      <c r="G5897" s="8">
        <f>IF(E5897="","",E5897*F5897)</f>
        <v/>
      </c>
      <c r="H5897" s="8">
        <f>IF(G5897="","",G5897-I5897)</f>
        <v/>
      </c>
      <c r="I5897" s="8">
        <f>IF(D5897="","",VLOOKUP(D5897, RECETTES!B:G, 6, FALSE)*E5897)</f>
        <v/>
      </c>
      <c r="J5897" s="8">
        <f>IF(G5897="","",G5897*0.20)</f>
        <v/>
      </c>
      <c r="K5897" s="8">
        <f>IF(G5897="","",G5897+J5897)</f>
        <v/>
      </c>
    </row>
    <row r="5898">
      <c r="F5898" s="8" t="n"/>
      <c r="G5898" s="8">
        <f>IF(E5898="","",E5898*F5898)</f>
        <v/>
      </c>
      <c r="H5898" s="8">
        <f>IF(G5898="","",G5898-I5898)</f>
        <v/>
      </c>
      <c r="I5898" s="8">
        <f>IF(D5898="","",VLOOKUP(D5898, RECETTES!B:G, 6, FALSE)*E5898)</f>
        <v/>
      </c>
      <c r="J5898" s="8">
        <f>IF(G5898="","",G5898*0.20)</f>
        <v/>
      </c>
      <c r="K5898" s="8">
        <f>IF(G5898="","",G5898+J5898)</f>
        <v/>
      </c>
    </row>
    <row r="5899">
      <c r="F5899" s="8" t="n"/>
      <c r="G5899" s="8">
        <f>IF(E5899="","",E5899*F5899)</f>
        <v/>
      </c>
      <c r="H5899" s="8">
        <f>IF(G5899="","",G5899-I5899)</f>
        <v/>
      </c>
      <c r="I5899" s="8">
        <f>IF(D5899="","",VLOOKUP(D5899, RECETTES!B:G, 6, FALSE)*E5899)</f>
        <v/>
      </c>
      <c r="J5899" s="8">
        <f>IF(G5899="","",G5899*0.20)</f>
        <v/>
      </c>
      <c r="K5899" s="8">
        <f>IF(G5899="","",G5899+J5899)</f>
        <v/>
      </c>
    </row>
    <row r="5900">
      <c r="F5900" s="8" t="n"/>
      <c r="G5900" s="8">
        <f>IF(E5900="","",E5900*F5900)</f>
        <v/>
      </c>
      <c r="H5900" s="8">
        <f>IF(G5900="","",G5900-I5900)</f>
        <v/>
      </c>
      <c r="I5900" s="8">
        <f>IF(D5900="","",VLOOKUP(D5900, RECETTES!B:G, 6, FALSE)*E5900)</f>
        <v/>
      </c>
      <c r="J5900" s="8">
        <f>IF(G5900="","",G5900*0.20)</f>
        <v/>
      </c>
      <c r="K5900" s="8">
        <f>IF(G5900="","",G5900+J5900)</f>
        <v/>
      </c>
    </row>
    <row r="5901">
      <c r="F5901" s="8" t="n"/>
      <c r="G5901" s="8">
        <f>IF(E5901="","",E5901*F5901)</f>
        <v/>
      </c>
      <c r="H5901" s="8">
        <f>IF(G5901="","",G5901-I5901)</f>
        <v/>
      </c>
      <c r="I5901" s="8">
        <f>IF(D5901="","",VLOOKUP(D5901, RECETTES!B:G, 6, FALSE)*E5901)</f>
        <v/>
      </c>
      <c r="J5901" s="8">
        <f>IF(G5901="","",G5901*0.20)</f>
        <v/>
      </c>
      <c r="K5901" s="8">
        <f>IF(G5901="","",G5901+J5901)</f>
        <v/>
      </c>
    </row>
    <row r="5902">
      <c r="F5902" s="8" t="n"/>
      <c r="G5902" s="8">
        <f>IF(E5902="","",E5902*F5902)</f>
        <v/>
      </c>
      <c r="H5902" s="8">
        <f>IF(G5902="","",G5902-I5902)</f>
        <v/>
      </c>
      <c r="I5902" s="8">
        <f>IF(D5902="","",VLOOKUP(D5902, RECETTES!B:G, 6, FALSE)*E5902)</f>
        <v/>
      </c>
      <c r="J5902" s="8">
        <f>IF(G5902="","",G5902*0.20)</f>
        <v/>
      </c>
      <c r="K5902" s="8">
        <f>IF(G5902="","",G5902+J5902)</f>
        <v/>
      </c>
    </row>
    <row r="5903">
      <c r="F5903" s="8" t="n"/>
      <c r="G5903" s="8">
        <f>IF(E5903="","",E5903*F5903)</f>
        <v/>
      </c>
      <c r="H5903" s="8">
        <f>IF(G5903="","",G5903-I5903)</f>
        <v/>
      </c>
      <c r="I5903" s="8">
        <f>IF(D5903="","",VLOOKUP(D5903, RECETTES!B:G, 6, FALSE)*E5903)</f>
        <v/>
      </c>
      <c r="J5903" s="8">
        <f>IF(G5903="","",G5903*0.20)</f>
        <v/>
      </c>
      <c r="K5903" s="8">
        <f>IF(G5903="","",G5903+J5903)</f>
        <v/>
      </c>
    </row>
    <row r="5904">
      <c r="F5904" s="8" t="n"/>
      <c r="G5904" s="8">
        <f>IF(E5904="","",E5904*F5904)</f>
        <v/>
      </c>
      <c r="H5904" s="8">
        <f>IF(G5904="","",G5904-I5904)</f>
        <v/>
      </c>
      <c r="I5904" s="8">
        <f>IF(D5904="","",VLOOKUP(D5904, RECETTES!B:G, 6, FALSE)*E5904)</f>
        <v/>
      </c>
      <c r="J5904" s="8">
        <f>IF(G5904="","",G5904*0.20)</f>
        <v/>
      </c>
      <c r="K5904" s="8">
        <f>IF(G5904="","",G5904+J5904)</f>
        <v/>
      </c>
    </row>
    <row r="5905">
      <c r="F5905" s="8" t="n"/>
      <c r="G5905" s="8">
        <f>IF(E5905="","",E5905*F5905)</f>
        <v/>
      </c>
      <c r="H5905" s="8">
        <f>IF(G5905="","",G5905-I5905)</f>
        <v/>
      </c>
      <c r="I5905" s="8">
        <f>IF(D5905="","",VLOOKUP(D5905, RECETTES!B:G, 6, FALSE)*E5905)</f>
        <v/>
      </c>
      <c r="J5905" s="8">
        <f>IF(G5905="","",G5905*0.20)</f>
        <v/>
      </c>
      <c r="K5905" s="8">
        <f>IF(G5905="","",G5905+J5905)</f>
        <v/>
      </c>
    </row>
    <row r="5906">
      <c r="F5906" s="8" t="n"/>
      <c r="G5906" s="8">
        <f>IF(E5906="","",E5906*F5906)</f>
        <v/>
      </c>
      <c r="H5906" s="8">
        <f>IF(G5906="","",G5906-I5906)</f>
        <v/>
      </c>
      <c r="I5906" s="8">
        <f>IF(D5906="","",VLOOKUP(D5906, RECETTES!B:G, 6, FALSE)*E5906)</f>
        <v/>
      </c>
      <c r="J5906" s="8">
        <f>IF(G5906="","",G5906*0.20)</f>
        <v/>
      </c>
      <c r="K5906" s="8">
        <f>IF(G5906="","",G5906+J5906)</f>
        <v/>
      </c>
    </row>
    <row r="5907">
      <c r="F5907" s="8" t="n"/>
      <c r="G5907" s="8">
        <f>IF(E5907="","",E5907*F5907)</f>
        <v/>
      </c>
      <c r="H5907" s="8">
        <f>IF(G5907="","",G5907-I5907)</f>
        <v/>
      </c>
      <c r="I5907" s="8">
        <f>IF(D5907="","",VLOOKUP(D5907, RECETTES!B:G, 6, FALSE)*E5907)</f>
        <v/>
      </c>
      <c r="J5907" s="8">
        <f>IF(G5907="","",G5907*0.20)</f>
        <v/>
      </c>
      <c r="K5907" s="8">
        <f>IF(G5907="","",G5907+J5907)</f>
        <v/>
      </c>
    </row>
    <row r="5908">
      <c r="F5908" s="8" t="n"/>
      <c r="G5908" s="8">
        <f>IF(E5908="","",E5908*F5908)</f>
        <v/>
      </c>
      <c r="H5908" s="8">
        <f>IF(G5908="","",G5908-I5908)</f>
        <v/>
      </c>
      <c r="I5908" s="8">
        <f>IF(D5908="","",VLOOKUP(D5908, RECETTES!B:G, 6, FALSE)*E5908)</f>
        <v/>
      </c>
      <c r="J5908" s="8">
        <f>IF(G5908="","",G5908*0.20)</f>
        <v/>
      </c>
      <c r="K5908" s="8">
        <f>IF(G5908="","",G5908+J5908)</f>
        <v/>
      </c>
    </row>
    <row r="5909">
      <c r="F5909" s="8" t="n"/>
      <c r="G5909" s="8">
        <f>IF(E5909="","",E5909*F5909)</f>
        <v/>
      </c>
      <c r="H5909" s="8">
        <f>IF(G5909="","",G5909-I5909)</f>
        <v/>
      </c>
      <c r="I5909" s="8">
        <f>IF(D5909="","",VLOOKUP(D5909, RECETTES!B:G, 6, FALSE)*E5909)</f>
        <v/>
      </c>
      <c r="J5909" s="8">
        <f>IF(G5909="","",G5909*0.20)</f>
        <v/>
      </c>
      <c r="K5909" s="8">
        <f>IF(G5909="","",G5909+J5909)</f>
        <v/>
      </c>
    </row>
    <row r="5910">
      <c r="F5910" s="8" t="n"/>
      <c r="G5910" s="8">
        <f>IF(E5910="","",E5910*F5910)</f>
        <v/>
      </c>
      <c r="H5910" s="8">
        <f>IF(G5910="","",G5910-I5910)</f>
        <v/>
      </c>
      <c r="I5910" s="8">
        <f>IF(D5910="","",VLOOKUP(D5910, RECETTES!B:G, 6, FALSE)*E5910)</f>
        <v/>
      </c>
      <c r="J5910" s="8">
        <f>IF(G5910="","",G5910*0.20)</f>
        <v/>
      </c>
      <c r="K5910" s="8">
        <f>IF(G5910="","",G5910+J5910)</f>
        <v/>
      </c>
    </row>
    <row r="5911">
      <c r="F5911" s="8" t="n"/>
      <c r="G5911" s="8">
        <f>IF(E5911="","",E5911*F5911)</f>
        <v/>
      </c>
      <c r="H5911" s="8">
        <f>IF(G5911="","",G5911-I5911)</f>
        <v/>
      </c>
      <c r="I5911" s="8">
        <f>IF(D5911="","",VLOOKUP(D5911, RECETTES!B:G, 6, FALSE)*E5911)</f>
        <v/>
      </c>
      <c r="J5911" s="8">
        <f>IF(G5911="","",G5911*0.20)</f>
        <v/>
      </c>
      <c r="K5911" s="8">
        <f>IF(G5911="","",G5911+J5911)</f>
        <v/>
      </c>
    </row>
    <row r="5912">
      <c r="F5912" s="8" t="n"/>
      <c r="G5912" s="8">
        <f>IF(E5912="","",E5912*F5912)</f>
        <v/>
      </c>
      <c r="H5912" s="8">
        <f>IF(G5912="","",G5912-I5912)</f>
        <v/>
      </c>
      <c r="I5912" s="8">
        <f>IF(D5912="","",VLOOKUP(D5912, RECETTES!B:G, 6, FALSE)*E5912)</f>
        <v/>
      </c>
      <c r="J5912" s="8">
        <f>IF(G5912="","",G5912*0.20)</f>
        <v/>
      </c>
      <c r="K5912" s="8">
        <f>IF(G5912="","",G5912+J5912)</f>
        <v/>
      </c>
    </row>
    <row r="5913">
      <c r="F5913" s="8" t="n"/>
      <c r="G5913" s="8">
        <f>IF(E5913="","",E5913*F5913)</f>
        <v/>
      </c>
      <c r="H5913" s="8">
        <f>IF(G5913="","",G5913-I5913)</f>
        <v/>
      </c>
      <c r="I5913" s="8">
        <f>IF(D5913="","",VLOOKUP(D5913, RECETTES!B:G, 6, FALSE)*E5913)</f>
        <v/>
      </c>
      <c r="J5913" s="8">
        <f>IF(G5913="","",G5913*0.20)</f>
        <v/>
      </c>
      <c r="K5913" s="8">
        <f>IF(G5913="","",G5913+J5913)</f>
        <v/>
      </c>
    </row>
    <row r="5914">
      <c r="F5914" s="8" t="n"/>
      <c r="G5914" s="8">
        <f>IF(E5914="","",E5914*F5914)</f>
        <v/>
      </c>
      <c r="H5914" s="8">
        <f>IF(G5914="","",G5914-I5914)</f>
        <v/>
      </c>
      <c r="I5914" s="8">
        <f>IF(D5914="","",VLOOKUP(D5914, RECETTES!B:G, 6, FALSE)*E5914)</f>
        <v/>
      </c>
      <c r="J5914" s="8">
        <f>IF(G5914="","",G5914*0.20)</f>
        <v/>
      </c>
      <c r="K5914" s="8">
        <f>IF(G5914="","",G5914+J5914)</f>
        <v/>
      </c>
    </row>
    <row r="5915">
      <c r="F5915" s="8" t="n"/>
      <c r="G5915" s="8">
        <f>IF(E5915="","",E5915*F5915)</f>
        <v/>
      </c>
      <c r="H5915" s="8">
        <f>IF(G5915="","",G5915-I5915)</f>
        <v/>
      </c>
      <c r="I5915" s="8">
        <f>IF(D5915="","",VLOOKUP(D5915, RECETTES!B:G, 6, FALSE)*E5915)</f>
        <v/>
      </c>
      <c r="J5915" s="8">
        <f>IF(G5915="","",G5915*0.20)</f>
        <v/>
      </c>
      <c r="K5915" s="8">
        <f>IF(G5915="","",G5915+J5915)</f>
        <v/>
      </c>
    </row>
    <row r="5916">
      <c r="F5916" s="8" t="n"/>
      <c r="G5916" s="8">
        <f>IF(E5916="","",E5916*F5916)</f>
        <v/>
      </c>
      <c r="H5916" s="8">
        <f>IF(G5916="","",G5916-I5916)</f>
        <v/>
      </c>
      <c r="I5916" s="8">
        <f>IF(D5916="","",VLOOKUP(D5916, RECETTES!B:G, 6, FALSE)*E5916)</f>
        <v/>
      </c>
      <c r="J5916" s="8">
        <f>IF(G5916="","",G5916*0.20)</f>
        <v/>
      </c>
      <c r="K5916" s="8">
        <f>IF(G5916="","",G5916+J5916)</f>
        <v/>
      </c>
    </row>
    <row r="5917">
      <c r="F5917" s="8" t="n"/>
      <c r="G5917" s="8">
        <f>IF(E5917="","",E5917*F5917)</f>
        <v/>
      </c>
      <c r="H5917" s="8">
        <f>IF(G5917="","",G5917-I5917)</f>
        <v/>
      </c>
      <c r="I5917" s="8">
        <f>IF(D5917="","",VLOOKUP(D5917, RECETTES!B:G, 6, FALSE)*E5917)</f>
        <v/>
      </c>
      <c r="J5917" s="8">
        <f>IF(G5917="","",G5917*0.20)</f>
        <v/>
      </c>
      <c r="K5917" s="8">
        <f>IF(G5917="","",G5917+J5917)</f>
        <v/>
      </c>
    </row>
    <row r="5918">
      <c r="F5918" s="8" t="n"/>
      <c r="G5918" s="8">
        <f>IF(E5918="","",E5918*F5918)</f>
        <v/>
      </c>
      <c r="H5918" s="8">
        <f>IF(G5918="","",G5918-I5918)</f>
        <v/>
      </c>
      <c r="I5918" s="8">
        <f>IF(D5918="","",VLOOKUP(D5918, RECETTES!B:G, 6, FALSE)*E5918)</f>
        <v/>
      </c>
      <c r="J5918" s="8">
        <f>IF(G5918="","",G5918*0.20)</f>
        <v/>
      </c>
      <c r="K5918" s="8">
        <f>IF(G5918="","",G5918+J5918)</f>
        <v/>
      </c>
    </row>
    <row r="5919">
      <c r="F5919" s="8" t="n"/>
      <c r="G5919" s="8">
        <f>IF(E5919="","",E5919*F5919)</f>
        <v/>
      </c>
      <c r="H5919" s="8">
        <f>IF(G5919="","",G5919-I5919)</f>
        <v/>
      </c>
      <c r="I5919" s="8">
        <f>IF(D5919="","",VLOOKUP(D5919, RECETTES!B:G, 6, FALSE)*E5919)</f>
        <v/>
      </c>
      <c r="J5919" s="8">
        <f>IF(G5919="","",G5919*0.20)</f>
        <v/>
      </c>
      <c r="K5919" s="8">
        <f>IF(G5919="","",G5919+J5919)</f>
        <v/>
      </c>
    </row>
    <row r="5920">
      <c r="F5920" s="8" t="n"/>
      <c r="G5920" s="8">
        <f>IF(E5920="","",E5920*F5920)</f>
        <v/>
      </c>
      <c r="H5920" s="8">
        <f>IF(G5920="","",G5920-I5920)</f>
        <v/>
      </c>
      <c r="I5920" s="8">
        <f>IF(D5920="","",VLOOKUP(D5920, RECETTES!B:G, 6, FALSE)*E5920)</f>
        <v/>
      </c>
      <c r="J5920" s="8">
        <f>IF(G5920="","",G5920*0.20)</f>
        <v/>
      </c>
      <c r="K5920" s="8">
        <f>IF(G5920="","",G5920+J5920)</f>
        <v/>
      </c>
    </row>
    <row r="5921">
      <c r="F5921" s="8" t="n"/>
      <c r="G5921" s="8">
        <f>IF(E5921="","",E5921*F5921)</f>
        <v/>
      </c>
      <c r="H5921" s="8">
        <f>IF(G5921="","",G5921-I5921)</f>
        <v/>
      </c>
      <c r="I5921" s="8">
        <f>IF(D5921="","",VLOOKUP(D5921, RECETTES!B:G, 6, FALSE)*E5921)</f>
        <v/>
      </c>
      <c r="J5921" s="8">
        <f>IF(G5921="","",G5921*0.20)</f>
        <v/>
      </c>
      <c r="K5921" s="8">
        <f>IF(G5921="","",G5921+J5921)</f>
        <v/>
      </c>
    </row>
    <row r="5922">
      <c r="F5922" s="8" t="n"/>
      <c r="G5922" s="8">
        <f>IF(E5922="","",E5922*F5922)</f>
        <v/>
      </c>
      <c r="H5922" s="8">
        <f>IF(G5922="","",G5922-I5922)</f>
        <v/>
      </c>
      <c r="I5922" s="8">
        <f>IF(D5922="","",VLOOKUP(D5922, RECETTES!B:G, 6, FALSE)*E5922)</f>
        <v/>
      </c>
      <c r="J5922" s="8">
        <f>IF(G5922="","",G5922*0.20)</f>
        <v/>
      </c>
      <c r="K5922" s="8">
        <f>IF(G5922="","",G5922+J5922)</f>
        <v/>
      </c>
    </row>
    <row r="5923">
      <c r="F5923" s="8" t="n"/>
      <c r="G5923" s="8">
        <f>IF(E5923="","",E5923*F5923)</f>
        <v/>
      </c>
      <c r="H5923" s="8">
        <f>IF(G5923="","",G5923-I5923)</f>
        <v/>
      </c>
      <c r="I5923" s="8">
        <f>IF(D5923="","",VLOOKUP(D5923, RECETTES!B:G, 6, FALSE)*E5923)</f>
        <v/>
      </c>
      <c r="J5923" s="8">
        <f>IF(G5923="","",G5923*0.20)</f>
        <v/>
      </c>
      <c r="K5923" s="8">
        <f>IF(G5923="","",G5923+J5923)</f>
        <v/>
      </c>
    </row>
    <row r="5924">
      <c r="F5924" s="8" t="n"/>
      <c r="G5924" s="8">
        <f>IF(E5924="","",E5924*F5924)</f>
        <v/>
      </c>
      <c r="H5924" s="8">
        <f>IF(G5924="","",G5924-I5924)</f>
        <v/>
      </c>
      <c r="I5924" s="8">
        <f>IF(D5924="","",VLOOKUP(D5924, RECETTES!B:G, 6, FALSE)*E5924)</f>
        <v/>
      </c>
      <c r="J5924" s="8">
        <f>IF(G5924="","",G5924*0.20)</f>
        <v/>
      </c>
      <c r="K5924" s="8">
        <f>IF(G5924="","",G5924+J5924)</f>
        <v/>
      </c>
    </row>
    <row r="5925">
      <c r="F5925" s="8" t="n"/>
      <c r="G5925" s="8">
        <f>IF(E5925="","",E5925*F5925)</f>
        <v/>
      </c>
      <c r="H5925" s="8">
        <f>IF(G5925="","",G5925-I5925)</f>
        <v/>
      </c>
      <c r="I5925" s="8">
        <f>IF(D5925="","",VLOOKUP(D5925, RECETTES!B:G, 6, FALSE)*E5925)</f>
        <v/>
      </c>
      <c r="J5925" s="8">
        <f>IF(G5925="","",G5925*0.20)</f>
        <v/>
      </c>
      <c r="K5925" s="8">
        <f>IF(G5925="","",G5925+J5925)</f>
        <v/>
      </c>
    </row>
    <row r="5926">
      <c r="F5926" s="8" t="n"/>
      <c r="G5926" s="8">
        <f>IF(E5926="","",E5926*F5926)</f>
        <v/>
      </c>
      <c r="H5926" s="8">
        <f>IF(G5926="","",G5926-I5926)</f>
        <v/>
      </c>
      <c r="I5926" s="8">
        <f>IF(D5926="","",VLOOKUP(D5926, RECETTES!B:G, 6, FALSE)*E5926)</f>
        <v/>
      </c>
      <c r="J5926" s="8">
        <f>IF(G5926="","",G5926*0.20)</f>
        <v/>
      </c>
      <c r="K5926" s="8">
        <f>IF(G5926="","",G5926+J5926)</f>
        <v/>
      </c>
    </row>
    <row r="5927">
      <c r="F5927" s="8" t="n"/>
      <c r="G5927" s="8">
        <f>IF(E5927="","",E5927*F5927)</f>
        <v/>
      </c>
      <c r="H5927" s="8">
        <f>IF(G5927="","",G5927-I5927)</f>
        <v/>
      </c>
      <c r="I5927" s="8">
        <f>IF(D5927="","",VLOOKUP(D5927, RECETTES!B:G, 6, FALSE)*E5927)</f>
        <v/>
      </c>
      <c r="J5927" s="8">
        <f>IF(G5927="","",G5927*0.20)</f>
        <v/>
      </c>
      <c r="K5927" s="8">
        <f>IF(G5927="","",G5927+J5927)</f>
        <v/>
      </c>
    </row>
    <row r="5928">
      <c r="F5928" s="8" t="n"/>
      <c r="G5928" s="8">
        <f>IF(E5928="","",E5928*F5928)</f>
        <v/>
      </c>
      <c r="H5928" s="8">
        <f>IF(G5928="","",G5928-I5928)</f>
        <v/>
      </c>
      <c r="I5928" s="8">
        <f>IF(D5928="","",VLOOKUP(D5928, RECETTES!B:G, 6, FALSE)*E5928)</f>
        <v/>
      </c>
      <c r="J5928" s="8">
        <f>IF(G5928="","",G5928*0.20)</f>
        <v/>
      </c>
      <c r="K5928" s="8">
        <f>IF(G5928="","",G5928+J5928)</f>
        <v/>
      </c>
    </row>
    <row r="5929">
      <c r="F5929" s="8" t="n"/>
      <c r="G5929" s="8">
        <f>IF(E5929="","",E5929*F5929)</f>
        <v/>
      </c>
      <c r="H5929" s="8">
        <f>IF(G5929="","",G5929-I5929)</f>
        <v/>
      </c>
      <c r="I5929" s="8">
        <f>IF(D5929="","",VLOOKUP(D5929, RECETTES!B:G, 6, FALSE)*E5929)</f>
        <v/>
      </c>
      <c r="J5929" s="8">
        <f>IF(G5929="","",G5929*0.20)</f>
        <v/>
      </c>
      <c r="K5929" s="8">
        <f>IF(G5929="","",G5929+J5929)</f>
        <v/>
      </c>
    </row>
    <row r="5930">
      <c r="F5930" s="8" t="n"/>
      <c r="G5930" s="8">
        <f>IF(E5930="","",E5930*F5930)</f>
        <v/>
      </c>
      <c r="H5930" s="8">
        <f>IF(G5930="","",G5930-I5930)</f>
        <v/>
      </c>
      <c r="I5930" s="8">
        <f>IF(D5930="","",VLOOKUP(D5930, RECETTES!B:G, 6, FALSE)*E5930)</f>
        <v/>
      </c>
      <c r="J5930" s="8">
        <f>IF(G5930="","",G5930*0.20)</f>
        <v/>
      </c>
      <c r="K5930" s="8">
        <f>IF(G5930="","",G5930+J5930)</f>
        <v/>
      </c>
    </row>
    <row r="5931">
      <c r="F5931" s="8" t="n"/>
      <c r="G5931" s="8">
        <f>IF(E5931="","",E5931*F5931)</f>
        <v/>
      </c>
      <c r="H5931" s="8">
        <f>IF(G5931="","",G5931-I5931)</f>
        <v/>
      </c>
      <c r="I5931" s="8">
        <f>IF(D5931="","",VLOOKUP(D5931, RECETTES!B:G, 6, FALSE)*E5931)</f>
        <v/>
      </c>
      <c r="J5931" s="8">
        <f>IF(G5931="","",G5931*0.20)</f>
        <v/>
      </c>
      <c r="K5931" s="8">
        <f>IF(G5931="","",G5931+J5931)</f>
        <v/>
      </c>
    </row>
    <row r="5932">
      <c r="F5932" s="8" t="n"/>
      <c r="G5932" s="8">
        <f>IF(E5932="","",E5932*F5932)</f>
        <v/>
      </c>
      <c r="H5932" s="8">
        <f>IF(G5932="","",G5932-I5932)</f>
        <v/>
      </c>
      <c r="I5932" s="8">
        <f>IF(D5932="","",VLOOKUP(D5932, RECETTES!B:G, 6, FALSE)*E5932)</f>
        <v/>
      </c>
      <c r="J5932" s="8">
        <f>IF(G5932="","",G5932*0.20)</f>
        <v/>
      </c>
      <c r="K5932" s="8">
        <f>IF(G5932="","",G5932+J5932)</f>
        <v/>
      </c>
    </row>
    <row r="5933">
      <c r="F5933" s="8" t="n"/>
      <c r="G5933" s="8">
        <f>IF(E5933="","",E5933*F5933)</f>
        <v/>
      </c>
      <c r="H5933" s="8">
        <f>IF(G5933="","",G5933-I5933)</f>
        <v/>
      </c>
      <c r="I5933" s="8">
        <f>IF(D5933="","",VLOOKUP(D5933, RECETTES!B:G, 6, FALSE)*E5933)</f>
        <v/>
      </c>
      <c r="J5933" s="8">
        <f>IF(G5933="","",G5933*0.20)</f>
        <v/>
      </c>
      <c r="K5933" s="8">
        <f>IF(G5933="","",G5933+J5933)</f>
        <v/>
      </c>
    </row>
    <row r="5934">
      <c r="F5934" s="8" t="n"/>
      <c r="G5934" s="8">
        <f>IF(E5934="","",E5934*F5934)</f>
        <v/>
      </c>
      <c r="H5934" s="8">
        <f>IF(G5934="","",G5934-I5934)</f>
        <v/>
      </c>
      <c r="I5934" s="8">
        <f>IF(D5934="","",VLOOKUP(D5934, RECETTES!B:G, 6, FALSE)*E5934)</f>
        <v/>
      </c>
      <c r="J5934" s="8">
        <f>IF(G5934="","",G5934*0.20)</f>
        <v/>
      </c>
      <c r="K5934" s="8">
        <f>IF(G5934="","",G5934+J5934)</f>
        <v/>
      </c>
    </row>
    <row r="5935">
      <c r="F5935" s="8" t="n"/>
      <c r="G5935" s="8">
        <f>IF(E5935="","",E5935*F5935)</f>
        <v/>
      </c>
      <c r="H5935" s="8">
        <f>IF(G5935="","",G5935-I5935)</f>
        <v/>
      </c>
      <c r="I5935" s="8">
        <f>IF(D5935="","",VLOOKUP(D5935, RECETTES!B:G, 6, FALSE)*E5935)</f>
        <v/>
      </c>
      <c r="J5935" s="8">
        <f>IF(G5935="","",G5935*0.20)</f>
        <v/>
      </c>
      <c r="K5935" s="8">
        <f>IF(G5935="","",G5935+J5935)</f>
        <v/>
      </c>
    </row>
    <row r="5936">
      <c r="F5936" s="8" t="n"/>
      <c r="G5936" s="8">
        <f>IF(E5936="","",E5936*F5936)</f>
        <v/>
      </c>
      <c r="H5936" s="8">
        <f>IF(G5936="","",G5936-I5936)</f>
        <v/>
      </c>
      <c r="I5936" s="8">
        <f>IF(D5936="","",VLOOKUP(D5936, RECETTES!B:G, 6, FALSE)*E5936)</f>
        <v/>
      </c>
      <c r="J5936" s="8">
        <f>IF(G5936="","",G5936*0.20)</f>
        <v/>
      </c>
      <c r="K5936" s="8">
        <f>IF(G5936="","",G5936+J5936)</f>
        <v/>
      </c>
    </row>
    <row r="5937">
      <c r="F5937" s="8" t="n"/>
      <c r="G5937" s="8">
        <f>IF(E5937="","",E5937*F5937)</f>
        <v/>
      </c>
      <c r="H5937" s="8">
        <f>IF(G5937="","",G5937-I5937)</f>
        <v/>
      </c>
      <c r="I5937" s="8">
        <f>IF(D5937="","",VLOOKUP(D5937, RECETTES!B:G, 6, FALSE)*E5937)</f>
        <v/>
      </c>
      <c r="J5937" s="8">
        <f>IF(G5937="","",G5937*0.20)</f>
        <v/>
      </c>
      <c r="K5937" s="8">
        <f>IF(G5937="","",G5937+J5937)</f>
        <v/>
      </c>
    </row>
    <row r="5938">
      <c r="F5938" s="8" t="n"/>
      <c r="G5938" s="8">
        <f>IF(E5938="","",E5938*F5938)</f>
        <v/>
      </c>
      <c r="H5938" s="8">
        <f>IF(G5938="","",G5938-I5938)</f>
        <v/>
      </c>
      <c r="I5938" s="8">
        <f>IF(D5938="","",VLOOKUP(D5938, RECETTES!B:G, 6, FALSE)*E5938)</f>
        <v/>
      </c>
      <c r="J5938" s="8">
        <f>IF(G5938="","",G5938*0.20)</f>
        <v/>
      </c>
      <c r="K5938" s="8">
        <f>IF(G5938="","",G5938+J5938)</f>
        <v/>
      </c>
    </row>
    <row r="5939">
      <c r="F5939" s="8" t="n"/>
      <c r="G5939" s="8">
        <f>IF(E5939="","",E5939*F5939)</f>
        <v/>
      </c>
      <c r="H5939" s="8">
        <f>IF(G5939="","",G5939-I5939)</f>
        <v/>
      </c>
      <c r="I5939" s="8">
        <f>IF(D5939="","",VLOOKUP(D5939, RECETTES!B:G, 6, FALSE)*E5939)</f>
        <v/>
      </c>
      <c r="J5939" s="8">
        <f>IF(G5939="","",G5939*0.20)</f>
        <v/>
      </c>
      <c r="K5939" s="8">
        <f>IF(G5939="","",G5939+J5939)</f>
        <v/>
      </c>
    </row>
    <row r="5940">
      <c r="F5940" s="8" t="n"/>
      <c r="G5940" s="8">
        <f>IF(E5940="","",E5940*F5940)</f>
        <v/>
      </c>
      <c r="H5940" s="8">
        <f>IF(G5940="","",G5940-I5940)</f>
        <v/>
      </c>
      <c r="I5940" s="8">
        <f>IF(D5940="","",VLOOKUP(D5940, RECETTES!B:G, 6, FALSE)*E5940)</f>
        <v/>
      </c>
      <c r="J5940" s="8">
        <f>IF(G5940="","",G5940*0.20)</f>
        <v/>
      </c>
      <c r="K5940" s="8">
        <f>IF(G5940="","",G5940+J5940)</f>
        <v/>
      </c>
    </row>
    <row r="5941">
      <c r="F5941" s="8" t="n"/>
      <c r="G5941" s="8">
        <f>IF(E5941="","",E5941*F5941)</f>
        <v/>
      </c>
      <c r="H5941" s="8">
        <f>IF(G5941="","",G5941-I5941)</f>
        <v/>
      </c>
      <c r="I5941" s="8">
        <f>IF(D5941="","",VLOOKUP(D5941, RECETTES!B:G, 6, FALSE)*E5941)</f>
        <v/>
      </c>
      <c r="J5941" s="8">
        <f>IF(G5941="","",G5941*0.20)</f>
        <v/>
      </c>
      <c r="K5941" s="8">
        <f>IF(G5941="","",G5941+J5941)</f>
        <v/>
      </c>
    </row>
    <row r="5942">
      <c r="F5942" s="8" t="n"/>
      <c r="G5942" s="8">
        <f>IF(E5942="","",E5942*F5942)</f>
        <v/>
      </c>
      <c r="H5942" s="8">
        <f>IF(G5942="","",G5942-I5942)</f>
        <v/>
      </c>
      <c r="I5942" s="8">
        <f>IF(D5942="","",VLOOKUP(D5942, RECETTES!B:G, 6, FALSE)*E5942)</f>
        <v/>
      </c>
      <c r="J5942" s="8">
        <f>IF(G5942="","",G5942*0.20)</f>
        <v/>
      </c>
      <c r="K5942" s="8">
        <f>IF(G5942="","",G5942+J5942)</f>
        <v/>
      </c>
    </row>
    <row r="5943">
      <c r="F5943" s="8" t="n"/>
      <c r="G5943" s="8">
        <f>IF(E5943="","",E5943*F5943)</f>
        <v/>
      </c>
      <c r="H5943" s="8">
        <f>IF(G5943="","",G5943-I5943)</f>
        <v/>
      </c>
      <c r="I5943" s="8">
        <f>IF(D5943="","",VLOOKUP(D5943, RECETTES!B:G, 6, FALSE)*E5943)</f>
        <v/>
      </c>
      <c r="J5943" s="8">
        <f>IF(G5943="","",G5943*0.20)</f>
        <v/>
      </c>
      <c r="K5943" s="8">
        <f>IF(G5943="","",G5943+J5943)</f>
        <v/>
      </c>
    </row>
    <row r="5944">
      <c r="F5944" s="8" t="n"/>
      <c r="G5944" s="8">
        <f>IF(E5944="","",E5944*F5944)</f>
        <v/>
      </c>
      <c r="H5944" s="8">
        <f>IF(G5944="","",G5944-I5944)</f>
        <v/>
      </c>
      <c r="I5944" s="8">
        <f>IF(D5944="","",VLOOKUP(D5944, RECETTES!B:G, 6, FALSE)*E5944)</f>
        <v/>
      </c>
      <c r="J5944" s="8">
        <f>IF(G5944="","",G5944*0.20)</f>
        <v/>
      </c>
      <c r="K5944" s="8">
        <f>IF(G5944="","",G5944+J5944)</f>
        <v/>
      </c>
    </row>
    <row r="5945">
      <c r="F5945" s="8" t="n"/>
      <c r="G5945" s="8">
        <f>IF(E5945="","",E5945*F5945)</f>
        <v/>
      </c>
      <c r="H5945" s="8">
        <f>IF(G5945="","",G5945-I5945)</f>
        <v/>
      </c>
      <c r="I5945" s="8">
        <f>IF(D5945="","",VLOOKUP(D5945, RECETTES!B:G, 6, FALSE)*E5945)</f>
        <v/>
      </c>
      <c r="J5945" s="8">
        <f>IF(G5945="","",G5945*0.20)</f>
        <v/>
      </c>
      <c r="K5945" s="8">
        <f>IF(G5945="","",G5945+J5945)</f>
        <v/>
      </c>
    </row>
    <row r="5946">
      <c r="F5946" s="8" t="n"/>
      <c r="G5946" s="8">
        <f>IF(E5946="","",E5946*F5946)</f>
        <v/>
      </c>
      <c r="H5946" s="8">
        <f>IF(G5946="","",G5946-I5946)</f>
        <v/>
      </c>
      <c r="I5946" s="8">
        <f>IF(D5946="","",VLOOKUP(D5946, RECETTES!B:G, 6, FALSE)*E5946)</f>
        <v/>
      </c>
      <c r="J5946" s="8">
        <f>IF(G5946="","",G5946*0.20)</f>
        <v/>
      </c>
      <c r="K5946" s="8">
        <f>IF(G5946="","",G5946+J5946)</f>
        <v/>
      </c>
    </row>
    <row r="5947">
      <c r="F5947" s="8" t="n"/>
      <c r="G5947" s="8">
        <f>IF(E5947="","",E5947*F5947)</f>
        <v/>
      </c>
      <c r="H5947" s="8">
        <f>IF(G5947="","",G5947-I5947)</f>
        <v/>
      </c>
      <c r="I5947" s="8">
        <f>IF(D5947="","",VLOOKUP(D5947, RECETTES!B:G, 6, FALSE)*E5947)</f>
        <v/>
      </c>
      <c r="J5947" s="8">
        <f>IF(G5947="","",G5947*0.20)</f>
        <v/>
      </c>
      <c r="K5947" s="8">
        <f>IF(G5947="","",G5947+J5947)</f>
        <v/>
      </c>
    </row>
    <row r="5948">
      <c r="F5948" s="8" t="n"/>
      <c r="G5948" s="8">
        <f>IF(E5948="","",E5948*F5948)</f>
        <v/>
      </c>
      <c r="H5948" s="8">
        <f>IF(G5948="","",G5948-I5948)</f>
        <v/>
      </c>
      <c r="I5948" s="8">
        <f>IF(D5948="","",VLOOKUP(D5948, RECETTES!B:G, 6, FALSE)*E5948)</f>
        <v/>
      </c>
      <c r="J5948" s="8">
        <f>IF(G5948="","",G5948*0.20)</f>
        <v/>
      </c>
      <c r="K5948" s="8">
        <f>IF(G5948="","",G5948+J5948)</f>
        <v/>
      </c>
    </row>
    <row r="5949">
      <c r="F5949" s="8" t="n"/>
      <c r="G5949" s="8">
        <f>IF(E5949="","",E5949*F5949)</f>
        <v/>
      </c>
      <c r="H5949" s="8">
        <f>IF(G5949="","",G5949-I5949)</f>
        <v/>
      </c>
      <c r="I5949" s="8">
        <f>IF(D5949="","",VLOOKUP(D5949, RECETTES!B:G, 6, FALSE)*E5949)</f>
        <v/>
      </c>
      <c r="J5949" s="8">
        <f>IF(G5949="","",G5949*0.20)</f>
        <v/>
      </c>
      <c r="K5949" s="8">
        <f>IF(G5949="","",G5949+J5949)</f>
        <v/>
      </c>
    </row>
    <row r="5950">
      <c r="F5950" s="8" t="n"/>
      <c r="G5950" s="8">
        <f>IF(E5950="","",E5950*F5950)</f>
        <v/>
      </c>
      <c r="H5950" s="8">
        <f>IF(G5950="","",G5950-I5950)</f>
        <v/>
      </c>
      <c r="I5950" s="8">
        <f>IF(D5950="","",VLOOKUP(D5950, RECETTES!B:G, 6, FALSE)*E5950)</f>
        <v/>
      </c>
      <c r="J5950" s="8">
        <f>IF(G5950="","",G5950*0.20)</f>
        <v/>
      </c>
      <c r="K5950" s="8">
        <f>IF(G5950="","",G5950+J5950)</f>
        <v/>
      </c>
    </row>
    <row r="5951">
      <c r="F5951" s="8" t="n"/>
      <c r="G5951" s="8">
        <f>IF(E5951="","",E5951*F5951)</f>
        <v/>
      </c>
      <c r="H5951" s="8">
        <f>IF(G5951="","",G5951-I5951)</f>
        <v/>
      </c>
      <c r="I5951" s="8">
        <f>IF(D5951="","",VLOOKUP(D5951, RECETTES!B:G, 6, FALSE)*E5951)</f>
        <v/>
      </c>
      <c r="J5951" s="8">
        <f>IF(G5951="","",G5951*0.20)</f>
        <v/>
      </c>
      <c r="K5951" s="8">
        <f>IF(G5951="","",G5951+J5951)</f>
        <v/>
      </c>
    </row>
    <row r="5952">
      <c r="F5952" s="8" t="n"/>
      <c r="G5952" s="8">
        <f>IF(E5952="","",E5952*F5952)</f>
        <v/>
      </c>
      <c r="H5952" s="8">
        <f>IF(G5952="","",G5952-I5952)</f>
        <v/>
      </c>
      <c r="I5952" s="8">
        <f>IF(D5952="","",VLOOKUP(D5952, RECETTES!B:G, 6, FALSE)*E5952)</f>
        <v/>
      </c>
      <c r="J5952" s="8">
        <f>IF(G5952="","",G5952*0.20)</f>
        <v/>
      </c>
      <c r="K5952" s="8">
        <f>IF(G5952="","",G5952+J5952)</f>
        <v/>
      </c>
    </row>
    <row r="5953">
      <c r="F5953" s="8" t="n"/>
      <c r="G5953" s="8">
        <f>IF(E5953="","",E5953*F5953)</f>
        <v/>
      </c>
      <c r="H5953" s="8">
        <f>IF(G5953="","",G5953-I5953)</f>
        <v/>
      </c>
      <c r="I5953" s="8">
        <f>IF(D5953="","",VLOOKUP(D5953, RECETTES!B:G, 6, FALSE)*E5953)</f>
        <v/>
      </c>
      <c r="J5953" s="8">
        <f>IF(G5953="","",G5953*0.20)</f>
        <v/>
      </c>
      <c r="K5953" s="8">
        <f>IF(G5953="","",G5953+J5953)</f>
        <v/>
      </c>
    </row>
    <row r="5954">
      <c r="F5954" s="8" t="n"/>
      <c r="G5954" s="8">
        <f>IF(E5954="","",E5954*F5954)</f>
        <v/>
      </c>
      <c r="H5954" s="8">
        <f>IF(G5954="","",G5954-I5954)</f>
        <v/>
      </c>
      <c r="I5954" s="8">
        <f>IF(D5954="","",VLOOKUP(D5954, RECETTES!B:G, 6, FALSE)*E5954)</f>
        <v/>
      </c>
      <c r="J5954" s="8">
        <f>IF(G5954="","",G5954*0.20)</f>
        <v/>
      </c>
      <c r="K5954" s="8">
        <f>IF(G5954="","",G5954+J5954)</f>
        <v/>
      </c>
    </row>
    <row r="5955">
      <c r="F5955" s="8" t="n"/>
      <c r="G5955" s="8">
        <f>IF(E5955="","",E5955*F5955)</f>
        <v/>
      </c>
      <c r="H5955" s="8">
        <f>IF(G5955="","",G5955-I5955)</f>
        <v/>
      </c>
      <c r="I5955" s="8">
        <f>IF(D5955="","",VLOOKUP(D5955, RECETTES!B:G, 6, FALSE)*E5955)</f>
        <v/>
      </c>
      <c r="J5955" s="8">
        <f>IF(G5955="","",G5955*0.20)</f>
        <v/>
      </c>
      <c r="K5955" s="8">
        <f>IF(G5955="","",G5955+J5955)</f>
        <v/>
      </c>
    </row>
    <row r="5956">
      <c r="F5956" s="8" t="n"/>
      <c r="G5956" s="8">
        <f>IF(E5956="","",E5956*F5956)</f>
        <v/>
      </c>
      <c r="H5956" s="8">
        <f>IF(G5956="","",G5956-I5956)</f>
        <v/>
      </c>
      <c r="I5956" s="8">
        <f>IF(D5956="","",VLOOKUP(D5956, RECETTES!B:G, 6, FALSE)*E5956)</f>
        <v/>
      </c>
      <c r="J5956" s="8">
        <f>IF(G5956="","",G5956*0.20)</f>
        <v/>
      </c>
      <c r="K5956" s="8">
        <f>IF(G5956="","",G5956+J5956)</f>
        <v/>
      </c>
    </row>
    <row r="5957">
      <c r="F5957" s="8" t="n"/>
      <c r="G5957" s="8">
        <f>IF(E5957="","",E5957*F5957)</f>
        <v/>
      </c>
      <c r="H5957" s="8">
        <f>IF(G5957="","",G5957-I5957)</f>
        <v/>
      </c>
      <c r="I5957" s="8">
        <f>IF(D5957="","",VLOOKUP(D5957, RECETTES!B:G, 6, FALSE)*E5957)</f>
        <v/>
      </c>
      <c r="J5957" s="8">
        <f>IF(G5957="","",G5957*0.20)</f>
        <v/>
      </c>
      <c r="K5957" s="8">
        <f>IF(G5957="","",G5957+J5957)</f>
        <v/>
      </c>
    </row>
    <row r="5958">
      <c r="F5958" s="8" t="n"/>
      <c r="G5958" s="8">
        <f>IF(E5958="","",E5958*F5958)</f>
        <v/>
      </c>
      <c r="H5958" s="8">
        <f>IF(G5958="","",G5958-I5958)</f>
        <v/>
      </c>
      <c r="I5958" s="8">
        <f>IF(D5958="","",VLOOKUP(D5958, RECETTES!B:G, 6, FALSE)*E5958)</f>
        <v/>
      </c>
      <c r="J5958" s="8">
        <f>IF(G5958="","",G5958*0.20)</f>
        <v/>
      </c>
      <c r="K5958" s="8">
        <f>IF(G5958="","",G5958+J5958)</f>
        <v/>
      </c>
    </row>
    <row r="5959">
      <c r="F5959" s="8" t="n"/>
      <c r="G5959" s="8">
        <f>IF(E5959="","",E5959*F5959)</f>
        <v/>
      </c>
      <c r="H5959" s="8">
        <f>IF(G5959="","",G5959-I5959)</f>
        <v/>
      </c>
      <c r="I5959" s="8">
        <f>IF(D5959="","",VLOOKUP(D5959, RECETTES!B:G, 6, FALSE)*E5959)</f>
        <v/>
      </c>
      <c r="J5959" s="8">
        <f>IF(G5959="","",G5959*0.20)</f>
        <v/>
      </c>
      <c r="K5959" s="8">
        <f>IF(G5959="","",G5959+J5959)</f>
        <v/>
      </c>
    </row>
    <row r="5960">
      <c r="F5960" s="8" t="n"/>
      <c r="G5960" s="8">
        <f>IF(E5960="","",E5960*F5960)</f>
        <v/>
      </c>
      <c r="H5960" s="8">
        <f>IF(G5960="","",G5960-I5960)</f>
        <v/>
      </c>
      <c r="I5960" s="8">
        <f>IF(D5960="","",VLOOKUP(D5960, RECETTES!B:G, 6, FALSE)*E5960)</f>
        <v/>
      </c>
      <c r="J5960" s="8">
        <f>IF(G5960="","",G5960*0.20)</f>
        <v/>
      </c>
      <c r="K5960" s="8">
        <f>IF(G5960="","",G5960+J5960)</f>
        <v/>
      </c>
    </row>
    <row r="5961">
      <c r="F5961" s="8" t="n"/>
      <c r="G5961" s="8">
        <f>IF(E5961="","",E5961*F5961)</f>
        <v/>
      </c>
      <c r="H5961" s="8">
        <f>IF(G5961="","",G5961-I5961)</f>
        <v/>
      </c>
      <c r="I5961" s="8">
        <f>IF(D5961="","",VLOOKUP(D5961, RECETTES!B:G, 6, FALSE)*E5961)</f>
        <v/>
      </c>
      <c r="J5961" s="8">
        <f>IF(G5961="","",G5961*0.20)</f>
        <v/>
      </c>
      <c r="K5961" s="8">
        <f>IF(G5961="","",G5961+J5961)</f>
        <v/>
      </c>
    </row>
    <row r="5962">
      <c r="F5962" s="8" t="n"/>
      <c r="G5962" s="8">
        <f>IF(E5962="","",E5962*F5962)</f>
        <v/>
      </c>
      <c r="H5962" s="8">
        <f>IF(G5962="","",G5962-I5962)</f>
        <v/>
      </c>
      <c r="I5962" s="8">
        <f>IF(D5962="","",VLOOKUP(D5962, RECETTES!B:G, 6, FALSE)*E5962)</f>
        <v/>
      </c>
      <c r="J5962" s="8">
        <f>IF(G5962="","",G5962*0.20)</f>
        <v/>
      </c>
      <c r="K5962" s="8">
        <f>IF(G5962="","",G5962+J5962)</f>
        <v/>
      </c>
    </row>
    <row r="5963">
      <c r="F5963" s="8" t="n"/>
      <c r="G5963" s="8">
        <f>IF(E5963="","",E5963*F5963)</f>
        <v/>
      </c>
      <c r="H5963" s="8">
        <f>IF(G5963="","",G5963-I5963)</f>
        <v/>
      </c>
      <c r="I5963" s="8">
        <f>IF(D5963="","",VLOOKUP(D5963, RECETTES!B:G, 6, FALSE)*E5963)</f>
        <v/>
      </c>
      <c r="J5963" s="8">
        <f>IF(G5963="","",G5963*0.20)</f>
        <v/>
      </c>
      <c r="K5963" s="8">
        <f>IF(G5963="","",G5963+J5963)</f>
        <v/>
      </c>
    </row>
    <row r="5964">
      <c r="F5964" s="8" t="n"/>
      <c r="G5964" s="8">
        <f>IF(E5964="","",E5964*F5964)</f>
        <v/>
      </c>
      <c r="H5964" s="8">
        <f>IF(G5964="","",G5964-I5964)</f>
        <v/>
      </c>
      <c r="I5964" s="8">
        <f>IF(D5964="","",VLOOKUP(D5964, RECETTES!B:G, 6, FALSE)*E5964)</f>
        <v/>
      </c>
      <c r="J5964" s="8">
        <f>IF(G5964="","",G5964*0.20)</f>
        <v/>
      </c>
      <c r="K5964" s="8">
        <f>IF(G5964="","",G5964+J5964)</f>
        <v/>
      </c>
    </row>
    <row r="5965">
      <c r="F5965" s="8" t="n"/>
      <c r="G5965" s="8">
        <f>IF(E5965="","",E5965*F5965)</f>
        <v/>
      </c>
      <c r="H5965" s="8">
        <f>IF(G5965="","",G5965-I5965)</f>
        <v/>
      </c>
      <c r="I5965" s="8">
        <f>IF(D5965="","",VLOOKUP(D5965, RECETTES!B:G, 6, FALSE)*E5965)</f>
        <v/>
      </c>
      <c r="J5965" s="8">
        <f>IF(G5965="","",G5965*0.20)</f>
        <v/>
      </c>
      <c r="K5965" s="8">
        <f>IF(G5965="","",G5965+J5965)</f>
        <v/>
      </c>
    </row>
    <row r="5966">
      <c r="F5966" s="8" t="n"/>
      <c r="G5966" s="8">
        <f>IF(E5966="","",E5966*F5966)</f>
        <v/>
      </c>
      <c r="H5966" s="8">
        <f>IF(G5966="","",G5966-I5966)</f>
        <v/>
      </c>
      <c r="I5966" s="8">
        <f>IF(D5966="","",VLOOKUP(D5966, RECETTES!B:G, 6, FALSE)*E5966)</f>
        <v/>
      </c>
      <c r="J5966" s="8">
        <f>IF(G5966="","",G5966*0.20)</f>
        <v/>
      </c>
      <c r="K5966" s="8">
        <f>IF(G5966="","",G5966+J5966)</f>
        <v/>
      </c>
    </row>
    <row r="5967">
      <c r="F5967" s="8" t="n"/>
      <c r="G5967" s="8">
        <f>IF(E5967="","",E5967*F5967)</f>
        <v/>
      </c>
      <c r="H5967" s="8">
        <f>IF(G5967="","",G5967-I5967)</f>
        <v/>
      </c>
      <c r="I5967" s="8">
        <f>IF(D5967="","",VLOOKUP(D5967, RECETTES!B:G, 6, FALSE)*E5967)</f>
        <v/>
      </c>
      <c r="J5967" s="8">
        <f>IF(G5967="","",G5967*0.20)</f>
        <v/>
      </c>
      <c r="K5967" s="8">
        <f>IF(G5967="","",G5967+J5967)</f>
        <v/>
      </c>
    </row>
    <row r="5968">
      <c r="F5968" s="8" t="n"/>
      <c r="G5968" s="8">
        <f>IF(E5968="","",E5968*F5968)</f>
        <v/>
      </c>
      <c r="H5968" s="8">
        <f>IF(G5968="","",G5968-I5968)</f>
        <v/>
      </c>
      <c r="I5968" s="8">
        <f>IF(D5968="","",VLOOKUP(D5968, RECETTES!B:G, 6, FALSE)*E5968)</f>
        <v/>
      </c>
      <c r="J5968" s="8">
        <f>IF(G5968="","",G5968*0.20)</f>
        <v/>
      </c>
      <c r="K5968" s="8">
        <f>IF(G5968="","",G5968+J5968)</f>
        <v/>
      </c>
    </row>
    <row r="5969">
      <c r="F5969" s="8" t="n"/>
      <c r="G5969" s="8">
        <f>IF(E5969="","",E5969*F5969)</f>
        <v/>
      </c>
      <c r="H5969" s="8">
        <f>IF(G5969="","",G5969-I5969)</f>
        <v/>
      </c>
      <c r="I5969" s="8">
        <f>IF(D5969="","",VLOOKUP(D5969, RECETTES!B:G, 6, FALSE)*E5969)</f>
        <v/>
      </c>
      <c r="J5969" s="8">
        <f>IF(G5969="","",G5969*0.20)</f>
        <v/>
      </c>
      <c r="K5969" s="8">
        <f>IF(G5969="","",G5969+J5969)</f>
        <v/>
      </c>
    </row>
    <row r="5970">
      <c r="F5970" s="8" t="n"/>
      <c r="G5970" s="8">
        <f>IF(E5970="","",E5970*F5970)</f>
        <v/>
      </c>
      <c r="H5970" s="8">
        <f>IF(G5970="","",G5970-I5970)</f>
        <v/>
      </c>
      <c r="I5970" s="8">
        <f>IF(D5970="","",VLOOKUP(D5970, RECETTES!B:G, 6, FALSE)*E5970)</f>
        <v/>
      </c>
      <c r="J5970" s="8">
        <f>IF(G5970="","",G5970*0.20)</f>
        <v/>
      </c>
      <c r="K5970" s="8">
        <f>IF(G5970="","",G5970+J5970)</f>
        <v/>
      </c>
    </row>
    <row r="5971">
      <c r="F5971" s="8" t="n"/>
      <c r="G5971" s="8">
        <f>IF(E5971="","",E5971*F5971)</f>
        <v/>
      </c>
      <c r="H5971" s="8">
        <f>IF(G5971="","",G5971-I5971)</f>
        <v/>
      </c>
      <c r="I5971" s="8">
        <f>IF(D5971="","",VLOOKUP(D5971, RECETTES!B:G, 6, FALSE)*E5971)</f>
        <v/>
      </c>
      <c r="J5971" s="8">
        <f>IF(G5971="","",G5971*0.20)</f>
        <v/>
      </c>
      <c r="K5971" s="8">
        <f>IF(G5971="","",G5971+J5971)</f>
        <v/>
      </c>
    </row>
    <row r="5972">
      <c r="F5972" s="8" t="n"/>
      <c r="G5972" s="8">
        <f>IF(E5972="","",E5972*F5972)</f>
        <v/>
      </c>
      <c r="H5972" s="8">
        <f>IF(G5972="","",G5972-I5972)</f>
        <v/>
      </c>
      <c r="I5972" s="8">
        <f>IF(D5972="","",VLOOKUP(D5972, RECETTES!B:G, 6, FALSE)*E5972)</f>
        <v/>
      </c>
      <c r="J5972" s="8">
        <f>IF(G5972="","",G5972*0.20)</f>
        <v/>
      </c>
      <c r="K5972" s="8">
        <f>IF(G5972="","",G5972+J5972)</f>
        <v/>
      </c>
    </row>
    <row r="5973">
      <c r="F5973" s="8" t="n"/>
      <c r="G5973" s="8">
        <f>IF(E5973="","",E5973*F5973)</f>
        <v/>
      </c>
      <c r="H5973" s="8">
        <f>IF(G5973="","",G5973-I5973)</f>
        <v/>
      </c>
      <c r="I5973" s="8">
        <f>IF(D5973="","",VLOOKUP(D5973, RECETTES!B:G, 6, FALSE)*E5973)</f>
        <v/>
      </c>
      <c r="J5973" s="8">
        <f>IF(G5973="","",G5973*0.20)</f>
        <v/>
      </c>
      <c r="K5973" s="8">
        <f>IF(G5973="","",G5973+J5973)</f>
        <v/>
      </c>
    </row>
    <row r="5974">
      <c r="F5974" s="8" t="n"/>
      <c r="G5974" s="8">
        <f>IF(E5974="","",E5974*F5974)</f>
        <v/>
      </c>
      <c r="H5974" s="8">
        <f>IF(G5974="","",G5974-I5974)</f>
        <v/>
      </c>
      <c r="I5974" s="8">
        <f>IF(D5974="","",VLOOKUP(D5974, RECETTES!B:G, 6, FALSE)*E5974)</f>
        <v/>
      </c>
      <c r="J5974" s="8">
        <f>IF(G5974="","",G5974*0.20)</f>
        <v/>
      </c>
      <c r="K5974" s="8">
        <f>IF(G5974="","",G5974+J5974)</f>
        <v/>
      </c>
    </row>
    <row r="5975">
      <c r="F5975" s="8" t="n"/>
      <c r="G5975" s="8">
        <f>IF(E5975="","",E5975*F5975)</f>
        <v/>
      </c>
      <c r="H5975" s="8">
        <f>IF(G5975="","",G5975-I5975)</f>
        <v/>
      </c>
      <c r="I5975" s="8">
        <f>IF(D5975="","",VLOOKUP(D5975, RECETTES!B:G, 6, FALSE)*E5975)</f>
        <v/>
      </c>
      <c r="J5975" s="8">
        <f>IF(G5975="","",G5975*0.20)</f>
        <v/>
      </c>
      <c r="K5975" s="8">
        <f>IF(G5975="","",G5975+J5975)</f>
        <v/>
      </c>
    </row>
    <row r="5976">
      <c r="F5976" s="8" t="n"/>
      <c r="G5976" s="8">
        <f>IF(E5976="","",E5976*F5976)</f>
        <v/>
      </c>
      <c r="H5976" s="8">
        <f>IF(G5976="","",G5976-I5976)</f>
        <v/>
      </c>
      <c r="I5976" s="8">
        <f>IF(D5976="","",VLOOKUP(D5976, RECETTES!B:G, 6, FALSE)*E5976)</f>
        <v/>
      </c>
      <c r="J5976" s="8">
        <f>IF(G5976="","",G5976*0.20)</f>
        <v/>
      </c>
      <c r="K5976" s="8">
        <f>IF(G5976="","",G5976+J5976)</f>
        <v/>
      </c>
    </row>
    <row r="5977">
      <c r="F5977" s="8" t="n"/>
      <c r="G5977" s="8">
        <f>IF(E5977="","",E5977*F5977)</f>
        <v/>
      </c>
      <c r="H5977" s="8">
        <f>IF(G5977="","",G5977-I5977)</f>
        <v/>
      </c>
      <c r="I5977" s="8">
        <f>IF(D5977="","",VLOOKUP(D5977, RECETTES!B:G, 6, FALSE)*E5977)</f>
        <v/>
      </c>
      <c r="J5977" s="8">
        <f>IF(G5977="","",G5977*0.20)</f>
        <v/>
      </c>
      <c r="K5977" s="8">
        <f>IF(G5977="","",G5977+J5977)</f>
        <v/>
      </c>
    </row>
    <row r="5978">
      <c r="F5978" s="8" t="n"/>
      <c r="G5978" s="8">
        <f>IF(E5978="","",E5978*F5978)</f>
        <v/>
      </c>
      <c r="H5978" s="8">
        <f>IF(G5978="","",G5978-I5978)</f>
        <v/>
      </c>
      <c r="I5978" s="8">
        <f>IF(D5978="","",VLOOKUP(D5978, RECETTES!B:G, 6, FALSE)*E5978)</f>
        <v/>
      </c>
      <c r="J5978" s="8">
        <f>IF(G5978="","",G5978*0.20)</f>
        <v/>
      </c>
      <c r="K5978" s="8">
        <f>IF(G5978="","",G5978+J5978)</f>
        <v/>
      </c>
    </row>
    <row r="5979">
      <c r="F5979" s="8" t="n"/>
      <c r="G5979" s="8">
        <f>IF(E5979="","",E5979*F5979)</f>
        <v/>
      </c>
      <c r="H5979" s="8">
        <f>IF(G5979="","",G5979-I5979)</f>
        <v/>
      </c>
      <c r="I5979" s="8">
        <f>IF(D5979="","",VLOOKUP(D5979, RECETTES!B:G, 6, FALSE)*E5979)</f>
        <v/>
      </c>
      <c r="J5979" s="8">
        <f>IF(G5979="","",G5979*0.20)</f>
        <v/>
      </c>
      <c r="K5979" s="8">
        <f>IF(G5979="","",G5979+J5979)</f>
        <v/>
      </c>
    </row>
    <row r="5980">
      <c r="F5980" s="8" t="n"/>
      <c r="G5980" s="8">
        <f>IF(E5980="","",E5980*F5980)</f>
        <v/>
      </c>
      <c r="H5980" s="8">
        <f>IF(G5980="","",G5980-I5980)</f>
        <v/>
      </c>
      <c r="I5980" s="8">
        <f>IF(D5980="","",VLOOKUP(D5980, RECETTES!B:G, 6, FALSE)*E5980)</f>
        <v/>
      </c>
      <c r="J5980" s="8">
        <f>IF(G5980="","",G5980*0.20)</f>
        <v/>
      </c>
      <c r="K5980" s="8">
        <f>IF(G5980="","",G5980+J5980)</f>
        <v/>
      </c>
    </row>
    <row r="5981">
      <c r="F5981" s="8" t="n"/>
      <c r="G5981" s="8">
        <f>IF(E5981="","",E5981*F5981)</f>
        <v/>
      </c>
      <c r="H5981" s="8">
        <f>IF(G5981="","",G5981-I5981)</f>
        <v/>
      </c>
      <c r="I5981" s="8">
        <f>IF(D5981="","",VLOOKUP(D5981, RECETTES!B:G, 6, FALSE)*E5981)</f>
        <v/>
      </c>
      <c r="J5981" s="8">
        <f>IF(G5981="","",G5981*0.20)</f>
        <v/>
      </c>
      <c r="K5981" s="8">
        <f>IF(G5981="","",G5981+J5981)</f>
        <v/>
      </c>
    </row>
    <row r="5982">
      <c r="F5982" s="8" t="n"/>
      <c r="G5982" s="8">
        <f>IF(E5982="","",E5982*F5982)</f>
        <v/>
      </c>
      <c r="H5982" s="8">
        <f>IF(G5982="","",G5982-I5982)</f>
        <v/>
      </c>
      <c r="I5982" s="8">
        <f>IF(D5982="","",VLOOKUP(D5982, RECETTES!B:G, 6, FALSE)*E5982)</f>
        <v/>
      </c>
      <c r="J5982" s="8">
        <f>IF(G5982="","",G5982*0.20)</f>
        <v/>
      </c>
      <c r="K5982" s="8">
        <f>IF(G5982="","",G5982+J5982)</f>
        <v/>
      </c>
    </row>
    <row r="5983">
      <c r="F5983" s="8" t="n"/>
      <c r="G5983" s="8">
        <f>IF(E5983="","",E5983*F5983)</f>
        <v/>
      </c>
      <c r="H5983" s="8">
        <f>IF(G5983="","",G5983-I5983)</f>
        <v/>
      </c>
      <c r="I5983" s="8">
        <f>IF(D5983="","",VLOOKUP(D5983, RECETTES!B:G, 6, FALSE)*E5983)</f>
        <v/>
      </c>
      <c r="J5983" s="8">
        <f>IF(G5983="","",G5983*0.20)</f>
        <v/>
      </c>
      <c r="K5983" s="8">
        <f>IF(G5983="","",G5983+J5983)</f>
        <v/>
      </c>
    </row>
    <row r="5984">
      <c r="F5984" s="8" t="n"/>
      <c r="G5984" s="8">
        <f>IF(E5984="","",E5984*F5984)</f>
        <v/>
      </c>
      <c r="H5984" s="8">
        <f>IF(G5984="","",G5984-I5984)</f>
        <v/>
      </c>
      <c r="I5984" s="8">
        <f>IF(D5984="","",VLOOKUP(D5984, RECETTES!B:G, 6, FALSE)*E5984)</f>
        <v/>
      </c>
      <c r="J5984" s="8">
        <f>IF(G5984="","",G5984*0.20)</f>
        <v/>
      </c>
      <c r="K5984" s="8">
        <f>IF(G5984="","",G5984+J5984)</f>
        <v/>
      </c>
    </row>
    <row r="5985">
      <c r="F5985" s="8" t="n"/>
      <c r="G5985" s="8">
        <f>IF(E5985="","",E5985*F5985)</f>
        <v/>
      </c>
      <c r="H5985" s="8">
        <f>IF(G5985="","",G5985-I5985)</f>
        <v/>
      </c>
      <c r="I5985" s="8">
        <f>IF(D5985="","",VLOOKUP(D5985, RECETTES!B:G, 6, FALSE)*E5985)</f>
        <v/>
      </c>
      <c r="J5985" s="8">
        <f>IF(G5985="","",G5985*0.20)</f>
        <v/>
      </c>
      <c r="K5985" s="8">
        <f>IF(G5985="","",G5985+J5985)</f>
        <v/>
      </c>
    </row>
    <row r="5986">
      <c r="F5986" s="8" t="n"/>
      <c r="G5986" s="8">
        <f>IF(E5986="","",E5986*F5986)</f>
        <v/>
      </c>
      <c r="H5986" s="8">
        <f>IF(G5986="","",G5986-I5986)</f>
        <v/>
      </c>
      <c r="I5986" s="8">
        <f>IF(D5986="","",VLOOKUP(D5986, RECETTES!B:G, 6, FALSE)*E5986)</f>
        <v/>
      </c>
      <c r="J5986" s="8">
        <f>IF(G5986="","",G5986*0.20)</f>
        <v/>
      </c>
      <c r="K5986" s="8">
        <f>IF(G5986="","",G5986+J5986)</f>
        <v/>
      </c>
    </row>
    <row r="5987">
      <c r="F5987" s="8" t="n"/>
      <c r="G5987" s="8">
        <f>IF(E5987="","",E5987*F5987)</f>
        <v/>
      </c>
      <c r="H5987" s="8">
        <f>IF(G5987="","",G5987-I5987)</f>
        <v/>
      </c>
      <c r="I5987" s="8">
        <f>IF(D5987="","",VLOOKUP(D5987, RECETTES!B:G, 6, FALSE)*E5987)</f>
        <v/>
      </c>
      <c r="J5987" s="8">
        <f>IF(G5987="","",G5987*0.20)</f>
        <v/>
      </c>
      <c r="K5987" s="8">
        <f>IF(G5987="","",G5987+J5987)</f>
        <v/>
      </c>
    </row>
    <row r="5988">
      <c r="F5988" s="8" t="n"/>
      <c r="G5988" s="8">
        <f>IF(E5988="","",E5988*F5988)</f>
        <v/>
      </c>
      <c r="H5988" s="8">
        <f>IF(G5988="","",G5988-I5988)</f>
        <v/>
      </c>
      <c r="I5988" s="8">
        <f>IF(D5988="","",VLOOKUP(D5988, RECETTES!B:G, 6, FALSE)*E5988)</f>
        <v/>
      </c>
      <c r="J5988" s="8">
        <f>IF(G5988="","",G5988*0.20)</f>
        <v/>
      </c>
      <c r="K5988" s="8">
        <f>IF(G5988="","",G5988+J5988)</f>
        <v/>
      </c>
    </row>
    <row r="5989">
      <c r="F5989" s="8" t="n"/>
      <c r="G5989" s="8">
        <f>IF(E5989="","",E5989*F5989)</f>
        <v/>
      </c>
      <c r="H5989" s="8">
        <f>IF(G5989="","",G5989-I5989)</f>
        <v/>
      </c>
      <c r="I5989" s="8">
        <f>IF(D5989="","",VLOOKUP(D5989, RECETTES!B:G, 6, FALSE)*E5989)</f>
        <v/>
      </c>
      <c r="J5989" s="8">
        <f>IF(G5989="","",G5989*0.20)</f>
        <v/>
      </c>
      <c r="K5989" s="8">
        <f>IF(G5989="","",G5989+J5989)</f>
        <v/>
      </c>
    </row>
    <row r="5990">
      <c r="F5990" s="8" t="n"/>
      <c r="G5990" s="8">
        <f>IF(E5990="","",E5990*F5990)</f>
        <v/>
      </c>
      <c r="H5990" s="8">
        <f>IF(G5990="","",G5990-I5990)</f>
        <v/>
      </c>
      <c r="I5990" s="8">
        <f>IF(D5990="","",VLOOKUP(D5990, RECETTES!B:G, 6, FALSE)*E5990)</f>
        <v/>
      </c>
      <c r="J5990" s="8">
        <f>IF(G5990="","",G5990*0.20)</f>
        <v/>
      </c>
      <c r="K5990" s="8">
        <f>IF(G5990="","",G5990+J5990)</f>
        <v/>
      </c>
    </row>
    <row r="5991">
      <c r="F5991" s="8" t="n"/>
      <c r="G5991" s="8">
        <f>IF(E5991="","",E5991*F5991)</f>
        <v/>
      </c>
      <c r="H5991" s="8">
        <f>IF(G5991="","",G5991-I5991)</f>
        <v/>
      </c>
      <c r="I5991" s="8">
        <f>IF(D5991="","",VLOOKUP(D5991, RECETTES!B:G, 6, FALSE)*E5991)</f>
        <v/>
      </c>
      <c r="J5991" s="8">
        <f>IF(G5991="","",G5991*0.20)</f>
        <v/>
      </c>
      <c r="K5991" s="8">
        <f>IF(G5991="","",G5991+J5991)</f>
        <v/>
      </c>
    </row>
    <row r="5992">
      <c r="F5992" s="8" t="n"/>
      <c r="G5992" s="8">
        <f>IF(E5992="","",E5992*F5992)</f>
        <v/>
      </c>
      <c r="H5992" s="8">
        <f>IF(G5992="","",G5992-I5992)</f>
        <v/>
      </c>
      <c r="I5992" s="8">
        <f>IF(D5992="","",VLOOKUP(D5992, RECETTES!B:G, 6, FALSE)*E5992)</f>
        <v/>
      </c>
      <c r="J5992" s="8">
        <f>IF(G5992="","",G5992*0.20)</f>
        <v/>
      </c>
      <c r="K5992" s="8">
        <f>IF(G5992="","",G5992+J5992)</f>
        <v/>
      </c>
    </row>
    <row r="5993">
      <c r="F5993" s="8" t="n"/>
      <c r="G5993" s="8">
        <f>IF(E5993="","",E5993*F5993)</f>
        <v/>
      </c>
      <c r="H5993" s="8">
        <f>IF(G5993="","",G5993-I5993)</f>
        <v/>
      </c>
      <c r="I5993" s="8">
        <f>IF(D5993="","",VLOOKUP(D5993, RECETTES!B:G, 6, FALSE)*E5993)</f>
        <v/>
      </c>
      <c r="J5993" s="8">
        <f>IF(G5993="","",G5993*0.20)</f>
        <v/>
      </c>
      <c r="K5993" s="8">
        <f>IF(G5993="","",G5993+J5993)</f>
        <v/>
      </c>
    </row>
    <row r="5994">
      <c r="F5994" s="8" t="n"/>
      <c r="G5994" s="8">
        <f>IF(E5994="","",E5994*F5994)</f>
        <v/>
      </c>
      <c r="H5994" s="8">
        <f>IF(G5994="","",G5994-I5994)</f>
        <v/>
      </c>
      <c r="I5994" s="8">
        <f>IF(D5994="","",VLOOKUP(D5994, RECETTES!B:G, 6, FALSE)*E5994)</f>
        <v/>
      </c>
      <c r="J5994" s="8">
        <f>IF(G5994="","",G5994*0.20)</f>
        <v/>
      </c>
      <c r="K5994" s="8">
        <f>IF(G5994="","",G5994+J5994)</f>
        <v/>
      </c>
    </row>
    <row r="5995">
      <c r="F5995" s="8" t="n"/>
      <c r="G5995" s="8">
        <f>IF(E5995="","",E5995*F5995)</f>
        <v/>
      </c>
      <c r="H5995" s="8">
        <f>IF(G5995="","",G5995-I5995)</f>
        <v/>
      </c>
      <c r="I5995" s="8">
        <f>IF(D5995="","",VLOOKUP(D5995, RECETTES!B:G, 6, FALSE)*E5995)</f>
        <v/>
      </c>
      <c r="J5995" s="8">
        <f>IF(G5995="","",G5995*0.20)</f>
        <v/>
      </c>
      <c r="K5995" s="8">
        <f>IF(G5995="","",G5995+J5995)</f>
        <v/>
      </c>
    </row>
    <row r="5996">
      <c r="F5996" s="8" t="n"/>
      <c r="G5996" s="8">
        <f>IF(E5996="","",E5996*F5996)</f>
        <v/>
      </c>
      <c r="H5996" s="8">
        <f>IF(G5996="","",G5996-I5996)</f>
        <v/>
      </c>
      <c r="I5996" s="8">
        <f>IF(D5996="","",VLOOKUP(D5996, RECETTES!B:G, 6, FALSE)*E5996)</f>
        <v/>
      </c>
      <c r="J5996" s="8">
        <f>IF(G5996="","",G5996*0.20)</f>
        <v/>
      </c>
      <c r="K5996" s="8">
        <f>IF(G5996="","",G5996+J5996)</f>
        <v/>
      </c>
    </row>
    <row r="5997">
      <c r="F5997" s="8" t="n"/>
      <c r="G5997" s="8">
        <f>IF(E5997="","",E5997*F5997)</f>
        <v/>
      </c>
      <c r="H5997" s="8">
        <f>IF(G5997="","",G5997-I5997)</f>
        <v/>
      </c>
      <c r="I5997" s="8">
        <f>IF(D5997="","",VLOOKUP(D5997, RECETTES!B:G, 6, FALSE)*E5997)</f>
        <v/>
      </c>
      <c r="J5997" s="8">
        <f>IF(G5997="","",G5997*0.20)</f>
        <v/>
      </c>
      <c r="K5997" s="8">
        <f>IF(G5997="","",G5997+J5997)</f>
        <v/>
      </c>
    </row>
    <row r="5998">
      <c r="F5998" s="8" t="n"/>
      <c r="G5998" s="8">
        <f>IF(E5998="","",E5998*F5998)</f>
        <v/>
      </c>
      <c r="H5998" s="8">
        <f>IF(G5998="","",G5998-I5998)</f>
        <v/>
      </c>
      <c r="I5998" s="8">
        <f>IF(D5998="","",VLOOKUP(D5998, RECETTES!B:G, 6, FALSE)*E5998)</f>
        <v/>
      </c>
      <c r="J5998" s="8">
        <f>IF(G5998="","",G5998*0.20)</f>
        <v/>
      </c>
      <c r="K5998" s="8">
        <f>IF(G5998="","",G5998+J5998)</f>
        <v/>
      </c>
    </row>
    <row r="5999">
      <c r="F5999" s="8" t="n"/>
      <c r="G5999" s="8">
        <f>IF(E5999="","",E5999*F5999)</f>
        <v/>
      </c>
      <c r="H5999" s="8">
        <f>IF(G5999="","",G5999-I5999)</f>
        <v/>
      </c>
      <c r="I5999" s="8">
        <f>IF(D5999="","",VLOOKUP(D5999, RECETTES!B:G, 6, FALSE)*E5999)</f>
        <v/>
      </c>
      <c r="J5999" s="8">
        <f>IF(G5999="","",G5999*0.20)</f>
        <v/>
      </c>
      <c r="K5999" s="8">
        <f>IF(G5999="","",G5999+J5999)</f>
        <v/>
      </c>
    </row>
    <row r="6000">
      <c r="F6000" s="8" t="n"/>
      <c r="G6000" s="8">
        <f>IF(E6000="","",E6000*F6000)</f>
        <v/>
      </c>
      <c r="H6000" s="8">
        <f>IF(G6000="","",G6000-I6000)</f>
        <v/>
      </c>
      <c r="I6000" s="8">
        <f>IF(D6000="","",VLOOKUP(D6000, RECETTES!B:G, 6, FALSE)*E6000)</f>
        <v/>
      </c>
      <c r="J6000" s="8">
        <f>IF(G6000="","",G6000*0.20)</f>
        <v/>
      </c>
      <c r="K6000" s="8">
        <f>IF(G6000="","",G6000+J6000)</f>
        <v/>
      </c>
    </row>
    <row r="6001">
      <c r="F6001" s="8" t="n"/>
      <c r="G6001" s="8">
        <f>IF(E6001="","",E6001*F6001)</f>
        <v/>
      </c>
      <c r="H6001" s="8">
        <f>IF(G6001="","",G6001-I6001)</f>
        <v/>
      </c>
      <c r="I6001" s="8">
        <f>IF(D6001="","",VLOOKUP(D6001, RECETTES!B:G, 6, FALSE)*E6001)</f>
        <v/>
      </c>
      <c r="J6001" s="8">
        <f>IF(G6001="","",G6001*0.20)</f>
        <v/>
      </c>
      <c r="K6001" s="8">
        <f>IF(G6001="","",G6001+J6001)</f>
        <v/>
      </c>
    </row>
    <row r="6002">
      <c r="F6002" s="8" t="n"/>
      <c r="G6002" s="8">
        <f>IF(E6002="","",E6002*F6002)</f>
        <v/>
      </c>
      <c r="H6002" s="8">
        <f>IF(G6002="","",G6002-I6002)</f>
        <v/>
      </c>
      <c r="I6002" s="8">
        <f>IF(D6002="","",VLOOKUP(D6002, RECETTES!B:G, 6, FALSE)*E6002)</f>
        <v/>
      </c>
      <c r="J6002" s="8">
        <f>IF(G6002="","",G6002*0.20)</f>
        <v/>
      </c>
      <c r="K6002" s="8">
        <f>IF(G6002="","",G6002+J6002)</f>
        <v/>
      </c>
    </row>
    <row r="6003">
      <c r="F6003" s="8" t="n"/>
      <c r="G6003" s="8">
        <f>IF(E6003="","",E6003*F6003)</f>
        <v/>
      </c>
      <c r="H6003" s="8">
        <f>IF(G6003="","",G6003-I6003)</f>
        <v/>
      </c>
      <c r="I6003" s="8">
        <f>IF(D6003="","",VLOOKUP(D6003, RECETTES!B:G, 6, FALSE)*E6003)</f>
        <v/>
      </c>
      <c r="J6003" s="8">
        <f>IF(G6003="","",G6003*0.20)</f>
        <v/>
      </c>
      <c r="K6003" s="8">
        <f>IF(G6003="","",G6003+J6003)</f>
        <v/>
      </c>
    </row>
    <row r="6004">
      <c r="F6004" s="8" t="n"/>
      <c r="G6004" s="8">
        <f>IF(E6004="","",E6004*F6004)</f>
        <v/>
      </c>
      <c r="H6004" s="8">
        <f>IF(G6004="","",G6004-I6004)</f>
        <v/>
      </c>
      <c r="I6004" s="8">
        <f>IF(D6004="","",VLOOKUP(D6004, RECETTES!B:G, 6, FALSE)*E6004)</f>
        <v/>
      </c>
      <c r="J6004" s="8">
        <f>IF(G6004="","",G6004*0.20)</f>
        <v/>
      </c>
      <c r="K6004" s="8">
        <f>IF(G6004="","",G6004+J6004)</f>
        <v/>
      </c>
    </row>
    <row r="6005">
      <c r="F6005" s="8" t="n"/>
      <c r="G6005" s="8">
        <f>IF(E6005="","",E6005*F6005)</f>
        <v/>
      </c>
      <c r="H6005" s="8">
        <f>IF(G6005="","",G6005-I6005)</f>
        <v/>
      </c>
      <c r="I6005" s="8">
        <f>IF(D6005="","",VLOOKUP(D6005, RECETTES!B:G, 6, FALSE)*E6005)</f>
        <v/>
      </c>
      <c r="J6005" s="8">
        <f>IF(G6005="","",G6005*0.20)</f>
        <v/>
      </c>
      <c r="K6005" s="8">
        <f>IF(G6005="","",G6005+J6005)</f>
        <v/>
      </c>
    </row>
    <row r="6006">
      <c r="F6006" s="8" t="n"/>
      <c r="G6006" s="8">
        <f>IF(E6006="","",E6006*F6006)</f>
        <v/>
      </c>
      <c r="H6006" s="8">
        <f>IF(G6006="","",G6006-I6006)</f>
        <v/>
      </c>
      <c r="I6006" s="8">
        <f>IF(D6006="","",VLOOKUP(D6006, RECETTES!B:G, 6, FALSE)*E6006)</f>
        <v/>
      </c>
      <c r="J6006" s="8">
        <f>IF(G6006="","",G6006*0.20)</f>
        <v/>
      </c>
      <c r="K6006" s="8">
        <f>IF(G6006="","",G6006+J6006)</f>
        <v/>
      </c>
    </row>
    <row r="6007">
      <c r="F6007" s="8" t="n"/>
      <c r="G6007" s="8">
        <f>IF(E6007="","",E6007*F6007)</f>
        <v/>
      </c>
      <c r="H6007" s="8">
        <f>IF(G6007="","",G6007-I6007)</f>
        <v/>
      </c>
      <c r="I6007" s="8">
        <f>IF(D6007="","",VLOOKUP(D6007, RECETTES!B:G, 6, FALSE)*E6007)</f>
        <v/>
      </c>
      <c r="J6007" s="8">
        <f>IF(G6007="","",G6007*0.20)</f>
        <v/>
      </c>
      <c r="K6007" s="8">
        <f>IF(G6007="","",G6007+J6007)</f>
        <v/>
      </c>
    </row>
    <row r="6008">
      <c r="F6008" s="8" t="n"/>
      <c r="G6008" s="8">
        <f>IF(E6008="","",E6008*F6008)</f>
        <v/>
      </c>
      <c r="H6008" s="8">
        <f>IF(G6008="","",G6008-I6008)</f>
        <v/>
      </c>
      <c r="I6008" s="8">
        <f>IF(D6008="","",VLOOKUP(D6008, RECETTES!B:G, 6, FALSE)*E6008)</f>
        <v/>
      </c>
      <c r="J6008" s="8">
        <f>IF(G6008="","",G6008*0.20)</f>
        <v/>
      </c>
      <c r="K6008" s="8">
        <f>IF(G6008="","",G6008+J6008)</f>
        <v/>
      </c>
    </row>
    <row r="6009">
      <c r="F6009" s="8" t="n"/>
      <c r="G6009" s="8">
        <f>IF(E6009="","",E6009*F6009)</f>
        <v/>
      </c>
      <c r="H6009" s="8">
        <f>IF(G6009="","",G6009-I6009)</f>
        <v/>
      </c>
      <c r="I6009" s="8">
        <f>IF(D6009="","",VLOOKUP(D6009, RECETTES!B:G, 6, FALSE)*E6009)</f>
        <v/>
      </c>
      <c r="J6009" s="8">
        <f>IF(G6009="","",G6009*0.20)</f>
        <v/>
      </c>
      <c r="K6009" s="8">
        <f>IF(G6009="","",G6009+J6009)</f>
        <v/>
      </c>
    </row>
    <row r="6010">
      <c r="F6010" s="8" t="n"/>
      <c r="G6010" s="8">
        <f>IF(E6010="","",E6010*F6010)</f>
        <v/>
      </c>
      <c r="H6010" s="8">
        <f>IF(G6010="","",G6010-I6010)</f>
        <v/>
      </c>
      <c r="I6010" s="8">
        <f>IF(D6010="","",VLOOKUP(D6010, RECETTES!B:G, 6, FALSE)*E6010)</f>
        <v/>
      </c>
      <c r="J6010" s="8">
        <f>IF(G6010="","",G6010*0.20)</f>
        <v/>
      </c>
      <c r="K6010" s="8">
        <f>IF(G6010="","",G6010+J6010)</f>
        <v/>
      </c>
    </row>
    <row r="6011">
      <c r="F6011" s="8" t="n"/>
      <c r="G6011" s="8">
        <f>IF(E6011="","",E6011*F6011)</f>
        <v/>
      </c>
      <c r="H6011" s="8">
        <f>IF(G6011="","",G6011-I6011)</f>
        <v/>
      </c>
      <c r="I6011" s="8">
        <f>IF(D6011="","",VLOOKUP(D6011, RECETTES!B:G, 6, FALSE)*E6011)</f>
        <v/>
      </c>
      <c r="J6011" s="8">
        <f>IF(G6011="","",G6011*0.20)</f>
        <v/>
      </c>
      <c r="K6011" s="8">
        <f>IF(G6011="","",G6011+J6011)</f>
        <v/>
      </c>
    </row>
    <row r="6012">
      <c r="F6012" s="8" t="n"/>
      <c r="G6012" s="8">
        <f>IF(E6012="","",E6012*F6012)</f>
        <v/>
      </c>
      <c r="H6012" s="8">
        <f>IF(G6012="","",G6012-I6012)</f>
        <v/>
      </c>
      <c r="I6012" s="8">
        <f>IF(D6012="","",VLOOKUP(D6012, RECETTES!B:G, 6, FALSE)*E6012)</f>
        <v/>
      </c>
      <c r="J6012" s="8">
        <f>IF(G6012="","",G6012*0.20)</f>
        <v/>
      </c>
      <c r="K6012" s="8">
        <f>IF(G6012="","",G6012+J6012)</f>
        <v/>
      </c>
    </row>
    <row r="6013">
      <c r="F6013" s="8" t="n"/>
      <c r="G6013" s="8">
        <f>IF(E6013="","",E6013*F6013)</f>
        <v/>
      </c>
      <c r="H6013" s="8">
        <f>IF(G6013="","",G6013-I6013)</f>
        <v/>
      </c>
      <c r="I6013" s="8">
        <f>IF(D6013="","",VLOOKUP(D6013, RECETTES!B:G, 6, FALSE)*E6013)</f>
        <v/>
      </c>
      <c r="J6013" s="8">
        <f>IF(G6013="","",G6013*0.20)</f>
        <v/>
      </c>
      <c r="K6013" s="8">
        <f>IF(G6013="","",G6013+J6013)</f>
        <v/>
      </c>
    </row>
    <row r="6014">
      <c r="F6014" s="8" t="n"/>
      <c r="G6014" s="8">
        <f>IF(E6014="","",E6014*F6014)</f>
        <v/>
      </c>
      <c r="H6014" s="8">
        <f>IF(G6014="","",G6014-I6014)</f>
        <v/>
      </c>
      <c r="I6014" s="8">
        <f>IF(D6014="","",VLOOKUP(D6014, RECETTES!B:G, 6, FALSE)*E6014)</f>
        <v/>
      </c>
      <c r="J6014" s="8">
        <f>IF(G6014="","",G6014*0.20)</f>
        <v/>
      </c>
      <c r="K6014" s="8">
        <f>IF(G6014="","",G6014+J6014)</f>
        <v/>
      </c>
    </row>
    <row r="6015">
      <c r="F6015" s="8" t="n"/>
      <c r="G6015" s="8">
        <f>IF(E6015="","",E6015*F6015)</f>
        <v/>
      </c>
      <c r="H6015" s="8">
        <f>IF(G6015="","",G6015-I6015)</f>
        <v/>
      </c>
      <c r="I6015" s="8">
        <f>IF(D6015="","",VLOOKUP(D6015, RECETTES!B:G, 6, FALSE)*E6015)</f>
        <v/>
      </c>
      <c r="J6015" s="8">
        <f>IF(G6015="","",G6015*0.20)</f>
        <v/>
      </c>
      <c r="K6015" s="8">
        <f>IF(G6015="","",G6015+J6015)</f>
        <v/>
      </c>
    </row>
    <row r="6016">
      <c r="F6016" s="8" t="n"/>
      <c r="G6016" s="8">
        <f>IF(E6016="","",E6016*F6016)</f>
        <v/>
      </c>
      <c r="H6016" s="8">
        <f>IF(G6016="","",G6016-I6016)</f>
        <v/>
      </c>
      <c r="I6016" s="8">
        <f>IF(D6016="","",VLOOKUP(D6016, RECETTES!B:G, 6, FALSE)*E6016)</f>
        <v/>
      </c>
      <c r="J6016" s="8">
        <f>IF(G6016="","",G6016*0.20)</f>
        <v/>
      </c>
      <c r="K6016" s="8">
        <f>IF(G6016="","",G6016+J6016)</f>
        <v/>
      </c>
    </row>
    <row r="6017">
      <c r="F6017" s="8" t="n"/>
      <c r="G6017" s="8">
        <f>IF(E6017="","",E6017*F6017)</f>
        <v/>
      </c>
      <c r="H6017" s="8">
        <f>IF(G6017="","",G6017-I6017)</f>
        <v/>
      </c>
      <c r="I6017" s="8">
        <f>IF(D6017="","",VLOOKUP(D6017, RECETTES!B:G, 6, FALSE)*E6017)</f>
        <v/>
      </c>
      <c r="J6017" s="8">
        <f>IF(G6017="","",G6017*0.20)</f>
        <v/>
      </c>
      <c r="K6017" s="8">
        <f>IF(G6017="","",G6017+J6017)</f>
        <v/>
      </c>
    </row>
    <row r="6018">
      <c r="F6018" s="8" t="n"/>
      <c r="G6018" s="8">
        <f>IF(E6018="","",E6018*F6018)</f>
        <v/>
      </c>
      <c r="H6018" s="8">
        <f>IF(G6018="","",G6018-I6018)</f>
        <v/>
      </c>
      <c r="I6018" s="8">
        <f>IF(D6018="","",VLOOKUP(D6018, RECETTES!B:G, 6, FALSE)*E6018)</f>
        <v/>
      </c>
      <c r="J6018" s="8">
        <f>IF(G6018="","",G6018*0.20)</f>
        <v/>
      </c>
      <c r="K6018" s="8">
        <f>IF(G6018="","",G6018+J6018)</f>
        <v/>
      </c>
    </row>
    <row r="6019">
      <c r="F6019" s="8" t="n"/>
      <c r="G6019" s="8">
        <f>IF(E6019="","",E6019*F6019)</f>
        <v/>
      </c>
      <c r="H6019" s="8">
        <f>IF(G6019="","",G6019-I6019)</f>
        <v/>
      </c>
      <c r="I6019" s="8">
        <f>IF(D6019="","",VLOOKUP(D6019, RECETTES!B:G, 6, FALSE)*E6019)</f>
        <v/>
      </c>
      <c r="J6019" s="8">
        <f>IF(G6019="","",G6019*0.20)</f>
        <v/>
      </c>
      <c r="K6019" s="8">
        <f>IF(G6019="","",G6019+J6019)</f>
        <v/>
      </c>
    </row>
    <row r="6020">
      <c r="F6020" s="8" t="n"/>
      <c r="G6020" s="8">
        <f>IF(E6020="","",E6020*F6020)</f>
        <v/>
      </c>
      <c r="H6020" s="8">
        <f>IF(G6020="","",G6020-I6020)</f>
        <v/>
      </c>
      <c r="I6020" s="8">
        <f>IF(D6020="","",VLOOKUP(D6020, RECETTES!B:G, 6, FALSE)*E6020)</f>
        <v/>
      </c>
      <c r="J6020" s="8">
        <f>IF(G6020="","",G6020*0.20)</f>
        <v/>
      </c>
      <c r="K6020" s="8">
        <f>IF(G6020="","",G6020+J6020)</f>
        <v/>
      </c>
    </row>
    <row r="6021">
      <c r="F6021" s="8" t="n"/>
      <c r="G6021" s="8">
        <f>IF(E6021="","",E6021*F6021)</f>
        <v/>
      </c>
      <c r="H6021" s="8">
        <f>IF(G6021="","",G6021-I6021)</f>
        <v/>
      </c>
      <c r="I6021" s="8">
        <f>IF(D6021="","",VLOOKUP(D6021, RECETTES!B:G, 6, FALSE)*E6021)</f>
        <v/>
      </c>
      <c r="J6021" s="8">
        <f>IF(G6021="","",G6021*0.20)</f>
        <v/>
      </c>
      <c r="K6021" s="8">
        <f>IF(G6021="","",G6021+J6021)</f>
        <v/>
      </c>
    </row>
    <row r="6022">
      <c r="F6022" s="8" t="n"/>
      <c r="G6022" s="8">
        <f>IF(E6022="","",E6022*F6022)</f>
        <v/>
      </c>
      <c r="H6022" s="8">
        <f>IF(G6022="","",G6022-I6022)</f>
        <v/>
      </c>
      <c r="I6022" s="8">
        <f>IF(D6022="","",VLOOKUP(D6022, RECETTES!B:G, 6, FALSE)*E6022)</f>
        <v/>
      </c>
      <c r="J6022" s="8">
        <f>IF(G6022="","",G6022*0.20)</f>
        <v/>
      </c>
      <c r="K6022" s="8">
        <f>IF(G6022="","",G6022+J6022)</f>
        <v/>
      </c>
    </row>
    <row r="6023">
      <c r="F6023" s="8" t="n"/>
      <c r="G6023" s="8">
        <f>IF(E6023="","",E6023*F6023)</f>
        <v/>
      </c>
      <c r="H6023" s="8">
        <f>IF(G6023="","",G6023-I6023)</f>
        <v/>
      </c>
      <c r="I6023" s="8">
        <f>IF(D6023="","",VLOOKUP(D6023, RECETTES!B:G, 6, FALSE)*E6023)</f>
        <v/>
      </c>
      <c r="J6023" s="8">
        <f>IF(G6023="","",G6023*0.20)</f>
        <v/>
      </c>
      <c r="K6023" s="8">
        <f>IF(G6023="","",G6023+J6023)</f>
        <v/>
      </c>
    </row>
    <row r="6024">
      <c r="F6024" s="8" t="n"/>
      <c r="G6024" s="8">
        <f>IF(E6024="","",E6024*F6024)</f>
        <v/>
      </c>
      <c r="H6024" s="8">
        <f>IF(G6024="","",G6024-I6024)</f>
        <v/>
      </c>
      <c r="I6024" s="8">
        <f>IF(D6024="","",VLOOKUP(D6024, RECETTES!B:G, 6, FALSE)*E6024)</f>
        <v/>
      </c>
      <c r="J6024" s="8">
        <f>IF(G6024="","",G6024*0.20)</f>
        <v/>
      </c>
      <c r="K6024" s="8">
        <f>IF(G6024="","",G6024+J6024)</f>
        <v/>
      </c>
    </row>
    <row r="6025">
      <c r="F6025" s="8" t="n"/>
      <c r="G6025" s="8">
        <f>IF(E6025="","",E6025*F6025)</f>
        <v/>
      </c>
      <c r="H6025" s="8">
        <f>IF(G6025="","",G6025-I6025)</f>
        <v/>
      </c>
      <c r="I6025" s="8">
        <f>IF(D6025="","",VLOOKUP(D6025, RECETTES!B:G, 6, FALSE)*E6025)</f>
        <v/>
      </c>
      <c r="J6025" s="8">
        <f>IF(G6025="","",G6025*0.20)</f>
        <v/>
      </c>
      <c r="K6025" s="8">
        <f>IF(G6025="","",G6025+J6025)</f>
        <v/>
      </c>
    </row>
    <row r="6026">
      <c r="F6026" s="8" t="n"/>
      <c r="G6026" s="8">
        <f>IF(E6026="","",E6026*F6026)</f>
        <v/>
      </c>
      <c r="H6026" s="8">
        <f>IF(G6026="","",G6026-I6026)</f>
        <v/>
      </c>
      <c r="I6026" s="8">
        <f>IF(D6026="","",VLOOKUP(D6026, RECETTES!B:G, 6, FALSE)*E6026)</f>
        <v/>
      </c>
      <c r="J6026" s="8">
        <f>IF(G6026="","",G6026*0.20)</f>
        <v/>
      </c>
      <c r="K6026" s="8">
        <f>IF(G6026="","",G6026+J6026)</f>
        <v/>
      </c>
    </row>
    <row r="6027">
      <c r="F6027" s="8" t="n"/>
      <c r="G6027" s="8">
        <f>IF(E6027="","",E6027*F6027)</f>
        <v/>
      </c>
      <c r="H6027" s="8">
        <f>IF(G6027="","",G6027-I6027)</f>
        <v/>
      </c>
      <c r="I6027" s="8">
        <f>IF(D6027="","",VLOOKUP(D6027, RECETTES!B:G, 6, FALSE)*E6027)</f>
        <v/>
      </c>
      <c r="J6027" s="8">
        <f>IF(G6027="","",G6027*0.20)</f>
        <v/>
      </c>
      <c r="K6027" s="8">
        <f>IF(G6027="","",G6027+J6027)</f>
        <v/>
      </c>
    </row>
    <row r="6028">
      <c r="F6028" s="8" t="n"/>
      <c r="G6028" s="8">
        <f>IF(E6028="","",E6028*F6028)</f>
        <v/>
      </c>
      <c r="H6028" s="8">
        <f>IF(G6028="","",G6028-I6028)</f>
        <v/>
      </c>
      <c r="I6028" s="8">
        <f>IF(D6028="","",VLOOKUP(D6028, RECETTES!B:G, 6, FALSE)*E6028)</f>
        <v/>
      </c>
      <c r="J6028" s="8">
        <f>IF(G6028="","",G6028*0.20)</f>
        <v/>
      </c>
      <c r="K6028" s="8">
        <f>IF(G6028="","",G6028+J6028)</f>
        <v/>
      </c>
    </row>
    <row r="6029">
      <c r="F6029" s="8" t="n"/>
      <c r="G6029" s="8">
        <f>IF(E6029="","",E6029*F6029)</f>
        <v/>
      </c>
      <c r="H6029" s="8">
        <f>IF(G6029="","",G6029-I6029)</f>
        <v/>
      </c>
      <c r="I6029" s="8">
        <f>IF(D6029="","",VLOOKUP(D6029, RECETTES!B:G, 6, FALSE)*E6029)</f>
        <v/>
      </c>
      <c r="J6029" s="8">
        <f>IF(G6029="","",G6029*0.20)</f>
        <v/>
      </c>
      <c r="K6029" s="8">
        <f>IF(G6029="","",G6029+J6029)</f>
        <v/>
      </c>
    </row>
    <row r="6030">
      <c r="F6030" s="8" t="n"/>
      <c r="G6030" s="8">
        <f>IF(E6030="","",E6030*F6030)</f>
        <v/>
      </c>
      <c r="H6030" s="8">
        <f>IF(G6030="","",G6030-I6030)</f>
        <v/>
      </c>
      <c r="I6030" s="8">
        <f>IF(D6030="","",VLOOKUP(D6030, RECETTES!B:G, 6, FALSE)*E6030)</f>
        <v/>
      </c>
      <c r="J6030" s="8">
        <f>IF(G6030="","",G6030*0.20)</f>
        <v/>
      </c>
      <c r="K6030" s="8">
        <f>IF(G6030="","",G6030+J6030)</f>
        <v/>
      </c>
    </row>
    <row r="6031">
      <c r="F6031" s="8" t="n"/>
      <c r="G6031" s="8">
        <f>IF(E6031="","",E6031*F6031)</f>
        <v/>
      </c>
      <c r="H6031" s="8">
        <f>IF(G6031="","",G6031-I6031)</f>
        <v/>
      </c>
      <c r="I6031" s="8">
        <f>IF(D6031="","",VLOOKUP(D6031, RECETTES!B:G, 6, FALSE)*E6031)</f>
        <v/>
      </c>
      <c r="J6031" s="8">
        <f>IF(G6031="","",G6031*0.20)</f>
        <v/>
      </c>
      <c r="K6031" s="8">
        <f>IF(G6031="","",G6031+J6031)</f>
        <v/>
      </c>
    </row>
    <row r="6032">
      <c r="F6032" s="8" t="n"/>
      <c r="G6032" s="8">
        <f>IF(E6032="","",E6032*F6032)</f>
        <v/>
      </c>
      <c r="H6032" s="8">
        <f>IF(G6032="","",G6032-I6032)</f>
        <v/>
      </c>
      <c r="I6032" s="8">
        <f>IF(D6032="","",VLOOKUP(D6032, RECETTES!B:G, 6, FALSE)*E6032)</f>
        <v/>
      </c>
      <c r="J6032" s="8">
        <f>IF(G6032="","",G6032*0.20)</f>
        <v/>
      </c>
      <c r="K6032" s="8">
        <f>IF(G6032="","",G6032+J6032)</f>
        <v/>
      </c>
    </row>
    <row r="6033">
      <c r="F6033" s="8" t="n"/>
      <c r="G6033" s="8">
        <f>IF(E6033="","",E6033*F6033)</f>
        <v/>
      </c>
      <c r="H6033" s="8">
        <f>IF(G6033="","",G6033-I6033)</f>
        <v/>
      </c>
      <c r="I6033" s="8">
        <f>IF(D6033="","",VLOOKUP(D6033, RECETTES!B:G, 6, FALSE)*E6033)</f>
        <v/>
      </c>
      <c r="J6033" s="8">
        <f>IF(G6033="","",G6033*0.20)</f>
        <v/>
      </c>
      <c r="K6033" s="8">
        <f>IF(G6033="","",G6033+J6033)</f>
        <v/>
      </c>
    </row>
    <row r="6034">
      <c r="F6034" s="8" t="n"/>
      <c r="G6034" s="8">
        <f>IF(E6034="","",E6034*F6034)</f>
        <v/>
      </c>
      <c r="H6034" s="8">
        <f>IF(G6034="","",G6034-I6034)</f>
        <v/>
      </c>
      <c r="I6034" s="8">
        <f>IF(D6034="","",VLOOKUP(D6034, RECETTES!B:G, 6, FALSE)*E6034)</f>
        <v/>
      </c>
      <c r="J6034" s="8">
        <f>IF(G6034="","",G6034*0.20)</f>
        <v/>
      </c>
      <c r="K6034" s="8">
        <f>IF(G6034="","",G6034+J6034)</f>
        <v/>
      </c>
    </row>
    <row r="6035">
      <c r="F6035" s="8" t="n"/>
      <c r="G6035" s="8">
        <f>IF(E6035="","",E6035*F6035)</f>
        <v/>
      </c>
      <c r="H6035" s="8">
        <f>IF(G6035="","",G6035-I6035)</f>
        <v/>
      </c>
      <c r="I6035" s="8">
        <f>IF(D6035="","",VLOOKUP(D6035, RECETTES!B:G, 6, FALSE)*E6035)</f>
        <v/>
      </c>
      <c r="J6035" s="8">
        <f>IF(G6035="","",G6035*0.20)</f>
        <v/>
      </c>
      <c r="K6035" s="8">
        <f>IF(G6035="","",G6035+J6035)</f>
        <v/>
      </c>
    </row>
    <row r="6036">
      <c r="F6036" s="8" t="n"/>
      <c r="G6036" s="8">
        <f>IF(E6036="","",E6036*F6036)</f>
        <v/>
      </c>
      <c r="H6036" s="8">
        <f>IF(G6036="","",G6036-I6036)</f>
        <v/>
      </c>
      <c r="I6036" s="8">
        <f>IF(D6036="","",VLOOKUP(D6036, RECETTES!B:G, 6, FALSE)*E6036)</f>
        <v/>
      </c>
      <c r="J6036" s="8">
        <f>IF(G6036="","",G6036*0.20)</f>
        <v/>
      </c>
      <c r="K6036" s="8">
        <f>IF(G6036="","",G6036+J6036)</f>
        <v/>
      </c>
    </row>
    <row r="6037">
      <c r="F6037" s="8" t="n"/>
      <c r="G6037" s="8">
        <f>IF(E6037="","",E6037*F6037)</f>
        <v/>
      </c>
      <c r="H6037" s="8">
        <f>IF(G6037="","",G6037-I6037)</f>
        <v/>
      </c>
      <c r="I6037" s="8">
        <f>IF(D6037="","",VLOOKUP(D6037, RECETTES!B:G, 6, FALSE)*E6037)</f>
        <v/>
      </c>
      <c r="J6037" s="8">
        <f>IF(G6037="","",G6037*0.20)</f>
        <v/>
      </c>
      <c r="K6037" s="8">
        <f>IF(G6037="","",G6037+J6037)</f>
        <v/>
      </c>
    </row>
    <row r="6038">
      <c r="F6038" s="8" t="n"/>
      <c r="G6038" s="8">
        <f>IF(E6038="","",E6038*F6038)</f>
        <v/>
      </c>
      <c r="H6038" s="8">
        <f>IF(G6038="","",G6038-I6038)</f>
        <v/>
      </c>
      <c r="I6038" s="8">
        <f>IF(D6038="","",VLOOKUP(D6038, RECETTES!B:G, 6, FALSE)*E6038)</f>
        <v/>
      </c>
      <c r="J6038" s="8">
        <f>IF(G6038="","",G6038*0.20)</f>
        <v/>
      </c>
      <c r="K6038" s="8">
        <f>IF(G6038="","",G6038+J6038)</f>
        <v/>
      </c>
    </row>
    <row r="6039">
      <c r="F6039" s="8" t="n"/>
      <c r="G6039" s="8">
        <f>IF(E6039="","",E6039*F6039)</f>
        <v/>
      </c>
      <c r="H6039" s="8">
        <f>IF(G6039="","",G6039-I6039)</f>
        <v/>
      </c>
      <c r="I6039" s="8">
        <f>IF(D6039="","",VLOOKUP(D6039, RECETTES!B:G, 6, FALSE)*E6039)</f>
        <v/>
      </c>
      <c r="J6039" s="8">
        <f>IF(G6039="","",G6039*0.20)</f>
        <v/>
      </c>
      <c r="K6039" s="8">
        <f>IF(G6039="","",G6039+J6039)</f>
        <v/>
      </c>
    </row>
    <row r="6040">
      <c r="F6040" s="8" t="n"/>
      <c r="G6040" s="8">
        <f>IF(E6040="","",E6040*F6040)</f>
        <v/>
      </c>
      <c r="H6040" s="8">
        <f>IF(G6040="","",G6040-I6040)</f>
        <v/>
      </c>
      <c r="I6040" s="8">
        <f>IF(D6040="","",VLOOKUP(D6040, RECETTES!B:G, 6, FALSE)*E6040)</f>
        <v/>
      </c>
      <c r="J6040" s="8">
        <f>IF(G6040="","",G6040*0.20)</f>
        <v/>
      </c>
      <c r="K6040" s="8">
        <f>IF(G6040="","",G6040+J6040)</f>
        <v/>
      </c>
    </row>
    <row r="6041">
      <c r="F6041" s="8" t="n"/>
      <c r="G6041" s="8">
        <f>IF(E6041="","",E6041*F6041)</f>
        <v/>
      </c>
      <c r="H6041" s="8">
        <f>IF(G6041="","",G6041-I6041)</f>
        <v/>
      </c>
      <c r="I6041" s="8">
        <f>IF(D6041="","",VLOOKUP(D6041, RECETTES!B:G, 6, FALSE)*E6041)</f>
        <v/>
      </c>
      <c r="J6041" s="8">
        <f>IF(G6041="","",G6041*0.20)</f>
        <v/>
      </c>
      <c r="K6041" s="8">
        <f>IF(G6041="","",G6041+J6041)</f>
        <v/>
      </c>
    </row>
    <row r="6042">
      <c r="F6042" s="8" t="n"/>
      <c r="G6042" s="8">
        <f>IF(E6042="","",E6042*F6042)</f>
        <v/>
      </c>
      <c r="H6042" s="8">
        <f>IF(G6042="","",G6042-I6042)</f>
        <v/>
      </c>
      <c r="I6042" s="8">
        <f>IF(D6042="","",VLOOKUP(D6042, RECETTES!B:G, 6, FALSE)*E6042)</f>
        <v/>
      </c>
      <c r="J6042" s="8">
        <f>IF(G6042="","",G6042*0.20)</f>
        <v/>
      </c>
      <c r="K6042" s="8">
        <f>IF(G6042="","",G6042+J6042)</f>
        <v/>
      </c>
    </row>
    <row r="6043">
      <c r="F6043" s="8" t="n"/>
      <c r="G6043" s="8">
        <f>IF(E6043="","",E6043*F6043)</f>
        <v/>
      </c>
      <c r="H6043" s="8">
        <f>IF(G6043="","",G6043-I6043)</f>
        <v/>
      </c>
      <c r="I6043" s="8">
        <f>IF(D6043="","",VLOOKUP(D6043, RECETTES!B:G, 6, FALSE)*E6043)</f>
        <v/>
      </c>
      <c r="J6043" s="8">
        <f>IF(G6043="","",G6043*0.20)</f>
        <v/>
      </c>
      <c r="K6043" s="8">
        <f>IF(G6043="","",G6043+J6043)</f>
        <v/>
      </c>
    </row>
    <row r="6044">
      <c r="F6044" s="8" t="n"/>
      <c r="G6044" s="8">
        <f>IF(E6044="","",E6044*F6044)</f>
        <v/>
      </c>
      <c r="H6044" s="8">
        <f>IF(G6044="","",G6044-I6044)</f>
        <v/>
      </c>
      <c r="I6044" s="8">
        <f>IF(D6044="","",VLOOKUP(D6044, RECETTES!B:G, 6, FALSE)*E6044)</f>
        <v/>
      </c>
      <c r="J6044" s="8">
        <f>IF(G6044="","",G6044*0.20)</f>
        <v/>
      </c>
      <c r="K6044" s="8">
        <f>IF(G6044="","",G6044+J6044)</f>
        <v/>
      </c>
    </row>
    <row r="6045">
      <c r="F6045" s="8" t="n"/>
      <c r="G6045" s="8">
        <f>IF(E6045="","",E6045*F6045)</f>
        <v/>
      </c>
      <c r="H6045" s="8">
        <f>IF(G6045="","",G6045-I6045)</f>
        <v/>
      </c>
      <c r="I6045" s="8">
        <f>IF(D6045="","",VLOOKUP(D6045, RECETTES!B:G, 6, FALSE)*E6045)</f>
        <v/>
      </c>
      <c r="J6045" s="8">
        <f>IF(G6045="","",G6045*0.20)</f>
        <v/>
      </c>
      <c r="K6045" s="8">
        <f>IF(G6045="","",G6045+J6045)</f>
        <v/>
      </c>
    </row>
    <row r="6046">
      <c r="F6046" s="8" t="n"/>
      <c r="G6046" s="8">
        <f>IF(E6046="","",E6046*F6046)</f>
        <v/>
      </c>
      <c r="H6046" s="8">
        <f>IF(G6046="","",G6046-I6046)</f>
        <v/>
      </c>
      <c r="I6046" s="8">
        <f>IF(D6046="","",VLOOKUP(D6046, RECETTES!B:G, 6, FALSE)*E6046)</f>
        <v/>
      </c>
      <c r="J6046" s="8">
        <f>IF(G6046="","",G6046*0.20)</f>
        <v/>
      </c>
      <c r="K6046" s="8">
        <f>IF(G6046="","",G6046+J6046)</f>
        <v/>
      </c>
    </row>
    <row r="6047">
      <c r="F6047" s="8" t="n"/>
      <c r="G6047" s="8">
        <f>IF(E6047="","",E6047*F6047)</f>
        <v/>
      </c>
      <c r="H6047" s="8">
        <f>IF(G6047="","",G6047-I6047)</f>
        <v/>
      </c>
      <c r="I6047" s="8">
        <f>IF(D6047="","",VLOOKUP(D6047, RECETTES!B:G, 6, FALSE)*E6047)</f>
        <v/>
      </c>
      <c r="J6047" s="8">
        <f>IF(G6047="","",G6047*0.20)</f>
        <v/>
      </c>
      <c r="K6047" s="8">
        <f>IF(G6047="","",G6047+J6047)</f>
        <v/>
      </c>
    </row>
    <row r="6048">
      <c r="F6048" s="8" t="n"/>
      <c r="G6048" s="8">
        <f>IF(E6048="","",E6048*F6048)</f>
        <v/>
      </c>
      <c r="H6048" s="8">
        <f>IF(G6048="","",G6048-I6048)</f>
        <v/>
      </c>
      <c r="I6048" s="8">
        <f>IF(D6048="","",VLOOKUP(D6048, RECETTES!B:G, 6, FALSE)*E6048)</f>
        <v/>
      </c>
      <c r="J6048" s="8">
        <f>IF(G6048="","",G6048*0.20)</f>
        <v/>
      </c>
      <c r="K6048" s="8">
        <f>IF(G6048="","",G6048+J6048)</f>
        <v/>
      </c>
    </row>
    <row r="6049">
      <c r="F6049" s="8" t="n"/>
      <c r="G6049" s="8">
        <f>IF(E6049="","",E6049*F6049)</f>
        <v/>
      </c>
      <c r="H6049" s="8">
        <f>IF(G6049="","",G6049-I6049)</f>
        <v/>
      </c>
      <c r="I6049" s="8">
        <f>IF(D6049="","",VLOOKUP(D6049, RECETTES!B:G, 6, FALSE)*E6049)</f>
        <v/>
      </c>
      <c r="J6049" s="8">
        <f>IF(G6049="","",G6049*0.20)</f>
        <v/>
      </c>
      <c r="K6049" s="8">
        <f>IF(G6049="","",G6049+J6049)</f>
        <v/>
      </c>
    </row>
    <row r="6050">
      <c r="F6050" s="8" t="n"/>
      <c r="G6050" s="8">
        <f>IF(E6050="","",E6050*F6050)</f>
        <v/>
      </c>
      <c r="H6050" s="8">
        <f>IF(G6050="","",G6050-I6050)</f>
        <v/>
      </c>
      <c r="I6050" s="8">
        <f>IF(D6050="","",VLOOKUP(D6050, RECETTES!B:G, 6, FALSE)*E6050)</f>
        <v/>
      </c>
      <c r="J6050" s="8">
        <f>IF(G6050="","",G6050*0.20)</f>
        <v/>
      </c>
      <c r="K6050" s="8">
        <f>IF(G6050="","",G6050+J6050)</f>
        <v/>
      </c>
    </row>
    <row r="6051">
      <c r="F6051" s="8" t="n"/>
      <c r="G6051" s="8">
        <f>IF(E6051="","",E6051*F6051)</f>
        <v/>
      </c>
      <c r="H6051" s="8">
        <f>IF(G6051="","",G6051-I6051)</f>
        <v/>
      </c>
      <c r="I6051" s="8">
        <f>IF(D6051="","",VLOOKUP(D6051, RECETTES!B:G, 6, FALSE)*E6051)</f>
        <v/>
      </c>
      <c r="J6051" s="8">
        <f>IF(G6051="","",G6051*0.20)</f>
        <v/>
      </c>
      <c r="K6051" s="8">
        <f>IF(G6051="","",G6051+J6051)</f>
        <v/>
      </c>
    </row>
    <row r="6052">
      <c r="F6052" s="8" t="n"/>
      <c r="G6052" s="8">
        <f>IF(E6052="","",E6052*F6052)</f>
        <v/>
      </c>
      <c r="H6052" s="8">
        <f>IF(G6052="","",G6052-I6052)</f>
        <v/>
      </c>
      <c r="I6052" s="8">
        <f>IF(D6052="","",VLOOKUP(D6052, RECETTES!B:G, 6, FALSE)*E6052)</f>
        <v/>
      </c>
      <c r="J6052" s="8">
        <f>IF(G6052="","",G6052*0.20)</f>
        <v/>
      </c>
      <c r="K6052" s="8">
        <f>IF(G6052="","",G6052+J6052)</f>
        <v/>
      </c>
    </row>
    <row r="6053">
      <c r="F6053" s="8" t="n"/>
      <c r="G6053" s="8">
        <f>IF(E6053="","",E6053*F6053)</f>
        <v/>
      </c>
      <c r="H6053" s="8">
        <f>IF(G6053="","",G6053-I6053)</f>
        <v/>
      </c>
      <c r="I6053" s="8">
        <f>IF(D6053="","",VLOOKUP(D6053, RECETTES!B:G, 6, FALSE)*E6053)</f>
        <v/>
      </c>
      <c r="J6053" s="8">
        <f>IF(G6053="","",G6053*0.20)</f>
        <v/>
      </c>
      <c r="K6053" s="8">
        <f>IF(G6053="","",G6053+J6053)</f>
        <v/>
      </c>
    </row>
    <row r="6054">
      <c r="F6054" s="8" t="n"/>
      <c r="G6054" s="8">
        <f>IF(E6054="","",E6054*F6054)</f>
        <v/>
      </c>
      <c r="H6054" s="8">
        <f>IF(G6054="","",G6054-I6054)</f>
        <v/>
      </c>
      <c r="I6054" s="8">
        <f>IF(D6054="","",VLOOKUP(D6054, RECETTES!B:G, 6, FALSE)*E6054)</f>
        <v/>
      </c>
      <c r="J6054" s="8">
        <f>IF(G6054="","",G6054*0.20)</f>
        <v/>
      </c>
      <c r="K6054" s="8">
        <f>IF(G6054="","",G6054+J6054)</f>
        <v/>
      </c>
    </row>
    <row r="6055">
      <c r="F6055" s="8" t="n"/>
      <c r="G6055" s="8">
        <f>IF(E6055="","",E6055*F6055)</f>
        <v/>
      </c>
      <c r="H6055" s="8">
        <f>IF(G6055="","",G6055-I6055)</f>
        <v/>
      </c>
      <c r="I6055" s="8">
        <f>IF(D6055="","",VLOOKUP(D6055, RECETTES!B:G, 6, FALSE)*E6055)</f>
        <v/>
      </c>
      <c r="J6055" s="8">
        <f>IF(G6055="","",G6055*0.20)</f>
        <v/>
      </c>
      <c r="K6055" s="8">
        <f>IF(G6055="","",G6055+J6055)</f>
        <v/>
      </c>
    </row>
    <row r="6056">
      <c r="F6056" s="8" t="n"/>
      <c r="G6056" s="8">
        <f>IF(E6056="","",E6056*F6056)</f>
        <v/>
      </c>
      <c r="H6056" s="8">
        <f>IF(G6056="","",G6056-I6056)</f>
        <v/>
      </c>
      <c r="I6056" s="8">
        <f>IF(D6056="","",VLOOKUP(D6056, RECETTES!B:G, 6, FALSE)*E6056)</f>
        <v/>
      </c>
      <c r="J6056" s="8">
        <f>IF(G6056="","",G6056*0.20)</f>
        <v/>
      </c>
      <c r="K6056" s="8">
        <f>IF(G6056="","",G6056+J6056)</f>
        <v/>
      </c>
    </row>
    <row r="6057">
      <c r="F6057" s="8" t="n"/>
      <c r="G6057" s="8">
        <f>IF(E6057="","",E6057*F6057)</f>
        <v/>
      </c>
      <c r="H6057" s="8">
        <f>IF(G6057="","",G6057-I6057)</f>
        <v/>
      </c>
      <c r="I6057" s="8">
        <f>IF(D6057="","",VLOOKUP(D6057, RECETTES!B:G, 6, FALSE)*E6057)</f>
        <v/>
      </c>
      <c r="J6057" s="8">
        <f>IF(G6057="","",G6057*0.20)</f>
        <v/>
      </c>
      <c r="K6057" s="8">
        <f>IF(G6057="","",G6057+J6057)</f>
        <v/>
      </c>
    </row>
    <row r="6058">
      <c r="F6058" s="8" t="n"/>
      <c r="G6058" s="8">
        <f>IF(E6058="","",E6058*F6058)</f>
        <v/>
      </c>
      <c r="H6058" s="8">
        <f>IF(G6058="","",G6058-I6058)</f>
        <v/>
      </c>
      <c r="I6058" s="8">
        <f>IF(D6058="","",VLOOKUP(D6058, RECETTES!B:G, 6, FALSE)*E6058)</f>
        <v/>
      </c>
      <c r="J6058" s="8">
        <f>IF(G6058="","",G6058*0.20)</f>
        <v/>
      </c>
      <c r="K6058" s="8">
        <f>IF(G6058="","",G6058+J6058)</f>
        <v/>
      </c>
    </row>
    <row r="6059">
      <c r="F6059" s="8" t="n"/>
      <c r="G6059" s="8">
        <f>IF(E6059="","",E6059*F6059)</f>
        <v/>
      </c>
      <c r="H6059" s="8">
        <f>IF(G6059="","",G6059-I6059)</f>
        <v/>
      </c>
      <c r="I6059" s="8">
        <f>IF(D6059="","",VLOOKUP(D6059, RECETTES!B:G, 6, FALSE)*E6059)</f>
        <v/>
      </c>
      <c r="J6059" s="8">
        <f>IF(G6059="","",G6059*0.20)</f>
        <v/>
      </c>
      <c r="K6059" s="8">
        <f>IF(G6059="","",G6059+J6059)</f>
        <v/>
      </c>
    </row>
    <row r="6060">
      <c r="F6060" s="8" t="n"/>
      <c r="G6060" s="8">
        <f>IF(E6060="","",E6060*F6060)</f>
        <v/>
      </c>
      <c r="H6060" s="8">
        <f>IF(G6060="","",G6060-I6060)</f>
        <v/>
      </c>
      <c r="I6060" s="8">
        <f>IF(D6060="","",VLOOKUP(D6060, RECETTES!B:G, 6, FALSE)*E6060)</f>
        <v/>
      </c>
      <c r="J6060" s="8">
        <f>IF(G6060="","",G6060*0.20)</f>
        <v/>
      </c>
      <c r="K6060" s="8">
        <f>IF(G6060="","",G6060+J6060)</f>
        <v/>
      </c>
    </row>
    <row r="6061">
      <c r="F6061" s="8" t="n"/>
      <c r="G6061" s="8">
        <f>IF(E6061="","",E6061*F6061)</f>
        <v/>
      </c>
      <c r="H6061" s="8">
        <f>IF(G6061="","",G6061-I6061)</f>
        <v/>
      </c>
      <c r="I6061" s="8">
        <f>IF(D6061="","",VLOOKUP(D6061, RECETTES!B:G, 6, FALSE)*E6061)</f>
        <v/>
      </c>
      <c r="J6061" s="8">
        <f>IF(G6061="","",G6061*0.20)</f>
        <v/>
      </c>
      <c r="K6061" s="8">
        <f>IF(G6061="","",G6061+J6061)</f>
        <v/>
      </c>
    </row>
    <row r="6062">
      <c r="F6062" s="8" t="n"/>
      <c r="G6062" s="8">
        <f>IF(E6062="","",E6062*F6062)</f>
        <v/>
      </c>
      <c r="H6062" s="8">
        <f>IF(G6062="","",G6062-I6062)</f>
        <v/>
      </c>
      <c r="I6062" s="8">
        <f>IF(D6062="","",VLOOKUP(D6062, RECETTES!B:G, 6, FALSE)*E6062)</f>
        <v/>
      </c>
      <c r="J6062" s="8">
        <f>IF(G6062="","",G6062*0.20)</f>
        <v/>
      </c>
      <c r="K6062" s="8">
        <f>IF(G6062="","",G6062+J6062)</f>
        <v/>
      </c>
    </row>
    <row r="6063">
      <c r="F6063" s="8" t="n"/>
      <c r="G6063" s="8">
        <f>IF(E6063="","",E6063*F6063)</f>
        <v/>
      </c>
      <c r="H6063" s="8">
        <f>IF(G6063="","",G6063-I6063)</f>
        <v/>
      </c>
      <c r="I6063" s="8">
        <f>IF(D6063="","",VLOOKUP(D6063, RECETTES!B:G, 6, FALSE)*E6063)</f>
        <v/>
      </c>
      <c r="J6063" s="8">
        <f>IF(G6063="","",G6063*0.20)</f>
        <v/>
      </c>
      <c r="K6063" s="8">
        <f>IF(G6063="","",G6063+J6063)</f>
        <v/>
      </c>
    </row>
    <row r="6064">
      <c r="F6064" s="8" t="n"/>
      <c r="G6064" s="8">
        <f>IF(E6064="","",E6064*F6064)</f>
        <v/>
      </c>
      <c r="H6064" s="8">
        <f>IF(G6064="","",G6064-I6064)</f>
        <v/>
      </c>
      <c r="I6064" s="8">
        <f>IF(D6064="","",VLOOKUP(D6064, RECETTES!B:G, 6, FALSE)*E6064)</f>
        <v/>
      </c>
      <c r="J6064" s="8">
        <f>IF(G6064="","",G6064*0.20)</f>
        <v/>
      </c>
      <c r="K6064" s="8">
        <f>IF(G6064="","",G6064+J6064)</f>
        <v/>
      </c>
    </row>
    <row r="6065">
      <c r="F6065" s="8" t="n"/>
      <c r="G6065" s="8">
        <f>IF(E6065="","",E6065*F6065)</f>
        <v/>
      </c>
      <c r="H6065" s="8">
        <f>IF(G6065="","",G6065-I6065)</f>
        <v/>
      </c>
      <c r="I6065" s="8">
        <f>IF(D6065="","",VLOOKUP(D6065, RECETTES!B:G, 6, FALSE)*E6065)</f>
        <v/>
      </c>
      <c r="J6065" s="8">
        <f>IF(G6065="","",G6065*0.20)</f>
        <v/>
      </c>
      <c r="K6065" s="8">
        <f>IF(G6065="","",G6065+J6065)</f>
        <v/>
      </c>
    </row>
    <row r="6066">
      <c r="F6066" s="8" t="n"/>
      <c r="G6066" s="8">
        <f>IF(E6066="","",E6066*F6066)</f>
        <v/>
      </c>
      <c r="H6066" s="8">
        <f>IF(G6066="","",G6066-I6066)</f>
        <v/>
      </c>
      <c r="I6066" s="8">
        <f>IF(D6066="","",VLOOKUP(D6066, RECETTES!B:G, 6, FALSE)*E6066)</f>
        <v/>
      </c>
      <c r="J6066" s="8">
        <f>IF(G6066="","",G6066*0.20)</f>
        <v/>
      </c>
      <c r="K6066" s="8">
        <f>IF(G6066="","",G6066+J6066)</f>
        <v/>
      </c>
    </row>
    <row r="6067">
      <c r="F6067" s="8" t="n"/>
      <c r="G6067" s="8">
        <f>IF(E6067="","",E6067*F6067)</f>
        <v/>
      </c>
      <c r="H6067" s="8">
        <f>IF(G6067="","",G6067-I6067)</f>
        <v/>
      </c>
      <c r="I6067" s="8">
        <f>IF(D6067="","",VLOOKUP(D6067, RECETTES!B:G, 6, FALSE)*E6067)</f>
        <v/>
      </c>
      <c r="J6067" s="8">
        <f>IF(G6067="","",G6067*0.20)</f>
        <v/>
      </c>
      <c r="K6067" s="8">
        <f>IF(G6067="","",G6067+J6067)</f>
        <v/>
      </c>
    </row>
    <row r="6068">
      <c r="F6068" s="8" t="n"/>
      <c r="G6068" s="8">
        <f>IF(E6068="","",E6068*F6068)</f>
        <v/>
      </c>
      <c r="H6068" s="8">
        <f>IF(G6068="","",G6068-I6068)</f>
        <v/>
      </c>
      <c r="I6068" s="8">
        <f>IF(D6068="","",VLOOKUP(D6068, RECETTES!B:G, 6, FALSE)*E6068)</f>
        <v/>
      </c>
      <c r="J6068" s="8">
        <f>IF(G6068="","",G6068*0.20)</f>
        <v/>
      </c>
      <c r="K6068" s="8">
        <f>IF(G6068="","",G6068+J6068)</f>
        <v/>
      </c>
    </row>
    <row r="6069">
      <c r="F6069" s="8" t="n"/>
      <c r="G6069" s="8">
        <f>IF(E6069="","",E6069*F6069)</f>
        <v/>
      </c>
      <c r="H6069" s="8">
        <f>IF(G6069="","",G6069-I6069)</f>
        <v/>
      </c>
      <c r="I6069" s="8">
        <f>IF(D6069="","",VLOOKUP(D6069, RECETTES!B:G, 6, FALSE)*E6069)</f>
        <v/>
      </c>
      <c r="J6069" s="8">
        <f>IF(G6069="","",G6069*0.20)</f>
        <v/>
      </c>
      <c r="K6069" s="8">
        <f>IF(G6069="","",G6069+J6069)</f>
        <v/>
      </c>
    </row>
    <row r="6070">
      <c r="F6070" s="8" t="n"/>
      <c r="G6070" s="8">
        <f>IF(E6070="","",E6070*F6070)</f>
        <v/>
      </c>
      <c r="H6070" s="8">
        <f>IF(G6070="","",G6070-I6070)</f>
        <v/>
      </c>
      <c r="I6070" s="8">
        <f>IF(D6070="","",VLOOKUP(D6070, RECETTES!B:G, 6, FALSE)*E6070)</f>
        <v/>
      </c>
      <c r="J6070" s="8">
        <f>IF(G6070="","",G6070*0.20)</f>
        <v/>
      </c>
      <c r="K6070" s="8">
        <f>IF(G6070="","",G6070+J6070)</f>
        <v/>
      </c>
    </row>
    <row r="6071">
      <c r="F6071" s="8" t="n"/>
      <c r="G6071" s="8">
        <f>IF(E6071="","",E6071*F6071)</f>
        <v/>
      </c>
      <c r="H6071" s="8">
        <f>IF(G6071="","",G6071-I6071)</f>
        <v/>
      </c>
      <c r="I6071" s="8">
        <f>IF(D6071="","",VLOOKUP(D6071, RECETTES!B:G, 6, FALSE)*E6071)</f>
        <v/>
      </c>
      <c r="J6071" s="8">
        <f>IF(G6071="","",G6071*0.20)</f>
        <v/>
      </c>
      <c r="K6071" s="8">
        <f>IF(G6071="","",G6071+J6071)</f>
        <v/>
      </c>
    </row>
    <row r="6072">
      <c r="F6072" s="8" t="n"/>
      <c r="G6072" s="8">
        <f>IF(E6072="","",E6072*F6072)</f>
        <v/>
      </c>
      <c r="H6072" s="8">
        <f>IF(G6072="","",G6072-I6072)</f>
        <v/>
      </c>
      <c r="I6072" s="8">
        <f>IF(D6072="","",VLOOKUP(D6072, RECETTES!B:G, 6, FALSE)*E6072)</f>
        <v/>
      </c>
      <c r="J6072" s="8">
        <f>IF(G6072="","",G6072*0.20)</f>
        <v/>
      </c>
      <c r="K6072" s="8">
        <f>IF(G6072="","",G6072+J6072)</f>
        <v/>
      </c>
    </row>
    <row r="6073">
      <c r="F6073" s="8" t="n"/>
      <c r="G6073" s="8">
        <f>IF(E6073="","",E6073*F6073)</f>
        <v/>
      </c>
      <c r="H6073" s="8">
        <f>IF(G6073="","",G6073-I6073)</f>
        <v/>
      </c>
      <c r="I6073" s="8">
        <f>IF(D6073="","",VLOOKUP(D6073, RECETTES!B:G, 6, FALSE)*E6073)</f>
        <v/>
      </c>
      <c r="J6073" s="8">
        <f>IF(G6073="","",G6073*0.20)</f>
        <v/>
      </c>
      <c r="K6073" s="8">
        <f>IF(G6073="","",G6073+J6073)</f>
        <v/>
      </c>
    </row>
    <row r="6074">
      <c r="F6074" s="8" t="n"/>
      <c r="G6074" s="8">
        <f>IF(E6074="","",E6074*F6074)</f>
        <v/>
      </c>
      <c r="H6074" s="8">
        <f>IF(G6074="","",G6074-I6074)</f>
        <v/>
      </c>
      <c r="I6074" s="8">
        <f>IF(D6074="","",VLOOKUP(D6074, RECETTES!B:G, 6, FALSE)*E6074)</f>
        <v/>
      </c>
      <c r="J6074" s="8">
        <f>IF(G6074="","",G6074*0.20)</f>
        <v/>
      </c>
      <c r="K6074" s="8">
        <f>IF(G6074="","",G6074+J6074)</f>
        <v/>
      </c>
    </row>
    <row r="6075">
      <c r="F6075" s="8" t="n"/>
      <c r="G6075" s="8">
        <f>IF(E6075="","",E6075*F6075)</f>
        <v/>
      </c>
      <c r="H6075" s="8">
        <f>IF(G6075="","",G6075-I6075)</f>
        <v/>
      </c>
      <c r="I6075" s="8">
        <f>IF(D6075="","",VLOOKUP(D6075, RECETTES!B:G, 6, FALSE)*E6075)</f>
        <v/>
      </c>
      <c r="J6075" s="8">
        <f>IF(G6075="","",G6075*0.20)</f>
        <v/>
      </c>
      <c r="K6075" s="8">
        <f>IF(G6075="","",G6075+J6075)</f>
        <v/>
      </c>
    </row>
    <row r="6076">
      <c r="F6076" s="8" t="n"/>
      <c r="G6076" s="8">
        <f>IF(E6076="","",E6076*F6076)</f>
        <v/>
      </c>
      <c r="H6076" s="8">
        <f>IF(G6076="","",G6076-I6076)</f>
        <v/>
      </c>
      <c r="I6076" s="8">
        <f>IF(D6076="","",VLOOKUP(D6076, RECETTES!B:G, 6, FALSE)*E6076)</f>
        <v/>
      </c>
      <c r="J6076" s="8">
        <f>IF(G6076="","",G6076*0.20)</f>
        <v/>
      </c>
      <c r="K6076" s="8">
        <f>IF(G6076="","",G6076+J6076)</f>
        <v/>
      </c>
    </row>
    <row r="6077">
      <c r="F6077" s="8" t="n"/>
      <c r="G6077" s="8">
        <f>IF(E6077="","",E6077*F6077)</f>
        <v/>
      </c>
      <c r="H6077" s="8">
        <f>IF(G6077="","",G6077-I6077)</f>
        <v/>
      </c>
      <c r="I6077" s="8">
        <f>IF(D6077="","",VLOOKUP(D6077, RECETTES!B:G, 6, FALSE)*E6077)</f>
        <v/>
      </c>
      <c r="J6077" s="8">
        <f>IF(G6077="","",G6077*0.20)</f>
        <v/>
      </c>
      <c r="K6077" s="8">
        <f>IF(G6077="","",G6077+J6077)</f>
        <v/>
      </c>
    </row>
    <row r="6078">
      <c r="F6078" s="8" t="n"/>
      <c r="G6078" s="8">
        <f>IF(E6078="","",E6078*F6078)</f>
        <v/>
      </c>
      <c r="H6078" s="8">
        <f>IF(G6078="","",G6078-I6078)</f>
        <v/>
      </c>
      <c r="I6078" s="8">
        <f>IF(D6078="","",VLOOKUP(D6078, RECETTES!B:G, 6, FALSE)*E6078)</f>
        <v/>
      </c>
      <c r="J6078" s="8">
        <f>IF(G6078="","",G6078*0.20)</f>
        <v/>
      </c>
      <c r="K6078" s="8">
        <f>IF(G6078="","",G6078+J6078)</f>
        <v/>
      </c>
    </row>
    <row r="6079">
      <c r="F6079" s="8" t="n"/>
      <c r="G6079" s="8">
        <f>IF(E6079="","",E6079*F6079)</f>
        <v/>
      </c>
      <c r="H6079" s="8">
        <f>IF(G6079="","",G6079-I6079)</f>
        <v/>
      </c>
      <c r="I6079" s="8">
        <f>IF(D6079="","",VLOOKUP(D6079, RECETTES!B:G, 6, FALSE)*E6079)</f>
        <v/>
      </c>
      <c r="J6079" s="8">
        <f>IF(G6079="","",G6079*0.20)</f>
        <v/>
      </c>
      <c r="K6079" s="8">
        <f>IF(G6079="","",G6079+J6079)</f>
        <v/>
      </c>
    </row>
    <row r="6080">
      <c r="F6080" s="8" t="n"/>
      <c r="G6080" s="8">
        <f>IF(E6080="","",E6080*F6080)</f>
        <v/>
      </c>
      <c r="H6080" s="8">
        <f>IF(G6080="","",G6080-I6080)</f>
        <v/>
      </c>
      <c r="I6080" s="8">
        <f>IF(D6080="","",VLOOKUP(D6080, RECETTES!B:G, 6, FALSE)*E6080)</f>
        <v/>
      </c>
      <c r="J6080" s="8">
        <f>IF(G6080="","",G6080*0.20)</f>
        <v/>
      </c>
      <c r="K6080" s="8">
        <f>IF(G6080="","",G6080+J6080)</f>
        <v/>
      </c>
    </row>
    <row r="6081">
      <c r="F6081" s="8" t="n"/>
      <c r="G6081" s="8">
        <f>IF(E6081="","",E6081*F6081)</f>
        <v/>
      </c>
      <c r="H6081" s="8">
        <f>IF(G6081="","",G6081-I6081)</f>
        <v/>
      </c>
      <c r="I6081" s="8">
        <f>IF(D6081="","",VLOOKUP(D6081, RECETTES!B:G, 6, FALSE)*E6081)</f>
        <v/>
      </c>
      <c r="J6081" s="8">
        <f>IF(G6081="","",G6081*0.20)</f>
        <v/>
      </c>
      <c r="K6081" s="8">
        <f>IF(G6081="","",G6081+J6081)</f>
        <v/>
      </c>
    </row>
    <row r="6082">
      <c r="F6082" s="8" t="n"/>
      <c r="G6082" s="8">
        <f>IF(E6082="","",E6082*F6082)</f>
        <v/>
      </c>
      <c r="H6082" s="8">
        <f>IF(G6082="","",G6082-I6082)</f>
        <v/>
      </c>
      <c r="I6082" s="8">
        <f>IF(D6082="","",VLOOKUP(D6082, RECETTES!B:G, 6, FALSE)*E6082)</f>
        <v/>
      </c>
      <c r="J6082" s="8">
        <f>IF(G6082="","",G6082*0.20)</f>
        <v/>
      </c>
      <c r="K6082" s="8">
        <f>IF(G6082="","",G6082+J6082)</f>
        <v/>
      </c>
    </row>
    <row r="6083">
      <c r="F6083" s="8" t="n"/>
      <c r="G6083" s="8">
        <f>IF(E6083="","",E6083*F6083)</f>
        <v/>
      </c>
      <c r="H6083" s="8">
        <f>IF(G6083="","",G6083-I6083)</f>
        <v/>
      </c>
      <c r="I6083" s="8">
        <f>IF(D6083="","",VLOOKUP(D6083, RECETTES!B:G, 6, FALSE)*E6083)</f>
        <v/>
      </c>
      <c r="J6083" s="8">
        <f>IF(G6083="","",G6083*0.20)</f>
        <v/>
      </c>
      <c r="K6083" s="8">
        <f>IF(G6083="","",G6083+J6083)</f>
        <v/>
      </c>
    </row>
    <row r="6084">
      <c r="F6084" s="8" t="n"/>
      <c r="G6084" s="8">
        <f>IF(E6084="","",E6084*F6084)</f>
        <v/>
      </c>
      <c r="H6084" s="8">
        <f>IF(G6084="","",G6084-I6084)</f>
        <v/>
      </c>
      <c r="I6084" s="8">
        <f>IF(D6084="","",VLOOKUP(D6084, RECETTES!B:G, 6, FALSE)*E6084)</f>
        <v/>
      </c>
      <c r="J6084" s="8">
        <f>IF(G6084="","",G6084*0.20)</f>
        <v/>
      </c>
      <c r="K6084" s="8">
        <f>IF(G6084="","",G6084+J6084)</f>
        <v/>
      </c>
    </row>
    <row r="6085">
      <c r="F6085" s="8" t="n"/>
      <c r="G6085" s="8">
        <f>IF(E6085="","",E6085*F6085)</f>
        <v/>
      </c>
      <c r="H6085" s="8">
        <f>IF(G6085="","",G6085-I6085)</f>
        <v/>
      </c>
      <c r="I6085" s="8">
        <f>IF(D6085="","",VLOOKUP(D6085, RECETTES!B:G, 6, FALSE)*E6085)</f>
        <v/>
      </c>
      <c r="J6085" s="8">
        <f>IF(G6085="","",G6085*0.20)</f>
        <v/>
      </c>
      <c r="K6085" s="8">
        <f>IF(G6085="","",G6085+J6085)</f>
        <v/>
      </c>
    </row>
    <row r="6086">
      <c r="F6086" s="8" t="n"/>
      <c r="G6086" s="8">
        <f>IF(E6086="","",E6086*F6086)</f>
        <v/>
      </c>
      <c r="H6086" s="8">
        <f>IF(G6086="","",G6086-I6086)</f>
        <v/>
      </c>
      <c r="I6086" s="8">
        <f>IF(D6086="","",VLOOKUP(D6086, RECETTES!B:G, 6, FALSE)*E6086)</f>
        <v/>
      </c>
      <c r="J6086" s="8">
        <f>IF(G6086="","",G6086*0.20)</f>
        <v/>
      </c>
      <c r="K6086" s="8">
        <f>IF(G6086="","",G6086+J6086)</f>
        <v/>
      </c>
    </row>
    <row r="6087">
      <c r="F6087" s="8" t="n"/>
      <c r="G6087" s="8">
        <f>IF(E6087="","",E6087*F6087)</f>
        <v/>
      </c>
      <c r="H6087" s="8">
        <f>IF(G6087="","",G6087-I6087)</f>
        <v/>
      </c>
      <c r="I6087" s="8">
        <f>IF(D6087="","",VLOOKUP(D6087, RECETTES!B:G, 6, FALSE)*E6087)</f>
        <v/>
      </c>
      <c r="J6087" s="8">
        <f>IF(G6087="","",G6087*0.20)</f>
        <v/>
      </c>
      <c r="K6087" s="8">
        <f>IF(G6087="","",G6087+J6087)</f>
        <v/>
      </c>
    </row>
    <row r="6088">
      <c r="F6088" s="8" t="n"/>
      <c r="G6088" s="8">
        <f>IF(E6088="","",E6088*F6088)</f>
        <v/>
      </c>
      <c r="H6088" s="8">
        <f>IF(G6088="","",G6088-I6088)</f>
        <v/>
      </c>
      <c r="I6088" s="8">
        <f>IF(D6088="","",VLOOKUP(D6088, RECETTES!B:G, 6, FALSE)*E6088)</f>
        <v/>
      </c>
      <c r="J6088" s="8">
        <f>IF(G6088="","",G6088*0.20)</f>
        <v/>
      </c>
      <c r="K6088" s="8">
        <f>IF(G6088="","",G6088+J6088)</f>
        <v/>
      </c>
    </row>
    <row r="6089">
      <c r="F6089" s="8" t="n"/>
      <c r="G6089" s="8">
        <f>IF(E6089="","",E6089*F6089)</f>
        <v/>
      </c>
      <c r="H6089" s="8">
        <f>IF(G6089="","",G6089-I6089)</f>
        <v/>
      </c>
      <c r="I6089" s="8">
        <f>IF(D6089="","",VLOOKUP(D6089, RECETTES!B:G, 6, FALSE)*E6089)</f>
        <v/>
      </c>
      <c r="J6089" s="8">
        <f>IF(G6089="","",G6089*0.20)</f>
        <v/>
      </c>
      <c r="K6089" s="8">
        <f>IF(G6089="","",G6089+J6089)</f>
        <v/>
      </c>
    </row>
    <row r="6090">
      <c r="F6090" s="8" t="n"/>
      <c r="G6090" s="8">
        <f>IF(E6090="","",E6090*F6090)</f>
        <v/>
      </c>
      <c r="H6090" s="8">
        <f>IF(G6090="","",G6090-I6090)</f>
        <v/>
      </c>
      <c r="I6090" s="8">
        <f>IF(D6090="","",VLOOKUP(D6090, RECETTES!B:G, 6, FALSE)*E6090)</f>
        <v/>
      </c>
      <c r="J6090" s="8">
        <f>IF(G6090="","",G6090*0.20)</f>
        <v/>
      </c>
      <c r="K6090" s="8">
        <f>IF(G6090="","",G6090+J6090)</f>
        <v/>
      </c>
    </row>
    <row r="6091">
      <c r="F6091" s="8" t="n"/>
      <c r="G6091" s="8">
        <f>IF(E6091="","",E6091*F6091)</f>
        <v/>
      </c>
      <c r="H6091" s="8">
        <f>IF(G6091="","",G6091-I6091)</f>
        <v/>
      </c>
      <c r="I6091" s="8">
        <f>IF(D6091="","",VLOOKUP(D6091, RECETTES!B:G, 6, FALSE)*E6091)</f>
        <v/>
      </c>
      <c r="J6091" s="8">
        <f>IF(G6091="","",G6091*0.20)</f>
        <v/>
      </c>
      <c r="K6091" s="8">
        <f>IF(G6091="","",G6091+J6091)</f>
        <v/>
      </c>
    </row>
    <row r="6092">
      <c r="F6092" s="8" t="n"/>
      <c r="G6092" s="8">
        <f>IF(E6092="","",E6092*F6092)</f>
        <v/>
      </c>
      <c r="H6092" s="8">
        <f>IF(G6092="","",G6092-I6092)</f>
        <v/>
      </c>
      <c r="I6092" s="8">
        <f>IF(D6092="","",VLOOKUP(D6092, RECETTES!B:G, 6, FALSE)*E6092)</f>
        <v/>
      </c>
      <c r="J6092" s="8">
        <f>IF(G6092="","",G6092*0.20)</f>
        <v/>
      </c>
      <c r="K6092" s="8">
        <f>IF(G6092="","",G6092+J6092)</f>
        <v/>
      </c>
    </row>
    <row r="6093">
      <c r="F6093" s="8" t="n"/>
      <c r="G6093" s="8">
        <f>IF(E6093="","",E6093*F6093)</f>
        <v/>
      </c>
      <c r="H6093" s="8">
        <f>IF(G6093="","",G6093-I6093)</f>
        <v/>
      </c>
      <c r="I6093" s="8">
        <f>IF(D6093="","",VLOOKUP(D6093, RECETTES!B:G, 6, FALSE)*E6093)</f>
        <v/>
      </c>
      <c r="J6093" s="8">
        <f>IF(G6093="","",G6093*0.20)</f>
        <v/>
      </c>
      <c r="K6093" s="8">
        <f>IF(G6093="","",G6093+J6093)</f>
        <v/>
      </c>
    </row>
    <row r="6094">
      <c r="F6094" s="8" t="n"/>
      <c r="G6094" s="8">
        <f>IF(E6094="","",E6094*F6094)</f>
        <v/>
      </c>
      <c r="H6094" s="8">
        <f>IF(G6094="","",G6094-I6094)</f>
        <v/>
      </c>
      <c r="I6094" s="8">
        <f>IF(D6094="","",VLOOKUP(D6094, RECETTES!B:G, 6, FALSE)*E6094)</f>
        <v/>
      </c>
      <c r="J6094" s="8">
        <f>IF(G6094="","",G6094*0.20)</f>
        <v/>
      </c>
      <c r="K6094" s="8">
        <f>IF(G6094="","",G6094+J6094)</f>
        <v/>
      </c>
    </row>
    <row r="6095">
      <c r="F6095" s="8" t="n"/>
      <c r="G6095" s="8">
        <f>IF(E6095="","",E6095*F6095)</f>
        <v/>
      </c>
      <c r="H6095" s="8">
        <f>IF(G6095="","",G6095-I6095)</f>
        <v/>
      </c>
      <c r="I6095" s="8">
        <f>IF(D6095="","",VLOOKUP(D6095, RECETTES!B:G, 6, FALSE)*E6095)</f>
        <v/>
      </c>
      <c r="J6095" s="8">
        <f>IF(G6095="","",G6095*0.20)</f>
        <v/>
      </c>
      <c r="K6095" s="8">
        <f>IF(G6095="","",G6095+J6095)</f>
        <v/>
      </c>
    </row>
    <row r="6096">
      <c r="F6096" s="8" t="n"/>
      <c r="G6096" s="8">
        <f>IF(E6096="","",E6096*F6096)</f>
        <v/>
      </c>
      <c r="H6096" s="8">
        <f>IF(G6096="","",G6096-I6096)</f>
        <v/>
      </c>
      <c r="I6096" s="8">
        <f>IF(D6096="","",VLOOKUP(D6096, RECETTES!B:G, 6, FALSE)*E6096)</f>
        <v/>
      </c>
      <c r="J6096" s="8">
        <f>IF(G6096="","",G6096*0.20)</f>
        <v/>
      </c>
      <c r="K6096" s="8">
        <f>IF(G6096="","",G6096+J6096)</f>
        <v/>
      </c>
    </row>
    <row r="6097">
      <c r="F6097" s="8" t="n"/>
      <c r="G6097" s="8">
        <f>IF(E6097="","",E6097*F6097)</f>
        <v/>
      </c>
      <c r="H6097" s="8">
        <f>IF(G6097="","",G6097-I6097)</f>
        <v/>
      </c>
      <c r="I6097" s="8">
        <f>IF(D6097="","",VLOOKUP(D6097, RECETTES!B:G, 6, FALSE)*E6097)</f>
        <v/>
      </c>
      <c r="J6097" s="8">
        <f>IF(G6097="","",G6097*0.20)</f>
        <v/>
      </c>
      <c r="K6097" s="8">
        <f>IF(G6097="","",G6097+J6097)</f>
        <v/>
      </c>
    </row>
    <row r="6098">
      <c r="F6098" s="8" t="n"/>
      <c r="G6098" s="8">
        <f>IF(E6098="","",E6098*F6098)</f>
        <v/>
      </c>
      <c r="H6098" s="8">
        <f>IF(G6098="","",G6098-I6098)</f>
        <v/>
      </c>
      <c r="I6098" s="8">
        <f>IF(D6098="","",VLOOKUP(D6098, RECETTES!B:G, 6, FALSE)*E6098)</f>
        <v/>
      </c>
      <c r="J6098" s="8">
        <f>IF(G6098="","",G6098*0.20)</f>
        <v/>
      </c>
      <c r="K6098" s="8">
        <f>IF(G6098="","",G6098+J6098)</f>
        <v/>
      </c>
    </row>
    <row r="6099">
      <c r="F6099" s="8" t="n"/>
      <c r="G6099" s="8">
        <f>IF(E6099="","",E6099*F6099)</f>
        <v/>
      </c>
      <c r="H6099" s="8">
        <f>IF(G6099="","",G6099-I6099)</f>
        <v/>
      </c>
      <c r="I6099" s="8">
        <f>IF(D6099="","",VLOOKUP(D6099, RECETTES!B:G, 6, FALSE)*E6099)</f>
        <v/>
      </c>
      <c r="J6099" s="8">
        <f>IF(G6099="","",G6099*0.20)</f>
        <v/>
      </c>
      <c r="K6099" s="8">
        <f>IF(G6099="","",G6099+J6099)</f>
        <v/>
      </c>
    </row>
    <row r="6100">
      <c r="F6100" s="8" t="n"/>
      <c r="G6100" s="8">
        <f>IF(E6100="","",E6100*F6100)</f>
        <v/>
      </c>
      <c r="H6100" s="8">
        <f>IF(G6100="","",G6100-I6100)</f>
        <v/>
      </c>
      <c r="I6100" s="8">
        <f>IF(D6100="","",VLOOKUP(D6100, RECETTES!B:G, 6, FALSE)*E6100)</f>
        <v/>
      </c>
      <c r="J6100" s="8">
        <f>IF(G6100="","",G6100*0.20)</f>
        <v/>
      </c>
      <c r="K6100" s="8">
        <f>IF(G6100="","",G6100+J6100)</f>
        <v/>
      </c>
    </row>
    <row r="6101">
      <c r="F6101" s="8" t="n"/>
      <c r="G6101" s="8">
        <f>IF(E6101="","",E6101*F6101)</f>
        <v/>
      </c>
      <c r="H6101" s="8">
        <f>IF(G6101="","",G6101-I6101)</f>
        <v/>
      </c>
      <c r="I6101" s="8">
        <f>IF(D6101="","",VLOOKUP(D6101, RECETTES!B:G, 6, FALSE)*E6101)</f>
        <v/>
      </c>
      <c r="J6101" s="8">
        <f>IF(G6101="","",G6101*0.20)</f>
        <v/>
      </c>
      <c r="K6101" s="8">
        <f>IF(G6101="","",G6101+J6101)</f>
        <v/>
      </c>
    </row>
    <row r="6102">
      <c r="F6102" s="8" t="n"/>
      <c r="G6102" s="8">
        <f>IF(E6102="","",E6102*F6102)</f>
        <v/>
      </c>
      <c r="H6102" s="8">
        <f>IF(G6102="","",G6102-I6102)</f>
        <v/>
      </c>
      <c r="I6102" s="8">
        <f>IF(D6102="","",VLOOKUP(D6102, RECETTES!B:G, 6, FALSE)*E6102)</f>
        <v/>
      </c>
      <c r="J6102" s="8">
        <f>IF(G6102="","",G6102*0.20)</f>
        <v/>
      </c>
      <c r="K6102" s="8">
        <f>IF(G6102="","",G6102+J6102)</f>
        <v/>
      </c>
    </row>
    <row r="6103">
      <c r="F6103" s="8" t="n"/>
      <c r="G6103" s="8">
        <f>IF(E6103="","",E6103*F6103)</f>
        <v/>
      </c>
      <c r="H6103" s="8">
        <f>IF(G6103="","",G6103-I6103)</f>
        <v/>
      </c>
      <c r="I6103" s="8">
        <f>IF(D6103="","",VLOOKUP(D6103, RECETTES!B:G, 6, FALSE)*E6103)</f>
        <v/>
      </c>
      <c r="J6103" s="8">
        <f>IF(G6103="","",G6103*0.20)</f>
        <v/>
      </c>
      <c r="K6103" s="8">
        <f>IF(G6103="","",G6103+J6103)</f>
        <v/>
      </c>
    </row>
    <row r="6104">
      <c r="F6104" s="8" t="n"/>
      <c r="G6104" s="8">
        <f>IF(E6104="","",E6104*F6104)</f>
        <v/>
      </c>
      <c r="H6104" s="8">
        <f>IF(G6104="","",G6104-I6104)</f>
        <v/>
      </c>
      <c r="I6104" s="8">
        <f>IF(D6104="","",VLOOKUP(D6104, RECETTES!B:G, 6, FALSE)*E6104)</f>
        <v/>
      </c>
      <c r="J6104" s="8">
        <f>IF(G6104="","",G6104*0.20)</f>
        <v/>
      </c>
      <c r="K6104" s="8">
        <f>IF(G6104="","",G6104+J6104)</f>
        <v/>
      </c>
    </row>
    <row r="6105">
      <c r="F6105" s="8" t="n"/>
      <c r="G6105" s="8">
        <f>IF(E6105="","",E6105*F6105)</f>
        <v/>
      </c>
      <c r="H6105" s="8">
        <f>IF(G6105="","",G6105-I6105)</f>
        <v/>
      </c>
      <c r="I6105" s="8">
        <f>IF(D6105="","",VLOOKUP(D6105, RECETTES!B:G, 6, FALSE)*E6105)</f>
        <v/>
      </c>
      <c r="J6105" s="8">
        <f>IF(G6105="","",G6105*0.20)</f>
        <v/>
      </c>
      <c r="K6105" s="8">
        <f>IF(G6105="","",G6105+J6105)</f>
        <v/>
      </c>
    </row>
    <row r="6106">
      <c r="F6106" s="8" t="n"/>
      <c r="G6106" s="8">
        <f>IF(E6106="","",E6106*F6106)</f>
        <v/>
      </c>
      <c r="H6106" s="8">
        <f>IF(G6106="","",G6106-I6106)</f>
        <v/>
      </c>
      <c r="I6106" s="8">
        <f>IF(D6106="","",VLOOKUP(D6106, RECETTES!B:G, 6, FALSE)*E6106)</f>
        <v/>
      </c>
      <c r="J6106" s="8">
        <f>IF(G6106="","",G6106*0.20)</f>
        <v/>
      </c>
      <c r="K6106" s="8">
        <f>IF(G6106="","",G6106+J6106)</f>
        <v/>
      </c>
    </row>
    <row r="6107">
      <c r="F6107" s="8" t="n"/>
      <c r="G6107" s="8">
        <f>IF(E6107="","",E6107*F6107)</f>
        <v/>
      </c>
      <c r="H6107" s="8">
        <f>IF(G6107="","",G6107-I6107)</f>
        <v/>
      </c>
      <c r="I6107" s="8">
        <f>IF(D6107="","",VLOOKUP(D6107, RECETTES!B:G, 6, FALSE)*E6107)</f>
        <v/>
      </c>
      <c r="J6107" s="8">
        <f>IF(G6107="","",G6107*0.20)</f>
        <v/>
      </c>
      <c r="K6107" s="8">
        <f>IF(G6107="","",G6107+J6107)</f>
        <v/>
      </c>
    </row>
    <row r="6108">
      <c r="F6108" s="8" t="n"/>
      <c r="G6108" s="8">
        <f>IF(E6108="","",E6108*F6108)</f>
        <v/>
      </c>
      <c r="H6108" s="8">
        <f>IF(G6108="","",G6108-I6108)</f>
        <v/>
      </c>
      <c r="I6108" s="8">
        <f>IF(D6108="","",VLOOKUP(D6108, RECETTES!B:G, 6, FALSE)*E6108)</f>
        <v/>
      </c>
      <c r="J6108" s="8">
        <f>IF(G6108="","",G6108*0.20)</f>
        <v/>
      </c>
      <c r="K6108" s="8">
        <f>IF(G6108="","",G6108+J6108)</f>
        <v/>
      </c>
    </row>
    <row r="6109">
      <c r="F6109" s="8" t="n"/>
      <c r="G6109" s="8">
        <f>IF(E6109="","",E6109*F6109)</f>
        <v/>
      </c>
      <c r="H6109" s="8">
        <f>IF(G6109="","",G6109-I6109)</f>
        <v/>
      </c>
      <c r="I6109" s="8">
        <f>IF(D6109="","",VLOOKUP(D6109, RECETTES!B:G, 6, FALSE)*E6109)</f>
        <v/>
      </c>
      <c r="J6109" s="8">
        <f>IF(G6109="","",G6109*0.20)</f>
        <v/>
      </c>
      <c r="K6109" s="8">
        <f>IF(G6109="","",G6109+J6109)</f>
        <v/>
      </c>
    </row>
    <row r="6110">
      <c r="F6110" s="8" t="n"/>
      <c r="G6110" s="8">
        <f>IF(E6110="","",E6110*F6110)</f>
        <v/>
      </c>
      <c r="H6110" s="8">
        <f>IF(G6110="","",G6110-I6110)</f>
        <v/>
      </c>
      <c r="I6110" s="8">
        <f>IF(D6110="","",VLOOKUP(D6110, RECETTES!B:G, 6, FALSE)*E6110)</f>
        <v/>
      </c>
      <c r="J6110" s="8">
        <f>IF(G6110="","",G6110*0.20)</f>
        <v/>
      </c>
      <c r="K6110" s="8">
        <f>IF(G6110="","",G6110+J6110)</f>
        <v/>
      </c>
    </row>
    <row r="6111">
      <c r="F6111" s="8" t="n"/>
      <c r="G6111" s="8">
        <f>IF(E6111="","",E6111*F6111)</f>
        <v/>
      </c>
      <c r="H6111" s="8">
        <f>IF(G6111="","",G6111-I6111)</f>
        <v/>
      </c>
      <c r="I6111" s="8">
        <f>IF(D6111="","",VLOOKUP(D6111, RECETTES!B:G, 6, FALSE)*E6111)</f>
        <v/>
      </c>
      <c r="J6111" s="8">
        <f>IF(G6111="","",G6111*0.20)</f>
        <v/>
      </c>
      <c r="K6111" s="8">
        <f>IF(G6111="","",G6111+J6111)</f>
        <v/>
      </c>
    </row>
    <row r="6112">
      <c r="F6112" s="8" t="n"/>
      <c r="G6112" s="8">
        <f>IF(E6112="","",E6112*F6112)</f>
        <v/>
      </c>
      <c r="H6112" s="8">
        <f>IF(G6112="","",G6112-I6112)</f>
        <v/>
      </c>
      <c r="I6112" s="8">
        <f>IF(D6112="","",VLOOKUP(D6112, RECETTES!B:G, 6, FALSE)*E6112)</f>
        <v/>
      </c>
      <c r="J6112" s="8">
        <f>IF(G6112="","",G6112*0.20)</f>
        <v/>
      </c>
      <c r="K6112" s="8">
        <f>IF(G6112="","",G6112+J6112)</f>
        <v/>
      </c>
    </row>
    <row r="6113">
      <c r="F6113" s="8" t="n"/>
      <c r="G6113" s="8">
        <f>IF(E6113="","",E6113*F6113)</f>
        <v/>
      </c>
      <c r="H6113" s="8">
        <f>IF(G6113="","",G6113-I6113)</f>
        <v/>
      </c>
      <c r="I6113" s="8">
        <f>IF(D6113="","",VLOOKUP(D6113, RECETTES!B:G, 6, FALSE)*E6113)</f>
        <v/>
      </c>
      <c r="J6113" s="8">
        <f>IF(G6113="","",G6113*0.20)</f>
        <v/>
      </c>
      <c r="K6113" s="8">
        <f>IF(G6113="","",G6113+J6113)</f>
        <v/>
      </c>
    </row>
    <row r="6114">
      <c r="F6114" s="8" t="n"/>
      <c r="G6114" s="8">
        <f>IF(E6114="","",E6114*F6114)</f>
        <v/>
      </c>
      <c r="H6114" s="8">
        <f>IF(G6114="","",G6114-I6114)</f>
        <v/>
      </c>
      <c r="I6114" s="8">
        <f>IF(D6114="","",VLOOKUP(D6114, RECETTES!B:G, 6, FALSE)*E6114)</f>
        <v/>
      </c>
      <c r="J6114" s="8">
        <f>IF(G6114="","",G6114*0.20)</f>
        <v/>
      </c>
      <c r="K6114" s="8">
        <f>IF(G6114="","",G6114+J6114)</f>
        <v/>
      </c>
    </row>
    <row r="6115">
      <c r="F6115" s="8" t="n"/>
      <c r="G6115" s="8">
        <f>IF(E6115="","",E6115*F6115)</f>
        <v/>
      </c>
      <c r="H6115" s="8">
        <f>IF(G6115="","",G6115-I6115)</f>
        <v/>
      </c>
      <c r="I6115" s="8">
        <f>IF(D6115="","",VLOOKUP(D6115, RECETTES!B:G, 6, FALSE)*E6115)</f>
        <v/>
      </c>
      <c r="J6115" s="8">
        <f>IF(G6115="","",G6115*0.20)</f>
        <v/>
      </c>
      <c r="K6115" s="8">
        <f>IF(G6115="","",G6115+J6115)</f>
        <v/>
      </c>
    </row>
    <row r="6116">
      <c r="F6116" s="8" t="n"/>
      <c r="G6116" s="8">
        <f>IF(E6116="","",E6116*F6116)</f>
        <v/>
      </c>
      <c r="H6116" s="8">
        <f>IF(G6116="","",G6116-I6116)</f>
        <v/>
      </c>
      <c r="I6116" s="8">
        <f>IF(D6116="","",VLOOKUP(D6116, RECETTES!B:G, 6, FALSE)*E6116)</f>
        <v/>
      </c>
      <c r="J6116" s="8">
        <f>IF(G6116="","",G6116*0.20)</f>
        <v/>
      </c>
      <c r="K6116" s="8">
        <f>IF(G6116="","",G6116+J6116)</f>
        <v/>
      </c>
    </row>
    <row r="6117">
      <c r="F6117" s="8" t="n"/>
      <c r="G6117" s="8">
        <f>IF(E6117="","",E6117*F6117)</f>
        <v/>
      </c>
      <c r="H6117" s="8">
        <f>IF(G6117="","",G6117-I6117)</f>
        <v/>
      </c>
      <c r="I6117" s="8">
        <f>IF(D6117="","",VLOOKUP(D6117, RECETTES!B:G, 6, FALSE)*E6117)</f>
        <v/>
      </c>
      <c r="J6117" s="8">
        <f>IF(G6117="","",G6117*0.20)</f>
        <v/>
      </c>
      <c r="K6117" s="8">
        <f>IF(G6117="","",G6117+J6117)</f>
        <v/>
      </c>
    </row>
    <row r="6118">
      <c r="F6118" s="8" t="n"/>
      <c r="G6118" s="8">
        <f>IF(E6118="","",E6118*F6118)</f>
        <v/>
      </c>
      <c r="H6118" s="8">
        <f>IF(G6118="","",G6118-I6118)</f>
        <v/>
      </c>
      <c r="I6118" s="8">
        <f>IF(D6118="","",VLOOKUP(D6118, RECETTES!B:G, 6, FALSE)*E6118)</f>
        <v/>
      </c>
      <c r="J6118" s="8">
        <f>IF(G6118="","",G6118*0.20)</f>
        <v/>
      </c>
      <c r="K6118" s="8">
        <f>IF(G6118="","",G6118+J6118)</f>
        <v/>
      </c>
    </row>
    <row r="6119">
      <c r="F6119" s="8" t="n"/>
      <c r="G6119" s="8">
        <f>IF(E6119="","",E6119*F6119)</f>
        <v/>
      </c>
      <c r="H6119" s="8">
        <f>IF(G6119="","",G6119-I6119)</f>
        <v/>
      </c>
      <c r="I6119" s="8">
        <f>IF(D6119="","",VLOOKUP(D6119, RECETTES!B:G, 6, FALSE)*E6119)</f>
        <v/>
      </c>
      <c r="J6119" s="8">
        <f>IF(G6119="","",G6119*0.20)</f>
        <v/>
      </c>
      <c r="K6119" s="8">
        <f>IF(G6119="","",G6119+J6119)</f>
        <v/>
      </c>
    </row>
    <row r="6120">
      <c r="F6120" s="8" t="n"/>
      <c r="G6120" s="8">
        <f>IF(E6120="","",E6120*F6120)</f>
        <v/>
      </c>
      <c r="H6120" s="8">
        <f>IF(G6120="","",G6120-I6120)</f>
        <v/>
      </c>
      <c r="I6120" s="8">
        <f>IF(D6120="","",VLOOKUP(D6120, RECETTES!B:G, 6, FALSE)*E6120)</f>
        <v/>
      </c>
      <c r="J6120" s="8">
        <f>IF(G6120="","",G6120*0.20)</f>
        <v/>
      </c>
      <c r="K6120" s="8">
        <f>IF(G6120="","",G6120+J6120)</f>
        <v/>
      </c>
    </row>
    <row r="6121">
      <c r="F6121" s="8" t="n"/>
      <c r="G6121" s="8">
        <f>IF(E6121="","",E6121*F6121)</f>
        <v/>
      </c>
      <c r="H6121" s="8">
        <f>IF(G6121="","",G6121-I6121)</f>
        <v/>
      </c>
      <c r="I6121" s="8">
        <f>IF(D6121="","",VLOOKUP(D6121, RECETTES!B:G, 6, FALSE)*E6121)</f>
        <v/>
      </c>
      <c r="J6121" s="8">
        <f>IF(G6121="","",G6121*0.20)</f>
        <v/>
      </c>
      <c r="K6121" s="8">
        <f>IF(G6121="","",G6121+J6121)</f>
        <v/>
      </c>
    </row>
    <row r="6122">
      <c r="F6122" s="8" t="n"/>
      <c r="G6122" s="8">
        <f>IF(E6122="","",E6122*F6122)</f>
        <v/>
      </c>
      <c r="H6122" s="8">
        <f>IF(G6122="","",G6122-I6122)</f>
        <v/>
      </c>
      <c r="I6122" s="8">
        <f>IF(D6122="","",VLOOKUP(D6122, RECETTES!B:G, 6, FALSE)*E6122)</f>
        <v/>
      </c>
      <c r="J6122" s="8">
        <f>IF(G6122="","",G6122*0.20)</f>
        <v/>
      </c>
      <c r="K6122" s="8">
        <f>IF(G6122="","",G6122+J6122)</f>
        <v/>
      </c>
    </row>
    <row r="6123">
      <c r="F6123" s="8" t="n"/>
      <c r="G6123" s="8">
        <f>IF(E6123="","",E6123*F6123)</f>
        <v/>
      </c>
      <c r="H6123" s="8">
        <f>IF(G6123="","",G6123-I6123)</f>
        <v/>
      </c>
      <c r="I6123" s="8">
        <f>IF(D6123="","",VLOOKUP(D6123, RECETTES!B:G, 6, FALSE)*E6123)</f>
        <v/>
      </c>
      <c r="J6123" s="8">
        <f>IF(G6123="","",G6123*0.20)</f>
        <v/>
      </c>
      <c r="K6123" s="8">
        <f>IF(G6123="","",G6123+J6123)</f>
        <v/>
      </c>
    </row>
    <row r="6124">
      <c r="F6124" s="8" t="n"/>
      <c r="G6124" s="8">
        <f>IF(E6124="","",E6124*F6124)</f>
        <v/>
      </c>
      <c r="H6124" s="8">
        <f>IF(G6124="","",G6124-I6124)</f>
        <v/>
      </c>
      <c r="I6124" s="8">
        <f>IF(D6124="","",VLOOKUP(D6124, RECETTES!B:G, 6, FALSE)*E6124)</f>
        <v/>
      </c>
      <c r="J6124" s="8">
        <f>IF(G6124="","",G6124*0.20)</f>
        <v/>
      </c>
      <c r="K6124" s="8">
        <f>IF(G6124="","",G6124+J6124)</f>
        <v/>
      </c>
    </row>
    <row r="6125">
      <c r="F6125" s="8" t="n"/>
      <c r="G6125" s="8">
        <f>IF(E6125="","",E6125*F6125)</f>
        <v/>
      </c>
      <c r="H6125" s="8">
        <f>IF(G6125="","",G6125-I6125)</f>
        <v/>
      </c>
      <c r="I6125" s="8">
        <f>IF(D6125="","",VLOOKUP(D6125, RECETTES!B:G, 6, FALSE)*E6125)</f>
        <v/>
      </c>
      <c r="J6125" s="8">
        <f>IF(G6125="","",G6125*0.20)</f>
        <v/>
      </c>
      <c r="K6125" s="8">
        <f>IF(G6125="","",G6125+J6125)</f>
        <v/>
      </c>
    </row>
    <row r="6126">
      <c r="F6126" s="8" t="n"/>
      <c r="G6126" s="8">
        <f>IF(E6126="","",E6126*F6126)</f>
        <v/>
      </c>
      <c r="H6126" s="8">
        <f>IF(G6126="","",G6126-I6126)</f>
        <v/>
      </c>
      <c r="I6126" s="8">
        <f>IF(D6126="","",VLOOKUP(D6126, RECETTES!B:G, 6, FALSE)*E6126)</f>
        <v/>
      </c>
      <c r="J6126" s="8">
        <f>IF(G6126="","",G6126*0.20)</f>
        <v/>
      </c>
      <c r="K6126" s="8">
        <f>IF(G6126="","",G6126+J6126)</f>
        <v/>
      </c>
    </row>
    <row r="6127">
      <c r="F6127" s="8" t="n"/>
      <c r="G6127" s="8">
        <f>IF(E6127="","",E6127*F6127)</f>
        <v/>
      </c>
      <c r="H6127" s="8">
        <f>IF(G6127="","",G6127-I6127)</f>
        <v/>
      </c>
      <c r="I6127" s="8">
        <f>IF(D6127="","",VLOOKUP(D6127, RECETTES!B:G, 6, FALSE)*E6127)</f>
        <v/>
      </c>
      <c r="J6127" s="8">
        <f>IF(G6127="","",G6127*0.20)</f>
        <v/>
      </c>
      <c r="K6127" s="8">
        <f>IF(G6127="","",G6127+J6127)</f>
        <v/>
      </c>
    </row>
    <row r="6128">
      <c r="F6128" s="8" t="n"/>
      <c r="G6128" s="8">
        <f>IF(E6128="","",E6128*F6128)</f>
        <v/>
      </c>
      <c r="H6128" s="8">
        <f>IF(G6128="","",G6128-I6128)</f>
        <v/>
      </c>
      <c r="I6128" s="8">
        <f>IF(D6128="","",VLOOKUP(D6128, RECETTES!B:G, 6, FALSE)*E6128)</f>
        <v/>
      </c>
      <c r="J6128" s="8">
        <f>IF(G6128="","",G6128*0.20)</f>
        <v/>
      </c>
      <c r="K6128" s="8">
        <f>IF(G6128="","",G6128+J6128)</f>
        <v/>
      </c>
    </row>
    <row r="6129">
      <c r="F6129" s="8" t="n"/>
      <c r="G6129" s="8">
        <f>IF(E6129="","",E6129*F6129)</f>
        <v/>
      </c>
      <c r="H6129" s="8">
        <f>IF(G6129="","",G6129-I6129)</f>
        <v/>
      </c>
      <c r="I6129" s="8">
        <f>IF(D6129="","",VLOOKUP(D6129, RECETTES!B:G, 6, FALSE)*E6129)</f>
        <v/>
      </c>
      <c r="J6129" s="8">
        <f>IF(G6129="","",G6129*0.20)</f>
        <v/>
      </c>
      <c r="K6129" s="8">
        <f>IF(G6129="","",G6129+J6129)</f>
        <v/>
      </c>
    </row>
    <row r="6130">
      <c r="F6130" s="8" t="n"/>
      <c r="G6130" s="8">
        <f>IF(E6130="","",E6130*F6130)</f>
        <v/>
      </c>
      <c r="H6130" s="8">
        <f>IF(G6130="","",G6130-I6130)</f>
        <v/>
      </c>
      <c r="I6130" s="8">
        <f>IF(D6130="","",VLOOKUP(D6130, RECETTES!B:G, 6, FALSE)*E6130)</f>
        <v/>
      </c>
      <c r="J6130" s="8">
        <f>IF(G6130="","",G6130*0.20)</f>
        <v/>
      </c>
      <c r="K6130" s="8">
        <f>IF(G6130="","",G6130+J6130)</f>
        <v/>
      </c>
    </row>
    <row r="6131">
      <c r="F6131" s="8" t="n"/>
      <c r="G6131" s="8">
        <f>IF(E6131="","",E6131*F6131)</f>
        <v/>
      </c>
      <c r="H6131" s="8">
        <f>IF(G6131="","",G6131-I6131)</f>
        <v/>
      </c>
      <c r="I6131" s="8">
        <f>IF(D6131="","",VLOOKUP(D6131, RECETTES!B:G, 6, FALSE)*E6131)</f>
        <v/>
      </c>
      <c r="J6131" s="8">
        <f>IF(G6131="","",G6131*0.20)</f>
        <v/>
      </c>
      <c r="K6131" s="8">
        <f>IF(G6131="","",G6131+J6131)</f>
        <v/>
      </c>
    </row>
    <row r="6132">
      <c r="F6132" s="8" t="n"/>
      <c r="G6132" s="8">
        <f>IF(E6132="","",E6132*F6132)</f>
        <v/>
      </c>
      <c r="H6132" s="8">
        <f>IF(G6132="","",G6132-I6132)</f>
        <v/>
      </c>
      <c r="I6132" s="8">
        <f>IF(D6132="","",VLOOKUP(D6132, RECETTES!B:G, 6, FALSE)*E6132)</f>
        <v/>
      </c>
      <c r="J6132" s="8">
        <f>IF(G6132="","",G6132*0.20)</f>
        <v/>
      </c>
      <c r="K6132" s="8">
        <f>IF(G6132="","",G6132+J6132)</f>
        <v/>
      </c>
    </row>
    <row r="6133">
      <c r="F6133" s="8" t="n"/>
      <c r="G6133" s="8">
        <f>IF(E6133="","",E6133*F6133)</f>
        <v/>
      </c>
      <c r="H6133" s="8">
        <f>IF(G6133="","",G6133-I6133)</f>
        <v/>
      </c>
      <c r="I6133" s="8">
        <f>IF(D6133="","",VLOOKUP(D6133, RECETTES!B:G, 6, FALSE)*E6133)</f>
        <v/>
      </c>
      <c r="J6133" s="8">
        <f>IF(G6133="","",G6133*0.20)</f>
        <v/>
      </c>
      <c r="K6133" s="8">
        <f>IF(G6133="","",G6133+J6133)</f>
        <v/>
      </c>
    </row>
    <row r="6134">
      <c r="F6134" s="8" t="n"/>
      <c r="G6134" s="8">
        <f>IF(E6134="","",E6134*F6134)</f>
        <v/>
      </c>
      <c r="H6134" s="8">
        <f>IF(G6134="","",G6134-I6134)</f>
        <v/>
      </c>
      <c r="I6134" s="8">
        <f>IF(D6134="","",VLOOKUP(D6134, RECETTES!B:G, 6, FALSE)*E6134)</f>
        <v/>
      </c>
      <c r="J6134" s="8">
        <f>IF(G6134="","",G6134*0.20)</f>
        <v/>
      </c>
      <c r="K6134" s="8">
        <f>IF(G6134="","",G6134+J6134)</f>
        <v/>
      </c>
    </row>
    <row r="6135">
      <c r="F6135" s="8" t="n"/>
      <c r="G6135" s="8">
        <f>IF(E6135="","",E6135*F6135)</f>
        <v/>
      </c>
      <c r="H6135" s="8">
        <f>IF(G6135="","",G6135-I6135)</f>
        <v/>
      </c>
      <c r="I6135" s="8">
        <f>IF(D6135="","",VLOOKUP(D6135, RECETTES!B:G, 6, FALSE)*E6135)</f>
        <v/>
      </c>
      <c r="J6135" s="8">
        <f>IF(G6135="","",G6135*0.20)</f>
        <v/>
      </c>
      <c r="K6135" s="8">
        <f>IF(G6135="","",G6135+J6135)</f>
        <v/>
      </c>
    </row>
    <row r="6136">
      <c r="F6136" s="8" t="n"/>
      <c r="G6136" s="8">
        <f>IF(E6136="","",E6136*F6136)</f>
        <v/>
      </c>
      <c r="H6136" s="8">
        <f>IF(G6136="","",G6136-I6136)</f>
        <v/>
      </c>
      <c r="I6136" s="8">
        <f>IF(D6136="","",VLOOKUP(D6136, RECETTES!B:G, 6, FALSE)*E6136)</f>
        <v/>
      </c>
      <c r="J6136" s="8">
        <f>IF(G6136="","",G6136*0.20)</f>
        <v/>
      </c>
      <c r="K6136" s="8">
        <f>IF(G6136="","",G6136+J6136)</f>
        <v/>
      </c>
    </row>
    <row r="6137">
      <c r="F6137" s="8" t="n"/>
      <c r="G6137" s="8">
        <f>IF(E6137="","",E6137*F6137)</f>
        <v/>
      </c>
      <c r="H6137" s="8">
        <f>IF(G6137="","",G6137-I6137)</f>
        <v/>
      </c>
      <c r="I6137" s="8">
        <f>IF(D6137="","",VLOOKUP(D6137, RECETTES!B:G, 6, FALSE)*E6137)</f>
        <v/>
      </c>
      <c r="J6137" s="8">
        <f>IF(G6137="","",G6137*0.20)</f>
        <v/>
      </c>
      <c r="K6137" s="8">
        <f>IF(G6137="","",G6137+J6137)</f>
        <v/>
      </c>
    </row>
    <row r="6138">
      <c r="F6138" s="8" t="n"/>
      <c r="G6138" s="8">
        <f>IF(E6138="","",E6138*F6138)</f>
        <v/>
      </c>
      <c r="H6138" s="8">
        <f>IF(G6138="","",G6138-I6138)</f>
        <v/>
      </c>
      <c r="I6138" s="8">
        <f>IF(D6138="","",VLOOKUP(D6138, RECETTES!B:G, 6, FALSE)*E6138)</f>
        <v/>
      </c>
      <c r="J6138" s="8">
        <f>IF(G6138="","",G6138*0.20)</f>
        <v/>
      </c>
      <c r="K6138" s="8">
        <f>IF(G6138="","",G6138+J6138)</f>
        <v/>
      </c>
    </row>
    <row r="6139">
      <c r="F6139" s="8" t="n"/>
      <c r="G6139" s="8">
        <f>IF(E6139="","",E6139*F6139)</f>
        <v/>
      </c>
      <c r="H6139" s="8">
        <f>IF(G6139="","",G6139-I6139)</f>
        <v/>
      </c>
      <c r="I6139" s="8">
        <f>IF(D6139="","",VLOOKUP(D6139, RECETTES!B:G, 6, FALSE)*E6139)</f>
        <v/>
      </c>
      <c r="J6139" s="8">
        <f>IF(G6139="","",G6139*0.20)</f>
        <v/>
      </c>
      <c r="K6139" s="8">
        <f>IF(G6139="","",G6139+J6139)</f>
        <v/>
      </c>
    </row>
    <row r="6140">
      <c r="F6140" s="8" t="n"/>
      <c r="G6140" s="8">
        <f>IF(E6140="","",E6140*F6140)</f>
        <v/>
      </c>
      <c r="H6140" s="8">
        <f>IF(G6140="","",G6140-I6140)</f>
        <v/>
      </c>
      <c r="I6140" s="8">
        <f>IF(D6140="","",VLOOKUP(D6140, RECETTES!B:G, 6, FALSE)*E6140)</f>
        <v/>
      </c>
      <c r="J6140" s="8">
        <f>IF(G6140="","",G6140*0.20)</f>
        <v/>
      </c>
      <c r="K6140" s="8">
        <f>IF(G6140="","",G6140+J6140)</f>
        <v/>
      </c>
    </row>
    <row r="6141">
      <c r="F6141" s="8" t="n"/>
      <c r="G6141" s="8">
        <f>IF(E6141="","",E6141*F6141)</f>
        <v/>
      </c>
      <c r="H6141" s="8">
        <f>IF(G6141="","",G6141-I6141)</f>
        <v/>
      </c>
      <c r="I6141" s="8">
        <f>IF(D6141="","",VLOOKUP(D6141, RECETTES!B:G, 6, FALSE)*E6141)</f>
        <v/>
      </c>
      <c r="J6141" s="8">
        <f>IF(G6141="","",G6141*0.20)</f>
        <v/>
      </c>
      <c r="K6141" s="8">
        <f>IF(G6141="","",G6141+J6141)</f>
        <v/>
      </c>
    </row>
    <row r="6142">
      <c r="F6142" s="8" t="n"/>
      <c r="G6142" s="8">
        <f>IF(E6142="","",E6142*F6142)</f>
        <v/>
      </c>
      <c r="H6142" s="8">
        <f>IF(G6142="","",G6142-I6142)</f>
        <v/>
      </c>
      <c r="I6142" s="8">
        <f>IF(D6142="","",VLOOKUP(D6142, RECETTES!B:G, 6, FALSE)*E6142)</f>
        <v/>
      </c>
      <c r="J6142" s="8">
        <f>IF(G6142="","",G6142*0.20)</f>
        <v/>
      </c>
      <c r="K6142" s="8">
        <f>IF(G6142="","",G6142+J6142)</f>
        <v/>
      </c>
    </row>
    <row r="6143">
      <c r="F6143" s="8" t="n"/>
      <c r="G6143" s="8">
        <f>IF(E6143="","",E6143*F6143)</f>
        <v/>
      </c>
      <c r="H6143" s="8">
        <f>IF(G6143="","",G6143-I6143)</f>
        <v/>
      </c>
      <c r="I6143" s="8">
        <f>IF(D6143="","",VLOOKUP(D6143, RECETTES!B:G, 6, FALSE)*E6143)</f>
        <v/>
      </c>
      <c r="J6143" s="8">
        <f>IF(G6143="","",G6143*0.20)</f>
        <v/>
      </c>
      <c r="K6143" s="8">
        <f>IF(G6143="","",G6143+J6143)</f>
        <v/>
      </c>
    </row>
    <row r="6144">
      <c r="F6144" s="8" t="n"/>
      <c r="G6144" s="8">
        <f>IF(E6144="","",E6144*F6144)</f>
        <v/>
      </c>
      <c r="H6144" s="8">
        <f>IF(G6144="","",G6144-I6144)</f>
        <v/>
      </c>
      <c r="I6144" s="8">
        <f>IF(D6144="","",VLOOKUP(D6144, RECETTES!B:G, 6, FALSE)*E6144)</f>
        <v/>
      </c>
      <c r="J6144" s="8">
        <f>IF(G6144="","",G6144*0.20)</f>
        <v/>
      </c>
      <c r="K6144" s="8">
        <f>IF(G6144="","",G6144+J6144)</f>
        <v/>
      </c>
    </row>
    <row r="6145">
      <c r="F6145" s="8" t="n"/>
      <c r="G6145" s="8">
        <f>IF(E6145="","",E6145*F6145)</f>
        <v/>
      </c>
      <c r="H6145" s="8">
        <f>IF(G6145="","",G6145-I6145)</f>
        <v/>
      </c>
      <c r="I6145" s="8">
        <f>IF(D6145="","",VLOOKUP(D6145, RECETTES!B:G, 6, FALSE)*E6145)</f>
        <v/>
      </c>
      <c r="J6145" s="8">
        <f>IF(G6145="","",G6145*0.20)</f>
        <v/>
      </c>
      <c r="K6145" s="8">
        <f>IF(G6145="","",G6145+J6145)</f>
        <v/>
      </c>
    </row>
    <row r="6146">
      <c r="F6146" s="8" t="n"/>
      <c r="G6146" s="8">
        <f>IF(E6146="","",E6146*F6146)</f>
        <v/>
      </c>
      <c r="H6146" s="8">
        <f>IF(G6146="","",G6146-I6146)</f>
        <v/>
      </c>
      <c r="I6146" s="8">
        <f>IF(D6146="","",VLOOKUP(D6146, RECETTES!B:G, 6, FALSE)*E6146)</f>
        <v/>
      </c>
      <c r="J6146" s="8">
        <f>IF(G6146="","",G6146*0.20)</f>
        <v/>
      </c>
      <c r="K6146" s="8">
        <f>IF(G6146="","",G6146+J6146)</f>
        <v/>
      </c>
    </row>
    <row r="6147">
      <c r="F6147" s="8" t="n"/>
      <c r="G6147" s="8">
        <f>IF(E6147="","",E6147*F6147)</f>
        <v/>
      </c>
      <c r="H6147" s="8">
        <f>IF(G6147="","",G6147-I6147)</f>
        <v/>
      </c>
      <c r="I6147" s="8">
        <f>IF(D6147="","",VLOOKUP(D6147, RECETTES!B:G, 6, FALSE)*E6147)</f>
        <v/>
      </c>
      <c r="J6147" s="8">
        <f>IF(G6147="","",G6147*0.20)</f>
        <v/>
      </c>
      <c r="K6147" s="8">
        <f>IF(G6147="","",G6147+J6147)</f>
        <v/>
      </c>
    </row>
    <row r="6148">
      <c r="F6148" s="8" t="n"/>
      <c r="G6148" s="8">
        <f>IF(E6148="","",E6148*F6148)</f>
        <v/>
      </c>
      <c r="H6148" s="8">
        <f>IF(G6148="","",G6148-I6148)</f>
        <v/>
      </c>
      <c r="I6148" s="8">
        <f>IF(D6148="","",VLOOKUP(D6148, RECETTES!B:G, 6, FALSE)*E6148)</f>
        <v/>
      </c>
      <c r="J6148" s="8">
        <f>IF(G6148="","",G6148*0.20)</f>
        <v/>
      </c>
      <c r="K6148" s="8">
        <f>IF(G6148="","",G6148+J6148)</f>
        <v/>
      </c>
    </row>
    <row r="6149">
      <c r="F6149" s="8" t="n"/>
      <c r="G6149" s="8">
        <f>IF(E6149="","",E6149*F6149)</f>
        <v/>
      </c>
      <c r="H6149" s="8">
        <f>IF(G6149="","",G6149-I6149)</f>
        <v/>
      </c>
      <c r="I6149" s="8">
        <f>IF(D6149="","",VLOOKUP(D6149, RECETTES!B:G, 6, FALSE)*E6149)</f>
        <v/>
      </c>
      <c r="J6149" s="8">
        <f>IF(G6149="","",G6149*0.20)</f>
        <v/>
      </c>
      <c r="K6149" s="8">
        <f>IF(G6149="","",G6149+J6149)</f>
        <v/>
      </c>
    </row>
    <row r="6150">
      <c r="F6150" s="8" t="n"/>
      <c r="G6150" s="8">
        <f>IF(E6150="","",E6150*F6150)</f>
        <v/>
      </c>
      <c r="H6150" s="8">
        <f>IF(G6150="","",G6150-I6150)</f>
        <v/>
      </c>
      <c r="I6150" s="8">
        <f>IF(D6150="","",VLOOKUP(D6150, RECETTES!B:G, 6, FALSE)*E6150)</f>
        <v/>
      </c>
      <c r="J6150" s="8">
        <f>IF(G6150="","",G6150*0.20)</f>
        <v/>
      </c>
      <c r="K6150" s="8">
        <f>IF(G6150="","",G6150+J6150)</f>
        <v/>
      </c>
    </row>
    <row r="6151">
      <c r="F6151" s="8" t="n"/>
      <c r="G6151" s="8">
        <f>IF(E6151="","",E6151*F6151)</f>
        <v/>
      </c>
      <c r="H6151" s="8">
        <f>IF(G6151="","",G6151-I6151)</f>
        <v/>
      </c>
      <c r="I6151" s="8">
        <f>IF(D6151="","",VLOOKUP(D6151, RECETTES!B:G, 6, FALSE)*E6151)</f>
        <v/>
      </c>
      <c r="J6151" s="8">
        <f>IF(G6151="","",G6151*0.20)</f>
        <v/>
      </c>
      <c r="K6151" s="8">
        <f>IF(G6151="","",G6151+J6151)</f>
        <v/>
      </c>
    </row>
    <row r="6152">
      <c r="F6152" s="8" t="n"/>
      <c r="G6152" s="8">
        <f>IF(E6152="","",E6152*F6152)</f>
        <v/>
      </c>
      <c r="H6152" s="8">
        <f>IF(G6152="","",G6152-I6152)</f>
        <v/>
      </c>
      <c r="I6152" s="8">
        <f>IF(D6152="","",VLOOKUP(D6152, RECETTES!B:G, 6, FALSE)*E6152)</f>
        <v/>
      </c>
      <c r="J6152" s="8">
        <f>IF(G6152="","",G6152*0.20)</f>
        <v/>
      </c>
      <c r="K6152" s="8">
        <f>IF(G6152="","",G6152+J6152)</f>
        <v/>
      </c>
    </row>
    <row r="6153">
      <c r="F6153" s="8" t="n"/>
      <c r="G6153" s="8">
        <f>IF(E6153="","",E6153*F6153)</f>
        <v/>
      </c>
      <c r="H6153" s="8">
        <f>IF(G6153="","",G6153-I6153)</f>
        <v/>
      </c>
      <c r="I6153" s="8">
        <f>IF(D6153="","",VLOOKUP(D6153, RECETTES!B:G, 6, FALSE)*E6153)</f>
        <v/>
      </c>
      <c r="J6153" s="8">
        <f>IF(G6153="","",G6153*0.20)</f>
        <v/>
      </c>
      <c r="K6153" s="8">
        <f>IF(G6153="","",G6153+J6153)</f>
        <v/>
      </c>
    </row>
    <row r="6154">
      <c r="F6154" s="8" t="n"/>
      <c r="G6154" s="8">
        <f>IF(E6154="","",E6154*F6154)</f>
        <v/>
      </c>
      <c r="H6154" s="8">
        <f>IF(G6154="","",G6154-I6154)</f>
        <v/>
      </c>
      <c r="I6154" s="8">
        <f>IF(D6154="","",VLOOKUP(D6154, RECETTES!B:G, 6, FALSE)*E6154)</f>
        <v/>
      </c>
      <c r="J6154" s="8">
        <f>IF(G6154="","",G6154*0.20)</f>
        <v/>
      </c>
      <c r="K6154" s="8">
        <f>IF(G6154="","",G6154+J6154)</f>
        <v/>
      </c>
    </row>
    <row r="6155">
      <c r="F6155" s="8" t="n"/>
      <c r="G6155" s="8">
        <f>IF(E6155="","",E6155*F6155)</f>
        <v/>
      </c>
      <c r="H6155" s="8">
        <f>IF(G6155="","",G6155-I6155)</f>
        <v/>
      </c>
      <c r="I6155" s="8">
        <f>IF(D6155="","",VLOOKUP(D6155, RECETTES!B:G, 6, FALSE)*E6155)</f>
        <v/>
      </c>
      <c r="J6155" s="8">
        <f>IF(G6155="","",G6155*0.20)</f>
        <v/>
      </c>
      <c r="K6155" s="8">
        <f>IF(G6155="","",G6155+J6155)</f>
        <v/>
      </c>
    </row>
    <row r="6156">
      <c r="F6156" s="8" t="n"/>
      <c r="G6156" s="8">
        <f>IF(E6156="","",E6156*F6156)</f>
        <v/>
      </c>
      <c r="H6156" s="8">
        <f>IF(G6156="","",G6156-I6156)</f>
        <v/>
      </c>
      <c r="I6156" s="8">
        <f>IF(D6156="","",VLOOKUP(D6156, RECETTES!B:G, 6, FALSE)*E6156)</f>
        <v/>
      </c>
      <c r="J6156" s="8">
        <f>IF(G6156="","",G6156*0.20)</f>
        <v/>
      </c>
      <c r="K6156" s="8">
        <f>IF(G6156="","",G6156+J6156)</f>
        <v/>
      </c>
    </row>
    <row r="6157">
      <c r="F6157" s="8" t="n"/>
      <c r="G6157" s="8">
        <f>IF(E6157="","",E6157*F6157)</f>
        <v/>
      </c>
      <c r="H6157" s="8">
        <f>IF(G6157="","",G6157-I6157)</f>
        <v/>
      </c>
      <c r="I6157" s="8">
        <f>IF(D6157="","",VLOOKUP(D6157, RECETTES!B:G, 6, FALSE)*E6157)</f>
        <v/>
      </c>
      <c r="J6157" s="8">
        <f>IF(G6157="","",G6157*0.20)</f>
        <v/>
      </c>
      <c r="K6157" s="8">
        <f>IF(G6157="","",G6157+J6157)</f>
        <v/>
      </c>
    </row>
    <row r="6158">
      <c r="F6158" s="8" t="n"/>
      <c r="G6158" s="8">
        <f>IF(E6158="","",E6158*F6158)</f>
        <v/>
      </c>
      <c r="H6158" s="8">
        <f>IF(G6158="","",G6158-I6158)</f>
        <v/>
      </c>
      <c r="I6158" s="8">
        <f>IF(D6158="","",VLOOKUP(D6158, RECETTES!B:G, 6, FALSE)*E6158)</f>
        <v/>
      </c>
      <c r="J6158" s="8">
        <f>IF(G6158="","",G6158*0.20)</f>
        <v/>
      </c>
      <c r="K6158" s="8">
        <f>IF(G6158="","",G6158+J6158)</f>
        <v/>
      </c>
    </row>
    <row r="6159">
      <c r="F6159" s="8" t="n"/>
      <c r="G6159" s="8">
        <f>IF(E6159="","",E6159*F6159)</f>
        <v/>
      </c>
      <c r="H6159" s="8">
        <f>IF(G6159="","",G6159-I6159)</f>
        <v/>
      </c>
      <c r="I6159" s="8">
        <f>IF(D6159="","",VLOOKUP(D6159, RECETTES!B:G, 6, FALSE)*E6159)</f>
        <v/>
      </c>
      <c r="J6159" s="8">
        <f>IF(G6159="","",G6159*0.20)</f>
        <v/>
      </c>
      <c r="K6159" s="8">
        <f>IF(G6159="","",G6159+J6159)</f>
        <v/>
      </c>
    </row>
    <row r="6160">
      <c r="F6160" s="8" t="n"/>
      <c r="G6160" s="8">
        <f>IF(E6160="","",E6160*F6160)</f>
        <v/>
      </c>
      <c r="H6160" s="8">
        <f>IF(G6160="","",G6160-I6160)</f>
        <v/>
      </c>
      <c r="I6160" s="8">
        <f>IF(D6160="","",VLOOKUP(D6160, RECETTES!B:G, 6, FALSE)*E6160)</f>
        <v/>
      </c>
      <c r="J6160" s="8">
        <f>IF(G6160="","",G6160*0.20)</f>
        <v/>
      </c>
      <c r="K6160" s="8">
        <f>IF(G6160="","",G6160+J6160)</f>
        <v/>
      </c>
    </row>
    <row r="6161">
      <c r="F6161" s="8" t="n"/>
      <c r="G6161" s="8">
        <f>IF(E6161="","",E6161*F6161)</f>
        <v/>
      </c>
      <c r="H6161" s="8">
        <f>IF(G6161="","",G6161-I6161)</f>
        <v/>
      </c>
      <c r="I6161" s="8">
        <f>IF(D6161="","",VLOOKUP(D6161, RECETTES!B:G, 6, FALSE)*E6161)</f>
        <v/>
      </c>
      <c r="J6161" s="8">
        <f>IF(G6161="","",G6161*0.20)</f>
        <v/>
      </c>
      <c r="K6161" s="8">
        <f>IF(G6161="","",G6161+J6161)</f>
        <v/>
      </c>
    </row>
    <row r="6162">
      <c r="F6162" s="8" t="n"/>
      <c r="G6162" s="8">
        <f>IF(E6162="","",E6162*F6162)</f>
        <v/>
      </c>
      <c r="H6162" s="8">
        <f>IF(G6162="","",G6162-I6162)</f>
        <v/>
      </c>
      <c r="I6162" s="8">
        <f>IF(D6162="","",VLOOKUP(D6162, RECETTES!B:G, 6, FALSE)*E6162)</f>
        <v/>
      </c>
      <c r="J6162" s="8">
        <f>IF(G6162="","",G6162*0.20)</f>
        <v/>
      </c>
      <c r="K6162" s="8">
        <f>IF(G6162="","",G6162+J6162)</f>
        <v/>
      </c>
    </row>
    <row r="6163">
      <c r="F6163" s="8" t="n"/>
      <c r="G6163" s="8">
        <f>IF(E6163="","",E6163*F6163)</f>
        <v/>
      </c>
      <c r="H6163" s="8">
        <f>IF(G6163="","",G6163-I6163)</f>
        <v/>
      </c>
      <c r="I6163" s="8">
        <f>IF(D6163="","",VLOOKUP(D6163, RECETTES!B:G, 6, FALSE)*E6163)</f>
        <v/>
      </c>
      <c r="J6163" s="8">
        <f>IF(G6163="","",G6163*0.20)</f>
        <v/>
      </c>
      <c r="K6163" s="8">
        <f>IF(G6163="","",G6163+J6163)</f>
        <v/>
      </c>
    </row>
    <row r="6164">
      <c r="F6164" s="8" t="n"/>
      <c r="G6164" s="8">
        <f>IF(E6164="","",E6164*F6164)</f>
        <v/>
      </c>
      <c r="H6164" s="8">
        <f>IF(G6164="","",G6164-I6164)</f>
        <v/>
      </c>
      <c r="I6164" s="8">
        <f>IF(D6164="","",VLOOKUP(D6164, RECETTES!B:G, 6, FALSE)*E6164)</f>
        <v/>
      </c>
      <c r="J6164" s="8">
        <f>IF(G6164="","",G6164*0.20)</f>
        <v/>
      </c>
      <c r="K6164" s="8">
        <f>IF(G6164="","",G6164+J6164)</f>
        <v/>
      </c>
    </row>
    <row r="6165">
      <c r="F6165" s="8" t="n"/>
      <c r="G6165" s="8">
        <f>IF(E6165="","",E6165*F6165)</f>
        <v/>
      </c>
      <c r="H6165" s="8">
        <f>IF(G6165="","",G6165-I6165)</f>
        <v/>
      </c>
      <c r="I6165" s="8">
        <f>IF(D6165="","",VLOOKUP(D6165, RECETTES!B:G, 6, FALSE)*E6165)</f>
        <v/>
      </c>
      <c r="J6165" s="8">
        <f>IF(G6165="","",G6165*0.20)</f>
        <v/>
      </c>
      <c r="K6165" s="8">
        <f>IF(G6165="","",G6165+J6165)</f>
        <v/>
      </c>
    </row>
    <row r="6166">
      <c r="F6166" s="8" t="n"/>
      <c r="G6166" s="8">
        <f>IF(E6166="","",E6166*F6166)</f>
        <v/>
      </c>
      <c r="H6166" s="8">
        <f>IF(G6166="","",G6166-I6166)</f>
        <v/>
      </c>
      <c r="I6166" s="8">
        <f>IF(D6166="","",VLOOKUP(D6166, RECETTES!B:G, 6, FALSE)*E6166)</f>
        <v/>
      </c>
      <c r="J6166" s="8">
        <f>IF(G6166="","",G6166*0.20)</f>
        <v/>
      </c>
      <c r="K6166" s="8">
        <f>IF(G6166="","",G6166+J6166)</f>
        <v/>
      </c>
    </row>
    <row r="6167">
      <c r="F6167" s="8" t="n"/>
      <c r="G6167" s="8">
        <f>IF(E6167="","",E6167*F6167)</f>
        <v/>
      </c>
      <c r="H6167" s="8">
        <f>IF(G6167="","",G6167-I6167)</f>
        <v/>
      </c>
      <c r="I6167" s="8">
        <f>IF(D6167="","",VLOOKUP(D6167, RECETTES!B:G, 6, FALSE)*E6167)</f>
        <v/>
      </c>
      <c r="J6167" s="8">
        <f>IF(G6167="","",G6167*0.20)</f>
        <v/>
      </c>
      <c r="K6167" s="8">
        <f>IF(G6167="","",G6167+J6167)</f>
        <v/>
      </c>
    </row>
    <row r="6168">
      <c r="F6168" s="8" t="n"/>
      <c r="G6168" s="8">
        <f>IF(E6168="","",E6168*F6168)</f>
        <v/>
      </c>
      <c r="H6168" s="8">
        <f>IF(G6168="","",G6168-I6168)</f>
        <v/>
      </c>
      <c r="I6168" s="8">
        <f>IF(D6168="","",VLOOKUP(D6168, RECETTES!B:G, 6, FALSE)*E6168)</f>
        <v/>
      </c>
      <c r="J6168" s="8">
        <f>IF(G6168="","",G6168*0.20)</f>
        <v/>
      </c>
      <c r="K6168" s="8">
        <f>IF(G6168="","",G6168+J6168)</f>
        <v/>
      </c>
    </row>
    <row r="6169">
      <c r="F6169" s="8" t="n"/>
      <c r="G6169" s="8">
        <f>IF(E6169="","",E6169*F6169)</f>
        <v/>
      </c>
      <c r="H6169" s="8">
        <f>IF(G6169="","",G6169-I6169)</f>
        <v/>
      </c>
      <c r="I6169" s="8">
        <f>IF(D6169="","",VLOOKUP(D6169, RECETTES!B:G, 6, FALSE)*E6169)</f>
        <v/>
      </c>
      <c r="J6169" s="8">
        <f>IF(G6169="","",G6169*0.20)</f>
        <v/>
      </c>
      <c r="K6169" s="8">
        <f>IF(G6169="","",G6169+J6169)</f>
        <v/>
      </c>
    </row>
    <row r="6170">
      <c r="F6170" s="8" t="n"/>
      <c r="G6170" s="8">
        <f>IF(E6170="","",E6170*F6170)</f>
        <v/>
      </c>
      <c r="H6170" s="8">
        <f>IF(G6170="","",G6170-I6170)</f>
        <v/>
      </c>
      <c r="I6170" s="8">
        <f>IF(D6170="","",VLOOKUP(D6170, RECETTES!B:G, 6, FALSE)*E6170)</f>
        <v/>
      </c>
      <c r="J6170" s="8">
        <f>IF(G6170="","",G6170*0.20)</f>
        <v/>
      </c>
      <c r="K6170" s="8">
        <f>IF(G6170="","",G6170+J6170)</f>
        <v/>
      </c>
    </row>
    <row r="6171">
      <c r="F6171" s="8" t="n"/>
      <c r="G6171" s="8">
        <f>IF(E6171="","",E6171*F6171)</f>
        <v/>
      </c>
      <c r="H6171" s="8">
        <f>IF(G6171="","",G6171-I6171)</f>
        <v/>
      </c>
      <c r="I6171" s="8">
        <f>IF(D6171="","",VLOOKUP(D6171, RECETTES!B:G, 6, FALSE)*E6171)</f>
        <v/>
      </c>
      <c r="J6171" s="8">
        <f>IF(G6171="","",G6171*0.20)</f>
        <v/>
      </c>
      <c r="K6171" s="8">
        <f>IF(G6171="","",G6171+J6171)</f>
        <v/>
      </c>
    </row>
    <row r="6172">
      <c r="F6172" s="8" t="n"/>
      <c r="G6172" s="8">
        <f>IF(E6172="","",E6172*F6172)</f>
        <v/>
      </c>
      <c r="H6172" s="8">
        <f>IF(G6172="","",G6172-I6172)</f>
        <v/>
      </c>
      <c r="I6172" s="8">
        <f>IF(D6172="","",VLOOKUP(D6172, RECETTES!B:G, 6, FALSE)*E6172)</f>
        <v/>
      </c>
      <c r="J6172" s="8">
        <f>IF(G6172="","",G6172*0.20)</f>
        <v/>
      </c>
      <c r="K6172" s="8">
        <f>IF(G6172="","",G6172+J6172)</f>
        <v/>
      </c>
    </row>
    <row r="6173">
      <c r="F6173" s="8" t="n"/>
      <c r="G6173" s="8">
        <f>IF(E6173="","",E6173*F6173)</f>
        <v/>
      </c>
      <c r="H6173" s="8">
        <f>IF(G6173="","",G6173-I6173)</f>
        <v/>
      </c>
      <c r="I6173" s="8">
        <f>IF(D6173="","",VLOOKUP(D6173, RECETTES!B:G, 6, FALSE)*E6173)</f>
        <v/>
      </c>
      <c r="J6173" s="8">
        <f>IF(G6173="","",G6173*0.20)</f>
        <v/>
      </c>
      <c r="K6173" s="8">
        <f>IF(G6173="","",G6173+J6173)</f>
        <v/>
      </c>
    </row>
    <row r="6174">
      <c r="F6174" s="8" t="n"/>
      <c r="G6174" s="8">
        <f>IF(E6174="","",E6174*F6174)</f>
        <v/>
      </c>
      <c r="H6174" s="8">
        <f>IF(G6174="","",G6174-I6174)</f>
        <v/>
      </c>
      <c r="I6174" s="8">
        <f>IF(D6174="","",VLOOKUP(D6174, RECETTES!B:G, 6, FALSE)*E6174)</f>
        <v/>
      </c>
      <c r="J6174" s="8">
        <f>IF(G6174="","",G6174*0.20)</f>
        <v/>
      </c>
      <c r="K6174" s="8">
        <f>IF(G6174="","",G6174+J6174)</f>
        <v/>
      </c>
    </row>
    <row r="6175">
      <c r="F6175" s="8" t="n"/>
      <c r="G6175" s="8">
        <f>IF(E6175="","",E6175*F6175)</f>
        <v/>
      </c>
      <c r="H6175" s="8">
        <f>IF(G6175="","",G6175-I6175)</f>
        <v/>
      </c>
      <c r="I6175" s="8">
        <f>IF(D6175="","",VLOOKUP(D6175, RECETTES!B:G, 6, FALSE)*E6175)</f>
        <v/>
      </c>
      <c r="J6175" s="8">
        <f>IF(G6175="","",G6175*0.20)</f>
        <v/>
      </c>
      <c r="K6175" s="8">
        <f>IF(G6175="","",G6175+J6175)</f>
        <v/>
      </c>
    </row>
    <row r="6176">
      <c r="F6176" s="8" t="n"/>
      <c r="G6176" s="8">
        <f>IF(E6176="","",E6176*F6176)</f>
        <v/>
      </c>
      <c r="H6176" s="8">
        <f>IF(G6176="","",G6176-I6176)</f>
        <v/>
      </c>
      <c r="I6176" s="8">
        <f>IF(D6176="","",VLOOKUP(D6176, RECETTES!B:G, 6, FALSE)*E6176)</f>
        <v/>
      </c>
      <c r="J6176" s="8">
        <f>IF(G6176="","",G6176*0.20)</f>
        <v/>
      </c>
      <c r="K6176" s="8">
        <f>IF(G6176="","",G6176+J6176)</f>
        <v/>
      </c>
    </row>
    <row r="6177">
      <c r="F6177" s="8" t="n"/>
      <c r="G6177" s="8">
        <f>IF(E6177="","",E6177*F6177)</f>
        <v/>
      </c>
      <c r="H6177" s="8">
        <f>IF(G6177="","",G6177-I6177)</f>
        <v/>
      </c>
      <c r="I6177" s="8">
        <f>IF(D6177="","",VLOOKUP(D6177, RECETTES!B:G, 6, FALSE)*E6177)</f>
        <v/>
      </c>
      <c r="J6177" s="8">
        <f>IF(G6177="","",G6177*0.20)</f>
        <v/>
      </c>
      <c r="K6177" s="8">
        <f>IF(G6177="","",G6177+J6177)</f>
        <v/>
      </c>
    </row>
    <row r="6178">
      <c r="F6178" s="8" t="n"/>
      <c r="G6178" s="8">
        <f>IF(E6178="","",E6178*F6178)</f>
        <v/>
      </c>
      <c r="H6178" s="8">
        <f>IF(G6178="","",G6178-I6178)</f>
        <v/>
      </c>
      <c r="I6178" s="8">
        <f>IF(D6178="","",VLOOKUP(D6178, RECETTES!B:G, 6, FALSE)*E6178)</f>
        <v/>
      </c>
      <c r="J6178" s="8">
        <f>IF(G6178="","",G6178*0.20)</f>
        <v/>
      </c>
      <c r="K6178" s="8">
        <f>IF(G6178="","",G6178+J6178)</f>
        <v/>
      </c>
    </row>
    <row r="6179">
      <c r="F6179" s="8" t="n"/>
      <c r="G6179" s="8">
        <f>IF(E6179="","",E6179*F6179)</f>
        <v/>
      </c>
      <c r="H6179" s="8">
        <f>IF(G6179="","",G6179-I6179)</f>
        <v/>
      </c>
      <c r="I6179" s="8">
        <f>IF(D6179="","",VLOOKUP(D6179, RECETTES!B:G, 6, FALSE)*E6179)</f>
        <v/>
      </c>
      <c r="J6179" s="8">
        <f>IF(G6179="","",G6179*0.20)</f>
        <v/>
      </c>
      <c r="K6179" s="8">
        <f>IF(G6179="","",G6179+J6179)</f>
        <v/>
      </c>
    </row>
    <row r="6180">
      <c r="F6180" s="8" t="n"/>
      <c r="G6180" s="8">
        <f>IF(E6180="","",E6180*F6180)</f>
        <v/>
      </c>
      <c r="H6180" s="8">
        <f>IF(G6180="","",G6180-I6180)</f>
        <v/>
      </c>
      <c r="I6180" s="8">
        <f>IF(D6180="","",VLOOKUP(D6180, RECETTES!B:G, 6, FALSE)*E6180)</f>
        <v/>
      </c>
      <c r="J6180" s="8">
        <f>IF(G6180="","",G6180*0.20)</f>
        <v/>
      </c>
      <c r="K6180" s="8">
        <f>IF(G6180="","",G6180+J6180)</f>
        <v/>
      </c>
    </row>
    <row r="6181">
      <c r="F6181" s="8" t="n"/>
      <c r="G6181" s="8">
        <f>IF(E6181="","",E6181*F6181)</f>
        <v/>
      </c>
      <c r="H6181" s="8">
        <f>IF(G6181="","",G6181-I6181)</f>
        <v/>
      </c>
      <c r="I6181" s="8">
        <f>IF(D6181="","",VLOOKUP(D6181, RECETTES!B:G, 6, FALSE)*E6181)</f>
        <v/>
      </c>
      <c r="J6181" s="8">
        <f>IF(G6181="","",G6181*0.20)</f>
        <v/>
      </c>
      <c r="K6181" s="8">
        <f>IF(G6181="","",G6181+J6181)</f>
        <v/>
      </c>
    </row>
    <row r="6182">
      <c r="F6182" s="8" t="n"/>
      <c r="G6182" s="8">
        <f>IF(E6182="","",E6182*F6182)</f>
        <v/>
      </c>
      <c r="H6182" s="8">
        <f>IF(G6182="","",G6182-I6182)</f>
        <v/>
      </c>
      <c r="I6182" s="8">
        <f>IF(D6182="","",VLOOKUP(D6182, RECETTES!B:G, 6, FALSE)*E6182)</f>
        <v/>
      </c>
      <c r="J6182" s="8">
        <f>IF(G6182="","",G6182*0.20)</f>
        <v/>
      </c>
      <c r="K6182" s="8">
        <f>IF(G6182="","",G6182+J6182)</f>
        <v/>
      </c>
    </row>
    <row r="6183">
      <c r="F6183" s="8" t="n"/>
      <c r="G6183" s="8">
        <f>IF(E6183="","",E6183*F6183)</f>
        <v/>
      </c>
      <c r="H6183" s="8">
        <f>IF(G6183="","",G6183-I6183)</f>
        <v/>
      </c>
      <c r="I6183" s="8">
        <f>IF(D6183="","",VLOOKUP(D6183, RECETTES!B:G, 6, FALSE)*E6183)</f>
        <v/>
      </c>
      <c r="J6183" s="8">
        <f>IF(G6183="","",G6183*0.20)</f>
        <v/>
      </c>
      <c r="K6183" s="8">
        <f>IF(G6183="","",G6183+J6183)</f>
        <v/>
      </c>
    </row>
    <row r="6184">
      <c r="F6184" s="8" t="n"/>
      <c r="G6184" s="8">
        <f>IF(E6184="","",E6184*F6184)</f>
        <v/>
      </c>
      <c r="H6184" s="8">
        <f>IF(G6184="","",G6184-I6184)</f>
        <v/>
      </c>
      <c r="I6184" s="8">
        <f>IF(D6184="","",VLOOKUP(D6184, RECETTES!B:G, 6, FALSE)*E6184)</f>
        <v/>
      </c>
      <c r="J6184" s="8">
        <f>IF(G6184="","",G6184*0.20)</f>
        <v/>
      </c>
      <c r="K6184" s="8">
        <f>IF(G6184="","",G6184+J6184)</f>
        <v/>
      </c>
    </row>
    <row r="6185">
      <c r="F6185" s="8" t="n"/>
      <c r="G6185" s="8">
        <f>IF(E6185="","",E6185*F6185)</f>
        <v/>
      </c>
      <c r="H6185" s="8">
        <f>IF(G6185="","",G6185-I6185)</f>
        <v/>
      </c>
      <c r="I6185" s="8">
        <f>IF(D6185="","",VLOOKUP(D6185, RECETTES!B:G, 6, FALSE)*E6185)</f>
        <v/>
      </c>
      <c r="J6185" s="8">
        <f>IF(G6185="","",G6185*0.20)</f>
        <v/>
      </c>
      <c r="K6185" s="8">
        <f>IF(G6185="","",G6185+J6185)</f>
        <v/>
      </c>
    </row>
    <row r="6186">
      <c r="F6186" s="8" t="n"/>
      <c r="G6186" s="8">
        <f>IF(E6186="","",E6186*F6186)</f>
        <v/>
      </c>
      <c r="H6186" s="8">
        <f>IF(G6186="","",G6186-I6186)</f>
        <v/>
      </c>
      <c r="I6186" s="8">
        <f>IF(D6186="","",VLOOKUP(D6186, RECETTES!B:G, 6, FALSE)*E6186)</f>
        <v/>
      </c>
      <c r="J6186" s="8">
        <f>IF(G6186="","",G6186*0.20)</f>
        <v/>
      </c>
      <c r="K6186" s="8">
        <f>IF(G6186="","",G6186+J6186)</f>
        <v/>
      </c>
    </row>
    <row r="6187">
      <c r="F6187" s="8" t="n"/>
      <c r="G6187" s="8">
        <f>IF(E6187="","",E6187*F6187)</f>
        <v/>
      </c>
      <c r="H6187" s="8">
        <f>IF(G6187="","",G6187-I6187)</f>
        <v/>
      </c>
      <c r="I6187" s="8">
        <f>IF(D6187="","",VLOOKUP(D6187, RECETTES!B:G, 6, FALSE)*E6187)</f>
        <v/>
      </c>
      <c r="J6187" s="8">
        <f>IF(G6187="","",G6187*0.20)</f>
        <v/>
      </c>
      <c r="K6187" s="8">
        <f>IF(G6187="","",G6187+J6187)</f>
        <v/>
      </c>
    </row>
    <row r="6188">
      <c r="F6188" s="8" t="n"/>
      <c r="G6188" s="8">
        <f>IF(E6188="","",E6188*F6188)</f>
        <v/>
      </c>
      <c r="H6188" s="8">
        <f>IF(G6188="","",G6188-I6188)</f>
        <v/>
      </c>
      <c r="I6188" s="8">
        <f>IF(D6188="","",VLOOKUP(D6188, RECETTES!B:G, 6, FALSE)*E6188)</f>
        <v/>
      </c>
      <c r="J6188" s="8">
        <f>IF(G6188="","",G6188*0.20)</f>
        <v/>
      </c>
      <c r="K6188" s="8">
        <f>IF(G6188="","",G6188+J6188)</f>
        <v/>
      </c>
    </row>
    <row r="6189">
      <c r="F6189" s="8" t="n"/>
      <c r="G6189" s="8">
        <f>IF(E6189="","",E6189*F6189)</f>
        <v/>
      </c>
      <c r="H6189" s="8">
        <f>IF(G6189="","",G6189-I6189)</f>
        <v/>
      </c>
      <c r="I6189" s="8">
        <f>IF(D6189="","",VLOOKUP(D6189, RECETTES!B:G, 6, FALSE)*E6189)</f>
        <v/>
      </c>
      <c r="J6189" s="8">
        <f>IF(G6189="","",G6189*0.20)</f>
        <v/>
      </c>
      <c r="K6189" s="8">
        <f>IF(G6189="","",G6189+J6189)</f>
        <v/>
      </c>
    </row>
    <row r="6190">
      <c r="F6190" s="8" t="n"/>
      <c r="G6190" s="8">
        <f>IF(E6190="","",E6190*F6190)</f>
        <v/>
      </c>
      <c r="H6190" s="8">
        <f>IF(G6190="","",G6190-I6190)</f>
        <v/>
      </c>
      <c r="I6190" s="8">
        <f>IF(D6190="","",VLOOKUP(D6190, RECETTES!B:G, 6, FALSE)*E6190)</f>
        <v/>
      </c>
      <c r="J6190" s="8">
        <f>IF(G6190="","",G6190*0.20)</f>
        <v/>
      </c>
      <c r="K6190" s="8">
        <f>IF(G6190="","",G6190+J6190)</f>
        <v/>
      </c>
    </row>
    <row r="6191">
      <c r="F6191" s="8" t="n"/>
      <c r="G6191" s="8">
        <f>IF(E6191="","",E6191*F6191)</f>
        <v/>
      </c>
      <c r="H6191" s="8">
        <f>IF(G6191="","",G6191-I6191)</f>
        <v/>
      </c>
      <c r="I6191" s="8">
        <f>IF(D6191="","",VLOOKUP(D6191, RECETTES!B:G, 6, FALSE)*E6191)</f>
        <v/>
      </c>
      <c r="J6191" s="8">
        <f>IF(G6191="","",G6191*0.20)</f>
        <v/>
      </c>
      <c r="K6191" s="8">
        <f>IF(G6191="","",G6191+J6191)</f>
        <v/>
      </c>
    </row>
    <row r="6192">
      <c r="F6192" s="8" t="n"/>
      <c r="G6192" s="8">
        <f>IF(E6192="","",E6192*F6192)</f>
        <v/>
      </c>
      <c r="H6192" s="8">
        <f>IF(G6192="","",G6192-I6192)</f>
        <v/>
      </c>
      <c r="I6192" s="8">
        <f>IF(D6192="","",VLOOKUP(D6192, RECETTES!B:G, 6, FALSE)*E6192)</f>
        <v/>
      </c>
      <c r="J6192" s="8">
        <f>IF(G6192="","",G6192*0.20)</f>
        <v/>
      </c>
      <c r="K6192" s="8">
        <f>IF(G6192="","",G6192+J6192)</f>
        <v/>
      </c>
    </row>
    <row r="6193">
      <c r="F6193" s="8" t="n"/>
      <c r="G6193" s="8">
        <f>IF(E6193="","",E6193*F6193)</f>
        <v/>
      </c>
      <c r="H6193" s="8">
        <f>IF(G6193="","",G6193-I6193)</f>
        <v/>
      </c>
      <c r="I6193" s="8">
        <f>IF(D6193="","",VLOOKUP(D6193, RECETTES!B:G, 6, FALSE)*E6193)</f>
        <v/>
      </c>
      <c r="J6193" s="8">
        <f>IF(G6193="","",G6193*0.20)</f>
        <v/>
      </c>
      <c r="K6193" s="8">
        <f>IF(G6193="","",G6193+J6193)</f>
        <v/>
      </c>
    </row>
    <row r="6194">
      <c r="F6194" s="8" t="n"/>
      <c r="G6194" s="8">
        <f>IF(E6194="","",E6194*F6194)</f>
        <v/>
      </c>
      <c r="H6194" s="8">
        <f>IF(G6194="","",G6194-I6194)</f>
        <v/>
      </c>
      <c r="I6194" s="8">
        <f>IF(D6194="","",VLOOKUP(D6194, RECETTES!B:G, 6, FALSE)*E6194)</f>
        <v/>
      </c>
      <c r="J6194" s="8">
        <f>IF(G6194="","",G6194*0.20)</f>
        <v/>
      </c>
      <c r="K6194" s="8">
        <f>IF(G6194="","",G6194+J6194)</f>
        <v/>
      </c>
    </row>
    <row r="6195">
      <c r="F6195" s="8" t="n"/>
      <c r="G6195" s="8">
        <f>IF(E6195="","",E6195*F6195)</f>
        <v/>
      </c>
      <c r="H6195" s="8">
        <f>IF(G6195="","",G6195-I6195)</f>
        <v/>
      </c>
      <c r="I6195" s="8">
        <f>IF(D6195="","",VLOOKUP(D6195, RECETTES!B:G, 6, FALSE)*E6195)</f>
        <v/>
      </c>
      <c r="J6195" s="8">
        <f>IF(G6195="","",G6195*0.20)</f>
        <v/>
      </c>
      <c r="K6195" s="8">
        <f>IF(G6195="","",G6195+J6195)</f>
        <v/>
      </c>
    </row>
    <row r="6196">
      <c r="F6196" s="8" t="n"/>
      <c r="G6196" s="8">
        <f>IF(E6196="","",E6196*F6196)</f>
        <v/>
      </c>
      <c r="H6196" s="8">
        <f>IF(G6196="","",G6196-I6196)</f>
        <v/>
      </c>
      <c r="I6196" s="8">
        <f>IF(D6196="","",VLOOKUP(D6196, RECETTES!B:G, 6, FALSE)*E6196)</f>
        <v/>
      </c>
      <c r="J6196" s="8">
        <f>IF(G6196="","",G6196*0.20)</f>
        <v/>
      </c>
      <c r="K6196" s="8">
        <f>IF(G6196="","",G6196+J6196)</f>
        <v/>
      </c>
    </row>
    <row r="6197">
      <c r="F6197" s="8" t="n"/>
      <c r="G6197" s="8">
        <f>IF(E6197="","",E6197*F6197)</f>
        <v/>
      </c>
      <c r="H6197" s="8">
        <f>IF(G6197="","",G6197-I6197)</f>
        <v/>
      </c>
      <c r="I6197" s="8">
        <f>IF(D6197="","",VLOOKUP(D6197, RECETTES!B:G, 6, FALSE)*E6197)</f>
        <v/>
      </c>
      <c r="J6197" s="8">
        <f>IF(G6197="","",G6197*0.20)</f>
        <v/>
      </c>
      <c r="K6197" s="8">
        <f>IF(G6197="","",G6197+J6197)</f>
        <v/>
      </c>
    </row>
    <row r="6198">
      <c r="F6198" s="8" t="n"/>
      <c r="G6198" s="8">
        <f>IF(E6198="","",E6198*F6198)</f>
        <v/>
      </c>
      <c r="H6198" s="8">
        <f>IF(G6198="","",G6198-I6198)</f>
        <v/>
      </c>
      <c r="I6198" s="8">
        <f>IF(D6198="","",VLOOKUP(D6198, RECETTES!B:G, 6, FALSE)*E6198)</f>
        <v/>
      </c>
      <c r="J6198" s="8">
        <f>IF(G6198="","",G6198*0.20)</f>
        <v/>
      </c>
      <c r="K6198" s="8">
        <f>IF(G6198="","",G6198+J6198)</f>
        <v/>
      </c>
    </row>
    <row r="6199">
      <c r="F6199" s="8" t="n"/>
      <c r="G6199" s="8">
        <f>IF(E6199="","",E6199*F6199)</f>
        <v/>
      </c>
      <c r="H6199" s="8">
        <f>IF(G6199="","",G6199-I6199)</f>
        <v/>
      </c>
      <c r="I6199" s="8">
        <f>IF(D6199="","",VLOOKUP(D6199, RECETTES!B:G, 6, FALSE)*E6199)</f>
        <v/>
      </c>
      <c r="J6199" s="8">
        <f>IF(G6199="","",G6199*0.20)</f>
        <v/>
      </c>
      <c r="K6199" s="8">
        <f>IF(G6199="","",G6199+J6199)</f>
        <v/>
      </c>
    </row>
    <row r="6200">
      <c r="F6200" s="8" t="n"/>
      <c r="G6200" s="8">
        <f>IF(E6200="","",E6200*F6200)</f>
        <v/>
      </c>
      <c r="H6200" s="8">
        <f>IF(G6200="","",G6200-I6200)</f>
        <v/>
      </c>
      <c r="I6200" s="8">
        <f>IF(D6200="","",VLOOKUP(D6200, RECETTES!B:G, 6, FALSE)*E6200)</f>
        <v/>
      </c>
      <c r="J6200" s="8">
        <f>IF(G6200="","",G6200*0.20)</f>
        <v/>
      </c>
      <c r="K6200" s="8">
        <f>IF(G6200="","",G6200+J6200)</f>
        <v/>
      </c>
    </row>
    <row r="6201">
      <c r="F6201" s="8" t="n"/>
      <c r="G6201" s="8">
        <f>IF(E6201="","",E6201*F6201)</f>
        <v/>
      </c>
      <c r="H6201" s="8">
        <f>IF(G6201="","",G6201-I6201)</f>
        <v/>
      </c>
      <c r="I6201" s="8">
        <f>IF(D6201="","",VLOOKUP(D6201, RECETTES!B:G, 6, FALSE)*E6201)</f>
        <v/>
      </c>
      <c r="J6201" s="8">
        <f>IF(G6201="","",G6201*0.20)</f>
        <v/>
      </c>
      <c r="K6201" s="8">
        <f>IF(G6201="","",G6201+J6201)</f>
        <v/>
      </c>
    </row>
    <row r="6202">
      <c r="F6202" s="8" t="n"/>
      <c r="G6202" s="8">
        <f>IF(E6202="","",E6202*F6202)</f>
        <v/>
      </c>
      <c r="H6202" s="8">
        <f>IF(G6202="","",G6202-I6202)</f>
        <v/>
      </c>
      <c r="I6202" s="8">
        <f>IF(D6202="","",VLOOKUP(D6202, RECETTES!B:G, 6, FALSE)*E6202)</f>
        <v/>
      </c>
      <c r="J6202" s="8">
        <f>IF(G6202="","",G6202*0.20)</f>
        <v/>
      </c>
      <c r="K6202" s="8">
        <f>IF(G6202="","",G6202+J6202)</f>
        <v/>
      </c>
    </row>
    <row r="6203">
      <c r="F6203" s="8" t="n"/>
      <c r="G6203" s="8">
        <f>IF(E6203="","",E6203*F6203)</f>
        <v/>
      </c>
      <c r="H6203" s="8">
        <f>IF(G6203="","",G6203-I6203)</f>
        <v/>
      </c>
      <c r="I6203" s="8">
        <f>IF(D6203="","",VLOOKUP(D6203, RECETTES!B:G, 6, FALSE)*E6203)</f>
        <v/>
      </c>
      <c r="J6203" s="8">
        <f>IF(G6203="","",G6203*0.20)</f>
        <v/>
      </c>
      <c r="K6203" s="8">
        <f>IF(G6203="","",G6203+J6203)</f>
        <v/>
      </c>
    </row>
    <row r="6204">
      <c r="F6204" s="8" t="n"/>
      <c r="G6204" s="8">
        <f>IF(E6204="","",E6204*F6204)</f>
        <v/>
      </c>
      <c r="H6204" s="8">
        <f>IF(G6204="","",G6204-I6204)</f>
        <v/>
      </c>
      <c r="I6204" s="8">
        <f>IF(D6204="","",VLOOKUP(D6204, RECETTES!B:G, 6, FALSE)*E6204)</f>
        <v/>
      </c>
      <c r="J6204" s="8">
        <f>IF(G6204="","",G6204*0.20)</f>
        <v/>
      </c>
      <c r="K6204" s="8">
        <f>IF(G6204="","",G6204+J6204)</f>
        <v/>
      </c>
    </row>
    <row r="6205">
      <c r="F6205" s="8" t="n"/>
      <c r="G6205" s="8">
        <f>IF(E6205="","",E6205*F6205)</f>
        <v/>
      </c>
      <c r="H6205" s="8">
        <f>IF(G6205="","",G6205-I6205)</f>
        <v/>
      </c>
      <c r="I6205" s="8">
        <f>IF(D6205="","",VLOOKUP(D6205, RECETTES!B:G, 6, FALSE)*E6205)</f>
        <v/>
      </c>
      <c r="J6205" s="8">
        <f>IF(G6205="","",G6205*0.20)</f>
        <v/>
      </c>
      <c r="K6205" s="8">
        <f>IF(G6205="","",G6205+J6205)</f>
        <v/>
      </c>
    </row>
    <row r="6206">
      <c r="F6206" s="8" t="n"/>
      <c r="G6206" s="8">
        <f>IF(E6206="","",E6206*F6206)</f>
        <v/>
      </c>
      <c r="H6206" s="8">
        <f>IF(G6206="","",G6206-I6206)</f>
        <v/>
      </c>
      <c r="I6206" s="8">
        <f>IF(D6206="","",VLOOKUP(D6206, RECETTES!B:G, 6, FALSE)*E6206)</f>
        <v/>
      </c>
      <c r="J6206" s="8">
        <f>IF(G6206="","",G6206*0.20)</f>
        <v/>
      </c>
      <c r="K6206" s="8">
        <f>IF(G6206="","",G6206+J6206)</f>
        <v/>
      </c>
    </row>
    <row r="6207">
      <c r="F6207" s="8" t="n"/>
      <c r="G6207" s="8">
        <f>IF(E6207="","",E6207*F6207)</f>
        <v/>
      </c>
      <c r="H6207" s="8">
        <f>IF(G6207="","",G6207-I6207)</f>
        <v/>
      </c>
      <c r="I6207" s="8">
        <f>IF(D6207="","",VLOOKUP(D6207, RECETTES!B:G, 6, FALSE)*E6207)</f>
        <v/>
      </c>
      <c r="J6207" s="8">
        <f>IF(G6207="","",G6207*0.20)</f>
        <v/>
      </c>
      <c r="K6207" s="8">
        <f>IF(G6207="","",G6207+J6207)</f>
        <v/>
      </c>
    </row>
    <row r="6208">
      <c r="F6208" s="8" t="n"/>
      <c r="G6208" s="8">
        <f>IF(E6208="","",E6208*F6208)</f>
        <v/>
      </c>
      <c r="H6208" s="8">
        <f>IF(G6208="","",G6208-I6208)</f>
        <v/>
      </c>
      <c r="I6208" s="8">
        <f>IF(D6208="","",VLOOKUP(D6208, RECETTES!B:G, 6, FALSE)*E6208)</f>
        <v/>
      </c>
      <c r="J6208" s="8">
        <f>IF(G6208="","",G6208*0.20)</f>
        <v/>
      </c>
      <c r="K6208" s="8">
        <f>IF(G6208="","",G6208+J6208)</f>
        <v/>
      </c>
    </row>
    <row r="6209">
      <c r="F6209" s="8" t="n"/>
      <c r="G6209" s="8">
        <f>IF(E6209="","",E6209*F6209)</f>
        <v/>
      </c>
      <c r="H6209" s="8">
        <f>IF(G6209="","",G6209-I6209)</f>
        <v/>
      </c>
      <c r="I6209" s="8">
        <f>IF(D6209="","",VLOOKUP(D6209, RECETTES!B:G, 6, FALSE)*E6209)</f>
        <v/>
      </c>
      <c r="J6209" s="8">
        <f>IF(G6209="","",G6209*0.20)</f>
        <v/>
      </c>
      <c r="K6209" s="8">
        <f>IF(G6209="","",G6209+J6209)</f>
        <v/>
      </c>
    </row>
    <row r="6210">
      <c r="F6210" s="8" t="n"/>
      <c r="G6210" s="8">
        <f>IF(E6210="","",E6210*F6210)</f>
        <v/>
      </c>
      <c r="H6210" s="8">
        <f>IF(G6210="","",G6210-I6210)</f>
        <v/>
      </c>
      <c r="I6210" s="8">
        <f>IF(D6210="","",VLOOKUP(D6210, RECETTES!B:G, 6, FALSE)*E6210)</f>
        <v/>
      </c>
      <c r="J6210" s="8">
        <f>IF(G6210="","",G6210*0.20)</f>
        <v/>
      </c>
      <c r="K6210" s="8">
        <f>IF(G6210="","",G6210+J6210)</f>
        <v/>
      </c>
    </row>
    <row r="6211">
      <c r="F6211" s="8" t="n"/>
      <c r="G6211" s="8">
        <f>IF(E6211="","",E6211*F6211)</f>
        <v/>
      </c>
      <c r="H6211" s="8">
        <f>IF(G6211="","",G6211-I6211)</f>
        <v/>
      </c>
      <c r="I6211" s="8">
        <f>IF(D6211="","",VLOOKUP(D6211, RECETTES!B:G, 6, FALSE)*E6211)</f>
        <v/>
      </c>
      <c r="J6211" s="8">
        <f>IF(G6211="","",G6211*0.20)</f>
        <v/>
      </c>
      <c r="K6211" s="8">
        <f>IF(G6211="","",G6211+J6211)</f>
        <v/>
      </c>
    </row>
    <row r="6212">
      <c r="F6212" s="8" t="n"/>
      <c r="G6212" s="8">
        <f>IF(E6212="","",E6212*F6212)</f>
        <v/>
      </c>
      <c r="H6212" s="8">
        <f>IF(G6212="","",G6212-I6212)</f>
        <v/>
      </c>
      <c r="I6212" s="8">
        <f>IF(D6212="","",VLOOKUP(D6212, RECETTES!B:G, 6, FALSE)*E6212)</f>
        <v/>
      </c>
      <c r="J6212" s="8">
        <f>IF(G6212="","",G6212*0.20)</f>
        <v/>
      </c>
      <c r="K6212" s="8">
        <f>IF(G6212="","",G6212+J6212)</f>
        <v/>
      </c>
    </row>
    <row r="6213">
      <c r="F6213" s="8" t="n"/>
      <c r="G6213" s="8">
        <f>IF(E6213="","",E6213*F6213)</f>
        <v/>
      </c>
      <c r="H6213" s="8">
        <f>IF(G6213="","",G6213-I6213)</f>
        <v/>
      </c>
      <c r="I6213" s="8">
        <f>IF(D6213="","",VLOOKUP(D6213, RECETTES!B:G, 6, FALSE)*E6213)</f>
        <v/>
      </c>
      <c r="J6213" s="8">
        <f>IF(G6213="","",G6213*0.20)</f>
        <v/>
      </c>
      <c r="K6213" s="8">
        <f>IF(G6213="","",G6213+J6213)</f>
        <v/>
      </c>
    </row>
    <row r="6214">
      <c r="F6214" s="8" t="n"/>
      <c r="G6214" s="8">
        <f>IF(E6214="","",E6214*F6214)</f>
        <v/>
      </c>
      <c r="H6214" s="8">
        <f>IF(G6214="","",G6214-I6214)</f>
        <v/>
      </c>
      <c r="I6214" s="8">
        <f>IF(D6214="","",VLOOKUP(D6214, RECETTES!B:G, 6, FALSE)*E6214)</f>
        <v/>
      </c>
      <c r="J6214" s="8">
        <f>IF(G6214="","",G6214*0.20)</f>
        <v/>
      </c>
      <c r="K6214" s="8">
        <f>IF(G6214="","",G6214+J6214)</f>
        <v/>
      </c>
    </row>
    <row r="6215">
      <c r="F6215" s="8" t="n"/>
      <c r="G6215" s="8">
        <f>IF(E6215="","",E6215*F6215)</f>
        <v/>
      </c>
      <c r="H6215" s="8">
        <f>IF(G6215="","",G6215-I6215)</f>
        <v/>
      </c>
      <c r="I6215" s="8">
        <f>IF(D6215="","",VLOOKUP(D6215, RECETTES!B:G, 6, FALSE)*E6215)</f>
        <v/>
      </c>
      <c r="J6215" s="8">
        <f>IF(G6215="","",G6215*0.20)</f>
        <v/>
      </c>
      <c r="K6215" s="8">
        <f>IF(G6215="","",G6215+J6215)</f>
        <v/>
      </c>
    </row>
    <row r="6216">
      <c r="F6216" s="8" t="n"/>
      <c r="G6216" s="8">
        <f>IF(E6216="","",E6216*F6216)</f>
        <v/>
      </c>
      <c r="H6216" s="8">
        <f>IF(G6216="","",G6216-I6216)</f>
        <v/>
      </c>
      <c r="I6216" s="8">
        <f>IF(D6216="","",VLOOKUP(D6216, RECETTES!B:G, 6, FALSE)*E6216)</f>
        <v/>
      </c>
      <c r="J6216" s="8">
        <f>IF(G6216="","",G6216*0.20)</f>
        <v/>
      </c>
      <c r="K6216" s="8">
        <f>IF(G6216="","",G6216+J6216)</f>
        <v/>
      </c>
    </row>
    <row r="6217">
      <c r="F6217" s="8" t="n"/>
      <c r="G6217" s="8">
        <f>IF(E6217="","",E6217*F6217)</f>
        <v/>
      </c>
      <c r="H6217" s="8">
        <f>IF(G6217="","",G6217-I6217)</f>
        <v/>
      </c>
      <c r="I6217" s="8">
        <f>IF(D6217="","",VLOOKUP(D6217, RECETTES!B:G, 6, FALSE)*E6217)</f>
        <v/>
      </c>
      <c r="J6217" s="8">
        <f>IF(G6217="","",G6217*0.20)</f>
        <v/>
      </c>
      <c r="K6217" s="8">
        <f>IF(G6217="","",G6217+J6217)</f>
        <v/>
      </c>
    </row>
    <row r="6218">
      <c r="F6218" s="8" t="n"/>
      <c r="G6218" s="8">
        <f>IF(E6218="","",E6218*F6218)</f>
        <v/>
      </c>
      <c r="H6218" s="8">
        <f>IF(G6218="","",G6218-I6218)</f>
        <v/>
      </c>
      <c r="I6218" s="8">
        <f>IF(D6218="","",VLOOKUP(D6218, RECETTES!B:G, 6, FALSE)*E6218)</f>
        <v/>
      </c>
      <c r="J6218" s="8">
        <f>IF(G6218="","",G6218*0.20)</f>
        <v/>
      </c>
      <c r="K6218" s="8">
        <f>IF(G6218="","",G6218+J6218)</f>
        <v/>
      </c>
    </row>
    <row r="6219">
      <c r="F6219" s="8" t="n"/>
      <c r="G6219" s="8">
        <f>IF(E6219="","",E6219*F6219)</f>
        <v/>
      </c>
      <c r="H6219" s="8">
        <f>IF(G6219="","",G6219-I6219)</f>
        <v/>
      </c>
      <c r="I6219" s="8">
        <f>IF(D6219="","",VLOOKUP(D6219, RECETTES!B:G, 6, FALSE)*E6219)</f>
        <v/>
      </c>
      <c r="J6219" s="8">
        <f>IF(G6219="","",G6219*0.20)</f>
        <v/>
      </c>
      <c r="K6219" s="8">
        <f>IF(G6219="","",G6219+J6219)</f>
        <v/>
      </c>
    </row>
    <row r="6220">
      <c r="F6220" s="8" t="n"/>
      <c r="G6220" s="8">
        <f>IF(E6220="","",E6220*F6220)</f>
        <v/>
      </c>
      <c r="H6220" s="8">
        <f>IF(G6220="","",G6220-I6220)</f>
        <v/>
      </c>
      <c r="I6220" s="8">
        <f>IF(D6220="","",VLOOKUP(D6220, RECETTES!B:G, 6, FALSE)*E6220)</f>
        <v/>
      </c>
      <c r="J6220" s="8">
        <f>IF(G6220="","",G6220*0.20)</f>
        <v/>
      </c>
      <c r="K6220" s="8">
        <f>IF(G6220="","",G6220+J6220)</f>
        <v/>
      </c>
    </row>
    <row r="6221">
      <c r="F6221" s="8" t="n"/>
      <c r="G6221" s="8">
        <f>IF(E6221="","",E6221*F6221)</f>
        <v/>
      </c>
      <c r="H6221" s="8">
        <f>IF(G6221="","",G6221-I6221)</f>
        <v/>
      </c>
      <c r="I6221" s="8">
        <f>IF(D6221="","",VLOOKUP(D6221, RECETTES!B:G, 6, FALSE)*E6221)</f>
        <v/>
      </c>
      <c r="J6221" s="8">
        <f>IF(G6221="","",G6221*0.20)</f>
        <v/>
      </c>
      <c r="K6221" s="8">
        <f>IF(G6221="","",G6221+J6221)</f>
        <v/>
      </c>
    </row>
    <row r="6222">
      <c r="F6222" s="8" t="n"/>
      <c r="G6222" s="8">
        <f>IF(E6222="","",E6222*F6222)</f>
        <v/>
      </c>
      <c r="H6222" s="8">
        <f>IF(G6222="","",G6222-I6222)</f>
        <v/>
      </c>
      <c r="I6222" s="8">
        <f>IF(D6222="","",VLOOKUP(D6222, RECETTES!B:G, 6, FALSE)*E6222)</f>
        <v/>
      </c>
      <c r="J6222" s="8">
        <f>IF(G6222="","",G6222*0.20)</f>
        <v/>
      </c>
      <c r="K6222" s="8">
        <f>IF(G6222="","",G6222+J6222)</f>
        <v/>
      </c>
    </row>
    <row r="6223">
      <c r="F6223" s="8" t="n"/>
      <c r="G6223" s="8">
        <f>IF(E6223="","",E6223*F6223)</f>
        <v/>
      </c>
      <c r="H6223" s="8">
        <f>IF(G6223="","",G6223-I6223)</f>
        <v/>
      </c>
      <c r="I6223" s="8">
        <f>IF(D6223="","",VLOOKUP(D6223, RECETTES!B:G, 6, FALSE)*E6223)</f>
        <v/>
      </c>
      <c r="J6223" s="8">
        <f>IF(G6223="","",G6223*0.20)</f>
        <v/>
      </c>
      <c r="K6223" s="8">
        <f>IF(G6223="","",G6223+J6223)</f>
        <v/>
      </c>
    </row>
    <row r="6224">
      <c r="F6224" s="8" t="n"/>
      <c r="G6224" s="8">
        <f>IF(E6224="","",E6224*F6224)</f>
        <v/>
      </c>
      <c r="H6224" s="8">
        <f>IF(G6224="","",G6224-I6224)</f>
        <v/>
      </c>
      <c r="I6224" s="8">
        <f>IF(D6224="","",VLOOKUP(D6224, RECETTES!B:G, 6, FALSE)*E6224)</f>
        <v/>
      </c>
      <c r="J6224" s="8">
        <f>IF(G6224="","",G6224*0.20)</f>
        <v/>
      </c>
      <c r="K6224" s="8">
        <f>IF(G6224="","",G6224+J6224)</f>
        <v/>
      </c>
    </row>
    <row r="6225">
      <c r="F6225" s="8" t="n"/>
      <c r="G6225" s="8">
        <f>IF(E6225="","",E6225*F6225)</f>
        <v/>
      </c>
      <c r="H6225" s="8">
        <f>IF(G6225="","",G6225-I6225)</f>
        <v/>
      </c>
      <c r="I6225" s="8">
        <f>IF(D6225="","",VLOOKUP(D6225, RECETTES!B:G, 6, FALSE)*E6225)</f>
        <v/>
      </c>
      <c r="J6225" s="8">
        <f>IF(G6225="","",G6225*0.20)</f>
        <v/>
      </c>
      <c r="K6225" s="8">
        <f>IF(G6225="","",G6225+J6225)</f>
        <v/>
      </c>
    </row>
    <row r="6226">
      <c r="F6226" s="8" t="n"/>
      <c r="G6226" s="8">
        <f>IF(E6226="","",E6226*F6226)</f>
        <v/>
      </c>
      <c r="H6226" s="8">
        <f>IF(G6226="","",G6226-I6226)</f>
        <v/>
      </c>
      <c r="I6226" s="8">
        <f>IF(D6226="","",VLOOKUP(D6226, RECETTES!B:G, 6, FALSE)*E6226)</f>
        <v/>
      </c>
      <c r="J6226" s="8">
        <f>IF(G6226="","",G6226*0.20)</f>
        <v/>
      </c>
      <c r="K6226" s="8">
        <f>IF(G6226="","",G6226+J6226)</f>
        <v/>
      </c>
    </row>
    <row r="6227">
      <c r="F6227" s="8" t="n"/>
      <c r="G6227" s="8">
        <f>IF(E6227="","",E6227*F6227)</f>
        <v/>
      </c>
      <c r="H6227" s="8">
        <f>IF(G6227="","",G6227-I6227)</f>
        <v/>
      </c>
      <c r="I6227" s="8">
        <f>IF(D6227="","",VLOOKUP(D6227, RECETTES!B:G, 6, FALSE)*E6227)</f>
        <v/>
      </c>
      <c r="J6227" s="8">
        <f>IF(G6227="","",G6227*0.20)</f>
        <v/>
      </c>
      <c r="K6227" s="8">
        <f>IF(G6227="","",G6227+J6227)</f>
        <v/>
      </c>
    </row>
    <row r="6228">
      <c r="F6228" s="8" t="n"/>
      <c r="G6228" s="8">
        <f>IF(E6228="","",E6228*F6228)</f>
        <v/>
      </c>
      <c r="H6228" s="8">
        <f>IF(G6228="","",G6228-I6228)</f>
        <v/>
      </c>
      <c r="I6228" s="8">
        <f>IF(D6228="","",VLOOKUP(D6228, RECETTES!B:G, 6, FALSE)*E6228)</f>
        <v/>
      </c>
      <c r="J6228" s="8">
        <f>IF(G6228="","",G6228*0.20)</f>
        <v/>
      </c>
      <c r="K6228" s="8">
        <f>IF(G6228="","",G6228+J6228)</f>
        <v/>
      </c>
    </row>
    <row r="6229">
      <c r="F6229" s="8" t="n"/>
      <c r="G6229" s="8">
        <f>IF(E6229="","",E6229*F6229)</f>
        <v/>
      </c>
      <c r="H6229" s="8">
        <f>IF(G6229="","",G6229-I6229)</f>
        <v/>
      </c>
      <c r="I6229" s="8">
        <f>IF(D6229="","",VLOOKUP(D6229, RECETTES!B:G, 6, FALSE)*E6229)</f>
        <v/>
      </c>
      <c r="J6229" s="8">
        <f>IF(G6229="","",G6229*0.20)</f>
        <v/>
      </c>
      <c r="K6229" s="8">
        <f>IF(G6229="","",G6229+J6229)</f>
        <v/>
      </c>
    </row>
    <row r="6230">
      <c r="F6230" s="8" t="n"/>
      <c r="G6230" s="8">
        <f>IF(E6230="","",E6230*F6230)</f>
        <v/>
      </c>
      <c r="H6230" s="8">
        <f>IF(G6230="","",G6230-I6230)</f>
        <v/>
      </c>
      <c r="I6230" s="8">
        <f>IF(D6230="","",VLOOKUP(D6230, RECETTES!B:G, 6, FALSE)*E6230)</f>
        <v/>
      </c>
      <c r="J6230" s="8">
        <f>IF(G6230="","",G6230*0.20)</f>
        <v/>
      </c>
      <c r="K6230" s="8">
        <f>IF(G6230="","",G6230+J6230)</f>
        <v/>
      </c>
    </row>
    <row r="6231">
      <c r="F6231" s="8" t="n"/>
      <c r="G6231" s="8">
        <f>IF(E6231="","",E6231*F6231)</f>
        <v/>
      </c>
      <c r="H6231" s="8">
        <f>IF(G6231="","",G6231-I6231)</f>
        <v/>
      </c>
      <c r="I6231" s="8">
        <f>IF(D6231="","",VLOOKUP(D6231, RECETTES!B:G, 6, FALSE)*E6231)</f>
        <v/>
      </c>
      <c r="J6231" s="8">
        <f>IF(G6231="","",G6231*0.20)</f>
        <v/>
      </c>
      <c r="K6231" s="8">
        <f>IF(G6231="","",G6231+J6231)</f>
        <v/>
      </c>
    </row>
    <row r="6232">
      <c r="F6232" s="8" t="n"/>
      <c r="G6232" s="8">
        <f>IF(E6232="","",E6232*F6232)</f>
        <v/>
      </c>
      <c r="H6232" s="8">
        <f>IF(G6232="","",G6232-I6232)</f>
        <v/>
      </c>
      <c r="I6232" s="8">
        <f>IF(D6232="","",VLOOKUP(D6232, RECETTES!B:G, 6, FALSE)*E6232)</f>
        <v/>
      </c>
      <c r="J6232" s="8">
        <f>IF(G6232="","",G6232*0.20)</f>
        <v/>
      </c>
      <c r="K6232" s="8">
        <f>IF(G6232="","",G6232+J6232)</f>
        <v/>
      </c>
    </row>
    <row r="6233">
      <c r="F6233" s="8" t="n"/>
      <c r="G6233" s="8">
        <f>IF(E6233="","",E6233*F6233)</f>
        <v/>
      </c>
      <c r="H6233" s="8">
        <f>IF(G6233="","",G6233-I6233)</f>
        <v/>
      </c>
      <c r="I6233" s="8">
        <f>IF(D6233="","",VLOOKUP(D6233, RECETTES!B:G, 6, FALSE)*E6233)</f>
        <v/>
      </c>
      <c r="J6233" s="8">
        <f>IF(G6233="","",G6233*0.20)</f>
        <v/>
      </c>
      <c r="K6233" s="8">
        <f>IF(G6233="","",G6233+J6233)</f>
        <v/>
      </c>
    </row>
    <row r="6234">
      <c r="F6234" s="8" t="n"/>
      <c r="G6234" s="8">
        <f>IF(E6234="","",E6234*F6234)</f>
        <v/>
      </c>
      <c r="H6234" s="8">
        <f>IF(G6234="","",G6234-I6234)</f>
        <v/>
      </c>
      <c r="I6234" s="8">
        <f>IF(D6234="","",VLOOKUP(D6234, RECETTES!B:G, 6, FALSE)*E6234)</f>
        <v/>
      </c>
      <c r="J6234" s="8">
        <f>IF(G6234="","",G6234*0.20)</f>
        <v/>
      </c>
      <c r="K6234" s="8">
        <f>IF(G6234="","",G6234+J6234)</f>
        <v/>
      </c>
    </row>
    <row r="6235">
      <c r="F6235" s="8" t="n"/>
      <c r="G6235" s="8">
        <f>IF(E6235="","",E6235*F6235)</f>
        <v/>
      </c>
      <c r="H6235" s="8">
        <f>IF(G6235="","",G6235-I6235)</f>
        <v/>
      </c>
      <c r="I6235" s="8">
        <f>IF(D6235="","",VLOOKUP(D6235, RECETTES!B:G, 6, FALSE)*E6235)</f>
        <v/>
      </c>
      <c r="J6235" s="8">
        <f>IF(G6235="","",G6235*0.20)</f>
        <v/>
      </c>
      <c r="K6235" s="8">
        <f>IF(G6235="","",G6235+J6235)</f>
        <v/>
      </c>
    </row>
    <row r="6236">
      <c r="F6236" s="8" t="n"/>
      <c r="G6236" s="8">
        <f>IF(E6236="","",E6236*F6236)</f>
        <v/>
      </c>
      <c r="H6236" s="8">
        <f>IF(G6236="","",G6236-I6236)</f>
        <v/>
      </c>
      <c r="I6236" s="8">
        <f>IF(D6236="","",VLOOKUP(D6236, RECETTES!B:G, 6, FALSE)*E6236)</f>
        <v/>
      </c>
      <c r="J6236" s="8">
        <f>IF(G6236="","",G6236*0.20)</f>
        <v/>
      </c>
      <c r="K6236" s="8">
        <f>IF(G6236="","",G6236+J6236)</f>
        <v/>
      </c>
    </row>
    <row r="6237">
      <c r="F6237" s="8" t="n"/>
      <c r="G6237" s="8">
        <f>IF(E6237="","",E6237*F6237)</f>
        <v/>
      </c>
      <c r="H6237" s="8">
        <f>IF(G6237="","",G6237-I6237)</f>
        <v/>
      </c>
      <c r="I6237" s="8">
        <f>IF(D6237="","",VLOOKUP(D6237, RECETTES!B:G, 6, FALSE)*E6237)</f>
        <v/>
      </c>
      <c r="J6237" s="8">
        <f>IF(G6237="","",G6237*0.20)</f>
        <v/>
      </c>
      <c r="K6237" s="8">
        <f>IF(G6237="","",G6237+J6237)</f>
        <v/>
      </c>
    </row>
    <row r="6238">
      <c r="F6238" s="8" t="n"/>
      <c r="G6238" s="8">
        <f>IF(E6238="","",E6238*F6238)</f>
        <v/>
      </c>
      <c r="H6238" s="8">
        <f>IF(G6238="","",G6238-I6238)</f>
        <v/>
      </c>
      <c r="I6238" s="8">
        <f>IF(D6238="","",VLOOKUP(D6238, RECETTES!B:G, 6, FALSE)*E6238)</f>
        <v/>
      </c>
      <c r="J6238" s="8">
        <f>IF(G6238="","",G6238*0.20)</f>
        <v/>
      </c>
      <c r="K6238" s="8">
        <f>IF(G6238="","",G6238+J6238)</f>
        <v/>
      </c>
    </row>
    <row r="6239">
      <c r="F6239" s="8" t="n"/>
      <c r="G6239" s="8">
        <f>IF(E6239="","",E6239*F6239)</f>
        <v/>
      </c>
      <c r="H6239" s="8">
        <f>IF(G6239="","",G6239-I6239)</f>
        <v/>
      </c>
      <c r="I6239" s="8">
        <f>IF(D6239="","",VLOOKUP(D6239, RECETTES!B:G, 6, FALSE)*E6239)</f>
        <v/>
      </c>
      <c r="J6239" s="8">
        <f>IF(G6239="","",G6239*0.20)</f>
        <v/>
      </c>
      <c r="K6239" s="8">
        <f>IF(G6239="","",G6239+J6239)</f>
        <v/>
      </c>
    </row>
    <row r="6240">
      <c r="F6240" s="8" t="n"/>
      <c r="G6240" s="8">
        <f>IF(E6240="","",E6240*F6240)</f>
        <v/>
      </c>
      <c r="H6240" s="8">
        <f>IF(G6240="","",G6240-I6240)</f>
        <v/>
      </c>
      <c r="I6240" s="8">
        <f>IF(D6240="","",VLOOKUP(D6240, RECETTES!B:G, 6, FALSE)*E6240)</f>
        <v/>
      </c>
      <c r="J6240" s="8">
        <f>IF(G6240="","",G6240*0.20)</f>
        <v/>
      </c>
      <c r="K6240" s="8">
        <f>IF(G6240="","",G6240+J6240)</f>
        <v/>
      </c>
    </row>
    <row r="6241">
      <c r="F6241" s="8" t="n"/>
      <c r="G6241" s="8">
        <f>IF(E6241="","",E6241*F6241)</f>
        <v/>
      </c>
      <c r="H6241" s="8">
        <f>IF(G6241="","",G6241-I6241)</f>
        <v/>
      </c>
      <c r="I6241" s="8">
        <f>IF(D6241="","",VLOOKUP(D6241, RECETTES!B:G, 6, FALSE)*E6241)</f>
        <v/>
      </c>
      <c r="J6241" s="8">
        <f>IF(G6241="","",G6241*0.20)</f>
        <v/>
      </c>
      <c r="K6241" s="8">
        <f>IF(G6241="","",G6241+J6241)</f>
        <v/>
      </c>
    </row>
    <row r="6242">
      <c r="F6242" s="8" t="n"/>
      <c r="G6242" s="8">
        <f>IF(E6242="","",E6242*F6242)</f>
        <v/>
      </c>
      <c r="H6242" s="8">
        <f>IF(G6242="","",G6242-I6242)</f>
        <v/>
      </c>
      <c r="I6242" s="8">
        <f>IF(D6242="","",VLOOKUP(D6242, RECETTES!B:G, 6, FALSE)*E6242)</f>
        <v/>
      </c>
      <c r="J6242" s="8">
        <f>IF(G6242="","",G6242*0.20)</f>
        <v/>
      </c>
      <c r="K6242" s="8">
        <f>IF(G6242="","",G6242+J6242)</f>
        <v/>
      </c>
    </row>
    <row r="6243">
      <c r="F6243" s="8" t="n"/>
      <c r="G6243" s="8">
        <f>IF(E6243="","",E6243*F6243)</f>
        <v/>
      </c>
      <c r="H6243" s="8">
        <f>IF(G6243="","",G6243-I6243)</f>
        <v/>
      </c>
      <c r="I6243" s="8">
        <f>IF(D6243="","",VLOOKUP(D6243, RECETTES!B:G, 6, FALSE)*E6243)</f>
        <v/>
      </c>
      <c r="J6243" s="8">
        <f>IF(G6243="","",G6243*0.20)</f>
        <v/>
      </c>
      <c r="K6243" s="8">
        <f>IF(G6243="","",G6243+J6243)</f>
        <v/>
      </c>
    </row>
    <row r="6244">
      <c r="F6244" s="8" t="n"/>
      <c r="G6244" s="8">
        <f>IF(E6244="","",E6244*F6244)</f>
        <v/>
      </c>
      <c r="H6244" s="8">
        <f>IF(G6244="","",G6244-I6244)</f>
        <v/>
      </c>
      <c r="I6244" s="8">
        <f>IF(D6244="","",VLOOKUP(D6244, RECETTES!B:G, 6, FALSE)*E6244)</f>
        <v/>
      </c>
      <c r="J6244" s="8">
        <f>IF(G6244="","",G6244*0.20)</f>
        <v/>
      </c>
      <c r="K6244" s="8">
        <f>IF(G6244="","",G6244+J6244)</f>
        <v/>
      </c>
    </row>
    <row r="6245">
      <c r="F6245" s="8" t="n"/>
      <c r="G6245" s="8">
        <f>IF(E6245="","",E6245*F6245)</f>
        <v/>
      </c>
      <c r="H6245" s="8">
        <f>IF(G6245="","",G6245-I6245)</f>
        <v/>
      </c>
      <c r="I6245" s="8">
        <f>IF(D6245="","",VLOOKUP(D6245, RECETTES!B:G, 6, FALSE)*E6245)</f>
        <v/>
      </c>
      <c r="J6245" s="8">
        <f>IF(G6245="","",G6245*0.20)</f>
        <v/>
      </c>
      <c r="K6245" s="8">
        <f>IF(G6245="","",G6245+J6245)</f>
        <v/>
      </c>
    </row>
    <row r="6246">
      <c r="F6246" s="8" t="n"/>
      <c r="G6246" s="8">
        <f>IF(E6246="","",E6246*F6246)</f>
        <v/>
      </c>
      <c r="H6246" s="8">
        <f>IF(G6246="","",G6246-I6246)</f>
        <v/>
      </c>
      <c r="I6246" s="8">
        <f>IF(D6246="","",VLOOKUP(D6246, RECETTES!B:G, 6, FALSE)*E6246)</f>
        <v/>
      </c>
      <c r="J6246" s="8">
        <f>IF(G6246="","",G6246*0.20)</f>
        <v/>
      </c>
      <c r="K6246" s="8">
        <f>IF(G6246="","",G6246+J6246)</f>
        <v/>
      </c>
    </row>
    <row r="6247">
      <c r="F6247" s="8" t="n"/>
      <c r="G6247" s="8">
        <f>IF(E6247="","",E6247*F6247)</f>
        <v/>
      </c>
      <c r="H6247" s="8">
        <f>IF(G6247="","",G6247-I6247)</f>
        <v/>
      </c>
      <c r="I6247" s="8">
        <f>IF(D6247="","",VLOOKUP(D6247, RECETTES!B:G, 6, FALSE)*E6247)</f>
        <v/>
      </c>
      <c r="J6247" s="8">
        <f>IF(G6247="","",G6247*0.20)</f>
        <v/>
      </c>
      <c r="K6247" s="8">
        <f>IF(G6247="","",G6247+J6247)</f>
        <v/>
      </c>
    </row>
    <row r="6248">
      <c r="F6248" s="8" t="n"/>
      <c r="G6248" s="8">
        <f>IF(E6248="","",E6248*F6248)</f>
        <v/>
      </c>
      <c r="H6248" s="8">
        <f>IF(G6248="","",G6248-I6248)</f>
        <v/>
      </c>
      <c r="I6248" s="8">
        <f>IF(D6248="","",VLOOKUP(D6248, RECETTES!B:G, 6, FALSE)*E6248)</f>
        <v/>
      </c>
      <c r="J6248" s="8">
        <f>IF(G6248="","",G6248*0.20)</f>
        <v/>
      </c>
      <c r="K6248" s="8">
        <f>IF(G6248="","",G6248+J6248)</f>
        <v/>
      </c>
    </row>
    <row r="6249">
      <c r="F6249" s="8" t="n"/>
      <c r="G6249" s="8">
        <f>IF(E6249="","",E6249*F6249)</f>
        <v/>
      </c>
      <c r="H6249" s="8">
        <f>IF(G6249="","",G6249-I6249)</f>
        <v/>
      </c>
      <c r="I6249" s="8">
        <f>IF(D6249="","",VLOOKUP(D6249, RECETTES!B:G, 6, FALSE)*E6249)</f>
        <v/>
      </c>
      <c r="J6249" s="8">
        <f>IF(G6249="","",G6249*0.20)</f>
        <v/>
      </c>
      <c r="K6249" s="8">
        <f>IF(G6249="","",G6249+J6249)</f>
        <v/>
      </c>
    </row>
    <row r="6250">
      <c r="F6250" s="8" t="n"/>
      <c r="G6250" s="8">
        <f>IF(E6250="","",E6250*F6250)</f>
        <v/>
      </c>
      <c r="H6250" s="8">
        <f>IF(G6250="","",G6250-I6250)</f>
        <v/>
      </c>
      <c r="I6250" s="8">
        <f>IF(D6250="","",VLOOKUP(D6250, RECETTES!B:G, 6, FALSE)*E6250)</f>
        <v/>
      </c>
      <c r="J6250" s="8">
        <f>IF(G6250="","",G6250*0.20)</f>
        <v/>
      </c>
      <c r="K6250" s="8">
        <f>IF(G6250="","",G6250+J6250)</f>
        <v/>
      </c>
    </row>
    <row r="6251">
      <c r="F6251" s="8" t="n"/>
      <c r="G6251" s="8">
        <f>IF(E6251="","",E6251*F6251)</f>
        <v/>
      </c>
      <c r="H6251" s="8">
        <f>IF(G6251="","",G6251-I6251)</f>
        <v/>
      </c>
      <c r="I6251" s="8">
        <f>IF(D6251="","",VLOOKUP(D6251, RECETTES!B:G, 6, FALSE)*E6251)</f>
        <v/>
      </c>
      <c r="J6251" s="8">
        <f>IF(G6251="","",G6251*0.20)</f>
        <v/>
      </c>
      <c r="K6251" s="8">
        <f>IF(G6251="","",G6251+J6251)</f>
        <v/>
      </c>
    </row>
    <row r="6252">
      <c r="F6252" s="8" t="n"/>
      <c r="G6252" s="8">
        <f>IF(E6252="","",E6252*F6252)</f>
        <v/>
      </c>
      <c r="H6252" s="8">
        <f>IF(G6252="","",G6252-I6252)</f>
        <v/>
      </c>
      <c r="I6252" s="8">
        <f>IF(D6252="","",VLOOKUP(D6252, RECETTES!B:G, 6, FALSE)*E6252)</f>
        <v/>
      </c>
      <c r="J6252" s="8">
        <f>IF(G6252="","",G6252*0.20)</f>
        <v/>
      </c>
      <c r="K6252" s="8">
        <f>IF(G6252="","",G6252+J6252)</f>
        <v/>
      </c>
    </row>
    <row r="6253">
      <c r="F6253" s="8" t="n"/>
      <c r="G6253" s="8">
        <f>IF(E6253="","",E6253*F6253)</f>
        <v/>
      </c>
      <c r="H6253" s="8">
        <f>IF(G6253="","",G6253-I6253)</f>
        <v/>
      </c>
      <c r="I6253" s="8">
        <f>IF(D6253="","",VLOOKUP(D6253, RECETTES!B:G, 6, FALSE)*E6253)</f>
        <v/>
      </c>
      <c r="J6253" s="8">
        <f>IF(G6253="","",G6253*0.20)</f>
        <v/>
      </c>
      <c r="K6253" s="8">
        <f>IF(G6253="","",G6253+J6253)</f>
        <v/>
      </c>
    </row>
    <row r="6254">
      <c r="F6254" s="8" t="n"/>
      <c r="G6254" s="8">
        <f>IF(E6254="","",E6254*F6254)</f>
        <v/>
      </c>
      <c r="H6254" s="8">
        <f>IF(G6254="","",G6254-I6254)</f>
        <v/>
      </c>
      <c r="I6254" s="8">
        <f>IF(D6254="","",VLOOKUP(D6254, RECETTES!B:G, 6, FALSE)*E6254)</f>
        <v/>
      </c>
      <c r="J6254" s="8">
        <f>IF(G6254="","",G6254*0.20)</f>
        <v/>
      </c>
      <c r="K6254" s="8">
        <f>IF(G6254="","",G6254+J6254)</f>
        <v/>
      </c>
    </row>
    <row r="6255">
      <c r="F6255" s="8" t="n"/>
      <c r="G6255" s="8">
        <f>IF(E6255="","",E6255*F6255)</f>
        <v/>
      </c>
      <c r="H6255" s="8">
        <f>IF(G6255="","",G6255-I6255)</f>
        <v/>
      </c>
      <c r="I6255" s="8">
        <f>IF(D6255="","",VLOOKUP(D6255, RECETTES!B:G, 6, FALSE)*E6255)</f>
        <v/>
      </c>
      <c r="J6255" s="8">
        <f>IF(G6255="","",G6255*0.20)</f>
        <v/>
      </c>
      <c r="K6255" s="8">
        <f>IF(G6255="","",G6255+J6255)</f>
        <v/>
      </c>
    </row>
    <row r="6256">
      <c r="F6256" s="8" t="n"/>
      <c r="G6256" s="8">
        <f>IF(E6256="","",E6256*F6256)</f>
        <v/>
      </c>
      <c r="H6256" s="8">
        <f>IF(G6256="","",G6256-I6256)</f>
        <v/>
      </c>
      <c r="I6256" s="8">
        <f>IF(D6256="","",VLOOKUP(D6256, RECETTES!B:G, 6, FALSE)*E6256)</f>
        <v/>
      </c>
      <c r="J6256" s="8">
        <f>IF(G6256="","",G6256*0.20)</f>
        <v/>
      </c>
      <c r="K6256" s="8">
        <f>IF(G6256="","",G6256+J6256)</f>
        <v/>
      </c>
    </row>
    <row r="6257">
      <c r="F6257" s="8" t="n"/>
      <c r="G6257" s="8">
        <f>IF(E6257="","",E6257*F6257)</f>
        <v/>
      </c>
      <c r="H6257" s="8">
        <f>IF(G6257="","",G6257-I6257)</f>
        <v/>
      </c>
      <c r="I6257" s="8">
        <f>IF(D6257="","",VLOOKUP(D6257, RECETTES!B:G, 6, FALSE)*E6257)</f>
        <v/>
      </c>
      <c r="J6257" s="8">
        <f>IF(G6257="","",G6257*0.20)</f>
        <v/>
      </c>
      <c r="K6257" s="8">
        <f>IF(G6257="","",G6257+J6257)</f>
        <v/>
      </c>
    </row>
    <row r="6258">
      <c r="F6258" s="8" t="n"/>
      <c r="G6258" s="8">
        <f>IF(E6258="","",E6258*F6258)</f>
        <v/>
      </c>
      <c r="H6258" s="8">
        <f>IF(G6258="","",G6258-I6258)</f>
        <v/>
      </c>
      <c r="I6258" s="8">
        <f>IF(D6258="","",VLOOKUP(D6258, RECETTES!B:G, 6, FALSE)*E6258)</f>
        <v/>
      </c>
      <c r="J6258" s="8">
        <f>IF(G6258="","",G6258*0.20)</f>
        <v/>
      </c>
      <c r="K6258" s="8">
        <f>IF(G6258="","",G6258+J6258)</f>
        <v/>
      </c>
    </row>
    <row r="6259">
      <c r="F6259" s="8" t="n"/>
      <c r="G6259" s="8">
        <f>IF(E6259="","",E6259*F6259)</f>
        <v/>
      </c>
      <c r="H6259" s="8">
        <f>IF(G6259="","",G6259-I6259)</f>
        <v/>
      </c>
      <c r="I6259" s="8">
        <f>IF(D6259="","",VLOOKUP(D6259, RECETTES!B:G, 6, FALSE)*E6259)</f>
        <v/>
      </c>
      <c r="J6259" s="8">
        <f>IF(G6259="","",G6259*0.20)</f>
        <v/>
      </c>
      <c r="K6259" s="8">
        <f>IF(G6259="","",G6259+J6259)</f>
        <v/>
      </c>
    </row>
    <row r="6260">
      <c r="F6260" s="8" t="n"/>
      <c r="G6260" s="8">
        <f>IF(E6260="","",E6260*F6260)</f>
        <v/>
      </c>
      <c r="H6260" s="8">
        <f>IF(G6260="","",G6260-I6260)</f>
        <v/>
      </c>
      <c r="I6260" s="8">
        <f>IF(D6260="","",VLOOKUP(D6260, RECETTES!B:G, 6, FALSE)*E6260)</f>
        <v/>
      </c>
      <c r="J6260" s="8">
        <f>IF(G6260="","",G6260*0.20)</f>
        <v/>
      </c>
      <c r="K6260" s="8">
        <f>IF(G6260="","",G6260+J6260)</f>
        <v/>
      </c>
    </row>
    <row r="6261">
      <c r="F6261" s="8" t="n"/>
      <c r="G6261" s="8">
        <f>IF(E6261="","",E6261*F6261)</f>
        <v/>
      </c>
      <c r="H6261" s="8">
        <f>IF(G6261="","",G6261-I6261)</f>
        <v/>
      </c>
      <c r="I6261" s="8">
        <f>IF(D6261="","",VLOOKUP(D6261, RECETTES!B:G, 6, FALSE)*E6261)</f>
        <v/>
      </c>
      <c r="J6261" s="8">
        <f>IF(G6261="","",G6261*0.20)</f>
        <v/>
      </c>
      <c r="K6261" s="8">
        <f>IF(G6261="","",G6261+J6261)</f>
        <v/>
      </c>
    </row>
    <row r="6262">
      <c r="F6262" s="8" t="n"/>
      <c r="G6262" s="8">
        <f>IF(E6262="","",E6262*F6262)</f>
        <v/>
      </c>
      <c r="H6262" s="8">
        <f>IF(G6262="","",G6262-I6262)</f>
        <v/>
      </c>
      <c r="I6262" s="8">
        <f>IF(D6262="","",VLOOKUP(D6262, RECETTES!B:G, 6, FALSE)*E6262)</f>
        <v/>
      </c>
      <c r="J6262" s="8">
        <f>IF(G6262="","",G6262*0.20)</f>
        <v/>
      </c>
      <c r="K6262" s="8">
        <f>IF(G6262="","",G6262+J6262)</f>
        <v/>
      </c>
    </row>
    <row r="6263">
      <c r="F6263" s="8" t="n"/>
      <c r="G6263" s="8">
        <f>IF(E6263="","",E6263*F6263)</f>
        <v/>
      </c>
      <c r="H6263" s="8">
        <f>IF(G6263="","",G6263-I6263)</f>
        <v/>
      </c>
      <c r="I6263" s="8">
        <f>IF(D6263="","",VLOOKUP(D6263, RECETTES!B:G, 6, FALSE)*E6263)</f>
        <v/>
      </c>
      <c r="J6263" s="8">
        <f>IF(G6263="","",G6263*0.20)</f>
        <v/>
      </c>
      <c r="K6263" s="8">
        <f>IF(G6263="","",G6263+J6263)</f>
        <v/>
      </c>
    </row>
    <row r="6264">
      <c r="F6264" s="8" t="n"/>
      <c r="G6264" s="8">
        <f>IF(E6264="","",E6264*F6264)</f>
        <v/>
      </c>
      <c r="H6264" s="8">
        <f>IF(G6264="","",G6264-I6264)</f>
        <v/>
      </c>
      <c r="I6264" s="8">
        <f>IF(D6264="","",VLOOKUP(D6264, RECETTES!B:G, 6, FALSE)*E6264)</f>
        <v/>
      </c>
      <c r="J6264" s="8">
        <f>IF(G6264="","",G6264*0.20)</f>
        <v/>
      </c>
      <c r="K6264" s="8">
        <f>IF(G6264="","",G6264+J6264)</f>
        <v/>
      </c>
    </row>
    <row r="6265">
      <c r="F6265" s="8" t="n"/>
      <c r="G6265" s="8">
        <f>IF(E6265="","",E6265*F6265)</f>
        <v/>
      </c>
      <c r="H6265" s="8">
        <f>IF(G6265="","",G6265-I6265)</f>
        <v/>
      </c>
      <c r="I6265" s="8">
        <f>IF(D6265="","",VLOOKUP(D6265, RECETTES!B:G, 6, FALSE)*E6265)</f>
        <v/>
      </c>
      <c r="J6265" s="8">
        <f>IF(G6265="","",G6265*0.20)</f>
        <v/>
      </c>
      <c r="K6265" s="8">
        <f>IF(G6265="","",G6265+J6265)</f>
        <v/>
      </c>
    </row>
    <row r="6266">
      <c r="F6266" s="8" t="n"/>
      <c r="G6266" s="8">
        <f>IF(E6266="","",E6266*F6266)</f>
        <v/>
      </c>
      <c r="H6266" s="8">
        <f>IF(G6266="","",G6266-I6266)</f>
        <v/>
      </c>
      <c r="I6266" s="8">
        <f>IF(D6266="","",VLOOKUP(D6266, RECETTES!B:G, 6, FALSE)*E6266)</f>
        <v/>
      </c>
      <c r="J6266" s="8">
        <f>IF(G6266="","",G6266*0.20)</f>
        <v/>
      </c>
      <c r="K6266" s="8">
        <f>IF(G6266="","",G6266+J6266)</f>
        <v/>
      </c>
    </row>
    <row r="6267">
      <c r="F6267" s="8" t="n"/>
      <c r="G6267" s="8">
        <f>IF(E6267="","",E6267*F6267)</f>
        <v/>
      </c>
      <c r="H6267" s="8">
        <f>IF(G6267="","",G6267-I6267)</f>
        <v/>
      </c>
      <c r="I6267" s="8">
        <f>IF(D6267="","",VLOOKUP(D6267, RECETTES!B:G, 6, FALSE)*E6267)</f>
        <v/>
      </c>
      <c r="J6267" s="8">
        <f>IF(G6267="","",G6267*0.20)</f>
        <v/>
      </c>
      <c r="K6267" s="8">
        <f>IF(G6267="","",G6267+J6267)</f>
        <v/>
      </c>
    </row>
    <row r="6268">
      <c r="F6268" s="8" t="n"/>
      <c r="G6268" s="8">
        <f>IF(E6268="","",E6268*F6268)</f>
        <v/>
      </c>
      <c r="H6268" s="8">
        <f>IF(G6268="","",G6268-I6268)</f>
        <v/>
      </c>
      <c r="I6268" s="8">
        <f>IF(D6268="","",VLOOKUP(D6268, RECETTES!B:G, 6, FALSE)*E6268)</f>
        <v/>
      </c>
      <c r="J6268" s="8">
        <f>IF(G6268="","",G6268*0.20)</f>
        <v/>
      </c>
      <c r="K6268" s="8">
        <f>IF(G6268="","",G6268+J6268)</f>
        <v/>
      </c>
    </row>
    <row r="6269">
      <c r="F6269" s="8" t="n"/>
      <c r="G6269" s="8">
        <f>IF(E6269="","",E6269*F6269)</f>
        <v/>
      </c>
      <c r="H6269" s="8">
        <f>IF(G6269="","",G6269-I6269)</f>
        <v/>
      </c>
      <c r="I6269" s="8">
        <f>IF(D6269="","",VLOOKUP(D6269, RECETTES!B:G, 6, FALSE)*E6269)</f>
        <v/>
      </c>
      <c r="J6269" s="8">
        <f>IF(G6269="","",G6269*0.20)</f>
        <v/>
      </c>
      <c r="K6269" s="8">
        <f>IF(G6269="","",G6269+J6269)</f>
        <v/>
      </c>
    </row>
    <row r="6270">
      <c r="F6270" s="8" t="n"/>
      <c r="G6270" s="8">
        <f>IF(E6270="","",E6270*F6270)</f>
        <v/>
      </c>
      <c r="H6270" s="8">
        <f>IF(G6270="","",G6270-I6270)</f>
        <v/>
      </c>
      <c r="I6270" s="8">
        <f>IF(D6270="","",VLOOKUP(D6270, RECETTES!B:G, 6, FALSE)*E6270)</f>
        <v/>
      </c>
      <c r="J6270" s="8">
        <f>IF(G6270="","",G6270*0.20)</f>
        <v/>
      </c>
      <c r="K6270" s="8">
        <f>IF(G6270="","",G6270+J6270)</f>
        <v/>
      </c>
    </row>
    <row r="6271">
      <c r="F6271" s="8" t="n"/>
      <c r="G6271" s="8">
        <f>IF(E6271="","",E6271*F6271)</f>
        <v/>
      </c>
      <c r="H6271" s="8">
        <f>IF(G6271="","",G6271-I6271)</f>
        <v/>
      </c>
      <c r="I6271" s="8">
        <f>IF(D6271="","",VLOOKUP(D6271, RECETTES!B:G, 6, FALSE)*E6271)</f>
        <v/>
      </c>
      <c r="J6271" s="8">
        <f>IF(G6271="","",G6271*0.20)</f>
        <v/>
      </c>
      <c r="K6271" s="8">
        <f>IF(G6271="","",G6271+J6271)</f>
        <v/>
      </c>
    </row>
    <row r="6272">
      <c r="F6272" s="8" t="n"/>
      <c r="G6272" s="8">
        <f>IF(E6272="","",E6272*F6272)</f>
        <v/>
      </c>
      <c r="H6272" s="8">
        <f>IF(G6272="","",G6272-I6272)</f>
        <v/>
      </c>
      <c r="I6272" s="8">
        <f>IF(D6272="","",VLOOKUP(D6272, RECETTES!B:G, 6, FALSE)*E6272)</f>
        <v/>
      </c>
      <c r="J6272" s="8">
        <f>IF(G6272="","",G6272*0.20)</f>
        <v/>
      </c>
      <c r="K6272" s="8">
        <f>IF(G6272="","",G6272+J6272)</f>
        <v/>
      </c>
    </row>
    <row r="6273">
      <c r="F6273" s="8" t="n"/>
      <c r="G6273" s="8">
        <f>IF(E6273="","",E6273*F6273)</f>
        <v/>
      </c>
      <c r="H6273" s="8">
        <f>IF(G6273="","",G6273-I6273)</f>
        <v/>
      </c>
      <c r="I6273" s="8">
        <f>IF(D6273="","",VLOOKUP(D6273, RECETTES!B:G, 6, FALSE)*E6273)</f>
        <v/>
      </c>
      <c r="J6273" s="8">
        <f>IF(G6273="","",G6273*0.20)</f>
        <v/>
      </c>
      <c r="K6273" s="8">
        <f>IF(G6273="","",G6273+J6273)</f>
        <v/>
      </c>
    </row>
    <row r="6274">
      <c r="F6274" s="8" t="n"/>
      <c r="G6274" s="8">
        <f>IF(E6274="","",E6274*F6274)</f>
        <v/>
      </c>
      <c r="H6274" s="8">
        <f>IF(G6274="","",G6274-I6274)</f>
        <v/>
      </c>
      <c r="I6274" s="8">
        <f>IF(D6274="","",VLOOKUP(D6274, RECETTES!B:G, 6, FALSE)*E6274)</f>
        <v/>
      </c>
      <c r="J6274" s="8">
        <f>IF(G6274="","",G6274*0.20)</f>
        <v/>
      </c>
      <c r="K6274" s="8">
        <f>IF(G6274="","",G6274+J6274)</f>
        <v/>
      </c>
    </row>
    <row r="6275">
      <c r="F6275" s="8" t="n"/>
      <c r="G6275" s="8">
        <f>IF(E6275="","",E6275*F6275)</f>
        <v/>
      </c>
      <c r="H6275" s="8">
        <f>IF(G6275="","",G6275-I6275)</f>
        <v/>
      </c>
      <c r="I6275" s="8">
        <f>IF(D6275="","",VLOOKUP(D6275, RECETTES!B:G, 6, FALSE)*E6275)</f>
        <v/>
      </c>
      <c r="J6275" s="8">
        <f>IF(G6275="","",G6275*0.20)</f>
        <v/>
      </c>
      <c r="K6275" s="8">
        <f>IF(G6275="","",G6275+J6275)</f>
        <v/>
      </c>
    </row>
    <row r="6276">
      <c r="F6276" s="8" t="n"/>
      <c r="G6276" s="8">
        <f>IF(E6276="","",E6276*F6276)</f>
        <v/>
      </c>
      <c r="H6276" s="8">
        <f>IF(G6276="","",G6276-I6276)</f>
        <v/>
      </c>
      <c r="I6276" s="8">
        <f>IF(D6276="","",VLOOKUP(D6276, RECETTES!B:G, 6, FALSE)*E6276)</f>
        <v/>
      </c>
      <c r="J6276" s="8">
        <f>IF(G6276="","",G6276*0.20)</f>
        <v/>
      </c>
      <c r="K6276" s="8">
        <f>IF(G6276="","",G6276+J6276)</f>
        <v/>
      </c>
    </row>
    <row r="6277">
      <c r="F6277" s="8" t="n"/>
      <c r="G6277" s="8">
        <f>IF(E6277="","",E6277*F6277)</f>
        <v/>
      </c>
      <c r="H6277" s="8">
        <f>IF(G6277="","",G6277-I6277)</f>
        <v/>
      </c>
      <c r="I6277" s="8">
        <f>IF(D6277="","",VLOOKUP(D6277, RECETTES!B:G, 6, FALSE)*E6277)</f>
        <v/>
      </c>
      <c r="J6277" s="8">
        <f>IF(G6277="","",G6277*0.20)</f>
        <v/>
      </c>
      <c r="K6277" s="8">
        <f>IF(G6277="","",G6277+J6277)</f>
        <v/>
      </c>
    </row>
    <row r="6278">
      <c r="F6278" s="8" t="n"/>
      <c r="G6278" s="8">
        <f>IF(E6278="","",E6278*F6278)</f>
        <v/>
      </c>
      <c r="H6278" s="8">
        <f>IF(G6278="","",G6278-I6278)</f>
        <v/>
      </c>
      <c r="I6278" s="8">
        <f>IF(D6278="","",VLOOKUP(D6278, RECETTES!B:G, 6, FALSE)*E6278)</f>
        <v/>
      </c>
      <c r="J6278" s="8">
        <f>IF(G6278="","",G6278*0.20)</f>
        <v/>
      </c>
      <c r="K6278" s="8">
        <f>IF(G6278="","",G6278+J6278)</f>
        <v/>
      </c>
    </row>
    <row r="6279">
      <c r="F6279" s="8" t="n"/>
      <c r="G6279" s="8">
        <f>IF(E6279="","",E6279*F6279)</f>
        <v/>
      </c>
      <c r="H6279" s="8">
        <f>IF(G6279="","",G6279-I6279)</f>
        <v/>
      </c>
      <c r="I6279" s="8">
        <f>IF(D6279="","",VLOOKUP(D6279, RECETTES!B:G, 6, FALSE)*E6279)</f>
        <v/>
      </c>
      <c r="J6279" s="8">
        <f>IF(G6279="","",G6279*0.20)</f>
        <v/>
      </c>
      <c r="K6279" s="8">
        <f>IF(G6279="","",G6279+J6279)</f>
        <v/>
      </c>
    </row>
    <row r="6280">
      <c r="F6280" s="8" t="n"/>
      <c r="G6280" s="8">
        <f>IF(E6280="","",E6280*F6280)</f>
        <v/>
      </c>
      <c r="H6280" s="8">
        <f>IF(G6280="","",G6280-I6280)</f>
        <v/>
      </c>
      <c r="I6280" s="8">
        <f>IF(D6280="","",VLOOKUP(D6280, RECETTES!B:G, 6, FALSE)*E6280)</f>
        <v/>
      </c>
      <c r="J6280" s="8">
        <f>IF(G6280="","",G6280*0.20)</f>
        <v/>
      </c>
      <c r="K6280" s="8">
        <f>IF(G6280="","",G6280+J6280)</f>
        <v/>
      </c>
    </row>
    <row r="6281">
      <c r="F6281" s="8" t="n"/>
      <c r="G6281" s="8">
        <f>IF(E6281="","",E6281*F6281)</f>
        <v/>
      </c>
      <c r="H6281" s="8">
        <f>IF(G6281="","",G6281-I6281)</f>
        <v/>
      </c>
      <c r="I6281" s="8">
        <f>IF(D6281="","",VLOOKUP(D6281, RECETTES!B:G, 6, FALSE)*E6281)</f>
        <v/>
      </c>
      <c r="J6281" s="8">
        <f>IF(G6281="","",G6281*0.20)</f>
        <v/>
      </c>
      <c r="K6281" s="8">
        <f>IF(G6281="","",G6281+J6281)</f>
        <v/>
      </c>
    </row>
    <row r="6282">
      <c r="F6282" s="8" t="n"/>
      <c r="G6282" s="8">
        <f>IF(E6282="","",E6282*F6282)</f>
        <v/>
      </c>
      <c r="H6282" s="8">
        <f>IF(G6282="","",G6282-I6282)</f>
        <v/>
      </c>
      <c r="I6282" s="8">
        <f>IF(D6282="","",VLOOKUP(D6282, RECETTES!B:G, 6, FALSE)*E6282)</f>
        <v/>
      </c>
      <c r="J6282" s="8">
        <f>IF(G6282="","",G6282*0.20)</f>
        <v/>
      </c>
      <c r="K6282" s="8">
        <f>IF(G6282="","",G6282+J6282)</f>
        <v/>
      </c>
    </row>
    <row r="6283">
      <c r="F6283" s="8" t="n"/>
      <c r="G6283" s="8">
        <f>IF(E6283="","",E6283*F6283)</f>
        <v/>
      </c>
      <c r="H6283" s="8">
        <f>IF(G6283="","",G6283-I6283)</f>
        <v/>
      </c>
      <c r="I6283" s="8">
        <f>IF(D6283="","",VLOOKUP(D6283, RECETTES!B:G, 6, FALSE)*E6283)</f>
        <v/>
      </c>
      <c r="J6283" s="8">
        <f>IF(G6283="","",G6283*0.20)</f>
        <v/>
      </c>
      <c r="K6283" s="8">
        <f>IF(G6283="","",G6283+J6283)</f>
        <v/>
      </c>
    </row>
    <row r="6284">
      <c r="F6284" s="8" t="n"/>
      <c r="G6284" s="8">
        <f>IF(E6284="","",E6284*F6284)</f>
        <v/>
      </c>
      <c r="H6284" s="8">
        <f>IF(G6284="","",G6284-I6284)</f>
        <v/>
      </c>
      <c r="I6284" s="8">
        <f>IF(D6284="","",VLOOKUP(D6284, RECETTES!B:G, 6, FALSE)*E6284)</f>
        <v/>
      </c>
      <c r="J6284" s="8">
        <f>IF(G6284="","",G6284*0.20)</f>
        <v/>
      </c>
      <c r="K6284" s="8">
        <f>IF(G6284="","",G6284+J6284)</f>
        <v/>
      </c>
    </row>
    <row r="6285">
      <c r="F6285" s="8" t="n"/>
      <c r="G6285" s="8">
        <f>IF(E6285="","",E6285*F6285)</f>
        <v/>
      </c>
      <c r="H6285" s="8">
        <f>IF(G6285="","",G6285-I6285)</f>
        <v/>
      </c>
      <c r="I6285" s="8">
        <f>IF(D6285="","",VLOOKUP(D6285, RECETTES!B:G, 6, FALSE)*E6285)</f>
        <v/>
      </c>
      <c r="J6285" s="8">
        <f>IF(G6285="","",G6285*0.20)</f>
        <v/>
      </c>
      <c r="K6285" s="8">
        <f>IF(G6285="","",G6285+J6285)</f>
        <v/>
      </c>
    </row>
    <row r="6286">
      <c r="F6286" s="8" t="n"/>
      <c r="G6286" s="8">
        <f>IF(E6286="","",E6286*F6286)</f>
        <v/>
      </c>
      <c r="H6286" s="8">
        <f>IF(G6286="","",G6286-I6286)</f>
        <v/>
      </c>
      <c r="I6286" s="8">
        <f>IF(D6286="","",VLOOKUP(D6286, RECETTES!B:G, 6, FALSE)*E6286)</f>
        <v/>
      </c>
      <c r="J6286" s="8">
        <f>IF(G6286="","",G6286*0.20)</f>
        <v/>
      </c>
      <c r="K6286" s="8">
        <f>IF(G6286="","",G6286+J6286)</f>
        <v/>
      </c>
    </row>
    <row r="6287">
      <c r="F6287" s="8" t="n"/>
      <c r="G6287" s="8">
        <f>IF(E6287="","",E6287*F6287)</f>
        <v/>
      </c>
      <c r="H6287" s="8">
        <f>IF(G6287="","",G6287-I6287)</f>
        <v/>
      </c>
      <c r="I6287" s="8">
        <f>IF(D6287="","",VLOOKUP(D6287, RECETTES!B:G, 6, FALSE)*E6287)</f>
        <v/>
      </c>
      <c r="J6287" s="8">
        <f>IF(G6287="","",G6287*0.20)</f>
        <v/>
      </c>
      <c r="K6287" s="8">
        <f>IF(G6287="","",G6287+J6287)</f>
        <v/>
      </c>
    </row>
    <row r="6288">
      <c r="F6288" s="8" t="n"/>
      <c r="G6288" s="8">
        <f>IF(E6288="","",E6288*F6288)</f>
        <v/>
      </c>
      <c r="H6288" s="8">
        <f>IF(G6288="","",G6288-I6288)</f>
        <v/>
      </c>
      <c r="I6288" s="8">
        <f>IF(D6288="","",VLOOKUP(D6288, RECETTES!B:G, 6, FALSE)*E6288)</f>
        <v/>
      </c>
      <c r="J6288" s="8">
        <f>IF(G6288="","",G6288*0.20)</f>
        <v/>
      </c>
      <c r="K6288" s="8">
        <f>IF(G6288="","",G6288+J6288)</f>
        <v/>
      </c>
    </row>
    <row r="6289">
      <c r="F6289" s="8" t="n"/>
      <c r="G6289" s="8">
        <f>IF(E6289="","",E6289*F6289)</f>
        <v/>
      </c>
      <c r="H6289" s="8">
        <f>IF(G6289="","",G6289-I6289)</f>
        <v/>
      </c>
      <c r="I6289" s="8">
        <f>IF(D6289="","",VLOOKUP(D6289, RECETTES!B:G, 6, FALSE)*E6289)</f>
        <v/>
      </c>
      <c r="J6289" s="8">
        <f>IF(G6289="","",G6289*0.20)</f>
        <v/>
      </c>
      <c r="K6289" s="8">
        <f>IF(G6289="","",G6289+J6289)</f>
        <v/>
      </c>
    </row>
    <row r="6290">
      <c r="F6290" s="8" t="n"/>
      <c r="G6290" s="8">
        <f>IF(E6290="","",E6290*F6290)</f>
        <v/>
      </c>
      <c r="H6290" s="8">
        <f>IF(G6290="","",G6290-I6290)</f>
        <v/>
      </c>
      <c r="I6290" s="8">
        <f>IF(D6290="","",VLOOKUP(D6290, RECETTES!B:G, 6, FALSE)*E6290)</f>
        <v/>
      </c>
      <c r="J6290" s="8">
        <f>IF(G6290="","",G6290*0.20)</f>
        <v/>
      </c>
      <c r="K6290" s="8">
        <f>IF(G6290="","",G6290+J6290)</f>
        <v/>
      </c>
    </row>
    <row r="6291">
      <c r="F6291" s="8" t="n"/>
      <c r="G6291" s="8">
        <f>IF(E6291="","",E6291*F6291)</f>
        <v/>
      </c>
      <c r="H6291" s="8">
        <f>IF(G6291="","",G6291-I6291)</f>
        <v/>
      </c>
      <c r="I6291" s="8">
        <f>IF(D6291="","",VLOOKUP(D6291, RECETTES!B:G, 6, FALSE)*E6291)</f>
        <v/>
      </c>
      <c r="J6291" s="8">
        <f>IF(G6291="","",G6291*0.20)</f>
        <v/>
      </c>
      <c r="K6291" s="8">
        <f>IF(G6291="","",G6291+J6291)</f>
        <v/>
      </c>
    </row>
    <row r="6292">
      <c r="F6292" s="8" t="n"/>
      <c r="G6292" s="8">
        <f>IF(E6292="","",E6292*F6292)</f>
        <v/>
      </c>
      <c r="H6292" s="8">
        <f>IF(G6292="","",G6292-I6292)</f>
        <v/>
      </c>
      <c r="I6292" s="8">
        <f>IF(D6292="","",VLOOKUP(D6292, RECETTES!B:G, 6, FALSE)*E6292)</f>
        <v/>
      </c>
      <c r="J6292" s="8">
        <f>IF(G6292="","",G6292*0.20)</f>
        <v/>
      </c>
      <c r="K6292" s="8">
        <f>IF(G6292="","",G6292+J6292)</f>
        <v/>
      </c>
    </row>
    <row r="6293">
      <c r="F6293" s="8" t="n"/>
      <c r="G6293" s="8">
        <f>IF(E6293="","",E6293*F6293)</f>
        <v/>
      </c>
      <c r="H6293" s="8">
        <f>IF(G6293="","",G6293-I6293)</f>
        <v/>
      </c>
      <c r="I6293" s="8">
        <f>IF(D6293="","",VLOOKUP(D6293, RECETTES!B:G, 6, FALSE)*E6293)</f>
        <v/>
      </c>
      <c r="J6293" s="8">
        <f>IF(G6293="","",G6293*0.20)</f>
        <v/>
      </c>
      <c r="K6293" s="8">
        <f>IF(G6293="","",G6293+J6293)</f>
        <v/>
      </c>
    </row>
    <row r="6294">
      <c r="F6294" s="8" t="n"/>
      <c r="G6294" s="8">
        <f>IF(E6294="","",E6294*F6294)</f>
        <v/>
      </c>
      <c r="H6294" s="8">
        <f>IF(G6294="","",G6294-I6294)</f>
        <v/>
      </c>
      <c r="I6294" s="8">
        <f>IF(D6294="","",VLOOKUP(D6294, RECETTES!B:G, 6, FALSE)*E6294)</f>
        <v/>
      </c>
      <c r="J6294" s="8">
        <f>IF(G6294="","",G6294*0.20)</f>
        <v/>
      </c>
      <c r="K6294" s="8">
        <f>IF(G6294="","",G6294+J6294)</f>
        <v/>
      </c>
    </row>
    <row r="6295">
      <c r="F6295" s="8" t="n"/>
      <c r="G6295" s="8">
        <f>IF(E6295="","",E6295*F6295)</f>
        <v/>
      </c>
      <c r="H6295" s="8">
        <f>IF(G6295="","",G6295-I6295)</f>
        <v/>
      </c>
      <c r="I6295" s="8">
        <f>IF(D6295="","",VLOOKUP(D6295, RECETTES!B:G, 6, FALSE)*E6295)</f>
        <v/>
      </c>
      <c r="J6295" s="8">
        <f>IF(G6295="","",G6295*0.20)</f>
        <v/>
      </c>
      <c r="K6295" s="8">
        <f>IF(G6295="","",G6295+J6295)</f>
        <v/>
      </c>
    </row>
    <row r="6296">
      <c r="F6296" s="8" t="n"/>
      <c r="G6296" s="8">
        <f>IF(E6296="","",E6296*F6296)</f>
        <v/>
      </c>
      <c r="H6296" s="8">
        <f>IF(G6296="","",G6296-I6296)</f>
        <v/>
      </c>
      <c r="I6296" s="8">
        <f>IF(D6296="","",VLOOKUP(D6296, RECETTES!B:G, 6, FALSE)*E6296)</f>
        <v/>
      </c>
      <c r="J6296" s="8">
        <f>IF(G6296="","",G6296*0.20)</f>
        <v/>
      </c>
      <c r="K6296" s="8">
        <f>IF(G6296="","",G6296+J6296)</f>
        <v/>
      </c>
    </row>
    <row r="6297">
      <c r="F6297" s="8" t="n"/>
      <c r="G6297" s="8">
        <f>IF(E6297="","",E6297*F6297)</f>
        <v/>
      </c>
      <c r="H6297" s="8">
        <f>IF(G6297="","",G6297-I6297)</f>
        <v/>
      </c>
      <c r="I6297" s="8">
        <f>IF(D6297="","",VLOOKUP(D6297, RECETTES!B:G, 6, FALSE)*E6297)</f>
        <v/>
      </c>
      <c r="J6297" s="8">
        <f>IF(G6297="","",G6297*0.20)</f>
        <v/>
      </c>
      <c r="K6297" s="8">
        <f>IF(G6297="","",G6297+J6297)</f>
        <v/>
      </c>
    </row>
    <row r="6298">
      <c r="F6298" s="8" t="n"/>
      <c r="G6298" s="8">
        <f>IF(E6298="","",E6298*F6298)</f>
        <v/>
      </c>
      <c r="H6298" s="8">
        <f>IF(G6298="","",G6298-I6298)</f>
        <v/>
      </c>
      <c r="I6298" s="8">
        <f>IF(D6298="","",VLOOKUP(D6298, RECETTES!B:G, 6, FALSE)*E6298)</f>
        <v/>
      </c>
      <c r="J6298" s="8">
        <f>IF(G6298="","",G6298*0.20)</f>
        <v/>
      </c>
      <c r="K6298" s="8">
        <f>IF(G6298="","",G6298+J6298)</f>
        <v/>
      </c>
    </row>
    <row r="6299">
      <c r="F6299" s="8" t="n"/>
      <c r="G6299" s="8">
        <f>IF(E6299="","",E6299*F6299)</f>
        <v/>
      </c>
      <c r="H6299" s="8">
        <f>IF(G6299="","",G6299-I6299)</f>
        <v/>
      </c>
      <c r="I6299" s="8">
        <f>IF(D6299="","",VLOOKUP(D6299, RECETTES!B:G, 6, FALSE)*E6299)</f>
        <v/>
      </c>
      <c r="J6299" s="8">
        <f>IF(G6299="","",G6299*0.20)</f>
        <v/>
      </c>
      <c r="K6299" s="8">
        <f>IF(G6299="","",G6299+J6299)</f>
        <v/>
      </c>
    </row>
    <row r="6300">
      <c r="F6300" s="8" t="n"/>
      <c r="G6300" s="8">
        <f>IF(E6300="","",E6300*F6300)</f>
        <v/>
      </c>
      <c r="H6300" s="8">
        <f>IF(G6300="","",G6300-I6300)</f>
        <v/>
      </c>
      <c r="I6300" s="8">
        <f>IF(D6300="","",VLOOKUP(D6300, RECETTES!B:G, 6, FALSE)*E6300)</f>
        <v/>
      </c>
      <c r="J6300" s="8">
        <f>IF(G6300="","",G6300*0.20)</f>
        <v/>
      </c>
      <c r="K6300" s="8">
        <f>IF(G6300="","",G6300+J6300)</f>
        <v/>
      </c>
    </row>
    <row r="6301">
      <c r="F6301" s="8" t="n"/>
      <c r="G6301" s="8">
        <f>IF(E6301="","",E6301*F6301)</f>
        <v/>
      </c>
      <c r="H6301" s="8">
        <f>IF(G6301="","",G6301-I6301)</f>
        <v/>
      </c>
      <c r="I6301" s="8">
        <f>IF(D6301="","",VLOOKUP(D6301, RECETTES!B:G, 6, FALSE)*E6301)</f>
        <v/>
      </c>
      <c r="J6301" s="8">
        <f>IF(G6301="","",G6301*0.20)</f>
        <v/>
      </c>
      <c r="K6301" s="8">
        <f>IF(G6301="","",G6301+J6301)</f>
        <v/>
      </c>
    </row>
    <row r="6302">
      <c r="F6302" s="8" t="n"/>
      <c r="G6302" s="8">
        <f>IF(E6302="","",E6302*F6302)</f>
        <v/>
      </c>
      <c r="H6302" s="8">
        <f>IF(G6302="","",G6302-I6302)</f>
        <v/>
      </c>
      <c r="I6302" s="8">
        <f>IF(D6302="","",VLOOKUP(D6302, RECETTES!B:G, 6, FALSE)*E6302)</f>
        <v/>
      </c>
      <c r="J6302" s="8">
        <f>IF(G6302="","",G6302*0.20)</f>
        <v/>
      </c>
      <c r="K6302" s="8">
        <f>IF(G6302="","",G6302+J6302)</f>
        <v/>
      </c>
    </row>
    <row r="6303">
      <c r="F6303" s="8" t="n"/>
      <c r="G6303" s="8">
        <f>IF(E6303="","",E6303*F6303)</f>
        <v/>
      </c>
      <c r="H6303" s="8">
        <f>IF(G6303="","",G6303-I6303)</f>
        <v/>
      </c>
      <c r="I6303" s="8">
        <f>IF(D6303="","",VLOOKUP(D6303, RECETTES!B:G, 6, FALSE)*E6303)</f>
        <v/>
      </c>
      <c r="J6303" s="8">
        <f>IF(G6303="","",G6303*0.20)</f>
        <v/>
      </c>
      <c r="K6303" s="8">
        <f>IF(G6303="","",G6303+J6303)</f>
        <v/>
      </c>
    </row>
    <row r="6304">
      <c r="F6304" s="8" t="n"/>
      <c r="G6304" s="8">
        <f>IF(E6304="","",E6304*F6304)</f>
        <v/>
      </c>
      <c r="H6304" s="8">
        <f>IF(G6304="","",G6304-I6304)</f>
        <v/>
      </c>
      <c r="I6304" s="8">
        <f>IF(D6304="","",VLOOKUP(D6304, RECETTES!B:G, 6, FALSE)*E6304)</f>
        <v/>
      </c>
      <c r="J6304" s="8">
        <f>IF(G6304="","",G6304*0.20)</f>
        <v/>
      </c>
      <c r="K6304" s="8">
        <f>IF(G6304="","",G6304+J6304)</f>
        <v/>
      </c>
    </row>
    <row r="6305">
      <c r="F6305" s="8" t="n"/>
      <c r="G6305" s="8">
        <f>IF(E6305="","",E6305*F6305)</f>
        <v/>
      </c>
      <c r="H6305" s="8">
        <f>IF(G6305="","",G6305-I6305)</f>
        <v/>
      </c>
      <c r="I6305" s="8">
        <f>IF(D6305="","",VLOOKUP(D6305, RECETTES!B:G, 6, FALSE)*E6305)</f>
        <v/>
      </c>
      <c r="J6305" s="8">
        <f>IF(G6305="","",G6305*0.20)</f>
        <v/>
      </c>
      <c r="K6305" s="8">
        <f>IF(G6305="","",G6305+J6305)</f>
        <v/>
      </c>
    </row>
    <row r="6306">
      <c r="F6306" s="8" t="n"/>
      <c r="G6306" s="8">
        <f>IF(E6306="","",E6306*F6306)</f>
        <v/>
      </c>
      <c r="H6306" s="8">
        <f>IF(G6306="","",G6306-I6306)</f>
        <v/>
      </c>
      <c r="I6306" s="8">
        <f>IF(D6306="","",VLOOKUP(D6306, RECETTES!B:G, 6, FALSE)*E6306)</f>
        <v/>
      </c>
      <c r="J6306" s="8">
        <f>IF(G6306="","",G6306*0.20)</f>
        <v/>
      </c>
      <c r="K6306" s="8">
        <f>IF(G6306="","",G6306+J6306)</f>
        <v/>
      </c>
    </row>
    <row r="6307">
      <c r="F6307" s="8" t="n"/>
      <c r="G6307" s="8">
        <f>IF(E6307="","",E6307*F6307)</f>
        <v/>
      </c>
      <c r="H6307" s="8">
        <f>IF(G6307="","",G6307-I6307)</f>
        <v/>
      </c>
      <c r="I6307" s="8">
        <f>IF(D6307="","",VLOOKUP(D6307, RECETTES!B:G, 6, FALSE)*E6307)</f>
        <v/>
      </c>
      <c r="J6307" s="8">
        <f>IF(G6307="","",G6307*0.20)</f>
        <v/>
      </c>
      <c r="K6307" s="8">
        <f>IF(G6307="","",G6307+J6307)</f>
        <v/>
      </c>
    </row>
    <row r="6308">
      <c r="F6308" s="8" t="n"/>
      <c r="G6308" s="8">
        <f>IF(E6308="","",E6308*F6308)</f>
        <v/>
      </c>
      <c r="H6308" s="8">
        <f>IF(G6308="","",G6308-I6308)</f>
        <v/>
      </c>
      <c r="I6308" s="8">
        <f>IF(D6308="","",VLOOKUP(D6308, RECETTES!B:G, 6, FALSE)*E6308)</f>
        <v/>
      </c>
      <c r="J6308" s="8">
        <f>IF(G6308="","",G6308*0.20)</f>
        <v/>
      </c>
      <c r="K6308" s="8">
        <f>IF(G6308="","",G6308+J6308)</f>
        <v/>
      </c>
    </row>
    <row r="6309">
      <c r="F6309" s="8" t="n"/>
      <c r="G6309" s="8">
        <f>IF(E6309="","",E6309*F6309)</f>
        <v/>
      </c>
      <c r="H6309" s="8">
        <f>IF(G6309="","",G6309-I6309)</f>
        <v/>
      </c>
      <c r="I6309" s="8">
        <f>IF(D6309="","",VLOOKUP(D6309, RECETTES!B:G, 6, FALSE)*E6309)</f>
        <v/>
      </c>
      <c r="J6309" s="8">
        <f>IF(G6309="","",G6309*0.20)</f>
        <v/>
      </c>
      <c r="K6309" s="8">
        <f>IF(G6309="","",G6309+J6309)</f>
        <v/>
      </c>
    </row>
    <row r="6310">
      <c r="F6310" s="8" t="n"/>
      <c r="G6310" s="8">
        <f>IF(E6310="","",E6310*F6310)</f>
        <v/>
      </c>
      <c r="H6310" s="8">
        <f>IF(G6310="","",G6310-I6310)</f>
        <v/>
      </c>
      <c r="I6310" s="8">
        <f>IF(D6310="","",VLOOKUP(D6310, RECETTES!B:G, 6, FALSE)*E6310)</f>
        <v/>
      </c>
      <c r="J6310" s="8">
        <f>IF(G6310="","",G6310*0.20)</f>
        <v/>
      </c>
      <c r="K6310" s="8">
        <f>IF(G6310="","",G6310+J6310)</f>
        <v/>
      </c>
    </row>
    <row r="6311">
      <c r="F6311" s="8" t="n"/>
      <c r="G6311" s="8">
        <f>IF(E6311="","",E6311*F6311)</f>
        <v/>
      </c>
      <c r="H6311" s="8">
        <f>IF(G6311="","",G6311-I6311)</f>
        <v/>
      </c>
      <c r="I6311" s="8">
        <f>IF(D6311="","",VLOOKUP(D6311, RECETTES!B:G, 6, FALSE)*E6311)</f>
        <v/>
      </c>
      <c r="J6311" s="8">
        <f>IF(G6311="","",G6311*0.20)</f>
        <v/>
      </c>
      <c r="K6311" s="8">
        <f>IF(G6311="","",G6311+J6311)</f>
        <v/>
      </c>
    </row>
    <row r="6312">
      <c r="F6312" s="8" t="n"/>
      <c r="G6312" s="8">
        <f>IF(E6312="","",E6312*F6312)</f>
        <v/>
      </c>
      <c r="H6312" s="8">
        <f>IF(G6312="","",G6312-I6312)</f>
        <v/>
      </c>
      <c r="I6312" s="8">
        <f>IF(D6312="","",VLOOKUP(D6312, RECETTES!B:G, 6, FALSE)*E6312)</f>
        <v/>
      </c>
      <c r="J6312" s="8">
        <f>IF(G6312="","",G6312*0.20)</f>
        <v/>
      </c>
      <c r="K6312" s="8">
        <f>IF(G6312="","",G6312+J6312)</f>
        <v/>
      </c>
    </row>
    <row r="6313">
      <c r="F6313" s="8" t="n"/>
      <c r="G6313" s="8">
        <f>IF(E6313="","",E6313*F6313)</f>
        <v/>
      </c>
      <c r="H6313" s="8">
        <f>IF(G6313="","",G6313-I6313)</f>
        <v/>
      </c>
      <c r="I6313" s="8">
        <f>IF(D6313="","",VLOOKUP(D6313, RECETTES!B:G, 6, FALSE)*E6313)</f>
        <v/>
      </c>
      <c r="J6313" s="8">
        <f>IF(G6313="","",G6313*0.20)</f>
        <v/>
      </c>
      <c r="K6313" s="8">
        <f>IF(G6313="","",G6313+J6313)</f>
        <v/>
      </c>
    </row>
    <row r="6314">
      <c r="F6314" s="8" t="n"/>
      <c r="G6314" s="8">
        <f>IF(E6314="","",E6314*F6314)</f>
        <v/>
      </c>
      <c r="H6314" s="8">
        <f>IF(G6314="","",G6314-I6314)</f>
        <v/>
      </c>
      <c r="I6314" s="8">
        <f>IF(D6314="","",VLOOKUP(D6314, RECETTES!B:G, 6, FALSE)*E6314)</f>
        <v/>
      </c>
      <c r="J6314" s="8">
        <f>IF(G6314="","",G6314*0.20)</f>
        <v/>
      </c>
      <c r="K6314" s="8">
        <f>IF(G6314="","",G6314+J6314)</f>
        <v/>
      </c>
    </row>
    <row r="6315">
      <c r="F6315" s="8" t="n"/>
      <c r="G6315" s="8">
        <f>IF(E6315="","",E6315*F6315)</f>
        <v/>
      </c>
      <c r="H6315" s="8">
        <f>IF(G6315="","",G6315-I6315)</f>
        <v/>
      </c>
      <c r="I6315" s="8">
        <f>IF(D6315="","",VLOOKUP(D6315, RECETTES!B:G, 6, FALSE)*E6315)</f>
        <v/>
      </c>
      <c r="J6315" s="8">
        <f>IF(G6315="","",G6315*0.20)</f>
        <v/>
      </c>
      <c r="K6315" s="8">
        <f>IF(G6315="","",G6315+J6315)</f>
        <v/>
      </c>
    </row>
    <row r="6316">
      <c r="F6316" s="8" t="n"/>
      <c r="G6316" s="8">
        <f>IF(E6316="","",E6316*F6316)</f>
        <v/>
      </c>
      <c r="H6316" s="8">
        <f>IF(G6316="","",G6316-I6316)</f>
        <v/>
      </c>
      <c r="I6316" s="8">
        <f>IF(D6316="","",VLOOKUP(D6316, RECETTES!B:G, 6, FALSE)*E6316)</f>
        <v/>
      </c>
      <c r="J6316" s="8">
        <f>IF(G6316="","",G6316*0.20)</f>
        <v/>
      </c>
      <c r="K6316" s="8">
        <f>IF(G6316="","",G6316+J6316)</f>
        <v/>
      </c>
    </row>
    <row r="6317">
      <c r="F6317" s="8" t="n"/>
      <c r="G6317" s="8">
        <f>IF(E6317="","",E6317*F6317)</f>
        <v/>
      </c>
      <c r="H6317" s="8">
        <f>IF(G6317="","",G6317-I6317)</f>
        <v/>
      </c>
      <c r="I6317" s="8">
        <f>IF(D6317="","",VLOOKUP(D6317, RECETTES!B:G, 6, FALSE)*E6317)</f>
        <v/>
      </c>
      <c r="J6317" s="8">
        <f>IF(G6317="","",G6317*0.20)</f>
        <v/>
      </c>
      <c r="K6317" s="8">
        <f>IF(G6317="","",G6317+J6317)</f>
        <v/>
      </c>
    </row>
    <row r="6318">
      <c r="F6318" s="8" t="n"/>
      <c r="G6318" s="8">
        <f>IF(E6318="","",E6318*F6318)</f>
        <v/>
      </c>
      <c r="H6318" s="8">
        <f>IF(G6318="","",G6318-I6318)</f>
        <v/>
      </c>
      <c r="I6318" s="8">
        <f>IF(D6318="","",VLOOKUP(D6318, RECETTES!B:G, 6, FALSE)*E6318)</f>
        <v/>
      </c>
      <c r="J6318" s="8">
        <f>IF(G6318="","",G6318*0.20)</f>
        <v/>
      </c>
      <c r="K6318" s="8">
        <f>IF(G6318="","",G6318+J6318)</f>
        <v/>
      </c>
    </row>
    <row r="6319">
      <c r="F6319" s="8" t="n"/>
      <c r="G6319" s="8">
        <f>IF(E6319="","",E6319*F6319)</f>
        <v/>
      </c>
      <c r="H6319" s="8">
        <f>IF(G6319="","",G6319-I6319)</f>
        <v/>
      </c>
      <c r="I6319" s="8">
        <f>IF(D6319="","",VLOOKUP(D6319, RECETTES!B:G, 6, FALSE)*E6319)</f>
        <v/>
      </c>
      <c r="J6319" s="8">
        <f>IF(G6319="","",G6319*0.20)</f>
        <v/>
      </c>
      <c r="K6319" s="8">
        <f>IF(G6319="","",G6319+J6319)</f>
        <v/>
      </c>
    </row>
    <row r="6320">
      <c r="F6320" s="8" t="n"/>
      <c r="G6320" s="8">
        <f>IF(E6320="","",E6320*F6320)</f>
        <v/>
      </c>
      <c r="H6320" s="8">
        <f>IF(G6320="","",G6320-I6320)</f>
        <v/>
      </c>
      <c r="I6320" s="8">
        <f>IF(D6320="","",VLOOKUP(D6320, RECETTES!B:G, 6, FALSE)*E6320)</f>
        <v/>
      </c>
      <c r="J6320" s="8">
        <f>IF(G6320="","",G6320*0.20)</f>
        <v/>
      </c>
      <c r="K6320" s="8">
        <f>IF(G6320="","",G6320+J6320)</f>
        <v/>
      </c>
    </row>
    <row r="6321">
      <c r="F6321" s="8" t="n"/>
      <c r="G6321" s="8">
        <f>IF(E6321="","",E6321*F6321)</f>
        <v/>
      </c>
      <c r="H6321" s="8">
        <f>IF(G6321="","",G6321-I6321)</f>
        <v/>
      </c>
      <c r="I6321" s="8">
        <f>IF(D6321="","",VLOOKUP(D6321, RECETTES!B:G, 6, FALSE)*E6321)</f>
        <v/>
      </c>
      <c r="J6321" s="8">
        <f>IF(G6321="","",G6321*0.20)</f>
        <v/>
      </c>
      <c r="K6321" s="8">
        <f>IF(G6321="","",G6321+J6321)</f>
        <v/>
      </c>
    </row>
    <row r="6322">
      <c r="F6322" s="8" t="n"/>
      <c r="G6322" s="8">
        <f>IF(E6322="","",E6322*F6322)</f>
        <v/>
      </c>
      <c r="H6322" s="8">
        <f>IF(G6322="","",G6322-I6322)</f>
        <v/>
      </c>
      <c r="I6322" s="8">
        <f>IF(D6322="","",VLOOKUP(D6322, RECETTES!B:G, 6, FALSE)*E6322)</f>
        <v/>
      </c>
      <c r="J6322" s="8">
        <f>IF(G6322="","",G6322*0.20)</f>
        <v/>
      </c>
      <c r="K6322" s="8">
        <f>IF(G6322="","",G6322+J6322)</f>
        <v/>
      </c>
    </row>
    <row r="6323">
      <c r="F6323" s="8" t="n"/>
      <c r="G6323" s="8">
        <f>IF(E6323="","",E6323*F6323)</f>
        <v/>
      </c>
      <c r="H6323" s="8">
        <f>IF(G6323="","",G6323-I6323)</f>
        <v/>
      </c>
      <c r="I6323" s="8">
        <f>IF(D6323="","",VLOOKUP(D6323, RECETTES!B:G, 6, FALSE)*E6323)</f>
        <v/>
      </c>
      <c r="J6323" s="8">
        <f>IF(G6323="","",G6323*0.20)</f>
        <v/>
      </c>
      <c r="K6323" s="8">
        <f>IF(G6323="","",G6323+J6323)</f>
        <v/>
      </c>
    </row>
    <row r="6324">
      <c r="F6324" s="8" t="n"/>
      <c r="G6324" s="8">
        <f>IF(E6324="","",E6324*F6324)</f>
        <v/>
      </c>
      <c r="H6324" s="8">
        <f>IF(G6324="","",G6324-I6324)</f>
        <v/>
      </c>
      <c r="I6324" s="8">
        <f>IF(D6324="","",VLOOKUP(D6324, RECETTES!B:G, 6, FALSE)*E6324)</f>
        <v/>
      </c>
      <c r="J6324" s="8">
        <f>IF(G6324="","",G6324*0.20)</f>
        <v/>
      </c>
      <c r="K6324" s="8">
        <f>IF(G6324="","",G6324+J6324)</f>
        <v/>
      </c>
    </row>
    <row r="6325">
      <c r="F6325" s="8" t="n"/>
      <c r="G6325" s="8">
        <f>IF(E6325="","",E6325*F6325)</f>
        <v/>
      </c>
      <c r="H6325" s="8">
        <f>IF(G6325="","",G6325-I6325)</f>
        <v/>
      </c>
      <c r="I6325" s="8">
        <f>IF(D6325="","",VLOOKUP(D6325, RECETTES!B:G, 6, FALSE)*E6325)</f>
        <v/>
      </c>
      <c r="J6325" s="8">
        <f>IF(G6325="","",G6325*0.20)</f>
        <v/>
      </c>
      <c r="K6325" s="8">
        <f>IF(G6325="","",G6325+J6325)</f>
        <v/>
      </c>
    </row>
    <row r="6326">
      <c r="F6326" s="8" t="n"/>
      <c r="G6326" s="8">
        <f>IF(E6326="","",E6326*F6326)</f>
        <v/>
      </c>
      <c r="H6326" s="8">
        <f>IF(G6326="","",G6326-I6326)</f>
        <v/>
      </c>
      <c r="I6326" s="8">
        <f>IF(D6326="","",VLOOKUP(D6326, RECETTES!B:G, 6, FALSE)*E6326)</f>
        <v/>
      </c>
      <c r="J6326" s="8">
        <f>IF(G6326="","",G6326*0.20)</f>
        <v/>
      </c>
      <c r="K6326" s="8">
        <f>IF(G6326="","",G6326+J6326)</f>
        <v/>
      </c>
    </row>
    <row r="6327">
      <c r="F6327" s="8" t="n"/>
      <c r="G6327" s="8">
        <f>IF(E6327="","",E6327*F6327)</f>
        <v/>
      </c>
      <c r="H6327" s="8">
        <f>IF(G6327="","",G6327-I6327)</f>
        <v/>
      </c>
      <c r="I6327" s="8">
        <f>IF(D6327="","",VLOOKUP(D6327, RECETTES!B:G, 6, FALSE)*E6327)</f>
        <v/>
      </c>
      <c r="J6327" s="8">
        <f>IF(G6327="","",G6327*0.20)</f>
        <v/>
      </c>
      <c r="K6327" s="8">
        <f>IF(G6327="","",G6327+J6327)</f>
        <v/>
      </c>
    </row>
    <row r="6328">
      <c r="F6328" s="8" t="n"/>
      <c r="G6328" s="8">
        <f>IF(E6328="","",E6328*F6328)</f>
        <v/>
      </c>
      <c r="H6328" s="8">
        <f>IF(G6328="","",G6328-I6328)</f>
        <v/>
      </c>
      <c r="I6328" s="8">
        <f>IF(D6328="","",VLOOKUP(D6328, RECETTES!B:G, 6, FALSE)*E6328)</f>
        <v/>
      </c>
      <c r="J6328" s="8">
        <f>IF(G6328="","",G6328*0.20)</f>
        <v/>
      </c>
      <c r="K6328" s="8">
        <f>IF(G6328="","",G6328+J6328)</f>
        <v/>
      </c>
    </row>
    <row r="6329">
      <c r="F6329" s="8" t="n"/>
      <c r="G6329" s="8">
        <f>IF(E6329="","",E6329*F6329)</f>
        <v/>
      </c>
      <c r="H6329" s="8">
        <f>IF(G6329="","",G6329-I6329)</f>
        <v/>
      </c>
      <c r="I6329" s="8">
        <f>IF(D6329="","",VLOOKUP(D6329, RECETTES!B:G, 6, FALSE)*E6329)</f>
        <v/>
      </c>
      <c r="J6329" s="8">
        <f>IF(G6329="","",G6329*0.20)</f>
        <v/>
      </c>
      <c r="K6329" s="8">
        <f>IF(G6329="","",G6329+J6329)</f>
        <v/>
      </c>
    </row>
    <row r="6330">
      <c r="F6330" s="8" t="n"/>
      <c r="G6330" s="8">
        <f>IF(E6330="","",E6330*F6330)</f>
        <v/>
      </c>
      <c r="H6330" s="8">
        <f>IF(G6330="","",G6330-I6330)</f>
        <v/>
      </c>
      <c r="I6330" s="8">
        <f>IF(D6330="","",VLOOKUP(D6330, RECETTES!B:G, 6, FALSE)*E6330)</f>
        <v/>
      </c>
      <c r="J6330" s="8">
        <f>IF(G6330="","",G6330*0.20)</f>
        <v/>
      </c>
      <c r="K6330" s="8">
        <f>IF(G6330="","",G6330+J6330)</f>
        <v/>
      </c>
    </row>
    <row r="6331">
      <c r="F6331" s="8" t="n"/>
      <c r="G6331" s="8">
        <f>IF(E6331="","",E6331*F6331)</f>
        <v/>
      </c>
      <c r="H6331" s="8">
        <f>IF(G6331="","",G6331-I6331)</f>
        <v/>
      </c>
      <c r="I6331" s="8">
        <f>IF(D6331="","",VLOOKUP(D6331, RECETTES!B:G, 6, FALSE)*E6331)</f>
        <v/>
      </c>
      <c r="J6331" s="8">
        <f>IF(G6331="","",G6331*0.20)</f>
        <v/>
      </c>
      <c r="K6331" s="8">
        <f>IF(G6331="","",G6331+J6331)</f>
        <v/>
      </c>
    </row>
    <row r="6332">
      <c r="F6332" s="8" t="n"/>
      <c r="G6332" s="8">
        <f>IF(E6332="","",E6332*F6332)</f>
        <v/>
      </c>
      <c r="H6332" s="8">
        <f>IF(G6332="","",G6332-I6332)</f>
        <v/>
      </c>
      <c r="I6332" s="8">
        <f>IF(D6332="","",VLOOKUP(D6332, RECETTES!B:G, 6, FALSE)*E6332)</f>
        <v/>
      </c>
      <c r="J6332" s="8">
        <f>IF(G6332="","",G6332*0.20)</f>
        <v/>
      </c>
      <c r="K6332" s="8">
        <f>IF(G6332="","",G6332+J6332)</f>
        <v/>
      </c>
    </row>
    <row r="6333">
      <c r="F6333" s="8" t="n"/>
      <c r="G6333" s="8">
        <f>IF(E6333="","",E6333*F6333)</f>
        <v/>
      </c>
      <c r="H6333" s="8">
        <f>IF(G6333="","",G6333-I6333)</f>
        <v/>
      </c>
      <c r="I6333" s="8">
        <f>IF(D6333="","",VLOOKUP(D6333, RECETTES!B:G, 6, FALSE)*E6333)</f>
        <v/>
      </c>
      <c r="J6333" s="8">
        <f>IF(G6333="","",G6333*0.20)</f>
        <v/>
      </c>
      <c r="K6333" s="8">
        <f>IF(G6333="","",G6333+J6333)</f>
        <v/>
      </c>
    </row>
    <row r="6334">
      <c r="F6334" s="8" t="n"/>
      <c r="G6334" s="8">
        <f>IF(E6334="","",E6334*F6334)</f>
        <v/>
      </c>
      <c r="H6334" s="8">
        <f>IF(G6334="","",G6334-I6334)</f>
        <v/>
      </c>
      <c r="I6334" s="8">
        <f>IF(D6334="","",VLOOKUP(D6334, RECETTES!B:G, 6, FALSE)*E6334)</f>
        <v/>
      </c>
      <c r="J6334" s="8">
        <f>IF(G6334="","",G6334*0.20)</f>
        <v/>
      </c>
      <c r="K6334" s="8">
        <f>IF(G6334="","",G6334+J6334)</f>
        <v/>
      </c>
    </row>
    <row r="6335">
      <c r="F6335" s="8" t="n"/>
      <c r="G6335" s="8">
        <f>IF(E6335="","",E6335*F6335)</f>
        <v/>
      </c>
      <c r="H6335" s="8">
        <f>IF(G6335="","",G6335-I6335)</f>
        <v/>
      </c>
      <c r="I6335" s="8">
        <f>IF(D6335="","",VLOOKUP(D6335, RECETTES!B:G, 6, FALSE)*E6335)</f>
        <v/>
      </c>
      <c r="J6335" s="8">
        <f>IF(G6335="","",G6335*0.20)</f>
        <v/>
      </c>
      <c r="K6335" s="8">
        <f>IF(G6335="","",G6335+J6335)</f>
        <v/>
      </c>
    </row>
    <row r="6336">
      <c r="F6336" s="8" t="n"/>
      <c r="G6336" s="8">
        <f>IF(E6336="","",E6336*F6336)</f>
        <v/>
      </c>
      <c r="H6336" s="8">
        <f>IF(G6336="","",G6336-I6336)</f>
        <v/>
      </c>
      <c r="I6336" s="8">
        <f>IF(D6336="","",VLOOKUP(D6336, RECETTES!B:G, 6, FALSE)*E6336)</f>
        <v/>
      </c>
      <c r="J6336" s="8">
        <f>IF(G6336="","",G6336*0.20)</f>
        <v/>
      </c>
      <c r="K6336" s="8">
        <f>IF(G6336="","",G6336+J6336)</f>
        <v/>
      </c>
    </row>
    <row r="6337">
      <c r="F6337" s="8" t="n"/>
      <c r="G6337" s="8">
        <f>IF(E6337="","",E6337*F6337)</f>
        <v/>
      </c>
      <c r="H6337" s="8">
        <f>IF(G6337="","",G6337-I6337)</f>
        <v/>
      </c>
      <c r="I6337" s="8">
        <f>IF(D6337="","",VLOOKUP(D6337, RECETTES!B:G, 6, FALSE)*E6337)</f>
        <v/>
      </c>
      <c r="J6337" s="8">
        <f>IF(G6337="","",G6337*0.20)</f>
        <v/>
      </c>
      <c r="K6337" s="8">
        <f>IF(G6337="","",G6337+J6337)</f>
        <v/>
      </c>
    </row>
    <row r="6338">
      <c r="F6338" s="8" t="n"/>
      <c r="G6338" s="8">
        <f>IF(E6338="","",E6338*F6338)</f>
        <v/>
      </c>
      <c r="H6338" s="8">
        <f>IF(G6338="","",G6338-I6338)</f>
        <v/>
      </c>
      <c r="I6338" s="8">
        <f>IF(D6338="","",VLOOKUP(D6338, RECETTES!B:G, 6, FALSE)*E6338)</f>
        <v/>
      </c>
      <c r="J6338" s="8">
        <f>IF(G6338="","",G6338*0.20)</f>
        <v/>
      </c>
      <c r="K6338" s="8">
        <f>IF(G6338="","",G6338+J6338)</f>
        <v/>
      </c>
    </row>
    <row r="6339">
      <c r="F6339" s="8" t="n"/>
      <c r="G6339" s="8">
        <f>IF(E6339="","",E6339*F6339)</f>
        <v/>
      </c>
      <c r="H6339" s="8">
        <f>IF(G6339="","",G6339-I6339)</f>
        <v/>
      </c>
      <c r="I6339" s="8">
        <f>IF(D6339="","",VLOOKUP(D6339, RECETTES!B:G, 6, FALSE)*E6339)</f>
        <v/>
      </c>
      <c r="J6339" s="8">
        <f>IF(G6339="","",G6339*0.20)</f>
        <v/>
      </c>
      <c r="K6339" s="8">
        <f>IF(G6339="","",G6339+J6339)</f>
        <v/>
      </c>
    </row>
    <row r="6340">
      <c r="F6340" s="8" t="n"/>
      <c r="G6340" s="8">
        <f>IF(E6340="","",E6340*F6340)</f>
        <v/>
      </c>
      <c r="H6340" s="8">
        <f>IF(G6340="","",G6340-I6340)</f>
        <v/>
      </c>
      <c r="I6340" s="8">
        <f>IF(D6340="","",VLOOKUP(D6340, RECETTES!B:G, 6, FALSE)*E6340)</f>
        <v/>
      </c>
      <c r="J6340" s="8">
        <f>IF(G6340="","",G6340*0.20)</f>
        <v/>
      </c>
      <c r="K6340" s="8">
        <f>IF(G6340="","",G6340+J6340)</f>
        <v/>
      </c>
    </row>
    <row r="6341">
      <c r="F6341" s="8" t="n"/>
      <c r="G6341" s="8">
        <f>IF(E6341="","",E6341*F6341)</f>
        <v/>
      </c>
      <c r="H6341" s="8">
        <f>IF(G6341="","",G6341-I6341)</f>
        <v/>
      </c>
      <c r="I6341" s="8">
        <f>IF(D6341="","",VLOOKUP(D6341, RECETTES!B:G, 6, FALSE)*E6341)</f>
        <v/>
      </c>
      <c r="J6341" s="8">
        <f>IF(G6341="","",G6341*0.20)</f>
        <v/>
      </c>
      <c r="K6341" s="8">
        <f>IF(G6341="","",G6341+J6341)</f>
        <v/>
      </c>
    </row>
    <row r="6342">
      <c r="F6342" s="8" t="n"/>
      <c r="G6342" s="8">
        <f>IF(E6342="","",E6342*F6342)</f>
        <v/>
      </c>
      <c r="H6342" s="8">
        <f>IF(G6342="","",G6342-I6342)</f>
        <v/>
      </c>
      <c r="I6342" s="8">
        <f>IF(D6342="","",VLOOKUP(D6342, RECETTES!B:G, 6, FALSE)*E6342)</f>
        <v/>
      </c>
      <c r="J6342" s="8">
        <f>IF(G6342="","",G6342*0.20)</f>
        <v/>
      </c>
      <c r="K6342" s="8">
        <f>IF(G6342="","",G6342+J6342)</f>
        <v/>
      </c>
    </row>
    <row r="6343">
      <c r="F6343" s="8" t="n"/>
      <c r="G6343" s="8">
        <f>IF(E6343="","",E6343*F6343)</f>
        <v/>
      </c>
      <c r="H6343" s="8">
        <f>IF(G6343="","",G6343-I6343)</f>
        <v/>
      </c>
      <c r="I6343" s="8">
        <f>IF(D6343="","",VLOOKUP(D6343, RECETTES!B:G, 6, FALSE)*E6343)</f>
        <v/>
      </c>
      <c r="J6343" s="8">
        <f>IF(G6343="","",G6343*0.20)</f>
        <v/>
      </c>
      <c r="K6343" s="8">
        <f>IF(G6343="","",G6343+J6343)</f>
        <v/>
      </c>
    </row>
    <row r="6344">
      <c r="F6344" s="8" t="n"/>
      <c r="G6344" s="8">
        <f>IF(E6344="","",E6344*F6344)</f>
        <v/>
      </c>
      <c r="H6344" s="8">
        <f>IF(G6344="","",G6344-I6344)</f>
        <v/>
      </c>
      <c r="I6344" s="8">
        <f>IF(D6344="","",VLOOKUP(D6344, RECETTES!B:G, 6, FALSE)*E6344)</f>
        <v/>
      </c>
      <c r="J6344" s="8">
        <f>IF(G6344="","",G6344*0.20)</f>
        <v/>
      </c>
      <c r="K6344" s="8">
        <f>IF(G6344="","",G6344+J6344)</f>
        <v/>
      </c>
    </row>
    <row r="6345">
      <c r="F6345" s="8" t="n"/>
      <c r="G6345" s="8">
        <f>IF(E6345="","",E6345*F6345)</f>
        <v/>
      </c>
      <c r="H6345" s="8">
        <f>IF(G6345="","",G6345-I6345)</f>
        <v/>
      </c>
      <c r="I6345" s="8">
        <f>IF(D6345="","",VLOOKUP(D6345, RECETTES!B:G, 6, FALSE)*E6345)</f>
        <v/>
      </c>
      <c r="J6345" s="8">
        <f>IF(G6345="","",G6345*0.20)</f>
        <v/>
      </c>
      <c r="K6345" s="8">
        <f>IF(G6345="","",G6345+J6345)</f>
        <v/>
      </c>
    </row>
    <row r="6346">
      <c r="F6346" s="8" t="n"/>
      <c r="G6346" s="8">
        <f>IF(E6346="","",E6346*F6346)</f>
        <v/>
      </c>
      <c r="H6346" s="8">
        <f>IF(G6346="","",G6346-I6346)</f>
        <v/>
      </c>
      <c r="I6346" s="8">
        <f>IF(D6346="","",VLOOKUP(D6346, RECETTES!B:G, 6, FALSE)*E6346)</f>
        <v/>
      </c>
      <c r="J6346" s="8">
        <f>IF(G6346="","",G6346*0.20)</f>
        <v/>
      </c>
      <c r="K6346" s="8">
        <f>IF(G6346="","",G6346+J6346)</f>
        <v/>
      </c>
    </row>
    <row r="6347">
      <c r="F6347" s="8" t="n"/>
      <c r="G6347" s="8">
        <f>IF(E6347="","",E6347*F6347)</f>
        <v/>
      </c>
      <c r="H6347" s="8">
        <f>IF(G6347="","",G6347-I6347)</f>
        <v/>
      </c>
      <c r="I6347" s="8">
        <f>IF(D6347="","",VLOOKUP(D6347, RECETTES!B:G, 6, FALSE)*E6347)</f>
        <v/>
      </c>
      <c r="J6347" s="8">
        <f>IF(G6347="","",G6347*0.20)</f>
        <v/>
      </c>
      <c r="K6347" s="8">
        <f>IF(G6347="","",G6347+J6347)</f>
        <v/>
      </c>
    </row>
    <row r="6348">
      <c r="F6348" s="8" t="n"/>
      <c r="G6348" s="8">
        <f>IF(E6348="","",E6348*F6348)</f>
        <v/>
      </c>
      <c r="H6348" s="8">
        <f>IF(G6348="","",G6348-I6348)</f>
        <v/>
      </c>
      <c r="I6348" s="8">
        <f>IF(D6348="","",VLOOKUP(D6348, RECETTES!B:G, 6, FALSE)*E6348)</f>
        <v/>
      </c>
      <c r="J6348" s="8">
        <f>IF(G6348="","",G6348*0.20)</f>
        <v/>
      </c>
      <c r="K6348" s="8">
        <f>IF(G6348="","",G6348+J6348)</f>
        <v/>
      </c>
    </row>
    <row r="6349">
      <c r="F6349" s="8" t="n"/>
      <c r="G6349" s="8">
        <f>IF(E6349="","",E6349*F6349)</f>
        <v/>
      </c>
      <c r="H6349" s="8">
        <f>IF(G6349="","",G6349-I6349)</f>
        <v/>
      </c>
      <c r="I6349" s="8">
        <f>IF(D6349="","",VLOOKUP(D6349, RECETTES!B:G, 6, FALSE)*E6349)</f>
        <v/>
      </c>
      <c r="J6349" s="8">
        <f>IF(G6349="","",G6349*0.20)</f>
        <v/>
      </c>
      <c r="K6349" s="8">
        <f>IF(G6349="","",G6349+J6349)</f>
        <v/>
      </c>
    </row>
    <row r="6350">
      <c r="F6350" s="8" t="n"/>
      <c r="G6350" s="8">
        <f>IF(E6350="","",E6350*F6350)</f>
        <v/>
      </c>
      <c r="H6350" s="8">
        <f>IF(G6350="","",G6350-I6350)</f>
        <v/>
      </c>
      <c r="I6350" s="8">
        <f>IF(D6350="","",VLOOKUP(D6350, RECETTES!B:G, 6, FALSE)*E6350)</f>
        <v/>
      </c>
      <c r="J6350" s="8">
        <f>IF(G6350="","",G6350*0.20)</f>
        <v/>
      </c>
      <c r="K6350" s="8">
        <f>IF(G6350="","",G6350+J6350)</f>
        <v/>
      </c>
    </row>
    <row r="6351">
      <c r="F6351" s="8" t="n"/>
      <c r="G6351" s="8">
        <f>IF(E6351="","",E6351*F6351)</f>
        <v/>
      </c>
      <c r="H6351" s="8">
        <f>IF(G6351="","",G6351-I6351)</f>
        <v/>
      </c>
      <c r="I6351" s="8">
        <f>IF(D6351="","",VLOOKUP(D6351, RECETTES!B:G, 6, FALSE)*E6351)</f>
        <v/>
      </c>
      <c r="J6351" s="8">
        <f>IF(G6351="","",G6351*0.20)</f>
        <v/>
      </c>
      <c r="K6351" s="8">
        <f>IF(G6351="","",G6351+J6351)</f>
        <v/>
      </c>
    </row>
    <row r="6352">
      <c r="F6352" s="8" t="n"/>
      <c r="G6352" s="8">
        <f>IF(E6352="","",E6352*F6352)</f>
        <v/>
      </c>
      <c r="H6352" s="8">
        <f>IF(G6352="","",G6352-I6352)</f>
        <v/>
      </c>
      <c r="I6352" s="8">
        <f>IF(D6352="","",VLOOKUP(D6352, RECETTES!B:G, 6, FALSE)*E6352)</f>
        <v/>
      </c>
      <c r="J6352" s="8">
        <f>IF(G6352="","",G6352*0.20)</f>
        <v/>
      </c>
      <c r="K6352" s="8">
        <f>IF(G6352="","",G6352+J6352)</f>
        <v/>
      </c>
    </row>
    <row r="6353">
      <c r="F6353" s="8" t="n"/>
      <c r="G6353" s="8">
        <f>IF(E6353="","",E6353*F6353)</f>
        <v/>
      </c>
      <c r="H6353" s="8">
        <f>IF(G6353="","",G6353-I6353)</f>
        <v/>
      </c>
      <c r="I6353" s="8">
        <f>IF(D6353="","",VLOOKUP(D6353, RECETTES!B:G, 6, FALSE)*E6353)</f>
        <v/>
      </c>
      <c r="J6353" s="8">
        <f>IF(G6353="","",G6353*0.20)</f>
        <v/>
      </c>
      <c r="K6353" s="8">
        <f>IF(G6353="","",G6353+J6353)</f>
        <v/>
      </c>
    </row>
    <row r="6354">
      <c r="F6354" s="8" t="n"/>
      <c r="G6354" s="8">
        <f>IF(E6354="","",E6354*F6354)</f>
        <v/>
      </c>
      <c r="H6354" s="8">
        <f>IF(G6354="","",G6354-I6354)</f>
        <v/>
      </c>
      <c r="I6354" s="8">
        <f>IF(D6354="","",VLOOKUP(D6354, RECETTES!B:G, 6, FALSE)*E6354)</f>
        <v/>
      </c>
      <c r="J6354" s="8">
        <f>IF(G6354="","",G6354*0.20)</f>
        <v/>
      </c>
      <c r="K6354" s="8">
        <f>IF(G6354="","",G6354+J6354)</f>
        <v/>
      </c>
    </row>
    <row r="6355">
      <c r="F6355" s="8" t="n"/>
      <c r="G6355" s="8">
        <f>IF(E6355="","",E6355*F6355)</f>
        <v/>
      </c>
      <c r="H6355" s="8">
        <f>IF(G6355="","",G6355-I6355)</f>
        <v/>
      </c>
      <c r="I6355" s="8">
        <f>IF(D6355="","",VLOOKUP(D6355, RECETTES!B:G, 6, FALSE)*E6355)</f>
        <v/>
      </c>
      <c r="J6355" s="8">
        <f>IF(G6355="","",G6355*0.20)</f>
        <v/>
      </c>
      <c r="K6355" s="8">
        <f>IF(G6355="","",G6355+J6355)</f>
        <v/>
      </c>
    </row>
    <row r="6356">
      <c r="F6356" s="8" t="n"/>
      <c r="G6356" s="8">
        <f>IF(E6356="","",E6356*F6356)</f>
        <v/>
      </c>
      <c r="H6356" s="8">
        <f>IF(G6356="","",G6356-I6356)</f>
        <v/>
      </c>
      <c r="I6356" s="8">
        <f>IF(D6356="","",VLOOKUP(D6356, RECETTES!B:G, 6, FALSE)*E6356)</f>
        <v/>
      </c>
      <c r="J6356" s="8">
        <f>IF(G6356="","",G6356*0.20)</f>
        <v/>
      </c>
      <c r="K6356" s="8">
        <f>IF(G6356="","",G6356+J6356)</f>
        <v/>
      </c>
    </row>
    <row r="6357">
      <c r="F6357" s="8" t="n"/>
      <c r="G6357" s="8">
        <f>IF(E6357="","",E6357*F6357)</f>
        <v/>
      </c>
      <c r="H6357" s="8">
        <f>IF(G6357="","",G6357-I6357)</f>
        <v/>
      </c>
      <c r="I6357" s="8">
        <f>IF(D6357="","",VLOOKUP(D6357, RECETTES!B:G, 6, FALSE)*E6357)</f>
        <v/>
      </c>
      <c r="J6357" s="8">
        <f>IF(G6357="","",G6357*0.20)</f>
        <v/>
      </c>
      <c r="K6357" s="8">
        <f>IF(G6357="","",G6357+J6357)</f>
        <v/>
      </c>
    </row>
    <row r="6358">
      <c r="F6358" s="8" t="n"/>
      <c r="G6358" s="8">
        <f>IF(E6358="","",E6358*F6358)</f>
        <v/>
      </c>
      <c r="H6358" s="8">
        <f>IF(G6358="","",G6358-I6358)</f>
        <v/>
      </c>
      <c r="I6358" s="8">
        <f>IF(D6358="","",VLOOKUP(D6358, RECETTES!B:G, 6, FALSE)*E6358)</f>
        <v/>
      </c>
      <c r="J6358" s="8">
        <f>IF(G6358="","",G6358*0.20)</f>
        <v/>
      </c>
      <c r="K6358" s="8">
        <f>IF(G6358="","",G6358+J6358)</f>
        <v/>
      </c>
    </row>
    <row r="6359">
      <c r="F6359" s="8" t="n"/>
      <c r="G6359" s="8">
        <f>IF(E6359="","",E6359*F6359)</f>
        <v/>
      </c>
      <c r="H6359" s="8">
        <f>IF(G6359="","",G6359-I6359)</f>
        <v/>
      </c>
      <c r="I6359" s="8">
        <f>IF(D6359="","",VLOOKUP(D6359, RECETTES!B:G, 6, FALSE)*E6359)</f>
        <v/>
      </c>
      <c r="J6359" s="8">
        <f>IF(G6359="","",G6359*0.20)</f>
        <v/>
      </c>
      <c r="K6359" s="8">
        <f>IF(G6359="","",G6359+J6359)</f>
        <v/>
      </c>
    </row>
    <row r="6360">
      <c r="F6360" s="8" t="n"/>
      <c r="G6360" s="8">
        <f>IF(E6360="","",E6360*F6360)</f>
        <v/>
      </c>
      <c r="H6360" s="8">
        <f>IF(G6360="","",G6360-I6360)</f>
        <v/>
      </c>
      <c r="I6360" s="8">
        <f>IF(D6360="","",VLOOKUP(D6360, RECETTES!B:G, 6, FALSE)*E6360)</f>
        <v/>
      </c>
      <c r="J6360" s="8">
        <f>IF(G6360="","",G6360*0.20)</f>
        <v/>
      </c>
      <c r="K6360" s="8">
        <f>IF(G6360="","",G6360+J6360)</f>
        <v/>
      </c>
    </row>
    <row r="6361">
      <c r="F6361" s="8" t="n"/>
      <c r="G6361" s="8">
        <f>IF(E6361="","",E6361*F6361)</f>
        <v/>
      </c>
      <c r="H6361" s="8">
        <f>IF(G6361="","",G6361-I6361)</f>
        <v/>
      </c>
      <c r="I6361" s="8">
        <f>IF(D6361="","",VLOOKUP(D6361, RECETTES!B:G, 6, FALSE)*E6361)</f>
        <v/>
      </c>
      <c r="J6361" s="8">
        <f>IF(G6361="","",G6361*0.20)</f>
        <v/>
      </c>
      <c r="K6361" s="8">
        <f>IF(G6361="","",G6361+J6361)</f>
        <v/>
      </c>
    </row>
    <row r="6362">
      <c r="F6362" s="8" t="n"/>
      <c r="G6362" s="8">
        <f>IF(E6362="","",E6362*F6362)</f>
        <v/>
      </c>
      <c r="H6362" s="8">
        <f>IF(G6362="","",G6362-I6362)</f>
        <v/>
      </c>
      <c r="I6362" s="8">
        <f>IF(D6362="","",VLOOKUP(D6362, RECETTES!B:G, 6, FALSE)*E6362)</f>
        <v/>
      </c>
      <c r="J6362" s="8">
        <f>IF(G6362="","",G6362*0.20)</f>
        <v/>
      </c>
      <c r="K6362" s="8">
        <f>IF(G6362="","",G6362+J6362)</f>
        <v/>
      </c>
    </row>
    <row r="6363">
      <c r="F6363" s="8" t="n"/>
      <c r="G6363" s="8">
        <f>IF(E6363="","",E6363*F6363)</f>
        <v/>
      </c>
      <c r="H6363" s="8">
        <f>IF(G6363="","",G6363-I6363)</f>
        <v/>
      </c>
      <c r="I6363" s="8">
        <f>IF(D6363="","",VLOOKUP(D6363, RECETTES!B:G, 6, FALSE)*E6363)</f>
        <v/>
      </c>
      <c r="J6363" s="8">
        <f>IF(G6363="","",G6363*0.20)</f>
        <v/>
      </c>
      <c r="K6363" s="8">
        <f>IF(G6363="","",G6363+J6363)</f>
        <v/>
      </c>
    </row>
    <row r="6364">
      <c r="F6364" s="8" t="n"/>
      <c r="G6364" s="8">
        <f>IF(E6364="","",E6364*F6364)</f>
        <v/>
      </c>
      <c r="H6364" s="8">
        <f>IF(G6364="","",G6364-I6364)</f>
        <v/>
      </c>
      <c r="I6364" s="8">
        <f>IF(D6364="","",VLOOKUP(D6364, RECETTES!B:G, 6, FALSE)*E6364)</f>
        <v/>
      </c>
      <c r="J6364" s="8">
        <f>IF(G6364="","",G6364*0.20)</f>
        <v/>
      </c>
      <c r="K6364" s="8">
        <f>IF(G6364="","",G6364+J6364)</f>
        <v/>
      </c>
    </row>
    <row r="6365">
      <c r="F6365" s="8" t="n"/>
      <c r="G6365" s="8">
        <f>IF(E6365="","",E6365*F6365)</f>
        <v/>
      </c>
      <c r="H6365" s="8">
        <f>IF(G6365="","",G6365-I6365)</f>
        <v/>
      </c>
      <c r="I6365" s="8">
        <f>IF(D6365="","",VLOOKUP(D6365, RECETTES!B:G, 6, FALSE)*E6365)</f>
        <v/>
      </c>
      <c r="J6365" s="8">
        <f>IF(G6365="","",G6365*0.20)</f>
        <v/>
      </c>
      <c r="K6365" s="8">
        <f>IF(G6365="","",G6365+J6365)</f>
        <v/>
      </c>
    </row>
    <row r="6366">
      <c r="F6366" s="8" t="n"/>
      <c r="G6366" s="8">
        <f>IF(E6366="","",E6366*F6366)</f>
        <v/>
      </c>
      <c r="H6366" s="8">
        <f>IF(G6366="","",G6366-I6366)</f>
        <v/>
      </c>
      <c r="I6366" s="8">
        <f>IF(D6366="","",VLOOKUP(D6366, RECETTES!B:G, 6, FALSE)*E6366)</f>
        <v/>
      </c>
      <c r="J6366" s="8">
        <f>IF(G6366="","",G6366*0.20)</f>
        <v/>
      </c>
      <c r="K6366" s="8">
        <f>IF(G6366="","",G6366+J6366)</f>
        <v/>
      </c>
    </row>
    <row r="6367">
      <c r="F6367" s="8" t="n"/>
      <c r="G6367" s="8">
        <f>IF(E6367="","",E6367*F6367)</f>
        <v/>
      </c>
      <c r="H6367" s="8">
        <f>IF(G6367="","",G6367-I6367)</f>
        <v/>
      </c>
      <c r="I6367" s="8">
        <f>IF(D6367="","",VLOOKUP(D6367, RECETTES!B:G, 6, FALSE)*E6367)</f>
        <v/>
      </c>
      <c r="J6367" s="8">
        <f>IF(G6367="","",G6367*0.20)</f>
        <v/>
      </c>
      <c r="K6367" s="8">
        <f>IF(G6367="","",G6367+J6367)</f>
        <v/>
      </c>
    </row>
    <row r="6368">
      <c r="F6368" s="8" t="n"/>
      <c r="G6368" s="8">
        <f>IF(E6368="","",E6368*F6368)</f>
        <v/>
      </c>
      <c r="H6368" s="8">
        <f>IF(G6368="","",G6368-I6368)</f>
        <v/>
      </c>
      <c r="I6368" s="8">
        <f>IF(D6368="","",VLOOKUP(D6368, RECETTES!B:G, 6, FALSE)*E6368)</f>
        <v/>
      </c>
      <c r="J6368" s="8">
        <f>IF(G6368="","",G6368*0.20)</f>
        <v/>
      </c>
      <c r="K6368" s="8">
        <f>IF(G6368="","",G6368+J6368)</f>
        <v/>
      </c>
    </row>
    <row r="6369">
      <c r="F6369" s="8" t="n"/>
      <c r="G6369" s="8">
        <f>IF(E6369="","",E6369*F6369)</f>
        <v/>
      </c>
      <c r="H6369" s="8">
        <f>IF(G6369="","",G6369-I6369)</f>
        <v/>
      </c>
      <c r="I6369" s="8">
        <f>IF(D6369="","",VLOOKUP(D6369, RECETTES!B:G, 6, FALSE)*E6369)</f>
        <v/>
      </c>
      <c r="J6369" s="8">
        <f>IF(G6369="","",G6369*0.20)</f>
        <v/>
      </c>
      <c r="K6369" s="8">
        <f>IF(G6369="","",G6369+J6369)</f>
        <v/>
      </c>
    </row>
    <row r="6370">
      <c r="F6370" s="8" t="n"/>
      <c r="G6370" s="8">
        <f>IF(E6370="","",E6370*F6370)</f>
        <v/>
      </c>
      <c r="H6370" s="8">
        <f>IF(G6370="","",G6370-I6370)</f>
        <v/>
      </c>
      <c r="I6370" s="8">
        <f>IF(D6370="","",VLOOKUP(D6370, RECETTES!B:G, 6, FALSE)*E6370)</f>
        <v/>
      </c>
      <c r="J6370" s="8">
        <f>IF(G6370="","",G6370*0.20)</f>
        <v/>
      </c>
      <c r="K6370" s="8">
        <f>IF(G6370="","",G6370+J6370)</f>
        <v/>
      </c>
    </row>
    <row r="6371">
      <c r="F6371" s="8" t="n"/>
      <c r="G6371" s="8">
        <f>IF(E6371="","",E6371*F6371)</f>
        <v/>
      </c>
      <c r="H6371" s="8">
        <f>IF(G6371="","",G6371-I6371)</f>
        <v/>
      </c>
      <c r="I6371" s="8">
        <f>IF(D6371="","",VLOOKUP(D6371, RECETTES!B:G, 6, FALSE)*E6371)</f>
        <v/>
      </c>
      <c r="J6371" s="8">
        <f>IF(G6371="","",G6371*0.20)</f>
        <v/>
      </c>
      <c r="K6371" s="8">
        <f>IF(G6371="","",G6371+J6371)</f>
        <v/>
      </c>
    </row>
    <row r="6372">
      <c r="F6372" s="8" t="n"/>
      <c r="G6372" s="8">
        <f>IF(E6372="","",E6372*F6372)</f>
        <v/>
      </c>
      <c r="H6372" s="8">
        <f>IF(G6372="","",G6372-I6372)</f>
        <v/>
      </c>
      <c r="I6372" s="8">
        <f>IF(D6372="","",VLOOKUP(D6372, RECETTES!B:G, 6, FALSE)*E6372)</f>
        <v/>
      </c>
      <c r="J6372" s="8">
        <f>IF(G6372="","",G6372*0.20)</f>
        <v/>
      </c>
      <c r="K6372" s="8">
        <f>IF(G6372="","",G6372+J6372)</f>
        <v/>
      </c>
    </row>
    <row r="6373">
      <c r="F6373" s="8" t="n"/>
      <c r="G6373" s="8">
        <f>IF(E6373="","",E6373*F6373)</f>
        <v/>
      </c>
      <c r="H6373" s="8">
        <f>IF(G6373="","",G6373-I6373)</f>
        <v/>
      </c>
      <c r="I6373" s="8">
        <f>IF(D6373="","",VLOOKUP(D6373, RECETTES!B:G, 6, FALSE)*E6373)</f>
        <v/>
      </c>
      <c r="J6373" s="8">
        <f>IF(G6373="","",G6373*0.20)</f>
        <v/>
      </c>
      <c r="K6373" s="8">
        <f>IF(G6373="","",G6373+J6373)</f>
        <v/>
      </c>
    </row>
    <row r="6374">
      <c r="F6374" s="8" t="n"/>
      <c r="G6374" s="8">
        <f>IF(E6374="","",E6374*F6374)</f>
        <v/>
      </c>
      <c r="H6374" s="8">
        <f>IF(G6374="","",G6374-I6374)</f>
        <v/>
      </c>
      <c r="I6374" s="8">
        <f>IF(D6374="","",VLOOKUP(D6374, RECETTES!B:G, 6, FALSE)*E6374)</f>
        <v/>
      </c>
      <c r="J6374" s="8">
        <f>IF(G6374="","",G6374*0.20)</f>
        <v/>
      </c>
      <c r="K6374" s="8">
        <f>IF(G6374="","",G6374+J6374)</f>
        <v/>
      </c>
    </row>
    <row r="6375">
      <c r="F6375" s="8" t="n"/>
      <c r="G6375" s="8">
        <f>IF(E6375="","",E6375*F6375)</f>
        <v/>
      </c>
      <c r="H6375" s="8">
        <f>IF(G6375="","",G6375-I6375)</f>
        <v/>
      </c>
      <c r="I6375" s="8">
        <f>IF(D6375="","",VLOOKUP(D6375, RECETTES!B:G, 6, FALSE)*E6375)</f>
        <v/>
      </c>
      <c r="J6375" s="8">
        <f>IF(G6375="","",G6375*0.20)</f>
        <v/>
      </c>
      <c r="K6375" s="8">
        <f>IF(G6375="","",G6375+J6375)</f>
        <v/>
      </c>
    </row>
    <row r="6376">
      <c r="F6376" s="8" t="n"/>
      <c r="G6376" s="8">
        <f>IF(E6376="","",E6376*F6376)</f>
        <v/>
      </c>
      <c r="H6376" s="8">
        <f>IF(G6376="","",G6376-I6376)</f>
        <v/>
      </c>
      <c r="I6376" s="8">
        <f>IF(D6376="","",VLOOKUP(D6376, RECETTES!B:G, 6, FALSE)*E6376)</f>
        <v/>
      </c>
      <c r="J6376" s="8">
        <f>IF(G6376="","",G6376*0.20)</f>
        <v/>
      </c>
      <c r="K6376" s="8">
        <f>IF(G6376="","",G6376+J6376)</f>
        <v/>
      </c>
    </row>
    <row r="6377">
      <c r="F6377" s="8" t="n"/>
      <c r="G6377" s="8">
        <f>IF(E6377="","",E6377*F6377)</f>
        <v/>
      </c>
      <c r="H6377" s="8">
        <f>IF(G6377="","",G6377-I6377)</f>
        <v/>
      </c>
      <c r="I6377" s="8">
        <f>IF(D6377="","",VLOOKUP(D6377, RECETTES!B:G, 6, FALSE)*E6377)</f>
        <v/>
      </c>
      <c r="J6377" s="8">
        <f>IF(G6377="","",G6377*0.20)</f>
        <v/>
      </c>
      <c r="K6377" s="8">
        <f>IF(G6377="","",G6377+J6377)</f>
        <v/>
      </c>
    </row>
    <row r="6378">
      <c r="F6378" s="8" t="n"/>
      <c r="G6378" s="8">
        <f>IF(E6378="","",E6378*F6378)</f>
        <v/>
      </c>
      <c r="H6378" s="8">
        <f>IF(G6378="","",G6378-I6378)</f>
        <v/>
      </c>
      <c r="I6378" s="8">
        <f>IF(D6378="","",VLOOKUP(D6378, RECETTES!B:G, 6, FALSE)*E6378)</f>
        <v/>
      </c>
      <c r="J6378" s="8">
        <f>IF(G6378="","",G6378*0.20)</f>
        <v/>
      </c>
      <c r="K6378" s="8">
        <f>IF(G6378="","",G6378+J6378)</f>
        <v/>
      </c>
    </row>
    <row r="6379">
      <c r="F6379" s="8" t="n"/>
      <c r="G6379" s="8">
        <f>IF(E6379="","",E6379*F6379)</f>
        <v/>
      </c>
      <c r="H6379" s="8">
        <f>IF(G6379="","",G6379-I6379)</f>
        <v/>
      </c>
      <c r="I6379" s="8">
        <f>IF(D6379="","",VLOOKUP(D6379, RECETTES!B:G, 6, FALSE)*E6379)</f>
        <v/>
      </c>
      <c r="J6379" s="8">
        <f>IF(G6379="","",G6379*0.20)</f>
        <v/>
      </c>
      <c r="K6379" s="8">
        <f>IF(G6379="","",G6379+J6379)</f>
        <v/>
      </c>
    </row>
    <row r="6380">
      <c r="F6380" s="8" t="n"/>
      <c r="G6380" s="8">
        <f>IF(E6380="","",E6380*F6380)</f>
        <v/>
      </c>
      <c r="H6380" s="8">
        <f>IF(G6380="","",G6380-I6380)</f>
        <v/>
      </c>
      <c r="I6380" s="8">
        <f>IF(D6380="","",VLOOKUP(D6380, RECETTES!B:G, 6, FALSE)*E6380)</f>
        <v/>
      </c>
      <c r="J6380" s="8">
        <f>IF(G6380="","",G6380*0.20)</f>
        <v/>
      </c>
      <c r="K6380" s="8">
        <f>IF(G6380="","",G6380+J6380)</f>
        <v/>
      </c>
    </row>
    <row r="6381">
      <c r="F6381" s="8" t="n"/>
      <c r="G6381" s="8">
        <f>IF(E6381="","",E6381*F6381)</f>
        <v/>
      </c>
      <c r="H6381" s="8">
        <f>IF(G6381="","",G6381-I6381)</f>
        <v/>
      </c>
      <c r="I6381" s="8">
        <f>IF(D6381="","",VLOOKUP(D6381, RECETTES!B:G, 6, FALSE)*E6381)</f>
        <v/>
      </c>
      <c r="J6381" s="8">
        <f>IF(G6381="","",G6381*0.20)</f>
        <v/>
      </c>
      <c r="K6381" s="8">
        <f>IF(G6381="","",G6381+J6381)</f>
        <v/>
      </c>
    </row>
    <row r="6382">
      <c r="F6382" s="8" t="n"/>
      <c r="G6382" s="8">
        <f>IF(E6382="","",E6382*F6382)</f>
        <v/>
      </c>
      <c r="H6382" s="8">
        <f>IF(G6382="","",G6382-I6382)</f>
        <v/>
      </c>
      <c r="I6382" s="8">
        <f>IF(D6382="","",VLOOKUP(D6382, RECETTES!B:G, 6, FALSE)*E6382)</f>
        <v/>
      </c>
      <c r="J6382" s="8">
        <f>IF(G6382="","",G6382*0.20)</f>
        <v/>
      </c>
      <c r="K6382" s="8">
        <f>IF(G6382="","",G6382+J6382)</f>
        <v/>
      </c>
    </row>
    <row r="6383">
      <c r="F6383" s="8" t="n"/>
      <c r="G6383" s="8">
        <f>IF(E6383="","",E6383*F6383)</f>
        <v/>
      </c>
      <c r="H6383" s="8">
        <f>IF(G6383="","",G6383-I6383)</f>
        <v/>
      </c>
      <c r="I6383" s="8">
        <f>IF(D6383="","",VLOOKUP(D6383, RECETTES!B:G, 6, FALSE)*E6383)</f>
        <v/>
      </c>
      <c r="J6383" s="8">
        <f>IF(G6383="","",G6383*0.20)</f>
        <v/>
      </c>
      <c r="K6383" s="8">
        <f>IF(G6383="","",G6383+J6383)</f>
        <v/>
      </c>
    </row>
    <row r="6384">
      <c r="F6384" s="8" t="n"/>
      <c r="G6384" s="8">
        <f>IF(E6384="","",E6384*F6384)</f>
        <v/>
      </c>
      <c r="H6384" s="8">
        <f>IF(G6384="","",G6384-I6384)</f>
        <v/>
      </c>
      <c r="I6384" s="8">
        <f>IF(D6384="","",VLOOKUP(D6384, RECETTES!B:G, 6, FALSE)*E6384)</f>
        <v/>
      </c>
      <c r="J6384" s="8">
        <f>IF(G6384="","",G6384*0.20)</f>
        <v/>
      </c>
      <c r="K6384" s="8">
        <f>IF(G6384="","",G6384+J6384)</f>
        <v/>
      </c>
    </row>
    <row r="6385">
      <c r="F6385" s="8" t="n"/>
      <c r="G6385" s="8">
        <f>IF(E6385="","",E6385*F6385)</f>
        <v/>
      </c>
      <c r="H6385" s="8">
        <f>IF(G6385="","",G6385-I6385)</f>
        <v/>
      </c>
      <c r="I6385" s="8">
        <f>IF(D6385="","",VLOOKUP(D6385, RECETTES!B:G, 6, FALSE)*E6385)</f>
        <v/>
      </c>
      <c r="J6385" s="8">
        <f>IF(G6385="","",G6385*0.20)</f>
        <v/>
      </c>
      <c r="K6385" s="8">
        <f>IF(G6385="","",G6385+J6385)</f>
        <v/>
      </c>
    </row>
    <row r="6386">
      <c r="F6386" s="8" t="n"/>
      <c r="G6386" s="8">
        <f>IF(E6386="","",E6386*F6386)</f>
        <v/>
      </c>
      <c r="H6386" s="8">
        <f>IF(G6386="","",G6386-I6386)</f>
        <v/>
      </c>
      <c r="I6386" s="8">
        <f>IF(D6386="","",VLOOKUP(D6386, RECETTES!B:G, 6, FALSE)*E6386)</f>
        <v/>
      </c>
      <c r="J6386" s="8">
        <f>IF(G6386="","",G6386*0.20)</f>
        <v/>
      </c>
      <c r="K6386" s="8">
        <f>IF(G6386="","",G6386+J6386)</f>
        <v/>
      </c>
    </row>
    <row r="6387">
      <c r="F6387" s="8" t="n"/>
      <c r="G6387" s="8">
        <f>IF(E6387="","",E6387*F6387)</f>
        <v/>
      </c>
      <c r="H6387" s="8">
        <f>IF(G6387="","",G6387-I6387)</f>
        <v/>
      </c>
      <c r="I6387" s="8">
        <f>IF(D6387="","",VLOOKUP(D6387, RECETTES!B:G, 6, FALSE)*E6387)</f>
        <v/>
      </c>
      <c r="J6387" s="8">
        <f>IF(G6387="","",G6387*0.20)</f>
        <v/>
      </c>
      <c r="K6387" s="8">
        <f>IF(G6387="","",G6387+J6387)</f>
        <v/>
      </c>
    </row>
    <row r="6388">
      <c r="F6388" s="8" t="n"/>
      <c r="G6388" s="8">
        <f>IF(E6388="","",E6388*F6388)</f>
        <v/>
      </c>
      <c r="H6388" s="8">
        <f>IF(G6388="","",G6388-I6388)</f>
        <v/>
      </c>
      <c r="I6388" s="8">
        <f>IF(D6388="","",VLOOKUP(D6388, RECETTES!B:G, 6, FALSE)*E6388)</f>
        <v/>
      </c>
      <c r="J6388" s="8">
        <f>IF(G6388="","",G6388*0.20)</f>
        <v/>
      </c>
      <c r="K6388" s="8">
        <f>IF(G6388="","",G6388+J6388)</f>
        <v/>
      </c>
    </row>
    <row r="6389">
      <c r="F6389" s="8" t="n"/>
      <c r="G6389" s="8">
        <f>IF(E6389="","",E6389*F6389)</f>
        <v/>
      </c>
      <c r="H6389" s="8">
        <f>IF(G6389="","",G6389-I6389)</f>
        <v/>
      </c>
      <c r="I6389" s="8">
        <f>IF(D6389="","",VLOOKUP(D6389, RECETTES!B:G, 6, FALSE)*E6389)</f>
        <v/>
      </c>
      <c r="J6389" s="8">
        <f>IF(G6389="","",G6389*0.20)</f>
        <v/>
      </c>
      <c r="K6389" s="8">
        <f>IF(G6389="","",G6389+J6389)</f>
        <v/>
      </c>
    </row>
    <row r="6390">
      <c r="F6390" s="8" t="n"/>
      <c r="G6390" s="8">
        <f>IF(E6390="","",E6390*F6390)</f>
        <v/>
      </c>
      <c r="H6390" s="8">
        <f>IF(G6390="","",G6390-I6390)</f>
        <v/>
      </c>
      <c r="I6390" s="8">
        <f>IF(D6390="","",VLOOKUP(D6390, RECETTES!B:G, 6, FALSE)*E6390)</f>
        <v/>
      </c>
      <c r="J6390" s="8">
        <f>IF(G6390="","",G6390*0.20)</f>
        <v/>
      </c>
      <c r="K6390" s="8">
        <f>IF(G6390="","",G6390+J6390)</f>
        <v/>
      </c>
    </row>
    <row r="6391">
      <c r="F6391" s="8" t="n"/>
      <c r="G6391" s="8">
        <f>IF(E6391="","",E6391*F6391)</f>
        <v/>
      </c>
      <c r="H6391" s="8">
        <f>IF(G6391="","",G6391-I6391)</f>
        <v/>
      </c>
      <c r="I6391" s="8">
        <f>IF(D6391="","",VLOOKUP(D6391, RECETTES!B:G, 6, FALSE)*E6391)</f>
        <v/>
      </c>
      <c r="J6391" s="8">
        <f>IF(G6391="","",G6391*0.20)</f>
        <v/>
      </c>
      <c r="K6391" s="8">
        <f>IF(G6391="","",G6391+J6391)</f>
        <v/>
      </c>
    </row>
    <row r="6392">
      <c r="F6392" s="8" t="n"/>
      <c r="G6392" s="8">
        <f>IF(E6392="","",E6392*F6392)</f>
        <v/>
      </c>
      <c r="H6392" s="8">
        <f>IF(G6392="","",G6392-I6392)</f>
        <v/>
      </c>
      <c r="I6392" s="8">
        <f>IF(D6392="","",VLOOKUP(D6392, RECETTES!B:G, 6, FALSE)*E6392)</f>
        <v/>
      </c>
      <c r="J6392" s="8">
        <f>IF(G6392="","",G6392*0.20)</f>
        <v/>
      </c>
      <c r="K6392" s="8">
        <f>IF(G6392="","",G6392+J6392)</f>
        <v/>
      </c>
    </row>
    <row r="6393">
      <c r="F6393" s="8" t="n"/>
      <c r="G6393" s="8">
        <f>IF(E6393="","",E6393*F6393)</f>
        <v/>
      </c>
      <c r="H6393" s="8">
        <f>IF(G6393="","",G6393-I6393)</f>
        <v/>
      </c>
      <c r="I6393" s="8">
        <f>IF(D6393="","",VLOOKUP(D6393, RECETTES!B:G, 6, FALSE)*E6393)</f>
        <v/>
      </c>
      <c r="J6393" s="8">
        <f>IF(G6393="","",G6393*0.20)</f>
        <v/>
      </c>
      <c r="K6393" s="8">
        <f>IF(G6393="","",G6393+J6393)</f>
        <v/>
      </c>
    </row>
    <row r="6394">
      <c r="F6394" s="8" t="n"/>
      <c r="G6394" s="8">
        <f>IF(E6394="","",E6394*F6394)</f>
        <v/>
      </c>
      <c r="H6394" s="8">
        <f>IF(G6394="","",G6394-I6394)</f>
        <v/>
      </c>
      <c r="I6394" s="8">
        <f>IF(D6394="","",VLOOKUP(D6394, RECETTES!B:G, 6, FALSE)*E6394)</f>
        <v/>
      </c>
      <c r="J6394" s="8">
        <f>IF(G6394="","",G6394*0.20)</f>
        <v/>
      </c>
      <c r="K6394" s="8">
        <f>IF(G6394="","",G6394+J6394)</f>
        <v/>
      </c>
    </row>
    <row r="6395">
      <c r="F6395" s="8" t="n"/>
      <c r="G6395" s="8">
        <f>IF(E6395="","",E6395*F6395)</f>
        <v/>
      </c>
      <c r="H6395" s="8">
        <f>IF(G6395="","",G6395-I6395)</f>
        <v/>
      </c>
      <c r="I6395" s="8">
        <f>IF(D6395="","",VLOOKUP(D6395, RECETTES!B:G, 6, FALSE)*E6395)</f>
        <v/>
      </c>
      <c r="J6395" s="8">
        <f>IF(G6395="","",G6395*0.20)</f>
        <v/>
      </c>
      <c r="K6395" s="8">
        <f>IF(G6395="","",G6395+J6395)</f>
        <v/>
      </c>
    </row>
    <row r="6396">
      <c r="F6396" s="8" t="n"/>
      <c r="G6396" s="8">
        <f>IF(E6396="","",E6396*F6396)</f>
        <v/>
      </c>
      <c r="H6396" s="8">
        <f>IF(G6396="","",G6396-I6396)</f>
        <v/>
      </c>
      <c r="I6396" s="8">
        <f>IF(D6396="","",VLOOKUP(D6396, RECETTES!B:G, 6, FALSE)*E6396)</f>
        <v/>
      </c>
      <c r="J6396" s="8">
        <f>IF(G6396="","",G6396*0.20)</f>
        <v/>
      </c>
      <c r="K6396" s="8">
        <f>IF(G6396="","",G6396+J6396)</f>
        <v/>
      </c>
    </row>
    <row r="6397">
      <c r="F6397" s="8" t="n"/>
      <c r="G6397" s="8">
        <f>IF(E6397="","",E6397*F6397)</f>
        <v/>
      </c>
      <c r="H6397" s="8">
        <f>IF(G6397="","",G6397-I6397)</f>
        <v/>
      </c>
      <c r="I6397" s="8">
        <f>IF(D6397="","",VLOOKUP(D6397, RECETTES!B:G, 6, FALSE)*E6397)</f>
        <v/>
      </c>
      <c r="J6397" s="8">
        <f>IF(G6397="","",G6397*0.20)</f>
        <v/>
      </c>
      <c r="K6397" s="8">
        <f>IF(G6397="","",G6397+J6397)</f>
        <v/>
      </c>
    </row>
    <row r="6398">
      <c r="F6398" s="8" t="n"/>
      <c r="G6398" s="8">
        <f>IF(E6398="","",E6398*F6398)</f>
        <v/>
      </c>
      <c r="H6398" s="8">
        <f>IF(G6398="","",G6398-I6398)</f>
        <v/>
      </c>
      <c r="I6398" s="8">
        <f>IF(D6398="","",VLOOKUP(D6398, RECETTES!B:G, 6, FALSE)*E6398)</f>
        <v/>
      </c>
      <c r="J6398" s="8">
        <f>IF(G6398="","",G6398*0.20)</f>
        <v/>
      </c>
      <c r="K6398" s="8">
        <f>IF(G6398="","",G6398+J6398)</f>
        <v/>
      </c>
    </row>
    <row r="6399">
      <c r="F6399" s="8" t="n"/>
      <c r="G6399" s="8">
        <f>IF(E6399="","",E6399*F6399)</f>
        <v/>
      </c>
      <c r="H6399" s="8">
        <f>IF(G6399="","",G6399-I6399)</f>
        <v/>
      </c>
      <c r="I6399" s="8">
        <f>IF(D6399="","",VLOOKUP(D6399, RECETTES!B:G, 6, FALSE)*E6399)</f>
        <v/>
      </c>
      <c r="J6399" s="8">
        <f>IF(G6399="","",G6399*0.20)</f>
        <v/>
      </c>
      <c r="K6399" s="8">
        <f>IF(G6399="","",G6399+J6399)</f>
        <v/>
      </c>
    </row>
    <row r="6400">
      <c r="F6400" s="8" t="n"/>
      <c r="G6400" s="8">
        <f>IF(E6400="","",E6400*F6400)</f>
        <v/>
      </c>
      <c r="H6400" s="8">
        <f>IF(G6400="","",G6400-I6400)</f>
        <v/>
      </c>
      <c r="I6400" s="8">
        <f>IF(D6400="","",VLOOKUP(D6400, RECETTES!B:G, 6, FALSE)*E6400)</f>
        <v/>
      </c>
      <c r="J6400" s="8">
        <f>IF(G6400="","",G6400*0.20)</f>
        <v/>
      </c>
      <c r="K6400" s="8">
        <f>IF(G6400="","",G6400+J6400)</f>
        <v/>
      </c>
    </row>
    <row r="6401">
      <c r="F6401" s="8" t="n"/>
      <c r="G6401" s="8">
        <f>IF(E6401="","",E6401*F6401)</f>
        <v/>
      </c>
      <c r="H6401" s="8">
        <f>IF(G6401="","",G6401-I6401)</f>
        <v/>
      </c>
      <c r="I6401" s="8">
        <f>IF(D6401="","",VLOOKUP(D6401, RECETTES!B:G, 6, FALSE)*E6401)</f>
        <v/>
      </c>
      <c r="J6401" s="8">
        <f>IF(G6401="","",G6401*0.20)</f>
        <v/>
      </c>
      <c r="K6401" s="8">
        <f>IF(G6401="","",G6401+J6401)</f>
        <v/>
      </c>
    </row>
    <row r="6402">
      <c r="F6402" s="8" t="n"/>
      <c r="G6402" s="8">
        <f>IF(E6402="","",E6402*F6402)</f>
        <v/>
      </c>
      <c r="H6402" s="8">
        <f>IF(G6402="","",G6402-I6402)</f>
        <v/>
      </c>
      <c r="I6402" s="8">
        <f>IF(D6402="","",VLOOKUP(D6402, RECETTES!B:G, 6, FALSE)*E6402)</f>
        <v/>
      </c>
      <c r="J6402" s="8">
        <f>IF(G6402="","",G6402*0.20)</f>
        <v/>
      </c>
      <c r="K6402" s="8">
        <f>IF(G6402="","",G6402+J6402)</f>
        <v/>
      </c>
    </row>
    <row r="6403">
      <c r="F6403" s="8" t="n"/>
      <c r="G6403" s="8">
        <f>IF(E6403="","",E6403*F6403)</f>
        <v/>
      </c>
      <c r="H6403" s="8">
        <f>IF(G6403="","",G6403-I6403)</f>
        <v/>
      </c>
      <c r="I6403" s="8">
        <f>IF(D6403="","",VLOOKUP(D6403, RECETTES!B:G, 6, FALSE)*E6403)</f>
        <v/>
      </c>
      <c r="J6403" s="8">
        <f>IF(G6403="","",G6403*0.20)</f>
        <v/>
      </c>
      <c r="K6403" s="8">
        <f>IF(G6403="","",G6403+J6403)</f>
        <v/>
      </c>
    </row>
    <row r="6404">
      <c r="F6404" s="8" t="n"/>
      <c r="G6404" s="8">
        <f>IF(E6404="","",E6404*F6404)</f>
        <v/>
      </c>
      <c r="H6404" s="8">
        <f>IF(G6404="","",G6404-I6404)</f>
        <v/>
      </c>
      <c r="I6404" s="8">
        <f>IF(D6404="","",VLOOKUP(D6404, RECETTES!B:G, 6, FALSE)*E6404)</f>
        <v/>
      </c>
      <c r="J6404" s="8">
        <f>IF(G6404="","",G6404*0.20)</f>
        <v/>
      </c>
      <c r="K6404" s="8">
        <f>IF(G6404="","",G6404+J6404)</f>
        <v/>
      </c>
    </row>
    <row r="6405">
      <c r="F6405" s="8" t="n"/>
      <c r="G6405" s="8">
        <f>IF(E6405="","",E6405*F6405)</f>
        <v/>
      </c>
      <c r="H6405" s="8">
        <f>IF(G6405="","",G6405-I6405)</f>
        <v/>
      </c>
      <c r="I6405" s="8">
        <f>IF(D6405="","",VLOOKUP(D6405, RECETTES!B:G, 6, FALSE)*E6405)</f>
        <v/>
      </c>
      <c r="J6405" s="8">
        <f>IF(G6405="","",G6405*0.20)</f>
        <v/>
      </c>
      <c r="K6405" s="8">
        <f>IF(G6405="","",G6405+J6405)</f>
        <v/>
      </c>
    </row>
    <row r="6406">
      <c r="F6406" s="8" t="n"/>
      <c r="G6406" s="8">
        <f>IF(E6406="","",E6406*F6406)</f>
        <v/>
      </c>
      <c r="H6406" s="8">
        <f>IF(G6406="","",G6406-I6406)</f>
        <v/>
      </c>
      <c r="I6406" s="8">
        <f>IF(D6406="","",VLOOKUP(D6406, RECETTES!B:G, 6, FALSE)*E6406)</f>
        <v/>
      </c>
      <c r="J6406" s="8">
        <f>IF(G6406="","",G6406*0.20)</f>
        <v/>
      </c>
      <c r="K6406" s="8">
        <f>IF(G6406="","",G6406+J6406)</f>
        <v/>
      </c>
    </row>
    <row r="6407">
      <c r="F6407" s="8" t="n"/>
      <c r="G6407" s="8">
        <f>IF(E6407="","",E6407*F6407)</f>
        <v/>
      </c>
      <c r="H6407" s="8">
        <f>IF(G6407="","",G6407-I6407)</f>
        <v/>
      </c>
      <c r="I6407" s="8">
        <f>IF(D6407="","",VLOOKUP(D6407, RECETTES!B:G, 6, FALSE)*E6407)</f>
        <v/>
      </c>
      <c r="J6407" s="8">
        <f>IF(G6407="","",G6407*0.20)</f>
        <v/>
      </c>
      <c r="K6407" s="8">
        <f>IF(G6407="","",G6407+J6407)</f>
        <v/>
      </c>
    </row>
    <row r="6408">
      <c r="F6408" s="8" t="n"/>
      <c r="G6408" s="8">
        <f>IF(E6408="","",E6408*F6408)</f>
        <v/>
      </c>
      <c r="H6408" s="8">
        <f>IF(G6408="","",G6408-I6408)</f>
        <v/>
      </c>
      <c r="I6408" s="8">
        <f>IF(D6408="","",VLOOKUP(D6408, RECETTES!B:G, 6, FALSE)*E6408)</f>
        <v/>
      </c>
      <c r="J6408" s="8">
        <f>IF(G6408="","",G6408*0.20)</f>
        <v/>
      </c>
      <c r="K6408" s="8">
        <f>IF(G6408="","",G6408+J6408)</f>
        <v/>
      </c>
    </row>
    <row r="6409">
      <c r="F6409" s="8" t="n"/>
      <c r="G6409" s="8">
        <f>IF(E6409="","",E6409*F6409)</f>
        <v/>
      </c>
      <c r="H6409" s="8">
        <f>IF(G6409="","",G6409-I6409)</f>
        <v/>
      </c>
      <c r="I6409" s="8">
        <f>IF(D6409="","",VLOOKUP(D6409, RECETTES!B:G, 6, FALSE)*E6409)</f>
        <v/>
      </c>
      <c r="J6409" s="8">
        <f>IF(G6409="","",G6409*0.20)</f>
        <v/>
      </c>
      <c r="K6409" s="8">
        <f>IF(G6409="","",G6409+J6409)</f>
        <v/>
      </c>
    </row>
    <row r="6410">
      <c r="F6410" s="8" t="n"/>
      <c r="G6410" s="8">
        <f>IF(E6410="","",E6410*F6410)</f>
        <v/>
      </c>
      <c r="H6410" s="8">
        <f>IF(G6410="","",G6410-I6410)</f>
        <v/>
      </c>
      <c r="I6410" s="8">
        <f>IF(D6410="","",VLOOKUP(D6410, RECETTES!B:G, 6, FALSE)*E6410)</f>
        <v/>
      </c>
      <c r="J6410" s="8">
        <f>IF(G6410="","",G6410*0.20)</f>
        <v/>
      </c>
      <c r="K6410" s="8">
        <f>IF(G6410="","",G6410+J6410)</f>
        <v/>
      </c>
    </row>
    <row r="6411">
      <c r="F6411" s="8" t="n"/>
      <c r="G6411" s="8">
        <f>IF(E6411="","",E6411*F6411)</f>
        <v/>
      </c>
      <c r="H6411" s="8">
        <f>IF(G6411="","",G6411-I6411)</f>
        <v/>
      </c>
      <c r="I6411" s="8">
        <f>IF(D6411="","",VLOOKUP(D6411, RECETTES!B:G, 6, FALSE)*E6411)</f>
        <v/>
      </c>
      <c r="J6411" s="8">
        <f>IF(G6411="","",G6411*0.20)</f>
        <v/>
      </c>
      <c r="K6411" s="8">
        <f>IF(G6411="","",G6411+J6411)</f>
        <v/>
      </c>
    </row>
    <row r="6412">
      <c r="F6412" s="8" t="n"/>
      <c r="G6412" s="8">
        <f>IF(E6412="","",E6412*F6412)</f>
        <v/>
      </c>
      <c r="H6412" s="8">
        <f>IF(G6412="","",G6412-I6412)</f>
        <v/>
      </c>
      <c r="I6412" s="8">
        <f>IF(D6412="","",VLOOKUP(D6412, RECETTES!B:G, 6, FALSE)*E6412)</f>
        <v/>
      </c>
      <c r="J6412" s="8">
        <f>IF(G6412="","",G6412*0.20)</f>
        <v/>
      </c>
      <c r="K6412" s="8">
        <f>IF(G6412="","",G6412+J6412)</f>
        <v/>
      </c>
    </row>
    <row r="6413">
      <c r="F6413" s="8" t="n"/>
      <c r="G6413" s="8">
        <f>IF(E6413="","",E6413*F6413)</f>
        <v/>
      </c>
      <c r="H6413" s="8">
        <f>IF(G6413="","",G6413-I6413)</f>
        <v/>
      </c>
      <c r="I6413" s="8">
        <f>IF(D6413="","",VLOOKUP(D6413, RECETTES!B:G, 6, FALSE)*E6413)</f>
        <v/>
      </c>
      <c r="J6413" s="8">
        <f>IF(G6413="","",G6413*0.20)</f>
        <v/>
      </c>
      <c r="K6413" s="8">
        <f>IF(G6413="","",G6413+J6413)</f>
        <v/>
      </c>
    </row>
    <row r="6414">
      <c r="F6414" s="8" t="n"/>
      <c r="G6414" s="8">
        <f>IF(E6414="","",E6414*F6414)</f>
        <v/>
      </c>
      <c r="H6414" s="8">
        <f>IF(G6414="","",G6414-I6414)</f>
        <v/>
      </c>
      <c r="I6414" s="8">
        <f>IF(D6414="","",VLOOKUP(D6414, RECETTES!B:G, 6, FALSE)*E6414)</f>
        <v/>
      </c>
      <c r="J6414" s="8">
        <f>IF(G6414="","",G6414*0.20)</f>
        <v/>
      </c>
      <c r="K6414" s="8">
        <f>IF(G6414="","",G6414+J6414)</f>
        <v/>
      </c>
    </row>
    <row r="6415">
      <c r="F6415" s="8" t="n"/>
      <c r="G6415" s="8">
        <f>IF(E6415="","",E6415*F6415)</f>
        <v/>
      </c>
      <c r="H6415" s="8">
        <f>IF(G6415="","",G6415-I6415)</f>
        <v/>
      </c>
      <c r="I6415" s="8">
        <f>IF(D6415="","",VLOOKUP(D6415, RECETTES!B:G, 6, FALSE)*E6415)</f>
        <v/>
      </c>
      <c r="J6415" s="8">
        <f>IF(G6415="","",G6415*0.20)</f>
        <v/>
      </c>
      <c r="K6415" s="8">
        <f>IF(G6415="","",G6415+J6415)</f>
        <v/>
      </c>
    </row>
    <row r="6416">
      <c r="F6416" s="8" t="n"/>
      <c r="G6416" s="8">
        <f>IF(E6416="","",E6416*F6416)</f>
        <v/>
      </c>
      <c r="H6416" s="8">
        <f>IF(G6416="","",G6416-I6416)</f>
        <v/>
      </c>
      <c r="I6416" s="8">
        <f>IF(D6416="","",VLOOKUP(D6416, RECETTES!B:G, 6, FALSE)*E6416)</f>
        <v/>
      </c>
      <c r="J6416" s="8">
        <f>IF(G6416="","",G6416*0.20)</f>
        <v/>
      </c>
      <c r="K6416" s="8">
        <f>IF(G6416="","",G6416+J6416)</f>
        <v/>
      </c>
    </row>
    <row r="6417">
      <c r="F6417" s="8" t="n"/>
      <c r="G6417" s="8">
        <f>IF(E6417="","",E6417*F6417)</f>
        <v/>
      </c>
      <c r="H6417" s="8">
        <f>IF(G6417="","",G6417-I6417)</f>
        <v/>
      </c>
      <c r="I6417" s="8">
        <f>IF(D6417="","",VLOOKUP(D6417, RECETTES!B:G, 6, FALSE)*E6417)</f>
        <v/>
      </c>
      <c r="J6417" s="8">
        <f>IF(G6417="","",G6417*0.20)</f>
        <v/>
      </c>
      <c r="K6417" s="8">
        <f>IF(G6417="","",G6417+J6417)</f>
        <v/>
      </c>
    </row>
    <row r="6418">
      <c r="F6418" s="8" t="n"/>
      <c r="G6418" s="8">
        <f>IF(E6418="","",E6418*F6418)</f>
        <v/>
      </c>
      <c r="H6418" s="8">
        <f>IF(G6418="","",G6418-I6418)</f>
        <v/>
      </c>
      <c r="I6418" s="8">
        <f>IF(D6418="","",VLOOKUP(D6418, RECETTES!B:G, 6, FALSE)*E6418)</f>
        <v/>
      </c>
      <c r="J6418" s="8">
        <f>IF(G6418="","",G6418*0.20)</f>
        <v/>
      </c>
      <c r="K6418" s="8">
        <f>IF(G6418="","",G6418+J6418)</f>
        <v/>
      </c>
    </row>
    <row r="6419">
      <c r="F6419" s="8" t="n"/>
      <c r="G6419" s="8">
        <f>IF(E6419="","",E6419*F6419)</f>
        <v/>
      </c>
      <c r="H6419" s="8">
        <f>IF(G6419="","",G6419-I6419)</f>
        <v/>
      </c>
      <c r="I6419" s="8">
        <f>IF(D6419="","",VLOOKUP(D6419, RECETTES!B:G, 6, FALSE)*E6419)</f>
        <v/>
      </c>
      <c r="J6419" s="8">
        <f>IF(G6419="","",G6419*0.20)</f>
        <v/>
      </c>
      <c r="K6419" s="8">
        <f>IF(G6419="","",G6419+J6419)</f>
        <v/>
      </c>
    </row>
    <row r="6420">
      <c r="F6420" s="8" t="n"/>
      <c r="G6420" s="8">
        <f>IF(E6420="","",E6420*F6420)</f>
        <v/>
      </c>
      <c r="H6420" s="8">
        <f>IF(G6420="","",G6420-I6420)</f>
        <v/>
      </c>
      <c r="I6420" s="8">
        <f>IF(D6420="","",VLOOKUP(D6420, RECETTES!B:G, 6, FALSE)*E6420)</f>
        <v/>
      </c>
      <c r="J6420" s="8">
        <f>IF(G6420="","",G6420*0.20)</f>
        <v/>
      </c>
      <c r="K6420" s="8">
        <f>IF(G6420="","",G6420+J6420)</f>
        <v/>
      </c>
    </row>
    <row r="6421">
      <c r="F6421" s="8" t="n"/>
      <c r="G6421" s="8">
        <f>IF(E6421="","",E6421*F6421)</f>
        <v/>
      </c>
      <c r="H6421" s="8">
        <f>IF(G6421="","",G6421-I6421)</f>
        <v/>
      </c>
      <c r="I6421" s="8">
        <f>IF(D6421="","",VLOOKUP(D6421, RECETTES!B:G, 6, FALSE)*E6421)</f>
        <v/>
      </c>
      <c r="J6421" s="8">
        <f>IF(G6421="","",G6421*0.20)</f>
        <v/>
      </c>
      <c r="K6421" s="8">
        <f>IF(G6421="","",G6421+J6421)</f>
        <v/>
      </c>
    </row>
    <row r="6422">
      <c r="F6422" s="8" t="n"/>
      <c r="G6422" s="8">
        <f>IF(E6422="","",E6422*F6422)</f>
        <v/>
      </c>
      <c r="H6422" s="8">
        <f>IF(G6422="","",G6422-I6422)</f>
        <v/>
      </c>
      <c r="I6422" s="8">
        <f>IF(D6422="","",VLOOKUP(D6422, RECETTES!B:G, 6, FALSE)*E6422)</f>
        <v/>
      </c>
      <c r="J6422" s="8">
        <f>IF(G6422="","",G6422*0.20)</f>
        <v/>
      </c>
      <c r="K6422" s="8">
        <f>IF(G6422="","",G6422+J6422)</f>
        <v/>
      </c>
    </row>
    <row r="6423">
      <c r="F6423" s="8" t="n"/>
      <c r="G6423" s="8">
        <f>IF(E6423="","",E6423*F6423)</f>
        <v/>
      </c>
      <c r="H6423" s="8">
        <f>IF(G6423="","",G6423-I6423)</f>
        <v/>
      </c>
      <c r="I6423" s="8">
        <f>IF(D6423="","",VLOOKUP(D6423, RECETTES!B:G, 6, FALSE)*E6423)</f>
        <v/>
      </c>
      <c r="J6423" s="8">
        <f>IF(G6423="","",G6423*0.20)</f>
        <v/>
      </c>
      <c r="K6423" s="8">
        <f>IF(G6423="","",G6423+J6423)</f>
        <v/>
      </c>
    </row>
    <row r="6424">
      <c r="F6424" s="8" t="n"/>
      <c r="G6424" s="8">
        <f>IF(E6424="","",E6424*F6424)</f>
        <v/>
      </c>
      <c r="H6424" s="8">
        <f>IF(G6424="","",G6424-I6424)</f>
        <v/>
      </c>
      <c r="I6424" s="8">
        <f>IF(D6424="","",VLOOKUP(D6424, RECETTES!B:G, 6, FALSE)*E6424)</f>
        <v/>
      </c>
      <c r="J6424" s="8">
        <f>IF(G6424="","",G6424*0.20)</f>
        <v/>
      </c>
      <c r="K6424" s="8">
        <f>IF(G6424="","",G6424+J6424)</f>
        <v/>
      </c>
    </row>
    <row r="6425">
      <c r="F6425" s="8" t="n"/>
      <c r="G6425" s="8">
        <f>IF(E6425="","",E6425*F6425)</f>
        <v/>
      </c>
      <c r="H6425" s="8">
        <f>IF(G6425="","",G6425-I6425)</f>
        <v/>
      </c>
      <c r="I6425" s="8">
        <f>IF(D6425="","",VLOOKUP(D6425, RECETTES!B:G, 6, FALSE)*E6425)</f>
        <v/>
      </c>
      <c r="J6425" s="8">
        <f>IF(G6425="","",G6425*0.20)</f>
        <v/>
      </c>
      <c r="K6425" s="8">
        <f>IF(G6425="","",G6425+J6425)</f>
        <v/>
      </c>
    </row>
    <row r="6426">
      <c r="F6426" s="8" t="n"/>
      <c r="G6426" s="8">
        <f>IF(E6426="","",E6426*F6426)</f>
        <v/>
      </c>
      <c r="H6426" s="8">
        <f>IF(G6426="","",G6426-I6426)</f>
        <v/>
      </c>
      <c r="I6426" s="8">
        <f>IF(D6426="","",VLOOKUP(D6426, RECETTES!B:G, 6, FALSE)*E6426)</f>
        <v/>
      </c>
      <c r="J6426" s="8">
        <f>IF(G6426="","",G6426*0.20)</f>
        <v/>
      </c>
      <c r="K6426" s="8">
        <f>IF(G6426="","",G6426+J6426)</f>
        <v/>
      </c>
    </row>
    <row r="6427">
      <c r="F6427" s="8" t="n"/>
      <c r="G6427" s="8">
        <f>IF(E6427="","",E6427*F6427)</f>
        <v/>
      </c>
      <c r="H6427" s="8">
        <f>IF(G6427="","",G6427-I6427)</f>
        <v/>
      </c>
      <c r="I6427" s="8">
        <f>IF(D6427="","",VLOOKUP(D6427, RECETTES!B:G, 6, FALSE)*E6427)</f>
        <v/>
      </c>
      <c r="J6427" s="8">
        <f>IF(G6427="","",G6427*0.20)</f>
        <v/>
      </c>
      <c r="K6427" s="8">
        <f>IF(G6427="","",G6427+J6427)</f>
        <v/>
      </c>
    </row>
    <row r="6428">
      <c r="F6428" s="8" t="n"/>
      <c r="G6428" s="8">
        <f>IF(E6428="","",E6428*F6428)</f>
        <v/>
      </c>
      <c r="H6428" s="8">
        <f>IF(G6428="","",G6428-I6428)</f>
        <v/>
      </c>
      <c r="I6428" s="8">
        <f>IF(D6428="","",VLOOKUP(D6428, RECETTES!B:G, 6, FALSE)*E6428)</f>
        <v/>
      </c>
      <c r="J6428" s="8">
        <f>IF(G6428="","",G6428*0.20)</f>
        <v/>
      </c>
      <c r="K6428" s="8">
        <f>IF(G6428="","",G6428+J6428)</f>
        <v/>
      </c>
    </row>
    <row r="6429">
      <c r="F6429" s="8" t="n"/>
      <c r="G6429" s="8">
        <f>IF(E6429="","",E6429*F6429)</f>
        <v/>
      </c>
      <c r="H6429" s="8">
        <f>IF(G6429="","",G6429-I6429)</f>
        <v/>
      </c>
      <c r="I6429" s="8">
        <f>IF(D6429="","",VLOOKUP(D6429, RECETTES!B:G, 6, FALSE)*E6429)</f>
        <v/>
      </c>
      <c r="J6429" s="8">
        <f>IF(G6429="","",G6429*0.20)</f>
        <v/>
      </c>
      <c r="K6429" s="8">
        <f>IF(G6429="","",G6429+J6429)</f>
        <v/>
      </c>
    </row>
    <row r="6430">
      <c r="F6430" s="8" t="n"/>
      <c r="G6430" s="8">
        <f>IF(E6430="","",E6430*F6430)</f>
        <v/>
      </c>
      <c r="H6430" s="8">
        <f>IF(G6430="","",G6430-I6430)</f>
        <v/>
      </c>
      <c r="I6430" s="8">
        <f>IF(D6430="","",VLOOKUP(D6430, RECETTES!B:G, 6, FALSE)*E6430)</f>
        <v/>
      </c>
      <c r="J6430" s="8">
        <f>IF(G6430="","",G6430*0.20)</f>
        <v/>
      </c>
      <c r="K6430" s="8">
        <f>IF(G6430="","",G6430+J6430)</f>
        <v/>
      </c>
    </row>
    <row r="6431">
      <c r="F6431" s="8" t="n"/>
      <c r="G6431" s="8">
        <f>IF(E6431="","",E6431*F6431)</f>
        <v/>
      </c>
      <c r="H6431" s="8">
        <f>IF(G6431="","",G6431-I6431)</f>
        <v/>
      </c>
      <c r="I6431" s="8">
        <f>IF(D6431="","",VLOOKUP(D6431, RECETTES!B:G, 6, FALSE)*E6431)</f>
        <v/>
      </c>
      <c r="J6431" s="8">
        <f>IF(G6431="","",G6431*0.20)</f>
        <v/>
      </c>
      <c r="K6431" s="8">
        <f>IF(G6431="","",G6431+J6431)</f>
        <v/>
      </c>
    </row>
    <row r="6432">
      <c r="F6432" s="8" t="n"/>
      <c r="G6432" s="8">
        <f>IF(E6432="","",E6432*F6432)</f>
        <v/>
      </c>
      <c r="H6432" s="8">
        <f>IF(G6432="","",G6432-I6432)</f>
        <v/>
      </c>
      <c r="I6432" s="8">
        <f>IF(D6432="","",VLOOKUP(D6432, RECETTES!B:G, 6, FALSE)*E6432)</f>
        <v/>
      </c>
      <c r="J6432" s="8">
        <f>IF(G6432="","",G6432*0.20)</f>
        <v/>
      </c>
      <c r="K6432" s="8">
        <f>IF(G6432="","",G6432+J6432)</f>
        <v/>
      </c>
    </row>
    <row r="6433">
      <c r="F6433" s="8" t="n"/>
      <c r="G6433" s="8">
        <f>IF(E6433="","",E6433*F6433)</f>
        <v/>
      </c>
      <c r="H6433" s="8">
        <f>IF(G6433="","",G6433-I6433)</f>
        <v/>
      </c>
      <c r="I6433" s="8">
        <f>IF(D6433="","",VLOOKUP(D6433, RECETTES!B:G, 6, FALSE)*E6433)</f>
        <v/>
      </c>
      <c r="J6433" s="8">
        <f>IF(G6433="","",G6433*0.20)</f>
        <v/>
      </c>
      <c r="K6433" s="8">
        <f>IF(G6433="","",G6433+J6433)</f>
        <v/>
      </c>
    </row>
    <row r="6434">
      <c r="F6434" s="8" t="n"/>
      <c r="G6434" s="8">
        <f>IF(E6434="","",E6434*F6434)</f>
        <v/>
      </c>
      <c r="H6434" s="8">
        <f>IF(G6434="","",G6434-I6434)</f>
        <v/>
      </c>
      <c r="I6434" s="8">
        <f>IF(D6434="","",VLOOKUP(D6434, RECETTES!B:G, 6, FALSE)*E6434)</f>
        <v/>
      </c>
      <c r="J6434" s="8">
        <f>IF(G6434="","",G6434*0.20)</f>
        <v/>
      </c>
      <c r="K6434" s="8">
        <f>IF(G6434="","",G6434+J6434)</f>
        <v/>
      </c>
    </row>
    <row r="6435">
      <c r="F6435" s="8" t="n"/>
      <c r="G6435" s="8">
        <f>IF(E6435="","",E6435*F6435)</f>
        <v/>
      </c>
      <c r="H6435" s="8">
        <f>IF(G6435="","",G6435-I6435)</f>
        <v/>
      </c>
      <c r="I6435" s="8">
        <f>IF(D6435="","",VLOOKUP(D6435, RECETTES!B:G, 6, FALSE)*E6435)</f>
        <v/>
      </c>
      <c r="J6435" s="8">
        <f>IF(G6435="","",G6435*0.20)</f>
        <v/>
      </c>
      <c r="K6435" s="8">
        <f>IF(G6435="","",G6435+J6435)</f>
        <v/>
      </c>
    </row>
    <row r="6436">
      <c r="F6436" s="8" t="n"/>
      <c r="G6436" s="8">
        <f>IF(E6436="","",E6436*F6436)</f>
        <v/>
      </c>
      <c r="H6436" s="8">
        <f>IF(G6436="","",G6436-I6436)</f>
        <v/>
      </c>
      <c r="I6436" s="8">
        <f>IF(D6436="","",VLOOKUP(D6436, RECETTES!B:G, 6, FALSE)*E6436)</f>
        <v/>
      </c>
      <c r="J6436" s="8">
        <f>IF(G6436="","",G6436*0.20)</f>
        <v/>
      </c>
      <c r="K6436" s="8">
        <f>IF(G6436="","",G6436+J6436)</f>
        <v/>
      </c>
    </row>
    <row r="6437">
      <c r="F6437" s="8" t="n"/>
      <c r="G6437" s="8">
        <f>IF(E6437="","",E6437*F6437)</f>
        <v/>
      </c>
      <c r="H6437" s="8">
        <f>IF(G6437="","",G6437-I6437)</f>
        <v/>
      </c>
      <c r="I6437" s="8">
        <f>IF(D6437="","",VLOOKUP(D6437, RECETTES!B:G, 6, FALSE)*E6437)</f>
        <v/>
      </c>
      <c r="J6437" s="8">
        <f>IF(G6437="","",G6437*0.20)</f>
        <v/>
      </c>
      <c r="K6437" s="8">
        <f>IF(G6437="","",G6437+J6437)</f>
        <v/>
      </c>
    </row>
    <row r="6438">
      <c r="F6438" s="8" t="n"/>
      <c r="G6438" s="8">
        <f>IF(E6438="","",E6438*F6438)</f>
        <v/>
      </c>
      <c r="H6438" s="8">
        <f>IF(G6438="","",G6438-I6438)</f>
        <v/>
      </c>
      <c r="I6438" s="8">
        <f>IF(D6438="","",VLOOKUP(D6438, RECETTES!B:G, 6, FALSE)*E6438)</f>
        <v/>
      </c>
      <c r="J6438" s="8">
        <f>IF(G6438="","",G6438*0.20)</f>
        <v/>
      </c>
      <c r="K6438" s="8">
        <f>IF(G6438="","",G6438+J6438)</f>
        <v/>
      </c>
    </row>
    <row r="6439">
      <c r="F6439" s="8" t="n"/>
      <c r="G6439" s="8">
        <f>IF(E6439="","",E6439*F6439)</f>
        <v/>
      </c>
      <c r="H6439" s="8">
        <f>IF(G6439="","",G6439-I6439)</f>
        <v/>
      </c>
      <c r="I6439" s="8">
        <f>IF(D6439="","",VLOOKUP(D6439, RECETTES!B:G, 6, FALSE)*E6439)</f>
        <v/>
      </c>
      <c r="J6439" s="8">
        <f>IF(G6439="","",G6439*0.20)</f>
        <v/>
      </c>
      <c r="K6439" s="8">
        <f>IF(G6439="","",G6439+J6439)</f>
        <v/>
      </c>
    </row>
    <row r="6440">
      <c r="F6440" s="8" t="n"/>
      <c r="G6440" s="8">
        <f>IF(E6440="","",E6440*F6440)</f>
        <v/>
      </c>
      <c r="H6440" s="8">
        <f>IF(G6440="","",G6440-I6440)</f>
        <v/>
      </c>
      <c r="I6440" s="8">
        <f>IF(D6440="","",VLOOKUP(D6440, RECETTES!B:G, 6, FALSE)*E6440)</f>
        <v/>
      </c>
      <c r="J6440" s="8">
        <f>IF(G6440="","",G6440*0.20)</f>
        <v/>
      </c>
      <c r="K6440" s="8">
        <f>IF(G6440="","",G6440+J6440)</f>
        <v/>
      </c>
    </row>
    <row r="6441">
      <c r="F6441" s="8" t="n"/>
      <c r="G6441" s="8">
        <f>IF(E6441="","",E6441*F6441)</f>
        <v/>
      </c>
      <c r="H6441" s="8">
        <f>IF(G6441="","",G6441-I6441)</f>
        <v/>
      </c>
      <c r="I6441" s="8">
        <f>IF(D6441="","",VLOOKUP(D6441, RECETTES!B:G, 6, FALSE)*E6441)</f>
        <v/>
      </c>
      <c r="J6441" s="8">
        <f>IF(G6441="","",G6441*0.20)</f>
        <v/>
      </c>
      <c r="K6441" s="8">
        <f>IF(G6441="","",G6441+J6441)</f>
        <v/>
      </c>
    </row>
    <row r="6442">
      <c r="F6442" s="8" t="n"/>
      <c r="G6442" s="8">
        <f>IF(E6442="","",E6442*F6442)</f>
        <v/>
      </c>
      <c r="H6442" s="8">
        <f>IF(G6442="","",G6442-I6442)</f>
        <v/>
      </c>
      <c r="I6442" s="8">
        <f>IF(D6442="","",VLOOKUP(D6442, RECETTES!B:G, 6, FALSE)*E6442)</f>
        <v/>
      </c>
      <c r="J6442" s="8">
        <f>IF(G6442="","",G6442*0.20)</f>
        <v/>
      </c>
      <c r="K6442" s="8">
        <f>IF(G6442="","",G6442+J6442)</f>
        <v/>
      </c>
    </row>
    <row r="6443">
      <c r="F6443" s="8" t="n"/>
      <c r="G6443" s="8">
        <f>IF(E6443="","",E6443*F6443)</f>
        <v/>
      </c>
      <c r="H6443" s="8">
        <f>IF(G6443="","",G6443-I6443)</f>
        <v/>
      </c>
      <c r="I6443" s="8">
        <f>IF(D6443="","",VLOOKUP(D6443, RECETTES!B:G, 6, FALSE)*E6443)</f>
        <v/>
      </c>
      <c r="J6443" s="8">
        <f>IF(G6443="","",G6443*0.20)</f>
        <v/>
      </c>
      <c r="K6443" s="8">
        <f>IF(G6443="","",G6443+J6443)</f>
        <v/>
      </c>
    </row>
    <row r="6444">
      <c r="F6444" s="8" t="n"/>
      <c r="G6444" s="8">
        <f>IF(E6444="","",E6444*F6444)</f>
        <v/>
      </c>
      <c r="H6444" s="8">
        <f>IF(G6444="","",G6444-I6444)</f>
        <v/>
      </c>
      <c r="I6444" s="8">
        <f>IF(D6444="","",VLOOKUP(D6444, RECETTES!B:G, 6, FALSE)*E6444)</f>
        <v/>
      </c>
      <c r="J6444" s="8">
        <f>IF(G6444="","",G6444*0.20)</f>
        <v/>
      </c>
      <c r="K6444" s="8">
        <f>IF(G6444="","",G6444+J6444)</f>
        <v/>
      </c>
    </row>
    <row r="6445">
      <c r="F6445" s="8" t="n"/>
      <c r="G6445" s="8">
        <f>IF(E6445="","",E6445*F6445)</f>
        <v/>
      </c>
      <c r="H6445" s="8">
        <f>IF(G6445="","",G6445-I6445)</f>
        <v/>
      </c>
      <c r="I6445" s="8">
        <f>IF(D6445="","",VLOOKUP(D6445, RECETTES!B:G, 6, FALSE)*E6445)</f>
        <v/>
      </c>
      <c r="J6445" s="8">
        <f>IF(G6445="","",G6445*0.20)</f>
        <v/>
      </c>
      <c r="K6445" s="8">
        <f>IF(G6445="","",G6445+J6445)</f>
        <v/>
      </c>
    </row>
    <row r="6446">
      <c r="F6446" s="8" t="n"/>
      <c r="G6446" s="8">
        <f>IF(E6446="","",E6446*F6446)</f>
        <v/>
      </c>
      <c r="H6446" s="8">
        <f>IF(G6446="","",G6446-I6446)</f>
        <v/>
      </c>
      <c r="I6446" s="8">
        <f>IF(D6446="","",VLOOKUP(D6446, RECETTES!B:G, 6, FALSE)*E6446)</f>
        <v/>
      </c>
      <c r="J6446" s="8">
        <f>IF(G6446="","",G6446*0.20)</f>
        <v/>
      </c>
      <c r="K6446" s="8">
        <f>IF(G6446="","",G6446+J6446)</f>
        <v/>
      </c>
    </row>
    <row r="6447">
      <c r="F6447" s="8" t="n"/>
      <c r="G6447" s="8">
        <f>IF(E6447="","",E6447*F6447)</f>
        <v/>
      </c>
      <c r="H6447" s="8">
        <f>IF(G6447="","",G6447-I6447)</f>
        <v/>
      </c>
      <c r="I6447" s="8">
        <f>IF(D6447="","",VLOOKUP(D6447, RECETTES!B:G, 6, FALSE)*E6447)</f>
        <v/>
      </c>
      <c r="J6447" s="8">
        <f>IF(G6447="","",G6447*0.20)</f>
        <v/>
      </c>
      <c r="K6447" s="8">
        <f>IF(G6447="","",G6447+J6447)</f>
        <v/>
      </c>
    </row>
    <row r="6448">
      <c r="F6448" s="8" t="n"/>
      <c r="G6448" s="8">
        <f>IF(E6448="","",E6448*F6448)</f>
        <v/>
      </c>
      <c r="H6448" s="8">
        <f>IF(G6448="","",G6448-I6448)</f>
        <v/>
      </c>
      <c r="I6448" s="8">
        <f>IF(D6448="","",VLOOKUP(D6448, RECETTES!B:G, 6, FALSE)*E6448)</f>
        <v/>
      </c>
      <c r="J6448" s="8">
        <f>IF(G6448="","",G6448*0.20)</f>
        <v/>
      </c>
      <c r="K6448" s="8">
        <f>IF(G6448="","",G6448+J6448)</f>
        <v/>
      </c>
    </row>
    <row r="6449">
      <c r="F6449" s="8" t="n"/>
      <c r="G6449" s="8">
        <f>IF(E6449="","",E6449*F6449)</f>
        <v/>
      </c>
      <c r="H6449" s="8">
        <f>IF(G6449="","",G6449-I6449)</f>
        <v/>
      </c>
      <c r="I6449" s="8">
        <f>IF(D6449="","",VLOOKUP(D6449, RECETTES!B:G, 6, FALSE)*E6449)</f>
        <v/>
      </c>
      <c r="J6449" s="8">
        <f>IF(G6449="","",G6449*0.20)</f>
        <v/>
      </c>
      <c r="K6449" s="8">
        <f>IF(G6449="","",G6449+J6449)</f>
        <v/>
      </c>
    </row>
    <row r="6450">
      <c r="F6450" s="8" t="n"/>
      <c r="G6450" s="8">
        <f>IF(E6450="","",E6450*F6450)</f>
        <v/>
      </c>
      <c r="H6450" s="8">
        <f>IF(G6450="","",G6450-I6450)</f>
        <v/>
      </c>
      <c r="I6450" s="8">
        <f>IF(D6450="","",VLOOKUP(D6450, RECETTES!B:G, 6, FALSE)*E6450)</f>
        <v/>
      </c>
      <c r="J6450" s="8">
        <f>IF(G6450="","",G6450*0.20)</f>
        <v/>
      </c>
      <c r="K6450" s="8">
        <f>IF(G6450="","",G6450+J6450)</f>
        <v/>
      </c>
    </row>
    <row r="6451">
      <c r="F6451" s="8" t="n"/>
      <c r="G6451" s="8">
        <f>IF(E6451="","",E6451*F6451)</f>
        <v/>
      </c>
      <c r="H6451" s="8">
        <f>IF(G6451="","",G6451-I6451)</f>
        <v/>
      </c>
      <c r="I6451" s="8">
        <f>IF(D6451="","",VLOOKUP(D6451, RECETTES!B:G, 6, FALSE)*E6451)</f>
        <v/>
      </c>
      <c r="J6451" s="8">
        <f>IF(G6451="","",G6451*0.20)</f>
        <v/>
      </c>
      <c r="K6451" s="8">
        <f>IF(G6451="","",G6451+J6451)</f>
        <v/>
      </c>
    </row>
    <row r="6452">
      <c r="F6452" s="8" t="n"/>
      <c r="G6452" s="8">
        <f>IF(E6452="","",E6452*F6452)</f>
        <v/>
      </c>
      <c r="H6452" s="8">
        <f>IF(G6452="","",G6452-I6452)</f>
        <v/>
      </c>
      <c r="I6452" s="8">
        <f>IF(D6452="","",VLOOKUP(D6452, RECETTES!B:G, 6, FALSE)*E6452)</f>
        <v/>
      </c>
      <c r="J6452" s="8">
        <f>IF(G6452="","",G6452*0.20)</f>
        <v/>
      </c>
      <c r="K6452" s="8">
        <f>IF(G6452="","",G6452+J6452)</f>
        <v/>
      </c>
    </row>
    <row r="6453">
      <c r="F6453" s="8" t="n"/>
      <c r="G6453" s="8">
        <f>IF(E6453="","",E6453*F6453)</f>
        <v/>
      </c>
      <c r="H6453" s="8">
        <f>IF(G6453="","",G6453-I6453)</f>
        <v/>
      </c>
      <c r="I6453" s="8">
        <f>IF(D6453="","",VLOOKUP(D6453, RECETTES!B:G, 6, FALSE)*E6453)</f>
        <v/>
      </c>
      <c r="J6453" s="8">
        <f>IF(G6453="","",G6453*0.20)</f>
        <v/>
      </c>
      <c r="K6453" s="8">
        <f>IF(G6453="","",G6453+J6453)</f>
        <v/>
      </c>
    </row>
    <row r="6454">
      <c r="F6454" s="8" t="n"/>
      <c r="G6454" s="8">
        <f>IF(E6454="","",E6454*F6454)</f>
        <v/>
      </c>
      <c r="H6454" s="8">
        <f>IF(G6454="","",G6454-I6454)</f>
        <v/>
      </c>
      <c r="I6454" s="8">
        <f>IF(D6454="","",VLOOKUP(D6454, RECETTES!B:G, 6, FALSE)*E6454)</f>
        <v/>
      </c>
      <c r="J6454" s="8">
        <f>IF(G6454="","",G6454*0.20)</f>
        <v/>
      </c>
      <c r="K6454" s="8">
        <f>IF(G6454="","",G6454+J6454)</f>
        <v/>
      </c>
    </row>
    <row r="6455">
      <c r="F6455" s="8" t="n"/>
      <c r="G6455" s="8">
        <f>IF(E6455="","",E6455*F6455)</f>
        <v/>
      </c>
      <c r="H6455" s="8">
        <f>IF(G6455="","",G6455-I6455)</f>
        <v/>
      </c>
      <c r="I6455" s="8">
        <f>IF(D6455="","",VLOOKUP(D6455, RECETTES!B:G, 6, FALSE)*E6455)</f>
        <v/>
      </c>
      <c r="J6455" s="8">
        <f>IF(G6455="","",G6455*0.20)</f>
        <v/>
      </c>
      <c r="K6455" s="8">
        <f>IF(G6455="","",G6455+J6455)</f>
        <v/>
      </c>
    </row>
    <row r="6456">
      <c r="F6456" s="8" t="n"/>
      <c r="G6456" s="8">
        <f>IF(E6456="","",E6456*F6456)</f>
        <v/>
      </c>
      <c r="H6456" s="8">
        <f>IF(G6456="","",G6456-I6456)</f>
        <v/>
      </c>
      <c r="I6456" s="8">
        <f>IF(D6456="","",VLOOKUP(D6456, RECETTES!B:G, 6, FALSE)*E6456)</f>
        <v/>
      </c>
      <c r="J6456" s="8">
        <f>IF(G6456="","",G6456*0.20)</f>
        <v/>
      </c>
      <c r="K6456" s="8">
        <f>IF(G6456="","",G6456+J6456)</f>
        <v/>
      </c>
    </row>
    <row r="6457">
      <c r="F6457" s="8" t="n"/>
      <c r="G6457" s="8">
        <f>IF(E6457="","",E6457*F6457)</f>
        <v/>
      </c>
      <c r="H6457" s="8">
        <f>IF(G6457="","",G6457-I6457)</f>
        <v/>
      </c>
      <c r="I6457" s="8">
        <f>IF(D6457="","",VLOOKUP(D6457, RECETTES!B:G, 6, FALSE)*E6457)</f>
        <v/>
      </c>
      <c r="J6457" s="8">
        <f>IF(G6457="","",G6457*0.20)</f>
        <v/>
      </c>
      <c r="K6457" s="8">
        <f>IF(G6457="","",G6457+J6457)</f>
        <v/>
      </c>
    </row>
    <row r="6458">
      <c r="F6458" s="8" t="n"/>
      <c r="G6458" s="8">
        <f>IF(E6458="","",E6458*F6458)</f>
        <v/>
      </c>
      <c r="H6458" s="8">
        <f>IF(G6458="","",G6458-I6458)</f>
        <v/>
      </c>
      <c r="I6458" s="8">
        <f>IF(D6458="","",VLOOKUP(D6458, RECETTES!B:G, 6, FALSE)*E6458)</f>
        <v/>
      </c>
      <c r="J6458" s="8">
        <f>IF(G6458="","",G6458*0.20)</f>
        <v/>
      </c>
      <c r="K6458" s="8">
        <f>IF(G6458="","",G6458+J6458)</f>
        <v/>
      </c>
    </row>
    <row r="6459">
      <c r="F6459" s="8" t="n"/>
      <c r="G6459" s="8">
        <f>IF(E6459="","",E6459*F6459)</f>
        <v/>
      </c>
      <c r="H6459" s="8">
        <f>IF(G6459="","",G6459-I6459)</f>
        <v/>
      </c>
      <c r="I6459" s="8">
        <f>IF(D6459="","",VLOOKUP(D6459, RECETTES!B:G, 6, FALSE)*E6459)</f>
        <v/>
      </c>
      <c r="J6459" s="8">
        <f>IF(G6459="","",G6459*0.20)</f>
        <v/>
      </c>
      <c r="K6459" s="8">
        <f>IF(G6459="","",G6459+J6459)</f>
        <v/>
      </c>
    </row>
    <row r="6460">
      <c r="F6460" s="8" t="n"/>
      <c r="G6460" s="8">
        <f>IF(E6460="","",E6460*F6460)</f>
        <v/>
      </c>
      <c r="H6460" s="8">
        <f>IF(G6460="","",G6460-I6460)</f>
        <v/>
      </c>
      <c r="I6460" s="8">
        <f>IF(D6460="","",VLOOKUP(D6460, RECETTES!B:G, 6, FALSE)*E6460)</f>
        <v/>
      </c>
      <c r="J6460" s="8">
        <f>IF(G6460="","",G6460*0.20)</f>
        <v/>
      </c>
      <c r="K6460" s="8">
        <f>IF(G6460="","",G6460+J6460)</f>
        <v/>
      </c>
    </row>
    <row r="6461">
      <c r="F6461" s="8" t="n"/>
      <c r="G6461" s="8">
        <f>IF(E6461="","",E6461*F6461)</f>
        <v/>
      </c>
      <c r="H6461" s="8">
        <f>IF(G6461="","",G6461-I6461)</f>
        <v/>
      </c>
      <c r="I6461" s="8">
        <f>IF(D6461="","",VLOOKUP(D6461, RECETTES!B:G, 6, FALSE)*E6461)</f>
        <v/>
      </c>
      <c r="J6461" s="8">
        <f>IF(G6461="","",G6461*0.20)</f>
        <v/>
      </c>
      <c r="K6461" s="8">
        <f>IF(G6461="","",G6461+J6461)</f>
        <v/>
      </c>
    </row>
    <row r="6462">
      <c r="F6462" s="8" t="n"/>
      <c r="G6462" s="8">
        <f>IF(E6462="","",E6462*F6462)</f>
        <v/>
      </c>
      <c r="H6462" s="8">
        <f>IF(G6462="","",G6462-I6462)</f>
        <v/>
      </c>
      <c r="I6462" s="8">
        <f>IF(D6462="","",VLOOKUP(D6462, RECETTES!B:G, 6, FALSE)*E6462)</f>
        <v/>
      </c>
      <c r="J6462" s="8">
        <f>IF(G6462="","",G6462*0.20)</f>
        <v/>
      </c>
      <c r="K6462" s="8">
        <f>IF(G6462="","",G6462+J6462)</f>
        <v/>
      </c>
    </row>
    <row r="6463">
      <c r="F6463" s="8" t="n"/>
      <c r="G6463" s="8">
        <f>IF(E6463="","",E6463*F6463)</f>
        <v/>
      </c>
      <c r="H6463" s="8">
        <f>IF(G6463="","",G6463-I6463)</f>
        <v/>
      </c>
      <c r="I6463" s="8">
        <f>IF(D6463="","",VLOOKUP(D6463, RECETTES!B:G, 6, FALSE)*E6463)</f>
        <v/>
      </c>
      <c r="J6463" s="8">
        <f>IF(G6463="","",G6463*0.20)</f>
        <v/>
      </c>
      <c r="K6463" s="8">
        <f>IF(G6463="","",G6463+J6463)</f>
        <v/>
      </c>
    </row>
    <row r="6464">
      <c r="F6464" s="8" t="n"/>
      <c r="G6464" s="8">
        <f>IF(E6464="","",E6464*F6464)</f>
        <v/>
      </c>
      <c r="H6464" s="8">
        <f>IF(G6464="","",G6464-I6464)</f>
        <v/>
      </c>
      <c r="I6464" s="8">
        <f>IF(D6464="","",VLOOKUP(D6464, RECETTES!B:G, 6, FALSE)*E6464)</f>
        <v/>
      </c>
      <c r="J6464" s="8">
        <f>IF(G6464="","",G6464*0.20)</f>
        <v/>
      </c>
      <c r="K6464" s="8">
        <f>IF(G6464="","",G6464+J6464)</f>
        <v/>
      </c>
    </row>
    <row r="6465">
      <c r="F6465" s="8" t="n"/>
      <c r="G6465" s="8">
        <f>IF(E6465="","",E6465*F6465)</f>
        <v/>
      </c>
      <c r="H6465" s="8">
        <f>IF(G6465="","",G6465-I6465)</f>
        <v/>
      </c>
      <c r="I6465" s="8">
        <f>IF(D6465="","",VLOOKUP(D6465, RECETTES!B:G, 6, FALSE)*E6465)</f>
        <v/>
      </c>
      <c r="J6465" s="8">
        <f>IF(G6465="","",G6465*0.20)</f>
        <v/>
      </c>
      <c r="K6465" s="8">
        <f>IF(G6465="","",G6465+J6465)</f>
        <v/>
      </c>
    </row>
    <row r="6466">
      <c r="F6466" s="8" t="n"/>
      <c r="G6466" s="8">
        <f>IF(E6466="","",E6466*F6466)</f>
        <v/>
      </c>
      <c r="H6466" s="8">
        <f>IF(G6466="","",G6466-I6466)</f>
        <v/>
      </c>
      <c r="I6466" s="8">
        <f>IF(D6466="","",VLOOKUP(D6466, RECETTES!B:G, 6, FALSE)*E6466)</f>
        <v/>
      </c>
      <c r="J6466" s="8">
        <f>IF(G6466="","",G6466*0.20)</f>
        <v/>
      </c>
      <c r="K6466" s="8">
        <f>IF(G6466="","",G6466+J6466)</f>
        <v/>
      </c>
    </row>
    <row r="6467">
      <c r="F6467" s="8" t="n"/>
      <c r="G6467" s="8">
        <f>IF(E6467="","",E6467*F6467)</f>
        <v/>
      </c>
      <c r="H6467" s="8">
        <f>IF(G6467="","",G6467-I6467)</f>
        <v/>
      </c>
      <c r="I6467" s="8">
        <f>IF(D6467="","",VLOOKUP(D6467, RECETTES!B:G, 6, FALSE)*E6467)</f>
        <v/>
      </c>
      <c r="J6467" s="8">
        <f>IF(G6467="","",G6467*0.20)</f>
        <v/>
      </c>
      <c r="K6467" s="8">
        <f>IF(G6467="","",G6467+J6467)</f>
        <v/>
      </c>
    </row>
    <row r="6468">
      <c r="F6468" s="8" t="n"/>
      <c r="G6468" s="8">
        <f>IF(E6468="","",E6468*F6468)</f>
        <v/>
      </c>
      <c r="H6468" s="8">
        <f>IF(G6468="","",G6468-I6468)</f>
        <v/>
      </c>
      <c r="I6468" s="8">
        <f>IF(D6468="","",VLOOKUP(D6468, RECETTES!B:G, 6, FALSE)*E6468)</f>
        <v/>
      </c>
      <c r="J6468" s="8">
        <f>IF(G6468="","",G6468*0.20)</f>
        <v/>
      </c>
      <c r="K6468" s="8">
        <f>IF(G6468="","",G6468+J6468)</f>
        <v/>
      </c>
    </row>
    <row r="6469">
      <c r="F6469" s="8" t="n"/>
      <c r="G6469" s="8">
        <f>IF(E6469="","",E6469*F6469)</f>
        <v/>
      </c>
      <c r="H6469" s="8">
        <f>IF(G6469="","",G6469-I6469)</f>
        <v/>
      </c>
      <c r="I6469" s="8">
        <f>IF(D6469="","",VLOOKUP(D6469, RECETTES!B:G, 6, FALSE)*E6469)</f>
        <v/>
      </c>
      <c r="J6469" s="8">
        <f>IF(G6469="","",G6469*0.20)</f>
        <v/>
      </c>
      <c r="K6469" s="8">
        <f>IF(G6469="","",G6469+J6469)</f>
        <v/>
      </c>
    </row>
    <row r="6470">
      <c r="F6470" s="8" t="n"/>
      <c r="G6470" s="8">
        <f>IF(E6470="","",E6470*F6470)</f>
        <v/>
      </c>
      <c r="H6470" s="8">
        <f>IF(G6470="","",G6470-I6470)</f>
        <v/>
      </c>
      <c r="I6470" s="8">
        <f>IF(D6470="","",VLOOKUP(D6470, RECETTES!B:G, 6, FALSE)*E6470)</f>
        <v/>
      </c>
      <c r="J6470" s="8">
        <f>IF(G6470="","",G6470*0.20)</f>
        <v/>
      </c>
      <c r="K6470" s="8">
        <f>IF(G6470="","",G6470+J6470)</f>
        <v/>
      </c>
    </row>
    <row r="6471">
      <c r="F6471" s="8" t="n"/>
      <c r="G6471" s="8">
        <f>IF(E6471="","",E6471*F6471)</f>
        <v/>
      </c>
      <c r="H6471" s="8">
        <f>IF(G6471="","",G6471-I6471)</f>
        <v/>
      </c>
      <c r="I6471" s="8">
        <f>IF(D6471="","",VLOOKUP(D6471, RECETTES!B:G, 6, FALSE)*E6471)</f>
        <v/>
      </c>
      <c r="J6471" s="8">
        <f>IF(G6471="","",G6471*0.20)</f>
        <v/>
      </c>
      <c r="K6471" s="8">
        <f>IF(G6471="","",G6471+J6471)</f>
        <v/>
      </c>
    </row>
    <row r="6472">
      <c r="F6472" s="8" t="n"/>
      <c r="G6472" s="8">
        <f>IF(E6472="","",E6472*F6472)</f>
        <v/>
      </c>
      <c r="H6472" s="8">
        <f>IF(G6472="","",G6472-I6472)</f>
        <v/>
      </c>
      <c r="I6472" s="8">
        <f>IF(D6472="","",VLOOKUP(D6472, RECETTES!B:G, 6, FALSE)*E6472)</f>
        <v/>
      </c>
      <c r="J6472" s="8">
        <f>IF(G6472="","",G6472*0.20)</f>
        <v/>
      </c>
      <c r="K6472" s="8">
        <f>IF(G6472="","",G6472+J6472)</f>
        <v/>
      </c>
    </row>
    <row r="6473">
      <c r="F6473" s="8" t="n"/>
      <c r="G6473" s="8">
        <f>IF(E6473="","",E6473*F6473)</f>
        <v/>
      </c>
      <c r="H6473" s="8">
        <f>IF(G6473="","",G6473-I6473)</f>
        <v/>
      </c>
      <c r="I6473" s="8">
        <f>IF(D6473="","",VLOOKUP(D6473, RECETTES!B:G, 6, FALSE)*E6473)</f>
        <v/>
      </c>
      <c r="J6473" s="8">
        <f>IF(G6473="","",G6473*0.20)</f>
        <v/>
      </c>
      <c r="K6473" s="8">
        <f>IF(G6473="","",G6473+J6473)</f>
        <v/>
      </c>
    </row>
    <row r="6474">
      <c r="F6474" s="8" t="n"/>
      <c r="G6474" s="8">
        <f>IF(E6474="","",E6474*F6474)</f>
        <v/>
      </c>
      <c r="H6474" s="8">
        <f>IF(G6474="","",G6474-I6474)</f>
        <v/>
      </c>
      <c r="I6474" s="8">
        <f>IF(D6474="","",VLOOKUP(D6474, RECETTES!B:G, 6, FALSE)*E6474)</f>
        <v/>
      </c>
      <c r="J6474" s="8">
        <f>IF(G6474="","",G6474*0.20)</f>
        <v/>
      </c>
      <c r="K6474" s="8">
        <f>IF(G6474="","",G6474+J6474)</f>
        <v/>
      </c>
    </row>
    <row r="6475">
      <c r="F6475" s="8" t="n"/>
      <c r="G6475" s="8">
        <f>IF(E6475="","",E6475*F6475)</f>
        <v/>
      </c>
      <c r="H6475" s="8">
        <f>IF(G6475="","",G6475-I6475)</f>
        <v/>
      </c>
      <c r="I6475" s="8">
        <f>IF(D6475="","",VLOOKUP(D6475, RECETTES!B:G, 6, FALSE)*E6475)</f>
        <v/>
      </c>
      <c r="J6475" s="8">
        <f>IF(G6475="","",G6475*0.20)</f>
        <v/>
      </c>
      <c r="K6475" s="8">
        <f>IF(G6475="","",G6475+J6475)</f>
        <v/>
      </c>
    </row>
    <row r="6476">
      <c r="F6476" s="8" t="n"/>
      <c r="G6476" s="8">
        <f>IF(E6476="","",E6476*F6476)</f>
        <v/>
      </c>
      <c r="H6476" s="8">
        <f>IF(G6476="","",G6476-I6476)</f>
        <v/>
      </c>
      <c r="I6476" s="8">
        <f>IF(D6476="","",VLOOKUP(D6476, RECETTES!B:G, 6, FALSE)*E6476)</f>
        <v/>
      </c>
      <c r="J6476" s="8">
        <f>IF(G6476="","",G6476*0.20)</f>
        <v/>
      </c>
      <c r="K6476" s="8">
        <f>IF(G6476="","",G6476+J6476)</f>
        <v/>
      </c>
    </row>
    <row r="6477">
      <c r="F6477" s="8" t="n"/>
      <c r="G6477" s="8">
        <f>IF(E6477="","",E6477*F6477)</f>
        <v/>
      </c>
      <c r="H6477" s="8">
        <f>IF(G6477="","",G6477-I6477)</f>
        <v/>
      </c>
      <c r="I6477" s="8">
        <f>IF(D6477="","",VLOOKUP(D6477, RECETTES!B:G, 6, FALSE)*E6477)</f>
        <v/>
      </c>
      <c r="J6477" s="8">
        <f>IF(G6477="","",G6477*0.20)</f>
        <v/>
      </c>
      <c r="K6477" s="8">
        <f>IF(G6477="","",G6477+J6477)</f>
        <v/>
      </c>
    </row>
    <row r="6478">
      <c r="F6478" s="8" t="n"/>
      <c r="G6478" s="8">
        <f>IF(E6478="","",E6478*F6478)</f>
        <v/>
      </c>
      <c r="H6478" s="8">
        <f>IF(G6478="","",G6478-I6478)</f>
        <v/>
      </c>
      <c r="I6478" s="8">
        <f>IF(D6478="","",VLOOKUP(D6478, RECETTES!B:G, 6, FALSE)*E6478)</f>
        <v/>
      </c>
      <c r="J6478" s="8">
        <f>IF(G6478="","",G6478*0.20)</f>
        <v/>
      </c>
      <c r="K6478" s="8">
        <f>IF(G6478="","",G6478+J6478)</f>
        <v/>
      </c>
    </row>
    <row r="6479">
      <c r="F6479" s="8" t="n"/>
      <c r="G6479" s="8">
        <f>IF(E6479="","",E6479*F6479)</f>
        <v/>
      </c>
      <c r="H6479" s="8">
        <f>IF(G6479="","",G6479-I6479)</f>
        <v/>
      </c>
      <c r="I6479" s="8">
        <f>IF(D6479="","",VLOOKUP(D6479, RECETTES!B:G, 6, FALSE)*E6479)</f>
        <v/>
      </c>
      <c r="J6479" s="8">
        <f>IF(G6479="","",G6479*0.20)</f>
        <v/>
      </c>
      <c r="K6479" s="8">
        <f>IF(G6479="","",G6479+J6479)</f>
        <v/>
      </c>
    </row>
    <row r="6480">
      <c r="F6480" s="8" t="n"/>
      <c r="G6480" s="8">
        <f>IF(E6480="","",E6480*F6480)</f>
        <v/>
      </c>
      <c r="H6480" s="8">
        <f>IF(G6480="","",G6480-I6480)</f>
        <v/>
      </c>
      <c r="I6480" s="8">
        <f>IF(D6480="","",VLOOKUP(D6480, RECETTES!B:G, 6, FALSE)*E6480)</f>
        <v/>
      </c>
      <c r="J6480" s="8">
        <f>IF(G6480="","",G6480*0.20)</f>
        <v/>
      </c>
      <c r="K6480" s="8">
        <f>IF(G6480="","",G6480+J6480)</f>
        <v/>
      </c>
    </row>
    <row r="6481">
      <c r="F6481" s="8" t="n"/>
      <c r="G6481" s="8">
        <f>IF(E6481="","",E6481*F6481)</f>
        <v/>
      </c>
      <c r="H6481" s="8">
        <f>IF(G6481="","",G6481-I6481)</f>
        <v/>
      </c>
      <c r="I6481" s="8">
        <f>IF(D6481="","",VLOOKUP(D6481, RECETTES!B:G, 6, FALSE)*E6481)</f>
        <v/>
      </c>
      <c r="J6481" s="8">
        <f>IF(G6481="","",G6481*0.20)</f>
        <v/>
      </c>
      <c r="K6481" s="8">
        <f>IF(G6481="","",G6481+J6481)</f>
        <v/>
      </c>
    </row>
    <row r="6482">
      <c r="F6482" s="8" t="n"/>
      <c r="G6482" s="8">
        <f>IF(E6482="","",E6482*F6482)</f>
        <v/>
      </c>
      <c r="H6482" s="8">
        <f>IF(G6482="","",G6482-I6482)</f>
        <v/>
      </c>
      <c r="I6482" s="8">
        <f>IF(D6482="","",VLOOKUP(D6482, RECETTES!B:G, 6, FALSE)*E6482)</f>
        <v/>
      </c>
      <c r="J6482" s="8">
        <f>IF(G6482="","",G6482*0.20)</f>
        <v/>
      </c>
      <c r="K6482" s="8">
        <f>IF(G6482="","",G6482+J6482)</f>
        <v/>
      </c>
    </row>
    <row r="6483">
      <c r="F6483" s="8" t="n"/>
      <c r="G6483" s="8">
        <f>IF(E6483="","",E6483*F6483)</f>
        <v/>
      </c>
      <c r="H6483" s="8">
        <f>IF(G6483="","",G6483-I6483)</f>
        <v/>
      </c>
      <c r="I6483" s="8">
        <f>IF(D6483="","",VLOOKUP(D6483, RECETTES!B:G, 6, FALSE)*E6483)</f>
        <v/>
      </c>
      <c r="J6483" s="8">
        <f>IF(G6483="","",G6483*0.20)</f>
        <v/>
      </c>
      <c r="K6483" s="8">
        <f>IF(G6483="","",G6483+J6483)</f>
        <v/>
      </c>
    </row>
    <row r="6484">
      <c r="F6484" s="8" t="n"/>
      <c r="G6484" s="8">
        <f>IF(E6484="","",E6484*F6484)</f>
        <v/>
      </c>
      <c r="H6484" s="8">
        <f>IF(G6484="","",G6484-I6484)</f>
        <v/>
      </c>
      <c r="I6484" s="8">
        <f>IF(D6484="","",VLOOKUP(D6484, RECETTES!B:G, 6, FALSE)*E6484)</f>
        <v/>
      </c>
      <c r="J6484" s="8">
        <f>IF(G6484="","",G6484*0.20)</f>
        <v/>
      </c>
      <c r="K6484" s="8">
        <f>IF(G6484="","",G6484+J6484)</f>
        <v/>
      </c>
    </row>
    <row r="6485">
      <c r="F6485" s="8" t="n"/>
      <c r="G6485" s="8">
        <f>IF(E6485="","",E6485*F6485)</f>
        <v/>
      </c>
      <c r="H6485" s="8">
        <f>IF(G6485="","",G6485-I6485)</f>
        <v/>
      </c>
      <c r="I6485" s="8">
        <f>IF(D6485="","",VLOOKUP(D6485, RECETTES!B:G, 6, FALSE)*E6485)</f>
        <v/>
      </c>
      <c r="J6485" s="8">
        <f>IF(G6485="","",G6485*0.20)</f>
        <v/>
      </c>
      <c r="K6485" s="8">
        <f>IF(G6485="","",G6485+J6485)</f>
        <v/>
      </c>
    </row>
    <row r="6486">
      <c r="F6486" s="8" t="n"/>
      <c r="G6486" s="8">
        <f>IF(E6486="","",E6486*F6486)</f>
        <v/>
      </c>
      <c r="H6486" s="8">
        <f>IF(G6486="","",G6486-I6486)</f>
        <v/>
      </c>
      <c r="I6486" s="8">
        <f>IF(D6486="","",VLOOKUP(D6486, RECETTES!B:G, 6, FALSE)*E6486)</f>
        <v/>
      </c>
      <c r="J6486" s="8">
        <f>IF(G6486="","",G6486*0.20)</f>
        <v/>
      </c>
      <c r="K6486" s="8">
        <f>IF(G6486="","",G6486+J6486)</f>
        <v/>
      </c>
    </row>
    <row r="6487">
      <c r="F6487" s="8" t="n"/>
      <c r="G6487" s="8">
        <f>IF(E6487="","",E6487*F6487)</f>
        <v/>
      </c>
      <c r="H6487" s="8">
        <f>IF(G6487="","",G6487-I6487)</f>
        <v/>
      </c>
      <c r="I6487" s="8">
        <f>IF(D6487="","",VLOOKUP(D6487, RECETTES!B:G, 6, FALSE)*E6487)</f>
        <v/>
      </c>
      <c r="J6487" s="8">
        <f>IF(G6487="","",G6487*0.20)</f>
        <v/>
      </c>
      <c r="K6487" s="8">
        <f>IF(G6487="","",G6487+J6487)</f>
        <v/>
      </c>
    </row>
    <row r="6488">
      <c r="F6488" s="8" t="n"/>
      <c r="G6488" s="8">
        <f>IF(E6488="","",E6488*F6488)</f>
        <v/>
      </c>
      <c r="H6488" s="8">
        <f>IF(G6488="","",G6488-I6488)</f>
        <v/>
      </c>
      <c r="I6488" s="8">
        <f>IF(D6488="","",VLOOKUP(D6488, RECETTES!B:G, 6, FALSE)*E6488)</f>
        <v/>
      </c>
      <c r="J6488" s="8">
        <f>IF(G6488="","",G6488*0.20)</f>
        <v/>
      </c>
      <c r="K6488" s="8">
        <f>IF(G6488="","",G6488+J6488)</f>
        <v/>
      </c>
    </row>
    <row r="6489">
      <c r="F6489" s="8" t="n"/>
      <c r="G6489" s="8">
        <f>IF(E6489="","",E6489*F6489)</f>
        <v/>
      </c>
      <c r="H6489" s="8">
        <f>IF(G6489="","",G6489-I6489)</f>
        <v/>
      </c>
      <c r="I6489" s="8">
        <f>IF(D6489="","",VLOOKUP(D6489, RECETTES!B:G, 6, FALSE)*E6489)</f>
        <v/>
      </c>
      <c r="J6489" s="8">
        <f>IF(G6489="","",G6489*0.20)</f>
        <v/>
      </c>
      <c r="K6489" s="8">
        <f>IF(G6489="","",G6489+J6489)</f>
        <v/>
      </c>
    </row>
    <row r="6490">
      <c r="F6490" s="8" t="n"/>
      <c r="G6490" s="8">
        <f>IF(E6490="","",E6490*F6490)</f>
        <v/>
      </c>
      <c r="H6490" s="8">
        <f>IF(G6490="","",G6490-I6490)</f>
        <v/>
      </c>
      <c r="I6490" s="8">
        <f>IF(D6490="","",VLOOKUP(D6490, RECETTES!B:G, 6, FALSE)*E6490)</f>
        <v/>
      </c>
      <c r="J6490" s="8">
        <f>IF(G6490="","",G6490*0.20)</f>
        <v/>
      </c>
      <c r="K6490" s="8">
        <f>IF(G6490="","",G6490+J6490)</f>
        <v/>
      </c>
    </row>
    <row r="6491">
      <c r="F6491" s="8" t="n"/>
      <c r="G6491" s="8">
        <f>IF(E6491="","",E6491*F6491)</f>
        <v/>
      </c>
      <c r="H6491" s="8">
        <f>IF(G6491="","",G6491-I6491)</f>
        <v/>
      </c>
      <c r="I6491" s="8">
        <f>IF(D6491="","",VLOOKUP(D6491, RECETTES!B:G, 6, FALSE)*E6491)</f>
        <v/>
      </c>
      <c r="J6491" s="8">
        <f>IF(G6491="","",G6491*0.20)</f>
        <v/>
      </c>
      <c r="K6491" s="8">
        <f>IF(G6491="","",G6491+J6491)</f>
        <v/>
      </c>
    </row>
    <row r="6492">
      <c r="F6492" s="8" t="n"/>
      <c r="G6492" s="8">
        <f>IF(E6492="","",E6492*F6492)</f>
        <v/>
      </c>
      <c r="H6492" s="8">
        <f>IF(G6492="","",G6492-I6492)</f>
        <v/>
      </c>
      <c r="I6492" s="8">
        <f>IF(D6492="","",VLOOKUP(D6492, RECETTES!B:G, 6, FALSE)*E6492)</f>
        <v/>
      </c>
      <c r="J6492" s="8">
        <f>IF(G6492="","",G6492*0.20)</f>
        <v/>
      </c>
      <c r="K6492" s="8">
        <f>IF(G6492="","",G6492+J6492)</f>
        <v/>
      </c>
    </row>
    <row r="6493">
      <c r="F6493" s="8" t="n"/>
      <c r="G6493" s="8">
        <f>IF(E6493="","",E6493*F6493)</f>
        <v/>
      </c>
      <c r="H6493" s="8">
        <f>IF(G6493="","",G6493-I6493)</f>
        <v/>
      </c>
      <c r="I6493" s="8">
        <f>IF(D6493="","",VLOOKUP(D6493, RECETTES!B:G, 6, FALSE)*E6493)</f>
        <v/>
      </c>
      <c r="J6493" s="8">
        <f>IF(G6493="","",G6493*0.20)</f>
        <v/>
      </c>
      <c r="K6493" s="8">
        <f>IF(G6493="","",G6493+J6493)</f>
        <v/>
      </c>
    </row>
    <row r="6494">
      <c r="F6494" s="8" t="n"/>
      <c r="G6494" s="8">
        <f>IF(E6494="","",E6494*F6494)</f>
        <v/>
      </c>
      <c r="H6494" s="8">
        <f>IF(G6494="","",G6494-I6494)</f>
        <v/>
      </c>
      <c r="I6494" s="8">
        <f>IF(D6494="","",VLOOKUP(D6494, RECETTES!B:G, 6, FALSE)*E6494)</f>
        <v/>
      </c>
      <c r="J6494" s="8">
        <f>IF(G6494="","",G6494*0.20)</f>
        <v/>
      </c>
      <c r="K6494" s="8">
        <f>IF(G6494="","",G6494+J6494)</f>
        <v/>
      </c>
    </row>
    <row r="6495">
      <c r="F6495" s="8" t="n"/>
      <c r="G6495" s="8">
        <f>IF(E6495="","",E6495*F6495)</f>
        <v/>
      </c>
      <c r="H6495" s="8">
        <f>IF(G6495="","",G6495-I6495)</f>
        <v/>
      </c>
      <c r="I6495" s="8">
        <f>IF(D6495="","",VLOOKUP(D6495, RECETTES!B:G, 6, FALSE)*E6495)</f>
        <v/>
      </c>
      <c r="J6495" s="8">
        <f>IF(G6495="","",G6495*0.20)</f>
        <v/>
      </c>
      <c r="K6495" s="8">
        <f>IF(G6495="","",G6495+J6495)</f>
        <v/>
      </c>
    </row>
    <row r="6496">
      <c r="F6496" s="8" t="n"/>
      <c r="G6496" s="8">
        <f>IF(E6496="","",E6496*F6496)</f>
        <v/>
      </c>
      <c r="H6496" s="8">
        <f>IF(G6496="","",G6496-I6496)</f>
        <v/>
      </c>
      <c r="I6496" s="8">
        <f>IF(D6496="","",VLOOKUP(D6496, RECETTES!B:G, 6, FALSE)*E6496)</f>
        <v/>
      </c>
      <c r="J6496" s="8">
        <f>IF(G6496="","",G6496*0.20)</f>
        <v/>
      </c>
      <c r="K6496" s="8">
        <f>IF(G6496="","",G6496+J6496)</f>
        <v/>
      </c>
    </row>
    <row r="6497">
      <c r="F6497" s="8" t="n"/>
      <c r="G6497" s="8">
        <f>IF(E6497="","",E6497*F6497)</f>
        <v/>
      </c>
      <c r="H6497" s="8">
        <f>IF(G6497="","",G6497-I6497)</f>
        <v/>
      </c>
      <c r="I6497" s="8">
        <f>IF(D6497="","",VLOOKUP(D6497, RECETTES!B:G, 6, FALSE)*E6497)</f>
        <v/>
      </c>
      <c r="J6497" s="8">
        <f>IF(G6497="","",G6497*0.20)</f>
        <v/>
      </c>
      <c r="K6497" s="8">
        <f>IF(G6497="","",G6497+J6497)</f>
        <v/>
      </c>
    </row>
    <row r="6498">
      <c r="F6498" s="8" t="n"/>
      <c r="G6498" s="8">
        <f>IF(E6498="","",E6498*F6498)</f>
        <v/>
      </c>
      <c r="H6498" s="8">
        <f>IF(G6498="","",G6498-I6498)</f>
        <v/>
      </c>
      <c r="I6498" s="8">
        <f>IF(D6498="","",VLOOKUP(D6498, RECETTES!B:G, 6, FALSE)*E6498)</f>
        <v/>
      </c>
      <c r="J6498" s="8">
        <f>IF(G6498="","",G6498*0.20)</f>
        <v/>
      </c>
      <c r="K6498" s="8">
        <f>IF(G6498="","",G6498+J6498)</f>
        <v/>
      </c>
    </row>
    <row r="6499">
      <c r="F6499" s="8" t="n"/>
      <c r="G6499" s="8">
        <f>IF(E6499="","",E6499*F6499)</f>
        <v/>
      </c>
      <c r="H6499" s="8">
        <f>IF(G6499="","",G6499-I6499)</f>
        <v/>
      </c>
      <c r="I6499" s="8">
        <f>IF(D6499="","",VLOOKUP(D6499, RECETTES!B:G, 6, FALSE)*E6499)</f>
        <v/>
      </c>
      <c r="J6499" s="8">
        <f>IF(G6499="","",G6499*0.20)</f>
        <v/>
      </c>
      <c r="K6499" s="8">
        <f>IF(G6499="","",G6499+J6499)</f>
        <v/>
      </c>
    </row>
    <row r="6500">
      <c r="F6500" s="8" t="n"/>
      <c r="G6500" s="8">
        <f>IF(E6500="","",E6500*F6500)</f>
        <v/>
      </c>
      <c r="H6500" s="8">
        <f>IF(G6500="","",G6500-I6500)</f>
        <v/>
      </c>
      <c r="I6500" s="8">
        <f>IF(D6500="","",VLOOKUP(D6500, RECETTES!B:G, 6, FALSE)*E6500)</f>
        <v/>
      </c>
      <c r="J6500" s="8">
        <f>IF(G6500="","",G6500*0.20)</f>
        <v/>
      </c>
      <c r="K6500" s="8">
        <f>IF(G6500="","",G6500+J6500)</f>
        <v/>
      </c>
    </row>
    <row r="6501">
      <c r="F6501" s="8" t="n"/>
      <c r="G6501" s="8">
        <f>IF(E6501="","",E6501*F6501)</f>
        <v/>
      </c>
      <c r="H6501" s="8">
        <f>IF(G6501="","",G6501-I6501)</f>
        <v/>
      </c>
      <c r="I6501" s="8">
        <f>IF(D6501="","",VLOOKUP(D6501, RECETTES!B:G, 6, FALSE)*E6501)</f>
        <v/>
      </c>
      <c r="J6501" s="8">
        <f>IF(G6501="","",G6501*0.20)</f>
        <v/>
      </c>
      <c r="K6501" s="8">
        <f>IF(G6501="","",G6501+J6501)</f>
        <v/>
      </c>
    </row>
    <row r="6502">
      <c r="F6502" s="8" t="n"/>
      <c r="G6502" s="8">
        <f>IF(E6502="","",E6502*F6502)</f>
        <v/>
      </c>
      <c r="H6502" s="8">
        <f>IF(G6502="","",G6502-I6502)</f>
        <v/>
      </c>
      <c r="I6502" s="8">
        <f>IF(D6502="","",VLOOKUP(D6502, RECETTES!B:G, 6, FALSE)*E6502)</f>
        <v/>
      </c>
      <c r="J6502" s="8">
        <f>IF(G6502="","",G6502*0.20)</f>
        <v/>
      </c>
      <c r="K6502" s="8">
        <f>IF(G6502="","",G6502+J6502)</f>
        <v/>
      </c>
    </row>
    <row r="6503">
      <c r="F6503" s="8" t="n"/>
      <c r="G6503" s="8">
        <f>IF(E6503="","",E6503*F6503)</f>
        <v/>
      </c>
      <c r="H6503" s="8">
        <f>IF(G6503="","",G6503-I6503)</f>
        <v/>
      </c>
      <c r="I6503" s="8">
        <f>IF(D6503="","",VLOOKUP(D6503, RECETTES!B:G, 6, FALSE)*E6503)</f>
        <v/>
      </c>
      <c r="J6503" s="8">
        <f>IF(G6503="","",G6503*0.20)</f>
        <v/>
      </c>
      <c r="K6503" s="8">
        <f>IF(G6503="","",G6503+J6503)</f>
        <v/>
      </c>
    </row>
    <row r="6504">
      <c r="F6504" s="8" t="n"/>
      <c r="G6504" s="8">
        <f>IF(E6504="","",E6504*F6504)</f>
        <v/>
      </c>
      <c r="H6504" s="8">
        <f>IF(G6504="","",G6504-I6504)</f>
        <v/>
      </c>
      <c r="I6504" s="8">
        <f>IF(D6504="","",VLOOKUP(D6504, RECETTES!B:G, 6, FALSE)*E6504)</f>
        <v/>
      </c>
      <c r="J6504" s="8">
        <f>IF(G6504="","",G6504*0.20)</f>
        <v/>
      </c>
      <c r="K6504" s="8">
        <f>IF(G6504="","",G6504+J6504)</f>
        <v/>
      </c>
    </row>
    <row r="6505">
      <c r="F6505" s="8" t="n"/>
      <c r="G6505" s="8">
        <f>IF(E6505="","",E6505*F6505)</f>
        <v/>
      </c>
      <c r="H6505" s="8">
        <f>IF(G6505="","",G6505-I6505)</f>
        <v/>
      </c>
      <c r="I6505" s="8">
        <f>IF(D6505="","",VLOOKUP(D6505, RECETTES!B:G, 6, FALSE)*E6505)</f>
        <v/>
      </c>
      <c r="J6505" s="8">
        <f>IF(G6505="","",G6505*0.20)</f>
        <v/>
      </c>
      <c r="K6505" s="8">
        <f>IF(G6505="","",G6505+J6505)</f>
        <v/>
      </c>
    </row>
    <row r="6506">
      <c r="F6506" s="8" t="n"/>
      <c r="G6506" s="8">
        <f>IF(E6506="","",E6506*F6506)</f>
        <v/>
      </c>
      <c r="H6506" s="8">
        <f>IF(G6506="","",G6506-I6506)</f>
        <v/>
      </c>
      <c r="I6506" s="8">
        <f>IF(D6506="","",VLOOKUP(D6506, RECETTES!B:G, 6, FALSE)*E6506)</f>
        <v/>
      </c>
      <c r="J6506" s="8">
        <f>IF(G6506="","",G6506*0.20)</f>
        <v/>
      </c>
      <c r="K6506" s="8">
        <f>IF(G6506="","",G6506+J6506)</f>
        <v/>
      </c>
    </row>
    <row r="6507">
      <c r="F6507" s="8" t="n"/>
      <c r="G6507" s="8">
        <f>IF(E6507="","",E6507*F6507)</f>
        <v/>
      </c>
      <c r="H6507" s="8">
        <f>IF(G6507="","",G6507-I6507)</f>
        <v/>
      </c>
      <c r="I6507" s="8">
        <f>IF(D6507="","",VLOOKUP(D6507, RECETTES!B:G, 6, FALSE)*E6507)</f>
        <v/>
      </c>
      <c r="J6507" s="8">
        <f>IF(G6507="","",G6507*0.20)</f>
        <v/>
      </c>
      <c r="K6507" s="8">
        <f>IF(G6507="","",G6507+J6507)</f>
        <v/>
      </c>
    </row>
    <row r="6508">
      <c r="F6508" s="8" t="n"/>
      <c r="G6508" s="8">
        <f>IF(E6508="","",E6508*F6508)</f>
        <v/>
      </c>
      <c r="H6508" s="8">
        <f>IF(G6508="","",G6508-I6508)</f>
        <v/>
      </c>
      <c r="I6508" s="8">
        <f>IF(D6508="","",VLOOKUP(D6508, RECETTES!B:G, 6, FALSE)*E6508)</f>
        <v/>
      </c>
      <c r="J6508" s="8">
        <f>IF(G6508="","",G6508*0.20)</f>
        <v/>
      </c>
      <c r="K6508" s="8">
        <f>IF(G6508="","",G6508+J6508)</f>
        <v/>
      </c>
    </row>
    <row r="6509">
      <c r="F6509" s="8" t="n"/>
      <c r="G6509" s="8">
        <f>IF(E6509="","",E6509*F6509)</f>
        <v/>
      </c>
      <c r="H6509" s="8">
        <f>IF(G6509="","",G6509-I6509)</f>
        <v/>
      </c>
      <c r="I6509" s="8">
        <f>IF(D6509="","",VLOOKUP(D6509, RECETTES!B:G, 6, FALSE)*E6509)</f>
        <v/>
      </c>
      <c r="J6509" s="8">
        <f>IF(G6509="","",G6509*0.20)</f>
        <v/>
      </c>
      <c r="K6509" s="8">
        <f>IF(G6509="","",G6509+J6509)</f>
        <v/>
      </c>
    </row>
    <row r="6510">
      <c r="F6510" s="8" t="n"/>
      <c r="G6510" s="8">
        <f>IF(E6510="","",E6510*F6510)</f>
        <v/>
      </c>
      <c r="H6510" s="8">
        <f>IF(G6510="","",G6510-I6510)</f>
        <v/>
      </c>
      <c r="I6510" s="8">
        <f>IF(D6510="","",VLOOKUP(D6510, RECETTES!B:G, 6, FALSE)*E6510)</f>
        <v/>
      </c>
      <c r="J6510" s="8">
        <f>IF(G6510="","",G6510*0.20)</f>
        <v/>
      </c>
      <c r="K6510" s="8">
        <f>IF(G6510="","",G6510+J6510)</f>
        <v/>
      </c>
    </row>
    <row r="6511">
      <c r="F6511" s="8" t="n"/>
      <c r="G6511" s="8">
        <f>IF(E6511="","",E6511*F6511)</f>
        <v/>
      </c>
      <c r="H6511" s="8">
        <f>IF(G6511="","",G6511-I6511)</f>
        <v/>
      </c>
      <c r="I6511" s="8">
        <f>IF(D6511="","",VLOOKUP(D6511, RECETTES!B:G, 6, FALSE)*E6511)</f>
        <v/>
      </c>
      <c r="J6511" s="8">
        <f>IF(G6511="","",G6511*0.20)</f>
        <v/>
      </c>
      <c r="K6511" s="8">
        <f>IF(G6511="","",G6511+J6511)</f>
        <v/>
      </c>
    </row>
    <row r="6512">
      <c r="F6512" s="8" t="n"/>
      <c r="G6512" s="8">
        <f>IF(E6512="","",E6512*F6512)</f>
        <v/>
      </c>
      <c r="H6512" s="8">
        <f>IF(G6512="","",G6512-I6512)</f>
        <v/>
      </c>
      <c r="I6512" s="8">
        <f>IF(D6512="","",VLOOKUP(D6512, RECETTES!B:G, 6, FALSE)*E6512)</f>
        <v/>
      </c>
      <c r="J6512" s="8">
        <f>IF(G6512="","",G6512*0.20)</f>
        <v/>
      </c>
      <c r="K6512" s="8">
        <f>IF(G6512="","",G6512+J6512)</f>
        <v/>
      </c>
    </row>
    <row r="6513">
      <c r="F6513" s="8" t="n"/>
      <c r="G6513" s="8">
        <f>IF(E6513="","",E6513*F6513)</f>
        <v/>
      </c>
      <c r="H6513" s="8">
        <f>IF(G6513="","",G6513-I6513)</f>
        <v/>
      </c>
      <c r="I6513" s="8">
        <f>IF(D6513="","",VLOOKUP(D6513, RECETTES!B:G, 6, FALSE)*E6513)</f>
        <v/>
      </c>
      <c r="J6513" s="8">
        <f>IF(G6513="","",G6513*0.20)</f>
        <v/>
      </c>
      <c r="K6513" s="8">
        <f>IF(G6513="","",G6513+J6513)</f>
        <v/>
      </c>
    </row>
    <row r="6514">
      <c r="F6514" s="8" t="n"/>
      <c r="G6514" s="8">
        <f>IF(E6514="","",E6514*F6514)</f>
        <v/>
      </c>
      <c r="H6514" s="8">
        <f>IF(G6514="","",G6514-I6514)</f>
        <v/>
      </c>
      <c r="I6514" s="8">
        <f>IF(D6514="","",VLOOKUP(D6514, RECETTES!B:G, 6, FALSE)*E6514)</f>
        <v/>
      </c>
      <c r="J6514" s="8">
        <f>IF(G6514="","",G6514*0.20)</f>
        <v/>
      </c>
      <c r="K6514" s="8">
        <f>IF(G6514="","",G6514+J6514)</f>
        <v/>
      </c>
    </row>
    <row r="6515">
      <c r="F6515" s="8" t="n"/>
      <c r="G6515" s="8">
        <f>IF(E6515="","",E6515*F6515)</f>
        <v/>
      </c>
      <c r="H6515" s="8">
        <f>IF(G6515="","",G6515-I6515)</f>
        <v/>
      </c>
      <c r="I6515" s="8">
        <f>IF(D6515="","",VLOOKUP(D6515, RECETTES!B:G, 6, FALSE)*E6515)</f>
        <v/>
      </c>
      <c r="J6515" s="8">
        <f>IF(G6515="","",G6515*0.20)</f>
        <v/>
      </c>
      <c r="K6515" s="8">
        <f>IF(G6515="","",G6515+J6515)</f>
        <v/>
      </c>
    </row>
    <row r="6516">
      <c r="F6516" s="8" t="n"/>
      <c r="G6516" s="8">
        <f>IF(E6516="","",E6516*F6516)</f>
        <v/>
      </c>
      <c r="H6516" s="8">
        <f>IF(G6516="","",G6516-I6516)</f>
        <v/>
      </c>
      <c r="I6516" s="8">
        <f>IF(D6516="","",VLOOKUP(D6516, RECETTES!B:G, 6, FALSE)*E6516)</f>
        <v/>
      </c>
      <c r="J6516" s="8">
        <f>IF(G6516="","",G6516*0.20)</f>
        <v/>
      </c>
      <c r="K6516" s="8">
        <f>IF(G6516="","",G6516+J6516)</f>
        <v/>
      </c>
    </row>
    <row r="6517">
      <c r="F6517" s="8" t="n"/>
      <c r="G6517" s="8">
        <f>IF(E6517="","",E6517*F6517)</f>
        <v/>
      </c>
      <c r="H6517" s="8">
        <f>IF(G6517="","",G6517-I6517)</f>
        <v/>
      </c>
      <c r="I6517" s="8">
        <f>IF(D6517="","",VLOOKUP(D6517, RECETTES!B:G, 6, FALSE)*E6517)</f>
        <v/>
      </c>
      <c r="J6517" s="8">
        <f>IF(G6517="","",G6517*0.20)</f>
        <v/>
      </c>
      <c r="K6517" s="8">
        <f>IF(G6517="","",G6517+J6517)</f>
        <v/>
      </c>
    </row>
    <row r="6518">
      <c r="F6518" s="8" t="n"/>
      <c r="G6518" s="8">
        <f>IF(E6518="","",E6518*F6518)</f>
        <v/>
      </c>
      <c r="H6518" s="8">
        <f>IF(G6518="","",G6518-I6518)</f>
        <v/>
      </c>
      <c r="I6518" s="8">
        <f>IF(D6518="","",VLOOKUP(D6518, RECETTES!B:G, 6, FALSE)*E6518)</f>
        <v/>
      </c>
      <c r="J6518" s="8">
        <f>IF(G6518="","",G6518*0.20)</f>
        <v/>
      </c>
      <c r="K6518" s="8">
        <f>IF(G6518="","",G6518+J6518)</f>
        <v/>
      </c>
    </row>
    <row r="6519">
      <c r="F6519" s="8" t="n"/>
      <c r="G6519" s="8">
        <f>IF(E6519="","",E6519*F6519)</f>
        <v/>
      </c>
      <c r="H6519" s="8">
        <f>IF(G6519="","",G6519-I6519)</f>
        <v/>
      </c>
      <c r="I6519" s="8">
        <f>IF(D6519="","",VLOOKUP(D6519, RECETTES!B:G, 6, FALSE)*E6519)</f>
        <v/>
      </c>
      <c r="J6519" s="8">
        <f>IF(G6519="","",G6519*0.20)</f>
        <v/>
      </c>
      <c r="K6519" s="8">
        <f>IF(G6519="","",G6519+J6519)</f>
        <v/>
      </c>
    </row>
    <row r="6520">
      <c r="F6520" s="8" t="n"/>
      <c r="G6520" s="8">
        <f>IF(E6520="","",E6520*F6520)</f>
        <v/>
      </c>
      <c r="H6520" s="8">
        <f>IF(G6520="","",G6520-I6520)</f>
        <v/>
      </c>
      <c r="I6520" s="8">
        <f>IF(D6520="","",VLOOKUP(D6520, RECETTES!B:G, 6, FALSE)*E6520)</f>
        <v/>
      </c>
      <c r="J6520" s="8">
        <f>IF(G6520="","",G6520*0.20)</f>
        <v/>
      </c>
      <c r="K6520" s="8">
        <f>IF(G6520="","",G6520+J6520)</f>
        <v/>
      </c>
    </row>
    <row r="6521">
      <c r="F6521" s="8" t="n"/>
      <c r="G6521" s="8">
        <f>IF(E6521="","",E6521*F6521)</f>
        <v/>
      </c>
      <c r="H6521" s="8">
        <f>IF(G6521="","",G6521-I6521)</f>
        <v/>
      </c>
      <c r="I6521" s="8">
        <f>IF(D6521="","",VLOOKUP(D6521, RECETTES!B:G, 6, FALSE)*E6521)</f>
        <v/>
      </c>
      <c r="J6521" s="8">
        <f>IF(G6521="","",G6521*0.20)</f>
        <v/>
      </c>
      <c r="K6521" s="8">
        <f>IF(G6521="","",G6521+J6521)</f>
        <v/>
      </c>
    </row>
    <row r="6522">
      <c r="F6522" s="8" t="n"/>
      <c r="G6522" s="8">
        <f>IF(E6522="","",E6522*F6522)</f>
        <v/>
      </c>
      <c r="H6522" s="8">
        <f>IF(G6522="","",G6522-I6522)</f>
        <v/>
      </c>
      <c r="I6522" s="8">
        <f>IF(D6522="","",VLOOKUP(D6522, RECETTES!B:G, 6, FALSE)*E6522)</f>
        <v/>
      </c>
      <c r="J6522" s="8">
        <f>IF(G6522="","",G6522*0.20)</f>
        <v/>
      </c>
      <c r="K6522" s="8">
        <f>IF(G6522="","",G6522+J6522)</f>
        <v/>
      </c>
    </row>
    <row r="6523">
      <c r="F6523" s="8" t="n"/>
      <c r="G6523" s="8">
        <f>IF(E6523="","",E6523*F6523)</f>
        <v/>
      </c>
      <c r="H6523" s="8">
        <f>IF(G6523="","",G6523-I6523)</f>
        <v/>
      </c>
      <c r="I6523" s="8">
        <f>IF(D6523="","",VLOOKUP(D6523, RECETTES!B:G, 6, FALSE)*E6523)</f>
        <v/>
      </c>
      <c r="J6523" s="8">
        <f>IF(G6523="","",G6523*0.20)</f>
        <v/>
      </c>
      <c r="K6523" s="8">
        <f>IF(G6523="","",G6523+J6523)</f>
        <v/>
      </c>
    </row>
    <row r="6524">
      <c r="F6524" s="8" t="n"/>
      <c r="G6524" s="8">
        <f>IF(E6524="","",E6524*F6524)</f>
        <v/>
      </c>
      <c r="H6524" s="8">
        <f>IF(G6524="","",G6524-I6524)</f>
        <v/>
      </c>
      <c r="I6524" s="8">
        <f>IF(D6524="","",VLOOKUP(D6524, RECETTES!B:G, 6, FALSE)*E6524)</f>
        <v/>
      </c>
      <c r="J6524" s="8">
        <f>IF(G6524="","",G6524*0.20)</f>
        <v/>
      </c>
      <c r="K6524" s="8">
        <f>IF(G6524="","",G6524+J6524)</f>
        <v/>
      </c>
    </row>
    <row r="6525">
      <c r="F6525" s="8" t="n"/>
      <c r="G6525" s="8">
        <f>IF(E6525="","",E6525*F6525)</f>
        <v/>
      </c>
      <c r="H6525" s="8">
        <f>IF(G6525="","",G6525-I6525)</f>
        <v/>
      </c>
      <c r="I6525" s="8">
        <f>IF(D6525="","",VLOOKUP(D6525, RECETTES!B:G, 6, FALSE)*E6525)</f>
        <v/>
      </c>
      <c r="J6525" s="8">
        <f>IF(G6525="","",G6525*0.20)</f>
        <v/>
      </c>
      <c r="K6525" s="8">
        <f>IF(G6525="","",G6525+J6525)</f>
        <v/>
      </c>
    </row>
    <row r="6526">
      <c r="F6526" s="8" t="n"/>
      <c r="G6526" s="8">
        <f>IF(E6526="","",E6526*F6526)</f>
        <v/>
      </c>
      <c r="H6526" s="8">
        <f>IF(G6526="","",G6526-I6526)</f>
        <v/>
      </c>
      <c r="I6526" s="8">
        <f>IF(D6526="","",VLOOKUP(D6526, RECETTES!B:G, 6, FALSE)*E6526)</f>
        <v/>
      </c>
      <c r="J6526" s="8">
        <f>IF(G6526="","",G6526*0.20)</f>
        <v/>
      </c>
      <c r="K6526" s="8">
        <f>IF(G6526="","",G6526+J6526)</f>
        <v/>
      </c>
    </row>
    <row r="6527">
      <c r="F6527" s="8" t="n"/>
      <c r="G6527" s="8">
        <f>IF(E6527="","",E6527*F6527)</f>
        <v/>
      </c>
      <c r="H6527" s="8">
        <f>IF(G6527="","",G6527-I6527)</f>
        <v/>
      </c>
      <c r="I6527" s="8">
        <f>IF(D6527="","",VLOOKUP(D6527, RECETTES!B:G, 6, FALSE)*E6527)</f>
        <v/>
      </c>
      <c r="J6527" s="8">
        <f>IF(G6527="","",G6527*0.20)</f>
        <v/>
      </c>
      <c r="K6527" s="8">
        <f>IF(G6527="","",G6527+J6527)</f>
        <v/>
      </c>
    </row>
    <row r="6528">
      <c r="F6528" s="8" t="n"/>
      <c r="G6528" s="8">
        <f>IF(E6528="","",E6528*F6528)</f>
        <v/>
      </c>
      <c r="H6528" s="8">
        <f>IF(G6528="","",G6528-I6528)</f>
        <v/>
      </c>
      <c r="I6528" s="8">
        <f>IF(D6528="","",VLOOKUP(D6528, RECETTES!B:G, 6, FALSE)*E6528)</f>
        <v/>
      </c>
      <c r="J6528" s="8">
        <f>IF(G6528="","",G6528*0.20)</f>
        <v/>
      </c>
      <c r="K6528" s="8">
        <f>IF(G6528="","",G6528+J6528)</f>
        <v/>
      </c>
    </row>
    <row r="6529">
      <c r="F6529" s="8" t="n"/>
      <c r="G6529" s="8">
        <f>IF(E6529="","",E6529*F6529)</f>
        <v/>
      </c>
      <c r="H6529" s="8">
        <f>IF(G6529="","",G6529-I6529)</f>
        <v/>
      </c>
      <c r="I6529" s="8">
        <f>IF(D6529="","",VLOOKUP(D6529, RECETTES!B:G, 6, FALSE)*E6529)</f>
        <v/>
      </c>
      <c r="J6529" s="8">
        <f>IF(G6529="","",G6529*0.20)</f>
        <v/>
      </c>
      <c r="K6529" s="8">
        <f>IF(G6529="","",G6529+J6529)</f>
        <v/>
      </c>
    </row>
    <row r="6530">
      <c r="F6530" s="8" t="n"/>
      <c r="G6530" s="8">
        <f>IF(E6530="","",E6530*F6530)</f>
        <v/>
      </c>
      <c r="H6530" s="8">
        <f>IF(G6530="","",G6530-I6530)</f>
        <v/>
      </c>
      <c r="I6530" s="8">
        <f>IF(D6530="","",VLOOKUP(D6530, RECETTES!B:G, 6, FALSE)*E6530)</f>
        <v/>
      </c>
      <c r="J6530" s="8">
        <f>IF(G6530="","",G6530*0.20)</f>
        <v/>
      </c>
      <c r="K6530" s="8">
        <f>IF(G6530="","",G6530+J6530)</f>
        <v/>
      </c>
    </row>
    <row r="6531">
      <c r="F6531" s="8" t="n"/>
      <c r="G6531" s="8">
        <f>IF(E6531="","",E6531*F6531)</f>
        <v/>
      </c>
      <c r="H6531" s="8">
        <f>IF(G6531="","",G6531-I6531)</f>
        <v/>
      </c>
      <c r="I6531" s="8">
        <f>IF(D6531="","",VLOOKUP(D6531, RECETTES!B:G, 6, FALSE)*E6531)</f>
        <v/>
      </c>
      <c r="J6531" s="8">
        <f>IF(G6531="","",G6531*0.20)</f>
        <v/>
      </c>
      <c r="K6531" s="8">
        <f>IF(G6531="","",G6531+J6531)</f>
        <v/>
      </c>
    </row>
    <row r="6532">
      <c r="F6532" s="8" t="n"/>
      <c r="G6532" s="8">
        <f>IF(E6532="","",E6532*F6532)</f>
        <v/>
      </c>
      <c r="H6532" s="8">
        <f>IF(G6532="","",G6532-I6532)</f>
        <v/>
      </c>
      <c r="I6532" s="8">
        <f>IF(D6532="","",VLOOKUP(D6532, RECETTES!B:G, 6, FALSE)*E6532)</f>
        <v/>
      </c>
      <c r="J6532" s="8">
        <f>IF(G6532="","",G6532*0.20)</f>
        <v/>
      </c>
      <c r="K6532" s="8">
        <f>IF(G6532="","",G6532+J6532)</f>
        <v/>
      </c>
    </row>
    <row r="6533">
      <c r="F6533" s="8" t="n"/>
      <c r="G6533" s="8">
        <f>IF(E6533="","",E6533*F6533)</f>
        <v/>
      </c>
      <c r="H6533" s="8">
        <f>IF(G6533="","",G6533-I6533)</f>
        <v/>
      </c>
      <c r="I6533" s="8">
        <f>IF(D6533="","",VLOOKUP(D6533, RECETTES!B:G, 6, FALSE)*E6533)</f>
        <v/>
      </c>
      <c r="J6533" s="8">
        <f>IF(G6533="","",G6533*0.20)</f>
        <v/>
      </c>
      <c r="K6533" s="8">
        <f>IF(G6533="","",G6533+J6533)</f>
        <v/>
      </c>
    </row>
    <row r="6534">
      <c r="F6534" s="8" t="n"/>
      <c r="G6534" s="8">
        <f>IF(E6534="","",E6534*F6534)</f>
        <v/>
      </c>
      <c r="H6534" s="8">
        <f>IF(G6534="","",G6534-I6534)</f>
        <v/>
      </c>
      <c r="I6534" s="8">
        <f>IF(D6534="","",VLOOKUP(D6534, RECETTES!B:G, 6, FALSE)*E6534)</f>
        <v/>
      </c>
      <c r="J6534" s="8">
        <f>IF(G6534="","",G6534*0.20)</f>
        <v/>
      </c>
      <c r="K6534" s="8">
        <f>IF(G6534="","",G6534+J6534)</f>
        <v/>
      </c>
    </row>
    <row r="6535">
      <c r="F6535" s="8" t="n"/>
      <c r="G6535" s="8">
        <f>IF(E6535="","",E6535*F6535)</f>
        <v/>
      </c>
      <c r="H6535" s="8">
        <f>IF(G6535="","",G6535-I6535)</f>
        <v/>
      </c>
      <c r="I6535" s="8">
        <f>IF(D6535="","",VLOOKUP(D6535, RECETTES!B:G, 6, FALSE)*E6535)</f>
        <v/>
      </c>
      <c r="J6535" s="8">
        <f>IF(G6535="","",G6535*0.20)</f>
        <v/>
      </c>
      <c r="K6535" s="8">
        <f>IF(G6535="","",G6535+J6535)</f>
        <v/>
      </c>
    </row>
    <row r="6536">
      <c r="F6536" s="8" t="n"/>
      <c r="G6536" s="8">
        <f>IF(E6536="","",E6536*F6536)</f>
        <v/>
      </c>
      <c r="H6536" s="8">
        <f>IF(G6536="","",G6536-I6536)</f>
        <v/>
      </c>
      <c r="I6536" s="8">
        <f>IF(D6536="","",VLOOKUP(D6536, RECETTES!B:G, 6, FALSE)*E6536)</f>
        <v/>
      </c>
      <c r="J6536" s="8">
        <f>IF(G6536="","",G6536*0.20)</f>
        <v/>
      </c>
      <c r="K6536" s="8">
        <f>IF(G6536="","",G6536+J6536)</f>
        <v/>
      </c>
    </row>
    <row r="6537">
      <c r="F6537" s="8" t="n"/>
      <c r="G6537" s="8">
        <f>IF(E6537="","",E6537*F6537)</f>
        <v/>
      </c>
      <c r="H6537" s="8">
        <f>IF(G6537="","",G6537-I6537)</f>
        <v/>
      </c>
      <c r="I6537" s="8">
        <f>IF(D6537="","",VLOOKUP(D6537, RECETTES!B:G, 6, FALSE)*E6537)</f>
        <v/>
      </c>
      <c r="J6537" s="8">
        <f>IF(G6537="","",G6537*0.20)</f>
        <v/>
      </c>
      <c r="K6537" s="8">
        <f>IF(G6537="","",G6537+J6537)</f>
        <v/>
      </c>
    </row>
    <row r="6538">
      <c r="F6538" s="8" t="n"/>
      <c r="G6538" s="8">
        <f>IF(E6538="","",E6538*F6538)</f>
        <v/>
      </c>
      <c r="H6538" s="8">
        <f>IF(G6538="","",G6538-I6538)</f>
        <v/>
      </c>
      <c r="I6538" s="8">
        <f>IF(D6538="","",VLOOKUP(D6538, RECETTES!B:G, 6, FALSE)*E6538)</f>
        <v/>
      </c>
      <c r="J6538" s="8">
        <f>IF(G6538="","",G6538*0.20)</f>
        <v/>
      </c>
      <c r="K6538" s="8">
        <f>IF(G6538="","",G6538+J6538)</f>
        <v/>
      </c>
    </row>
    <row r="6539">
      <c r="F6539" s="8" t="n"/>
      <c r="G6539" s="8">
        <f>IF(E6539="","",E6539*F6539)</f>
        <v/>
      </c>
      <c r="H6539" s="8">
        <f>IF(G6539="","",G6539-I6539)</f>
        <v/>
      </c>
      <c r="I6539" s="8">
        <f>IF(D6539="","",VLOOKUP(D6539, RECETTES!B:G, 6, FALSE)*E6539)</f>
        <v/>
      </c>
      <c r="J6539" s="8">
        <f>IF(G6539="","",G6539*0.20)</f>
        <v/>
      </c>
      <c r="K6539" s="8">
        <f>IF(G6539="","",G6539+J6539)</f>
        <v/>
      </c>
    </row>
    <row r="6540">
      <c r="F6540" s="8" t="n"/>
      <c r="G6540" s="8">
        <f>IF(E6540="","",E6540*F6540)</f>
        <v/>
      </c>
      <c r="H6540" s="8">
        <f>IF(G6540="","",G6540-I6540)</f>
        <v/>
      </c>
      <c r="I6540" s="8">
        <f>IF(D6540="","",VLOOKUP(D6540, RECETTES!B:G, 6, FALSE)*E6540)</f>
        <v/>
      </c>
      <c r="J6540" s="8">
        <f>IF(G6540="","",G6540*0.20)</f>
        <v/>
      </c>
      <c r="K6540" s="8">
        <f>IF(G6540="","",G6540+J6540)</f>
        <v/>
      </c>
    </row>
    <row r="6541">
      <c r="F6541" s="8" t="n"/>
      <c r="G6541" s="8">
        <f>IF(E6541="","",E6541*F6541)</f>
        <v/>
      </c>
      <c r="H6541" s="8">
        <f>IF(G6541="","",G6541-I6541)</f>
        <v/>
      </c>
      <c r="I6541" s="8">
        <f>IF(D6541="","",VLOOKUP(D6541, RECETTES!B:G, 6, FALSE)*E6541)</f>
        <v/>
      </c>
      <c r="J6541" s="8">
        <f>IF(G6541="","",G6541*0.20)</f>
        <v/>
      </c>
      <c r="K6541" s="8">
        <f>IF(G6541="","",G6541+J6541)</f>
        <v/>
      </c>
    </row>
    <row r="6542">
      <c r="F6542" s="8" t="n"/>
      <c r="G6542" s="8">
        <f>IF(E6542="","",E6542*F6542)</f>
        <v/>
      </c>
      <c r="H6542" s="8">
        <f>IF(G6542="","",G6542-I6542)</f>
        <v/>
      </c>
      <c r="I6542" s="8">
        <f>IF(D6542="","",VLOOKUP(D6542, RECETTES!B:G, 6, FALSE)*E6542)</f>
        <v/>
      </c>
      <c r="J6542" s="8">
        <f>IF(G6542="","",G6542*0.20)</f>
        <v/>
      </c>
      <c r="K6542" s="8">
        <f>IF(G6542="","",G6542+J6542)</f>
        <v/>
      </c>
    </row>
    <row r="6543">
      <c r="F6543" s="8" t="n"/>
      <c r="G6543" s="8">
        <f>IF(E6543="","",E6543*F6543)</f>
        <v/>
      </c>
      <c r="H6543" s="8">
        <f>IF(G6543="","",G6543-I6543)</f>
        <v/>
      </c>
      <c r="I6543" s="8">
        <f>IF(D6543="","",VLOOKUP(D6543, RECETTES!B:G, 6, FALSE)*E6543)</f>
        <v/>
      </c>
      <c r="J6543" s="8">
        <f>IF(G6543="","",G6543*0.20)</f>
        <v/>
      </c>
      <c r="K6543" s="8">
        <f>IF(G6543="","",G6543+J6543)</f>
        <v/>
      </c>
    </row>
    <row r="6544">
      <c r="F6544" s="8" t="n"/>
      <c r="G6544" s="8">
        <f>IF(E6544="","",E6544*F6544)</f>
        <v/>
      </c>
      <c r="H6544" s="8">
        <f>IF(G6544="","",G6544-I6544)</f>
        <v/>
      </c>
      <c r="I6544" s="8">
        <f>IF(D6544="","",VLOOKUP(D6544, RECETTES!B:G, 6, FALSE)*E6544)</f>
        <v/>
      </c>
      <c r="J6544" s="8">
        <f>IF(G6544="","",G6544*0.20)</f>
        <v/>
      </c>
      <c r="K6544" s="8">
        <f>IF(G6544="","",G6544+J6544)</f>
        <v/>
      </c>
    </row>
    <row r="6545">
      <c r="F6545" s="8" t="n"/>
      <c r="G6545" s="8">
        <f>IF(E6545="","",E6545*F6545)</f>
        <v/>
      </c>
      <c r="H6545" s="8">
        <f>IF(G6545="","",G6545-I6545)</f>
        <v/>
      </c>
      <c r="I6545" s="8">
        <f>IF(D6545="","",VLOOKUP(D6545, RECETTES!B:G, 6, FALSE)*E6545)</f>
        <v/>
      </c>
      <c r="J6545" s="8">
        <f>IF(G6545="","",G6545*0.20)</f>
        <v/>
      </c>
      <c r="K6545" s="8">
        <f>IF(G6545="","",G6545+J6545)</f>
        <v/>
      </c>
    </row>
    <row r="6546">
      <c r="F6546" s="8" t="n"/>
      <c r="G6546" s="8">
        <f>IF(E6546="","",E6546*F6546)</f>
        <v/>
      </c>
      <c r="H6546" s="8">
        <f>IF(G6546="","",G6546-I6546)</f>
        <v/>
      </c>
      <c r="I6546" s="8">
        <f>IF(D6546="","",VLOOKUP(D6546, RECETTES!B:G, 6, FALSE)*E6546)</f>
        <v/>
      </c>
      <c r="J6546" s="8">
        <f>IF(G6546="","",G6546*0.20)</f>
        <v/>
      </c>
      <c r="K6546" s="8">
        <f>IF(G6546="","",G6546+J6546)</f>
        <v/>
      </c>
    </row>
    <row r="6547">
      <c r="F6547" s="8" t="n"/>
      <c r="G6547" s="8">
        <f>IF(E6547="","",E6547*F6547)</f>
        <v/>
      </c>
      <c r="H6547" s="8">
        <f>IF(G6547="","",G6547-I6547)</f>
        <v/>
      </c>
      <c r="I6547" s="8">
        <f>IF(D6547="","",VLOOKUP(D6547, RECETTES!B:G, 6, FALSE)*E6547)</f>
        <v/>
      </c>
      <c r="J6547" s="8">
        <f>IF(G6547="","",G6547*0.20)</f>
        <v/>
      </c>
      <c r="K6547" s="8">
        <f>IF(G6547="","",G6547+J6547)</f>
        <v/>
      </c>
    </row>
    <row r="6548">
      <c r="F6548" s="8" t="n"/>
      <c r="G6548" s="8">
        <f>IF(E6548="","",E6548*F6548)</f>
        <v/>
      </c>
      <c r="H6548" s="8">
        <f>IF(G6548="","",G6548-I6548)</f>
        <v/>
      </c>
      <c r="I6548" s="8">
        <f>IF(D6548="","",VLOOKUP(D6548, RECETTES!B:G, 6, FALSE)*E6548)</f>
        <v/>
      </c>
      <c r="J6548" s="8">
        <f>IF(G6548="","",G6548*0.20)</f>
        <v/>
      </c>
      <c r="K6548" s="8">
        <f>IF(G6548="","",G6548+J6548)</f>
        <v/>
      </c>
    </row>
    <row r="6549">
      <c r="F6549" s="8" t="n"/>
      <c r="G6549" s="8">
        <f>IF(E6549="","",E6549*F6549)</f>
        <v/>
      </c>
      <c r="H6549" s="8">
        <f>IF(G6549="","",G6549-I6549)</f>
        <v/>
      </c>
      <c r="I6549" s="8">
        <f>IF(D6549="","",VLOOKUP(D6549, RECETTES!B:G, 6, FALSE)*E6549)</f>
        <v/>
      </c>
      <c r="J6549" s="8">
        <f>IF(G6549="","",G6549*0.20)</f>
        <v/>
      </c>
      <c r="K6549" s="8">
        <f>IF(G6549="","",G6549+J6549)</f>
        <v/>
      </c>
    </row>
    <row r="6550">
      <c r="F6550" s="8" t="n"/>
      <c r="G6550" s="8">
        <f>IF(E6550="","",E6550*F6550)</f>
        <v/>
      </c>
      <c r="H6550" s="8">
        <f>IF(G6550="","",G6550-I6550)</f>
        <v/>
      </c>
      <c r="I6550" s="8">
        <f>IF(D6550="","",VLOOKUP(D6550, RECETTES!B:G, 6, FALSE)*E6550)</f>
        <v/>
      </c>
      <c r="J6550" s="8">
        <f>IF(G6550="","",G6550*0.20)</f>
        <v/>
      </c>
      <c r="K6550" s="8">
        <f>IF(G6550="","",G6550+J6550)</f>
        <v/>
      </c>
    </row>
    <row r="6551">
      <c r="F6551" s="8" t="n"/>
      <c r="G6551" s="8">
        <f>IF(E6551="","",E6551*F6551)</f>
        <v/>
      </c>
      <c r="H6551" s="8">
        <f>IF(G6551="","",G6551-I6551)</f>
        <v/>
      </c>
      <c r="I6551" s="8">
        <f>IF(D6551="","",VLOOKUP(D6551, RECETTES!B:G, 6, FALSE)*E6551)</f>
        <v/>
      </c>
      <c r="J6551" s="8">
        <f>IF(G6551="","",G6551*0.20)</f>
        <v/>
      </c>
      <c r="K6551" s="8">
        <f>IF(G6551="","",G6551+J6551)</f>
        <v/>
      </c>
    </row>
    <row r="6552">
      <c r="F6552" s="8" t="n"/>
      <c r="G6552" s="8">
        <f>IF(E6552="","",E6552*F6552)</f>
        <v/>
      </c>
      <c r="H6552" s="8">
        <f>IF(G6552="","",G6552-I6552)</f>
        <v/>
      </c>
      <c r="I6552" s="8">
        <f>IF(D6552="","",VLOOKUP(D6552, RECETTES!B:G, 6, FALSE)*E6552)</f>
        <v/>
      </c>
      <c r="J6552" s="8">
        <f>IF(G6552="","",G6552*0.20)</f>
        <v/>
      </c>
      <c r="K6552" s="8">
        <f>IF(G6552="","",G6552+J6552)</f>
        <v/>
      </c>
    </row>
    <row r="6553">
      <c r="F6553" s="8" t="n"/>
      <c r="G6553" s="8">
        <f>IF(E6553="","",E6553*F6553)</f>
        <v/>
      </c>
      <c r="H6553" s="8">
        <f>IF(G6553="","",G6553-I6553)</f>
        <v/>
      </c>
      <c r="I6553" s="8">
        <f>IF(D6553="","",VLOOKUP(D6553, RECETTES!B:G, 6, FALSE)*E6553)</f>
        <v/>
      </c>
      <c r="J6553" s="8">
        <f>IF(G6553="","",G6553*0.20)</f>
        <v/>
      </c>
      <c r="K6553" s="8">
        <f>IF(G6553="","",G6553+J6553)</f>
        <v/>
      </c>
    </row>
    <row r="6554">
      <c r="F6554" s="8" t="n"/>
      <c r="G6554" s="8">
        <f>IF(E6554="","",E6554*F6554)</f>
        <v/>
      </c>
      <c r="H6554" s="8">
        <f>IF(G6554="","",G6554-I6554)</f>
        <v/>
      </c>
      <c r="I6554" s="8">
        <f>IF(D6554="","",VLOOKUP(D6554, RECETTES!B:G, 6, FALSE)*E6554)</f>
        <v/>
      </c>
      <c r="J6554" s="8">
        <f>IF(G6554="","",G6554*0.20)</f>
        <v/>
      </c>
      <c r="K6554" s="8">
        <f>IF(G6554="","",G6554+J6554)</f>
        <v/>
      </c>
    </row>
    <row r="6555">
      <c r="F6555" s="8" t="n"/>
      <c r="G6555" s="8">
        <f>IF(E6555="","",E6555*F6555)</f>
        <v/>
      </c>
      <c r="H6555" s="8">
        <f>IF(G6555="","",G6555-I6555)</f>
        <v/>
      </c>
      <c r="I6555" s="8">
        <f>IF(D6555="","",VLOOKUP(D6555, RECETTES!B:G, 6, FALSE)*E6555)</f>
        <v/>
      </c>
      <c r="J6555" s="8">
        <f>IF(G6555="","",G6555*0.20)</f>
        <v/>
      </c>
      <c r="K6555" s="8">
        <f>IF(G6555="","",G6555+J6555)</f>
        <v/>
      </c>
    </row>
    <row r="6556">
      <c r="F6556" s="8" t="n"/>
      <c r="G6556" s="8">
        <f>IF(E6556="","",E6556*F6556)</f>
        <v/>
      </c>
      <c r="H6556" s="8">
        <f>IF(G6556="","",G6556-I6556)</f>
        <v/>
      </c>
      <c r="I6556" s="8">
        <f>IF(D6556="","",VLOOKUP(D6556, RECETTES!B:G, 6, FALSE)*E6556)</f>
        <v/>
      </c>
      <c r="J6556" s="8">
        <f>IF(G6556="","",G6556*0.20)</f>
        <v/>
      </c>
      <c r="K6556" s="8">
        <f>IF(G6556="","",G6556+J6556)</f>
        <v/>
      </c>
    </row>
    <row r="6557">
      <c r="F6557" s="8" t="n"/>
      <c r="G6557" s="8">
        <f>IF(E6557="","",E6557*F6557)</f>
        <v/>
      </c>
      <c r="H6557" s="8">
        <f>IF(G6557="","",G6557-I6557)</f>
        <v/>
      </c>
      <c r="I6557" s="8">
        <f>IF(D6557="","",VLOOKUP(D6557, RECETTES!B:G, 6, FALSE)*E6557)</f>
        <v/>
      </c>
      <c r="J6557" s="8">
        <f>IF(G6557="","",G6557*0.20)</f>
        <v/>
      </c>
      <c r="K6557" s="8">
        <f>IF(G6557="","",G6557+J6557)</f>
        <v/>
      </c>
    </row>
    <row r="6558">
      <c r="F6558" s="8" t="n"/>
      <c r="G6558" s="8">
        <f>IF(E6558="","",E6558*F6558)</f>
        <v/>
      </c>
      <c r="H6558" s="8">
        <f>IF(G6558="","",G6558-I6558)</f>
        <v/>
      </c>
      <c r="I6558" s="8">
        <f>IF(D6558="","",VLOOKUP(D6558, RECETTES!B:G, 6, FALSE)*E6558)</f>
        <v/>
      </c>
      <c r="J6558" s="8">
        <f>IF(G6558="","",G6558*0.20)</f>
        <v/>
      </c>
      <c r="K6558" s="8">
        <f>IF(G6558="","",G6558+J6558)</f>
        <v/>
      </c>
    </row>
    <row r="6559">
      <c r="F6559" s="8" t="n"/>
      <c r="G6559" s="8">
        <f>IF(E6559="","",E6559*F6559)</f>
        <v/>
      </c>
      <c r="H6559" s="8">
        <f>IF(G6559="","",G6559-I6559)</f>
        <v/>
      </c>
      <c r="I6559" s="8">
        <f>IF(D6559="","",VLOOKUP(D6559, RECETTES!B:G, 6, FALSE)*E6559)</f>
        <v/>
      </c>
      <c r="J6559" s="8">
        <f>IF(G6559="","",G6559*0.20)</f>
        <v/>
      </c>
      <c r="K6559" s="8">
        <f>IF(G6559="","",G6559+J6559)</f>
        <v/>
      </c>
    </row>
    <row r="6560">
      <c r="F6560" s="8" t="n"/>
      <c r="G6560" s="8">
        <f>IF(E6560="","",E6560*F6560)</f>
        <v/>
      </c>
      <c r="H6560" s="8">
        <f>IF(G6560="","",G6560-I6560)</f>
        <v/>
      </c>
      <c r="I6560" s="8">
        <f>IF(D6560="","",VLOOKUP(D6560, RECETTES!B:G, 6, FALSE)*E6560)</f>
        <v/>
      </c>
      <c r="J6560" s="8">
        <f>IF(G6560="","",G6560*0.20)</f>
        <v/>
      </c>
      <c r="K6560" s="8">
        <f>IF(G6560="","",G6560+J6560)</f>
        <v/>
      </c>
    </row>
    <row r="6561">
      <c r="F6561" s="8" t="n"/>
      <c r="G6561" s="8">
        <f>IF(E6561="","",E6561*F6561)</f>
        <v/>
      </c>
      <c r="H6561" s="8">
        <f>IF(G6561="","",G6561-I6561)</f>
        <v/>
      </c>
      <c r="I6561" s="8">
        <f>IF(D6561="","",VLOOKUP(D6561, RECETTES!B:G, 6, FALSE)*E6561)</f>
        <v/>
      </c>
      <c r="J6561" s="8">
        <f>IF(G6561="","",G6561*0.20)</f>
        <v/>
      </c>
      <c r="K6561" s="8">
        <f>IF(G6561="","",G6561+J6561)</f>
        <v/>
      </c>
    </row>
    <row r="6562">
      <c r="F6562" s="8" t="n"/>
      <c r="G6562" s="8">
        <f>IF(E6562="","",E6562*F6562)</f>
        <v/>
      </c>
      <c r="H6562" s="8">
        <f>IF(G6562="","",G6562-I6562)</f>
        <v/>
      </c>
      <c r="I6562" s="8">
        <f>IF(D6562="","",VLOOKUP(D6562, RECETTES!B:G, 6, FALSE)*E6562)</f>
        <v/>
      </c>
      <c r="J6562" s="8">
        <f>IF(G6562="","",G6562*0.20)</f>
        <v/>
      </c>
      <c r="K6562" s="8">
        <f>IF(G6562="","",G6562+J6562)</f>
        <v/>
      </c>
    </row>
    <row r="6563">
      <c r="F6563" s="8" t="n"/>
      <c r="G6563" s="8">
        <f>IF(E6563="","",E6563*F6563)</f>
        <v/>
      </c>
      <c r="H6563" s="8">
        <f>IF(G6563="","",G6563-I6563)</f>
        <v/>
      </c>
      <c r="I6563" s="8">
        <f>IF(D6563="","",VLOOKUP(D6563, RECETTES!B:G, 6, FALSE)*E6563)</f>
        <v/>
      </c>
      <c r="J6563" s="8">
        <f>IF(G6563="","",G6563*0.20)</f>
        <v/>
      </c>
      <c r="K6563" s="8">
        <f>IF(G6563="","",G6563+J6563)</f>
        <v/>
      </c>
    </row>
    <row r="6564">
      <c r="F6564" s="8" t="n"/>
      <c r="G6564" s="8">
        <f>IF(E6564="","",E6564*F6564)</f>
        <v/>
      </c>
      <c r="H6564" s="8">
        <f>IF(G6564="","",G6564-I6564)</f>
        <v/>
      </c>
      <c r="I6564" s="8">
        <f>IF(D6564="","",VLOOKUP(D6564, RECETTES!B:G, 6, FALSE)*E6564)</f>
        <v/>
      </c>
      <c r="J6564" s="8">
        <f>IF(G6564="","",G6564*0.20)</f>
        <v/>
      </c>
      <c r="K6564" s="8">
        <f>IF(G6564="","",G6564+J6564)</f>
        <v/>
      </c>
    </row>
    <row r="6565">
      <c r="F6565" s="8" t="n"/>
      <c r="G6565" s="8">
        <f>IF(E6565="","",E6565*F6565)</f>
        <v/>
      </c>
      <c r="H6565" s="8">
        <f>IF(G6565="","",G6565-I6565)</f>
        <v/>
      </c>
      <c r="I6565" s="8">
        <f>IF(D6565="","",VLOOKUP(D6565, RECETTES!B:G, 6, FALSE)*E6565)</f>
        <v/>
      </c>
      <c r="J6565" s="8">
        <f>IF(G6565="","",G6565*0.20)</f>
        <v/>
      </c>
      <c r="K6565" s="8">
        <f>IF(G6565="","",G6565+J6565)</f>
        <v/>
      </c>
    </row>
    <row r="6566">
      <c r="F6566" s="8" t="n"/>
      <c r="G6566" s="8">
        <f>IF(E6566="","",E6566*F6566)</f>
        <v/>
      </c>
      <c r="H6566" s="8">
        <f>IF(G6566="","",G6566-I6566)</f>
        <v/>
      </c>
      <c r="I6566" s="8">
        <f>IF(D6566="","",VLOOKUP(D6566, RECETTES!B:G, 6, FALSE)*E6566)</f>
        <v/>
      </c>
      <c r="J6566" s="8">
        <f>IF(G6566="","",G6566*0.20)</f>
        <v/>
      </c>
      <c r="K6566" s="8">
        <f>IF(G6566="","",G6566+J6566)</f>
        <v/>
      </c>
    </row>
    <row r="6567">
      <c r="F6567" s="8" t="n"/>
      <c r="G6567" s="8">
        <f>IF(E6567="","",E6567*F6567)</f>
        <v/>
      </c>
      <c r="H6567" s="8">
        <f>IF(G6567="","",G6567-I6567)</f>
        <v/>
      </c>
      <c r="I6567" s="8">
        <f>IF(D6567="","",VLOOKUP(D6567, RECETTES!B:G, 6, FALSE)*E6567)</f>
        <v/>
      </c>
      <c r="J6567" s="8">
        <f>IF(G6567="","",G6567*0.20)</f>
        <v/>
      </c>
      <c r="K6567" s="8">
        <f>IF(G6567="","",G6567+J6567)</f>
        <v/>
      </c>
    </row>
    <row r="6568">
      <c r="F6568" s="8" t="n"/>
      <c r="G6568" s="8">
        <f>IF(E6568="","",E6568*F6568)</f>
        <v/>
      </c>
      <c r="H6568" s="8">
        <f>IF(G6568="","",G6568-I6568)</f>
        <v/>
      </c>
      <c r="I6568" s="8">
        <f>IF(D6568="","",VLOOKUP(D6568, RECETTES!B:G, 6, FALSE)*E6568)</f>
        <v/>
      </c>
      <c r="J6568" s="8">
        <f>IF(G6568="","",G6568*0.20)</f>
        <v/>
      </c>
      <c r="K6568" s="8">
        <f>IF(G6568="","",G6568+J6568)</f>
        <v/>
      </c>
    </row>
    <row r="6569">
      <c r="F6569" s="8" t="n"/>
      <c r="G6569" s="8">
        <f>IF(E6569="","",E6569*F6569)</f>
        <v/>
      </c>
      <c r="H6569" s="8">
        <f>IF(G6569="","",G6569-I6569)</f>
        <v/>
      </c>
      <c r="I6569" s="8">
        <f>IF(D6569="","",VLOOKUP(D6569, RECETTES!B:G, 6, FALSE)*E6569)</f>
        <v/>
      </c>
      <c r="J6569" s="8">
        <f>IF(G6569="","",G6569*0.20)</f>
        <v/>
      </c>
      <c r="K6569" s="8">
        <f>IF(G6569="","",G6569+J6569)</f>
        <v/>
      </c>
    </row>
    <row r="6570">
      <c r="F6570" s="8" t="n"/>
      <c r="G6570" s="8">
        <f>IF(E6570="","",E6570*F6570)</f>
        <v/>
      </c>
      <c r="H6570" s="8">
        <f>IF(G6570="","",G6570-I6570)</f>
        <v/>
      </c>
      <c r="I6570" s="8">
        <f>IF(D6570="","",VLOOKUP(D6570, RECETTES!B:G, 6, FALSE)*E6570)</f>
        <v/>
      </c>
      <c r="J6570" s="8">
        <f>IF(G6570="","",G6570*0.20)</f>
        <v/>
      </c>
      <c r="K6570" s="8">
        <f>IF(G6570="","",G6570+J6570)</f>
        <v/>
      </c>
    </row>
    <row r="6571">
      <c r="F6571" s="8" t="n"/>
      <c r="G6571" s="8">
        <f>IF(E6571="","",E6571*F6571)</f>
        <v/>
      </c>
      <c r="H6571" s="8">
        <f>IF(G6571="","",G6571-I6571)</f>
        <v/>
      </c>
      <c r="I6571" s="8">
        <f>IF(D6571="","",VLOOKUP(D6571, RECETTES!B:G, 6, FALSE)*E6571)</f>
        <v/>
      </c>
      <c r="J6571" s="8">
        <f>IF(G6571="","",G6571*0.20)</f>
        <v/>
      </c>
      <c r="K6571" s="8">
        <f>IF(G6571="","",G6571+J6571)</f>
        <v/>
      </c>
    </row>
    <row r="6572">
      <c r="F6572" s="8" t="n"/>
      <c r="G6572" s="8">
        <f>IF(E6572="","",E6572*F6572)</f>
        <v/>
      </c>
      <c r="H6572" s="8">
        <f>IF(G6572="","",G6572-I6572)</f>
        <v/>
      </c>
      <c r="I6572" s="8">
        <f>IF(D6572="","",VLOOKUP(D6572, RECETTES!B:G, 6, FALSE)*E6572)</f>
        <v/>
      </c>
      <c r="J6572" s="8">
        <f>IF(G6572="","",G6572*0.20)</f>
        <v/>
      </c>
      <c r="K6572" s="8">
        <f>IF(G6572="","",G6572+J6572)</f>
        <v/>
      </c>
    </row>
    <row r="6573">
      <c r="F6573" s="8" t="n"/>
      <c r="G6573" s="8">
        <f>IF(E6573="","",E6573*F6573)</f>
        <v/>
      </c>
      <c r="H6573" s="8">
        <f>IF(G6573="","",G6573-I6573)</f>
        <v/>
      </c>
      <c r="I6573" s="8">
        <f>IF(D6573="","",VLOOKUP(D6573, RECETTES!B:G, 6, FALSE)*E6573)</f>
        <v/>
      </c>
      <c r="J6573" s="8">
        <f>IF(G6573="","",G6573*0.20)</f>
        <v/>
      </c>
      <c r="K6573" s="8">
        <f>IF(G6573="","",G6573+J6573)</f>
        <v/>
      </c>
    </row>
    <row r="6574">
      <c r="F6574" s="8" t="n"/>
      <c r="G6574" s="8">
        <f>IF(E6574="","",E6574*F6574)</f>
        <v/>
      </c>
      <c r="H6574" s="8">
        <f>IF(G6574="","",G6574-I6574)</f>
        <v/>
      </c>
      <c r="I6574" s="8">
        <f>IF(D6574="","",VLOOKUP(D6574, RECETTES!B:G, 6, FALSE)*E6574)</f>
        <v/>
      </c>
      <c r="J6574" s="8">
        <f>IF(G6574="","",G6574*0.20)</f>
        <v/>
      </c>
      <c r="K6574" s="8">
        <f>IF(G6574="","",G6574+J6574)</f>
        <v/>
      </c>
    </row>
    <row r="6575">
      <c r="F6575" s="8" t="n"/>
      <c r="G6575" s="8">
        <f>IF(E6575="","",E6575*F6575)</f>
        <v/>
      </c>
      <c r="H6575" s="8">
        <f>IF(G6575="","",G6575-I6575)</f>
        <v/>
      </c>
      <c r="I6575" s="8">
        <f>IF(D6575="","",VLOOKUP(D6575, RECETTES!B:G, 6, FALSE)*E6575)</f>
        <v/>
      </c>
      <c r="J6575" s="8">
        <f>IF(G6575="","",G6575*0.20)</f>
        <v/>
      </c>
      <c r="K6575" s="8">
        <f>IF(G6575="","",G6575+J6575)</f>
        <v/>
      </c>
    </row>
    <row r="6576">
      <c r="F6576" s="8" t="n"/>
      <c r="G6576" s="8">
        <f>IF(E6576="","",E6576*F6576)</f>
        <v/>
      </c>
      <c r="H6576" s="8">
        <f>IF(G6576="","",G6576-I6576)</f>
        <v/>
      </c>
      <c r="I6576" s="8">
        <f>IF(D6576="","",VLOOKUP(D6576, RECETTES!B:G, 6, FALSE)*E6576)</f>
        <v/>
      </c>
      <c r="J6576" s="8">
        <f>IF(G6576="","",G6576*0.20)</f>
        <v/>
      </c>
      <c r="K6576" s="8">
        <f>IF(G6576="","",G6576+J6576)</f>
        <v/>
      </c>
    </row>
    <row r="6577">
      <c r="F6577" s="8" t="n"/>
      <c r="G6577" s="8">
        <f>IF(E6577="","",E6577*F6577)</f>
        <v/>
      </c>
      <c r="H6577" s="8">
        <f>IF(G6577="","",G6577-I6577)</f>
        <v/>
      </c>
      <c r="I6577" s="8">
        <f>IF(D6577="","",VLOOKUP(D6577, RECETTES!B:G, 6, FALSE)*E6577)</f>
        <v/>
      </c>
      <c r="J6577" s="8">
        <f>IF(G6577="","",G6577*0.20)</f>
        <v/>
      </c>
      <c r="K6577" s="8">
        <f>IF(G6577="","",G6577+J6577)</f>
        <v/>
      </c>
    </row>
    <row r="6578">
      <c r="F6578" s="8" t="n"/>
      <c r="G6578" s="8">
        <f>IF(E6578="","",E6578*F6578)</f>
        <v/>
      </c>
      <c r="H6578" s="8">
        <f>IF(G6578="","",G6578-I6578)</f>
        <v/>
      </c>
      <c r="I6578" s="8">
        <f>IF(D6578="","",VLOOKUP(D6578, RECETTES!B:G, 6, FALSE)*E6578)</f>
        <v/>
      </c>
      <c r="J6578" s="8">
        <f>IF(G6578="","",G6578*0.20)</f>
        <v/>
      </c>
      <c r="K6578" s="8">
        <f>IF(G6578="","",G6578+J6578)</f>
        <v/>
      </c>
    </row>
    <row r="6579">
      <c r="F6579" s="8" t="n"/>
      <c r="G6579" s="8">
        <f>IF(E6579="","",E6579*F6579)</f>
        <v/>
      </c>
      <c r="H6579" s="8">
        <f>IF(G6579="","",G6579-I6579)</f>
        <v/>
      </c>
      <c r="I6579" s="8">
        <f>IF(D6579="","",VLOOKUP(D6579, RECETTES!B:G, 6, FALSE)*E6579)</f>
        <v/>
      </c>
      <c r="J6579" s="8">
        <f>IF(G6579="","",G6579*0.20)</f>
        <v/>
      </c>
      <c r="K6579" s="8">
        <f>IF(G6579="","",G6579+J6579)</f>
        <v/>
      </c>
    </row>
    <row r="6580">
      <c r="F6580" s="8" t="n"/>
      <c r="G6580" s="8">
        <f>IF(E6580="","",E6580*F6580)</f>
        <v/>
      </c>
      <c r="H6580" s="8">
        <f>IF(G6580="","",G6580-I6580)</f>
        <v/>
      </c>
      <c r="I6580" s="8">
        <f>IF(D6580="","",VLOOKUP(D6580, RECETTES!B:G, 6, FALSE)*E6580)</f>
        <v/>
      </c>
      <c r="J6580" s="8">
        <f>IF(G6580="","",G6580*0.20)</f>
        <v/>
      </c>
      <c r="K6580" s="8">
        <f>IF(G6580="","",G6580+J6580)</f>
        <v/>
      </c>
    </row>
    <row r="6581">
      <c r="F6581" s="8" t="n"/>
      <c r="G6581" s="8">
        <f>IF(E6581="","",E6581*F6581)</f>
        <v/>
      </c>
      <c r="H6581" s="8">
        <f>IF(G6581="","",G6581-I6581)</f>
        <v/>
      </c>
      <c r="I6581" s="8">
        <f>IF(D6581="","",VLOOKUP(D6581, RECETTES!B:G, 6, FALSE)*E6581)</f>
        <v/>
      </c>
      <c r="J6581" s="8">
        <f>IF(G6581="","",G6581*0.20)</f>
        <v/>
      </c>
      <c r="K6581" s="8">
        <f>IF(G6581="","",G6581+J6581)</f>
        <v/>
      </c>
    </row>
    <row r="6582">
      <c r="F6582" s="8" t="n"/>
      <c r="G6582" s="8">
        <f>IF(E6582="","",E6582*F6582)</f>
        <v/>
      </c>
      <c r="H6582" s="8">
        <f>IF(G6582="","",G6582-I6582)</f>
        <v/>
      </c>
      <c r="I6582" s="8">
        <f>IF(D6582="","",VLOOKUP(D6582, RECETTES!B:G, 6, FALSE)*E6582)</f>
        <v/>
      </c>
      <c r="J6582" s="8">
        <f>IF(G6582="","",G6582*0.20)</f>
        <v/>
      </c>
      <c r="K6582" s="8">
        <f>IF(G6582="","",G6582+J6582)</f>
        <v/>
      </c>
    </row>
    <row r="6583">
      <c r="F6583" s="8" t="n"/>
      <c r="G6583" s="8">
        <f>IF(E6583="","",E6583*F6583)</f>
        <v/>
      </c>
      <c r="H6583" s="8">
        <f>IF(G6583="","",G6583-I6583)</f>
        <v/>
      </c>
      <c r="I6583" s="8">
        <f>IF(D6583="","",VLOOKUP(D6583, RECETTES!B:G, 6, FALSE)*E6583)</f>
        <v/>
      </c>
      <c r="J6583" s="8">
        <f>IF(G6583="","",G6583*0.20)</f>
        <v/>
      </c>
      <c r="K6583" s="8">
        <f>IF(G6583="","",G6583+J6583)</f>
        <v/>
      </c>
    </row>
    <row r="6584">
      <c r="F6584" s="8" t="n"/>
      <c r="G6584" s="8">
        <f>IF(E6584="","",E6584*F6584)</f>
        <v/>
      </c>
      <c r="H6584" s="8">
        <f>IF(G6584="","",G6584-I6584)</f>
        <v/>
      </c>
      <c r="I6584" s="8">
        <f>IF(D6584="","",VLOOKUP(D6584, RECETTES!B:G, 6, FALSE)*E6584)</f>
        <v/>
      </c>
      <c r="J6584" s="8">
        <f>IF(G6584="","",G6584*0.20)</f>
        <v/>
      </c>
      <c r="K6584" s="8">
        <f>IF(G6584="","",G6584+J6584)</f>
        <v/>
      </c>
    </row>
    <row r="6585">
      <c r="F6585" s="8" t="n"/>
      <c r="G6585" s="8">
        <f>IF(E6585="","",E6585*F6585)</f>
        <v/>
      </c>
      <c r="H6585" s="8">
        <f>IF(G6585="","",G6585-I6585)</f>
        <v/>
      </c>
      <c r="I6585" s="8">
        <f>IF(D6585="","",VLOOKUP(D6585, RECETTES!B:G, 6, FALSE)*E6585)</f>
        <v/>
      </c>
      <c r="J6585" s="8">
        <f>IF(G6585="","",G6585*0.20)</f>
        <v/>
      </c>
      <c r="K6585" s="8">
        <f>IF(G6585="","",G6585+J6585)</f>
        <v/>
      </c>
    </row>
    <row r="6586">
      <c r="F6586" s="8" t="n"/>
      <c r="G6586" s="8">
        <f>IF(E6586="","",E6586*F6586)</f>
        <v/>
      </c>
      <c r="H6586" s="8">
        <f>IF(G6586="","",G6586-I6586)</f>
        <v/>
      </c>
      <c r="I6586" s="8">
        <f>IF(D6586="","",VLOOKUP(D6586, RECETTES!B:G, 6, FALSE)*E6586)</f>
        <v/>
      </c>
      <c r="J6586" s="8">
        <f>IF(G6586="","",G6586*0.20)</f>
        <v/>
      </c>
      <c r="K6586" s="8">
        <f>IF(G6586="","",G6586+J6586)</f>
        <v/>
      </c>
    </row>
    <row r="6587">
      <c r="F6587" s="8" t="n"/>
      <c r="G6587" s="8">
        <f>IF(E6587="","",E6587*F6587)</f>
        <v/>
      </c>
      <c r="H6587" s="8">
        <f>IF(G6587="","",G6587-I6587)</f>
        <v/>
      </c>
      <c r="I6587" s="8">
        <f>IF(D6587="","",VLOOKUP(D6587, RECETTES!B:G, 6, FALSE)*E6587)</f>
        <v/>
      </c>
      <c r="J6587" s="8">
        <f>IF(G6587="","",G6587*0.20)</f>
        <v/>
      </c>
      <c r="K6587" s="8">
        <f>IF(G6587="","",G6587+J6587)</f>
        <v/>
      </c>
    </row>
    <row r="6588">
      <c r="F6588" s="8" t="n"/>
      <c r="G6588" s="8">
        <f>IF(E6588="","",E6588*F6588)</f>
        <v/>
      </c>
      <c r="H6588" s="8">
        <f>IF(G6588="","",G6588-I6588)</f>
        <v/>
      </c>
      <c r="I6588" s="8">
        <f>IF(D6588="","",VLOOKUP(D6588, RECETTES!B:G, 6, FALSE)*E6588)</f>
        <v/>
      </c>
      <c r="J6588" s="8">
        <f>IF(G6588="","",G6588*0.20)</f>
        <v/>
      </c>
      <c r="K6588" s="8">
        <f>IF(G6588="","",G6588+J6588)</f>
        <v/>
      </c>
    </row>
    <row r="6589">
      <c r="F6589" s="8" t="n"/>
      <c r="G6589" s="8">
        <f>IF(E6589="","",E6589*F6589)</f>
        <v/>
      </c>
      <c r="H6589" s="8">
        <f>IF(G6589="","",G6589-I6589)</f>
        <v/>
      </c>
      <c r="I6589" s="8">
        <f>IF(D6589="","",VLOOKUP(D6589, RECETTES!B:G, 6, FALSE)*E6589)</f>
        <v/>
      </c>
      <c r="J6589" s="8">
        <f>IF(G6589="","",G6589*0.20)</f>
        <v/>
      </c>
      <c r="K6589" s="8">
        <f>IF(G6589="","",G6589+J6589)</f>
        <v/>
      </c>
    </row>
    <row r="6590">
      <c r="F6590" s="8" t="n"/>
      <c r="G6590" s="8">
        <f>IF(E6590="","",E6590*F6590)</f>
        <v/>
      </c>
      <c r="H6590" s="8">
        <f>IF(G6590="","",G6590-I6590)</f>
        <v/>
      </c>
      <c r="I6590" s="8">
        <f>IF(D6590="","",VLOOKUP(D6590, RECETTES!B:G, 6, FALSE)*E6590)</f>
        <v/>
      </c>
      <c r="J6590" s="8">
        <f>IF(G6590="","",G6590*0.20)</f>
        <v/>
      </c>
      <c r="K6590" s="8">
        <f>IF(G6590="","",G6590+J6590)</f>
        <v/>
      </c>
    </row>
    <row r="6591">
      <c r="F6591" s="8" t="n"/>
      <c r="G6591" s="8">
        <f>IF(E6591="","",E6591*F6591)</f>
        <v/>
      </c>
      <c r="H6591" s="8">
        <f>IF(G6591="","",G6591-I6591)</f>
        <v/>
      </c>
      <c r="I6591" s="8">
        <f>IF(D6591="","",VLOOKUP(D6591, RECETTES!B:G, 6, FALSE)*E6591)</f>
        <v/>
      </c>
      <c r="J6591" s="8">
        <f>IF(G6591="","",G6591*0.20)</f>
        <v/>
      </c>
      <c r="K6591" s="8">
        <f>IF(G6591="","",G6591+J6591)</f>
        <v/>
      </c>
    </row>
    <row r="6592">
      <c r="F6592" s="8" t="n"/>
      <c r="G6592" s="8">
        <f>IF(E6592="","",E6592*F6592)</f>
        <v/>
      </c>
      <c r="H6592" s="8">
        <f>IF(G6592="","",G6592-I6592)</f>
        <v/>
      </c>
      <c r="I6592" s="8">
        <f>IF(D6592="","",VLOOKUP(D6592, RECETTES!B:G, 6, FALSE)*E6592)</f>
        <v/>
      </c>
      <c r="J6592" s="8">
        <f>IF(G6592="","",G6592*0.20)</f>
        <v/>
      </c>
      <c r="K6592" s="8">
        <f>IF(G6592="","",G6592+J6592)</f>
        <v/>
      </c>
    </row>
    <row r="6593">
      <c r="F6593" s="8" t="n"/>
      <c r="G6593" s="8">
        <f>IF(E6593="","",E6593*F6593)</f>
        <v/>
      </c>
      <c r="H6593" s="8">
        <f>IF(G6593="","",G6593-I6593)</f>
        <v/>
      </c>
      <c r="I6593" s="8">
        <f>IF(D6593="","",VLOOKUP(D6593, RECETTES!B:G, 6, FALSE)*E6593)</f>
        <v/>
      </c>
      <c r="J6593" s="8">
        <f>IF(G6593="","",G6593*0.20)</f>
        <v/>
      </c>
      <c r="K6593" s="8">
        <f>IF(G6593="","",G6593+J6593)</f>
        <v/>
      </c>
    </row>
    <row r="6594">
      <c r="F6594" s="8" t="n"/>
      <c r="G6594" s="8">
        <f>IF(E6594="","",E6594*F6594)</f>
        <v/>
      </c>
      <c r="H6594" s="8">
        <f>IF(G6594="","",G6594-I6594)</f>
        <v/>
      </c>
      <c r="I6594" s="8">
        <f>IF(D6594="","",VLOOKUP(D6594, RECETTES!B:G, 6, FALSE)*E6594)</f>
        <v/>
      </c>
      <c r="J6594" s="8">
        <f>IF(G6594="","",G6594*0.20)</f>
        <v/>
      </c>
      <c r="K6594" s="8">
        <f>IF(G6594="","",G6594+J6594)</f>
        <v/>
      </c>
    </row>
    <row r="6595">
      <c r="F6595" s="8" t="n"/>
      <c r="G6595" s="8">
        <f>IF(E6595="","",E6595*F6595)</f>
        <v/>
      </c>
      <c r="H6595" s="8">
        <f>IF(G6595="","",G6595-I6595)</f>
        <v/>
      </c>
      <c r="I6595" s="8">
        <f>IF(D6595="","",VLOOKUP(D6595, RECETTES!B:G, 6, FALSE)*E6595)</f>
        <v/>
      </c>
      <c r="J6595" s="8">
        <f>IF(G6595="","",G6595*0.20)</f>
        <v/>
      </c>
      <c r="K6595" s="8">
        <f>IF(G6595="","",G6595+J6595)</f>
        <v/>
      </c>
    </row>
    <row r="6596">
      <c r="F6596" s="8" t="n"/>
      <c r="G6596" s="8">
        <f>IF(E6596="","",E6596*F6596)</f>
        <v/>
      </c>
      <c r="H6596" s="8">
        <f>IF(G6596="","",G6596-I6596)</f>
        <v/>
      </c>
      <c r="I6596" s="8">
        <f>IF(D6596="","",VLOOKUP(D6596, RECETTES!B:G, 6, FALSE)*E6596)</f>
        <v/>
      </c>
      <c r="J6596" s="8">
        <f>IF(G6596="","",G6596*0.20)</f>
        <v/>
      </c>
      <c r="K6596" s="8">
        <f>IF(G6596="","",G6596+J6596)</f>
        <v/>
      </c>
    </row>
    <row r="6597">
      <c r="F6597" s="8" t="n"/>
      <c r="G6597" s="8">
        <f>IF(E6597="","",E6597*F6597)</f>
        <v/>
      </c>
      <c r="H6597" s="8">
        <f>IF(G6597="","",G6597-I6597)</f>
        <v/>
      </c>
      <c r="I6597" s="8">
        <f>IF(D6597="","",VLOOKUP(D6597, RECETTES!B:G, 6, FALSE)*E6597)</f>
        <v/>
      </c>
      <c r="J6597" s="8">
        <f>IF(G6597="","",G6597*0.20)</f>
        <v/>
      </c>
      <c r="K6597" s="8">
        <f>IF(G6597="","",G6597+J6597)</f>
        <v/>
      </c>
    </row>
    <row r="6598">
      <c r="F6598" s="8" t="n"/>
      <c r="G6598" s="8">
        <f>IF(E6598="","",E6598*F6598)</f>
        <v/>
      </c>
      <c r="H6598" s="8">
        <f>IF(G6598="","",G6598-I6598)</f>
        <v/>
      </c>
      <c r="I6598" s="8">
        <f>IF(D6598="","",VLOOKUP(D6598, RECETTES!B:G, 6, FALSE)*E6598)</f>
        <v/>
      </c>
      <c r="J6598" s="8">
        <f>IF(G6598="","",G6598*0.20)</f>
        <v/>
      </c>
      <c r="K6598" s="8">
        <f>IF(G6598="","",G6598+J6598)</f>
        <v/>
      </c>
    </row>
    <row r="6599">
      <c r="F6599" s="8" t="n"/>
      <c r="G6599" s="8">
        <f>IF(E6599="","",E6599*F6599)</f>
        <v/>
      </c>
      <c r="H6599" s="8">
        <f>IF(G6599="","",G6599-I6599)</f>
        <v/>
      </c>
      <c r="I6599" s="8">
        <f>IF(D6599="","",VLOOKUP(D6599, RECETTES!B:G, 6, FALSE)*E6599)</f>
        <v/>
      </c>
      <c r="J6599" s="8">
        <f>IF(G6599="","",G6599*0.20)</f>
        <v/>
      </c>
      <c r="K6599" s="8">
        <f>IF(G6599="","",G6599+J6599)</f>
        <v/>
      </c>
    </row>
    <row r="6600">
      <c r="F6600" s="8" t="n"/>
      <c r="G6600" s="8">
        <f>IF(E6600="","",E6600*F6600)</f>
        <v/>
      </c>
      <c r="H6600" s="8">
        <f>IF(G6600="","",G6600-I6600)</f>
        <v/>
      </c>
      <c r="I6600" s="8">
        <f>IF(D6600="","",VLOOKUP(D6600, RECETTES!B:G, 6, FALSE)*E6600)</f>
        <v/>
      </c>
      <c r="J6600" s="8">
        <f>IF(G6600="","",G6600*0.20)</f>
        <v/>
      </c>
      <c r="K6600" s="8">
        <f>IF(G6600="","",G6600+J6600)</f>
        <v/>
      </c>
    </row>
    <row r="6601">
      <c r="F6601" s="8" t="n"/>
      <c r="G6601" s="8">
        <f>IF(E6601="","",E6601*F6601)</f>
        <v/>
      </c>
      <c r="H6601" s="8">
        <f>IF(G6601="","",G6601-I6601)</f>
        <v/>
      </c>
      <c r="I6601" s="8">
        <f>IF(D6601="","",VLOOKUP(D6601, RECETTES!B:G, 6, FALSE)*E6601)</f>
        <v/>
      </c>
      <c r="J6601" s="8">
        <f>IF(G6601="","",G6601*0.20)</f>
        <v/>
      </c>
      <c r="K6601" s="8">
        <f>IF(G6601="","",G6601+J6601)</f>
        <v/>
      </c>
    </row>
    <row r="6602">
      <c r="F6602" s="8" t="n"/>
      <c r="G6602" s="8">
        <f>IF(E6602="","",E6602*F6602)</f>
        <v/>
      </c>
      <c r="H6602" s="8">
        <f>IF(G6602="","",G6602-I6602)</f>
        <v/>
      </c>
      <c r="I6602" s="8">
        <f>IF(D6602="","",VLOOKUP(D6602, RECETTES!B:G, 6, FALSE)*E6602)</f>
        <v/>
      </c>
      <c r="J6602" s="8">
        <f>IF(G6602="","",G6602*0.20)</f>
        <v/>
      </c>
      <c r="K6602" s="8">
        <f>IF(G6602="","",G6602+J6602)</f>
        <v/>
      </c>
    </row>
    <row r="6603">
      <c r="F6603" s="8" t="n"/>
      <c r="G6603" s="8">
        <f>IF(E6603="","",E6603*F6603)</f>
        <v/>
      </c>
      <c r="H6603" s="8">
        <f>IF(G6603="","",G6603-I6603)</f>
        <v/>
      </c>
      <c r="I6603" s="8">
        <f>IF(D6603="","",VLOOKUP(D6603, RECETTES!B:G, 6, FALSE)*E6603)</f>
        <v/>
      </c>
      <c r="J6603" s="8">
        <f>IF(G6603="","",G6603*0.20)</f>
        <v/>
      </c>
      <c r="K6603" s="8">
        <f>IF(G6603="","",G6603+J6603)</f>
        <v/>
      </c>
    </row>
    <row r="6604">
      <c r="F6604" s="8" t="n"/>
      <c r="G6604" s="8">
        <f>IF(E6604="","",E6604*F6604)</f>
        <v/>
      </c>
      <c r="H6604" s="8">
        <f>IF(G6604="","",G6604-I6604)</f>
        <v/>
      </c>
      <c r="I6604" s="8">
        <f>IF(D6604="","",VLOOKUP(D6604, RECETTES!B:G, 6, FALSE)*E6604)</f>
        <v/>
      </c>
      <c r="J6604" s="8">
        <f>IF(G6604="","",G6604*0.20)</f>
        <v/>
      </c>
      <c r="K6604" s="8">
        <f>IF(G6604="","",G6604+J6604)</f>
        <v/>
      </c>
    </row>
    <row r="6605">
      <c r="F6605" s="8" t="n"/>
      <c r="G6605" s="8">
        <f>IF(E6605="","",E6605*F6605)</f>
        <v/>
      </c>
      <c r="H6605" s="8">
        <f>IF(G6605="","",G6605-I6605)</f>
        <v/>
      </c>
      <c r="I6605" s="8">
        <f>IF(D6605="","",VLOOKUP(D6605, RECETTES!B:G, 6, FALSE)*E6605)</f>
        <v/>
      </c>
      <c r="J6605" s="8">
        <f>IF(G6605="","",G6605*0.20)</f>
        <v/>
      </c>
      <c r="K6605" s="8">
        <f>IF(G6605="","",G6605+J6605)</f>
        <v/>
      </c>
    </row>
    <row r="6606">
      <c r="F6606" s="8" t="n"/>
      <c r="G6606" s="8">
        <f>IF(E6606="","",E6606*F6606)</f>
        <v/>
      </c>
      <c r="H6606" s="8">
        <f>IF(G6606="","",G6606-I6606)</f>
        <v/>
      </c>
      <c r="I6606" s="8">
        <f>IF(D6606="","",VLOOKUP(D6606, RECETTES!B:G, 6, FALSE)*E6606)</f>
        <v/>
      </c>
      <c r="J6606" s="8">
        <f>IF(G6606="","",G6606*0.20)</f>
        <v/>
      </c>
      <c r="K6606" s="8">
        <f>IF(G6606="","",G6606+J6606)</f>
        <v/>
      </c>
    </row>
    <row r="6607">
      <c r="F6607" s="8" t="n"/>
      <c r="G6607" s="8">
        <f>IF(E6607="","",E6607*F6607)</f>
        <v/>
      </c>
      <c r="H6607" s="8">
        <f>IF(G6607="","",G6607-I6607)</f>
        <v/>
      </c>
      <c r="I6607" s="8">
        <f>IF(D6607="","",VLOOKUP(D6607, RECETTES!B:G, 6, FALSE)*E6607)</f>
        <v/>
      </c>
      <c r="J6607" s="8">
        <f>IF(G6607="","",G6607*0.20)</f>
        <v/>
      </c>
      <c r="K6607" s="8">
        <f>IF(G6607="","",G6607+J6607)</f>
        <v/>
      </c>
    </row>
    <row r="6608">
      <c r="F6608" s="8" t="n"/>
      <c r="G6608" s="8">
        <f>IF(E6608="","",E6608*F6608)</f>
        <v/>
      </c>
      <c r="H6608" s="8">
        <f>IF(G6608="","",G6608-I6608)</f>
        <v/>
      </c>
      <c r="I6608" s="8">
        <f>IF(D6608="","",VLOOKUP(D6608, RECETTES!B:G, 6, FALSE)*E6608)</f>
        <v/>
      </c>
      <c r="J6608" s="8">
        <f>IF(G6608="","",G6608*0.20)</f>
        <v/>
      </c>
      <c r="K6608" s="8">
        <f>IF(G6608="","",G6608+J6608)</f>
        <v/>
      </c>
    </row>
    <row r="6609">
      <c r="F6609" s="8" t="n"/>
      <c r="G6609" s="8">
        <f>IF(E6609="","",E6609*F6609)</f>
        <v/>
      </c>
      <c r="H6609" s="8">
        <f>IF(G6609="","",G6609-I6609)</f>
        <v/>
      </c>
      <c r="I6609" s="8">
        <f>IF(D6609="","",VLOOKUP(D6609, RECETTES!B:G, 6, FALSE)*E6609)</f>
        <v/>
      </c>
      <c r="J6609" s="8">
        <f>IF(G6609="","",G6609*0.20)</f>
        <v/>
      </c>
      <c r="K6609" s="8">
        <f>IF(G6609="","",G6609+J6609)</f>
        <v/>
      </c>
    </row>
    <row r="6610">
      <c r="F6610" s="8" t="n"/>
      <c r="G6610" s="8">
        <f>IF(E6610="","",E6610*F6610)</f>
        <v/>
      </c>
      <c r="H6610" s="8">
        <f>IF(G6610="","",G6610-I6610)</f>
        <v/>
      </c>
      <c r="I6610" s="8">
        <f>IF(D6610="","",VLOOKUP(D6610, RECETTES!B:G, 6, FALSE)*E6610)</f>
        <v/>
      </c>
      <c r="J6610" s="8">
        <f>IF(G6610="","",G6610*0.20)</f>
        <v/>
      </c>
      <c r="K6610" s="8">
        <f>IF(G6610="","",G6610+J6610)</f>
        <v/>
      </c>
    </row>
    <row r="6611">
      <c r="F6611" s="8" t="n"/>
      <c r="G6611" s="8">
        <f>IF(E6611="","",E6611*F6611)</f>
        <v/>
      </c>
      <c r="H6611" s="8">
        <f>IF(G6611="","",G6611-I6611)</f>
        <v/>
      </c>
      <c r="I6611" s="8">
        <f>IF(D6611="","",VLOOKUP(D6611, RECETTES!B:G, 6, FALSE)*E6611)</f>
        <v/>
      </c>
      <c r="J6611" s="8">
        <f>IF(G6611="","",G6611*0.20)</f>
        <v/>
      </c>
      <c r="K6611" s="8">
        <f>IF(G6611="","",G6611+J6611)</f>
        <v/>
      </c>
    </row>
    <row r="6612">
      <c r="F6612" s="8" t="n"/>
      <c r="G6612" s="8">
        <f>IF(E6612="","",E6612*F6612)</f>
        <v/>
      </c>
      <c r="H6612" s="8">
        <f>IF(G6612="","",G6612-I6612)</f>
        <v/>
      </c>
      <c r="I6612" s="8">
        <f>IF(D6612="","",VLOOKUP(D6612, RECETTES!B:G, 6, FALSE)*E6612)</f>
        <v/>
      </c>
      <c r="J6612" s="8">
        <f>IF(G6612="","",G6612*0.20)</f>
        <v/>
      </c>
      <c r="K6612" s="8">
        <f>IF(G6612="","",G6612+J6612)</f>
        <v/>
      </c>
    </row>
    <row r="6613">
      <c r="F6613" s="8" t="n"/>
      <c r="G6613" s="8">
        <f>IF(E6613="","",E6613*F6613)</f>
        <v/>
      </c>
      <c r="H6613" s="8">
        <f>IF(G6613="","",G6613-I6613)</f>
        <v/>
      </c>
      <c r="I6613" s="8">
        <f>IF(D6613="","",VLOOKUP(D6613, RECETTES!B:G, 6, FALSE)*E6613)</f>
        <v/>
      </c>
      <c r="J6613" s="8">
        <f>IF(G6613="","",G6613*0.20)</f>
        <v/>
      </c>
      <c r="K6613" s="8">
        <f>IF(G6613="","",G6613+J6613)</f>
        <v/>
      </c>
    </row>
    <row r="6614">
      <c r="F6614" s="8" t="n"/>
      <c r="G6614" s="8">
        <f>IF(E6614="","",E6614*F6614)</f>
        <v/>
      </c>
      <c r="H6614" s="8">
        <f>IF(G6614="","",G6614-I6614)</f>
        <v/>
      </c>
      <c r="I6614" s="8">
        <f>IF(D6614="","",VLOOKUP(D6614, RECETTES!B:G, 6, FALSE)*E6614)</f>
        <v/>
      </c>
      <c r="J6614" s="8">
        <f>IF(G6614="","",G6614*0.20)</f>
        <v/>
      </c>
      <c r="K6614" s="8">
        <f>IF(G6614="","",G6614+J6614)</f>
        <v/>
      </c>
    </row>
    <row r="6615">
      <c r="F6615" s="8" t="n"/>
      <c r="G6615" s="8">
        <f>IF(E6615="","",E6615*F6615)</f>
        <v/>
      </c>
      <c r="H6615" s="8">
        <f>IF(G6615="","",G6615-I6615)</f>
        <v/>
      </c>
      <c r="I6615" s="8">
        <f>IF(D6615="","",VLOOKUP(D6615, RECETTES!B:G, 6, FALSE)*E6615)</f>
        <v/>
      </c>
      <c r="J6615" s="8">
        <f>IF(G6615="","",G6615*0.20)</f>
        <v/>
      </c>
      <c r="K6615" s="8">
        <f>IF(G6615="","",G6615+J6615)</f>
        <v/>
      </c>
    </row>
    <row r="6616">
      <c r="F6616" s="8" t="n"/>
      <c r="G6616" s="8">
        <f>IF(E6616="","",E6616*F6616)</f>
        <v/>
      </c>
      <c r="H6616" s="8">
        <f>IF(G6616="","",G6616-I6616)</f>
        <v/>
      </c>
      <c r="I6616" s="8">
        <f>IF(D6616="","",VLOOKUP(D6616, RECETTES!B:G, 6, FALSE)*E6616)</f>
        <v/>
      </c>
      <c r="J6616" s="8">
        <f>IF(G6616="","",G6616*0.20)</f>
        <v/>
      </c>
      <c r="K6616" s="8">
        <f>IF(G6616="","",G6616+J6616)</f>
        <v/>
      </c>
    </row>
    <row r="6617">
      <c r="F6617" s="8" t="n"/>
      <c r="G6617" s="8">
        <f>IF(E6617="","",E6617*F6617)</f>
        <v/>
      </c>
      <c r="H6617" s="8">
        <f>IF(G6617="","",G6617-I6617)</f>
        <v/>
      </c>
      <c r="I6617" s="8">
        <f>IF(D6617="","",VLOOKUP(D6617, RECETTES!B:G, 6, FALSE)*E6617)</f>
        <v/>
      </c>
      <c r="J6617" s="8">
        <f>IF(G6617="","",G6617*0.20)</f>
        <v/>
      </c>
      <c r="K6617" s="8">
        <f>IF(G6617="","",G6617+J6617)</f>
        <v/>
      </c>
    </row>
    <row r="6618">
      <c r="F6618" s="8" t="n"/>
      <c r="G6618" s="8">
        <f>IF(E6618="","",E6618*F6618)</f>
        <v/>
      </c>
      <c r="H6618" s="8">
        <f>IF(G6618="","",G6618-I6618)</f>
        <v/>
      </c>
      <c r="I6618" s="8">
        <f>IF(D6618="","",VLOOKUP(D6618, RECETTES!B:G, 6, FALSE)*E6618)</f>
        <v/>
      </c>
      <c r="J6618" s="8">
        <f>IF(G6618="","",G6618*0.20)</f>
        <v/>
      </c>
      <c r="K6618" s="8">
        <f>IF(G6618="","",G6618+J6618)</f>
        <v/>
      </c>
    </row>
    <row r="6619">
      <c r="F6619" s="8" t="n"/>
      <c r="G6619" s="8">
        <f>IF(E6619="","",E6619*F6619)</f>
        <v/>
      </c>
      <c r="H6619" s="8">
        <f>IF(G6619="","",G6619-I6619)</f>
        <v/>
      </c>
      <c r="I6619" s="8">
        <f>IF(D6619="","",VLOOKUP(D6619, RECETTES!B:G, 6, FALSE)*E6619)</f>
        <v/>
      </c>
      <c r="J6619" s="8">
        <f>IF(G6619="","",G6619*0.20)</f>
        <v/>
      </c>
      <c r="K6619" s="8">
        <f>IF(G6619="","",G6619+J6619)</f>
        <v/>
      </c>
    </row>
    <row r="6620">
      <c r="F6620" s="8" t="n"/>
      <c r="G6620" s="8">
        <f>IF(E6620="","",E6620*F6620)</f>
        <v/>
      </c>
      <c r="H6620" s="8">
        <f>IF(G6620="","",G6620-I6620)</f>
        <v/>
      </c>
      <c r="I6620" s="8">
        <f>IF(D6620="","",VLOOKUP(D6620, RECETTES!B:G, 6, FALSE)*E6620)</f>
        <v/>
      </c>
      <c r="J6620" s="8">
        <f>IF(G6620="","",G6620*0.20)</f>
        <v/>
      </c>
      <c r="K6620" s="8">
        <f>IF(G6620="","",G6620+J6620)</f>
        <v/>
      </c>
    </row>
    <row r="6621">
      <c r="F6621" s="8" t="n"/>
      <c r="G6621" s="8">
        <f>IF(E6621="","",E6621*F6621)</f>
        <v/>
      </c>
      <c r="H6621" s="8">
        <f>IF(G6621="","",G6621-I6621)</f>
        <v/>
      </c>
      <c r="I6621" s="8">
        <f>IF(D6621="","",VLOOKUP(D6621, RECETTES!B:G, 6, FALSE)*E6621)</f>
        <v/>
      </c>
      <c r="J6621" s="8">
        <f>IF(G6621="","",G6621*0.20)</f>
        <v/>
      </c>
      <c r="K6621" s="8">
        <f>IF(G6621="","",G6621+J6621)</f>
        <v/>
      </c>
    </row>
    <row r="6622">
      <c r="F6622" s="8" t="n"/>
      <c r="G6622" s="8">
        <f>IF(E6622="","",E6622*F6622)</f>
        <v/>
      </c>
      <c r="H6622" s="8">
        <f>IF(G6622="","",G6622-I6622)</f>
        <v/>
      </c>
      <c r="I6622" s="8">
        <f>IF(D6622="","",VLOOKUP(D6622, RECETTES!B:G, 6, FALSE)*E6622)</f>
        <v/>
      </c>
      <c r="J6622" s="8">
        <f>IF(G6622="","",G6622*0.20)</f>
        <v/>
      </c>
      <c r="K6622" s="8">
        <f>IF(G6622="","",G6622+J6622)</f>
        <v/>
      </c>
    </row>
    <row r="6623">
      <c r="F6623" s="8" t="n"/>
      <c r="G6623" s="8">
        <f>IF(E6623="","",E6623*F6623)</f>
        <v/>
      </c>
      <c r="H6623" s="8">
        <f>IF(G6623="","",G6623-I6623)</f>
        <v/>
      </c>
      <c r="I6623" s="8">
        <f>IF(D6623="","",VLOOKUP(D6623, RECETTES!B:G, 6, FALSE)*E6623)</f>
        <v/>
      </c>
      <c r="J6623" s="8">
        <f>IF(G6623="","",G6623*0.20)</f>
        <v/>
      </c>
      <c r="K6623" s="8">
        <f>IF(G6623="","",G6623+J6623)</f>
        <v/>
      </c>
    </row>
    <row r="6624">
      <c r="F6624" s="8" t="n"/>
      <c r="G6624" s="8">
        <f>IF(E6624="","",E6624*F6624)</f>
        <v/>
      </c>
      <c r="H6624" s="8">
        <f>IF(G6624="","",G6624-I6624)</f>
        <v/>
      </c>
      <c r="I6624" s="8">
        <f>IF(D6624="","",VLOOKUP(D6624, RECETTES!B:G, 6, FALSE)*E6624)</f>
        <v/>
      </c>
      <c r="J6624" s="8">
        <f>IF(G6624="","",G6624*0.20)</f>
        <v/>
      </c>
      <c r="K6624" s="8">
        <f>IF(G6624="","",G6624+J6624)</f>
        <v/>
      </c>
    </row>
    <row r="6625">
      <c r="F6625" s="8" t="n"/>
      <c r="G6625" s="8">
        <f>IF(E6625="","",E6625*F6625)</f>
        <v/>
      </c>
      <c r="H6625" s="8">
        <f>IF(G6625="","",G6625-I6625)</f>
        <v/>
      </c>
      <c r="I6625" s="8">
        <f>IF(D6625="","",VLOOKUP(D6625, RECETTES!B:G, 6, FALSE)*E6625)</f>
        <v/>
      </c>
      <c r="J6625" s="8">
        <f>IF(G6625="","",G6625*0.20)</f>
        <v/>
      </c>
      <c r="K6625" s="8">
        <f>IF(G6625="","",G6625+J6625)</f>
        <v/>
      </c>
    </row>
    <row r="6626">
      <c r="F6626" s="8" t="n"/>
      <c r="G6626" s="8">
        <f>IF(E6626="","",E6626*F6626)</f>
        <v/>
      </c>
      <c r="H6626" s="8">
        <f>IF(G6626="","",G6626-I6626)</f>
        <v/>
      </c>
      <c r="I6626" s="8">
        <f>IF(D6626="","",VLOOKUP(D6626, RECETTES!B:G, 6, FALSE)*E6626)</f>
        <v/>
      </c>
      <c r="J6626" s="8">
        <f>IF(G6626="","",G6626*0.20)</f>
        <v/>
      </c>
      <c r="K6626" s="8">
        <f>IF(G6626="","",G6626+J6626)</f>
        <v/>
      </c>
    </row>
    <row r="6627">
      <c r="F6627" s="8" t="n"/>
      <c r="G6627" s="8">
        <f>IF(E6627="","",E6627*F6627)</f>
        <v/>
      </c>
      <c r="H6627" s="8">
        <f>IF(G6627="","",G6627-I6627)</f>
        <v/>
      </c>
      <c r="I6627" s="8">
        <f>IF(D6627="","",VLOOKUP(D6627, RECETTES!B:G, 6, FALSE)*E6627)</f>
        <v/>
      </c>
      <c r="J6627" s="8">
        <f>IF(G6627="","",G6627*0.20)</f>
        <v/>
      </c>
      <c r="K6627" s="8">
        <f>IF(G6627="","",G6627+J6627)</f>
        <v/>
      </c>
    </row>
    <row r="6628">
      <c r="F6628" s="8" t="n"/>
      <c r="G6628" s="8">
        <f>IF(E6628="","",E6628*F6628)</f>
        <v/>
      </c>
      <c r="H6628" s="8">
        <f>IF(G6628="","",G6628-I6628)</f>
        <v/>
      </c>
      <c r="I6628" s="8">
        <f>IF(D6628="","",VLOOKUP(D6628, RECETTES!B:G, 6, FALSE)*E6628)</f>
        <v/>
      </c>
      <c r="J6628" s="8">
        <f>IF(G6628="","",G6628*0.20)</f>
        <v/>
      </c>
      <c r="K6628" s="8">
        <f>IF(G6628="","",G6628+J6628)</f>
        <v/>
      </c>
    </row>
    <row r="6629">
      <c r="F6629" s="8" t="n"/>
      <c r="G6629" s="8">
        <f>IF(E6629="","",E6629*F6629)</f>
        <v/>
      </c>
      <c r="H6629" s="8">
        <f>IF(G6629="","",G6629-I6629)</f>
        <v/>
      </c>
      <c r="I6629" s="8">
        <f>IF(D6629="","",VLOOKUP(D6629, RECETTES!B:G, 6, FALSE)*E6629)</f>
        <v/>
      </c>
      <c r="J6629" s="8">
        <f>IF(G6629="","",G6629*0.20)</f>
        <v/>
      </c>
      <c r="K6629" s="8">
        <f>IF(G6629="","",G6629+J6629)</f>
        <v/>
      </c>
    </row>
    <row r="6630">
      <c r="F6630" s="8" t="n"/>
      <c r="G6630" s="8">
        <f>IF(E6630="","",E6630*F6630)</f>
        <v/>
      </c>
      <c r="H6630" s="8">
        <f>IF(G6630="","",G6630-I6630)</f>
        <v/>
      </c>
      <c r="I6630" s="8">
        <f>IF(D6630="","",VLOOKUP(D6630, RECETTES!B:G, 6, FALSE)*E6630)</f>
        <v/>
      </c>
      <c r="J6630" s="8">
        <f>IF(G6630="","",G6630*0.20)</f>
        <v/>
      </c>
      <c r="K6630" s="8">
        <f>IF(G6630="","",G6630+J6630)</f>
        <v/>
      </c>
    </row>
    <row r="6631">
      <c r="F6631" s="8" t="n"/>
      <c r="G6631" s="8">
        <f>IF(E6631="","",E6631*F6631)</f>
        <v/>
      </c>
      <c r="H6631" s="8">
        <f>IF(G6631="","",G6631-I6631)</f>
        <v/>
      </c>
      <c r="I6631" s="8">
        <f>IF(D6631="","",VLOOKUP(D6631, RECETTES!B:G, 6, FALSE)*E6631)</f>
        <v/>
      </c>
      <c r="J6631" s="8">
        <f>IF(G6631="","",G6631*0.20)</f>
        <v/>
      </c>
      <c r="K6631" s="8">
        <f>IF(G6631="","",G6631+J6631)</f>
        <v/>
      </c>
    </row>
    <row r="6632">
      <c r="F6632" s="8" t="n"/>
      <c r="G6632" s="8">
        <f>IF(E6632="","",E6632*F6632)</f>
        <v/>
      </c>
      <c r="H6632" s="8">
        <f>IF(G6632="","",G6632-I6632)</f>
        <v/>
      </c>
      <c r="I6632" s="8">
        <f>IF(D6632="","",VLOOKUP(D6632, RECETTES!B:G, 6, FALSE)*E6632)</f>
        <v/>
      </c>
      <c r="J6632" s="8">
        <f>IF(G6632="","",G6632*0.20)</f>
        <v/>
      </c>
      <c r="K6632" s="8">
        <f>IF(G6632="","",G6632+J6632)</f>
        <v/>
      </c>
    </row>
    <row r="6633">
      <c r="F6633" s="8" t="n"/>
      <c r="G6633" s="8">
        <f>IF(E6633="","",E6633*F6633)</f>
        <v/>
      </c>
      <c r="H6633" s="8">
        <f>IF(G6633="","",G6633-I6633)</f>
        <v/>
      </c>
      <c r="I6633" s="8">
        <f>IF(D6633="","",VLOOKUP(D6633, RECETTES!B:G, 6, FALSE)*E6633)</f>
        <v/>
      </c>
      <c r="J6633" s="8">
        <f>IF(G6633="","",G6633*0.20)</f>
        <v/>
      </c>
      <c r="K6633" s="8">
        <f>IF(G6633="","",G6633+J6633)</f>
        <v/>
      </c>
    </row>
    <row r="6634">
      <c r="F6634" s="8" t="n"/>
      <c r="G6634" s="8">
        <f>IF(E6634="","",E6634*F6634)</f>
        <v/>
      </c>
      <c r="H6634" s="8">
        <f>IF(G6634="","",G6634-I6634)</f>
        <v/>
      </c>
      <c r="I6634" s="8">
        <f>IF(D6634="","",VLOOKUP(D6634, RECETTES!B:G, 6, FALSE)*E6634)</f>
        <v/>
      </c>
      <c r="J6634" s="8">
        <f>IF(G6634="","",G6634*0.20)</f>
        <v/>
      </c>
      <c r="K6634" s="8">
        <f>IF(G6634="","",G6634+J6634)</f>
        <v/>
      </c>
    </row>
    <row r="6635">
      <c r="F6635" s="8" t="n"/>
      <c r="G6635" s="8">
        <f>IF(E6635="","",E6635*F6635)</f>
        <v/>
      </c>
      <c r="H6635" s="8">
        <f>IF(G6635="","",G6635-I6635)</f>
        <v/>
      </c>
      <c r="I6635" s="8">
        <f>IF(D6635="","",VLOOKUP(D6635, RECETTES!B:G, 6, FALSE)*E6635)</f>
        <v/>
      </c>
      <c r="J6635" s="8">
        <f>IF(G6635="","",G6635*0.20)</f>
        <v/>
      </c>
      <c r="K6635" s="8">
        <f>IF(G6635="","",G6635+J6635)</f>
        <v/>
      </c>
    </row>
    <row r="6636">
      <c r="F6636" s="8" t="n"/>
      <c r="G6636" s="8">
        <f>IF(E6636="","",E6636*F6636)</f>
        <v/>
      </c>
      <c r="H6636" s="8">
        <f>IF(G6636="","",G6636-I6636)</f>
        <v/>
      </c>
      <c r="I6636" s="8">
        <f>IF(D6636="","",VLOOKUP(D6636, RECETTES!B:G, 6, FALSE)*E6636)</f>
        <v/>
      </c>
      <c r="J6636" s="8">
        <f>IF(G6636="","",G6636*0.20)</f>
        <v/>
      </c>
      <c r="K6636" s="8">
        <f>IF(G6636="","",G6636+J6636)</f>
        <v/>
      </c>
    </row>
    <row r="6637">
      <c r="F6637" s="8" t="n"/>
      <c r="G6637" s="8">
        <f>IF(E6637="","",E6637*F6637)</f>
        <v/>
      </c>
      <c r="H6637" s="8">
        <f>IF(G6637="","",G6637-I6637)</f>
        <v/>
      </c>
      <c r="I6637" s="8">
        <f>IF(D6637="","",VLOOKUP(D6637, RECETTES!B:G, 6, FALSE)*E6637)</f>
        <v/>
      </c>
      <c r="J6637" s="8">
        <f>IF(G6637="","",G6637*0.20)</f>
        <v/>
      </c>
      <c r="K6637" s="8">
        <f>IF(G6637="","",G6637+J6637)</f>
        <v/>
      </c>
    </row>
    <row r="6638">
      <c r="F6638" s="8" t="n"/>
      <c r="G6638" s="8">
        <f>IF(E6638="","",E6638*F6638)</f>
        <v/>
      </c>
      <c r="H6638" s="8">
        <f>IF(G6638="","",G6638-I6638)</f>
        <v/>
      </c>
      <c r="I6638" s="8">
        <f>IF(D6638="","",VLOOKUP(D6638, RECETTES!B:G, 6, FALSE)*E6638)</f>
        <v/>
      </c>
      <c r="J6638" s="8">
        <f>IF(G6638="","",G6638*0.20)</f>
        <v/>
      </c>
      <c r="K6638" s="8">
        <f>IF(G6638="","",G6638+J6638)</f>
        <v/>
      </c>
    </row>
    <row r="6639">
      <c r="F6639" s="8" t="n"/>
      <c r="G6639" s="8">
        <f>IF(E6639="","",E6639*F6639)</f>
        <v/>
      </c>
      <c r="H6639" s="8">
        <f>IF(G6639="","",G6639-I6639)</f>
        <v/>
      </c>
      <c r="I6639" s="8">
        <f>IF(D6639="","",VLOOKUP(D6639, RECETTES!B:G, 6, FALSE)*E6639)</f>
        <v/>
      </c>
      <c r="J6639" s="8">
        <f>IF(G6639="","",G6639*0.20)</f>
        <v/>
      </c>
      <c r="K6639" s="8">
        <f>IF(G6639="","",G6639+J6639)</f>
        <v/>
      </c>
    </row>
    <row r="6640">
      <c r="F6640" s="8" t="n"/>
      <c r="G6640" s="8">
        <f>IF(E6640="","",E6640*F6640)</f>
        <v/>
      </c>
      <c r="H6640" s="8">
        <f>IF(G6640="","",G6640-I6640)</f>
        <v/>
      </c>
      <c r="I6640" s="8">
        <f>IF(D6640="","",VLOOKUP(D6640, RECETTES!B:G, 6, FALSE)*E6640)</f>
        <v/>
      </c>
      <c r="J6640" s="8">
        <f>IF(G6640="","",G6640*0.20)</f>
        <v/>
      </c>
      <c r="K6640" s="8">
        <f>IF(G6640="","",G6640+J6640)</f>
        <v/>
      </c>
    </row>
    <row r="6641">
      <c r="F6641" s="8" t="n"/>
      <c r="G6641" s="8">
        <f>IF(E6641="","",E6641*F6641)</f>
        <v/>
      </c>
      <c r="H6641" s="8">
        <f>IF(G6641="","",G6641-I6641)</f>
        <v/>
      </c>
      <c r="I6641" s="8">
        <f>IF(D6641="","",VLOOKUP(D6641, RECETTES!B:G, 6, FALSE)*E6641)</f>
        <v/>
      </c>
      <c r="J6641" s="8">
        <f>IF(G6641="","",G6641*0.20)</f>
        <v/>
      </c>
      <c r="K6641" s="8">
        <f>IF(G6641="","",G6641+J6641)</f>
        <v/>
      </c>
    </row>
    <row r="6642">
      <c r="F6642" s="8" t="n"/>
      <c r="G6642" s="8">
        <f>IF(E6642="","",E6642*F6642)</f>
        <v/>
      </c>
      <c r="H6642" s="8">
        <f>IF(G6642="","",G6642-I6642)</f>
        <v/>
      </c>
      <c r="I6642" s="8">
        <f>IF(D6642="","",VLOOKUP(D6642, RECETTES!B:G, 6, FALSE)*E6642)</f>
        <v/>
      </c>
      <c r="J6642" s="8">
        <f>IF(G6642="","",G6642*0.20)</f>
        <v/>
      </c>
      <c r="K6642" s="8">
        <f>IF(G6642="","",G6642+J6642)</f>
        <v/>
      </c>
    </row>
    <row r="6643">
      <c r="F6643" s="8" t="n"/>
      <c r="G6643" s="8">
        <f>IF(E6643="","",E6643*F6643)</f>
        <v/>
      </c>
      <c r="H6643" s="8">
        <f>IF(G6643="","",G6643-I6643)</f>
        <v/>
      </c>
      <c r="I6643" s="8">
        <f>IF(D6643="","",VLOOKUP(D6643, RECETTES!B:G, 6, FALSE)*E6643)</f>
        <v/>
      </c>
      <c r="J6643" s="8">
        <f>IF(G6643="","",G6643*0.20)</f>
        <v/>
      </c>
      <c r="K6643" s="8">
        <f>IF(G6643="","",G6643+J6643)</f>
        <v/>
      </c>
    </row>
    <row r="6644">
      <c r="F6644" s="8" t="n"/>
      <c r="G6644" s="8">
        <f>IF(E6644="","",E6644*F6644)</f>
        <v/>
      </c>
      <c r="H6644" s="8">
        <f>IF(G6644="","",G6644-I6644)</f>
        <v/>
      </c>
      <c r="I6644" s="8">
        <f>IF(D6644="","",VLOOKUP(D6644, RECETTES!B:G, 6, FALSE)*E6644)</f>
        <v/>
      </c>
      <c r="J6644" s="8">
        <f>IF(G6644="","",G6644*0.20)</f>
        <v/>
      </c>
      <c r="K6644" s="8">
        <f>IF(G6644="","",G6644+J6644)</f>
        <v/>
      </c>
    </row>
    <row r="6645">
      <c r="F6645" s="8" t="n"/>
      <c r="G6645" s="8">
        <f>IF(E6645="","",E6645*F6645)</f>
        <v/>
      </c>
      <c r="H6645" s="8">
        <f>IF(G6645="","",G6645-I6645)</f>
        <v/>
      </c>
      <c r="I6645" s="8">
        <f>IF(D6645="","",VLOOKUP(D6645, RECETTES!B:G, 6, FALSE)*E6645)</f>
        <v/>
      </c>
      <c r="J6645" s="8">
        <f>IF(G6645="","",G6645*0.20)</f>
        <v/>
      </c>
      <c r="K6645" s="8">
        <f>IF(G6645="","",G6645+J6645)</f>
        <v/>
      </c>
    </row>
    <row r="6646">
      <c r="F6646" s="8" t="n"/>
      <c r="G6646" s="8">
        <f>IF(E6646="","",E6646*F6646)</f>
        <v/>
      </c>
      <c r="H6646" s="8">
        <f>IF(G6646="","",G6646-I6646)</f>
        <v/>
      </c>
      <c r="I6646" s="8">
        <f>IF(D6646="","",VLOOKUP(D6646, RECETTES!B:G, 6, FALSE)*E6646)</f>
        <v/>
      </c>
      <c r="J6646" s="8">
        <f>IF(G6646="","",G6646*0.20)</f>
        <v/>
      </c>
      <c r="K6646" s="8">
        <f>IF(G6646="","",G6646+J6646)</f>
        <v/>
      </c>
    </row>
    <row r="6647">
      <c r="F6647" s="8" t="n"/>
      <c r="G6647" s="8">
        <f>IF(E6647="","",E6647*F6647)</f>
        <v/>
      </c>
      <c r="H6647" s="8">
        <f>IF(G6647="","",G6647-I6647)</f>
        <v/>
      </c>
      <c r="I6647" s="8">
        <f>IF(D6647="","",VLOOKUP(D6647, RECETTES!B:G, 6, FALSE)*E6647)</f>
        <v/>
      </c>
      <c r="J6647" s="8">
        <f>IF(G6647="","",G6647*0.20)</f>
        <v/>
      </c>
      <c r="K6647" s="8">
        <f>IF(G6647="","",G6647+J6647)</f>
        <v/>
      </c>
    </row>
    <row r="6648">
      <c r="F6648" s="8" t="n"/>
      <c r="G6648" s="8">
        <f>IF(E6648="","",E6648*F6648)</f>
        <v/>
      </c>
      <c r="H6648" s="8">
        <f>IF(G6648="","",G6648-I6648)</f>
        <v/>
      </c>
      <c r="I6648" s="8">
        <f>IF(D6648="","",VLOOKUP(D6648, RECETTES!B:G, 6, FALSE)*E6648)</f>
        <v/>
      </c>
      <c r="J6648" s="8">
        <f>IF(G6648="","",G6648*0.20)</f>
        <v/>
      </c>
      <c r="K6648" s="8">
        <f>IF(G6648="","",G6648+J6648)</f>
        <v/>
      </c>
    </row>
    <row r="6649">
      <c r="F6649" s="8" t="n"/>
      <c r="G6649" s="8">
        <f>IF(E6649="","",E6649*F6649)</f>
        <v/>
      </c>
      <c r="H6649" s="8">
        <f>IF(G6649="","",G6649-I6649)</f>
        <v/>
      </c>
      <c r="I6649" s="8">
        <f>IF(D6649="","",VLOOKUP(D6649, RECETTES!B:G, 6, FALSE)*E6649)</f>
        <v/>
      </c>
      <c r="J6649" s="8">
        <f>IF(G6649="","",G6649*0.20)</f>
        <v/>
      </c>
      <c r="K6649" s="8">
        <f>IF(G6649="","",G6649+J6649)</f>
        <v/>
      </c>
    </row>
    <row r="6650">
      <c r="F6650" s="8" t="n"/>
      <c r="G6650" s="8">
        <f>IF(E6650="","",E6650*F6650)</f>
        <v/>
      </c>
      <c r="H6650" s="8">
        <f>IF(G6650="","",G6650-I6650)</f>
        <v/>
      </c>
      <c r="I6650" s="8">
        <f>IF(D6650="","",VLOOKUP(D6650, RECETTES!B:G, 6, FALSE)*E6650)</f>
        <v/>
      </c>
      <c r="J6650" s="8">
        <f>IF(G6650="","",G6650*0.20)</f>
        <v/>
      </c>
      <c r="K6650" s="8">
        <f>IF(G6650="","",G6650+J6650)</f>
        <v/>
      </c>
    </row>
    <row r="6651">
      <c r="F6651" s="8" t="n"/>
      <c r="G6651" s="8">
        <f>IF(E6651="","",E6651*F6651)</f>
        <v/>
      </c>
      <c r="H6651" s="8">
        <f>IF(G6651="","",G6651-I6651)</f>
        <v/>
      </c>
      <c r="I6651" s="8">
        <f>IF(D6651="","",VLOOKUP(D6651, RECETTES!B:G, 6, FALSE)*E6651)</f>
        <v/>
      </c>
      <c r="J6651" s="8">
        <f>IF(G6651="","",G6651*0.20)</f>
        <v/>
      </c>
      <c r="K6651" s="8">
        <f>IF(G6651="","",G6651+J6651)</f>
        <v/>
      </c>
    </row>
    <row r="6652">
      <c r="F6652" s="8" t="n"/>
      <c r="G6652" s="8">
        <f>IF(E6652="","",E6652*F6652)</f>
        <v/>
      </c>
      <c r="H6652" s="8">
        <f>IF(G6652="","",G6652-I6652)</f>
        <v/>
      </c>
      <c r="I6652" s="8">
        <f>IF(D6652="","",VLOOKUP(D6652, RECETTES!B:G, 6, FALSE)*E6652)</f>
        <v/>
      </c>
      <c r="J6652" s="8">
        <f>IF(G6652="","",G6652*0.20)</f>
        <v/>
      </c>
      <c r="K6652" s="8">
        <f>IF(G6652="","",G6652+J6652)</f>
        <v/>
      </c>
    </row>
    <row r="6653">
      <c r="F6653" s="8" t="n"/>
      <c r="G6653" s="8">
        <f>IF(E6653="","",E6653*F6653)</f>
        <v/>
      </c>
      <c r="H6653" s="8">
        <f>IF(G6653="","",G6653-I6653)</f>
        <v/>
      </c>
      <c r="I6653" s="8">
        <f>IF(D6653="","",VLOOKUP(D6653, RECETTES!B:G, 6, FALSE)*E6653)</f>
        <v/>
      </c>
      <c r="J6653" s="8">
        <f>IF(G6653="","",G6653*0.20)</f>
        <v/>
      </c>
      <c r="K6653" s="8">
        <f>IF(G6653="","",G6653+J6653)</f>
        <v/>
      </c>
    </row>
    <row r="6654">
      <c r="F6654" s="8" t="n"/>
      <c r="G6654" s="8">
        <f>IF(E6654="","",E6654*F6654)</f>
        <v/>
      </c>
      <c r="H6654" s="8">
        <f>IF(G6654="","",G6654-I6654)</f>
        <v/>
      </c>
      <c r="I6654" s="8">
        <f>IF(D6654="","",VLOOKUP(D6654, RECETTES!B:G, 6, FALSE)*E6654)</f>
        <v/>
      </c>
      <c r="J6654" s="8">
        <f>IF(G6654="","",G6654*0.20)</f>
        <v/>
      </c>
      <c r="K6654" s="8">
        <f>IF(G6654="","",G6654+J6654)</f>
        <v/>
      </c>
    </row>
    <row r="6655">
      <c r="F6655" s="8" t="n"/>
      <c r="G6655" s="8">
        <f>IF(E6655="","",E6655*F6655)</f>
        <v/>
      </c>
      <c r="H6655" s="8">
        <f>IF(G6655="","",G6655-I6655)</f>
        <v/>
      </c>
      <c r="I6655" s="8">
        <f>IF(D6655="","",VLOOKUP(D6655, RECETTES!B:G, 6, FALSE)*E6655)</f>
        <v/>
      </c>
      <c r="J6655" s="8">
        <f>IF(G6655="","",G6655*0.20)</f>
        <v/>
      </c>
      <c r="K6655" s="8">
        <f>IF(G6655="","",G6655+J6655)</f>
        <v/>
      </c>
    </row>
    <row r="6656">
      <c r="F6656" s="8" t="n"/>
      <c r="G6656" s="8">
        <f>IF(E6656="","",E6656*F6656)</f>
        <v/>
      </c>
      <c r="H6656" s="8">
        <f>IF(G6656="","",G6656-I6656)</f>
        <v/>
      </c>
      <c r="I6656" s="8">
        <f>IF(D6656="","",VLOOKUP(D6656, RECETTES!B:G, 6, FALSE)*E6656)</f>
        <v/>
      </c>
      <c r="J6656" s="8">
        <f>IF(G6656="","",G6656*0.20)</f>
        <v/>
      </c>
      <c r="K6656" s="8">
        <f>IF(G6656="","",G6656+J6656)</f>
        <v/>
      </c>
    </row>
    <row r="6657">
      <c r="F6657" s="8" t="n"/>
      <c r="G6657" s="8">
        <f>IF(E6657="","",E6657*F6657)</f>
        <v/>
      </c>
      <c r="H6657" s="8">
        <f>IF(G6657="","",G6657-I6657)</f>
        <v/>
      </c>
      <c r="I6657" s="8">
        <f>IF(D6657="","",VLOOKUP(D6657, RECETTES!B:G, 6, FALSE)*E6657)</f>
        <v/>
      </c>
      <c r="J6657" s="8">
        <f>IF(G6657="","",G6657*0.20)</f>
        <v/>
      </c>
      <c r="K6657" s="8">
        <f>IF(G6657="","",G6657+J6657)</f>
        <v/>
      </c>
    </row>
    <row r="6658">
      <c r="F6658" s="8" t="n"/>
      <c r="G6658" s="8">
        <f>IF(E6658="","",E6658*F6658)</f>
        <v/>
      </c>
      <c r="H6658" s="8">
        <f>IF(G6658="","",G6658-I6658)</f>
        <v/>
      </c>
      <c r="I6658" s="8">
        <f>IF(D6658="","",VLOOKUP(D6658, RECETTES!B:G, 6, FALSE)*E6658)</f>
        <v/>
      </c>
      <c r="J6658" s="8">
        <f>IF(G6658="","",G6658*0.20)</f>
        <v/>
      </c>
      <c r="K6658" s="8">
        <f>IF(G6658="","",G6658+J6658)</f>
        <v/>
      </c>
    </row>
    <row r="6659">
      <c r="F6659" s="8" t="n"/>
      <c r="G6659" s="8">
        <f>IF(E6659="","",E6659*F6659)</f>
        <v/>
      </c>
      <c r="H6659" s="8">
        <f>IF(G6659="","",G6659-I6659)</f>
        <v/>
      </c>
      <c r="I6659" s="8">
        <f>IF(D6659="","",VLOOKUP(D6659, RECETTES!B:G, 6, FALSE)*E6659)</f>
        <v/>
      </c>
      <c r="J6659" s="8">
        <f>IF(G6659="","",G6659*0.20)</f>
        <v/>
      </c>
      <c r="K6659" s="8">
        <f>IF(G6659="","",G6659+J6659)</f>
        <v/>
      </c>
    </row>
    <row r="6660">
      <c r="F6660" s="8" t="n"/>
      <c r="G6660" s="8">
        <f>IF(E6660="","",E6660*F6660)</f>
        <v/>
      </c>
      <c r="H6660" s="8">
        <f>IF(G6660="","",G6660-I6660)</f>
        <v/>
      </c>
      <c r="I6660" s="8">
        <f>IF(D6660="","",VLOOKUP(D6660, RECETTES!B:G, 6, FALSE)*E6660)</f>
        <v/>
      </c>
      <c r="J6660" s="8">
        <f>IF(G6660="","",G6660*0.20)</f>
        <v/>
      </c>
      <c r="K6660" s="8">
        <f>IF(G6660="","",G6660+J6660)</f>
        <v/>
      </c>
    </row>
    <row r="6661">
      <c r="F6661" s="8" t="n"/>
      <c r="G6661" s="8">
        <f>IF(E6661="","",E6661*F6661)</f>
        <v/>
      </c>
      <c r="H6661" s="8">
        <f>IF(G6661="","",G6661-I6661)</f>
        <v/>
      </c>
      <c r="I6661" s="8">
        <f>IF(D6661="","",VLOOKUP(D6661, RECETTES!B:G, 6, FALSE)*E6661)</f>
        <v/>
      </c>
      <c r="J6661" s="8">
        <f>IF(G6661="","",G6661*0.20)</f>
        <v/>
      </c>
      <c r="K6661" s="8">
        <f>IF(G6661="","",G6661+J6661)</f>
        <v/>
      </c>
    </row>
    <row r="6662">
      <c r="F6662" s="8" t="n"/>
      <c r="G6662" s="8">
        <f>IF(E6662="","",E6662*F6662)</f>
        <v/>
      </c>
      <c r="H6662" s="8">
        <f>IF(G6662="","",G6662-I6662)</f>
        <v/>
      </c>
      <c r="I6662" s="8">
        <f>IF(D6662="","",VLOOKUP(D6662, RECETTES!B:G, 6, FALSE)*E6662)</f>
        <v/>
      </c>
      <c r="J6662" s="8">
        <f>IF(G6662="","",G6662*0.20)</f>
        <v/>
      </c>
      <c r="K6662" s="8">
        <f>IF(G6662="","",G6662+J6662)</f>
        <v/>
      </c>
    </row>
    <row r="6663">
      <c r="F6663" s="8" t="n"/>
      <c r="G6663" s="8">
        <f>IF(E6663="","",E6663*F6663)</f>
        <v/>
      </c>
      <c r="H6663" s="8">
        <f>IF(G6663="","",G6663-I6663)</f>
        <v/>
      </c>
      <c r="I6663" s="8">
        <f>IF(D6663="","",VLOOKUP(D6663, RECETTES!B:G, 6, FALSE)*E6663)</f>
        <v/>
      </c>
      <c r="J6663" s="8">
        <f>IF(G6663="","",G6663*0.20)</f>
        <v/>
      </c>
      <c r="K6663" s="8">
        <f>IF(G6663="","",G6663+J6663)</f>
        <v/>
      </c>
    </row>
    <row r="6664">
      <c r="F6664" s="8" t="n"/>
      <c r="G6664" s="8">
        <f>IF(E6664="","",E6664*F6664)</f>
        <v/>
      </c>
      <c r="H6664" s="8">
        <f>IF(G6664="","",G6664-I6664)</f>
        <v/>
      </c>
      <c r="I6664" s="8">
        <f>IF(D6664="","",VLOOKUP(D6664, RECETTES!B:G, 6, FALSE)*E6664)</f>
        <v/>
      </c>
      <c r="J6664" s="8">
        <f>IF(G6664="","",G6664*0.20)</f>
        <v/>
      </c>
      <c r="K6664" s="8">
        <f>IF(G6664="","",G6664+J6664)</f>
        <v/>
      </c>
    </row>
    <row r="6665">
      <c r="F6665" s="8" t="n"/>
      <c r="G6665" s="8">
        <f>IF(E6665="","",E6665*F6665)</f>
        <v/>
      </c>
      <c r="H6665" s="8">
        <f>IF(G6665="","",G6665-I6665)</f>
        <v/>
      </c>
      <c r="I6665" s="8">
        <f>IF(D6665="","",VLOOKUP(D6665, RECETTES!B:G, 6, FALSE)*E6665)</f>
        <v/>
      </c>
      <c r="J6665" s="8">
        <f>IF(G6665="","",G6665*0.20)</f>
        <v/>
      </c>
      <c r="K6665" s="8">
        <f>IF(G6665="","",G6665+J6665)</f>
        <v/>
      </c>
    </row>
    <row r="6666">
      <c r="F6666" s="8" t="n"/>
      <c r="G6666" s="8">
        <f>IF(E6666="","",E6666*F6666)</f>
        <v/>
      </c>
      <c r="H6666" s="8">
        <f>IF(G6666="","",G6666-I6666)</f>
        <v/>
      </c>
      <c r="I6666" s="8">
        <f>IF(D6666="","",VLOOKUP(D6666, RECETTES!B:G, 6, FALSE)*E6666)</f>
        <v/>
      </c>
      <c r="J6666" s="8">
        <f>IF(G6666="","",G6666*0.20)</f>
        <v/>
      </c>
      <c r="K6666" s="8">
        <f>IF(G6666="","",G6666+J6666)</f>
        <v/>
      </c>
    </row>
    <row r="6667">
      <c r="F6667" s="8" t="n"/>
      <c r="G6667" s="8">
        <f>IF(E6667="","",E6667*F6667)</f>
        <v/>
      </c>
      <c r="H6667" s="8">
        <f>IF(G6667="","",G6667-I6667)</f>
        <v/>
      </c>
      <c r="I6667" s="8">
        <f>IF(D6667="","",VLOOKUP(D6667, RECETTES!B:G, 6, FALSE)*E6667)</f>
        <v/>
      </c>
      <c r="J6667" s="8">
        <f>IF(G6667="","",G6667*0.20)</f>
        <v/>
      </c>
      <c r="K6667" s="8">
        <f>IF(G6667="","",G6667+J6667)</f>
        <v/>
      </c>
    </row>
    <row r="6668">
      <c r="F6668" s="8" t="n"/>
      <c r="G6668" s="8">
        <f>IF(E6668="","",E6668*F6668)</f>
        <v/>
      </c>
      <c r="H6668" s="8">
        <f>IF(G6668="","",G6668-I6668)</f>
        <v/>
      </c>
      <c r="I6668" s="8">
        <f>IF(D6668="","",VLOOKUP(D6668, RECETTES!B:G, 6, FALSE)*E6668)</f>
        <v/>
      </c>
      <c r="J6668" s="8">
        <f>IF(G6668="","",G6668*0.20)</f>
        <v/>
      </c>
      <c r="K6668" s="8">
        <f>IF(G6668="","",G6668+J6668)</f>
        <v/>
      </c>
    </row>
    <row r="6669">
      <c r="F6669" s="8" t="n"/>
      <c r="G6669" s="8">
        <f>IF(E6669="","",E6669*F6669)</f>
        <v/>
      </c>
      <c r="H6669" s="8">
        <f>IF(G6669="","",G6669-I6669)</f>
        <v/>
      </c>
      <c r="I6669" s="8">
        <f>IF(D6669="","",VLOOKUP(D6669, RECETTES!B:G, 6, FALSE)*E6669)</f>
        <v/>
      </c>
      <c r="J6669" s="8">
        <f>IF(G6669="","",G6669*0.20)</f>
        <v/>
      </c>
      <c r="K6669" s="8">
        <f>IF(G6669="","",G6669+J6669)</f>
        <v/>
      </c>
    </row>
    <row r="6670">
      <c r="F6670" s="8" t="n"/>
      <c r="G6670" s="8">
        <f>IF(E6670="","",E6670*F6670)</f>
        <v/>
      </c>
      <c r="H6670" s="8">
        <f>IF(G6670="","",G6670-I6670)</f>
        <v/>
      </c>
      <c r="I6670" s="8">
        <f>IF(D6670="","",VLOOKUP(D6670, RECETTES!B:G, 6, FALSE)*E6670)</f>
        <v/>
      </c>
      <c r="J6670" s="8">
        <f>IF(G6670="","",G6670*0.20)</f>
        <v/>
      </c>
      <c r="K6670" s="8">
        <f>IF(G6670="","",G6670+J6670)</f>
        <v/>
      </c>
    </row>
    <row r="6671">
      <c r="F6671" s="8" t="n"/>
      <c r="G6671" s="8">
        <f>IF(E6671="","",E6671*F6671)</f>
        <v/>
      </c>
      <c r="H6671" s="8">
        <f>IF(G6671="","",G6671-I6671)</f>
        <v/>
      </c>
      <c r="I6671" s="8">
        <f>IF(D6671="","",VLOOKUP(D6671, RECETTES!B:G, 6, FALSE)*E6671)</f>
        <v/>
      </c>
      <c r="J6671" s="8">
        <f>IF(G6671="","",G6671*0.20)</f>
        <v/>
      </c>
      <c r="K6671" s="8">
        <f>IF(G6671="","",G6671+J6671)</f>
        <v/>
      </c>
    </row>
    <row r="6672">
      <c r="F6672" s="8" t="n"/>
      <c r="G6672" s="8">
        <f>IF(E6672="","",E6672*F6672)</f>
        <v/>
      </c>
      <c r="H6672" s="8">
        <f>IF(G6672="","",G6672-I6672)</f>
        <v/>
      </c>
      <c r="I6672" s="8">
        <f>IF(D6672="","",VLOOKUP(D6672, RECETTES!B:G, 6, FALSE)*E6672)</f>
        <v/>
      </c>
      <c r="J6672" s="8">
        <f>IF(G6672="","",G6672*0.20)</f>
        <v/>
      </c>
      <c r="K6672" s="8">
        <f>IF(G6672="","",G6672+J6672)</f>
        <v/>
      </c>
    </row>
    <row r="6673">
      <c r="F6673" s="8" t="n"/>
      <c r="G6673" s="8">
        <f>IF(E6673="","",E6673*F6673)</f>
        <v/>
      </c>
      <c r="H6673" s="8">
        <f>IF(G6673="","",G6673-I6673)</f>
        <v/>
      </c>
      <c r="I6673" s="8">
        <f>IF(D6673="","",VLOOKUP(D6673, RECETTES!B:G, 6, FALSE)*E6673)</f>
        <v/>
      </c>
      <c r="J6673" s="8">
        <f>IF(G6673="","",G6673*0.20)</f>
        <v/>
      </c>
      <c r="K6673" s="8">
        <f>IF(G6673="","",G6673+J6673)</f>
        <v/>
      </c>
    </row>
    <row r="6674">
      <c r="F6674" s="8" t="n"/>
      <c r="G6674" s="8">
        <f>IF(E6674="","",E6674*F6674)</f>
        <v/>
      </c>
      <c r="H6674" s="8">
        <f>IF(G6674="","",G6674-I6674)</f>
        <v/>
      </c>
      <c r="I6674" s="8">
        <f>IF(D6674="","",VLOOKUP(D6674, RECETTES!B:G, 6, FALSE)*E6674)</f>
        <v/>
      </c>
      <c r="J6674" s="8">
        <f>IF(G6674="","",G6674*0.20)</f>
        <v/>
      </c>
      <c r="K6674" s="8">
        <f>IF(G6674="","",G6674+J6674)</f>
        <v/>
      </c>
    </row>
    <row r="6675">
      <c r="F6675" s="8" t="n"/>
      <c r="G6675" s="8">
        <f>IF(E6675="","",E6675*F6675)</f>
        <v/>
      </c>
      <c r="H6675" s="8">
        <f>IF(G6675="","",G6675-I6675)</f>
        <v/>
      </c>
      <c r="I6675" s="8">
        <f>IF(D6675="","",VLOOKUP(D6675, RECETTES!B:G, 6, FALSE)*E6675)</f>
        <v/>
      </c>
      <c r="J6675" s="8">
        <f>IF(G6675="","",G6675*0.20)</f>
        <v/>
      </c>
      <c r="K6675" s="8">
        <f>IF(G6675="","",G6675+J6675)</f>
        <v/>
      </c>
    </row>
    <row r="6676">
      <c r="F6676" s="8" t="n"/>
      <c r="G6676" s="8">
        <f>IF(E6676="","",E6676*F6676)</f>
        <v/>
      </c>
      <c r="H6676" s="8">
        <f>IF(G6676="","",G6676-I6676)</f>
        <v/>
      </c>
      <c r="I6676" s="8">
        <f>IF(D6676="","",VLOOKUP(D6676, RECETTES!B:G, 6, FALSE)*E6676)</f>
        <v/>
      </c>
      <c r="J6676" s="8">
        <f>IF(G6676="","",G6676*0.20)</f>
        <v/>
      </c>
      <c r="K6676" s="8">
        <f>IF(G6676="","",G6676+J6676)</f>
        <v/>
      </c>
    </row>
    <row r="6677">
      <c r="F6677" s="8" t="n"/>
      <c r="G6677" s="8">
        <f>IF(E6677="","",E6677*F6677)</f>
        <v/>
      </c>
      <c r="H6677" s="8">
        <f>IF(G6677="","",G6677-I6677)</f>
        <v/>
      </c>
      <c r="I6677" s="8">
        <f>IF(D6677="","",VLOOKUP(D6677, RECETTES!B:G, 6, FALSE)*E6677)</f>
        <v/>
      </c>
      <c r="J6677" s="8">
        <f>IF(G6677="","",G6677*0.20)</f>
        <v/>
      </c>
      <c r="K6677" s="8">
        <f>IF(G6677="","",G6677+J6677)</f>
        <v/>
      </c>
    </row>
    <row r="6678">
      <c r="F6678" s="8" t="n"/>
      <c r="G6678" s="8">
        <f>IF(E6678="","",E6678*F6678)</f>
        <v/>
      </c>
      <c r="H6678" s="8">
        <f>IF(G6678="","",G6678-I6678)</f>
        <v/>
      </c>
      <c r="I6678" s="8">
        <f>IF(D6678="","",VLOOKUP(D6678, RECETTES!B:G, 6, FALSE)*E6678)</f>
        <v/>
      </c>
      <c r="J6678" s="8">
        <f>IF(G6678="","",G6678*0.20)</f>
        <v/>
      </c>
      <c r="K6678" s="8">
        <f>IF(G6678="","",G6678+J6678)</f>
        <v/>
      </c>
    </row>
    <row r="6679">
      <c r="F6679" s="8" t="n"/>
      <c r="G6679" s="8">
        <f>IF(E6679="","",E6679*F6679)</f>
        <v/>
      </c>
      <c r="H6679" s="8">
        <f>IF(G6679="","",G6679-I6679)</f>
        <v/>
      </c>
      <c r="I6679" s="8">
        <f>IF(D6679="","",VLOOKUP(D6679, RECETTES!B:G, 6, FALSE)*E6679)</f>
        <v/>
      </c>
      <c r="J6679" s="8">
        <f>IF(G6679="","",G6679*0.20)</f>
        <v/>
      </c>
      <c r="K6679" s="8">
        <f>IF(G6679="","",G6679+J6679)</f>
        <v/>
      </c>
    </row>
    <row r="6680">
      <c r="F6680" s="8" t="n"/>
      <c r="G6680" s="8">
        <f>IF(E6680="","",E6680*F6680)</f>
        <v/>
      </c>
      <c r="H6680" s="8">
        <f>IF(G6680="","",G6680-I6680)</f>
        <v/>
      </c>
      <c r="I6680" s="8">
        <f>IF(D6680="","",VLOOKUP(D6680, RECETTES!B:G, 6, FALSE)*E6680)</f>
        <v/>
      </c>
      <c r="J6680" s="8">
        <f>IF(G6680="","",G6680*0.20)</f>
        <v/>
      </c>
      <c r="K6680" s="8">
        <f>IF(G6680="","",G6680+J6680)</f>
        <v/>
      </c>
    </row>
    <row r="6681">
      <c r="F6681" s="8" t="n"/>
      <c r="G6681" s="8">
        <f>IF(E6681="","",E6681*F6681)</f>
        <v/>
      </c>
      <c r="H6681" s="8">
        <f>IF(G6681="","",G6681-I6681)</f>
        <v/>
      </c>
      <c r="I6681" s="8">
        <f>IF(D6681="","",VLOOKUP(D6681, RECETTES!B:G, 6, FALSE)*E6681)</f>
        <v/>
      </c>
      <c r="J6681" s="8">
        <f>IF(G6681="","",G6681*0.20)</f>
        <v/>
      </c>
      <c r="K6681" s="8">
        <f>IF(G6681="","",G6681+J6681)</f>
        <v/>
      </c>
    </row>
    <row r="6682">
      <c r="F6682" s="8" t="n"/>
      <c r="G6682" s="8">
        <f>IF(E6682="","",E6682*F6682)</f>
        <v/>
      </c>
      <c r="H6682" s="8">
        <f>IF(G6682="","",G6682-I6682)</f>
        <v/>
      </c>
      <c r="I6682" s="8">
        <f>IF(D6682="","",VLOOKUP(D6682, RECETTES!B:G, 6, FALSE)*E6682)</f>
        <v/>
      </c>
      <c r="J6682" s="8">
        <f>IF(G6682="","",G6682*0.20)</f>
        <v/>
      </c>
      <c r="K6682" s="8">
        <f>IF(G6682="","",G6682+J6682)</f>
        <v/>
      </c>
    </row>
    <row r="6683">
      <c r="F6683" s="8" t="n"/>
      <c r="G6683" s="8">
        <f>IF(E6683="","",E6683*F6683)</f>
        <v/>
      </c>
      <c r="H6683" s="8">
        <f>IF(G6683="","",G6683-I6683)</f>
        <v/>
      </c>
      <c r="I6683" s="8">
        <f>IF(D6683="","",VLOOKUP(D6683, RECETTES!B:G, 6, FALSE)*E6683)</f>
        <v/>
      </c>
      <c r="J6683" s="8">
        <f>IF(G6683="","",G6683*0.20)</f>
        <v/>
      </c>
      <c r="K6683" s="8">
        <f>IF(G6683="","",G6683+J6683)</f>
        <v/>
      </c>
    </row>
    <row r="6684">
      <c r="F6684" s="8" t="n"/>
      <c r="G6684" s="8">
        <f>IF(E6684="","",E6684*F6684)</f>
        <v/>
      </c>
      <c r="H6684" s="8">
        <f>IF(G6684="","",G6684-I6684)</f>
        <v/>
      </c>
      <c r="I6684" s="8">
        <f>IF(D6684="","",VLOOKUP(D6684, RECETTES!B:G, 6, FALSE)*E6684)</f>
        <v/>
      </c>
      <c r="J6684" s="8">
        <f>IF(G6684="","",G6684*0.20)</f>
        <v/>
      </c>
      <c r="K6684" s="8">
        <f>IF(G6684="","",G6684+J6684)</f>
        <v/>
      </c>
    </row>
    <row r="6685">
      <c r="F6685" s="8" t="n"/>
      <c r="G6685" s="8">
        <f>IF(E6685="","",E6685*F6685)</f>
        <v/>
      </c>
      <c r="H6685" s="8">
        <f>IF(G6685="","",G6685-I6685)</f>
        <v/>
      </c>
      <c r="I6685" s="8">
        <f>IF(D6685="","",VLOOKUP(D6685, RECETTES!B:G, 6, FALSE)*E6685)</f>
        <v/>
      </c>
      <c r="J6685" s="8">
        <f>IF(G6685="","",G6685*0.20)</f>
        <v/>
      </c>
      <c r="K6685" s="8">
        <f>IF(G6685="","",G6685+J6685)</f>
        <v/>
      </c>
    </row>
    <row r="6686">
      <c r="F6686" s="8" t="n"/>
      <c r="G6686" s="8">
        <f>IF(E6686="","",E6686*F6686)</f>
        <v/>
      </c>
      <c r="H6686" s="8">
        <f>IF(G6686="","",G6686-I6686)</f>
        <v/>
      </c>
      <c r="I6686" s="8">
        <f>IF(D6686="","",VLOOKUP(D6686, RECETTES!B:G, 6, FALSE)*E6686)</f>
        <v/>
      </c>
      <c r="J6686" s="8">
        <f>IF(G6686="","",G6686*0.20)</f>
        <v/>
      </c>
      <c r="K6686" s="8">
        <f>IF(G6686="","",G6686+J6686)</f>
        <v/>
      </c>
    </row>
    <row r="6687">
      <c r="F6687" s="8" t="n"/>
      <c r="G6687" s="8">
        <f>IF(E6687="","",E6687*F6687)</f>
        <v/>
      </c>
      <c r="H6687" s="8">
        <f>IF(G6687="","",G6687-I6687)</f>
        <v/>
      </c>
      <c r="I6687" s="8">
        <f>IF(D6687="","",VLOOKUP(D6687, RECETTES!B:G, 6, FALSE)*E6687)</f>
        <v/>
      </c>
      <c r="J6687" s="8">
        <f>IF(G6687="","",G6687*0.20)</f>
        <v/>
      </c>
      <c r="K6687" s="8">
        <f>IF(G6687="","",G6687+J6687)</f>
        <v/>
      </c>
    </row>
    <row r="6688">
      <c r="F6688" s="8" t="n"/>
      <c r="G6688" s="8">
        <f>IF(E6688="","",E6688*F6688)</f>
        <v/>
      </c>
      <c r="H6688" s="8">
        <f>IF(G6688="","",G6688-I6688)</f>
        <v/>
      </c>
      <c r="I6688" s="8">
        <f>IF(D6688="","",VLOOKUP(D6688, RECETTES!B:G, 6, FALSE)*E6688)</f>
        <v/>
      </c>
      <c r="J6688" s="8">
        <f>IF(G6688="","",G6688*0.20)</f>
        <v/>
      </c>
      <c r="K6688" s="8">
        <f>IF(G6688="","",G6688+J6688)</f>
        <v/>
      </c>
    </row>
    <row r="6689">
      <c r="F6689" s="8" t="n"/>
      <c r="G6689" s="8">
        <f>IF(E6689="","",E6689*F6689)</f>
        <v/>
      </c>
      <c r="H6689" s="8">
        <f>IF(G6689="","",G6689-I6689)</f>
        <v/>
      </c>
      <c r="I6689" s="8">
        <f>IF(D6689="","",VLOOKUP(D6689, RECETTES!B:G, 6, FALSE)*E6689)</f>
        <v/>
      </c>
      <c r="J6689" s="8">
        <f>IF(G6689="","",G6689*0.20)</f>
        <v/>
      </c>
      <c r="K6689" s="8">
        <f>IF(G6689="","",G6689+J6689)</f>
        <v/>
      </c>
    </row>
    <row r="6690">
      <c r="F6690" s="8" t="n"/>
      <c r="G6690" s="8">
        <f>IF(E6690="","",E6690*F6690)</f>
        <v/>
      </c>
      <c r="H6690" s="8">
        <f>IF(G6690="","",G6690-I6690)</f>
        <v/>
      </c>
      <c r="I6690" s="8">
        <f>IF(D6690="","",VLOOKUP(D6690, RECETTES!B:G, 6, FALSE)*E6690)</f>
        <v/>
      </c>
      <c r="J6690" s="8">
        <f>IF(G6690="","",G6690*0.20)</f>
        <v/>
      </c>
      <c r="K6690" s="8">
        <f>IF(G6690="","",G6690+J6690)</f>
        <v/>
      </c>
    </row>
    <row r="6691">
      <c r="F6691" s="8" t="n"/>
      <c r="G6691" s="8">
        <f>IF(E6691="","",E6691*F6691)</f>
        <v/>
      </c>
      <c r="H6691" s="8">
        <f>IF(G6691="","",G6691-I6691)</f>
        <v/>
      </c>
      <c r="I6691" s="8">
        <f>IF(D6691="","",VLOOKUP(D6691, RECETTES!B:G, 6, FALSE)*E6691)</f>
        <v/>
      </c>
      <c r="J6691" s="8">
        <f>IF(G6691="","",G6691*0.20)</f>
        <v/>
      </c>
      <c r="K6691" s="8">
        <f>IF(G6691="","",G6691+J6691)</f>
        <v/>
      </c>
    </row>
    <row r="6692">
      <c r="F6692" s="8" t="n"/>
      <c r="G6692" s="8">
        <f>IF(E6692="","",E6692*F6692)</f>
        <v/>
      </c>
      <c r="H6692" s="8">
        <f>IF(G6692="","",G6692-I6692)</f>
        <v/>
      </c>
      <c r="I6692" s="8">
        <f>IF(D6692="","",VLOOKUP(D6692, RECETTES!B:G, 6, FALSE)*E6692)</f>
        <v/>
      </c>
      <c r="J6692" s="8">
        <f>IF(G6692="","",G6692*0.20)</f>
        <v/>
      </c>
      <c r="K6692" s="8">
        <f>IF(G6692="","",G6692+J6692)</f>
        <v/>
      </c>
    </row>
    <row r="6693">
      <c r="F6693" s="8" t="n"/>
      <c r="G6693" s="8">
        <f>IF(E6693="","",E6693*F6693)</f>
        <v/>
      </c>
      <c r="H6693" s="8">
        <f>IF(G6693="","",G6693-I6693)</f>
        <v/>
      </c>
      <c r="I6693" s="8">
        <f>IF(D6693="","",VLOOKUP(D6693, RECETTES!B:G, 6, FALSE)*E6693)</f>
        <v/>
      </c>
      <c r="J6693" s="8">
        <f>IF(G6693="","",G6693*0.20)</f>
        <v/>
      </c>
      <c r="K6693" s="8">
        <f>IF(G6693="","",G6693+J6693)</f>
        <v/>
      </c>
    </row>
    <row r="6694">
      <c r="F6694" s="8" t="n"/>
      <c r="G6694" s="8">
        <f>IF(E6694="","",E6694*F6694)</f>
        <v/>
      </c>
      <c r="H6694" s="8">
        <f>IF(G6694="","",G6694-I6694)</f>
        <v/>
      </c>
      <c r="I6694" s="8">
        <f>IF(D6694="","",VLOOKUP(D6694, RECETTES!B:G, 6, FALSE)*E6694)</f>
        <v/>
      </c>
      <c r="J6694" s="8">
        <f>IF(G6694="","",G6694*0.20)</f>
        <v/>
      </c>
      <c r="K6694" s="8">
        <f>IF(G6694="","",G6694+J6694)</f>
        <v/>
      </c>
    </row>
    <row r="6695">
      <c r="F6695" s="8" t="n"/>
      <c r="G6695" s="8">
        <f>IF(E6695="","",E6695*F6695)</f>
        <v/>
      </c>
      <c r="H6695" s="8">
        <f>IF(G6695="","",G6695-I6695)</f>
        <v/>
      </c>
      <c r="I6695" s="8">
        <f>IF(D6695="","",VLOOKUP(D6695, RECETTES!B:G, 6, FALSE)*E6695)</f>
        <v/>
      </c>
      <c r="J6695" s="8">
        <f>IF(G6695="","",G6695*0.20)</f>
        <v/>
      </c>
      <c r="K6695" s="8">
        <f>IF(G6695="","",G6695+J6695)</f>
        <v/>
      </c>
    </row>
    <row r="6696">
      <c r="F6696" s="8" t="n"/>
      <c r="G6696" s="8">
        <f>IF(E6696="","",E6696*F6696)</f>
        <v/>
      </c>
      <c r="H6696" s="8">
        <f>IF(G6696="","",G6696-I6696)</f>
        <v/>
      </c>
      <c r="I6696" s="8">
        <f>IF(D6696="","",VLOOKUP(D6696, RECETTES!B:G, 6, FALSE)*E6696)</f>
        <v/>
      </c>
      <c r="J6696" s="8">
        <f>IF(G6696="","",G6696*0.20)</f>
        <v/>
      </c>
      <c r="K6696" s="8">
        <f>IF(G6696="","",G6696+J6696)</f>
        <v/>
      </c>
    </row>
    <row r="6697">
      <c r="F6697" s="8" t="n"/>
      <c r="G6697" s="8">
        <f>IF(E6697="","",E6697*F6697)</f>
        <v/>
      </c>
      <c r="H6697" s="8">
        <f>IF(G6697="","",G6697-I6697)</f>
        <v/>
      </c>
      <c r="I6697" s="8">
        <f>IF(D6697="","",VLOOKUP(D6697, RECETTES!B:G, 6, FALSE)*E6697)</f>
        <v/>
      </c>
      <c r="J6697" s="8">
        <f>IF(G6697="","",G6697*0.20)</f>
        <v/>
      </c>
      <c r="K6697" s="8">
        <f>IF(G6697="","",G6697+J6697)</f>
        <v/>
      </c>
    </row>
    <row r="6698">
      <c r="F6698" s="8" t="n"/>
      <c r="G6698" s="8">
        <f>IF(E6698="","",E6698*F6698)</f>
        <v/>
      </c>
      <c r="H6698" s="8">
        <f>IF(G6698="","",G6698-I6698)</f>
        <v/>
      </c>
      <c r="I6698" s="8">
        <f>IF(D6698="","",VLOOKUP(D6698, RECETTES!B:G, 6, FALSE)*E6698)</f>
        <v/>
      </c>
      <c r="J6698" s="8">
        <f>IF(G6698="","",G6698*0.20)</f>
        <v/>
      </c>
      <c r="K6698" s="8">
        <f>IF(G6698="","",G6698+J6698)</f>
        <v/>
      </c>
    </row>
    <row r="6699">
      <c r="F6699" s="8" t="n"/>
      <c r="G6699" s="8">
        <f>IF(E6699="","",E6699*F6699)</f>
        <v/>
      </c>
      <c r="H6699" s="8">
        <f>IF(G6699="","",G6699-I6699)</f>
        <v/>
      </c>
      <c r="I6699" s="8">
        <f>IF(D6699="","",VLOOKUP(D6699, RECETTES!B:G, 6, FALSE)*E6699)</f>
        <v/>
      </c>
      <c r="J6699" s="8">
        <f>IF(G6699="","",G6699*0.20)</f>
        <v/>
      </c>
      <c r="K6699" s="8">
        <f>IF(G6699="","",G6699+J6699)</f>
        <v/>
      </c>
    </row>
    <row r="6700">
      <c r="F6700" s="8" t="n"/>
      <c r="G6700" s="8">
        <f>IF(E6700="","",E6700*F6700)</f>
        <v/>
      </c>
      <c r="H6700" s="8">
        <f>IF(G6700="","",G6700-I6700)</f>
        <v/>
      </c>
      <c r="I6700" s="8">
        <f>IF(D6700="","",VLOOKUP(D6700, RECETTES!B:G, 6, FALSE)*E6700)</f>
        <v/>
      </c>
      <c r="J6700" s="8">
        <f>IF(G6700="","",G6700*0.20)</f>
        <v/>
      </c>
      <c r="K6700" s="8">
        <f>IF(G6700="","",G6700+J6700)</f>
        <v/>
      </c>
    </row>
    <row r="6701">
      <c r="F6701" s="8" t="n"/>
      <c r="G6701" s="8">
        <f>IF(E6701="","",E6701*F6701)</f>
        <v/>
      </c>
      <c r="H6701" s="8">
        <f>IF(G6701="","",G6701-I6701)</f>
        <v/>
      </c>
      <c r="I6701" s="8">
        <f>IF(D6701="","",VLOOKUP(D6701, RECETTES!B:G, 6, FALSE)*E6701)</f>
        <v/>
      </c>
      <c r="J6701" s="8">
        <f>IF(G6701="","",G6701*0.20)</f>
        <v/>
      </c>
      <c r="K6701" s="8">
        <f>IF(G6701="","",G6701+J6701)</f>
        <v/>
      </c>
    </row>
    <row r="6702">
      <c r="F6702" s="8" t="n"/>
      <c r="G6702" s="8">
        <f>IF(E6702="","",E6702*F6702)</f>
        <v/>
      </c>
      <c r="H6702" s="8">
        <f>IF(G6702="","",G6702-I6702)</f>
        <v/>
      </c>
      <c r="I6702" s="8">
        <f>IF(D6702="","",VLOOKUP(D6702, RECETTES!B:G, 6, FALSE)*E6702)</f>
        <v/>
      </c>
      <c r="J6702" s="8">
        <f>IF(G6702="","",G6702*0.20)</f>
        <v/>
      </c>
      <c r="K6702" s="8">
        <f>IF(G6702="","",G6702+J6702)</f>
        <v/>
      </c>
    </row>
    <row r="6703">
      <c r="F6703" s="8" t="n"/>
      <c r="G6703" s="8">
        <f>IF(E6703="","",E6703*F6703)</f>
        <v/>
      </c>
      <c r="H6703" s="8">
        <f>IF(G6703="","",G6703-I6703)</f>
        <v/>
      </c>
      <c r="I6703" s="8">
        <f>IF(D6703="","",VLOOKUP(D6703, RECETTES!B:G, 6, FALSE)*E6703)</f>
        <v/>
      </c>
      <c r="J6703" s="8">
        <f>IF(G6703="","",G6703*0.20)</f>
        <v/>
      </c>
      <c r="K6703" s="8">
        <f>IF(G6703="","",G6703+J6703)</f>
        <v/>
      </c>
    </row>
    <row r="6704">
      <c r="F6704" s="8" t="n"/>
      <c r="G6704" s="8">
        <f>IF(E6704="","",E6704*F6704)</f>
        <v/>
      </c>
      <c r="H6704" s="8">
        <f>IF(G6704="","",G6704-I6704)</f>
        <v/>
      </c>
      <c r="I6704" s="8">
        <f>IF(D6704="","",VLOOKUP(D6704, RECETTES!B:G, 6, FALSE)*E6704)</f>
        <v/>
      </c>
      <c r="J6704" s="8">
        <f>IF(G6704="","",G6704*0.20)</f>
        <v/>
      </c>
      <c r="K6704" s="8">
        <f>IF(G6704="","",G6704+J6704)</f>
        <v/>
      </c>
    </row>
    <row r="6705">
      <c r="F6705" s="8" t="n"/>
      <c r="G6705" s="8">
        <f>IF(E6705="","",E6705*F6705)</f>
        <v/>
      </c>
      <c r="H6705" s="8">
        <f>IF(G6705="","",G6705-I6705)</f>
        <v/>
      </c>
      <c r="I6705" s="8">
        <f>IF(D6705="","",VLOOKUP(D6705, RECETTES!B:G, 6, FALSE)*E6705)</f>
        <v/>
      </c>
      <c r="J6705" s="8">
        <f>IF(G6705="","",G6705*0.20)</f>
        <v/>
      </c>
      <c r="K6705" s="8">
        <f>IF(G6705="","",G6705+J6705)</f>
        <v/>
      </c>
    </row>
    <row r="6706">
      <c r="F6706" s="8" t="n"/>
      <c r="G6706" s="8">
        <f>IF(E6706="","",E6706*F6706)</f>
        <v/>
      </c>
      <c r="H6706" s="8">
        <f>IF(G6706="","",G6706-I6706)</f>
        <v/>
      </c>
      <c r="I6706" s="8">
        <f>IF(D6706="","",VLOOKUP(D6706, RECETTES!B:G, 6, FALSE)*E6706)</f>
        <v/>
      </c>
      <c r="J6706" s="8">
        <f>IF(G6706="","",G6706*0.20)</f>
        <v/>
      </c>
      <c r="K6706" s="8">
        <f>IF(G6706="","",G6706+J6706)</f>
        <v/>
      </c>
    </row>
    <row r="6707">
      <c r="F6707" s="8" t="n"/>
      <c r="G6707" s="8">
        <f>IF(E6707="","",E6707*F6707)</f>
        <v/>
      </c>
      <c r="H6707" s="8">
        <f>IF(G6707="","",G6707-I6707)</f>
        <v/>
      </c>
      <c r="I6707" s="8">
        <f>IF(D6707="","",VLOOKUP(D6707, RECETTES!B:G, 6, FALSE)*E6707)</f>
        <v/>
      </c>
      <c r="J6707" s="8">
        <f>IF(G6707="","",G6707*0.20)</f>
        <v/>
      </c>
      <c r="K6707" s="8">
        <f>IF(G6707="","",G6707+J6707)</f>
        <v/>
      </c>
    </row>
    <row r="6708">
      <c r="F6708" s="8" t="n"/>
      <c r="G6708" s="8">
        <f>IF(E6708="","",E6708*F6708)</f>
        <v/>
      </c>
      <c r="H6708" s="8">
        <f>IF(G6708="","",G6708-I6708)</f>
        <v/>
      </c>
      <c r="I6708" s="8">
        <f>IF(D6708="","",VLOOKUP(D6708, RECETTES!B:G, 6, FALSE)*E6708)</f>
        <v/>
      </c>
      <c r="J6708" s="8">
        <f>IF(G6708="","",G6708*0.20)</f>
        <v/>
      </c>
      <c r="K6708" s="8">
        <f>IF(G6708="","",G6708+J6708)</f>
        <v/>
      </c>
    </row>
    <row r="6709">
      <c r="F6709" s="8" t="n"/>
      <c r="G6709" s="8">
        <f>IF(E6709="","",E6709*F6709)</f>
        <v/>
      </c>
      <c r="H6709" s="8">
        <f>IF(G6709="","",G6709-I6709)</f>
        <v/>
      </c>
      <c r="I6709" s="8">
        <f>IF(D6709="","",VLOOKUP(D6709, RECETTES!B:G, 6, FALSE)*E6709)</f>
        <v/>
      </c>
      <c r="J6709" s="8">
        <f>IF(G6709="","",G6709*0.20)</f>
        <v/>
      </c>
      <c r="K6709" s="8">
        <f>IF(G6709="","",G6709+J6709)</f>
        <v/>
      </c>
    </row>
    <row r="6710">
      <c r="F6710" s="8" t="n"/>
      <c r="G6710" s="8">
        <f>IF(E6710="","",E6710*F6710)</f>
        <v/>
      </c>
      <c r="H6710" s="8">
        <f>IF(G6710="","",G6710-I6710)</f>
        <v/>
      </c>
      <c r="I6710" s="8">
        <f>IF(D6710="","",VLOOKUP(D6710, RECETTES!B:G, 6, FALSE)*E6710)</f>
        <v/>
      </c>
      <c r="J6710" s="8">
        <f>IF(G6710="","",G6710*0.20)</f>
        <v/>
      </c>
      <c r="K6710" s="8">
        <f>IF(G6710="","",G6710+J6710)</f>
        <v/>
      </c>
    </row>
    <row r="6711">
      <c r="F6711" s="8" t="n"/>
      <c r="G6711" s="8">
        <f>IF(E6711="","",E6711*F6711)</f>
        <v/>
      </c>
      <c r="H6711" s="8">
        <f>IF(G6711="","",G6711-I6711)</f>
        <v/>
      </c>
      <c r="I6711" s="8">
        <f>IF(D6711="","",VLOOKUP(D6711, RECETTES!B:G, 6, FALSE)*E6711)</f>
        <v/>
      </c>
      <c r="J6711" s="8">
        <f>IF(G6711="","",G6711*0.20)</f>
        <v/>
      </c>
      <c r="K6711" s="8">
        <f>IF(G6711="","",G6711+J6711)</f>
        <v/>
      </c>
    </row>
    <row r="6712">
      <c r="F6712" s="8" t="n"/>
      <c r="G6712" s="8">
        <f>IF(E6712="","",E6712*F6712)</f>
        <v/>
      </c>
      <c r="H6712" s="8">
        <f>IF(G6712="","",G6712-I6712)</f>
        <v/>
      </c>
      <c r="I6712" s="8">
        <f>IF(D6712="","",VLOOKUP(D6712, RECETTES!B:G, 6, FALSE)*E6712)</f>
        <v/>
      </c>
      <c r="J6712" s="8">
        <f>IF(G6712="","",G6712*0.20)</f>
        <v/>
      </c>
      <c r="K6712" s="8">
        <f>IF(G6712="","",G6712+J6712)</f>
        <v/>
      </c>
    </row>
    <row r="6713">
      <c r="F6713" s="8" t="n"/>
      <c r="G6713" s="8">
        <f>IF(E6713="","",E6713*F6713)</f>
        <v/>
      </c>
      <c r="H6713" s="8">
        <f>IF(G6713="","",G6713-I6713)</f>
        <v/>
      </c>
      <c r="I6713" s="8">
        <f>IF(D6713="","",VLOOKUP(D6713, RECETTES!B:G, 6, FALSE)*E6713)</f>
        <v/>
      </c>
      <c r="J6713" s="8">
        <f>IF(G6713="","",G6713*0.20)</f>
        <v/>
      </c>
      <c r="K6713" s="8">
        <f>IF(G6713="","",G6713+J6713)</f>
        <v/>
      </c>
    </row>
    <row r="6714">
      <c r="F6714" s="8" t="n"/>
      <c r="G6714" s="8">
        <f>IF(E6714="","",E6714*F6714)</f>
        <v/>
      </c>
      <c r="H6714" s="8">
        <f>IF(G6714="","",G6714-I6714)</f>
        <v/>
      </c>
      <c r="I6714" s="8">
        <f>IF(D6714="","",VLOOKUP(D6714, RECETTES!B:G, 6, FALSE)*E6714)</f>
        <v/>
      </c>
      <c r="J6714" s="8">
        <f>IF(G6714="","",G6714*0.20)</f>
        <v/>
      </c>
      <c r="K6714" s="8">
        <f>IF(G6714="","",G6714+J6714)</f>
        <v/>
      </c>
    </row>
    <row r="6715">
      <c r="F6715" s="8" t="n"/>
      <c r="G6715" s="8">
        <f>IF(E6715="","",E6715*F6715)</f>
        <v/>
      </c>
      <c r="H6715" s="8">
        <f>IF(G6715="","",G6715-I6715)</f>
        <v/>
      </c>
      <c r="I6715" s="8">
        <f>IF(D6715="","",VLOOKUP(D6715, RECETTES!B:G, 6, FALSE)*E6715)</f>
        <v/>
      </c>
      <c r="J6715" s="8">
        <f>IF(G6715="","",G6715*0.20)</f>
        <v/>
      </c>
      <c r="K6715" s="8">
        <f>IF(G6715="","",G6715+J6715)</f>
        <v/>
      </c>
    </row>
    <row r="6716">
      <c r="F6716" s="8" t="n"/>
      <c r="G6716" s="8">
        <f>IF(E6716="","",E6716*F6716)</f>
        <v/>
      </c>
      <c r="H6716" s="8">
        <f>IF(G6716="","",G6716-I6716)</f>
        <v/>
      </c>
      <c r="I6716" s="8">
        <f>IF(D6716="","",VLOOKUP(D6716, RECETTES!B:G, 6, FALSE)*E6716)</f>
        <v/>
      </c>
      <c r="J6716" s="8">
        <f>IF(G6716="","",G6716*0.20)</f>
        <v/>
      </c>
      <c r="K6716" s="8">
        <f>IF(G6716="","",G6716+J6716)</f>
        <v/>
      </c>
    </row>
    <row r="6717">
      <c r="F6717" s="8" t="n"/>
      <c r="G6717" s="8">
        <f>IF(E6717="","",E6717*F6717)</f>
        <v/>
      </c>
      <c r="H6717" s="8">
        <f>IF(G6717="","",G6717-I6717)</f>
        <v/>
      </c>
      <c r="I6717" s="8">
        <f>IF(D6717="","",VLOOKUP(D6717, RECETTES!B:G, 6, FALSE)*E6717)</f>
        <v/>
      </c>
      <c r="J6717" s="8">
        <f>IF(G6717="","",G6717*0.20)</f>
        <v/>
      </c>
      <c r="K6717" s="8">
        <f>IF(G6717="","",G6717+J6717)</f>
        <v/>
      </c>
    </row>
    <row r="6718">
      <c r="F6718" s="8" t="n"/>
      <c r="G6718" s="8">
        <f>IF(E6718="","",E6718*F6718)</f>
        <v/>
      </c>
      <c r="H6718" s="8">
        <f>IF(G6718="","",G6718-I6718)</f>
        <v/>
      </c>
      <c r="I6718" s="8">
        <f>IF(D6718="","",VLOOKUP(D6718, RECETTES!B:G, 6, FALSE)*E6718)</f>
        <v/>
      </c>
      <c r="J6718" s="8">
        <f>IF(G6718="","",G6718*0.20)</f>
        <v/>
      </c>
      <c r="K6718" s="8">
        <f>IF(G6718="","",G6718+J6718)</f>
        <v/>
      </c>
    </row>
    <row r="6719">
      <c r="F6719" s="8" t="n"/>
      <c r="G6719" s="8">
        <f>IF(E6719="","",E6719*F6719)</f>
        <v/>
      </c>
      <c r="H6719" s="8">
        <f>IF(G6719="","",G6719-I6719)</f>
        <v/>
      </c>
      <c r="I6719" s="8">
        <f>IF(D6719="","",VLOOKUP(D6719, RECETTES!B:G, 6, FALSE)*E6719)</f>
        <v/>
      </c>
      <c r="J6719" s="8">
        <f>IF(G6719="","",G6719*0.20)</f>
        <v/>
      </c>
      <c r="K6719" s="8">
        <f>IF(G6719="","",G6719+J6719)</f>
        <v/>
      </c>
    </row>
    <row r="6720">
      <c r="F6720" s="8" t="n"/>
      <c r="G6720" s="8">
        <f>IF(E6720="","",E6720*F6720)</f>
        <v/>
      </c>
      <c r="H6720" s="8">
        <f>IF(G6720="","",G6720-I6720)</f>
        <v/>
      </c>
      <c r="I6720" s="8">
        <f>IF(D6720="","",VLOOKUP(D6720, RECETTES!B:G, 6, FALSE)*E6720)</f>
        <v/>
      </c>
      <c r="J6720" s="8">
        <f>IF(G6720="","",G6720*0.20)</f>
        <v/>
      </c>
      <c r="K6720" s="8">
        <f>IF(G6720="","",G6720+J6720)</f>
        <v/>
      </c>
    </row>
    <row r="6721">
      <c r="F6721" s="8" t="n"/>
      <c r="G6721" s="8">
        <f>IF(E6721="","",E6721*F6721)</f>
        <v/>
      </c>
      <c r="H6721" s="8">
        <f>IF(G6721="","",G6721-I6721)</f>
        <v/>
      </c>
      <c r="I6721" s="8">
        <f>IF(D6721="","",VLOOKUP(D6721, RECETTES!B:G, 6, FALSE)*E6721)</f>
        <v/>
      </c>
      <c r="J6721" s="8">
        <f>IF(G6721="","",G6721*0.20)</f>
        <v/>
      </c>
      <c r="K6721" s="8">
        <f>IF(G6721="","",G6721+J6721)</f>
        <v/>
      </c>
    </row>
    <row r="6722">
      <c r="F6722" s="8" t="n"/>
      <c r="G6722" s="8">
        <f>IF(E6722="","",E6722*F6722)</f>
        <v/>
      </c>
      <c r="H6722" s="8">
        <f>IF(G6722="","",G6722-I6722)</f>
        <v/>
      </c>
      <c r="I6722" s="8">
        <f>IF(D6722="","",VLOOKUP(D6722, RECETTES!B:G, 6, FALSE)*E6722)</f>
        <v/>
      </c>
      <c r="J6722" s="8">
        <f>IF(G6722="","",G6722*0.20)</f>
        <v/>
      </c>
      <c r="K6722" s="8">
        <f>IF(G6722="","",G6722+J6722)</f>
        <v/>
      </c>
    </row>
    <row r="6723">
      <c r="F6723" s="8" t="n"/>
      <c r="G6723" s="8">
        <f>IF(E6723="","",E6723*F6723)</f>
        <v/>
      </c>
      <c r="H6723" s="8">
        <f>IF(G6723="","",G6723-I6723)</f>
        <v/>
      </c>
      <c r="I6723" s="8">
        <f>IF(D6723="","",VLOOKUP(D6723, RECETTES!B:G, 6, FALSE)*E6723)</f>
        <v/>
      </c>
      <c r="J6723" s="8">
        <f>IF(G6723="","",G6723*0.20)</f>
        <v/>
      </c>
      <c r="K6723" s="8">
        <f>IF(G6723="","",G6723+J6723)</f>
        <v/>
      </c>
    </row>
    <row r="6724">
      <c r="F6724" s="8" t="n"/>
      <c r="G6724" s="8">
        <f>IF(E6724="","",E6724*F6724)</f>
        <v/>
      </c>
      <c r="H6724" s="8">
        <f>IF(G6724="","",G6724-I6724)</f>
        <v/>
      </c>
      <c r="I6724" s="8">
        <f>IF(D6724="","",VLOOKUP(D6724, RECETTES!B:G, 6, FALSE)*E6724)</f>
        <v/>
      </c>
      <c r="J6724" s="8">
        <f>IF(G6724="","",G6724*0.20)</f>
        <v/>
      </c>
      <c r="K6724" s="8">
        <f>IF(G6724="","",G6724+J6724)</f>
        <v/>
      </c>
    </row>
    <row r="6725">
      <c r="F6725" s="8" t="n"/>
      <c r="G6725" s="8">
        <f>IF(E6725="","",E6725*F6725)</f>
        <v/>
      </c>
      <c r="H6725" s="8">
        <f>IF(G6725="","",G6725-I6725)</f>
        <v/>
      </c>
      <c r="I6725" s="8">
        <f>IF(D6725="","",VLOOKUP(D6725, RECETTES!B:G, 6, FALSE)*E6725)</f>
        <v/>
      </c>
      <c r="J6725" s="8">
        <f>IF(G6725="","",G6725*0.20)</f>
        <v/>
      </c>
      <c r="K6725" s="8">
        <f>IF(G6725="","",G6725+J6725)</f>
        <v/>
      </c>
    </row>
    <row r="6726">
      <c r="F6726" s="8" t="n"/>
      <c r="G6726" s="8">
        <f>IF(E6726="","",E6726*F6726)</f>
        <v/>
      </c>
      <c r="H6726" s="8">
        <f>IF(G6726="","",G6726-I6726)</f>
        <v/>
      </c>
      <c r="I6726" s="8">
        <f>IF(D6726="","",VLOOKUP(D6726, RECETTES!B:G, 6, FALSE)*E6726)</f>
        <v/>
      </c>
      <c r="J6726" s="8">
        <f>IF(G6726="","",G6726*0.20)</f>
        <v/>
      </c>
      <c r="K6726" s="8">
        <f>IF(G6726="","",G6726+J6726)</f>
        <v/>
      </c>
    </row>
    <row r="6727">
      <c r="F6727" s="8" t="n"/>
      <c r="G6727" s="8">
        <f>IF(E6727="","",E6727*F6727)</f>
        <v/>
      </c>
      <c r="H6727" s="8">
        <f>IF(G6727="","",G6727-I6727)</f>
        <v/>
      </c>
      <c r="I6727" s="8">
        <f>IF(D6727="","",VLOOKUP(D6727, RECETTES!B:G, 6, FALSE)*E6727)</f>
        <v/>
      </c>
      <c r="J6727" s="8">
        <f>IF(G6727="","",G6727*0.20)</f>
        <v/>
      </c>
      <c r="K6727" s="8">
        <f>IF(G6727="","",G6727+J6727)</f>
        <v/>
      </c>
    </row>
    <row r="6728">
      <c r="F6728" s="8" t="n"/>
      <c r="G6728" s="8">
        <f>IF(E6728="","",E6728*F6728)</f>
        <v/>
      </c>
      <c r="H6728" s="8">
        <f>IF(G6728="","",G6728-I6728)</f>
        <v/>
      </c>
      <c r="I6728" s="8">
        <f>IF(D6728="","",VLOOKUP(D6728, RECETTES!B:G, 6, FALSE)*E6728)</f>
        <v/>
      </c>
      <c r="J6728" s="8">
        <f>IF(G6728="","",G6728*0.20)</f>
        <v/>
      </c>
      <c r="K6728" s="8">
        <f>IF(G6728="","",G6728+J6728)</f>
        <v/>
      </c>
    </row>
    <row r="6729">
      <c r="F6729" s="8" t="n"/>
      <c r="G6729" s="8">
        <f>IF(E6729="","",E6729*F6729)</f>
        <v/>
      </c>
      <c r="H6729" s="8">
        <f>IF(G6729="","",G6729-I6729)</f>
        <v/>
      </c>
      <c r="I6729" s="8">
        <f>IF(D6729="","",VLOOKUP(D6729, RECETTES!B:G, 6, FALSE)*E6729)</f>
        <v/>
      </c>
      <c r="J6729" s="8">
        <f>IF(G6729="","",G6729*0.20)</f>
        <v/>
      </c>
      <c r="K6729" s="8">
        <f>IF(G6729="","",G6729+J6729)</f>
        <v/>
      </c>
    </row>
    <row r="6730">
      <c r="F6730" s="8" t="n"/>
      <c r="G6730" s="8">
        <f>IF(E6730="","",E6730*F6730)</f>
        <v/>
      </c>
      <c r="H6730" s="8">
        <f>IF(G6730="","",G6730-I6730)</f>
        <v/>
      </c>
      <c r="I6730" s="8">
        <f>IF(D6730="","",VLOOKUP(D6730, RECETTES!B:G, 6, FALSE)*E6730)</f>
        <v/>
      </c>
      <c r="J6730" s="8">
        <f>IF(G6730="","",G6730*0.20)</f>
        <v/>
      </c>
      <c r="K6730" s="8">
        <f>IF(G6730="","",G6730+J6730)</f>
        <v/>
      </c>
    </row>
    <row r="6731">
      <c r="F6731" s="8" t="n"/>
      <c r="G6731" s="8">
        <f>IF(E6731="","",E6731*F6731)</f>
        <v/>
      </c>
      <c r="H6731" s="8">
        <f>IF(G6731="","",G6731-I6731)</f>
        <v/>
      </c>
      <c r="I6731" s="8">
        <f>IF(D6731="","",VLOOKUP(D6731, RECETTES!B:G, 6, FALSE)*E6731)</f>
        <v/>
      </c>
      <c r="J6731" s="8">
        <f>IF(G6731="","",G6731*0.20)</f>
        <v/>
      </c>
      <c r="K6731" s="8">
        <f>IF(G6731="","",G6731+J6731)</f>
        <v/>
      </c>
    </row>
    <row r="6732">
      <c r="F6732" s="8" t="n"/>
      <c r="G6732" s="8">
        <f>IF(E6732="","",E6732*F6732)</f>
        <v/>
      </c>
      <c r="H6732" s="8">
        <f>IF(G6732="","",G6732-I6732)</f>
        <v/>
      </c>
      <c r="I6732" s="8">
        <f>IF(D6732="","",VLOOKUP(D6732, RECETTES!B:G, 6, FALSE)*E6732)</f>
        <v/>
      </c>
      <c r="J6732" s="8">
        <f>IF(G6732="","",G6732*0.20)</f>
        <v/>
      </c>
      <c r="K6732" s="8">
        <f>IF(G6732="","",G6732+J6732)</f>
        <v/>
      </c>
    </row>
    <row r="6733">
      <c r="F6733" s="8" t="n"/>
      <c r="G6733" s="8">
        <f>IF(E6733="","",E6733*F6733)</f>
        <v/>
      </c>
      <c r="H6733" s="8">
        <f>IF(G6733="","",G6733-I6733)</f>
        <v/>
      </c>
      <c r="I6733" s="8">
        <f>IF(D6733="","",VLOOKUP(D6733, RECETTES!B:G, 6, FALSE)*E6733)</f>
        <v/>
      </c>
      <c r="J6733" s="8">
        <f>IF(G6733="","",G6733*0.20)</f>
        <v/>
      </c>
      <c r="K6733" s="8">
        <f>IF(G6733="","",G6733+J6733)</f>
        <v/>
      </c>
    </row>
    <row r="6734">
      <c r="F6734" s="8" t="n"/>
      <c r="G6734" s="8">
        <f>IF(E6734="","",E6734*F6734)</f>
        <v/>
      </c>
      <c r="H6734" s="8">
        <f>IF(G6734="","",G6734-I6734)</f>
        <v/>
      </c>
      <c r="I6734" s="8">
        <f>IF(D6734="","",VLOOKUP(D6734, RECETTES!B:G, 6, FALSE)*E6734)</f>
        <v/>
      </c>
      <c r="J6734" s="8">
        <f>IF(G6734="","",G6734*0.20)</f>
        <v/>
      </c>
      <c r="K6734" s="8">
        <f>IF(G6734="","",G6734+J6734)</f>
        <v/>
      </c>
    </row>
    <row r="6735">
      <c r="F6735" s="8" t="n"/>
      <c r="G6735" s="8">
        <f>IF(E6735="","",E6735*F6735)</f>
        <v/>
      </c>
      <c r="H6735" s="8">
        <f>IF(G6735="","",G6735-I6735)</f>
        <v/>
      </c>
      <c r="I6735" s="8">
        <f>IF(D6735="","",VLOOKUP(D6735, RECETTES!B:G, 6, FALSE)*E6735)</f>
        <v/>
      </c>
      <c r="J6735" s="8">
        <f>IF(G6735="","",G6735*0.20)</f>
        <v/>
      </c>
      <c r="K6735" s="8">
        <f>IF(G6735="","",G6735+J6735)</f>
        <v/>
      </c>
    </row>
    <row r="6736">
      <c r="F6736" s="8" t="n"/>
      <c r="G6736" s="8">
        <f>IF(E6736="","",E6736*F6736)</f>
        <v/>
      </c>
      <c r="H6736" s="8">
        <f>IF(G6736="","",G6736-I6736)</f>
        <v/>
      </c>
      <c r="I6736" s="8">
        <f>IF(D6736="","",VLOOKUP(D6736, RECETTES!B:G, 6, FALSE)*E6736)</f>
        <v/>
      </c>
      <c r="J6736" s="8">
        <f>IF(G6736="","",G6736*0.20)</f>
        <v/>
      </c>
      <c r="K6736" s="8">
        <f>IF(G6736="","",G6736+J6736)</f>
        <v/>
      </c>
    </row>
    <row r="6737">
      <c r="F6737" s="8" t="n"/>
      <c r="G6737" s="8">
        <f>IF(E6737="","",E6737*F6737)</f>
        <v/>
      </c>
      <c r="H6737" s="8">
        <f>IF(G6737="","",G6737-I6737)</f>
        <v/>
      </c>
      <c r="I6737" s="8">
        <f>IF(D6737="","",VLOOKUP(D6737, RECETTES!B:G, 6, FALSE)*E6737)</f>
        <v/>
      </c>
      <c r="J6737" s="8">
        <f>IF(G6737="","",G6737*0.20)</f>
        <v/>
      </c>
      <c r="K6737" s="8">
        <f>IF(G6737="","",G6737+J6737)</f>
        <v/>
      </c>
    </row>
    <row r="6738">
      <c r="F6738" s="8" t="n"/>
      <c r="G6738" s="8">
        <f>IF(E6738="","",E6738*F6738)</f>
        <v/>
      </c>
      <c r="H6738" s="8">
        <f>IF(G6738="","",G6738-I6738)</f>
        <v/>
      </c>
      <c r="I6738" s="8">
        <f>IF(D6738="","",VLOOKUP(D6738, RECETTES!B:G, 6, FALSE)*E6738)</f>
        <v/>
      </c>
      <c r="J6738" s="8">
        <f>IF(G6738="","",G6738*0.20)</f>
        <v/>
      </c>
      <c r="K6738" s="8">
        <f>IF(G6738="","",G6738+J6738)</f>
        <v/>
      </c>
    </row>
    <row r="6739">
      <c r="F6739" s="8" t="n"/>
      <c r="G6739" s="8">
        <f>IF(E6739="","",E6739*F6739)</f>
        <v/>
      </c>
      <c r="H6739" s="8">
        <f>IF(G6739="","",G6739-I6739)</f>
        <v/>
      </c>
      <c r="I6739" s="8">
        <f>IF(D6739="","",VLOOKUP(D6739, RECETTES!B:G, 6, FALSE)*E6739)</f>
        <v/>
      </c>
      <c r="J6739" s="8">
        <f>IF(G6739="","",G6739*0.20)</f>
        <v/>
      </c>
      <c r="K6739" s="8">
        <f>IF(G6739="","",G6739+J6739)</f>
        <v/>
      </c>
    </row>
    <row r="6740">
      <c r="F6740" s="8" t="n"/>
      <c r="G6740" s="8">
        <f>IF(E6740="","",E6740*F6740)</f>
        <v/>
      </c>
      <c r="H6740" s="8">
        <f>IF(G6740="","",G6740-I6740)</f>
        <v/>
      </c>
      <c r="I6740" s="8">
        <f>IF(D6740="","",VLOOKUP(D6740, RECETTES!B:G, 6, FALSE)*E6740)</f>
        <v/>
      </c>
      <c r="J6740" s="8">
        <f>IF(G6740="","",G6740*0.20)</f>
        <v/>
      </c>
      <c r="K6740" s="8">
        <f>IF(G6740="","",G6740+J6740)</f>
        <v/>
      </c>
    </row>
    <row r="6741">
      <c r="F6741" s="8" t="n"/>
      <c r="G6741" s="8">
        <f>IF(E6741="","",E6741*F6741)</f>
        <v/>
      </c>
      <c r="H6741" s="8">
        <f>IF(G6741="","",G6741-I6741)</f>
        <v/>
      </c>
      <c r="I6741" s="8">
        <f>IF(D6741="","",VLOOKUP(D6741, RECETTES!B:G, 6, FALSE)*E6741)</f>
        <v/>
      </c>
      <c r="J6741" s="8">
        <f>IF(G6741="","",G6741*0.20)</f>
        <v/>
      </c>
      <c r="K6741" s="8">
        <f>IF(G6741="","",G6741+J6741)</f>
        <v/>
      </c>
    </row>
    <row r="6742">
      <c r="F6742" s="8" t="n"/>
      <c r="G6742" s="8">
        <f>IF(E6742="","",E6742*F6742)</f>
        <v/>
      </c>
      <c r="H6742" s="8">
        <f>IF(G6742="","",G6742-I6742)</f>
        <v/>
      </c>
      <c r="I6742" s="8">
        <f>IF(D6742="","",VLOOKUP(D6742, RECETTES!B:G, 6, FALSE)*E6742)</f>
        <v/>
      </c>
      <c r="J6742" s="8">
        <f>IF(G6742="","",G6742*0.20)</f>
        <v/>
      </c>
      <c r="K6742" s="8">
        <f>IF(G6742="","",G6742+J6742)</f>
        <v/>
      </c>
    </row>
    <row r="6743">
      <c r="F6743" s="8" t="n"/>
      <c r="G6743" s="8">
        <f>IF(E6743="","",E6743*F6743)</f>
        <v/>
      </c>
      <c r="H6743" s="8">
        <f>IF(G6743="","",G6743-I6743)</f>
        <v/>
      </c>
      <c r="I6743" s="8">
        <f>IF(D6743="","",VLOOKUP(D6743, RECETTES!B:G, 6, FALSE)*E6743)</f>
        <v/>
      </c>
      <c r="J6743" s="8">
        <f>IF(G6743="","",G6743*0.20)</f>
        <v/>
      </c>
      <c r="K6743" s="8">
        <f>IF(G6743="","",G6743+J6743)</f>
        <v/>
      </c>
    </row>
    <row r="6744">
      <c r="F6744" s="8" t="n"/>
      <c r="G6744" s="8">
        <f>IF(E6744="","",E6744*F6744)</f>
        <v/>
      </c>
      <c r="H6744" s="8">
        <f>IF(G6744="","",G6744-I6744)</f>
        <v/>
      </c>
      <c r="I6744" s="8">
        <f>IF(D6744="","",VLOOKUP(D6744, RECETTES!B:G, 6, FALSE)*E6744)</f>
        <v/>
      </c>
      <c r="J6744" s="8">
        <f>IF(G6744="","",G6744*0.20)</f>
        <v/>
      </c>
      <c r="K6744" s="8">
        <f>IF(G6744="","",G6744+J6744)</f>
        <v/>
      </c>
    </row>
    <row r="6745">
      <c r="F6745" s="8" t="n"/>
      <c r="G6745" s="8">
        <f>IF(E6745="","",E6745*F6745)</f>
        <v/>
      </c>
      <c r="H6745" s="8">
        <f>IF(G6745="","",G6745-I6745)</f>
        <v/>
      </c>
      <c r="I6745" s="8">
        <f>IF(D6745="","",VLOOKUP(D6745, RECETTES!B:G, 6, FALSE)*E6745)</f>
        <v/>
      </c>
      <c r="J6745" s="8">
        <f>IF(G6745="","",G6745*0.20)</f>
        <v/>
      </c>
      <c r="K6745" s="8">
        <f>IF(G6745="","",G6745+J6745)</f>
        <v/>
      </c>
    </row>
    <row r="6746">
      <c r="F6746" s="8" t="n"/>
      <c r="G6746" s="8">
        <f>IF(E6746="","",E6746*F6746)</f>
        <v/>
      </c>
      <c r="H6746" s="8">
        <f>IF(G6746="","",G6746-I6746)</f>
        <v/>
      </c>
      <c r="I6746" s="8">
        <f>IF(D6746="","",VLOOKUP(D6746, RECETTES!B:G, 6, FALSE)*E6746)</f>
        <v/>
      </c>
      <c r="J6746" s="8">
        <f>IF(G6746="","",G6746*0.20)</f>
        <v/>
      </c>
      <c r="K6746" s="8">
        <f>IF(G6746="","",G6746+J6746)</f>
        <v/>
      </c>
    </row>
    <row r="6747">
      <c r="F6747" s="8" t="n"/>
      <c r="G6747" s="8">
        <f>IF(E6747="","",E6747*F6747)</f>
        <v/>
      </c>
      <c r="H6747" s="8">
        <f>IF(G6747="","",G6747-I6747)</f>
        <v/>
      </c>
      <c r="I6747" s="8">
        <f>IF(D6747="","",VLOOKUP(D6747, RECETTES!B:G, 6, FALSE)*E6747)</f>
        <v/>
      </c>
      <c r="J6747" s="8">
        <f>IF(G6747="","",G6747*0.20)</f>
        <v/>
      </c>
      <c r="K6747" s="8">
        <f>IF(G6747="","",G6747+J6747)</f>
        <v/>
      </c>
    </row>
    <row r="6748">
      <c r="F6748" s="8" t="n"/>
      <c r="G6748" s="8">
        <f>IF(E6748="","",E6748*F6748)</f>
        <v/>
      </c>
      <c r="H6748" s="8">
        <f>IF(G6748="","",G6748-I6748)</f>
        <v/>
      </c>
      <c r="I6748" s="8">
        <f>IF(D6748="","",VLOOKUP(D6748, RECETTES!B:G, 6, FALSE)*E6748)</f>
        <v/>
      </c>
      <c r="J6748" s="8">
        <f>IF(G6748="","",G6748*0.20)</f>
        <v/>
      </c>
      <c r="K6748" s="8">
        <f>IF(G6748="","",G6748+J6748)</f>
        <v/>
      </c>
    </row>
    <row r="6749">
      <c r="F6749" s="8" t="n"/>
      <c r="G6749" s="8">
        <f>IF(E6749="","",E6749*F6749)</f>
        <v/>
      </c>
      <c r="H6749" s="8">
        <f>IF(G6749="","",G6749-I6749)</f>
        <v/>
      </c>
      <c r="I6749" s="8">
        <f>IF(D6749="","",VLOOKUP(D6749, RECETTES!B:G, 6, FALSE)*E6749)</f>
        <v/>
      </c>
      <c r="J6749" s="8">
        <f>IF(G6749="","",G6749*0.20)</f>
        <v/>
      </c>
      <c r="K6749" s="8">
        <f>IF(G6749="","",G6749+J6749)</f>
        <v/>
      </c>
    </row>
    <row r="6750">
      <c r="F6750" s="8" t="n"/>
      <c r="G6750" s="8">
        <f>IF(E6750="","",E6750*F6750)</f>
        <v/>
      </c>
      <c r="H6750" s="8">
        <f>IF(G6750="","",G6750-I6750)</f>
        <v/>
      </c>
      <c r="I6750" s="8">
        <f>IF(D6750="","",VLOOKUP(D6750, RECETTES!B:G, 6, FALSE)*E6750)</f>
        <v/>
      </c>
      <c r="J6750" s="8">
        <f>IF(G6750="","",G6750*0.20)</f>
        <v/>
      </c>
      <c r="K6750" s="8">
        <f>IF(G6750="","",G6750+J6750)</f>
        <v/>
      </c>
    </row>
    <row r="6751">
      <c r="F6751" s="8" t="n"/>
      <c r="G6751" s="8">
        <f>IF(E6751="","",E6751*F6751)</f>
        <v/>
      </c>
      <c r="H6751" s="8">
        <f>IF(G6751="","",G6751-I6751)</f>
        <v/>
      </c>
      <c r="I6751" s="8">
        <f>IF(D6751="","",VLOOKUP(D6751, RECETTES!B:G, 6, FALSE)*E6751)</f>
        <v/>
      </c>
      <c r="J6751" s="8">
        <f>IF(G6751="","",G6751*0.20)</f>
        <v/>
      </c>
      <c r="K6751" s="8">
        <f>IF(G6751="","",G6751+J6751)</f>
        <v/>
      </c>
    </row>
    <row r="6752">
      <c r="F6752" s="8" t="n"/>
      <c r="G6752" s="8">
        <f>IF(E6752="","",E6752*F6752)</f>
        <v/>
      </c>
      <c r="H6752" s="8">
        <f>IF(G6752="","",G6752-I6752)</f>
        <v/>
      </c>
      <c r="I6752" s="8">
        <f>IF(D6752="","",VLOOKUP(D6752, RECETTES!B:G, 6, FALSE)*E6752)</f>
        <v/>
      </c>
      <c r="J6752" s="8">
        <f>IF(G6752="","",G6752*0.20)</f>
        <v/>
      </c>
      <c r="K6752" s="8">
        <f>IF(G6752="","",G6752+J6752)</f>
        <v/>
      </c>
    </row>
    <row r="6753">
      <c r="F6753" s="8" t="n"/>
      <c r="G6753" s="8">
        <f>IF(E6753="","",E6753*F6753)</f>
        <v/>
      </c>
      <c r="H6753" s="8">
        <f>IF(G6753="","",G6753-I6753)</f>
        <v/>
      </c>
      <c r="I6753" s="8">
        <f>IF(D6753="","",VLOOKUP(D6753, RECETTES!B:G, 6, FALSE)*E6753)</f>
        <v/>
      </c>
      <c r="J6753" s="8">
        <f>IF(G6753="","",G6753*0.20)</f>
        <v/>
      </c>
      <c r="K6753" s="8">
        <f>IF(G6753="","",G6753+J6753)</f>
        <v/>
      </c>
    </row>
    <row r="6754">
      <c r="F6754" s="8" t="n"/>
      <c r="G6754" s="8">
        <f>IF(E6754="","",E6754*F6754)</f>
        <v/>
      </c>
      <c r="H6754" s="8">
        <f>IF(G6754="","",G6754-I6754)</f>
        <v/>
      </c>
      <c r="I6754" s="8">
        <f>IF(D6754="","",VLOOKUP(D6754, RECETTES!B:G, 6, FALSE)*E6754)</f>
        <v/>
      </c>
      <c r="J6754" s="8">
        <f>IF(G6754="","",G6754*0.20)</f>
        <v/>
      </c>
      <c r="K6754" s="8">
        <f>IF(G6754="","",G6754+J6754)</f>
        <v/>
      </c>
    </row>
    <row r="6755">
      <c r="F6755" s="8" t="n"/>
      <c r="G6755" s="8">
        <f>IF(E6755="","",E6755*F6755)</f>
        <v/>
      </c>
      <c r="H6755" s="8">
        <f>IF(G6755="","",G6755-I6755)</f>
        <v/>
      </c>
      <c r="I6755" s="8">
        <f>IF(D6755="","",VLOOKUP(D6755, RECETTES!B:G, 6, FALSE)*E6755)</f>
        <v/>
      </c>
      <c r="J6755" s="8">
        <f>IF(G6755="","",G6755*0.20)</f>
        <v/>
      </c>
      <c r="K6755" s="8">
        <f>IF(G6755="","",G6755+J6755)</f>
        <v/>
      </c>
    </row>
    <row r="6756">
      <c r="F6756" s="8" t="n"/>
      <c r="G6756" s="8">
        <f>IF(E6756="","",E6756*F6756)</f>
        <v/>
      </c>
      <c r="H6756" s="8">
        <f>IF(G6756="","",G6756-I6756)</f>
        <v/>
      </c>
      <c r="I6756" s="8">
        <f>IF(D6756="","",VLOOKUP(D6756, RECETTES!B:G, 6, FALSE)*E6756)</f>
        <v/>
      </c>
      <c r="J6756" s="8">
        <f>IF(G6756="","",G6756*0.20)</f>
        <v/>
      </c>
      <c r="K6756" s="8">
        <f>IF(G6756="","",G6756+J6756)</f>
        <v/>
      </c>
    </row>
    <row r="6757">
      <c r="F6757" s="8" t="n"/>
      <c r="G6757" s="8">
        <f>IF(E6757="","",E6757*F6757)</f>
        <v/>
      </c>
      <c r="H6757" s="8">
        <f>IF(G6757="","",G6757-I6757)</f>
        <v/>
      </c>
      <c r="I6757" s="8">
        <f>IF(D6757="","",VLOOKUP(D6757, RECETTES!B:G, 6, FALSE)*E6757)</f>
        <v/>
      </c>
      <c r="J6757" s="8">
        <f>IF(G6757="","",G6757*0.20)</f>
        <v/>
      </c>
      <c r="K6757" s="8">
        <f>IF(G6757="","",G6757+J6757)</f>
        <v/>
      </c>
    </row>
    <row r="6758">
      <c r="F6758" s="8" t="n"/>
      <c r="G6758" s="8">
        <f>IF(E6758="","",E6758*F6758)</f>
        <v/>
      </c>
      <c r="H6758" s="8">
        <f>IF(G6758="","",G6758-I6758)</f>
        <v/>
      </c>
      <c r="I6758" s="8">
        <f>IF(D6758="","",VLOOKUP(D6758, RECETTES!B:G, 6, FALSE)*E6758)</f>
        <v/>
      </c>
      <c r="J6758" s="8">
        <f>IF(G6758="","",G6758*0.20)</f>
        <v/>
      </c>
      <c r="K6758" s="8">
        <f>IF(G6758="","",G6758+J6758)</f>
        <v/>
      </c>
    </row>
    <row r="6759">
      <c r="F6759" s="8" t="n"/>
      <c r="G6759" s="8">
        <f>IF(E6759="","",E6759*F6759)</f>
        <v/>
      </c>
      <c r="H6759" s="8">
        <f>IF(G6759="","",G6759-I6759)</f>
        <v/>
      </c>
      <c r="I6759" s="8">
        <f>IF(D6759="","",VLOOKUP(D6759, RECETTES!B:G, 6, FALSE)*E6759)</f>
        <v/>
      </c>
      <c r="J6759" s="8">
        <f>IF(G6759="","",G6759*0.20)</f>
        <v/>
      </c>
      <c r="K6759" s="8">
        <f>IF(G6759="","",G6759+J6759)</f>
        <v/>
      </c>
    </row>
    <row r="6760">
      <c r="F6760" s="8" t="n"/>
      <c r="G6760" s="8">
        <f>IF(E6760="","",E6760*F6760)</f>
        <v/>
      </c>
      <c r="H6760" s="8">
        <f>IF(G6760="","",G6760-I6760)</f>
        <v/>
      </c>
      <c r="I6760" s="8">
        <f>IF(D6760="","",VLOOKUP(D6760, RECETTES!B:G, 6, FALSE)*E6760)</f>
        <v/>
      </c>
      <c r="J6760" s="8">
        <f>IF(G6760="","",G6760*0.20)</f>
        <v/>
      </c>
      <c r="K6760" s="8">
        <f>IF(G6760="","",G6760+J6760)</f>
        <v/>
      </c>
    </row>
    <row r="6761">
      <c r="F6761" s="8" t="n"/>
      <c r="G6761" s="8">
        <f>IF(E6761="","",E6761*F6761)</f>
        <v/>
      </c>
      <c r="H6761" s="8">
        <f>IF(G6761="","",G6761-I6761)</f>
        <v/>
      </c>
      <c r="I6761" s="8">
        <f>IF(D6761="","",VLOOKUP(D6761, RECETTES!B:G, 6, FALSE)*E6761)</f>
        <v/>
      </c>
      <c r="J6761" s="8">
        <f>IF(G6761="","",G6761*0.20)</f>
        <v/>
      </c>
      <c r="K6761" s="8">
        <f>IF(G6761="","",G6761+J6761)</f>
        <v/>
      </c>
    </row>
    <row r="6762">
      <c r="F6762" s="8" t="n"/>
      <c r="G6762" s="8">
        <f>IF(E6762="","",E6762*F6762)</f>
        <v/>
      </c>
      <c r="H6762" s="8">
        <f>IF(G6762="","",G6762-I6762)</f>
        <v/>
      </c>
      <c r="I6762" s="8">
        <f>IF(D6762="","",VLOOKUP(D6762, RECETTES!B:G, 6, FALSE)*E6762)</f>
        <v/>
      </c>
      <c r="J6762" s="8">
        <f>IF(G6762="","",G6762*0.20)</f>
        <v/>
      </c>
      <c r="K6762" s="8">
        <f>IF(G6762="","",G6762+J6762)</f>
        <v/>
      </c>
    </row>
    <row r="6763">
      <c r="F6763" s="8" t="n"/>
      <c r="G6763" s="8">
        <f>IF(E6763="","",E6763*F6763)</f>
        <v/>
      </c>
      <c r="H6763" s="8">
        <f>IF(G6763="","",G6763-I6763)</f>
        <v/>
      </c>
      <c r="I6763" s="8">
        <f>IF(D6763="","",VLOOKUP(D6763, RECETTES!B:G, 6, FALSE)*E6763)</f>
        <v/>
      </c>
      <c r="J6763" s="8">
        <f>IF(G6763="","",G6763*0.20)</f>
        <v/>
      </c>
      <c r="K6763" s="8">
        <f>IF(G6763="","",G6763+J6763)</f>
        <v/>
      </c>
    </row>
    <row r="6764">
      <c r="F6764" s="8" t="n"/>
      <c r="G6764" s="8">
        <f>IF(E6764="","",E6764*F6764)</f>
        <v/>
      </c>
      <c r="H6764" s="8">
        <f>IF(G6764="","",G6764-I6764)</f>
        <v/>
      </c>
      <c r="I6764" s="8">
        <f>IF(D6764="","",VLOOKUP(D6764, RECETTES!B:G, 6, FALSE)*E6764)</f>
        <v/>
      </c>
      <c r="J6764" s="8">
        <f>IF(G6764="","",G6764*0.20)</f>
        <v/>
      </c>
      <c r="K6764" s="8">
        <f>IF(G6764="","",G6764+J6764)</f>
        <v/>
      </c>
    </row>
    <row r="6765">
      <c r="F6765" s="8" t="n"/>
      <c r="G6765" s="8">
        <f>IF(E6765="","",E6765*F6765)</f>
        <v/>
      </c>
      <c r="H6765" s="8">
        <f>IF(G6765="","",G6765-I6765)</f>
        <v/>
      </c>
      <c r="I6765" s="8">
        <f>IF(D6765="","",VLOOKUP(D6765, RECETTES!B:G, 6, FALSE)*E6765)</f>
        <v/>
      </c>
      <c r="J6765" s="8">
        <f>IF(G6765="","",G6765*0.20)</f>
        <v/>
      </c>
      <c r="K6765" s="8">
        <f>IF(G6765="","",G6765+J6765)</f>
        <v/>
      </c>
    </row>
    <row r="6766">
      <c r="F6766" s="8" t="n"/>
      <c r="G6766" s="8">
        <f>IF(E6766="","",E6766*F6766)</f>
        <v/>
      </c>
      <c r="H6766" s="8">
        <f>IF(G6766="","",G6766-I6766)</f>
        <v/>
      </c>
      <c r="I6766" s="8">
        <f>IF(D6766="","",VLOOKUP(D6766, RECETTES!B:G, 6, FALSE)*E6766)</f>
        <v/>
      </c>
      <c r="J6766" s="8">
        <f>IF(G6766="","",G6766*0.20)</f>
        <v/>
      </c>
      <c r="K6766" s="8">
        <f>IF(G6766="","",G6766+J6766)</f>
        <v/>
      </c>
    </row>
    <row r="6767">
      <c r="F6767" s="8" t="n"/>
      <c r="G6767" s="8">
        <f>IF(E6767="","",E6767*F6767)</f>
        <v/>
      </c>
      <c r="H6767" s="8">
        <f>IF(G6767="","",G6767-I6767)</f>
        <v/>
      </c>
      <c r="I6767" s="8">
        <f>IF(D6767="","",VLOOKUP(D6767, RECETTES!B:G, 6, FALSE)*E6767)</f>
        <v/>
      </c>
      <c r="J6767" s="8">
        <f>IF(G6767="","",G6767*0.20)</f>
        <v/>
      </c>
      <c r="K6767" s="8">
        <f>IF(G6767="","",G6767+J6767)</f>
        <v/>
      </c>
    </row>
    <row r="6768">
      <c r="F6768" s="8" t="n"/>
      <c r="G6768" s="8">
        <f>IF(E6768="","",E6768*F6768)</f>
        <v/>
      </c>
      <c r="H6768" s="8">
        <f>IF(G6768="","",G6768-I6768)</f>
        <v/>
      </c>
      <c r="I6768" s="8">
        <f>IF(D6768="","",VLOOKUP(D6768, RECETTES!B:G, 6, FALSE)*E6768)</f>
        <v/>
      </c>
      <c r="J6768" s="8">
        <f>IF(G6768="","",G6768*0.20)</f>
        <v/>
      </c>
      <c r="K6768" s="8">
        <f>IF(G6768="","",G6768+J6768)</f>
        <v/>
      </c>
    </row>
    <row r="6769">
      <c r="F6769" s="8" t="n"/>
      <c r="G6769" s="8">
        <f>IF(E6769="","",E6769*F6769)</f>
        <v/>
      </c>
      <c r="H6769" s="8">
        <f>IF(G6769="","",G6769-I6769)</f>
        <v/>
      </c>
      <c r="I6769" s="8">
        <f>IF(D6769="","",VLOOKUP(D6769, RECETTES!B:G, 6, FALSE)*E6769)</f>
        <v/>
      </c>
      <c r="J6769" s="8">
        <f>IF(G6769="","",G6769*0.20)</f>
        <v/>
      </c>
      <c r="K6769" s="8">
        <f>IF(G6769="","",G6769+J6769)</f>
        <v/>
      </c>
    </row>
    <row r="6770">
      <c r="F6770" s="8" t="n"/>
      <c r="G6770" s="8">
        <f>IF(E6770="","",E6770*F6770)</f>
        <v/>
      </c>
      <c r="H6770" s="8">
        <f>IF(G6770="","",G6770-I6770)</f>
        <v/>
      </c>
      <c r="I6770" s="8">
        <f>IF(D6770="","",VLOOKUP(D6770, RECETTES!B:G, 6, FALSE)*E6770)</f>
        <v/>
      </c>
      <c r="J6770" s="8">
        <f>IF(G6770="","",G6770*0.20)</f>
        <v/>
      </c>
      <c r="K6770" s="8">
        <f>IF(G6770="","",G6770+J6770)</f>
        <v/>
      </c>
    </row>
    <row r="6771">
      <c r="F6771" s="8" t="n"/>
      <c r="G6771" s="8">
        <f>IF(E6771="","",E6771*F6771)</f>
        <v/>
      </c>
      <c r="H6771" s="8">
        <f>IF(G6771="","",G6771-I6771)</f>
        <v/>
      </c>
      <c r="I6771" s="8">
        <f>IF(D6771="","",VLOOKUP(D6771, RECETTES!B:G, 6, FALSE)*E6771)</f>
        <v/>
      </c>
      <c r="J6771" s="8">
        <f>IF(G6771="","",G6771*0.20)</f>
        <v/>
      </c>
      <c r="K6771" s="8">
        <f>IF(G6771="","",G6771+J6771)</f>
        <v/>
      </c>
    </row>
    <row r="6772">
      <c r="F6772" s="8" t="n"/>
      <c r="G6772" s="8">
        <f>IF(E6772="","",E6772*F6772)</f>
        <v/>
      </c>
      <c r="H6772" s="8">
        <f>IF(G6772="","",G6772-I6772)</f>
        <v/>
      </c>
      <c r="I6772" s="8">
        <f>IF(D6772="","",VLOOKUP(D6772, RECETTES!B:G, 6, FALSE)*E6772)</f>
        <v/>
      </c>
      <c r="J6772" s="8">
        <f>IF(G6772="","",G6772*0.20)</f>
        <v/>
      </c>
      <c r="K6772" s="8">
        <f>IF(G6772="","",G6772+J6772)</f>
        <v/>
      </c>
    </row>
    <row r="6773">
      <c r="F6773" s="8" t="n"/>
      <c r="G6773" s="8">
        <f>IF(E6773="","",E6773*F6773)</f>
        <v/>
      </c>
      <c r="H6773" s="8">
        <f>IF(G6773="","",G6773-I6773)</f>
        <v/>
      </c>
      <c r="I6773" s="8">
        <f>IF(D6773="","",VLOOKUP(D6773, RECETTES!B:G, 6, FALSE)*E6773)</f>
        <v/>
      </c>
      <c r="J6773" s="8">
        <f>IF(G6773="","",G6773*0.20)</f>
        <v/>
      </c>
      <c r="K6773" s="8">
        <f>IF(G6773="","",G6773+J6773)</f>
        <v/>
      </c>
    </row>
    <row r="6774">
      <c r="F6774" s="8" t="n"/>
      <c r="G6774" s="8">
        <f>IF(E6774="","",E6774*F6774)</f>
        <v/>
      </c>
      <c r="H6774" s="8">
        <f>IF(G6774="","",G6774-I6774)</f>
        <v/>
      </c>
      <c r="I6774" s="8">
        <f>IF(D6774="","",VLOOKUP(D6774, RECETTES!B:G, 6, FALSE)*E6774)</f>
        <v/>
      </c>
      <c r="J6774" s="8">
        <f>IF(G6774="","",G6774*0.20)</f>
        <v/>
      </c>
      <c r="K6774" s="8">
        <f>IF(G6774="","",G6774+J6774)</f>
        <v/>
      </c>
    </row>
    <row r="6775">
      <c r="F6775" s="8" t="n"/>
      <c r="G6775" s="8">
        <f>IF(E6775="","",E6775*F6775)</f>
        <v/>
      </c>
      <c r="H6775" s="8">
        <f>IF(G6775="","",G6775-I6775)</f>
        <v/>
      </c>
      <c r="I6775" s="8">
        <f>IF(D6775="","",VLOOKUP(D6775, RECETTES!B:G, 6, FALSE)*E6775)</f>
        <v/>
      </c>
      <c r="J6775" s="8">
        <f>IF(G6775="","",G6775*0.20)</f>
        <v/>
      </c>
      <c r="K6775" s="8">
        <f>IF(G6775="","",G6775+J6775)</f>
        <v/>
      </c>
    </row>
    <row r="6776">
      <c r="F6776" s="8" t="n"/>
      <c r="G6776" s="8">
        <f>IF(E6776="","",E6776*F6776)</f>
        <v/>
      </c>
      <c r="H6776" s="8">
        <f>IF(G6776="","",G6776-I6776)</f>
        <v/>
      </c>
      <c r="I6776" s="8">
        <f>IF(D6776="","",VLOOKUP(D6776, RECETTES!B:G, 6, FALSE)*E6776)</f>
        <v/>
      </c>
      <c r="J6776" s="8">
        <f>IF(G6776="","",G6776*0.20)</f>
        <v/>
      </c>
      <c r="K6776" s="8">
        <f>IF(G6776="","",G6776+J6776)</f>
        <v/>
      </c>
    </row>
    <row r="6777">
      <c r="F6777" s="8" t="n"/>
      <c r="G6777" s="8">
        <f>IF(E6777="","",E6777*F6777)</f>
        <v/>
      </c>
      <c r="H6777" s="8">
        <f>IF(G6777="","",G6777-I6777)</f>
        <v/>
      </c>
      <c r="I6777" s="8">
        <f>IF(D6777="","",VLOOKUP(D6777, RECETTES!B:G, 6, FALSE)*E6777)</f>
        <v/>
      </c>
      <c r="J6777" s="8">
        <f>IF(G6777="","",G6777*0.20)</f>
        <v/>
      </c>
      <c r="K6777" s="8">
        <f>IF(G6777="","",G6777+J6777)</f>
        <v/>
      </c>
    </row>
    <row r="6778">
      <c r="F6778" s="8" t="n"/>
      <c r="G6778" s="8">
        <f>IF(E6778="","",E6778*F6778)</f>
        <v/>
      </c>
      <c r="H6778" s="8">
        <f>IF(G6778="","",G6778-I6778)</f>
        <v/>
      </c>
      <c r="I6778" s="8">
        <f>IF(D6778="","",VLOOKUP(D6778, RECETTES!B:G, 6, FALSE)*E6778)</f>
        <v/>
      </c>
      <c r="J6778" s="8">
        <f>IF(G6778="","",G6778*0.20)</f>
        <v/>
      </c>
      <c r="K6778" s="8">
        <f>IF(G6778="","",G6778+J6778)</f>
        <v/>
      </c>
    </row>
    <row r="6779">
      <c r="F6779" s="8" t="n"/>
      <c r="G6779" s="8">
        <f>IF(E6779="","",E6779*F6779)</f>
        <v/>
      </c>
      <c r="H6779" s="8">
        <f>IF(G6779="","",G6779-I6779)</f>
        <v/>
      </c>
      <c r="I6779" s="8">
        <f>IF(D6779="","",VLOOKUP(D6779, RECETTES!B:G, 6, FALSE)*E6779)</f>
        <v/>
      </c>
      <c r="J6779" s="8">
        <f>IF(G6779="","",G6779*0.20)</f>
        <v/>
      </c>
      <c r="K6779" s="8">
        <f>IF(G6779="","",G6779+J6779)</f>
        <v/>
      </c>
    </row>
    <row r="6780">
      <c r="F6780" s="8" t="n"/>
      <c r="G6780" s="8">
        <f>IF(E6780="","",E6780*F6780)</f>
        <v/>
      </c>
      <c r="H6780" s="8">
        <f>IF(G6780="","",G6780-I6780)</f>
        <v/>
      </c>
      <c r="I6780" s="8">
        <f>IF(D6780="","",VLOOKUP(D6780, RECETTES!B:G, 6, FALSE)*E6780)</f>
        <v/>
      </c>
      <c r="J6780" s="8">
        <f>IF(G6780="","",G6780*0.20)</f>
        <v/>
      </c>
      <c r="K6780" s="8">
        <f>IF(G6780="","",G6780+J6780)</f>
        <v/>
      </c>
    </row>
    <row r="6781">
      <c r="F6781" s="8" t="n"/>
      <c r="G6781" s="8">
        <f>IF(E6781="","",E6781*F6781)</f>
        <v/>
      </c>
      <c r="H6781" s="8">
        <f>IF(G6781="","",G6781-I6781)</f>
        <v/>
      </c>
      <c r="I6781" s="8">
        <f>IF(D6781="","",VLOOKUP(D6781, RECETTES!B:G, 6, FALSE)*E6781)</f>
        <v/>
      </c>
      <c r="J6781" s="8">
        <f>IF(G6781="","",G6781*0.20)</f>
        <v/>
      </c>
      <c r="K6781" s="8">
        <f>IF(G6781="","",G6781+J6781)</f>
        <v/>
      </c>
    </row>
    <row r="6782">
      <c r="F6782" s="8" t="n"/>
      <c r="G6782" s="8">
        <f>IF(E6782="","",E6782*F6782)</f>
        <v/>
      </c>
      <c r="H6782" s="8">
        <f>IF(G6782="","",G6782-I6782)</f>
        <v/>
      </c>
      <c r="I6782" s="8">
        <f>IF(D6782="","",VLOOKUP(D6782, RECETTES!B:G, 6, FALSE)*E6782)</f>
        <v/>
      </c>
      <c r="J6782" s="8">
        <f>IF(G6782="","",G6782*0.20)</f>
        <v/>
      </c>
      <c r="K6782" s="8">
        <f>IF(G6782="","",G6782+J6782)</f>
        <v/>
      </c>
    </row>
    <row r="6783">
      <c r="F6783" s="8" t="n"/>
      <c r="G6783" s="8">
        <f>IF(E6783="","",E6783*F6783)</f>
        <v/>
      </c>
      <c r="H6783" s="8">
        <f>IF(G6783="","",G6783-I6783)</f>
        <v/>
      </c>
      <c r="I6783" s="8">
        <f>IF(D6783="","",VLOOKUP(D6783, RECETTES!B:G, 6, FALSE)*E6783)</f>
        <v/>
      </c>
      <c r="J6783" s="8">
        <f>IF(G6783="","",G6783*0.20)</f>
        <v/>
      </c>
      <c r="K6783" s="8">
        <f>IF(G6783="","",G6783+J6783)</f>
        <v/>
      </c>
    </row>
    <row r="6784">
      <c r="F6784" s="8" t="n"/>
      <c r="G6784" s="8">
        <f>IF(E6784="","",E6784*F6784)</f>
        <v/>
      </c>
      <c r="H6784" s="8">
        <f>IF(G6784="","",G6784-I6784)</f>
        <v/>
      </c>
      <c r="I6784" s="8">
        <f>IF(D6784="","",VLOOKUP(D6784, RECETTES!B:G, 6, FALSE)*E6784)</f>
        <v/>
      </c>
      <c r="J6784" s="8">
        <f>IF(G6784="","",G6784*0.20)</f>
        <v/>
      </c>
      <c r="K6784" s="8">
        <f>IF(G6784="","",G6784+J6784)</f>
        <v/>
      </c>
    </row>
    <row r="6785">
      <c r="F6785" s="8" t="n"/>
      <c r="G6785" s="8">
        <f>IF(E6785="","",E6785*F6785)</f>
        <v/>
      </c>
      <c r="H6785" s="8">
        <f>IF(G6785="","",G6785-I6785)</f>
        <v/>
      </c>
      <c r="I6785" s="8">
        <f>IF(D6785="","",VLOOKUP(D6785, RECETTES!B:G, 6, FALSE)*E6785)</f>
        <v/>
      </c>
      <c r="J6785" s="8">
        <f>IF(G6785="","",G6785*0.20)</f>
        <v/>
      </c>
      <c r="K6785" s="8">
        <f>IF(G6785="","",G6785+J6785)</f>
        <v/>
      </c>
    </row>
    <row r="6786">
      <c r="F6786" s="8" t="n"/>
      <c r="G6786" s="8">
        <f>IF(E6786="","",E6786*F6786)</f>
        <v/>
      </c>
      <c r="H6786" s="8">
        <f>IF(G6786="","",G6786-I6786)</f>
        <v/>
      </c>
      <c r="I6786" s="8">
        <f>IF(D6786="","",VLOOKUP(D6786, RECETTES!B:G, 6, FALSE)*E6786)</f>
        <v/>
      </c>
      <c r="J6786" s="8">
        <f>IF(G6786="","",G6786*0.20)</f>
        <v/>
      </c>
      <c r="K6786" s="8">
        <f>IF(G6786="","",G6786+J6786)</f>
        <v/>
      </c>
    </row>
    <row r="6787">
      <c r="F6787" s="8" t="n"/>
      <c r="G6787" s="8">
        <f>IF(E6787="","",E6787*F6787)</f>
        <v/>
      </c>
      <c r="H6787" s="8">
        <f>IF(G6787="","",G6787-I6787)</f>
        <v/>
      </c>
      <c r="I6787" s="8">
        <f>IF(D6787="","",VLOOKUP(D6787, RECETTES!B:G, 6, FALSE)*E6787)</f>
        <v/>
      </c>
      <c r="J6787" s="8">
        <f>IF(G6787="","",G6787*0.20)</f>
        <v/>
      </c>
      <c r="K6787" s="8">
        <f>IF(G6787="","",G6787+J6787)</f>
        <v/>
      </c>
    </row>
    <row r="6788">
      <c r="F6788" s="8" t="n"/>
      <c r="G6788" s="8">
        <f>IF(E6788="","",E6788*F6788)</f>
        <v/>
      </c>
      <c r="H6788" s="8">
        <f>IF(G6788="","",G6788-I6788)</f>
        <v/>
      </c>
      <c r="I6788" s="8">
        <f>IF(D6788="","",VLOOKUP(D6788, RECETTES!B:G, 6, FALSE)*E6788)</f>
        <v/>
      </c>
      <c r="J6788" s="8">
        <f>IF(G6788="","",G6788*0.20)</f>
        <v/>
      </c>
      <c r="K6788" s="8">
        <f>IF(G6788="","",G6788+J6788)</f>
        <v/>
      </c>
    </row>
    <row r="6789">
      <c r="F6789" s="8" t="n"/>
      <c r="G6789" s="8">
        <f>IF(E6789="","",E6789*F6789)</f>
        <v/>
      </c>
      <c r="H6789" s="8">
        <f>IF(G6789="","",G6789-I6789)</f>
        <v/>
      </c>
      <c r="I6789" s="8">
        <f>IF(D6789="","",VLOOKUP(D6789, RECETTES!B:G, 6, FALSE)*E6789)</f>
        <v/>
      </c>
      <c r="J6789" s="8">
        <f>IF(G6789="","",G6789*0.20)</f>
        <v/>
      </c>
      <c r="K6789" s="8">
        <f>IF(G6789="","",G6789+J6789)</f>
        <v/>
      </c>
    </row>
    <row r="6790">
      <c r="F6790" s="8" t="n"/>
      <c r="G6790" s="8">
        <f>IF(E6790="","",E6790*F6790)</f>
        <v/>
      </c>
      <c r="H6790" s="8">
        <f>IF(G6790="","",G6790-I6790)</f>
        <v/>
      </c>
      <c r="I6790" s="8">
        <f>IF(D6790="","",VLOOKUP(D6790, RECETTES!B:G, 6, FALSE)*E6790)</f>
        <v/>
      </c>
      <c r="J6790" s="8">
        <f>IF(G6790="","",G6790*0.20)</f>
        <v/>
      </c>
      <c r="K6790" s="8">
        <f>IF(G6790="","",G6790+J6790)</f>
        <v/>
      </c>
    </row>
    <row r="6791">
      <c r="F6791" s="8" t="n"/>
      <c r="G6791" s="8">
        <f>IF(E6791="","",E6791*F6791)</f>
        <v/>
      </c>
      <c r="H6791" s="8">
        <f>IF(G6791="","",G6791-I6791)</f>
        <v/>
      </c>
      <c r="I6791" s="8">
        <f>IF(D6791="","",VLOOKUP(D6791, RECETTES!B:G, 6, FALSE)*E6791)</f>
        <v/>
      </c>
      <c r="J6791" s="8">
        <f>IF(G6791="","",G6791*0.20)</f>
        <v/>
      </c>
      <c r="K6791" s="8">
        <f>IF(G6791="","",G6791+J6791)</f>
        <v/>
      </c>
    </row>
    <row r="6792">
      <c r="F6792" s="8" t="n"/>
      <c r="G6792" s="8">
        <f>IF(E6792="","",E6792*F6792)</f>
        <v/>
      </c>
      <c r="H6792" s="8">
        <f>IF(G6792="","",G6792-I6792)</f>
        <v/>
      </c>
      <c r="I6792" s="8">
        <f>IF(D6792="","",VLOOKUP(D6792, RECETTES!B:G, 6, FALSE)*E6792)</f>
        <v/>
      </c>
      <c r="J6792" s="8">
        <f>IF(G6792="","",G6792*0.20)</f>
        <v/>
      </c>
      <c r="K6792" s="8">
        <f>IF(G6792="","",G6792+J6792)</f>
        <v/>
      </c>
    </row>
    <row r="6793">
      <c r="F6793" s="8" t="n"/>
      <c r="G6793" s="8">
        <f>IF(E6793="","",E6793*F6793)</f>
        <v/>
      </c>
      <c r="H6793" s="8">
        <f>IF(G6793="","",G6793-I6793)</f>
        <v/>
      </c>
      <c r="I6793" s="8">
        <f>IF(D6793="","",VLOOKUP(D6793, RECETTES!B:G, 6, FALSE)*E6793)</f>
        <v/>
      </c>
      <c r="J6793" s="8">
        <f>IF(G6793="","",G6793*0.20)</f>
        <v/>
      </c>
      <c r="K6793" s="8">
        <f>IF(G6793="","",G6793+J6793)</f>
        <v/>
      </c>
    </row>
    <row r="6794">
      <c r="F6794" s="8" t="n"/>
      <c r="G6794" s="8">
        <f>IF(E6794="","",E6794*F6794)</f>
        <v/>
      </c>
      <c r="H6794" s="8">
        <f>IF(G6794="","",G6794-I6794)</f>
        <v/>
      </c>
      <c r="I6794" s="8">
        <f>IF(D6794="","",VLOOKUP(D6794, RECETTES!B:G, 6, FALSE)*E6794)</f>
        <v/>
      </c>
      <c r="J6794" s="8">
        <f>IF(G6794="","",G6794*0.20)</f>
        <v/>
      </c>
      <c r="K6794" s="8">
        <f>IF(G6794="","",G6794+J6794)</f>
        <v/>
      </c>
    </row>
    <row r="6795">
      <c r="F6795" s="8" t="n"/>
      <c r="G6795" s="8">
        <f>IF(E6795="","",E6795*F6795)</f>
        <v/>
      </c>
      <c r="H6795" s="8">
        <f>IF(G6795="","",G6795-I6795)</f>
        <v/>
      </c>
      <c r="I6795" s="8">
        <f>IF(D6795="","",VLOOKUP(D6795, RECETTES!B:G, 6, FALSE)*E6795)</f>
        <v/>
      </c>
      <c r="J6795" s="8">
        <f>IF(G6795="","",G6795*0.20)</f>
        <v/>
      </c>
      <c r="K6795" s="8">
        <f>IF(G6795="","",G6795+J6795)</f>
        <v/>
      </c>
    </row>
    <row r="6796">
      <c r="F6796" s="8" t="n"/>
      <c r="G6796" s="8">
        <f>IF(E6796="","",E6796*F6796)</f>
        <v/>
      </c>
      <c r="H6796" s="8">
        <f>IF(G6796="","",G6796-I6796)</f>
        <v/>
      </c>
      <c r="I6796" s="8">
        <f>IF(D6796="","",VLOOKUP(D6796, RECETTES!B:G, 6, FALSE)*E6796)</f>
        <v/>
      </c>
      <c r="J6796" s="8">
        <f>IF(G6796="","",G6796*0.20)</f>
        <v/>
      </c>
      <c r="K6796" s="8">
        <f>IF(G6796="","",G6796+J6796)</f>
        <v/>
      </c>
    </row>
    <row r="6797">
      <c r="F6797" s="8" t="n"/>
      <c r="G6797" s="8">
        <f>IF(E6797="","",E6797*F6797)</f>
        <v/>
      </c>
      <c r="H6797" s="8">
        <f>IF(G6797="","",G6797-I6797)</f>
        <v/>
      </c>
      <c r="I6797" s="8">
        <f>IF(D6797="","",VLOOKUP(D6797, RECETTES!B:G, 6, FALSE)*E6797)</f>
        <v/>
      </c>
      <c r="J6797" s="8">
        <f>IF(G6797="","",G6797*0.20)</f>
        <v/>
      </c>
      <c r="K6797" s="8">
        <f>IF(G6797="","",G6797+J6797)</f>
        <v/>
      </c>
    </row>
    <row r="6798">
      <c r="F6798" s="8" t="n"/>
      <c r="G6798" s="8">
        <f>IF(E6798="","",E6798*F6798)</f>
        <v/>
      </c>
      <c r="H6798" s="8">
        <f>IF(G6798="","",G6798-I6798)</f>
        <v/>
      </c>
      <c r="I6798" s="8">
        <f>IF(D6798="","",VLOOKUP(D6798, RECETTES!B:G, 6, FALSE)*E6798)</f>
        <v/>
      </c>
      <c r="J6798" s="8">
        <f>IF(G6798="","",G6798*0.20)</f>
        <v/>
      </c>
      <c r="K6798" s="8">
        <f>IF(G6798="","",G6798+J6798)</f>
        <v/>
      </c>
    </row>
    <row r="6799">
      <c r="F6799" s="8" t="n"/>
      <c r="G6799" s="8">
        <f>IF(E6799="","",E6799*F6799)</f>
        <v/>
      </c>
      <c r="H6799" s="8">
        <f>IF(G6799="","",G6799-I6799)</f>
        <v/>
      </c>
      <c r="I6799" s="8">
        <f>IF(D6799="","",VLOOKUP(D6799, RECETTES!B:G, 6, FALSE)*E6799)</f>
        <v/>
      </c>
      <c r="J6799" s="8">
        <f>IF(G6799="","",G6799*0.20)</f>
        <v/>
      </c>
      <c r="K6799" s="8">
        <f>IF(G6799="","",G6799+J6799)</f>
        <v/>
      </c>
    </row>
    <row r="6800">
      <c r="F6800" s="8" t="n"/>
      <c r="G6800" s="8">
        <f>IF(E6800="","",E6800*F6800)</f>
        <v/>
      </c>
      <c r="H6800" s="8">
        <f>IF(G6800="","",G6800-I6800)</f>
        <v/>
      </c>
      <c r="I6800" s="8">
        <f>IF(D6800="","",VLOOKUP(D6800, RECETTES!B:G, 6, FALSE)*E6800)</f>
        <v/>
      </c>
      <c r="J6800" s="8">
        <f>IF(G6800="","",G6800*0.20)</f>
        <v/>
      </c>
      <c r="K6800" s="8">
        <f>IF(G6800="","",G6800+J6800)</f>
        <v/>
      </c>
    </row>
    <row r="6801">
      <c r="F6801" s="8" t="n"/>
      <c r="G6801" s="8">
        <f>IF(E6801="","",E6801*F6801)</f>
        <v/>
      </c>
      <c r="H6801" s="8">
        <f>IF(G6801="","",G6801-I6801)</f>
        <v/>
      </c>
      <c r="I6801" s="8">
        <f>IF(D6801="","",VLOOKUP(D6801, RECETTES!B:G, 6, FALSE)*E6801)</f>
        <v/>
      </c>
      <c r="J6801" s="8">
        <f>IF(G6801="","",G6801*0.20)</f>
        <v/>
      </c>
      <c r="K6801" s="8">
        <f>IF(G6801="","",G6801+J6801)</f>
        <v/>
      </c>
    </row>
    <row r="6802">
      <c r="F6802" s="8" t="n"/>
      <c r="G6802" s="8">
        <f>IF(E6802="","",E6802*F6802)</f>
        <v/>
      </c>
      <c r="H6802" s="8">
        <f>IF(G6802="","",G6802-I6802)</f>
        <v/>
      </c>
      <c r="I6802" s="8">
        <f>IF(D6802="","",VLOOKUP(D6802, RECETTES!B:G, 6, FALSE)*E6802)</f>
        <v/>
      </c>
      <c r="J6802" s="8">
        <f>IF(G6802="","",G6802*0.20)</f>
        <v/>
      </c>
      <c r="K6802" s="8">
        <f>IF(G6802="","",G6802+J6802)</f>
        <v/>
      </c>
    </row>
    <row r="6803">
      <c r="F6803" s="8" t="n"/>
      <c r="G6803" s="8">
        <f>IF(E6803="","",E6803*F6803)</f>
        <v/>
      </c>
      <c r="H6803" s="8">
        <f>IF(G6803="","",G6803-I6803)</f>
        <v/>
      </c>
      <c r="I6803" s="8">
        <f>IF(D6803="","",VLOOKUP(D6803, RECETTES!B:G, 6, FALSE)*E6803)</f>
        <v/>
      </c>
      <c r="J6803" s="8">
        <f>IF(G6803="","",G6803*0.20)</f>
        <v/>
      </c>
      <c r="K6803" s="8">
        <f>IF(G6803="","",G6803+J6803)</f>
        <v/>
      </c>
    </row>
    <row r="6804">
      <c r="F6804" s="8" t="n"/>
      <c r="G6804" s="8">
        <f>IF(E6804="","",E6804*F6804)</f>
        <v/>
      </c>
      <c r="H6804" s="8">
        <f>IF(G6804="","",G6804-I6804)</f>
        <v/>
      </c>
      <c r="I6804" s="8">
        <f>IF(D6804="","",VLOOKUP(D6804, RECETTES!B:G, 6, FALSE)*E6804)</f>
        <v/>
      </c>
      <c r="J6804" s="8">
        <f>IF(G6804="","",G6804*0.20)</f>
        <v/>
      </c>
      <c r="K6804" s="8">
        <f>IF(G6804="","",G6804+J6804)</f>
        <v/>
      </c>
    </row>
    <row r="6805">
      <c r="F6805" s="8" t="n"/>
      <c r="G6805" s="8">
        <f>IF(E6805="","",E6805*F6805)</f>
        <v/>
      </c>
      <c r="H6805" s="8">
        <f>IF(G6805="","",G6805-I6805)</f>
        <v/>
      </c>
      <c r="I6805" s="8">
        <f>IF(D6805="","",VLOOKUP(D6805, RECETTES!B:G, 6, FALSE)*E6805)</f>
        <v/>
      </c>
      <c r="J6805" s="8">
        <f>IF(G6805="","",G6805*0.20)</f>
        <v/>
      </c>
      <c r="K6805" s="8">
        <f>IF(G6805="","",G6805+J6805)</f>
        <v/>
      </c>
    </row>
    <row r="6806">
      <c r="F6806" s="8" t="n"/>
      <c r="G6806" s="8">
        <f>IF(E6806="","",E6806*F6806)</f>
        <v/>
      </c>
      <c r="H6806" s="8">
        <f>IF(G6806="","",G6806-I6806)</f>
        <v/>
      </c>
      <c r="I6806" s="8">
        <f>IF(D6806="","",VLOOKUP(D6806, RECETTES!B:G, 6, FALSE)*E6806)</f>
        <v/>
      </c>
      <c r="J6806" s="8">
        <f>IF(G6806="","",G6806*0.20)</f>
        <v/>
      </c>
      <c r="K6806" s="8">
        <f>IF(G6806="","",G6806+J6806)</f>
        <v/>
      </c>
    </row>
    <row r="6807">
      <c r="F6807" s="8" t="n"/>
      <c r="G6807" s="8">
        <f>IF(E6807="","",E6807*F6807)</f>
        <v/>
      </c>
      <c r="H6807" s="8">
        <f>IF(G6807="","",G6807-I6807)</f>
        <v/>
      </c>
      <c r="I6807" s="8">
        <f>IF(D6807="","",VLOOKUP(D6807, RECETTES!B:G, 6, FALSE)*E6807)</f>
        <v/>
      </c>
      <c r="J6807" s="8">
        <f>IF(G6807="","",G6807*0.20)</f>
        <v/>
      </c>
      <c r="K6807" s="8">
        <f>IF(G6807="","",G6807+J6807)</f>
        <v/>
      </c>
    </row>
    <row r="6808">
      <c r="F6808" s="8" t="n"/>
      <c r="G6808" s="8">
        <f>IF(E6808="","",E6808*F6808)</f>
        <v/>
      </c>
      <c r="H6808" s="8">
        <f>IF(G6808="","",G6808-I6808)</f>
        <v/>
      </c>
      <c r="I6808" s="8">
        <f>IF(D6808="","",VLOOKUP(D6808, RECETTES!B:G, 6, FALSE)*E6808)</f>
        <v/>
      </c>
      <c r="J6808" s="8">
        <f>IF(G6808="","",G6808*0.20)</f>
        <v/>
      </c>
      <c r="K6808" s="8">
        <f>IF(G6808="","",G6808+J6808)</f>
        <v/>
      </c>
    </row>
    <row r="6809">
      <c r="F6809" s="8" t="n"/>
      <c r="G6809" s="8">
        <f>IF(E6809="","",E6809*F6809)</f>
        <v/>
      </c>
      <c r="H6809" s="8">
        <f>IF(G6809="","",G6809-I6809)</f>
        <v/>
      </c>
      <c r="I6809" s="8">
        <f>IF(D6809="","",VLOOKUP(D6809, RECETTES!B:G, 6, FALSE)*E6809)</f>
        <v/>
      </c>
      <c r="J6809" s="8">
        <f>IF(G6809="","",G6809*0.20)</f>
        <v/>
      </c>
      <c r="K6809" s="8">
        <f>IF(G6809="","",G6809+J6809)</f>
        <v/>
      </c>
    </row>
    <row r="6810">
      <c r="F6810" s="8" t="n"/>
      <c r="G6810" s="8">
        <f>IF(E6810="","",E6810*F6810)</f>
        <v/>
      </c>
      <c r="H6810" s="8">
        <f>IF(G6810="","",G6810-I6810)</f>
        <v/>
      </c>
      <c r="I6810" s="8">
        <f>IF(D6810="","",VLOOKUP(D6810, RECETTES!B:G, 6, FALSE)*E6810)</f>
        <v/>
      </c>
      <c r="J6810" s="8">
        <f>IF(G6810="","",G6810*0.20)</f>
        <v/>
      </c>
      <c r="K6810" s="8">
        <f>IF(G6810="","",G6810+J6810)</f>
        <v/>
      </c>
    </row>
    <row r="6811">
      <c r="F6811" s="8" t="n"/>
      <c r="G6811" s="8">
        <f>IF(E6811="","",E6811*F6811)</f>
        <v/>
      </c>
      <c r="H6811" s="8">
        <f>IF(G6811="","",G6811-I6811)</f>
        <v/>
      </c>
      <c r="I6811" s="8">
        <f>IF(D6811="","",VLOOKUP(D6811, RECETTES!B:G, 6, FALSE)*E6811)</f>
        <v/>
      </c>
      <c r="J6811" s="8">
        <f>IF(G6811="","",G6811*0.20)</f>
        <v/>
      </c>
      <c r="K6811" s="8">
        <f>IF(G6811="","",G6811+J6811)</f>
        <v/>
      </c>
    </row>
    <row r="6812">
      <c r="F6812" s="8" t="n"/>
      <c r="G6812" s="8">
        <f>IF(E6812="","",E6812*F6812)</f>
        <v/>
      </c>
      <c r="H6812" s="8">
        <f>IF(G6812="","",G6812-I6812)</f>
        <v/>
      </c>
      <c r="I6812" s="8">
        <f>IF(D6812="","",VLOOKUP(D6812, RECETTES!B:G, 6, FALSE)*E6812)</f>
        <v/>
      </c>
      <c r="J6812" s="8">
        <f>IF(G6812="","",G6812*0.20)</f>
        <v/>
      </c>
      <c r="K6812" s="8">
        <f>IF(G6812="","",G6812+J6812)</f>
        <v/>
      </c>
    </row>
    <row r="6813">
      <c r="F6813" s="8" t="n"/>
      <c r="G6813" s="8">
        <f>IF(E6813="","",E6813*F6813)</f>
        <v/>
      </c>
      <c r="H6813" s="8">
        <f>IF(G6813="","",G6813-I6813)</f>
        <v/>
      </c>
      <c r="I6813" s="8">
        <f>IF(D6813="","",VLOOKUP(D6813, RECETTES!B:G, 6, FALSE)*E6813)</f>
        <v/>
      </c>
      <c r="J6813" s="8">
        <f>IF(G6813="","",G6813*0.20)</f>
        <v/>
      </c>
      <c r="K6813" s="8">
        <f>IF(G6813="","",G6813+J6813)</f>
        <v/>
      </c>
    </row>
    <row r="6814">
      <c r="F6814" s="8" t="n"/>
      <c r="G6814" s="8">
        <f>IF(E6814="","",E6814*F6814)</f>
        <v/>
      </c>
      <c r="H6814" s="8">
        <f>IF(G6814="","",G6814-I6814)</f>
        <v/>
      </c>
      <c r="I6814" s="8">
        <f>IF(D6814="","",VLOOKUP(D6814, RECETTES!B:G, 6, FALSE)*E6814)</f>
        <v/>
      </c>
      <c r="J6814" s="8">
        <f>IF(G6814="","",G6814*0.20)</f>
        <v/>
      </c>
      <c r="K6814" s="8">
        <f>IF(G6814="","",G6814+J6814)</f>
        <v/>
      </c>
    </row>
    <row r="6815">
      <c r="F6815" s="8" t="n"/>
      <c r="G6815" s="8">
        <f>IF(E6815="","",E6815*F6815)</f>
        <v/>
      </c>
      <c r="H6815" s="8">
        <f>IF(G6815="","",G6815-I6815)</f>
        <v/>
      </c>
      <c r="I6815" s="8">
        <f>IF(D6815="","",VLOOKUP(D6815, RECETTES!B:G, 6, FALSE)*E6815)</f>
        <v/>
      </c>
      <c r="J6815" s="8">
        <f>IF(G6815="","",G6815*0.20)</f>
        <v/>
      </c>
      <c r="K6815" s="8">
        <f>IF(G6815="","",G6815+J6815)</f>
        <v/>
      </c>
    </row>
    <row r="6816">
      <c r="F6816" s="8" t="n"/>
      <c r="G6816" s="8">
        <f>IF(E6816="","",E6816*F6816)</f>
        <v/>
      </c>
      <c r="H6816" s="8">
        <f>IF(G6816="","",G6816-I6816)</f>
        <v/>
      </c>
      <c r="I6816" s="8">
        <f>IF(D6816="","",VLOOKUP(D6816, RECETTES!B:G, 6, FALSE)*E6816)</f>
        <v/>
      </c>
      <c r="J6816" s="8">
        <f>IF(G6816="","",G6816*0.20)</f>
        <v/>
      </c>
      <c r="K6816" s="8">
        <f>IF(G6816="","",G6816+J6816)</f>
        <v/>
      </c>
    </row>
    <row r="6817">
      <c r="F6817" s="8" t="n"/>
      <c r="G6817" s="8">
        <f>IF(E6817="","",E6817*F6817)</f>
        <v/>
      </c>
      <c r="H6817" s="8">
        <f>IF(G6817="","",G6817-I6817)</f>
        <v/>
      </c>
      <c r="I6817" s="8">
        <f>IF(D6817="","",VLOOKUP(D6817, RECETTES!B:G, 6, FALSE)*E6817)</f>
        <v/>
      </c>
      <c r="J6817" s="8">
        <f>IF(G6817="","",G6817*0.20)</f>
        <v/>
      </c>
      <c r="K6817" s="8">
        <f>IF(G6817="","",G6817+J6817)</f>
        <v/>
      </c>
    </row>
    <row r="6818">
      <c r="F6818" s="8" t="n"/>
      <c r="G6818" s="8">
        <f>IF(E6818="","",E6818*F6818)</f>
        <v/>
      </c>
      <c r="H6818" s="8">
        <f>IF(G6818="","",G6818-I6818)</f>
        <v/>
      </c>
      <c r="I6818" s="8">
        <f>IF(D6818="","",VLOOKUP(D6818, RECETTES!B:G, 6, FALSE)*E6818)</f>
        <v/>
      </c>
      <c r="J6818" s="8">
        <f>IF(G6818="","",G6818*0.20)</f>
        <v/>
      </c>
      <c r="K6818" s="8">
        <f>IF(G6818="","",G6818+J6818)</f>
        <v/>
      </c>
    </row>
    <row r="6819">
      <c r="F6819" s="8" t="n"/>
      <c r="G6819" s="8">
        <f>IF(E6819="","",E6819*F6819)</f>
        <v/>
      </c>
      <c r="H6819" s="8">
        <f>IF(G6819="","",G6819-I6819)</f>
        <v/>
      </c>
      <c r="I6819" s="8">
        <f>IF(D6819="","",VLOOKUP(D6819, RECETTES!B:G, 6, FALSE)*E6819)</f>
        <v/>
      </c>
      <c r="J6819" s="8">
        <f>IF(G6819="","",G6819*0.20)</f>
        <v/>
      </c>
      <c r="K6819" s="8">
        <f>IF(G6819="","",G6819+J6819)</f>
        <v/>
      </c>
    </row>
    <row r="6820">
      <c r="F6820" s="8" t="n"/>
      <c r="G6820" s="8">
        <f>IF(E6820="","",E6820*F6820)</f>
        <v/>
      </c>
      <c r="H6820" s="8">
        <f>IF(G6820="","",G6820-I6820)</f>
        <v/>
      </c>
      <c r="I6820" s="8">
        <f>IF(D6820="","",VLOOKUP(D6820, RECETTES!B:G, 6, FALSE)*E6820)</f>
        <v/>
      </c>
      <c r="J6820" s="8">
        <f>IF(G6820="","",G6820*0.20)</f>
        <v/>
      </c>
      <c r="K6820" s="8">
        <f>IF(G6820="","",G6820+J6820)</f>
        <v/>
      </c>
    </row>
    <row r="6821">
      <c r="F6821" s="8" t="n"/>
      <c r="G6821" s="8">
        <f>IF(E6821="","",E6821*F6821)</f>
        <v/>
      </c>
      <c r="H6821" s="8">
        <f>IF(G6821="","",G6821-I6821)</f>
        <v/>
      </c>
      <c r="I6821" s="8">
        <f>IF(D6821="","",VLOOKUP(D6821, RECETTES!B:G, 6, FALSE)*E6821)</f>
        <v/>
      </c>
      <c r="J6821" s="8">
        <f>IF(G6821="","",G6821*0.20)</f>
        <v/>
      </c>
      <c r="K6821" s="8">
        <f>IF(G6821="","",G6821+J6821)</f>
        <v/>
      </c>
    </row>
    <row r="6822">
      <c r="F6822" s="8" t="n"/>
      <c r="G6822" s="8">
        <f>IF(E6822="","",E6822*F6822)</f>
        <v/>
      </c>
      <c r="H6822" s="8">
        <f>IF(G6822="","",G6822-I6822)</f>
        <v/>
      </c>
      <c r="I6822" s="8">
        <f>IF(D6822="","",VLOOKUP(D6822, RECETTES!B:G, 6, FALSE)*E6822)</f>
        <v/>
      </c>
      <c r="J6822" s="8">
        <f>IF(G6822="","",G6822*0.20)</f>
        <v/>
      </c>
      <c r="K6822" s="8">
        <f>IF(G6822="","",G6822+J6822)</f>
        <v/>
      </c>
    </row>
    <row r="6823">
      <c r="F6823" s="8" t="n"/>
      <c r="G6823" s="8">
        <f>IF(E6823="","",E6823*F6823)</f>
        <v/>
      </c>
      <c r="H6823" s="8">
        <f>IF(G6823="","",G6823-I6823)</f>
        <v/>
      </c>
      <c r="I6823" s="8">
        <f>IF(D6823="","",VLOOKUP(D6823, RECETTES!B:G, 6, FALSE)*E6823)</f>
        <v/>
      </c>
      <c r="J6823" s="8">
        <f>IF(G6823="","",G6823*0.20)</f>
        <v/>
      </c>
      <c r="K6823" s="8">
        <f>IF(G6823="","",G6823+J6823)</f>
        <v/>
      </c>
    </row>
    <row r="6824">
      <c r="F6824" s="8" t="n"/>
      <c r="G6824" s="8">
        <f>IF(E6824="","",E6824*F6824)</f>
        <v/>
      </c>
      <c r="H6824" s="8">
        <f>IF(G6824="","",G6824-I6824)</f>
        <v/>
      </c>
      <c r="I6824" s="8">
        <f>IF(D6824="","",VLOOKUP(D6824, RECETTES!B:G, 6, FALSE)*E6824)</f>
        <v/>
      </c>
      <c r="J6824" s="8">
        <f>IF(G6824="","",G6824*0.20)</f>
        <v/>
      </c>
      <c r="K6824" s="8">
        <f>IF(G6824="","",G6824+J6824)</f>
        <v/>
      </c>
    </row>
    <row r="6825">
      <c r="F6825" s="8" t="n"/>
      <c r="G6825" s="8">
        <f>IF(E6825="","",E6825*F6825)</f>
        <v/>
      </c>
      <c r="H6825" s="8">
        <f>IF(G6825="","",G6825-I6825)</f>
        <v/>
      </c>
      <c r="I6825" s="8">
        <f>IF(D6825="","",VLOOKUP(D6825, RECETTES!B:G, 6, FALSE)*E6825)</f>
        <v/>
      </c>
      <c r="J6825" s="8">
        <f>IF(G6825="","",G6825*0.20)</f>
        <v/>
      </c>
      <c r="K6825" s="8">
        <f>IF(G6825="","",G6825+J6825)</f>
        <v/>
      </c>
    </row>
    <row r="6826">
      <c r="F6826" s="8" t="n"/>
      <c r="G6826" s="8">
        <f>IF(E6826="","",E6826*F6826)</f>
        <v/>
      </c>
      <c r="H6826" s="8">
        <f>IF(G6826="","",G6826-I6826)</f>
        <v/>
      </c>
      <c r="I6826" s="8">
        <f>IF(D6826="","",VLOOKUP(D6826, RECETTES!B:G, 6, FALSE)*E6826)</f>
        <v/>
      </c>
      <c r="J6826" s="8">
        <f>IF(G6826="","",G6826*0.20)</f>
        <v/>
      </c>
      <c r="K6826" s="8">
        <f>IF(G6826="","",G6826+J6826)</f>
        <v/>
      </c>
    </row>
    <row r="6827">
      <c r="F6827" s="8" t="n"/>
      <c r="G6827" s="8">
        <f>IF(E6827="","",E6827*F6827)</f>
        <v/>
      </c>
      <c r="H6827" s="8">
        <f>IF(G6827="","",G6827-I6827)</f>
        <v/>
      </c>
      <c r="I6827" s="8">
        <f>IF(D6827="","",VLOOKUP(D6827, RECETTES!B:G, 6, FALSE)*E6827)</f>
        <v/>
      </c>
      <c r="J6827" s="8">
        <f>IF(G6827="","",G6827*0.20)</f>
        <v/>
      </c>
      <c r="K6827" s="8">
        <f>IF(G6827="","",G6827+J6827)</f>
        <v/>
      </c>
    </row>
    <row r="6828">
      <c r="F6828" s="8" t="n"/>
      <c r="G6828" s="8">
        <f>IF(E6828="","",E6828*F6828)</f>
        <v/>
      </c>
      <c r="H6828" s="8">
        <f>IF(G6828="","",G6828-I6828)</f>
        <v/>
      </c>
      <c r="I6828" s="8">
        <f>IF(D6828="","",VLOOKUP(D6828, RECETTES!B:G, 6, FALSE)*E6828)</f>
        <v/>
      </c>
      <c r="J6828" s="8">
        <f>IF(G6828="","",G6828*0.20)</f>
        <v/>
      </c>
      <c r="K6828" s="8">
        <f>IF(G6828="","",G6828+J6828)</f>
        <v/>
      </c>
    </row>
    <row r="6829">
      <c r="F6829" s="8" t="n"/>
      <c r="G6829" s="8">
        <f>IF(E6829="","",E6829*F6829)</f>
        <v/>
      </c>
      <c r="H6829" s="8">
        <f>IF(G6829="","",G6829-I6829)</f>
        <v/>
      </c>
      <c r="I6829" s="8">
        <f>IF(D6829="","",VLOOKUP(D6829, RECETTES!B:G, 6, FALSE)*E6829)</f>
        <v/>
      </c>
      <c r="J6829" s="8">
        <f>IF(G6829="","",G6829*0.20)</f>
        <v/>
      </c>
      <c r="K6829" s="8">
        <f>IF(G6829="","",G6829+J6829)</f>
        <v/>
      </c>
    </row>
    <row r="6830">
      <c r="F6830" s="8" t="n"/>
      <c r="G6830" s="8">
        <f>IF(E6830="","",E6830*F6830)</f>
        <v/>
      </c>
      <c r="H6830" s="8">
        <f>IF(G6830="","",G6830-I6830)</f>
        <v/>
      </c>
      <c r="I6830" s="8">
        <f>IF(D6830="","",VLOOKUP(D6830, RECETTES!B:G, 6, FALSE)*E6830)</f>
        <v/>
      </c>
      <c r="J6830" s="8">
        <f>IF(G6830="","",G6830*0.20)</f>
        <v/>
      </c>
      <c r="K6830" s="8">
        <f>IF(G6830="","",G6830+J6830)</f>
        <v/>
      </c>
    </row>
    <row r="6831">
      <c r="F6831" s="8" t="n"/>
      <c r="G6831" s="8">
        <f>IF(E6831="","",E6831*F6831)</f>
        <v/>
      </c>
      <c r="H6831" s="8">
        <f>IF(G6831="","",G6831-I6831)</f>
        <v/>
      </c>
      <c r="I6831" s="8">
        <f>IF(D6831="","",VLOOKUP(D6831, RECETTES!B:G, 6, FALSE)*E6831)</f>
        <v/>
      </c>
      <c r="J6831" s="8">
        <f>IF(G6831="","",G6831*0.20)</f>
        <v/>
      </c>
      <c r="K6831" s="8">
        <f>IF(G6831="","",G6831+J6831)</f>
        <v/>
      </c>
    </row>
    <row r="6832">
      <c r="F6832" s="8" t="n"/>
      <c r="G6832" s="8">
        <f>IF(E6832="","",E6832*F6832)</f>
        <v/>
      </c>
      <c r="H6832" s="8">
        <f>IF(G6832="","",G6832-I6832)</f>
        <v/>
      </c>
      <c r="I6832" s="8">
        <f>IF(D6832="","",VLOOKUP(D6832, RECETTES!B:G, 6, FALSE)*E6832)</f>
        <v/>
      </c>
      <c r="J6832" s="8">
        <f>IF(G6832="","",G6832*0.20)</f>
        <v/>
      </c>
      <c r="K6832" s="8">
        <f>IF(G6832="","",G6832+J6832)</f>
        <v/>
      </c>
    </row>
    <row r="6833">
      <c r="F6833" s="8" t="n"/>
      <c r="G6833" s="8">
        <f>IF(E6833="","",E6833*F6833)</f>
        <v/>
      </c>
      <c r="H6833" s="8">
        <f>IF(G6833="","",G6833-I6833)</f>
        <v/>
      </c>
      <c r="I6833" s="8">
        <f>IF(D6833="","",VLOOKUP(D6833, RECETTES!B:G, 6, FALSE)*E6833)</f>
        <v/>
      </c>
      <c r="J6833" s="8">
        <f>IF(G6833="","",G6833*0.20)</f>
        <v/>
      </c>
      <c r="K6833" s="8">
        <f>IF(G6833="","",G6833+J6833)</f>
        <v/>
      </c>
    </row>
    <row r="6834">
      <c r="F6834" s="8" t="n"/>
      <c r="G6834" s="8">
        <f>IF(E6834="","",E6834*F6834)</f>
        <v/>
      </c>
      <c r="H6834" s="8">
        <f>IF(G6834="","",G6834-I6834)</f>
        <v/>
      </c>
      <c r="I6834" s="8">
        <f>IF(D6834="","",VLOOKUP(D6834, RECETTES!B:G, 6, FALSE)*E6834)</f>
        <v/>
      </c>
      <c r="J6834" s="8">
        <f>IF(G6834="","",G6834*0.20)</f>
        <v/>
      </c>
      <c r="K6834" s="8">
        <f>IF(G6834="","",G6834+J6834)</f>
        <v/>
      </c>
    </row>
    <row r="6835">
      <c r="F6835" s="8" t="n"/>
      <c r="G6835" s="8">
        <f>IF(E6835="","",E6835*F6835)</f>
        <v/>
      </c>
      <c r="H6835" s="8">
        <f>IF(G6835="","",G6835-I6835)</f>
        <v/>
      </c>
      <c r="I6835" s="8">
        <f>IF(D6835="","",VLOOKUP(D6835, RECETTES!B:G, 6, FALSE)*E6835)</f>
        <v/>
      </c>
      <c r="J6835" s="8">
        <f>IF(G6835="","",G6835*0.20)</f>
        <v/>
      </c>
      <c r="K6835" s="8">
        <f>IF(G6835="","",G6835+J6835)</f>
        <v/>
      </c>
    </row>
    <row r="6836">
      <c r="F6836" s="8" t="n"/>
      <c r="G6836" s="8">
        <f>IF(E6836="","",E6836*F6836)</f>
        <v/>
      </c>
      <c r="H6836" s="8">
        <f>IF(G6836="","",G6836-I6836)</f>
        <v/>
      </c>
      <c r="I6836" s="8">
        <f>IF(D6836="","",VLOOKUP(D6836, RECETTES!B:G, 6, FALSE)*E6836)</f>
        <v/>
      </c>
      <c r="J6836" s="8">
        <f>IF(G6836="","",G6836*0.20)</f>
        <v/>
      </c>
      <c r="K6836" s="8">
        <f>IF(G6836="","",G6836+J6836)</f>
        <v/>
      </c>
    </row>
    <row r="6837">
      <c r="F6837" s="8" t="n"/>
      <c r="G6837" s="8">
        <f>IF(E6837="","",E6837*F6837)</f>
        <v/>
      </c>
      <c r="H6837" s="8">
        <f>IF(G6837="","",G6837-I6837)</f>
        <v/>
      </c>
      <c r="I6837" s="8">
        <f>IF(D6837="","",VLOOKUP(D6837, RECETTES!B:G, 6, FALSE)*E6837)</f>
        <v/>
      </c>
      <c r="J6837" s="8">
        <f>IF(G6837="","",G6837*0.20)</f>
        <v/>
      </c>
      <c r="K6837" s="8">
        <f>IF(G6837="","",G6837+J6837)</f>
        <v/>
      </c>
    </row>
    <row r="6838">
      <c r="F6838" s="8" t="n"/>
      <c r="G6838" s="8">
        <f>IF(E6838="","",E6838*F6838)</f>
        <v/>
      </c>
      <c r="H6838" s="8">
        <f>IF(G6838="","",G6838-I6838)</f>
        <v/>
      </c>
      <c r="I6838" s="8">
        <f>IF(D6838="","",VLOOKUP(D6838, RECETTES!B:G, 6, FALSE)*E6838)</f>
        <v/>
      </c>
      <c r="J6838" s="8">
        <f>IF(G6838="","",G6838*0.20)</f>
        <v/>
      </c>
      <c r="K6838" s="8">
        <f>IF(G6838="","",G6838+J6838)</f>
        <v/>
      </c>
    </row>
    <row r="6839">
      <c r="F6839" s="8" t="n"/>
      <c r="G6839" s="8">
        <f>IF(E6839="","",E6839*F6839)</f>
        <v/>
      </c>
      <c r="H6839" s="8">
        <f>IF(G6839="","",G6839-I6839)</f>
        <v/>
      </c>
      <c r="I6839" s="8">
        <f>IF(D6839="","",VLOOKUP(D6839, RECETTES!B:G, 6, FALSE)*E6839)</f>
        <v/>
      </c>
      <c r="J6839" s="8">
        <f>IF(G6839="","",G6839*0.20)</f>
        <v/>
      </c>
      <c r="K6839" s="8">
        <f>IF(G6839="","",G6839+J6839)</f>
        <v/>
      </c>
    </row>
    <row r="6840">
      <c r="F6840" s="8" t="n"/>
      <c r="G6840" s="8">
        <f>IF(E6840="","",E6840*F6840)</f>
        <v/>
      </c>
      <c r="H6840" s="8">
        <f>IF(G6840="","",G6840-I6840)</f>
        <v/>
      </c>
      <c r="I6840" s="8">
        <f>IF(D6840="","",VLOOKUP(D6840, RECETTES!B:G, 6, FALSE)*E6840)</f>
        <v/>
      </c>
      <c r="J6840" s="8">
        <f>IF(G6840="","",G6840*0.20)</f>
        <v/>
      </c>
      <c r="K6840" s="8">
        <f>IF(G6840="","",G6840+J6840)</f>
        <v/>
      </c>
    </row>
    <row r="6841">
      <c r="F6841" s="8" t="n"/>
      <c r="G6841" s="8">
        <f>IF(E6841="","",E6841*F6841)</f>
        <v/>
      </c>
      <c r="H6841" s="8">
        <f>IF(G6841="","",G6841-I6841)</f>
        <v/>
      </c>
      <c r="I6841" s="8">
        <f>IF(D6841="","",VLOOKUP(D6841, RECETTES!B:G, 6, FALSE)*E6841)</f>
        <v/>
      </c>
      <c r="J6841" s="8">
        <f>IF(G6841="","",G6841*0.20)</f>
        <v/>
      </c>
      <c r="K6841" s="8">
        <f>IF(G6841="","",G6841+J6841)</f>
        <v/>
      </c>
    </row>
    <row r="6842">
      <c r="F6842" s="8" t="n"/>
      <c r="G6842" s="8">
        <f>IF(E6842="","",E6842*F6842)</f>
        <v/>
      </c>
      <c r="H6842" s="8">
        <f>IF(G6842="","",G6842-I6842)</f>
        <v/>
      </c>
      <c r="I6842" s="8">
        <f>IF(D6842="","",VLOOKUP(D6842, RECETTES!B:G, 6, FALSE)*E6842)</f>
        <v/>
      </c>
      <c r="J6842" s="8">
        <f>IF(G6842="","",G6842*0.20)</f>
        <v/>
      </c>
      <c r="K6842" s="8">
        <f>IF(G6842="","",G6842+J6842)</f>
        <v/>
      </c>
    </row>
    <row r="6843">
      <c r="F6843" s="8" t="n"/>
      <c r="G6843" s="8">
        <f>IF(E6843="","",E6843*F6843)</f>
        <v/>
      </c>
      <c r="H6843" s="8">
        <f>IF(G6843="","",G6843-I6843)</f>
        <v/>
      </c>
      <c r="I6843" s="8">
        <f>IF(D6843="","",VLOOKUP(D6843, RECETTES!B:G, 6, FALSE)*E6843)</f>
        <v/>
      </c>
      <c r="J6843" s="8">
        <f>IF(G6843="","",G6843*0.20)</f>
        <v/>
      </c>
      <c r="K6843" s="8">
        <f>IF(G6843="","",G6843+J6843)</f>
        <v/>
      </c>
    </row>
    <row r="6844">
      <c r="F6844" s="8" t="n"/>
      <c r="G6844" s="8">
        <f>IF(E6844="","",E6844*F6844)</f>
        <v/>
      </c>
      <c r="H6844" s="8">
        <f>IF(G6844="","",G6844-I6844)</f>
        <v/>
      </c>
      <c r="I6844" s="8">
        <f>IF(D6844="","",VLOOKUP(D6844, RECETTES!B:G, 6, FALSE)*E6844)</f>
        <v/>
      </c>
      <c r="J6844" s="8">
        <f>IF(G6844="","",G6844*0.20)</f>
        <v/>
      </c>
      <c r="K6844" s="8">
        <f>IF(G6844="","",G6844+J6844)</f>
        <v/>
      </c>
    </row>
    <row r="6845">
      <c r="F6845" s="8" t="n"/>
      <c r="G6845" s="8">
        <f>IF(E6845="","",E6845*F6845)</f>
        <v/>
      </c>
      <c r="H6845" s="8">
        <f>IF(G6845="","",G6845-I6845)</f>
        <v/>
      </c>
      <c r="I6845" s="8">
        <f>IF(D6845="","",VLOOKUP(D6845, RECETTES!B:G, 6, FALSE)*E6845)</f>
        <v/>
      </c>
      <c r="J6845" s="8">
        <f>IF(G6845="","",G6845*0.20)</f>
        <v/>
      </c>
      <c r="K6845" s="8">
        <f>IF(G6845="","",G6845+J6845)</f>
        <v/>
      </c>
    </row>
    <row r="6846">
      <c r="F6846" s="8" t="n"/>
      <c r="G6846" s="8">
        <f>IF(E6846="","",E6846*F6846)</f>
        <v/>
      </c>
      <c r="H6846" s="8">
        <f>IF(G6846="","",G6846-I6846)</f>
        <v/>
      </c>
      <c r="I6846" s="8">
        <f>IF(D6846="","",VLOOKUP(D6846, RECETTES!B:G, 6, FALSE)*E6846)</f>
        <v/>
      </c>
      <c r="J6846" s="8">
        <f>IF(G6846="","",G6846*0.20)</f>
        <v/>
      </c>
      <c r="K6846" s="8">
        <f>IF(G6846="","",G6846+J6846)</f>
        <v/>
      </c>
    </row>
    <row r="6847">
      <c r="F6847" s="8" t="n"/>
      <c r="G6847" s="8">
        <f>IF(E6847="","",E6847*F6847)</f>
        <v/>
      </c>
      <c r="H6847" s="8">
        <f>IF(G6847="","",G6847-I6847)</f>
        <v/>
      </c>
      <c r="I6847" s="8">
        <f>IF(D6847="","",VLOOKUP(D6847, RECETTES!B:G, 6, FALSE)*E6847)</f>
        <v/>
      </c>
      <c r="J6847" s="8">
        <f>IF(G6847="","",G6847*0.20)</f>
        <v/>
      </c>
      <c r="K6847" s="8">
        <f>IF(G6847="","",G6847+J6847)</f>
        <v/>
      </c>
    </row>
    <row r="6848">
      <c r="F6848" s="8" t="n"/>
      <c r="G6848" s="8">
        <f>IF(E6848="","",E6848*F6848)</f>
        <v/>
      </c>
      <c r="H6848" s="8">
        <f>IF(G6848="","",G6848-I6848)</f>
        <v/>
      </c>
      <c r="I6848" s="8">
        <f>IF(D6848="","",VLOOKUP(D6848, RECETTES!B:G, 6, FALSE)*E6848)</f>
        <v/>
      </c>
      <c r="J6848" s="8">
        <f>IF(G6848="","",G6848*0.20)</f>
        <v/>
      </c>
      <c r="K6848" s="8">
        <f>IF(G6848="","",G6848+J6848)</f>
        <v/>
      </c>
    </row>
    <row r="6849">
      <c r="F6849" s="8" t="n"/>
      <c r="G6849" s="8">
        <f>IF(E6849="","",E6849*F6849)</f>
        <v/>
      </c>
      <c r="H6849" s="8">
        <f>IF(G6849="","",G6849-I6849)</f>
        <v/>
      </c>
      <c r="I6849" s="8">
        <f>IF(D6849="","",VLOOKUP(D6849, RECETTES!B:G, 6, FALSE)*E6849)</f>
        <v/>
      </c>
      <c r="J6849" s="8">
        <f>IF(G6849="","",G6849*0.20)</f>
        <v/>
      </c>
      <c r="K6849" s="8">
        <f>IF(G6849="","",G6849+J6849)</f>
        <v/>
      </c>
    </row>
    <row r="6850">
      <c r="F6850" s="8" t="n"/>
      <c r="G6850" s="8">
        <f>IF(E6850="","",E6850*F6850)</f>
        <v/>
      </c>
      <c r="H6850" s="8">
        <f>IF(G6850="","",G6850-I6850)</f>
        <v/>
      </c>
      <c r="I6850" s="8">
        <f>IF(D6850="","",VLOOKUP(D6850, RECETTES!B:G, 6, FALSE)*E6850)</f>
        <v/>
      </c>
      <c r="J6850" s="8">
        <f>IF(G6850="","",G6850*0.20)</f>
        <v/>
      </c>
      <c r="K6850" s="8">
        <f>IF(G6850="","",G6850+J6850)</f>
        <v/>
      </c>
    </row>
    <row r="6851">
      <c r="F6851" s="8" t="n"/>
      <c r="G6851" s="8">
        <f>IF(E6851="","",E6851*F6851)</f>
        <v/>
      </c>
      <c r="H6851" s="8">
        <f>IF(G6851="","",G6851-I6851)</f>
        <v/>
      </c>
      <c r="I6851" s="8">
        <f>IF(D6851="","",VLOOKUP(D6851, RECETTES!B:G, 6, FALSE)*E6851)</f>
        <v/>
      </c>
      <c r="J6851" s="8">
        <f>IF(G6851="","",G6851*0.20)</f>
        <v/>
      </c>
      <c r="K6851" s="8">
        <f>IF(G6851="","",G6851+J6851)</f>
        <v/>
      </c>
    </row>
    <row r="6852">
      <c r="F6852" s="8" t="n"/>
      <c r="G6852" s="8">
        <f>IF(E6852="","",E6852*F6852)</f>
        <v/>
      </c>
      <c r="H6852" s="8">
        <f>IF(G6852="","",G6852-I6852)</f>
        <v/>
      </c>
      <c r="I6852" s="8">
        <f>IF(D6852="","",VLOOKUP(D6852, RECETTES!B:G, 6, FALSE)*E6852)</f>
        <v/>
      </c>
      <c r="J6852" s="8">
        <f>IF(G6852="","",G6852*0.20)</f>
        <v/>
      </c>
      <c r="K6852" s="8">
        <f>IF(G6852="","",G6852+J6852)</f>
        <v/>
      </c>
    </row>
    <row r="6853">
      <c r="F6853" s="8" t="n"/>
      <c r="G6853" s="8">
        <f>IF(E6853="","",E6853*F6853)</f>
        <v/>
      </c>
      <c r="H6853" s="8">
        <f>IF(G6853="","",G6853-I6853)</f>
        <v/>
      </c>
      <c r="I6853" s="8">
        <f>IF(D6853="","",VLOOKUP(D6853, RECETTES!B:G, 6, FALSE)*E6853)</f>
        <v/>
      </c>
      <c r="J6853" s="8">
        <f>IF(G6853="","",G6853*0.20)</f>
        <v/>
      </c>
      <c r="K6853" s="8">
        <f>IF(G6853="","",G6853+J6853)</f>
        <v/>
      </c>
    </row>
    <row r="6854">
      <c r="F6854" s="8" t="n"/>
      <c r="G6854" s="8">
        <f>IF(E6854="","",E6854*F6854)</f>
        <v/>
      </c>
      <c r="H6854" s="8">
        <f>IF(G6854="","",G6854-I6854)</f>
        <v/>
      </c>
      <c r="I6854" s="8">
        <f>IF(D6854="","",VLOOKUP(D6854, RECETTES!B:G, 6, FALSE)*E6854)</f>
        <v/>
      </c>
      <c r="J6854" s="8">
        <f>IF(G6854="","",G6854*0.20)</f>
        <v/>
      </c>
      <c r="K6854" s="8">
        <f>IF(G6854="","",G6854+J6854)</f>
        <v/>
      </c>
    </row>
    <row r="6855">
      <c r="F6855" s="8" t="n"/>
      <c r="G6855" s="8">
        <f>IF(E6855="","",E6855*F6855)</f>
        <v/>
      </c>
      <c r="H6855" s="8">
        <f>IF(G6855="","",G6855-I6855)</f>
        <v/>
      </c>
      <c r="I6855" s="8">
        <f>IF(D6855="","",VLOOKUP(D6855, RECETTES!B:G, 6, FALSE)*E6855)</f>
        <v/>
      </c>
      <c r="J6855" s="8">
        <f>IF(G6855="","",G6855*0.20)</f>
        <v/>
      </c>
      <c r="K6855" s="8">
        <f>IF(G6855="","",G6855+J6855)</f>
        <v/>
      </c>
    </row>
    <row r="6856">
      <c r="F6856" s="8" t="n"/>
      <c r="G6856" s="8">
        <f>IF(E6856="","",E6856*F6856)</f>
        <v/>
      </c>
      <c r="H6856" s="8">
        <f>IF(G6856="","",G6856-I6856)</f>
        <v/>
      </c>
      <c r="I6856" s="8">
        <f>IF(D6856="","",VLOOKUP(D6856, RECETTES!B:G, 6, FALSE)*E6856)</f>
        <v/>
      </c>
      <c r="J6856" s="8">
        <f>IF(G6856="","",G6856*0.20)</f>
        <v/>
      </c>
      <c r="K6856" s="8">
        <f>IF(G6856="","",G6856+J6856)</f>
        <v/>
      </c>
    </row>
    <row r="6857">
      <c r="F6857" s="8" t="n"/>
      <c r="G6857" s="8">
        <f>IF(E6857="","",E6857*F6857)</f>
        <v/>
      </c>
      <c r="H6857" s="8">
        <f>IF(G6857="","",G6857-I6857)</f>
        <v/>
      </c>
      <c r="I6857" s="8">
        <f>IF(D6857="","",VLOOKUP(D6857, RECETTES!B:G, 6, FALSE)*E6857)</f>
        <v/>
      </c>
      <c r="J6857" s="8">
        <f>IF(G6857="","",G6857*0.20)</f>
        <v/>
      </c>
      <c r="K6857" s="8">
        <f>IF(G6857="","",G6857+J6857)</f>
        <v/>
      </c>
    </row>
    <row r="6858">
      <c r="F6858" s="8" t="n"/>
      <c r="G6858" s="8">
        <f>IF(E6858="","",E6858*F6858)</f>
        <v/>
      </c>
      <c r="H6858" s="8">
        <f>IF(G6858="","",G6858-I6858)</f>
        <v/>
      </c>
      <c r="I6858" s="8">
        <f>IF(D6858="","",VLOOKUP(D6858, RECETTES!B:G, 6, FALSE)*E6858)</f>
        <v/>
      </c>
      <c r="J6858" s="8">
        <f>IF(G6858="","",G6858*0.20)</f>
        <v/>
      </c>
      <c r="K6858" s="8">
        <f>IF(G6858="","",G6858+J6858)</f>
        <v/>
      </c>
    </row>
    <row r="6859">
      <c r="F6859" s="8" t="n"/>
      <c r="G6859" s="8">
        <f>IF(E6859="","",E6859*F6859)</f>
        <v/>
      </c>
      <c r="H6859" s="8">
        <f>IF(G6859="","",G6859-I6859)</f>
        <v/>
      </c>
      <c r="I6859" s="8">
        <f>IF(D6859="","",VLOOKUP(D6859, RECETTES!B:G, 6, FALSE)*E6859)</f>
        <v/>
      </c>
      <c r="J6859" s="8">
        <f>IF(G6859="","",G6859*0.20)</f>
        <v/>
      </c>
      <c r="K6859" s="8">
        <f>IF(G6859="","",G6859+J6859)</f>
        <v/>
      </c>
    </row>
    <row r="6860">
      <c r="F6860" s="8" t="n"/>
      <c r="G6860" s="8">
        <f>IF(E6860="","",E6860*F6860)</f>
        <v/>
      </c>
      <c r="H6860" s="8">
        <f>IF(G6860="","",G6860-I6860)</f>
        <v/>
      </c>
      <c r="I6860" s="8">
        <f>IF(D6860="","",VLOOKUP(D6860, RECETTES!B:G, 6, FALSE)*E6860)</f>
        <v/>
      </c>
      <c r="J6860" s="8">
        <f>IF(G6860="","",G6860*0.20)</f>
        <v/>
      </c>
      <c r="K6860" s="8">
        <f>IF(G6860="","",G6860+J6860)</f>
        <v/>
      </c>
    </row>
    <row r="6861">
      <c r="F6861" s="8" t="n"/>
      <c r="G6861" s="8">
        <f>IF(E6861="","",E6861*F6861)</f>
        <v/>
      </c>
      <c r="H6861" s="8">
        <f>IF(G6861="","",G6861-I6861)</f>
        <v/>
      </c>
      <c r="I6861" s="8">
        <f>IF(D6861="","",VLOOKUP(D6861, RECETTES!B:G, 6, FALSE)*E6861)</f>
        <v/>
      </c>
      <c r="J6861" s="8">
        <f>IF(G6861="","",G6861*0.20)</f>
        <v/>
      </c>
      <c r="K6861" s="8">
        <f>IF(G6861="","",G6861+J6861)</f>
        <v/>
      </c>
    </row>
    <row r="6862">
      <c r="F6862" s="8" t="n"/>
      <c r="G6862" s="8">
        <f>IF(E6862="","",E6862*F6862)</f>
        <v/>
      </c>
      <c r="H6862" s="8">
        <f>IF(G6862="","",G6862-I6862)</f>
        <v/>
      </c>
      <c r="I6862" s="8">
        <f>IF(D6862="","",VLOOKUP(D6862, RECETTES!B:G, 6, FALSE)*E6862)</f>
        <v/>
      </c>
      <c r="J6862" s="8">
        <f>IF(G6862="","",G6862*0.20)</f>
        <v/>
      </c>
      <c r="K6862" s="8">
        <f>IF(G6862="","",G6862+J6862)</f>
        <v/>
      </c>
    </row>
    <row r="6863">
      <c r="F6863" s="8" t="n"/>
      <c r="G6863" s="8">
        <f>IF(E6863="","",E6863*F6863)</f>
        <v/>
      </c>
      <c r="H6863" s="8">
        <f>IF(G6863="","",G6863-I6863)</f>
        <v/>
      </c>
      <c r="I6863" s="8">
        <f>IF(D6863="","",VLOOKUP(D6863, RECETTES!B:G, 6, FALSE)*E6863)</f>
        <v/>
      </c>
      <c r="J6863" s="8">
        <f>IF(G6863="","",G6863*0.20)</f>
        <v/>
      </c>
      <c r="K6863" s="8">
        <f>IF(G6863="","",G6863+J6863)</f>
        <v/>
      </c>
    </row>
    <row r="6864">
      <c r="F6864" s="8" t="n"/>
      <c r="G6864" s="8">
        <f>IF(E6864="","",E6864*F6864)</f>
        <v/>
      </c>
      <c r="H6864" s="8">
        <f>IF(G6864="","",G6864-I6864)</f>
        <v/>
      </c>
      <c r="I6864" s="8">
        <f>IF(D6864="","",VLOOKUP(D6864, RECETTES!B:G, 6, FALSE)*E6864)</f>
        <v/>
      </c>
      <c r="J6864" s="8">
        <f>IF(G6864="","",G6864*0.20)</f>
        <v/>
      </c>
      <c r="K6864" s="8">
        <f>IF(G6864="","",G6864+J6864)</f>
        <v/>
      </c>
    </row>
    <row r="6865">
      <c r="F6865" s="8" t="n"/>
      <c r="G6865" s="8">
        <f>IF(E6865="","",E6865*F6865)</f>
        <v/>
      </c>
      <c r="H6865" s="8">
        <f>IF(G6865="","",G6865-I6865)</f>
        <v/>
      </c>
      <c r="I6865" s="8">
        <f>IF(D6865="","",VLOOKUP(D6865, RECETTES!B:G, 6, FALSE)*E6865)</f>
        <v/>
      </c>
      <c r="J6865" s="8">
        <f>IF(G6865="","",G6865*0.20)</f>
        <v/>
      </c>
      <c r="K6865" s="8">
        <f>IF(G6865="","",G6865+J6865)</f>
        <v/>
      </c>
    </row>
    <row r="6866">
      <c r="F6866" s="8" t="n"/>
      <c r="G6866" s="8">
        <f>IF(E6866="","",E6866*F6866)</f>
        <v/>
      </c>
      <c r="H6866" s="8">
        <f>IF(G6866="","",G6866-I6866)</f>
        <v/>
      </c>
      <c r="I6866" s="8">
        <f>IF(D6866="","",VLOOKUP(D6866, RECETTES!B:G, 6, FALSE)*E6866)</f>
        <v/>
      </c>
      <c r="J6866" s="8">
        <f>IF(G6866="","",G6866*0.20)</f>
        <v/>
      </c>
      <c r="K6866" s="8">
        <f>IF(G6866="","",G6866+J6866)</f>
        <v/>
      </c>
    </row>
    <row r="6867">
      <c r="F6867" s="8" t="n"/>
      <c r="G6867" s="8">
        <f>IF(E6867="","",E6867*F6867)</f>
        <v/>
      </c>
      <c r="H6867" s="8">
        <f>IF(G6867="","",G6867-I6867)</f>
        <v/>
      </c>
      <c r="I6867" s="8">
        <f>IF(D6867="","",VLOOKUP(D6867, RECETTES!B:G, 6, FALSE)*E6867)</f>
        <v/>
      </c>
      <c r="J6867" s="8">
        <f>IF(G6867="","",G6867*0.20)</f>
        <v/>
      </c>
      <c r="K6867" s="8">
        <f>IF(G6867="","",G6867+J6867)</f>
        <v/>
      </c>
    </row>
    <row r="6868">
      <c r="F6868" s="8" t="n"/>
      <c r="G6868" s="8">
        <f>IF(E6868="","",E6868*F6868)</f>
        <v/>
      </c>
      <c r="H6868" s="8">
        <f>IF(G6868="","",G6868-I6868)</f>
        <v/>
      </c>
      <c r="I6868" s="8">
        <f>IF(D6868="","",VLOOKUP(D6868, RECETTES!B:G, 6, FALSE)*E6868)</f>
        <v/>
      </c>
      <c r="J6868" s="8">
        <f>IF(G6868="","",G6868*0.20)</f>
        <v/>
      </c>
      <c r="K6868" s="8">
        <f>IF(G6868="","",G6868+J6868)</f>
        <v/>
      </c>
    </row>
    <row r="6869">
      <c r="F6869" s="8" t="n"/>
      <c r="G6869" s="8">
        <f>IF(E6869="","",E6869*F6869)</f>
        <v/>
      </c>
      <c r="H6869" s="8">
        <f>IF(G6869="","",G6869-I6869)</f>
        <v/>
      </c>
      <c r="I6869" s="8">
        <f>IF(D6869="","",VLOOKUP(D6869, RECETTES!B:G, 6, FALSE)*E6869)</f>
        <v/>
      </c>
      <c r="J6869" s="8">
        <f>IF(G6869="","",G6869*0.20)</f>
        <v/>
      </c>
      <c r="K6869" s="8">
        <f>IF(G6869="","",G6869+J6869)</f>
        <v/>
      </c>
    </row>
    <row r="6870">
      <c r="F6870" s="8" t="n"/>
      <c r="G6870" s="8">
        <f>IF(E6870="","",E6870*F6870)</f>
        <v/>
      </c>
      <c r="H6870" s="8">
        <f>IF(G6870="","",G6870-I6870)</f>
        <v/>
      </c>
      <c r="I6870" s="8">
        <f>IF(D6870="","",VLOOKUP(D6870, RECETTES!B:G, 6, FALSE)*E6870)</f>
        <v/>
      </c>
      <c r="J6870" s="8">
        <f>IF(G6870="","",G6870*0.20)</f>
        <v/>
      </c>
      <c r="K6870" s="8">
        <f>IF(G6870="","",G6870+J6870)</f>
        <v/>
      </c>
    </row>
    <row r="6871">
      <c r="F6871" s="8" t="n"/>
      <c r="G6871" s="8">
        <f>IF(E6871="","",E6871*F6871)</f>
        <v/>
      </c>
      <c r="H6871" s="8">
        <f>IF(G6871="","",G6871-I6871)</f>
        <v/>
      </c>
      <c r="I6871" s="8">
        <f>IF(D6871="","",VLOOKUP(D6871, RECETTES!B:G, 6, FALSE)*E6871)</f>
        <v/>
      </c>
      <c r="J6871" s="8">
        <f>IF(G6871="","",G6871*0.20)</f>
        <v/>
      </c>
      <c r="K6871" s="8">
        <f>IF(G6871="","",G6871+J6871)</f>
        <v/>
      </c>
    </row>
    <row r="6872">
      <c r="F6872" s="8" t="n"/>
      <c r="G6872" s="8">
        <f>IF(E6872="","",E6872*F6872)</f>
        <v/>
      </c>
      <c r="H6872" s="8">
        <f>IF(G6872="","",G6872-I6872)</f>
        <v/>
      </c>
      <c r="I6872" s="8">
        <f>IF(D6872="","",VLOOKUP(D6872, RECETTES!B:G, 6, FALSE)*E6872)</f>
        <v/>
      </c>
      <c r="J6872" s="8">
        <f>IF(G6872="","",G6872*0.20)</f>
        <v/>
      </c>
      <c r="K6872" s="8">
        <f>IF(G6872="","",G6872+J6872)</f>
        <v/>
      </c>
    </row>
    <row r="6873">
      <c r="F6873" s="8" t="n"/>
      <c r="G6873" s="8">
        <f>IF(E6873="","",E6873*F6873)</f>
        <v/>
      </c>
      <c r="H6873" s="8">
        <f>IF(G6873="","",G6873-I6873)</f>
        <v/>
      </c>
      <c r="I6873" s="8">
        <f>IF(D6873="","",VLOOKUP(D6873, RECETTES!B:G, 6, FALSE)*E6873)</f>
        <v/>
      </c>
      <c r="J6873" s="8">
        <f>IF(G6873="","",G6873*0.20)</f>
        <v/>
      </c>
      <c r="K6873" s="8">
        <f>IF(G6873="","",G6873+J6873)</f>
        <v/>
      </c>
    </row>
    <row r="6874">
      <c r="F6874" s="8" t="n"/>
      <c r="G6874" s="8">
        <f>IF(E6874="","",E6874*F6874)</f>
        <v/>
      </c>
      <c r="H6874" s="8">
        <f>IF(G6874="","",G6874-I6874)</f>
        <v/>
      </c>
      <c r="I6874" s="8">
        <f>IF(D6874="","",VLOOKUP(D6874, RECETTES!B:G, 6, FALSE)*E6874)</f>
        <v/>
      </c>
      <c r="J6874" s="8">
        <f>IF(G6874="","",G6874*0.20)</f>
        <v/>
      </c>
      <c r="K6874" s="8">
        <f>IF(G6874="","",G6874+J6874)</f>
        <v/>
      </c>
    </row>
    <row r="6875">
      <c r="F6875" s="8" t="n"/>
      <c r="G6875" s="8">
        <f>IF(E6875="","",E6875*F6875)</f>
        <v/>
      </c>
      <c r="H6875" s="8">
        <f>IF(G6875="","",G6875-I6875)</f>
        <v/>
      </c>
      <c r="I6875" s="8">
        <f>IF(D6875="","",VLOOKUP(D6875, RECETTES!B:G, 6, FALSE)*E6875)</f>
        <v/>
      </c>
      <c r="J6875" s="8">
        <f>IF(G6875="","",G6875*0.20)</f>
        <v/>
      </c>
      <c r="K6875" s="8">
        <f>IF(G6875="","",G6875+J6875)</f>
        <v/>
      </c>
    </row>
    <row r="6876">
      <c r="F6876" s="8" t="n"/>
      <c r="G6876" s="8">
        <f>IF(E6876="","",E6876*F6876)</f>
        <v/>
      </c>
      <c r="H6876" s="8">
        <f>IF(G6876="","",G6876-I6876)</f>
        <v/>
      </c>
      <c r="I6876" s="8">
        <f>IF(D6876="","",VLOOKUP(D6876, RECETTES!B:G, 6, FALSE)*E6876)</f>
        <v/>
      </c>
      <c r="J6876" s="8">
        <f>IF(G6876="","",G6876*0.20)</f>
        <v/>
      </c>
      <c r="K6876" s="8">
        <f>IF(G6876="","",G6876+J6876)</f>
        <v/>
      </c>
    </row>
    <row r="6877">
      <c r="F6877" s="8" t="n"/>
      <c r="G6877" s="8">
        <f>IF(E6877="","",E6877*F6877)</f>
        <v/>
      </c>
      <c r="H6877" s="8">
        <f>IF(G6877="","",G6877-I6877)</f>
        <v/>
      </c>
      <c r="I6877" s="8">
        <f>IF(D6877="","",VLOOKUP(D6877, RECETTES!B:G, 6, FALSE)*E6877)</f>
        <v/>
      </c>
      <c r="J6877" s="8">
        <f>IF(G6877="","",G6877*0.20)</f>
        <v/>
      </c>
      <c r="K6877" s="8">
        <f>IF(G6877="","",G6877+J6877)</f>
        <v/>
      </c>
    </row>
    <row r="6878">
      <c r="F6878" s="8" t="n"/>
      <c r="G6878" s="8">
        <f>IF(E6878="","",E6878*F6878)</f>
        <v/>
      </c>
      <c r="H6878" s="8">
        <f>IF(G6878="","",G6878-I6878)</f>
        <v/>
      </c>
      <c r="I6878" s="8">
        <f>IF(D6878="","",VLOOKUP(D6878, RECETTES!B:G, 6, FALSE)*E6878)</f>
        <v/>
      </c>
      <c r="J6878" s="8">
        <f>IF(G6878="","",G6878*0.20)</f>
        <v/>
      </c>
      <c r="K6878" s="8">
        <f>IF(G6878="","",G6878+J6878)</f>
        <v/>
      </c>
    </row>
    <row r="6879">
      <c r="F6879" s="8" t="n"/>
      <c r="G6879" s="8">
        <f>IF(E6879="","",E6879*F6879)</f>
        <v/>
      </c>
      <c r="H6879" s="8">
        <f>IF(G6879="","",G6879-I6879)</f>
        <v/>
      </c>
      <c r="I6879" s="8">
        <f>IF(D6879="","",VLOOKUP(D6879, RECETTES!B:G, 6, FALSE)*E6879)</f>
        <v/>
      </c>
      <c r="J6879" s="8">
        <f>IF(G6879="","",G6879*0.20)</f>
        <v/>
      </c>
      <c r="K6879" s="8">
        <f>IF(G6879="","",G6879+J6879)</f>
        <v/>
      </c>
    </row>
    <row r="6880">
      <c r="F6880" s="8" t="n"/>
      <c r="G6880" s="8">
        <f>IF(E6880="","",E6880*F6880)</f>
        <v/>
      </c>
      <c r="H6880" s="8">
        <f>IF(G6880="","",G6880-I6880)</f>
        <v/>
      </c>
      <c r="I6880" s="8">
        <f>IF(D6880="","",VLOOKUP(D6880, RECETTES!B:G, 6, FALSE)*E6880)</f>
        <v/>
      </c>
      <c r="J6880" s="8">
        <f>IF(G6880="","",G6880*0.20)</f>
        <v/>
      </c>
      <c r="K6880" s="8">
        <f>IF(G6880="","",G6880+J6880)</f>
        <v/>
      </c>
    </row>
    <row r="6881">
      <c r="F6881" s="8" t="n"/>
      <c r="G6881" s="8">
        <f>IF(E6881="","",E6881*F6881)</f>
        <v/>
      </c>
      <c r="H6881" s="8">
        <f>IF(G6881="","",G6881-I6881)</f>
        <v/>
      </c>
      <c r="I6881" s="8">
        <f>IF(D6881="","",VLOOKUP(D6881, RECETTES!B:G, 6, FALSE)*E6881)</f>
        <v/>
      </c>
      <c r="J6881" s="8">
        <f>IF(G6881="","",G6881*0.20)</f>
        <v/>
      </c>
      <c r="K6881" s="8">
        <f>IF(G6881="","",G6881+J6881)</f>
        <v/>
      </c>
    </row>
    <row r="6882">
      <c r="F6882" s="8" t="n"/>
      <c r="G6882" s="8">
        <f>IF(E6882="","",E6882*F6882)</f>
        <v/>
      </c>
      <c r="H6882" s="8">
        <f>IF(G6882="","",G6882-I6882)</f>
        <v/>
      </c>
      <c r="I6882" s="8">
        <f>IF(D6882="","",VLOOKUP(D6882, RECETTES!B:G, 6, FALSE)*E6882)</f>
        <v/>
      </c>
      <c r="J6882" s="8">
        <f>IF(G6882="","",G6882*0.20)</f>
        <v/>
      </c>
      <c r="K6882" s="8">
        <f>IF(G6882="","",G6882+J6882)</f>
        <v/>
      </c>
    </row>
    <row r="6883">
      <c r="F6883" s="8" t="n"/>
      <c r="G6883" s="8">
        <f>IF(E6883="","",E6883*F6883)</f>
        <v/>
      </c>
      <c r="H6883" s="8">
        <f>IF(G6883="","",G6883-I6883)</f>
        <v/>
      </c>
      <c r="I6883" s="8">
        <f>IF(D6883="","",VLOOKUP(D6883, RECETTES!B:G, 6, FALSE)*E6883)</f>
        <v/>
      </c>
      <c r="J6883" s="8">
        <f>IF(G6883="","",G6883*0.20)</f>
        <v/>
      </c>
      <c r="K6883" s="8">
        <f>IF(G6883="","",G6883+J6883)</f>
        <v/>
      </c>
    </row>
    <row r="6884">
      <c r="F6884" s="8" t="n"/>
      <c r="G6884" s="8">
        <f>IF(E6884="","",E6884*F6884)</f>
        <v/>
      </c>
      <c r="H6884" s="8">
        <f>IF(G6884="","",G6884-I6884)</f>
        <v/>
      </c>
      <c r="I6884" s="8">
        <f>IF(D6884="","",VLOOKUP(D6884, RECETTES!B:G, 6, FALSE)*E6884)</f>
        <v/>
      </c>
      <c r="J6884" s="8">
        <f>IF(G6884="","",G6884*0.20)</f>
        <v/>
      </c>
      <c r="K6884" s="8">
        <f>IF(G6884="","",G6884+J6884)</f>
        <v/>
      </c>
    </row>
    <row r="6885">
      <c r="F6885" s="8" t="n"/>
      <c r="G6885" s="8">
        <f>IF(E6885="","",E6885*F6885)</f>
        <v/>
      </c>
      <c r="H6885" s="8">
        <f>IF(G6885="","",G6885-I6885)</f>
        <v/>
      </c>
      <c r="I6885" s="8">
        <f>IF(D6885="","",VLOOKUP(D6885, RECETTES!B:G, 6, FALSE)*E6885)</f>
        <v/>
      </c>
      <c r="J6885" s="8">
        <f>IF(G6885="","",G6885*0.20)</f>
        <v/>
      </c>
      <c r="K6885" s="8">
        <f>IF(G6885="","",G6885+J6885)</f>
        <v/>
      </c>
    </row>
    <row r="6886">
      <c r="F6886" s="8" t="n"/>
      <c r="G6886" s="8">
        <f>IF(E6886="","",E6886*F6886)</f>
        <v/>
      </c>
      <c r="H6886" s="8">
        <f>IF(G6886="","",G6886-I6886)</f>
        <v/>
      </c>
      <c r="I6886" s="8">
        <f>IF(D6886="","",VLOOKUP(D6886, RECETTES!B:G, 6, FALSE)*E6886)</f>
        <v/>
      </c>
      <c r="J6886" s="8">
        <f>IF(G6886="","",G6886*0.20)</f>
        <v/>
      </c>
      <c r="K6886" s="8">
        <f>IF(G6886="","",G6886+J6886)</f>
        <v/>
      </c>
    </row>
    <row r="6887">
      <c r="F6887" s="8" t="n"/>
      <c r="G6887" s="8">
        <f>IF(E6887="","",E6887*F6887)</f>
        <v/>
      </c>
      <c r="H6887" s="8">
        <f>IF(G6887="","",G6887-I6887)</f>
        <v/>
      </c>
      <c r="I6887" s="8">
        <f>IF(D6887="","",VLOOKUP(D6887, RECETTES!B:G, 6, FALSE)*E6887)</f>
        <v/>
      </c>
      <c r="J6887" s="8">
        <f>IF(G6887="","",G6887*0.20)</f>
        <v/>
      </c>
      <c r="K6887" s="8">
        <f>IF(G6887="","",G6887+J6887)</f>
        <v/>
      </c>
    </row>
    <row r="6888">
      <c r="F6888" s="8" t="n"/>
      <c r="G6888" s="8">
        <f>IF(E6888="","",E6888*F6888)</f>
        <v/>
      </c>
      <c r="H6888" s="8">
        <f>IF(G6888="","",G6888-I6888)</f>
        <v/>
      </c>
      <c r="I6888" s="8">
        <f>IF(D6888="","",VLOOKUP(D6888, RECETTES!B:G, 6, FALSE)*E6888)</f>
        <v/>
      </c>
      <c r="J6888" s="8">
        <f>IF(G6888="","",G6888*0.20)</f>
        <v/>
      </c>
      <c r="K6888" s="8">
        <f>IF(G6888="","",G6888+J6888)</f>
        <v/>
      </c>
    </row>
    <row r="6889">
      <c r="F6889" s="8" t="n"/>
      <c r="G6889" s="8">
        <f>IF(E6889="","",E6889*F6889)</f>
        <v/>
      </c>
      <c r="H6889" s="8">
        <f>IF(G6889="","",G6889-I6889)</f>
        <v/>
      </c>
      <c r="I6889" s="8">
        <f>IF(D6889="","",VLOOKUP(D6889, RECETTES!B:G, 6, FALSE)*E6889)</f>
        <v/>
      </c>
      <c r="J6889" s="8">
        <f>IF(G6889="","",G6889*0.20)</f>
        <v/>
      </c>
      <c r="K6889" s="8">
        <f>IF(G6889="","",G6889+J6889)</f>
        <v/>
      </c>
    </row>
    <row r="6890">
      <c r="F6890" s="8" t="n"/>
      <c r="G6890" s="8">
        <f>IF(E6890="","",E6890*F6890)</f>
        <v/>
      </c>
      <c r="H6890" s="8">
        <f>IF(G6890="","",G6890-I6890)</f>
        <v/>
      </c>
      <c r="I6890" s="8">
        <f>IF(D6890="","",VLOOKUP(D6890, RECETTES!B:G, 6, FALSE)*E6890)</f>
        <v/>
      </c>
      <c r="J6890" s="8">
        <f>IF(G6890="","",G6890*0.20)</f>
        <v/>
      </c>
      <c r="K6890" s="8">
        <f>IF(G6890="","",G6890+J6890)</f>
        <v/>
      </c>
    </row>
    <row r="6891">
      <c r="F6891" s="8" t="n"/>
      <c r="G6891" s="8">
        <f>IF(E6891="","",E6891*F6891)</f>
        <v/>
      </c>
      <c r="H6891" s="8">
        <f>IF(G6891="","",G6891-I6891)</f>
        <v/>
      </c>
      <c r="I6891" s="8">
        <f>IF(D6891="","",VLOOKUP(D6891, RECETTES!B:G, 6, FALSE)*E6891)</f>
        <v/>
      </c>
      <c r="J6891" s="8">
        <f>IF(G6891="","",G6891*0.20)</f>
        <v/>
      </c>
      <c r="K6891" s="8">
        <f>IF(G6891="","",G6891+J6891)</f>
        <v/>
      </c>
    </row>
    <row r="6892">
      <c r="F6892" s="8" t="n"/>
      <c r="G6892" s="8">
        <f>IF(E6892="","",E6892*F6892)</f>
        <v/>
      </c>
      <c r="H6892" s="8">
        <f>IF(G6892="","",G6892-I6892)</f>
        <v/>
      </c>
      <c r="I6892" s="8">
        <f>IF(D6892="","",VLOOKUP(D6892, RECETTES!B:G, 6, FALSE)*E6892)</f>
        <v/>
      </c>
      <c r="J6892" s="8">
        <f>IF(G6892="","",G6892*0.20)</f>
        <v/>
      </c>
      <c r="K6892" s="8">
        <f>IF(G6892="","",G6892+J6892)</f>
        <v/>
      </c>
    </row>
    <row r="6893">
      <c r="F6893" s="8" t="n"/>
      <c r="G6893" s="8">
        <f>IF(E6893="","",E6893*F6893)</f>
        <v/>
      </c>
      <c r="H6893" s="8">
        <f>IF(G6893="","",G6893-I6893)</f>
        <v/>
      </c>
      <c r="I6893" s="8">
        <f>IF(D6893="","",VLOOKUP(D6893, RECETTES!B:G, 6, FALSE)*E6893)</f>
        <v/>
      </c>
      <c r="J6893" s="8">
        <f>IF(G6893="","",G6893*0.20)</f>
        <v/>
      </c>
      <c r="K6893" s="8">
        <f>IF(G6893="","",G6893+J6893)</f>
        <v/>
      </c>
    </row>
    <row r="6894">
      <c r="F6894" s="8" t="n"/>
      <c r="G6894" s="8">
        <f>IF(E6894="","",E6894*F6894)</f>
        <v/>
      </c>
      <c r="H6894" s="8">
        <f>IF(G6894="","",G6894-I6894)</f>
        <v/>
      </c>
      <c r="I6894" s="8">
        <f>IF(D6894="","",VLOOKUP(D6894, RECETTES!B:G, 6, FALSE)*E6894)</f>
        <v/>
      </c>
      <c r="J6894" s="8">
        <f>IF(G6894="","",G6894*0.20)</f>
        <v/>
      </c>
      <c r="K6894" s="8">
        <f>IF(G6894="","",G6894+J6894)</f>
        <v/>
      </c>
    </row>
    <row r="6895">
      <c r="F6895" s="8" t="n"/>
      <c r="G6895" s="8">
        <f>IF(E6895="","",E6895*F6895)</f>
        <v/>
      </c>
      <c r="H6895" s="8">
        <f>IF(G6895="","",G6895-I6895)</f>
        <v/>
      </c>
      <c r="I6895" s="8">
        <f>IF(D6895="","",VLOOKUP(D6895, RECETTES!B:G, 6, FALSE)*E6895)</f>
        <v/>
      </c>
      <c r="J6895" s="8">
        <f>IF(G6895="","",G6895*0.20)</f>
        <v/>
      </c>
      <c r="K6895" s="8">
        <f>IF(G6895="","",G6895+J6895)</f>
        <v/>
      </c>
    </row>
    <row r="6896">
      <c r="F6896" s="8" t="n"/>
      <c r="G6896" s="8">
        <f>IF(E6896="","",E6896*F6896)</f>
        <v/>
      </c>
      <c r="H6896" s="8">
        <f>IF(G6896="","",G6896-I6896)</f>
        <v/>
      </c>
      <c r="I6896" s="8">
        <f>IF(D6896="","",VLOOKUP(D6896, RECETTES!B:G, 6, FALSE)*E6896)</f>
        <v/>
      </c>
      <c r="J6896" s="8">
        <f>IF(G6896="","",G6896*0.20)</f>
        <v/>
      </c>
      <c r="K6896" s="8">
        <f>IF(G6896="","",G6896+J6896)</f>
        <v/>
      </c>
    </row>
    <row r="6897">
      <c r="F6897" s="8" t="n"/>
      <c r="G6897" s="8">
        <f>IF(E6897="","",E6897*F6897)</f>
        <v/>
      </c>
      <c r="H6897" s="8">
        <f>IF(G6897="","",G6897-I6897)</f>
        <v/>
      </c>
      <c r="I6897" s="8">
        <f>IF(D6897="","",VLOOKUP(D6897, RECETTES!B:G, 6, FALSE)*E6897)</f>
        <v/>
      </c>
      <c r="J6897" s="8">
        <f>IF(G6897="","",G6897*0.20)</f>
        <v/>
      </c>
      <c r="K6897" s="8">
        <f>IF(G6897="","",G6897+J6897)</f>
        <v/>
      </c>
    </row>
    <row r="6898">
      <c r="F6898" s="8" t="n"/>
      <c r="G6898" s="8">
        <f>IF(E6898="","",E6898*F6898)</f>
        <v/>
      </c>
      <c r="H6898" s="8">
        <f>IF(G6898="","",G6898-I6898)</f>
        <v/>
      </c>
      <c r="I6898" s="8">
        <f>IF(D6898="","",VLOOKUP(D6898, RECETTES!B:G, 6, FALSE)*E6898)</f>
        <v/>
      </c>
      <c r="J6898" s="8">
        <f>IF(G6898="","",G6898*0.20)</f>
        <v/>
      </c>
      <c r="K6898" s="8">
        <f>IF(G6898="","",G6898+J6898)</f>
        <v/>
      </c>
    </row>
    <row r="6899">
      <c r="F6899" s="8" t="n"/>
      <c r="G6899" s="8">
        <f>IF(E6899="","",E6899*F6899)</f>
        <v/>
      </c>
      <c r="H6899" s="8">
        <f>IF(G6899="","",G6899-I6899)</f>
        <v/>
      </c>
      <c r="I6899" s="8">
        <f>IF(D6899="","",VLOOKUP(D6899, RECETTES!B:G, 6, FALSE)*E6899)</f>
        <v/>
      </c>
      <c r="J6899" s="8">
        <f>IF(G6899="","",G6899*0.20)</f>
        <v/>
      </c>
      <c r="K6899" s="8">
        <f>IF(G6899="","",G6899+J6899)</f>
        <v/>
      </c>
    </row>
    <row r="6900">
      <c r="F6900" s="8" t="n"/>
      <c r="G6900" s="8">
        <f>IF(E6900="","",E6900*F6900)</f>
        <v/>
      </c>
      <c r="H6900" s="8">
        <f>IF(G6900="","",G6900-I6900)</f>
        <v/>
      </c>
      <c r="I6900" s="8">
        <f>IF(D6900="","",VLOOKUP(D6900, RECETTES!B:G, 6, FALSE)*E6900)</f>
        <v/>
      </c>
      <c r="J6900" s="8">
        <f>IF(G6900="","",G6900*0.20)</f>
        <v/>
      </c>
      <c r="K6900" s="8">
        <f>IF(G6900="","",G6900+J6900)</f>
        <v/>
      </c>
    </row>
    <row r="6901">
      <c r="F6901" s="8" t="n"/>
      <c r="G6901" s="8">
        <f>IF(E6901="","",E6901*F6901)</f>
        <v/>
      </c>
      <c r="H6901" s="8">
        <f>IF(G6901="","",G6901-I6901)</f>
        <v/>
      </c>
      <c r="I6901" s="8">
        <f>IF(D6901="","",VLOOKUP(D6901, RECETTES!B:G, 6, FALSE)*E6901)</f>
        <v/>
      </c>
      <c r="J6901" s="8">
        <f>IF(G6901="","",G6901*0.20)</f>
        <v/>
      </c>
      <c r="K6901" s="8">
        <f>IF(G6901="","",G6901+J6901)</f>
        <v/>
      </c>
    </row>
    <row r="6902">
      <c r="F6902" s="8" t="n"/>
      <c r="G6902" s="8">
        <f>IF(E6902="","",E6902*F6902)</f>
        <v/>
      </c>
      <c r="H6902" s="8">
        <f>IF(G6902="","",G6902-I6902)</f>
        <v/>
      </c>
      <c r="I6902" s="8">
        <f>IF(D6902="","",VLOOKUP(D6902, RECETTES!B:G, 6, FALSE)*E6902)</f>
        <v/>
      </c>
      <c r="J6902" s="8">
        <f>IF(G6902="","",G6902*0.20)</f>
        <v/>
      </c>
      <c r="K6902" s="8">
        <f>IF(G6902="","",G6902+J6902)</f>
        <v/>
      </c>
    </row>
    <row r="6903">
      <c r="F6903" s="8" t="n"/>
      <c r="G6903" s="8">
        <f>IF(E6903="","",E6903*F6903)</f>
        <v/>
      </c>
      <c r="H6903" s="8">
        <f>IF(G6903="","",G6903-I6903)</f>
        <v/>
      </c>
      <c r="I6903" s="8">
        <f>IF(D6903="","",VLOOKUP(D6903, RECETTES!B:G, 6, FALSE)*E6903)</f>
        <v/>
      </c>
      <c r="J6903" s="8">
        <f>IF(G6903="","",G6903*0.20)</f>
        <v/>
      </c>
      <c r="K6903" s="8">
        <f>IF(G6903="","",G6903+J6903)</f>
        <v/>
      </c>
    </row>
    <row r="6904">
      <c r="F6904" s="8" t="n"/>
      <c r="G6904" s="8">
        <f>IF(E6904="","",E6904*F6904)</f>
        <v/>
      </c>
      <c r="H6904" s="8">
        <f>IF(G6904="","",G6904-I6904)</f>
        <v/>
      </c>
      <c r="I6904" s="8">
        <f>IF(D6904="","",VLOOKUP(D6904, RECETTES!B:G, 6, FALSE)*E6904)</f>
        <v/>
      </c>
      <c r="J6904" s="8">
        <f>IF(G6904="","",G6904*0.20)</f>
        <v/>
      </c>
      <c r="K6904" s="8">
        <f>IF(G6904="","",G6904+J6904)</f>
        <v/>
      </c>
    </row>
    <row r="6905">
      <c r="F6905" s="8" t="n"/>
      <c r="G6905" s="8">
        <f>IF(E6905="","",E6905*F6905)</f>
        <v/>
      </c>
      <c r="H6905" s="8">
        <f>IF(G6905="","",G6905-I6905)</f>
        <v/>
      </c>
      <c r="I6905" s="8">
        <f>IF(D6905="","",VLOOKUP(D6905, RECETTES!B:G, 6, FALSE)*E6905)</f>
        <v/>
      </c>
      <c r="J6905" s="8">
        <f>IF(G6905="","",G6905*0.20)</f>
        <v/>
      </c>
      <c r="K6905" s="8">
        <f>IF(G6905="","",G6905+J6905)</f>
        <v/>
      </c>
    </row>
    <row r="6906">
      <c r="F6906" s="8" t="n"/>
      <c r="G6906" s="8">
        <f>IF(E6906="","",E6906*F6906)</f>
        <v/>
      </c>
      <c r="H6906" s="8">
        <f>IF(G6906="","",G6906-I6906)</f>
        <v/>
      </c>
      <c r="I6906" s="8">
        <f>IF(D6906="","",VLOOKUP(D6906, RECETTES!B:G, 6, FALSE)*E6906)</f>
        <v/>
      </c>
      <c r="J6906" s="8">
        <f>IF(G6906="","",G6906*0.20)</f>
        <v/>
      </c>
      <c r="K6906" s="8">
        <f>IF(G6906="","",G6906+J6906)</f>
        <v/>
      </c>
    </row>
    <row r="6907">
      <c r="F6907" s="8" t="n"/>
      <c r="G6907" s="8">
        <f>IF(E6907="","",E6907*F6907)</f>
        <v/>
      </c>
      <c r="H6907" s="8">
        <f>IF(G6907="","",G6907-I6907)</f>
        <v/>
      </c>
      <c r="I6907" s="8">
        <f>IF(D6907="","",VLOOKUP(D6907, RECETTES!B:G, 6, FALSE)*E6907)</f>
        <v/>
      </c>
      <c r="J6907" s="8">
        <f>IF(G6907="","",G6907*0.20)</f>
        <v/>
      </c>
      <c r="K6907" s="8">
        <f>IF(G6907="","",G6907+J6907)</f>
        <v/>
      </c>
    </row>
    <row r="6908">
      <c r="F6908" s="8" t="n"/>
      <c r="G6908" s="8">
        <f>IF(E6908="","",E6908*F6908)</f>
        <v/>
      </c>
      <c r="H6908" s="8">
        <f>IF(G6908="","",G6908-I6908)</f>
        <v/>
      </c>
      <c r="I6908" s="8">
        <f>IF(D6908="","",VLOOKUP(D6908, RECETTES!B:G, 6, FALSE)*E6908)</f>
        <v/>
      </c>
      <c r="J6908" s="8">
        <f>IF(G6908="","",G6908*0.20)</f>
        <v/>
      </c>
      <c r="K6908" s="8">
        <f>IF(G6908="","",G6908+J6908)</f>
        <v/>
      </c>
    </row>
    <row r="6909">
      <c r="F6909" s="8" t="n"/>
      <c r="G6909" s="8">
        <f>IF(E6909="","",E6909*F6909)</f>
        <v/>
      </c>
      <c r="H6909" s="8">
        <f>IF(G6909="","",G6909-I6909)</f>
        <v/>
      </c>
      <c r="I6909" s="8">
        <f>IF(D6909="","",VLOOKUP(D6909, RECETTES!B:G, 6, FALSE)*E6909)</f>
        <v/>
      </c>
      <c r="J6909" s="8">
        <f>IF(G6909="","",G6909*0.20)</f>
        <v/>
      </c>
      <c r="K6909" s="8">
        <f>IF(G6909="","",G6909+J6909)</f>
        <v/>
      </c>
    </row>
    <row r="6910">
      <c r="F6910" s="8" t="n"/>
      <c r="G6910" s="8">
        <f>IF(E6910="","",E6910*F6910)</f>
        <v/>
      </c>
      <c r="H6910" s="8">
        <f>IF(G6910="","",G6910-I6910)</f>
        <v/>
      </c>
      <c r="I6910" s="8">
        <f>IF(D6910="","",VLOOKUP(D6910, RECETTES!B:G, 6, FALSE)*E6910)</f>
        <v/>
      </c>
      <c r="J6910" s="8">
        <f>IF(G6910="","",G6910*0.20)</f>
        <v/>
      </c>
      <c r="K6910" s="8">
        <f>IF(G6910="","",G6910+J6910)</f>
        <v/>
      </c>
    </row>
    <row r="6911">
      <c r="F6911" s="8" t="n"/>
      <c r="G6911" s="8">
        <f>IF(E6911="","",E6911*F6911)</f>
        <v/>
      </c>
      <c r="H6911" s="8">
        <f>IF(G6911="","",G6911-I6911)</f>
        <v/>
      </c>
      <c r="I6911" s="8">
        <f>IF(D6911="","",VLOOKUP(D6911, RECETTES!B:G, 6, FALSE)*E6911)</f>
        <v/>
      </c>
      <c r="J6911" s="8">
        <f>IF(G6911="","",G6911*0.20)</f>
        <v/>
      </c>
      <c r="K6911" s="8">
        <f>IF(G6911="","",G6911+J6911)</f>
        <v/>
      </c>
    </row>
    <row r="6912">
      <c r="F6912" s="8" t="n"/>
      <c r="G6912" s="8">
        <f>IF(E6912="","",E6912*F6912)</f>
        <v/>
      </c>
      <c r="H6912" s="8">
        <f>IF(G6912="","",G6912-I6912)</f>
        <v/>
      </c>
      <c r="I6912" s="8">
        <f>IF(D6912="","",VLOOKUP(D6912, RECETTES!B:G, 6, FALSE)*E6912)</f>
        <v/>
      </c>
      <c r="J6912" s="8">
        <f>IF(G6912="","",G6912*0.20)</f>
        <v/>
      </c>
      <c r="K6912" s="8">
        <f>IF(G6912="","",G6912+J6912)</f>
        <v/>
      </c>
    </row>
    <row r="6913">
      <c r="F6913" s="8" t="n"/>
      <c r="G6913" s="8">
        <f>IF(E6913="","",E6913*F6913)</f>
        <v/>
      </c>
      <c r="H6913" s="8">
        <f>IF(G6913="","",G6913-I6913)</f>
        <v/>
      </c>
      <c r="I6913" s="8">
        <f>IF(D6913="","",VLOOKUP(D6913, RECETTES!B:G, 6, FALSE)*E6913)</f>
        <v/>
      </c>
      <c r="J6913" s="8">
        <f>IF(G6913="","",G6913*0.20)</f>
        <v/>
      </c>
      <c r="K6913" s="8">
        <f>IF(G6913="","",G6913+J6913)</f>
        <v/>
      </c>
    </row>
    <row r="6914">
      <c r="F6914" s="8" t="n"/>
      <c r="G6914" s="8">
        <f>IF(E6914="","",E6914*F6914)</f>
        <v/>
      </c>
      <c r="H6914" s="8">
        <f>IF(G6914="","",G6914-I6914)</f>
        <v/>
      </c>
      <c r="I6914" s="8">
        <f>IF(D6914="","",VLOOKUP(D6914, RECETTES!B:G, 6, FALSE)*E6914)</f>
        <v/>
      </c>
      <c r="J6914" s="8">
        <f>IF(G6914="","",G6914*0.20)</f>
        <v/>
      </c>
      <c r="K6914" s="8">
        <f>IF(G6914="","",G6914+J6914)</f>
        <v/>
      </c>
    </row>
    <row r="6915">
      <c r="F6915" s="8" t="n"/>
      <c r="G6915" s="8">
        <f>IF(E6915="","",E6915*F6915)</f>
        <v/>
      </c>
      <c r="H6915" s="8">
        <f>IF(G6915="","",G6915-I6915)</f>
        <v/>
      </c>
      <c r="I6915" s="8">
        <f>IF(D6915="","",VLOOKUP(D6915, RECETTES!B:G, 6, FALSE)*E6915)</f>
        <v/>
      </c>
      <c r="J6915" s="8">
        <f>IF(G6915="","",G6915*0.20)</f>
        <v/>
      </c>
      <c r="K6915" s="8">
        <f>IF(G6915="","",G6915+J6915)</f>
        <v/>
      </c>
    </row>
    <row r="6916">
      <c r="F6916" s="8" t="n"/>
      <c r="G6916" s="8">
        <f>IF(E6916="","",E6916*F6916)</f>
        <v/>
      </c>
      <c r="H6916" s="8">
        <f>IF(G6916="","",G6916-I6916)</f>
        <v/>
      </c>
      <c r="I6916" s="8">
        <f>IF(D6916="","",VLOOKUP(D6916, RECETTES!B:G, 6, FALSE)*E6916)</f>
        <v/>
      </c>
      <c r="J6916" s="8">
        <f>IF(G6916="","",G6916*0.20)</f>
        <v/>
      </c>
      <c r="K6916" s="8">
        <f>IF(G6916="","",G6916+J6916)</f>
        <v/>
      </c>
    </row>
    <row r="6917">
      <c r="F6917" s="8" t="n"/>
      <c r="G6917" s="8">
        <f>IF(E6917="","",E6917*F6917)</f>
        <v/>
      </c>
      <c r="H6917" s="8">
        <f>IF(G6917="","",G6917-I6917)</f>
        <v/>
      </c>
      <c r="I6917" s="8">
        <f>IF(D6917="","",VLOOKUP(D6917, RECETTES!B:G, 6, FALSE)*E6917)</f>
        <v/>
      </c>
      <c r="J6917" s="8">
        <f>IF(G6917="","",G6917*0.20)</f>
        <v/>
      </c>
      <c r="K6917" s="8">
        <f>IF(G6917="","",G6917+J6917)</f>
        <v/>
      </c>
    </row>
    <row r="6918">
      <c r="F6918" s="8" t="n"/>
      <c r="G6918" s="8">
        <f>IF(E6918="","",E6918*F6918)</f>
        <v/>
      </c>
      <c r="H6918" s="8">
        <f>IF(G6918="","",G6918-I6918)</f>
        <v/>
      </c>
      <c r="I6918" s="8">
        <f>IF(D6918="","",VLOOKUP(D6918, RECETTES!B:G, 6, FALSE)*E6918)</f>
        <v/>
      </c>
      <c r="J6918" s="8">
        <f>IF(G6918="","",G6918*0.20)</f>
        <v/>
      </c>
      <c r="K6918" s="8">
        <f>IF(G6918="","",G6918+J6918)</f>
        <v/>
      </c>
    </row>
    <row r="6919">
      <c r="F6919" s="8" t="n"/>
      <c r="G6919" s="8">
        <f>IF(E6919="","",E6919*F6919)</f>
        <v/>
      </c>
      <c r="H6919" s="8">
        <f>IF(G6919="","",G6919-I6919)</f>
        <v/>
      </c>
      <c r="I6919" s="8">
        <f>IF(D6919="","",VLOOKUP(D6919, RECETTES!B:G, 6, FALSE)*E6919)</f>
        <v/>
      </c>
      <c r="J6919" s="8">
        <f>IF(G6919="","",G6919*0.20)</f>
        <v/>
      </c>
      <c r="K6919" s="8">
        <f>IF(G6919="","",G6919+J6919)</f>
        <v/>
      </c>
    </row>
    <row r="6920">
      <c r="F6920" s="8" t="n"/>
      <c r="G6920" s="8">
        <f>IF(E6920="","",E6920*F6920)</f>
        <v/>
      </c>
      <c r="H6920" s="8">
        <f>IF(G6920="","",G6920-I6920)</f>
        <v/>
      </c>
      <c r="I6920" s="8">
        <f>IF(D6920="","",VLOOKUP(D6920, RECETTES!B:G, 6, FALSE)*E6920)</f>
        <v/>
      </c>
      <c r="J6920" s="8">
        <f>IF(G6920="","",G6920*0.20)</f>
        <v/>
      </c>
      <c r="K6920" s="8">
        <f>IF(G6920="","",G6920+J6920)</f>
        <v/>
      </c>
    </row>
    <row r="6921">
      <c r="F6921" s="8" t="n"/>
      <c r="G6921" s="8">
        <f>IF(E6921="","",E6921*F6921)</f>
        <v/>
      </c>
      <c r="H6921" s="8">
        <f>IF(G6921="","",G6921-I6921)</f>
        <v/>
      </c>
      <c r="I6921" s="8">
        <f>IF(D6921="","",VLOOKUP(D6921, RECETTES!B:G, 6, FALSE)*E6921)</f>
        <v/>
      </c>
      <c r="J6921" s="8">
        <f>IF(G6921="","",G6921*0.20)</f>
        <v/>
      </c>
      <c r="K6921" s="8">
        <f>IF(G6921="","",G6921+J6921)</f>
        <v/>
      </c>
    </row>
    <row r="6922">
      <c r="F6922" s="8" t="n"/>
      <c r="G6922" s="8">
        <f>IF(E6922="","",E6922*F6922)</f>
        <v/>
      </c>
      <c r="H6922" s="8">
        <f>IF(G6922="","",G6922-I6922)</f>
        <v/>
      </c>
      <c r="I6922" s="8">
        <f>IF(D6922="","",VLOOKUP(D6922, RECETTES!B:G, 6, FALSE)*E6922)</f>
        <v/>
      </c>
      <c r="J6922" s="8">
        <f>IF(G6922="","",G6922*0.20)</f>
        <v/>
      </c>
      <c r="K6922" s="8">
        <f>IF(G6922="","",G6922+J6922)</f>
        <v/>
      </c>
    </row>
    <row r="6923">
      <c r="F6923" s="8" t="n"/>
      <c r="G6923" s="8">
        <f>IF(E6923="","",E6923*F6923)</f>
        <v/>
      </c>
      <c r="H6923" s="8">
        <f>IF(G6923="","",G6923-I6923)</f>
        <v/>
      </c>
      <c r="I6923" s="8">
        <f>IF(D6923="","",VLOOKUP(D6923, RECETTES!B:G, 6, FALSE)*E6923)</f>
        <v/>
      </c>
      <c r="J6923" s="8">
        <f>IF(G6923="","",G6923*0.20)</f>
        <v/>
      </c>
      <c r="K6923" s="8">
        <f>IF(G6923="","",G6923+J6923)</f>
        <v/>
      </c>
    </row>
    <row r="6924">
      <c r="F6924" s="8" t="n"/>
      <c r="G6924" s="8">
        <f>IF(E6924="","",E6924*F6924)</f>
        <v/>
      </c>
      <c r="H6924" s="8">
        <f>IF(G6924="","",G6924-I6924)</f>
        <v/>
      </c>
      <c r="I6924" s="8">
        <f>IF(D6924="","",VLOOKUP(D6924, RECETTES!B:G, 6, FALSE)*E6924)</f>
        <v/>
      </c>
      <c r="J6924" s="8">
        <f>IF(G6924="","",G6924*0.20)</f>
        <v/>
      </c>
      <c r="K6924" s="8">
        <f>IF(G6924="","",G6924+J6924)</f>
        <v/>
      </c>
    </row>
    <row r="6925">
      <c r="F6925" s="8" t="n"/>
      <c r="G6925" s="8">
        <f>IF(E6925="","",E6925*F6925)</f>
        <v/>
      </c>
      <c r="H6925" s="8">
        <f>IF(G6925="","",G6925-I6925)</f>
        <v/>
      </c>
      <c r="I6925" s="8">
        <f>IF(D6925="","",VLOOKUP(D6925, RECETTES!B:G, 6, FALSE)*E6925)</f>
        <v/>
      </c>
      <c r="J6925" s="8">
        <f>IF(G6925="","",G6925*0.20)</f>
        <v/>
      </c>
      <c r="K6925" s="8">
        <f>IF(G6925="","",G6925+J6925)</f>
        <v/>
      </c>
    </row>
    <row r="6926">
      <c r="F6926" s="8" t="n"/>
      <c r="G6926" s="8">
        <f>IF(E6926="","",E6926*F6926)</f>
        <v/>
      </c>
      <c r="H6926" s="8">
        <f>IF(G6926="","",G6926-I6926)</f>
        <v/>
      </c>
      <c r="I6926" s="8">
        <f>IF(D6926="","",VLOOKUP(D6926, RECETTES!B:G, 6, FALSE)*E6926)</f>
        <v/>
      </c>
      <c r="J6926" s="8">
        <f>IF(G6926="","",G6926*0.20)</f>
        <v/>
      </c>
      <c r="K6926" s="8">
        <f>IF(G6926="","",G6926+J6926)</f>
        <v/>
      </c>
    </row>
    <row r="6927">
      <c r="F6927" s="8" t="n"/>
      <c r="G6927" s="8">
        <f>IF(E6927="","",E6927*F6927)</f>
        <v/>
      </c>
      <c r="H6927" s="8">
        <f>IF(G6927="","",G6927-I6927)</f>
        <v/>
      </c>
      <c r="I6927" s="8">
        <f>IF(D6927="","",VLOOKUP(D6927, RECETTES!B:G, 6, FALSE)*E6927)</f>
        <v/>
      </c>
      <c r="J6927" s="8">
        <f>IF(G6927="","",G6927*0.20)</f>
        <v/>
      </c>
      <c r="K6927" s="8">
        <f>IF(G6927="","",G6927+J6927)</f>
        <v/>
      </c>
    </row>
    <row r="6928">
      <c r="F6928" s="8" t="n"/>
      <c r="G6928" s="8">
        <f>IF(E6928="","",E6928*F6928)</f>
        <v/>
      </c>
      <c r="H6928" s="8">
        <f>IF(G6928="","",G6928-I6928)</f>
        <v/>
      </c>
      <c r="I6928" s="8">
        <f>IF(D6928="","",VLOOKUP(D6928, RECETTES!B:G, 6, FALSE)*E6928)</f>
        <v/>
      </c>
      <c r="J6928" s="8">
        <f>IF(G6928="","",G6928*0.20)</f>
        <v/>
      </c>
      <c r="K6928" s="8">
        <f>IF(G6928="","",G6928+J6928)</f>
        <v/>
      </c>
    </row>
    <row r="6929">
      <c r="F6929" s="8" t="n"/>
      <c r="G6929" s="8">
        <f>IF(E6929="","",E6929*F6929)</f>
        <v/>
      </c>
      <c r="H6929" s="8">
        <f>IF(G6929="","",G6929-I6929)</f>
        <v/>
      </c>
      <c r="I6929" s="8">
        <f>IF(D6929="","",VLOOKUP(D6929, RECETTES!B:G, 6, FALSE)*E6929)</f>
        <v/>
      </c>
      <c r="J6929" s="8">
        <f>IF(G6929="","",G6929*0.20)</f>
        <v/>
      </c>
      <c r="K6929" s="8">
        <f>IF(G6929="","",G6929+J6929)</f>
        <v/>
      </c>
    </row>
    <row r="6930">
      <c r="F6930" s="8" t="n"/>
      <c r="G6930" s="8">
        <f>IF(E6930="","",E6930*F6930)</f>
        <v/>
      </c>
      <c r="H6930" s="8">
        <f>IF(G6930="","",G6930-I6930)</f>
        <v/>
      </c>
      <c r="I6930" s="8">
        <f>IF(D6930="","",VLOOKUP(D6930, RECETTES!B:G, 6, FALSE)*E6930)</f>
        <v/>
      </c>
      <c r="J6930" s="8">
        <f>IF(G6930="","",G6930*0.20)</f>
        <v/>
      </c>
      <c r="K6930" s="8">
        <f>IF(G6930="","",G6930+J6930)</f>
        <v/>
      </c>
    </row>
    <row r="6931">
      <c r="F6931" s="8" t="n"/>
      <c r="G6931" s="8">
        <f>IF(E6931="","",E6931*F6931)</f>
        <v/>
      </c>
      <c r="H6931" s="8">
        <f>IF(G6931="","",G6931-I6931)</f>
        <v/>
      </c>
      <c r="I6931" s="8">
        <f>IF(D6931="","",VLOOKUP(D6931, RECETTES!B:G, 6, FALSE)*E6931)</f>
        <v/>
      </c>
      <c r="J6931" s="8">
        <f>IF(G6931="","",G6931*0.20)</f>
        <v/>
      </c>
      <c r="K6931" s="8">
        <f>IF(G6931="","",G6931+J6931)</f>
        <v/>
      </c>
    </row>
    <row r="6932">
      <c r="F6932" s="8" t="n"/>
      <c r="G6932" s="8">
        <f>IF(E6932="","",E6932*F6932)</f>
        <v/>
      </c>
      <c r="H6932" s="8">
        <f>IF(G6932="","",G6932-I6932)</f>
        <v/>
      </c>
      <c r="I6932" s="8">
        <f>IF(D6932="","",VLOOKUP(D6932, RECETTES!B:G, 6, FALSE)*E6932)</f>
        <v/>
      </c>
      <c r="J6932" s="8">
        <f>IF(G6932="","",G6932*0.20)</f>
        <v/>
      </c>
      <c r="K6932" s="8">
        <f>IF(G6932="","",G6932+J6932)</f>
        <v/>
      </c>
    </row>
    <row r="6933">
      <c r="F6933" s="8" t="n"/>
      <c r="G6933" s="8">
        <f>IF(E6933="","",E6933*F6933)</f>
        <v/>
      </c>
      <c r="H6933" s="8">
        <f>IF(G6933="","",G6933-I6933)</f>
        <v/>
      </c>
      <c r="I6933" s="8">
        <f>IF(D6933="","",VLOOKUP(D6933, RECETTES!B:G, 6, FALSE)*E6933)</f>
        <v/>
      </c>
      <c r="J6933" s="8">
        <f>IF(G6933="","",G6933*0.20)</f>
        <v/>
      </c>
      <c r="K6933" s="8">
        <f>IF(G6933="","",G6933+J6933)</f>
        <v/>
      </c>
    </row>
    <row r="6934">
      <c r="F6934" s="8" t="n"/>
      <c r="G6934" s="8">
        <f>IF(E6934="","",E6934*F6934)</f>
        <v/>
      </c>
      <c r="H6934" s="8">
        <f>IF(G6934="","",G6934-I6934)</f>
        <v/>
      </c>
      <c r="I6934" s="8">
        <f>IF(D6934="","",VLOOKUP(D6934, RECETTES!B:G, 6, FALSE)*E6934)</f>
        <v/>
      </c>
      <c r="J6934" s="8">
        <f>IF(G6934="","",G6934*0.20)</f>
        <v/>
      </c>
      <c r="K6934" s="8">
        <f>IF(G6934="","",G6934+J6934)</f>
        <v/>
      </c>
    </row>
    <row r="6935">
      <c r="F6935" s="8" t="n"/>
      <c r="G6935" s="8">
        <f>IF(E6935="","",E6935*F6935)</f>
        <v/>
      </c>
      <c r="H6935" s="8">
        <f>IF(G6935="","",G6935-I6935)</f>
        <v/>
      </c>
      <c r="I6935" s="8">
        <f>IF(D6935="","",VLOOKUP(D6935, RECETTES!B:G, 6, FALSE)*E6935)</f>
        <v/>
      </c>
      <c r="J6935" s="8">
        <f>IF(G6935="","",G6935*0.20)</f>
        <v/>
      </c>
      <c r="K6935" s="8">
        <f>IF(G6935="","",G6935+J6935)</f>
        <v/>
      </c>
    </row>
    <row r="6936">
      <c r="F6936" s="8" t="n"/>
      <c r="G6936" s="8">
        <f>IF(E6936="","",E6936*F6936)</f>
        <v/>
      </c>
      <c r="H6936" s="8">
        <f>IF(G6936="","",G6936-I6936)</f>
        <v/>
      </c>
      <c r="I6936" s="8">
        <f>IF(D6936="","",VLOOKUP(D6936, RECETTES!B:G, 6, FALSE)*E6936)</f>
        <v/>
      </c>
      <c r="J6936" s="8">
        <f>IF(G6936="","",G6936*0.20)</f>
        <v/>
      </c>
      <c r="K6936" s="8">
        <f>IF(G6936="","",G6936+J6936)</f>
        <v/>
      </c>
    </row>
    <row r="6937">
      <c r="F6937" s="8" t="n"/>
      <c r="G6937" s="8">
        <f>IF(E6937="","",E6937*F6937)</f>
        <v/>
      </c>
      <c r="H6937" s="8">
        <f>IF(G6937="","",G6937-I6937)</f>
        <v/>
      </c>
      <c r="I6937" s="8">
        <f>IF(D6937="","",VLOOKUP(D6937, RECETTES!B:G, 6, FALSE)*E6937)</f>
        <v/>
      </c>
      <c r="J6937" s="8">
        <f>IF(G6937="","",G6937*0.20)</f>
        <v/>
      </c>
      <c r="K6937" s="8">
        <f>IF(G6937="","",G6937+J6937)</f>
        <v/>
      </c>
    </row>
    <row r="6938">
      <c r="F6938" s="8" t="n"/>
      <c r="G6938" s="8">
        <f>IF(E6938="","",E6938*F6938)</f>
        <v/>
      </c>
      <c r="H6938" s="8">
        <f>IF(G6938="","",G6938-I6938)</f>
        <v/>
      </c>
      <c r="I6938" s="8">
        <f>IF(D6938="","",VLOOKUP(D6938, RECETTES!B:G, 6, FALSE)*E6938)</f>
        <v/>
      </c>
      <c r="J6938" s="8">
        <f>IF(G6938="","",G6938*0.20)</f>
        <v/>
      </c>
      <c r="K6938" s="8">
        <f>IF(G6938="","",G6938+J6938)</f>
        <v/>
      </c>
    </row>
    <row r="6939">
      <c r="F6939" s="8" t="n"/>
      <c r="G6939" s="8">
        <f>IF(E6939="","",E6939*F6939)</f>
        <v/>
      </c>
      <c r="H6939" s="8">
        <f>IF(G6939="","",G6939-I6939)</f>
        <v/>
      </c>
      <c r="I6939" s="8">
        <f>IF(D6939="","",VLOOKUP(D6939, RECETTES!B:G, 6, FALSE)*E6939)</f>
        <v/>
      </c>
      <c r="J6939" s="8">
        <f>IF(G6939="","",G6939*0.20)</f>
        <v/>
      </c>
      <c r="K6939" s="8">
        <f>IF(G6939="","",G6939+J6939)</f>
        <v/>
      </c>
    </row>
    <row r="6940">
      <c r="F6940" s="8" t="n"/>
      <c r="G6940" s="8">
        <f>IF(E6940="","",E6940*F6940)</f>
        <v/>
      </c>
      <c r="H6940" s="8">
        <f>IF(G6940="","",G6940-I6940)</f>
        <v/>
      </c>
      <c r="I6940" s="8">
        <f>IF(D6940="","",VLOOKUP(D6940, RECETTES!B:G, 6, FALSE)*E6940)</f>
        <v/>
      </c>
      <c r="J6940" s="8">
        <f>IF(G6940="","",G6940*0.20)</f>
        <v/>
      </c>
      <c r="K6940" s="8">
        <f>IF(G6940="","",G6940+J6940)</f>
        <v/>
      </c>
    </row>
    <row r="6941">
      <c r="F6941" s="8" t="n"/>
      <c r="G6941" s="8">
        <f>IF(E6941="","",E6941*F6941)</f>
        <v/>
      </c>
      <c r="H6941" s="8">
        <f>IF(G6941="","",G6941-I6941)</f>
        <v/>
      </c>
      <c r="I6941" s="8">
        <f>IF(D6941="","",VLOOKUP(D6941, RECETTES!B:G, 6, FALSE)*E6941)</f>
        <v/>
      </c>
      <c r="J6941" s="8">
        <f>IF(G6941="","",G6941*0.20)</f>
        <v/>
      </c>
      <c r="K6941" s="8">
        <f>IF(G6941="","",G6941+J6941)</f>
        <v/>
      </c>
    </row>
    <row r="6942">
      <c r="F6942" s="8" t="n"/>
      <c r="G6942" s="8">
        <f>IF(E6942="","",E6942*F6942)</f>
        <v/>
      </c>
      <c r="H6942" s="8">
        <f>IF(G6942="","",G6942-I6942)</f>
        <v/>
      </c>
      <c r="I6942" s="8">
        <f>IF(D6942="","",VLOOKUP(D6942, RECETTES!B:G, 6, FALSE)*E6942)</f>
        <v/>
      </c>
      <c r="J6942" s="8">
        <f>IF(G6942="","",G6942*0.20)</f>
        <v/>
      </c>
      <c r="K6942" s="8">
        <f>IF(G6942="","",G6942+J6942)</f>
        <v/>
      </c>
    </row>
    <row r="6943">
      <c r="F6943" s="8" t="n"/>
      <c r="G6943" s="8">
        <f>IF(E6943="","",E6943*F6943)</f>
        <v/>
      </c>
      <c r="H6943" s="8">
        <f>IF(G6943="","",G6943-I6943)</f>
        <v/>
      </c>
      <c r="I6943" s="8">
        <f>IF(D6943="","",VLOOKUP(D6943, RECETTES!B:G, 6, FALSE)*E6943)</f>
        <v/>
      </c>
      <c r="J6943" s="8">
        <f>IF(G6943="","",G6943*0.20)</f>
        <v/>
      </c>
      <c r="K6943" s="8">
        <f>IF(G6943="","",G6943+J6943)</f>
        <v/>
      </c>
    </row>
    <row r="6944">
      <c r="F6944" s="8" t="n"/>
      <c r="G6944" s="8">
        <f>IF(E6944="","",E6944*F6944)</f>
        <v/>
      </c>
      <c r="H6944" s="8">
        <f>IF(G6944="","",G6944-I6944)</f>
        <v/>
      </c>
      <c r="I6944" s="8">
        <f>IF(D6944="","",VLOOKUP(D6944, RECETTES!B:G, 6, FALSE)*E6944)</f>
        <v/>
      </c>
      <c r="J6944" s="8">
        <f>IF(G6944="","",G6944*0.20)</f>
        <v/>
      </c>
      <c r="K6944" s="8">
        <f>IF(G6944="","",G6944+J6944)</f>
        <v/>
      </c>
    </row>
    <row r="6945">
      <c r="F6945" s="8" t="n"/>
      <c r="G6945" s="8">
        <f>IF(E6945="","",E6945*F6945)</f>
        <v/>
      </c>
      <c r="H6945" s="8">
        <f>IF(G6945="","",G6945-I6945)</f>
        <v/>
      </c>
      <c r="I6945" s="8">
        <f>IF(D6945="","",VLOOKUP(D6945, RECETTES!B:G, 6, FALSE)*E6945)</f>
        <v/>
      </c>
      <c r="J6945" s="8">
        <f>IF(G6945="","",G6945*0.20)</f>
        <v/>
      </c>
      <c r="K6945" s="8">
        <f>IF(G6945="","",G6945+J6945)</f>
        <v/>
      </c>
    </row>
    <row r="6946">
      <c r="F6946" s="8" t="n"/>
      <c r="G6946" s="8">
        <f>IF(E6946="","",E6946*F6946)</f>
        <v/>
      </c>
      <c r="H6946" s="8">
        <f>IF(G6946="","",G6946-I6946)</f>
        <v/>
      </c>
      <c r="I6946" s="8">
        <f>IF(D6946="","",VLOOKUP(D6946, RECETTES!B:G, 6, FALSE)*E6946)</f>
        <v/>
      </c>
      <c r="J6946" s="8">
        <f>IF(G6946="","",G6946*0.20)</f>
        <v/>
      </c>
      <c r="K6946" s="8">
        <f>IF(G6946="","",G6946+J6946)</f>
        <v/>
      </c>
    </row>
    <row r="6947">
      <c r="F6947" s="8" t="n"/>
      <c r="G6947" s="8">
        <f>IF(E6947="","",E6947*F6947)</f>
        <v/>
      </c>
      <c r="H6947" s="8">
        <f>IF(G6947="","",G6947-I6947)</f>
        <v/>
      </c>
      <c r="I6947" s="8">
        <f>IF(D6947="","",VLOOKUP(D6947, RECETTES!B:G, 6, FALSE)*E6947)</f>
        <v/>
      </c>
      <c r="J6947" s="8">
        <f>IF(G6947="","",G6947*0.20)</f>
        <v/>
      </c>
      <c r="K6947" s="8">
        <f>IF(G6947="","",G6947+J6947)</f>
        <v/>
      </c>
    </row>
    <row r="6948">
      <c r="F6948" s="8" t="n"/>
      <c r="G6948" s="8">
        <f>IF(E6948="","",E6948*F6948)</f>
        <v/>
      </c>
      <c r="H6948" s="8">
        <f>IF(G6948="","",G6948-I6948)</f>
        <v/>
      </c>
      <c r="I6948" s="8">
        <f>IF(D6948="","",VLOOKUP(D6948, RECETTES!B:G, 6, FALSE)*E6948)</f>
        <v/>
      </c>
      <c r="J6948" s="8">
        <f>IF(G6948="","",G6948*0.20)</f>
        <v/>
      </c>
      <c r="K6948" s="8">
        <f>IF(G6948="","",G6948+J6948)</f>
        <v/>
      </c>
    </row>
    <row r="6949">
      <c r="F6949" s="8" t="n"/>
      <c r="G6949" s="8">
        <f>IF(E6949="","",E6949*F6949)</f>
        <v/>
      </c>
      <c r="H6949" s="8">
        <f>IF(G6949="","",G6949-I6949)</f>
        <v/>
      </c>
      <c r="I6949" s="8">
        <f>IF(D6949="","",VLOOKUP(D6949, RECETTES!B:G, 6, FALSE)*E6949)</f>
        <v/>
      </c>
      <c r="J6949" s="8">
        <f>IF(G6949="","",G6949*0.20)</f>
        <v/>
      </c>
      <c r="K6949" s="8">
        <f>IF(G6949="","",G6949+J6949)</f>
        <v/>
      </c>
    </row>
    <row r="6950">
      <c r="F6950" s="8" t="n"/>
      <c r="G6950" s="8">
        <f>IF(E6950="","",E6950*F6950)</f>
        <v/>
      </c>
      <c r="H6950" s="8">
        <f>IF(G6950="","",G6950-I6950)</f>
        <v/>
      </c>
      <c r="I6950" s="8">
        <f>IF(D6950="","",VLOOKUP(D6950, RECETTES!B:G, 6, FALSE)*E6950)</f>
        <v/>
      </c>
      <c r="J6950" s="8">
        <f>IF(G6950="","",G6950*0.20)</f>
        <v/>
      </c>
      <c r="K6950" s="8">
        <f>IF(G6950="","",G6950+J6950)</f>
        <v/>
      </c>
    </row>
    <row r="6951">
      <c r="F6951" s="8" t="n"/>
      <c r="G6951" s="8">
        <f>IF(E6951="","",E6951*F6951)</f>
        <v/>
      </c>
      <c r="H6951" s="8">
        <f>IF(G6951="","",G6951-I6951)</f>
        <v/>
      </c>
      <c r="I6951" s="8">
        <f>IF(D6951="","",VLOOKUP(D6951, RECETTES!B:G, 6, FALSE)*E6951)</f>
        <v/>
      </c>
      <c r="J6951" s="8">
        <f>IF(G6951="","",G6951*0.20)</f>
        <v/>
      </c>
      <c r="K6951" s="8">
        <f>IF(G6951="","",G6951+J6951)</f>
        <v/>
      </c>
    </row>
    <row r="6952">
      <c r="F6952" s="8" t="n"/>
      <c r="G6952" s="8">
        <f>IF(E6952="","",E6952*F6952)</f>
        <v/>
      </c>
      <c r="H6952" s="8">
        <f>IF(G6952="","",G6952-I6952)</f>
        <v/>
      </c>
      <c r="I6952" s="8">
        <f>IF(D6952="","",VLOOKUP(D6952, RECETTES!B:G, 6, FALSE)*E6952)</f>
        <v/>
      </c>
      <c r="J6952" s="8">
        <f>IF(G6952="","",G6952*0.20)</f>
        <v/>
      </c>
      <c r="K6952" s="8">
        <f>IF(G6952="","",G6952+J6952)</f>
        <v/>
      </c>
    </row>
    <row r="6953">
      <c r="F6953" s="8" t="n"/>
      <c r="G6953" s="8">
        <f>IF(E6953="","",E6953*F6953)</f>
        <v/>
      </c>
      <c r="H6953" s="8">
        <f>IF(G6953="","",G6953-I6953)</f>
        <v/>
      </c>
      <c r="I6953" s="8">
        <f>IF(D6953="","",VLOOKUP(D6953, RECETTES!B:G, 6, FALSE)*E6953)</f>
        <v/>
      </c>
      <c r="J6953" s="8">
        <f>IF(G6953="","",G6953*0.20)</f>
        <v/>
      </c>
      <c r="K6953" s="8">
        <f>IF(G6953="","",G6953+J6953)</f>
        <v/>
      </c>
    </row>
    <row r="6954">
      <c r="F6954" s="8" t="n"/>
      <c r="G6954" s="8">
        <f>IF(E6954="","",E6954*F6954)</f>
        <v/>
      </c>
      <c r="H6954" s="8">
        <f>IF(G6954="","",G6954-I6954)</f>
        <v/>
      </c>
      <c r="I6954" s="8">
        <f>IF(D6954="","",VLOOKUP(D6954, RECETTES!B:G, 6, FALSE)*E6954)</f>
        <v/>
      </c>
      <c r="J6954" s="8">
        <f>IF(G6954="","",G6954*0.20)</f>
        <v/>
      </c>
      <c r="K6954" s="8">
        <f>IF(G6954="","",G6954+J6954)</f>
        <v/>
      </c>
    </row>
    <row r="6955">
      <c r="F6955" s="8" t="n"/>
      <c r="G6955" s="8">
        <f>IF(E6955="","",E6955*F6955)</f>
        <v/>
      </c>
      <c r="H6955" s="8">
        <f>IF(G6955="","",G6955-I6955)</f>
        <v/>
      </c>
      <c r="I6955" s="8">
        <f>IF(D6955="","",VLOOKUP(D6955, RECETTES!B:G, 6, FALSE)*E6955)</f>
        <v/>
      </c>
      <c r="J6955" s="8">
        <f>IF(G6955="","",G6955*0.20)</f>
        <v/>
      </c>
      <c r="K6955" s="8">
        <f>IF(G6955="","",G6955+J6955)</f>
        <v/>
      </c>
    </row>
    <row r="6956">
      <c r="F6956" s="8" t="n"/>
      <c r="G6956" s="8">
        <f>IF(E6956="","",E6956*F6956)</f>
        <v/>
      </c>
      <c r="H6956" s="8">
        <f>IF(G6956="","",G6956-I6956)</f>
        <v/>
      </c>
      <c r="I6956" s="8">
        <f>IF(D6956="","",VLOOKUP(D6956, RECETTES!B:G, 6, FALSE)*E6956)</f>
        <v/>
      </c>
      <c r="J6956" s="8">
        <f>IF(G6956="","",G6956*0.20)</f>
        <v/>
      </c>
      <c r="K6956" s="8">
        <f>IF(G6956="","",G6956+J6956)</f>
        <v/>
      </c>
    </row>
    <row r="6957">
      <c r="F6957" s="8" t="n"/>
      <c r="G6957" s="8">
        <f>IF(E6957="","",E6957*F6957)</f>
        <v/>
      </c>
      <c r="H6957" s="8">
        <f>IF(G6957="","",G6957-I6957)</f>
        <v/>
      </c>
      <c r="I6957" s="8">
        <f>IF(D6957="","",VLOOKUP(D6957, RECETTES!B:G, 6, FALSE)*E6957)</f>
        <v/>
      </c>
      <c r="J6957" s="8">
        <f>IF(G6957="","",G6957*0.20)</f>
        <v/>
      </c>
      <c r="K6957" s="8">
        <f>IF(G6957="","",G6957+J6957)</f>
        <v/>
      </c>
    </row>
    <row r="6958">
      <c r="F6958" s="8" t="n"/>
      <c r="G6958" s="8">
        <f>IF(E6958="","",E6958*F6958)</f>
        <v/>
      </c>
      <c r="H6958" s="8">
        <f>IF(G6958="","",G6958-I6958)</f>
        <v/>
      </c>
      <c r="I6958" s="8">
        <f>IF(D6958="","",VLOOKUP(D6958, RECETTES!B:G, 6, FALSE)*E6958)</f>
        <v/>
      </c>
      <c r="J6958" s="8">
        <f>IF(G6958="","",G6958*0.20)</f>
        <v/>
      </c>
      <c r="K6958" s="8">
        <f>IF(G6958="","",G6958+J6958)</f>
        <v/>
      </c>
    </row>
    <row r="6959">
      <c r="F6959" s="8" t="n"/>
      <c r="G6959" s="8">
        <f>IF(E6959="","",E6959*F6959)</f>
        <v/>
      </c>
      <c r="H6959" s="8">
        <f>IF(G6959="","",G6959-I6959)</f>
        <v/>
      </c>
      <c r="I6959" s="8">
        <f>IF(D6959="","",VLOOKUP(D6959, RECETTES!B:G, 6, FALSE)*E6959)</f>
        <v/>
      </c>
      <c r="J6959" s="8">
        <f>IF(G6959="","",G6959*0.20)</f>
        <v/>
      </c>
      <c r="K6959" s="8">
        <f>IF(G6959="","",G6959+J6959)</f>
        <v/>
      </c>
    </row>
    <row r="6960">
      <c r="F6960" s="8" t="n"/>
      <c r="G6960" s="8">
        <f>IF(E6960="","",E6960*F6960)</f>
        <v/>
      </c>
      <c r="H6960" s="8">
        <f>IF(G6960="","",G6960-I6960)</f>
        <v/>
      </c>
      <c r="I6960" s="8">
        <f>IF(D6960="","",VLOOKUP(D6960, RECETTES!B:G, 6, FALSE)*E6960)</f>
        <v/>
      </c>
      <c r="J6960" s="8">
        <f>IF(G6960="","",G6960*0.20)</f>
        <v/>
      </c>
      <c r="K6960" s="8">
        <f>IF(G6960="","",G6960+J6960)</f>
        <v/>
      </c>
    </row>
    <row r="6961">
      <c r="F6961" s="8" t="n"/>
      <c r="G6961" s="8">
        <f>IF(E6961="","",E6961*F6961)</f>
        <v/>
      </c>
      <c r="H6961" s="8">
        <f>IF(G6961="","",G6961-I6961)</f>
        <v/>
      </c>
      <c r="I6961" s="8">
        <f>IF(D6961="","",VLOOKUP(D6961, RECETTES!B:G, 6, FALSE)*E6961)</f>
        <v/>
      </c>
      <c r="J6961" s="8">
        <f>IF(G6961="","",G6961*0.20)</f>
        <v/>
      </c>
      <c r="K6961" s="8">
        <f>IF(G6961="","",G6961+J6961)</f>
        <v/>
      </c>
    </row>
    <row r="6962">
      <c r="F6962" s="8" t="n"/>
      <c r="G6962" s="8">
        <f>IF(E6962="","",E6962*F6962)</f>
        <v/>
      </c>
      <c r="H6962" s="8">
        <f>IF(G6962="","",G6962-I6962)</f>
        <v/>
      </c>
      <c r="I6962" s="8">
        <f>IF(D6962="","",VLOOKUP(D6962, RECETTES!B:G, 6, FALSE)*E6962)</f>
        <v/>
      </c>
      <c r="J6962" s="8">
        <f>IF(G6962="","",G6962*0.20)</f>
        <v/>
      </c>
      <c r="K6962" s="8">
        <f>IF(G6962="","",G6962+J6962)</f>
        <v/>
      </c>
    </row>
    <row r="6963">
      <c r="F6963" s="8" t="n"/>
      <c r="G6963" s="8">
        <f>IF(E6963="","",E6963*F6963)</f>
        <v/>
      </c>
      <c r="H6963" s="8">
        <f>IF(G6963="","",G6963-I6963)</f>
        <v/>
      </c>
      <c r="I6963" s="8">
        <f>IF(D6963="","",VLOOKUP(D6963, RECETTES!B:G, 6, FALSE)*E6963)</f>
        <v/>
      </c>
      <c r="J6963" s="8">
        <f>IF(G6963="","",G6963*0.20)</f>
        <v/>
      </c>
      <c r="K6963" s="8">
        <f>IF(G6963="","",G6963+J6963)</f>
        <v/>
      </c>
    </row>
    <row r="6964">
      <c r="F6964" s="8" t="n"/>
      <c r="G6964" s="8">
        <f>IF(E6964="","",E6964*F6964)</f>
        <v/>
      </c>
      <c r="H6964" s="8">
        <f>IF(G6964="","",G6964-I6964)</f>
        <v/>
      </c>
      <c r="I6964" s="8">
        <f>IF(D6964="","",VLOOKUP(D6964, RECETTES!B:G, 6, FALSE)*E6964)</f>
        <v/>
      </c>
      <c r="J6964" s="8">
        <f>IF(G6964="","",G6964*0.20)</f>
        <v/>
      </c>
      <c r="K6964" s="8">
        <f>IF(G6964="","",G6964+J6964)</f>
        <v/>
      </c>
    </row>
    <row r="6965">
      <c r="F6965" s="8" t="n"/>
      <c r="G6965" s="8">
        <f>IF(E6965="","",E6965*F6965)</f>
        <v/>
      </c>
      <c r="H6965" s="8">
        <f>IF(G6965="","",G6965-I6965)</f>
        <v/>
      </c>
      <c r="I6965" s="8">
        <f>IF(D6965="","",VLOOKUP(D6965, RECETTES!B:G, 6, FALSE)*E6965)</f>
        <v/>
      </c>
      <c r="J6965" s="8">
        <f>IF(G6965="","",G6965*0.20)</f>
        <v/>
      </c>
      <c r="K6965" s="8">
        <f>IF(G6965="","",G6965+J6965)</f>
        <v/>
      </c>
    </row>
    <row r="6966">
      <c r="F6966" s="8" t="n"/>
      <c r="G6966" s="8">
        <f>IF(E6966="","",E6966*F6966)</f>
        <v/>
      </c>
      <c r="H6966" s="8">
        <f>IF(G6966="","",G6966-I6966)</f>
        <v/>
      </c>
      <c r="I6966" s="8">
        <f>IF(D6966="","",VLOOKUP(D6966, RECETTES!B:G, 6, FALSE)*E6966)</f>
        <v/>
      </c>
      <c r="J6966" s="8">
        <f>IF(G6966="","",G6966*0.20)</f>
        <v/>
      </c>
      <c r="K6966" s="8">
        <f>IF(G6966="","",G6966+J6966)</f>
        <v/>
      </c>
    </row>
    <row r="6967">
      <c r="F6967" s="8" t="n"/>
      <c r="G6967" s="8">
        <f>IF(E6967="","",E6967*F6967)</f>
        <v/>
      </c>
      <c r="H6967" s="8">
        <f>IF(G6967="","",G6967-I6967)</f>
        <v/>
      </c>
      <c r="I6967" s="8">
        <f>IF(D6967="","",VLOOKUP(D6967, RECETTES!B:G, 6, FALSE)*E6967)</f>
        <v/>
      </c>
      <c r="J6967" s="8">
        <f>IF(G6967="","",G6967*0.20)</f>
        <v/>
      </c>
      <c r="K6967" s="8">
        <f>IF(G6967="","",G6967+J6967)</f>
        <v/>
      </c>
    </row>
    <row r="6968">
      <c r="F6968" s="8" t="n"/>
      <c r="G6968" s="8">
        <f>IF(E6968="","",E6968*F6968)</f>
        <v/>
      </c>
      <c r="H6968" s="8">
        <f>IF(G6968="","",G6968-I6968)</f>
        <v/>
      </c>
      <c r="I6968" s="8">
        <f>IF(D6968="","",VLOOKUP(D6968, RECETTES!B:G, 6, FALSE)*E6968)</f>
        <v/>
      </c>
      <c r="J6968" s="8">
        <f>IF(G6968="","",G6968*0.20)</f>
        <v/>
      </c>
      <c r="K6968" s="8">
        <f>IF(G6968="","",G6968+J6968)</f>
        <v/>
      </c>
    </row>
    <row r="6969">
      <c r="F6969" s="8" t="n"/>
      <c r="G6969" s="8">
        <f>IF(E6969="","",E6969*F6969)</f>
        <v/>
      </c>
      <c r="H6969" s="8">
        <f>IF(G6969="","",G6969-I6969)</f>
        <v/>
      </c>
      <c r="I6969" s="8">
        <f>IF(D6969="","",VLOOKUP(D6969, RECETTES!B:G, 6, FALSE)*E6969)</f>
        <v/>
      </c>
      <c r="J6969" s="8">
        <f>IF(G6969="","",G6969*0.20)</f>
        <v/>
      </c>
      <c r="K6969" s="8">
        <f>IF(G6969="","",G6969+J6969)</f>
        <v/>
      </c>
    </row>
    <row r="6970">
      <c r="F6970" s="8" t="n"/>
      <c r="G6970" s="8">
        <f>IF(E6970="","",E6970*F6970)</f>
        <v/>
      </c>
      <c r="H6970" s="8">
        <f>IF(G6970="","",G6970-I6970)</f>
        <v/>
      </c>
      <c r="I6970" s="8">
        <f>IF(D6970="","",VLOOKUP(D6970, RECETTES!B:G, 6, FALSE)*E6970)</f>
        <v/>
      </c>
      <c r="J6970" s="8">
        <f>IF(G6970="","",G6970*0.20)</f>
        <v/>
      </c>
      <c r="K6970" s="8">
        <f>IF(G6970="","",G6970+J6970)</f>
        <v/>
      </c>
    </row>
    <row r="6971">
      <c r="F6971" s="8" t="n"/>
      <c r="G6971" s="8">
        <f>IF(E6971="","",E6971*F6971)</f>
        <v/>
      </c>
      <c r="H6971" s="8">
        <f>IF(G6971="","",G6971-I6971)</f>
        <v/>
      </c>
      <c r="I6971" s="8">
        <f>IF(D6971="","",VLOOKUP(D6971, RECETTES!B:G, 6, FALSE)*E6971)</f>
        <v/>
      </c>
      <c r="J6971" s="8">
        <f>IF(G6971="","",G6971*0.20)</f>
        <v/>
      </c>
      <c r="K6971" s="8">
        <f>IF(G6971="","",G6971+J6971)</f>
        <v/>
      </c>
    </row>
    <row r="6972">
      <c r="F6972" s="8" t="n"/>
      <c r="G6972" s="8">
        <f>IF(E6972="","",E6972*F6972)</f>
        <v/>
      </c>
      <c r="H6972" s="8">
        <f>IF(G6972="","",G6972-I6972)</f>
        <v/>
      </c>
      <c r="I6972" s="8">
        <f>IF(D6972="","",VLOOKUP(D6972, RECETTES!B:G, 6, FALSE)*E6972)</f>
        <v/>
      </c>
      <c r="J6972" s="8">
        <f>IF(G6972="","",G6972*0.20)</f>
        <v/>
      </c>
      <c r="K6972" s="8">
        <f>IF(G6972="","",G6972+J6972)</f>
        <v/>
      </c>
    </row>
    <row r="6973">
      <c r="F6973" s="8" t="n"/>
      <c r="G6973" s="8">
        <f>IF(E6973="","",E6973*F6973)</f>
        <v/>
      </c>
      <c r="H6973" s="8">
        <f>IF(G6973="","",G6973-I6973)</f>
        <v/>
      </c>
      <c r="I6973" s="8">
        <f>IF(D6973="","",VLOOKUP(D6973, RECETTES!B:G, 6, FALSE)*E6973)</f>
        <v/>
      </c>
      <c r="J6973" s="8">
        <f>IF(G6973="","",G6973*0.20)</f>
        <v/>
      </c>
      <c r="K6973" s="8">
        <f>IF(G6973="","",G6973+J6973)</f>
        <v/>
      </c>
    </row>
    <row r="6974">
      <c r="F6974" s="8" t="n"/>
      <c r="G6974" s="8">
        <f>IF(E6974="","",E6974*F6974)</f>
        <v/>
      </c>
      <c r="H6974" s="8">
        <f>IF(G6974="","",G6974-I6974)</f>
        <v/>
      </c>
      <c r="I6974" s="8">
        <f>IF(D6974="","",VLOOKUP(D6974, RECETTES!B:G, 6, FALSE)*E6974)</f>
        <v/>
      </c>
      <c r="J6974" s="8">
        <f>IF(G6974="","",G6974*0.20)</f>
        <v/>
      </c>
      <c r="K6974" s="8">
        <f>IF(G6974="","",G6974+J6974)</f>
        <v/>
      </c>
    </row>
    <row r="6975">
      <c r="F6975" s="8" t="n"/>
      <c r="G6975" s="8">
        <f>IF(E6975="","",E6975*F6975)</f>
        <v/>
      </c>
      <c r="H6975" s="8">
        <f>IF(G6975="","",G6975-I6975)</f>
        <v/>
      </c>
      <c r="I6975" s="8">
        <f>IF(D6975="","",VLOOKUP(D6975, RECETTES!B:G, 6, FALSE)*E6975)</f>
        <v/>
      </c>
      <c r="J6975" s="8">
        <f>IF(G6975="","",G6975*0.20)</f>
        <v/>
      </c>
      <c r="K6975" s="8">
        <f>IF(G6975="","",G6975+J6975)</f>
        <v/>
      </c>
    </row>
    <row r="6976">
      <c r="F6976" s="8" t="n"/>
      <c r="G6976" s="8">
        <f>IF(E6976="","",E6976*F6976)</f>
        <v/>
      </c>
      <c r="H6976" s="8">
        <f>IF(G6976="","",G6976-I6976)</f>
        <v/>
      </c>
      <c r="I6976" s="8">
        <f>IF(D6976="","",VLOOKUP(D6976, RECETTES!B:G, 6, FALSE)*E6976)</f>
        <v/>
      </c>
      <c r="J6976" s="8">
        <f>IF(G6976="","",G6976*0.20)</f>
        <v/>
      </c>
      <c r="K6976" s="8">
        <f>IF(G6976="","",G6976+J6976)</f>
        <v/>
      </c>
    </row>
    <row r="6977">
      <c r="F6977" s="8" t="n"/>
      <c r="G6977" s="8">
        <f>IF(E6977="","",E6977*F6977)</f>
        <v/>
      </c>
      <c r="H6977" s="8">
        <f>IF(G6977="","",G6977-I6977)</f>
        <v/>
      </c>
      <c r="I6977" s="8">
        <f>IF(D6977="","",VLOOKUP(D6977, RECETTES!B:G, 6, FALSE)*E6977)</f>
        <v/>
      </c>
      <c r="J6977" s="8">
        <f>IF(G6977="","",G6977*0.20)</f>
        <v/>
      </c>
      <c r="K6977" s="8">
        <f>IF(G6977="","",G6977+J6977)</f>
        <v/>
      </c>
    </row>
    <row r="6978">
      <c r="F6978" s="8" t="n"/>
      <c r="G6978" s="8">
        <f>IF(E6978="","",E6978*F6978)</f>
        <v/>
      </c>
      <c r="H6978" s="8">
        <f>IF(G6978="","",G6978-I6978)</f>
        <v/>
      </c>
      <c r="I6978" s="8">
        <f>IF(D6978="","",VLOOKUP(D6978, RECETTES!B:G, 6, FALSE)*E6978)</f>
        <v/>
      </c>
      <c r="J6978" s="8">
        <f>IF(G6978="","",G6978*0.20)</f>
        <v/>
      </c>
      <c r="K6978" s="8">
        <f>IF(G6978="","",G6978+J6978)</f>
        <v/>
      </c>
    </row>
    <row r="6979">
      <c r="F6979" s="8" t="n"/>
      <c r="G6979" s="8">
        <f>IF(E6979="","",E6979*F6979)</f>
        <v/>
      </c>
      <c r="H6979" s="8">
        <f>IF(G6979="","",G6979-I6979)</f>
        <v/>
      </c>
      <c r="I6979" s="8">
        <f>IF(D6979="","",VLOOKUP(D6979, RECETTES!B:G, 6, FALSE)*E6979)</f>
        <v/>
      </c>
      <c r="J6979" s="8">
        <f>IF(G6979="","",G6979*0.20)</f>
        <v/>
      </c>
      <c r="K6979" s="8">
        <f>IF(G6979="","",G6979+J6979)</f>
        <v/>
      </c>
    </row>
    <row r="6980">
      <c r="F6980" s="8" t="n"/>
      <c r="G6980" s="8">
        <f>IF(E6980="","",E6980*F6980)</f>
        <v/>
      </c>
      <c r="H6980" s="8">
        <f>IF(G6980="","",G6980-I6980)</f>
        <v/>
      </c>
      <c r="I6980" s="8">
        <f>IF(D6980="","",VLOOKUP(D6980, RECETTES!B:G, 6, FALSE)*E6980)</f>
        <v/>
      </c>
      <c r="J6980" s="8">
        <f>IF(G6980="","",G6980*0.20)</f>
        <v/>
      </c>
      <c r="K6980" s="8">
        <f>IF(G6980="","",G6980+J6980)</f>
        <v/>
      </c>
    </row>
    <row r="6981">
      <c r="F6981" s="8" t="n"/>
      <c r="G6981" s="8">
        <f>IF(E6981="","",E6981*F6981)</f>
        <v/>
      </c>
      <c r="H6981" s="8">
        <f>IF(G6981="","",G6981-I6981)</f>
        <v/>
      </c>
      <c r="I6981" s="8">
        <f>IF(D6981="","",VLOOKUP(D6981, RECETTES!B:G, 6, FALSE)*E6981)</f>
        <v/>
      </c>
      <c r="J6981" s="8">
        <f>IF(G6981="","",G6981*0.20)</f>
        <v/>
      </c>
      <c r="K6981" s="8">
        <f>IF(G6981="","",G6981+J6981)</f>
        <v/>
      </c>
    </row>
    <row r="6982">
      <c r="F6982" s="8" t="n"/>
      <c r="G6982" s="8">
        <f>IF(E6982="","",E6982*F6982)</f>
        <v/>
      </c>
      <c r="H6982" s="8">
        <f>IF(G6982="","",G6982-I6982)</f>
        <v/>
      </c>
      <c r="I6982" s="8">
        <f>IF(D6982="","",VLOOKUP(D6982, RECETTES!B:G, 6, FALSE)*E6982)</f>
        <v/>
      </c>
      <c r="J6982" s="8">
        <f>IF(G6982="","",G6982*0.20)</f>
        <v/>
      </c>
      <c r="K6982" s="8">
        <f>IF(G6982="","",G6982+J6982)</f>
        <v/>
      </c>
    </row>
    <row r="6983">
      <c r="F6983" s="8" t="n"/>
      <c r="G6983" s="8">
        <f>IF(E6983="","",E6983*F6983)</f>
        <v/>
      </c>
      <c r="H6983" s="8">
        <f>IF(G6983="","",G6983-I6983)</f>
        <v/>
      </c>
      <c r="I6983" s="8">
        <f>IF(D6983="","",VLOOKUP(D6983, RECETTES!B:G, 6, FALSE)*E6983)</f>
        <v/>
      </c>
      <c r="J6983" s="8">
        <f>IF(G6983="","",G6983*0.20)</f>
        <v/>
      </c>
      <c r="K6983" s="8">
        <f>IF(G6983="","",G6983+J6983)</f>
        <v/>
      </c>
    </row>
    <row r="6984">
      <c r="F6984" s="8" t="n"/>
      <c r="G6984" s="8">
        <f>IF(E6984="","",E6984*F6984)</f>
        <v/>
      </c>
      <c r="H6984" s="8">
        <f>IF(G6984="","",G6984-I6984)</f>
        <v/>
      </c>
      <c r="I6984" s="8">
        <f>IF(D6984="","",VLOOKUP(D6984, RECETTES!B:G, 6, FALSE)*E6984)</f>
        <v/>
      </c>
      <c r="J6984" s="8">
        <f>IF(G6984="","",G6984*0.20)</f>
        <v/>
      </c>
      <c r="K6984" s="8">
        <f>IF(G6984="","",G6984+J6984)</f>
        <v/>
      </c>
    </row>
    <row r="6985">
      <c r="F6985" s="8" t="n"/>
      <c r="G6985" s="8">
        <f>IF(E6985="","",E6985*F6985)</f>
        <v/>
      </c>
      <c r="H6985" s="8">
        <f>IF(G6985="","",G6985-I6985)</f>
        <v/>
      </c>
      <c r="I6985" s="8">
        <f>IF(D6985="","",VLOOKUP(D6985, RECETTES!B:G, 6, FALSE)*E6985)</f>
        <v/>
      </c>
      <c r="J6985" s="8">
        <f>IF(G6985="","",G6985*0.20)</f>
        <v/>
      </c>
      <c r="K6985" s="8">
        <f>IF(G6985="","",G6985+J6985)</f>
        <v/>
      </c>
    </row>
    <row r="6986">
      <c r="F6986" s="8" t="n"/>
      <c r="G6986" s="8">
        <f>IF(E6986="","",E6986*F6986)</f>
        <v/>
      </c>
      <c r="H6986" s="8">
        <f>IF(G6986="","",G6986-I6986)</f>
        <v/>
      </c>
      <c r="I6986" s="8">
        <f>IF(D6986="","",VLOOKUP(D6986, RECETTES!B:G, 6, FALSE)*E6986)</f>
        <v/>
      </c>
      <c r="J6986" s="8">
        <f>IF(G6986="","",G6986*0.20)</f>
        <v/>
      </c>
      <c r="K6986" s="8">
        <f>IF(G6986="","",G6986+J6986)</f>
        <v/>
      </c>
    </row>
    <row r="6987">
      <c r="F6987" s="8" t="n"/>
      <c r="G6987" s="8">
        <f>IF(E6987="","",E6987*F6987)</f>
        <v/>
      </c>
      <c r="H6987" s="8">
        <f>IF(G6987="","",G6987-I6987)</f>
        <v/>
      </c>
      <c r="I6987" s="8">
        <f>IF(D6987="","",VLOOKUP(D6987, RECETTES!B:G, 6, FALSE)*E6987)</f>
        <v/>
      </c>
      <c r="J6987" s="8">
        <f>IF(G6987="","",G6987*0.20)</f>
        <v/>
      </c>
      <c r="K6987" s="8">
        <f>IF(G6987="","",G6987+J6987)</f>
        <v/>
      </c>
    </row>
    <row r="6988">
      <c r="F6988" s="8" t="n"/>
      <c r="G6988" s="8">
        <f>IF(E6988="","",E6988*F6988)</f>
        <v/>
      </c>
      <c r="H6988" s="8">
        <f>IF(G6988="","",G6988-I6988)</f>
        <v/>
      </c>
      <c r="I6988" s="8">
        <f>IF(D6988="","",VLOOKUP(D6988, RECETTES!B:G, 6, FALSE)*E6988)</f>
        <v/>
      </c>
      <c r="J6988" s="8">
        <f>IF(G6988="","",G6988*0.20)</f>
        <v/>
      </c>
      <c r="K6988" s="8">
        <f>IF(G6988="","",G6988+J6988)</f>
        <v/>
      </c>
    </row>
    <row r="6989">
      <c r="F6989" s="8" t="n"/>
      <c r="G6989" s="8">
        <f>IF(E6989="","",E6989*F6989)</f>
        <v/>
      </c>
      <c r="H6989" s="8">
        <f>IF(G6989="","",G6989-I6989)</f>
        <v/>
      </c>
      <c r="I6989" s="8">
        <f>IF(D6989="","",VLOOKUP(D6989, RECETTES!B:G, 6, FALSE)*E6989)</f>
        <v/>
      </c>
      <c r="J6989" s="8">
        <f>IF(G6989="","",G6989*0.20)</f>
        <v/>
      </c>
      <c r="K6989" s="8">
        <f>IF(G6989="","",G6989+J6989)</f>
        <v/>
      </c>
    </row>
    <row r="6990">
      <c r="F6990" s="8" t="n"/>
      <c r="G6990" s="8">
        <f>IF(E6990="","",E6990*F6990)</f>
        <v/>
      </c>
      <c r="H6990" s="8">
        <f>IF(G6990="","",G6990-I6990)</f>
        <v/>
      </c>
      <c r="I6990" s="8">
        <f>IF(D6990="","",VLOOKUP(D6990, RECETTES!B:G, 6, FALSE)*E6990)</f>
        <v/>
      </c>
      <c r="J6990" s="8">
        <f>IF(G6990="","",G6990*0.20)</f>
        <v/>
      </c>
      <c r="K6990" s="8">
        <f>IF(G6990="","",G6990+J6990)</f>
        <v/>
      </c>
    </row>
    <row r="6991">
      <c r="F6991" s="8" t="n"/>
      <c r="G6991" s="8">
        <f>IF(E6991="","",E6991*F6991)</f>
        <v/>
      </c>
      <c r="H6991" s="8">
        <f>IF(G6991="","",G6991-I6991)</f>
        <v/>
      </c>
      <c r="I6991" s="8">
        <f>IF(D6991="","",VLOOKUP(D6991, RECETTES!B:G, 6, FALSE)*E6991)</f>
        <v/>
      </c>
      <c r="J6991" s="8">
        <f>IF(G6991="","",G6991*0.20)</f>
        <v/>
      </c>
      <c r="K6991" s="8">
        <f>IF(G6991="","",G6991+J6991)</f>
        <v/>
      </c>
    </row>
    <row r="6992">
      <c r="F6992" s="8" t="n"/>
      <c r="G6992" s="8">
        <f>IF(E6992="","",E6992*F6992)</f>
        <v/>
      </c>
      <c r="H6992" s="8">
        <f>IF(G6992="","",G6992-I6992)</f>
        <v/>
      </c>
      <c r="I6992" s="8">
        <f>IF(D6992="","",VLOOKUP(D6992, RECETTES!B:G, 6, FALSE)*E6992)</f>
        <v/>
      </c>
      <c r="J6992" s="8">
        <f>IF(G6992="","",G6992*0.20)</f>
        <v/>
      </c>
      <c r="K6992" s="8">
        <f>IF(G6992="","",G6992+J6992)</f>
        <v/>
      </c>
    </row>
    <row r="6993">
      <c r="F6993" s="8" t="n"/>
      <c r="G6993" s="8">
        <f>IF(E6993="","",E6993*F6993)</f>
        <v/>
      </c>
      <c r="H6993" s="8">
        <f>IF(G6993="","",G6993-I6993)</f>
        <v/>
      </c>
      <c r="I6993" s="8">
        <f>IF(D6993="","",VLOOKUP(D6993, RECETTES!B:G, 6, FALSE)*E6993)</f>
        <v/>
      </c>
      <c r="J6993" s="8">
        <f>IF(G6993="","",G6993*0.20)</f>
        <v/>
      </c>
      <c r="K6993" s="8">
        <f>IF(G6993="","",G6993+J6993)</f>
        <v/>
      </c>
    </row>
    <row r="6994">
      <c r="F6994" s="8" t="n"/>
      <c r="G6994" s="8">
        <f>IF(E6994="","",E6994*F6994)</f>
        <v/>
      </c>
      <c r="H6994" s="8">
        <f>IF(G6994="","",G6994-I6994)</f>
        <v/>
      </c>
      <c r="I6994" s="8">
        <f>IF(D6994="","",VLOOKUP(D6994, RECETTES!B:G, 6, FALSE)*E6994)</f>
        <v/>
      </c>
      <c r="J6994" s="8">
        <f>IF(G6994="","",G6994*0.20)</f>
        <v/>
      </c>
      <c r="K6994" s="8">
        <f>IF(G6994="","",G6994+J6994)</f>
        <v/>
      </c>
    </row>
    <row r="6995">
      <c r="F6995" s="8" t="n"/>
      <c r="G6995" s="8">
        <f>IF(E6995="","",E6995*F6995)</f>
        <v/>
      </c>
      <c r="H6995" s="8">
        <f>IF(G6995="","",G6995-I6995)</f>
        <v/>
      </c>
      <c r="I6995" s="8">
        <f>IF(D6995="","",VLOOKUP(D6995, RECETTES!B:G, 6, FALSE)*E6995)</f>
        <v/>
      </c>
      <c r="J6995" s="8">
        <f>IF(G6995="","",G6995*0.20)</f>
        <v/>
      </c>
      <c r="K6995" s="8">
        <f>IF(G6995="","",G6995+J6995)</f>
        <v/>
      </c>
    </row>
    <row r="6996">
      <c r="F6996" s="8" t="n"/>
      <c r="G6996" s="8">
        <f>IF(E6996="","",E6996*F6996)</f>
        <v/>
      </c>
      <c r="H6996" s="8">
        <f>IF(G6996="","",G6996-I6996)</f>
        <v/>
      </c>
      <c r="I6996" s="8">
        <f>IF(D6996="","",VLOOKUP(D6996, RECETTES!B:G, 6, FALSE)*E6996)</f>
        <v/>
      </c>
      <c r="J6996" s="8">
        <f>IF(G6996="","",G6996*0.20)</f>
        <v/>
      </c>
      <c r="K6996" s="8">
        <f>IF(G6996="","",G6996+J6996)</f>
        <v/>
      </c>
    </row>
    <row r="6997">
      <c r="F6997" s="8" t="n"/>
      <c r="G6997" s="8">
        <f>IF(E6997="","",E6997*F6997)</f>
        <v/>
      </c>
      <c r="H6997" s="8">
        <f>IF(G6997="","",G6997-I6997)</f>
        <v/>
      </c>
      <c r="I6997" s="8">
        <f>IF(D6997="","",VLOOKUP(D6997, RECETTES!B:G, 6, FALSE)*E6997)</f>
        <v/>
      </c>
      <c r="J6997" s="8">
        <f>IF(G6997="","",G6997*0.20)</f>
        <v/>
      </c>
      <c r="K6997" s="8">
        <f>IF(G6997="","",G6997+J6997)</f>
        <v/>
      </c>
    </row>
    <row r="6998">
      <c r="F6998" s="8" t="n"/>
      <c r="G6998" s="8">
        <f>IF(E6998="","",E6998*F6998)</f>
        <v/>
      </c>
      <c r="H6998" s="8">
        <f>IF(G6998="","",G6998-I6998)</f>
        <v/>
      </c>
      <c r="I6998" s="8">
        <f>IF(D6998="","",VLOOKUP(D6998, RECETTES!B:G, 6, FALSE)*E6998)</f>
        <v/>
      </c>
      <c r="J6998" s="8">
        <f>IF(G6998="","",G6998*0.20)</f>
        <v/>
      </c>
      <c r="K6998" s="8">
        <f>IF(G6998="","",G6998+J6998)</f>
        <v/>
      </c>
    </row>
    <row r="6999">
      <c r="F6999" s="8" t="n"/>
      <c r="G6999" s="8">
        <f>IF(E6999="","",E6999*F6999)</f>
        <v/>
      </c>
      <c r="H6999" s="8">
        <f>IF(G6999="","",G6999-I6999)</f>
        <v/>
      </c>
      <c r="I6999" s="8">
        <f>IF(D6999="","",VLOOKUP(D6999, RECETTES!B:G, 6, FALSE)*E6999)</f>
        <v/>
      </c>
      <c r="J6999" s="8">
        <f>IF(G6999="","",G6999*0.20)</f>
        <v/>
      </c>
      <c r="K6999" s="8">
        <f>IF(G6999="","",G6999+J6999)</f>
        <v/>
      </c>
    </row>
    <row r="7000">
      <c r="F7000" s="8" t="n"/>
      <c r="G7000" s="8">
        <f>IF(E7000="","",E7000*F7000)</f>
        <v/>
      </c>
      <c r="H7000" s="8">
        <f>IF(G7000="","",G7000-I7000)</f>
        <v/>
      </c>
      <c r="I7000" s="8">
        <f>IF(D7000="","",VLOOKUP(D7000, RECETTES!B:G, 6, FALSE)*E7000)</f>
        <v/>
      </c>
      <c r="J7000" s="8">
        <f>IF(G7000="","",G7000*0.20)</f>
        <v/>
      </c>
      <c r="K7000" s="8">
        <f>IF(G7000="","",G7000+J7000)</f>
        <v/>
      </c>
    </row>
    <row r="7001">
      <c r="F7001" s="8" t="n"/>
      <c r="G7001" s="8">
        <f>IF(E7001="","",E7001*F7001)</f>
        <v/>
      </c>
      <c r="H7001" s="8">
        <f>IF(G7001="","",G7001-I7001)</f>
        <v/>
      </c>
      <c r="I7001" s="8">
        <f>IF(D7001="","",VLOOKUP(D7001, RECETTES!B:G, 6, FALSE)*E7001)</f>
        <v/>
      </c>
      <c r="J7001" s="8">
        <f>IF(G7001="","",G7001*0.20)</f>
        <v/>
      </c>
      <c r="K7001" s="8">
        <f>IF(G7001="","",G7001+J7001)</f>
        <v/>
      </c>
    </row>
    <row r="7002">
      <c r="F7002" s="8" t="n"/>
      <c r="G7002" s="8">
        <f>IF(E7002="","",E7002*F7002)</f>
        <v/>
      </c>
      <c r="H7002" s="8">
        <f>IF(G7002="","",G7002-I7002)</f>
        <v/>
      </c>
      <c r="I7002" s="8">
        <f>IF(D7002="","",VLOOKUP(D7002, RECETTES!B:G, 6, FALSE)*E7002)</f>
        <v/>
      </c>
      <c r="J7002" s="8">
        <f>IF(G7002="","",G7002*0.20)</f>
        <v/>
      </c>
      <c r="K7002" s="8">
        <f>IF(G7002="","",G7002+J7002)</f>
        <v/>
      </c>
    </row>
    <row r="7003">
      <c r="F7003" s="8" t="n"/>
      <c r="G7003" s="8">
        <f>IF(E7003="","",E7003*F7003)</f>
        <v/>
      </c>
      <c r="H7003" s="8">
        <f>IF(G7003="","",G7003-I7003)</f>
        <v/>
      </c>
      <c r="I7003" s="8">
        <f>IF(D7003="","",VLOOKUP(D7003, RECETTES!B:G, 6, FALSE)*E7003)</f>
        <v/>
      </c>
      <c r="J7003" s="8">
        <f>IF(G7003="","",G7003*0.20)</f>
        <v/>
      </c>
      <c r="K7003" s="8">
        <f>IF(G7003="","",G7003+J7003)</f>
        <v/>
      </c>
    </row>
    <row r="7004">
      <c r="F7004" s="8" t="n"/>
      <c r="G7004" s="8">
        <f>IF(E7004="","",E7004*F7004)</f>
        <v/>
      </c>
      <c r="H7004" s="8">
        <f>IF(G7004="","",G7004-I7004)</f>
        <v/>
      </c>
      <c r="I7004" s="8">
        <f>IF(D7004="","",VLOOKUP(D7004, RECETTES!B:G, 6, FALSE)*E7004)</f>
        <v/>
      </c>
      <c r="J7004" s="8">
        <f>IF(G7004="","",G7004*0.20)</f>
        <v/>
      </c>
      <c r="K7004" s="8">
        <f>IF(G7004="","",G7004+J7004)</f>
        <v/>
      </c>
    </row>
    <row r="7005">
      <c r="F7005" s="8" t="n"/>
      <c r="G7005" s="8">
        <f>IF(E7005="","",E7005*F7005)</f>
        <v/>
      </c>
      <c r="H7005" s="8">
        <f>IF(G7005="","",G7005-I7005)</f>
        <v/>
      </c>
      <c r="I7005" s="8">
        <f>IF(D7005="","",VLOOKUP(D7005, RECETTES!B:G, 6, FALSE)*E7005)</f>
        <v/>
      </c>
      <c r="J7005" s="8">
        <f>IF(G7005="","",G7005*0.20)</f>
        <v/>
      </c>
      <c r="K7005" s="8">
        <f>IF(G7005="","",G7005+J7005)</f>
        <v/>
      </c>
    </row>
    <row r="7006">
      <c r="F7006" s="8" t="n"/>
      <c r="G7006" s="8">
        <f>IF(E7006="","",E7006*F7006)</f>
        <v/>
      </c>
      <c r="H7006" s="8">
        <f>IF(G7006="","",G7006-I7006)</f>
        <v/>
      </c>
      <c r="I7006" s="8">
        <f>IF(D7006="","",VLOOKUP(D7006, RECETTES!B:G, 6, FALSE)*E7006)</f>
        <v/>
      </c>
      <c r="J7006" s="8">
        <f>IF(G7006="","",G7006*0.20)</f>
        <v/>
      </c>
      <c r="K7006" s="8">
        <f>IF(G7006="","",G7006+J7006)</f>
        <v/>
      </c>
    </row>
    <row r="7007">
      <c r="F7007" s="8" t="n"/>
      <c r="G7007" s="8">
        <f>IF(E7007="","",E7007*F7007)</f>
        <v/>
      </c>
      <c r="H7007" s="8">
        <f>IF(G7007="","",G7007-I7007)</f>
        <v/>
      </c>
      <c r="I7007" s="8">
        <f>IF(D7007="","",VLOOKUP(D7007, RECETTES!B:G, 6, FALSE)*E7007)</f>
        <v/>
      </c>
      <c r="J7007" s="8">
        <f>IF(G7007="","",G7007*0.20)</f>
        <v/>
      </c>
      <c r="K7007" s="8">
        <f>IF(G7007="","",G7007+J7007)</f>
        <v/>
      </c>
    </row>
    <row r="7008">
      <c r="F7008" s="8" t="n"/>
      <c r="G7008" s="8">
        <f>IF(E7008="","",E7008*F7008)</f>
        <v/>
      </c>
      <c r="H7008" s="8">
        <f>IF(G7008="","",G7008-I7008)</f>
        <v/>
      </c>
      <c r="I7008" s="8">
        <f>IF(D7008="","",VLOOKUP(D7008, RECETTES!B:G, 6, FALSE)*E7008)</f>
        <v/>
      </c>
      <c r="J7008" s="8">
        <f>IF(G7008="","",G7008*0.20)</f>
        <v/>
      </c>
      <c r="K7008" s="8">
        <f>IF(G7008="","",G7008+J7008)</f>
        <v/>
      </c>
    </row>
    <row r="7009">
      <c r="F7009" s="8" t="n"/>
      <c r="G7009" s="8">
        <f>IF(E7009="","",E7009*F7009)</f>
        <v/>
      </c>
      <c r="H7009" s="8">
        <f>IF(G7009="","",G7009-I7009)</f>
        <v/>
      </c>
      <c r="I7009" s="8">
        <f>IF(D7009="","",VLOOKUP(D7009, RECETTES!B:G, 6, FALSE)*E7009)</f>
        <v/>
      </c>
      <c r="J7009" s="8">
        <f>IF(G7009="","",G7009*0.20)</f>
        <v/>
      </c>
      <c r="K7009" s="8">
        <f>IF(G7009="","",G7009+J7009)</f>
        <v/>
      </c>
    </row>
    <row r="7010">
      <c r="F7010" s="8" t="n"/>
      <c r="G7010" s="8">
        <f>IF(E7010="","",E7010*F7010)</f>
        <v/>
      </c>
      <c r="H7010" s="8">
        <f>IF(G7010="","",G7010-I7010)</f>
        <v/>
      </c>
      <c r="I7010" s="8">
        <f>IF(D7010="","",VLOOKUP(D7010, RECETTES!B:G, 6, FALSE)*E7010)</f>
        <v/>
      </c>
      <c r="J7010" s="8">
        <f>IF(G7010="","",G7010*0.20)</f>
        <v/>
      </c>
      <c r="K7010" s="8">
        <f>IF(G7010="","",G7010+J7010)</f>
        <v/>
      </c>
    </row>
    <row r="7011">
      <c r="F7011" s="8" t="n"/>
      <c r="G7011" s="8">
        <f>IF(E7011="","",E7011*F7011)</f>
        <v/>
      </c>
      <c r="H7011" s="8">
        <f>IF(G7011="","",G7011-I7011)</f>
        <v/>
      </c>
      <c r="I7011" s="8">
        <f>IF(D7011="","",VLOOKUP(D7011, RECETTES!B:G, 6, FALSE)*E7011)</f>
        <v/>
      </c>
      <c r="J7011" s="8">
        <f>IF(G7011="","",G7011*0.20)</f>
        <v/>
      </c>
      <c r="K7011" s="8">
        <f>IF(G7011="","",G7011+J7011)</f>
        <v/>
      </c>
    </row>
    <row r="7012">
      <c r="F7012" s="8" t="n"/>
      <c r="G7012" s="8">
        <f>IF(E7012="","",E7012*F7012)</f>
        <v/>
      </c>
      <c r="H7012" s="8">
        <f>IF(G7012="","",G7012-I7012)</f>
        <v/>
      </c>
      <c r="I7012" s="8">
        <f>IF(D7012="","",VLOOKUP(D7012, RECETTES!B:G, 6, FALSE)*E7012)</f>
        <v/>
      </c>
      <c r="J7012" s="8">
        <f>IF(G7012="","",G7012*0.20)</f>
        <v/>
      </c>
      <c r="K7012" s="8">
        <f>IF(G7012="","",G7012+J7012)</f>
        <v/>
      </c>
    </row>
    <row r="7013">
      <c r="F7013" s="8" t="n"/>
      <c r="G7013" s="8">
        <f>IF(E7013="","",E7013*F7013)</f>
        <v/>
      </c>
      <c r="H7013" s="8">
        <f>IF(G7013="","",G7013-I7013)</f>
        <v/>
      </c>
      <c r="I7013" s="8">
        <f>IF(D7013="","",VLOOKUP(D7013, RECETTES!B:G, 6, FALSE)*E7013)</f>
        <v/>
      </c>
      <c r="J7013" s="8">
        <f>IF(G7013="","",G7013*0.20)</f>
        <v/>
      </c>
      <c r="K7013" s="8">
        <f>IF(G7013="","",G7013+J7013)</f>
        <v/>
      </c>
    </row>
    <row r="7014">
      <c r="F7014" s="8" t="n"/>
      <c r="G7014" s="8">
        <f>IF(E7014="","",E7014*F7014)</f>
        <v/>
      </c>
      <c r="H7014" s="8">
        <f>IF(G7014="","",G7014-I7014)</f>
        <v/>
      </c>
      <c r="I7014" s="8">
        <f>IF(D7014="","",VLOOKUP(D7014, RECETTES!B:G, 6, FALSE)*E7014)</f>
        <v/>
      </c>
      <c r="J7014" s="8">
        <f>IF(G7014="","",G7014*0.20)</f>
        <v/>
      </c>
      <c r="K7014" s="8">
        <f>IF(G7014="","",G7014+J7014)</f>
        <v/>
      </c>
    </row>
    <row r="7015">
      <c r="F7015" s="8" t="n"/>
      <c r="G7015" s="8">
        <f>IF(E7015="","",E7015*F7015)</f>
        <v/>
      </c>
      <c r="H7015" s="8">
        <f>IF(G7015="","",G7015-I7015)</f>
        <v/>
      </c>
      <c r="I7015" s="8">
        <f>IF(D7015="","",VLOOKUP(D7015, RECETTES!B:G, 6, FALSE)*E7015)</f>
        <v/>
      </c>
      <c r="J7015" s="8">
        <f>IF(G7015="","",G7015*0.20)</f>
        <v/>
      </c>
      <c r="K7015" s="8">
        <f>IF(G7015="","",G7015+J7015)</f>
        <v/>
      </c>
    </row>
    <row r="7016">
      <c r="F7016" s="8" t="n"/>
      <c r="G7016" s="8">
        <f>IF(E7016="","",E7016*F7016)</f>
        <v/>
      </c>
      <c r="H7016" s="8">
        <f>IF(G7016="","",G7016-I7016)</f>
        <v/>
      </c>
      <c r="I7016" s="8">
        <f>IF(D7016="","",VLOOKUP(D7016, RECETTES!B:G, 6, FALSE)*E7016)</f>
        <v/>
      </c>
      <c r="J7016" s="8">
        <f>IF(G7016="","",G7016*0.20)</f>
        <v/>
      </c>
      <c r="K7016" s="8">
        <f>IF(G7016="","",G7016+J7016)</f>
        <v/>
      </c>
    </row>
    <row r="7017">
      <c r="F7017" s="8" t="n"/>
      <c r="G7017" s="8">
        <f>IF(E7017="","",E7017*F7017)</f>
        <v/>
      </c>
      <c r="H7017" s="8">
        <f>IF(G7017="","",G7017-I7017)</f>
        <v/>
      </c>
      <c r="I7017" s="8">
        <f>IF(D7017="","",VLOOKUP(D7017, RECETTES!B:G, 6, FALSE)*E7017)</f>
        <v/>
      </c>
      <c r="J7017" s="8">
        <f>IF(G7017="","",G7017*0.20)</f>
        <v/>
      </c>
      <c r="K7017" s="8">
        <f>IF(G7017="","",G7017+J7017)</f>
        <v/>
      </c>
    </row>
    <row r="7018">
      <c r="F7018" s="8" t="n"/>
      <c r="G7018" s="8">
        <f>IF(E7018="","",E7018*F7018)</f>
        <v/>
      </c>
      <c r="H7018" s="8">
        <f>IF(G7018="","",G7018-I7018)</f>
        <v/>
      </c>
      <c r="I7018" s="8">
        <f>IF(D7018="","",VLOOKUP(D7018, RECETTES!B:G, 6, FALSE)*E7018)</f>
        <v/>
      </c>
      <c r="J7018" s="8">
        <f>IF(G7018="","",G7018*0.20)</f>
        <v/>
      </c>
      <c r="K7018" s="8">
        <f>IF(G7018="","",G7018+J7018)</f>
        <v/>
      </c>
    </row>
    <row r="7019">
      <c r="F7019" s="8" t="n"/>
      <c r="G7019" s="8">
        <f>IF(E7019="","",E7019*F7019)</f>
        <v/>
      </c>
      <c r="H7019" s="8">
        <f>IF(G7019="","",G7019-I7019)</f>
        <v/>
      </c>
      <c r="I7019" s="8">
        <f>IF(D7019="","",VLOOKUP(D7019, RECETTES!B:G, 6, FALSE)*E7019)</f>
        <v/>
      </c>
      <c r="J7019" s="8">
        <f>IF(G7019="","",G7019*0.20)</f>
        <v/>
      </c>
      <c r="K7019" s="8">
        <f>IF(G7019="","",G7019+J7019)</f>
        <v/>
      </c>
    </row>
    <row r="7020">
      <c r="F7020" s="8" t="n"/>
      <c r="G7020" s="8">
        <f>IF(E7020="","",E7020*F7020)</f>
        <v/>
      </c>
      <c r="H7020" s="8">
        <f>IF(G7020="","",G7020-I7020)</f>
        <v/>
      </c>
      <c r="I7020" s="8">
        <f>IF(D7020="","",VLOOKUP(D7020, RECETTES!B:G, 6, FALSE)*E7020)</f>
        <v/>
      </c>
      <c r="J7020" s="8">
        <f>IF(G7020="","",G7020*0.20)</f>
        <v/>
      </c>
      <c r="K7020" s="8">
        <f>IF(G7020="","",G7020+J7020)</f>
        <v/>
      </c>
    </row>
    <row r="7021">
      <c r="F7021" s="8" t="n"/>
      <c r="G7021" s="8">
        <f>IF(E7021="","",E7021*F7021)</f>
        <v/>
      </c>
      <c r="H7021" s="8">
        <f>IF(G7021="","",G7021-I7021)</f>
        <v/>
      </c>
      <c r="I7021" s="8">
        <f>IF(D7021="","",VLOOKUP(D7021, RECETTES!B:G, 6, FALSE)*E7021)</f>
        <v/>
      </c>
      <c r="J7021" s="8">
        <f>IF(G7021="","",G7021*0.20)</f>
        <v/>
      </c>
      <c r="K7021" s="8">
        <f>IF(G7021="","",G7021+J7021)</f>
        <v/>
      </c>
    </row>
    <row r="7022">
      <c r="F7022" s="8" t="n"/>
      <c r="G7022" s="8">
        <f>IF(E7022="","",E7022*F7022)</f>
        <v/>
      </c>
      <c r="H7022" s="8">
        <f>IF(G7022="","",G7022-I7022)</f>
        <v/>
      </c>
      <c r="I7022" s="8">
        <f>IF(D7022="","",VLOOKUP(D7022, RECETTES!B:G, 6, FALSE)*E7022)</f>
        <v/>
      </c>
      <c r="J7022" s="8">
        <f>IF(G7022="","",G7022*0.20)</f>
        <v/>
      </c>
      <c r="K7022" s="8">
        <f>IF(G7022="","",G7022+J7022)</f>
        <v/>
      </c>
    </row>
    <row r="7023">
      <c r="F7023" s="8" t="n"/>
      <c r="G7023" s="8">
        <f>IF(E7023="","",E7023*F7023)</f>
        <v/>
      </c>
      <c r="H7023" s="8">
        <f>IF(G7023="","",G7023-I7023)</f>
        <v/>
      </c>
      <c r="I7023" s="8">
        <f>IF(D7023="","",VLOOKUP(D7023, RECETTES!B:G, 6, FALSE)*E7023)</f>
        <v/>
      </c>
      <c r="J7023" s="8">
        <f>IF(G7023="","",G7023*0.20)</f>
        <v/>
      </c>
      <c r="K7023" s="8">
        <f>IF(G7023="","",G7023+J7023)</f>
        <v/>
      </c>
    </row>
    <row r="7024">
      <c r="F7024" s="8" t="n"/>
      <c r="G7024" s="8">
        <f>IF(E7024="","",E7024*F7024)</f>
        <v/>
      </c>
      <c r="H7024" s="8">
        <f>IF(G7024="","",G7024-I7024)</f>
        <v/>
      </c>
      <c r="I7024" s="8">
        <f>IF(D7024="","",VLOOKUP(D7024, RECETTES!B:G, 6, FALSE)*E7024)</f>
        <v/>
      </c>
      <c r="J7024" s="8">
        <f>IF(G7024="","",G7024*0.20)</f>
        <v/>
      </c>
      <c r="K7024" s="8">
        <f>IF(G7024="","",G7024+J7024)</f>
        <v/>
      </c>
    </row>
    <row r="7025">
      <c r="F7025" s="8" t="n"/>
      <c r="G7025" s="8">
        <f>IF(E7025="","",E7025*F7025)</f>
        <v/>
      </c>
      <c r="H7025" s="8">
        <f>IF(G7025="","",G7025-I7025)</f>
        <v/>
      </c>
      <c r="I7025" s="8">
        <f>IF(D7025="","",VLOOKUP(D7025, RECETTES!B:G, 6, FALSE)*E7025)</f>
        <v/>
      </c>
      <c r="J7025" s="8">
        <f>IF(G7025="","",G7025*0.20)</f>
        <v/>
      </c>
      <c r="K7025" s="8">
        <f>IF(G7025="","",G7025+J7025)</f>
        <v/>
      </c>
    </row>
    <row r="7026">
      <c r="F7026" s="8" t="n"/>
      <c r="G7026" s="8">
        <f>IF(E7026="","",E7026*F7026)</f>
        <v/>
      </c>
      <c r="H7026" s="8">
        <f>IF(G7026="","",G7026-I7026)</f>
        <v/>
      </c>
      <c r="I7026" s="8">
        <f>IF(D7026="","",VLOOKUP(D7026, RECETTES!B:G, 6, FALSE)*E7026)</f>
        <v/>
      </c>
      <c r="J7026" s="8">
        <f>IF(G7026="","",G7026*0.20)</f>
        <v/>
      </c>
      <c r="K7026" s="8">
        <f>IF(G7026="","",G7026+J7026)</f>
        <v/>
      </c>
    </row>
    <row r="7027">
      <c r="F7027" s="8" t="n"/>
      <c r="G7027" s="8">
        <f>IF(E7027="","",E7027*F7027)</f>
        <v/>
      </c>
      <c r="H7027" s="8">
        <f>IF(G7027="","",G7027-I7027)</f>
        <v/>
      </c>
      <c r="I7027" s="8">
        <f>IF(D7027="","",VLOOKUP(D7027, RECETTES!B:G, 6, FALSE)*E7027)</f>
        <v/>
      </c>
      <c r="J7027" s="8">
        <f>IF(G7027="","",G7027*0.20)</f>
        <v/>
      </c>
      <c r="K7027" s="8">
        <f>IF(G7027="","",G7027+J7027)</f>
        <v/>
      </c>
    </row>
    <row r="7028">
      <c r="F7028" s="8" t="n"/>
      <c r="G7028" s="8">
        <f>IF(E7028="","",E7028*F7028)</f>
        <v/>
      </c>
      <c r="H7028" s="8">
        <f>IF(G7028="","",G7028-I7028)</f>
        <v/>
      </c>
      <c r="I7028" s="8">
        <f>IF(D7028="","",VLOOKUP(D7028, RECETTES!B:G, 6, FALSE)*E7028)</f>
        <v/>
      </c>
      <c r="J7028" s="8">
        <f>IF(G7028="","",G7028*0.20)</f>
        <v/>
      </c>
      <c r="K7028" s="8">
        <f>IF(G7028="","",G7028+J7028)</f>
        <v/>
      </c>
    </row>
    <row r="7029">
      <c r="F7029" s="8" t="n"/>
      <c r="G7029" s="8">
        <f>IF(E7029="","",E7029*F7029)</f>
        <v/>
      </c>
      <c r="H7029" s="8">
        <f>IF(G7029="","",G7029-I7029)</f>
        <v/>
      </c>
      <c r="I7029" s="8">
        <f>IF(D7029="","",VLOOKUP(D7029, RECETTES!B:G, 6, FALSE)*E7029)</f>
        <v/>
      </c>
      <c r="J7029" s="8">
        <f>IF(G7029="","",G7029*0.20)</f>
        <v/>
      </c>
      <c r="K7029" s="8">
        <f>IF(G7029="","",G7029+J7029)</f>
        <v/>
      </c>
    </row>
    <row r="7030">
      <c r="F7030" s="8" t="n"/>
      <c r="G7030" s="8">
        <f>IF(E7030="","",E7030*F7030)</f>
        <v/>
      </c>
      <c r="H7030" s="8">
        <f>IF(G7030="","",G7030-I7030)</f>
        <v/>
      </c>
      <c r="I7030" s="8">
        <f>IF(D7030="","",VLOOKUP(D7030, RECETTES!B:G, 6, FALSE)*E7030)</f>
        <v/>
      </c>
      <c r="J7030" s="8">
        <f>IF(G7030="","",G7030*0.20)</f>
        <v/>
      </c>
      <c r="K7030" s="8">
        <f>IF(G7030="","",G7030+J7030)</f>
        <v/>
      </c>
    </row>
    <row r="7031">
      <c r="F7031" s="8" t="n"/>
      <c r="G7031" s="8">
        <f>IF(E7031="","",E7031*F7031)</f>
        <v/>
      </c>
      <c r="H7031" s="8">
        <f>IF(G7031="","",G7031-I7031)</f>
        <v/>
      </c>
      <c r="I7031" s="8">
        <f>IF(D7031="","",VLOOKUP(D7031, RECETTES!B:G, 6, FALSE)*E7031)</f>
        <v/>
      </c>
      <c r="J7031" s="8">
        <f>IF(G7031="","",G7031*0.20)</f>
        <v/>
      </c>
      <c r="K7031" s="8">
        <f>IF(G7031="","",G7031+J7031)</f>
        <v/>
      </c>
    </row>
    <row r="7032">
      <c r="F7032" s="8" t="n"/>
      <c r="G7032" s="8">
        <f>IF(E7032="","",E7032*F7032)</f>
        <v/>
      </c>
      <c r="H7032" s="8">
        <f>IF(G7032="","",G7032-I7032)</f>
        <v/>
      </c>
      <c r="I7032" s="8">
        <f>IF(D7032="","",VLOOKUP(D7032, RECETTES!B:G, 6, FALSE)*E7032)</f>
        <v/>
      </c>
      <c r="J7032" s="8">
        <f>IF(G7032="","",G7032*0.20)</f>
        <v/>
      </c>
      <c r="K7032" s="8">
        <f>IF(G7032="","",G7032+J7032)</f>
        <v/>
      </c>
    </row>
    <row r="7033">
      <c r="F7033" s="8" t="n"/>
      <c r="G7033" s="8">
        <f>IF(E7033="","",E7033*F7033)</f>
        <v/>
      </c>
      <c r="H7033" s="8">
        <f>IF(G7033="","",G7033-I7033)</f>
        <v/>
      </c>
      <c r="I7033" s="8">
        <f>IF(D7033="","",VLOOKUP(D7033, RECETTES!B:G, 6, FALSE)*E7033)</f>
        <v/>
      </c>
      <c r="J7033" s="8">
        <f>IF(G7033="","",G7033*0.20)</f>
        <v/>
      </c>
      <c r="K7033" s="8">
        <f>IF(G7033="","",G7033+J7033)</f>
        <v/>
      </c>
    </row>
    <row r="7034">
      <c r="F7034" s="8" t="n"/>
      <c r="G7034" s="8">
        <f>IF(E7034="","",E7034*F7034)</f>
        <v/>
      </c>
      <c r="H7034" s="8">
        <f>IF(G7034="","",G7034-I7034)</f>
        <v/>
      </c>
      <c r="I7034" s="8">
        <f>IF(D7034="","",VLOOKUP(D7034, RECETTES!B:G, 6, FALSE)*E7034)</f>
        <v/>
      </c>
      <c r="J7034" s="8">
        <f>IF(G7034="","",G7034*0.20)</f>
        <v/>
      </c>
      <c r="K7034" s="8">
        <f>IF(G7034="","",G7034+J7034)</f>
        <v/>
      </c>
    </row>
    <row r="7035">
      <c r="F7035" s="8" t="n"/>
      <c r="G7035" s="8">
        <f>IF(E7035="","",E7035*F7035)</f>
        <v/>
      </c>
      <c r="H7035" s="8">
        <f>IF(G7035="","",G7035-I7035)</f>
        <v/>
      </c>
      <c r="I7035" s="8">
        <f>IF(D7035="","",VLOOKUP(D7035, RECETTES!B:G, 6, FALSE)*E7035)</f>
        <v/>
      </c>
      <c r="J7035" s="8">
        <f>IF(G7035="","",G7035*0.20)</f>
        <v/>
      </c>
      <c r="K7035" s="8">
        <f>IF(G7035="","",G7035+J7035)</f>
        <v/>
      </c>
    </row>
    <row r="7036">
      <c r="F7036" s="8" t="n"/>
      <c r="G7036" s="8">
        <f>IF(E7036="","",E7036*F7036)</f>
        <v/>
      </c>
      <c r="H7036" s="8">
        <f>IF(G7036="","",G7036-I7036)</f>
        <v/>
      </c>
      <c r="I7036" s="8">
        <f>IF(D7036="","",VLOOKUP(D7036, RECETTES!B:G, 6, FALSE)*E7036)</f>
        <v/>
      </c>
      <c r="J7036" s="8">
        <f>IF(G7036="","",G7036*0.20)</f>
        <v/>
      </c>
      <c r="K7036" s="8">
        <f>IF(G7036="","",G7036+J7036)</f>
        <v/>
      </c>
    </row>
    <row r="7037">
      <c r="F7037" s="8" t="n"/>
      <c r="G7037" s="8">
        <f>IF(E7037="","",E7037*F7037)</f>
        <v/>
      </c>
      <c r="H7037" s="8">
        <f>IF(G7037="","",G7037-I7037)</f>
        <v/>
      </c>
      <c r="I7037" s="8">
        <f>IF(D7037="","",VLOOKUP(D7037, RECETTES!B:G, 6, FALSE)*E7037)</f>
        <v/>
      </c>
      <c r="J7037" s="8">
        <f>IF(G7037="","",G7037*0.20)</f>
        <v/>
      </c>
      <c r="K7037" s="8">
        <f>IF(G7037="","",G7037+J7037)</f>
        <v/>
      </c>
    </row>
    <row r="7038">
      <c r="F7038" s="8" t="n"/>
      <c r="G7038" s="8">
        <f>IF(E7038="","",E7038*F7038)</f>
        <v/>
      </c>
      <c r="H7038" s="8">
        <f>IF(G7038="","",G7038-I7038)</f>
        <v/>
      </c>
      <c r="I7038" s="8">
        <f>IF(D7038="","",VLOOKUP(D7038, RECETTES!B:G, 6, FALSE)*E7038)</f>
        <v/>
      </c>
      <c r="J7038" s="8">
        <f>IF(G7038="","",G7038*0.20)</f>
        <v/>
      </c>
      <c r="K7038" s="8">
        <f>IF(G7038="","",G7038+J7038)</f>
        <v/>
      </c>
    </row>
    <row r="7039">
      <c r="F7039" s="8" t="n"/>
      <c r="G7039" s="8">
        <f>IF(E7039="","",E7039*F7039)</f>
        <v/>
      </c>
      <c r="H7039" s="8">
        <f>IF(G7039="","",G7039-I7039)</f>
        <v/>
      </c>
      <c r="I7039" s="8">
        <f>IF(D7039="","",VLOOKUP(D7039, RECETTES!B:G, 6, FALSE)*E7039)</f>
        <v/>
      </c>
      <c r="J7039" s="8">
        <f>IF(G7039="","",G7039*0.20)</f>
        <v/>
      </c>
      <c r="K7039" s="8">
        <f>IF(G7039="","",G7039+J7039)</f>
        <v/>
      </c>
    </row>
    <row r="7040">
      <c r="F7040" s="8" t="n"/>
      <c r="G7040" s="8">
        <f>IF(E7040="","",E7040*F7040)</f>
        <v/>
      </c>
      <c r="H7040" s="8">
        <f>IF(G7040="","",G7040-I7040)</f>
        <v/>
      </c>
      <c r="I7040" s="8">
        <f>IF(D7040="","",VLOOKUP(D7040, RECETTES!B:G, 6, FALSE)*E7040)</f>
        <v/>
      </c>
      <c r="J7040" s="8">
        <f>IF(G7040="","",G7040*0.20)</f>
        <v/>
      </c>
      <c r="K7040" s="8">
        <f>IF(G7040="","",G7040+J7040)</f>
        <v/>
      </c>
    </row>
    <row r="7041">
      <c r="F7041" s="8" t="n"/>
      <c r="G7041" s="8">
        <f>IF(E7041="","",E7041*F7041)</f>
        <v/>
      </c>
      <c r="H7041" s="8">
        <f>IF(G7041="","",G7041-I7041)</f>
        <v/>
      </c>
      <c r="I7041" s="8">
        <f>IF(D7041="","",VLOOKUP(D7041, RECETTES!B:G, 6, FALSE)*E7041)</f>
        <v/>
      </c>
      <c r="J7041" s="8">
        <f>IF(G7041="","",G7041*0.20)</f>
        <v/>
      </c>
      <c r="K7041" s="8">
        <f>IF(G7041="","",G7041+J7041)</f>
        <v/>
      </c>
    </row>
    <row r="7042">
      <c r="F7042" s="8" t="n"/>
      <c r="G7042" s="8">
        <f>IF(E7042="","",E7042*F7042)</f>
        <v/>
      </c>
      <c r="H7042" s="8">
        <f>IF(G7042="","",G7042-I7042)</f>
        <v/>
      </c>
      <c r="I7042" s="8">
        <f>IF(D7042="","",VLOOKUP(D7042, RECETTES!B:G, 6, FALSE)*E7042)</f>
        <v/>
      </c>
      <c r="J7042" s="8">
        <f>IF(G7042="","",G7042*0.20)</f>
        <v/>
      </c>
      <c r="K7042" s="8">
        <f>IF(G7042="","",G7042+J7042)</f>
        <v/>
      </c>
    </row>
    <row r="7043">
      <c r="F7043" s="8" t="n"/>
      <c r="G7043" s="8">
        <f>IF(E7043="","",E7043*F7043)</f>
        <v/>
      </c>
      <c r="H7043" s="8">
        <f>IF(G7043="","",G7043-I7043)</f>
        <v/>
      </c>
      <c r="I7043" s="8">
        <f>IF(D7043="","",VLOOKUP(D7043, RECETTES!B:G, 6, FALSE)*E7043)</f>
        <v/>
      </c>
      <c r="J7043" s="8">
        <f>IF(G7043="","",G7043*0.20)</f>
        <v/>
      </c>
      <c r="K7043" s="8">
        <f>IF(G7043="","",G7043+J7043)</f>
        <v/>
      </c>
    </row>
    <row r="7044">
      <c r="F7044" s="8" t="n"/>
      <c r="G7044" s="8">
        <f>IF(E7044="","",E7044*F7044)</f>
        <v/>
      </c>
      <c r="H7044" s="8">
        <f>IF(G7044="","",G7044-I7044)</f>
        <v/>
      </c>
      <c r="I7044" s="8">
        <f>IF(D7044="","",VLOOKUP(D7044, RECETTES!B:G, 6, FALSE)*E7044)</f>
        <v/>
      </c>
      <c r="J7044" s="8">
        <f>IF(G7044="","",G7044*0.20)</f>
        <v/>
      </c>
      <c r="K7044" s="8">
        <f>IF(G7044="","",G7044+J7044)</f>
        <v/>
      </c>
    </row>
    <row r="7045">
      <c r="F7045" s="8" t="n"/>
      <c r="G7045" s="8">
        <f>IF(E7045="","",E7045*F7045)</f>
        <v/>
      </c>
      <c r="H7045" s="8">
        <f>IF(G7045="","",G7045-I7045)</f>
        <v/>
      </c>
      <c r="I7045" s="8">
        <f>IF(D7045="","",VLOOKUP(D7045, RECETTES!B:G, 6, FALSE)*E7045)</f>
        <v/>
      </c>
      <c r="J7045" s="8">
        <f>IF(G7045="","",G7045*0.20)</f>
        <v/>
      </c>
      <c r="K7045" s="8">
        <f>IF(G7045="","",G7045+J7045)</f>
        <v/>
      </c>
    </row>
    <row r="7046">
      <c r="F7046" s="8" t="n"/>
      <c r="G7046" s="8">
        <f>IF(E7046="","",E7046*F7046)</f>
        <v/>
      </c>
      <c r="H7046" s="8">
        <f>IF(G7046="","",G7046-I7046)</f>
        <v/>
      </c>
      <c r="I7046" s="8">
        <f>IF(D7046="","",VLOOKUP(D7046, RECETTES!B:G, 6, FALSE)*E7046)</f>
        <v/>
      </c>
      <c r="J7046" s="8">
        <f>IF(G7046="","",G7046*0.20)</f>
        <v/>
      </c>
      <c r="K7046" s="8">
        <f>IF(G7046="","",G7046+J7046)</f>
        <v/>
      </c>
    </row>
    <row r="7047">
      <c r="F7047" s="8" t="n"/>
      <c r="G7047" s="8">
        <f>IF(E7047="","",E7047*F7047)</f>
        <v/>
      </c>
      <c r="H7047" s="8">
        <f>IF(G7047="","",G7047-I7047)</f>
        <v/>
      </c>
      <c r="I7047" s="8">
        <f>IF(D7047="","",VLOOKUP(D7047, RECETTES!B:G, 6, FALSE)*E7047)</f>
        <v/>
      </c>
      <c r="J7047" s="8">
        <f>IF(G7047="","",G7047*0.20)</f>
        <v/>
      </c>
      <c r="K7047" s="8">
        <f>IF(G7047="","",G7047+J7047)</f>
        <v/>
      </c>
    </row>
    <row r="7048">
      <c r="F7048" s="8" t="n"/>
      <c r="G7048" s="8">
        <f>IF(E7048="","",E7048*F7048)</f>
        <v/>
      </c>
      <c r="H7048" s="8">
        <f>IF(G7048="","",G7048-I7048)</f>
        <v/>
      </c>
      <c r="I7048" s="8">
        <f>IF(D7048="","",VLOOKUP(D7048, RECETTES!B:G, 6, FALSE)*E7048)</f>
        <v/>
      </c>
      <c r="J7048" s="8">
        <f>IF(G7048="","",G7048*0.20)</f>
        <v/>
      </c>
      <c r="K7048" s="8">
        <f>IF(G7048="","",G7048+J7048)</f>
        <v/>
      </c>
    </row>
    <row r="7049">
      <c r="F7049" s="8" t="n"/>
      <c r="G7049" s="8">
        <f>IF(E7049="","",E7049*F7049)</f>
        <v/>
      </c>
      <c r="H7049" s="8">
        <f>IF(G7049="","",G7049-I7049)</f>
        <v/>
      </c>
      <c r="I7049" s="8">
        <f>IF(D7049="","",VLOOKUP(D7049, RECETTES!B:G, 6, FALSE)*E7049)</f>
        <v/>
      </c>
      <c r="J7049" s="8">
        <f>IF(G7049="","",G7049*0.20)</f>
        <v/>
      </c>
      <c r="K7049" s="8">
        <f>IF(G7049="","",G7049+J7049)</f>
        <v/>
      </c>
    </row>
    <row r="7050">
      <c r="F7050" s="8" t="n"/>
      <c r="G7050" s="8">
        <f>IF(E7050="","",E7050*F7050)</f>
        <v/>
      </c>
      <c r="H7050" s="8">
        <f>IF(G7050="","",G7050-I7050)</f>
        <v/>
      </c>
      <c r="I7050" s="8">
        <f>IF(D7050="","",VLOOKUP(D7050, RECETTES!B:G, 6, FALSE)*E7050)</f>
        <v/>
      </c>
      <c r="J7050" s="8">
        <f>IF(G7050="","",G7050*0.20)</f>
        <v/>
      </c>
      <c r="K7050" s="8">
        <f>IF(G7050="","",G7050+J7050)</f>
        <v/>
      </c>
    </row>
    <row r="7051">
      <c r="F7051" s="8" t="n"/>
      <c r="G7051" s="8">
        <f>IF(E7051="","",E7051*F7051)</f>
        <v/>
      </c>
      <c r="H7051" s="8">
        <f>IF(G7051="","",G7051-I7051)</f>
        <v/>
      </c>
      <c r="I7051" s="8">
        <f>IF(D7051="","",VLOOKUP(D7051, RECETTES!B:G, 6, FALSE)*E7051)</f>
        <v/>
      </c>
      <c r="J7051" s="8">
        <f>IF(G7051="","",G7051*0.20)</f>
        <v/>
      </c>
      <c r="K7051" s="8">
        <f>IF(G7051="","",G7051+J7051)</f>
        <v/>
      </c>
    </row>
    <row r="7052">
      <c r="F7052" s="8" t="n"/>
      <c r="G7052" s="8">
        <f>IF(E7052="","",E7052*F7052)</f>
        <v/>
      </c>
      <c r="H7052" s="8">
        <f>IF(G7052="","",G7052-I7052)</f>
        <v/>
      </c>
      <c r="I7052" s="8">
        <f>IF(D7052="","",VLOOKUP(D7052, RECETTES!B:G, 6, FALSE)*E7052)</f>
        <v/>
      </c>
      <c r="J7052" s="8">
        <f>IF(G7052="","",G7052*0.20)</f>
        <v/>
      </c>
      <c r="K7052" s="8">
        <f>IF(G7052="","",G7052+J7052)</f>
        <v/>
      </c>
    </row>
    <row r="7053">
      <c r="F7053" s="8" t="n"/>
      <c r="G7053" s="8">
        <f>IF(E7053="","",E7053*F7053)</f>
        <v/>
      </c>
      <c r="H7053" s="8">
        <f>IF(G7053="","",G7053-I7053)</f>
        <v/>
      </c>
      <c r="I7053" s="8">
        <f>IF(D7053="","",VLOOKUP(D7053, RECETTES!B:G, 6, FALSE)*E7053)</f>
        <v/>
      </c>
      <c r="J7053" s="8">
        <f>IF(G7053="","",G7053*0.20)</f>
        <v/>
      </c>
      <c r="K7053" s="8">
        <f>IF(G7053="","",G7053+J7053)</f>
        <v/>
      </c>
    </row>
    <row r="7054">
      <c r="F7054" s="8" t="n"/>
      <c r="G7054" s="8">
        <f>IF(E7054="","",E7054*F7054)</f>
        <v/>
      </c>
      <c r="H7054" s="8">
        <f>IF(G7054="","",G7054-I7054)</f>
        <v/>
      </c>
      <c r="I7054" s="8">
        <f>IF(D7054="","",VLOOKUP(D7054, RECETTES!B:G, 6, FALSE)*E7054)</f>
        <v/>
      </c>
      <c r="J7054" s="8">
        <f>IF(G7054="","",G7054*0.20)</f>
        <v/>
      </c>
      <c r="K7054" s="8">
        <f>IF(G7054="","",G7054+J7054)</f>
        <v/>
      </c>
    </row>
    <row r="7055">
      <c r="F7055" s="8" t="n"/>
      <c r="G7055" s="8">
        <f>IF(E7055="","",E7055*F7055)</f>
        <v/>
      </c>
      <c r="H7055" s="8">
        <f>IF(G7055="","",G7055-I7055)</f>
        <v/>
      </c>
      <c r="I7055" s="8">
        <f>IF(D7055="","",VLOOKUP(D7055, RECETTES!B:G, 6, FALSE)*E7055)</f>
        <v/>
      </c>
      <c r="J7055" s="8">
        <f>IF(G7055="","",G7055*0.20)</f>
        <v/>
      </c>
      <c r="K7055" s="8">
        <f>IF(G7055="","",G7055+J7055)</f>
        <v/>
      </c>
    </row>
    <row r="7056">
      <c r="F7056" s="8" t="n"/>
      <c r="G7056" s="8">
        <f>IF(E7056="","",E7056*F7056)</f>
        <v/>
      </c>
      <c r="H7056" s="8">
        <f>IF(G7056="","",G7056-I7056)</f>
        <v/>
      </c>
      <c r="I7056" s="8">
        <f>IF(D7056="","",VLOOKUP(D7056, RECETTES!B:G, 6, FALSE)*E7056)</f>
        <v/>
      </c>
      <c r="J7056" s="8">
        <f>IF(G7056="","",G7056*0.20)</f>
        <v/>
      </c>
      <c r="K7056" s="8">
        <f>IF(G7056="","",G7056+J7056)</f>
        <v/>
      </c>
    </row>
    <row r="7057">
      <c r="F7057" s="8" t="n"/>
      <c r="G7057" s="8">
        <f>IF(E7057="","",E7057*F7057)</f>
        <v/>
      </c>
      <c r="H7057" s="8">
        <f>IF(G7057="","",G7057-I7057)</f>
        <v/>
      </c>
      <c r="I7057" s="8">
        <f>IF(D7057="","",VLOOKUP(D7057, RECETTES!B:G, 6, FALSE)*E7057)</f>
        <v/>
      </c>
      <c r="J7057" s="8">
        <f>IF(G7057="","",G7057*0.20)</f>
        <v/>
      </c>
      <c r="K7057" s="8">
        <f>IF(G7057="","",G7057+J7057)</f>
        <v/>
      </c>
    </row>
    <row r="7058">
      <c r="F7058" s="8" t="n"/>
      <c r="G7058" s="8">
        <f>IF(E7058="","",E7058*F7058)</f>
        <v/>
      </c>
      <c r="H7058" s="8">
        <f>IF(G7058="","",G7058-I7058)</f>
        <v/>
      </c>
      <c r="I7058" s="8">
        <f>IF(D7058="","",VLOOKUP(D7058, RECETTES!B:G, 6, FALSE)*E7058)</f>
        <v/>
      </c>
      <c r="J7058" s="8">
        <f>IF(G7058="","",G7058*0.20)</f>
        <v/>
      </c>
      <c r="K7058" s="8">
        <f>IF(G7058="","",G7058+J7058)</f>
        <v/>
      </c>
    </row>
    <row r="7059">
      <c r="F7059" s="8" t="n"/>
      <c r="G7059" s="8">
        <f>IF(E7059="","",E7059*F7059)</f>
        <v/>
      </c>
      <c r="H7059" s="8">
        <f>IF(G7059="","",G7059-I7059)</f>
        <v/>
      </c>
      <c r="I7059" s="8">
        <f>IF(D7059="","",VLOOKUP(D7059, RECETTES!B:G, 6, FALSE)*E7059)</f>
        <v/>
      </c>
      <c r="J7059" s="8">
        <f>IF(G7059="","",G7059*0.20)</f>
        <v/>
      </c>
      <c r="K7059" s="8">
        <f>IF(G7059="","",G7059+J7059)</f>
        <v/>
      </c>
    </row>
    <row r="7060">
      <c r="F7060" s="8" t="n"/>
      <c r="G7060" s="8">
        <f>IF(E7060="","",E7060*F7060)</f>
        <v/>
      </c>
      <c r="H7060" s="8">
        <f>IF(G7060="","",G7060-I7060)</f>
        <v/>
      </c>
      <c r="I7060" s="8">
        <f>IF(D7060="","",VLOOKUP(D7060, RECETTES!B:G, 6, FALSE)*E7060)</f>
        <v/>
      </c>
      <c r="J7060" s="8">
        <f>IF(G7060="","",G7060*0.20)</f>
        <v/>
      </c>
      <c r="K7060" s="8">
        <f>IF(G7060="","",G7060+J7060)</f>
        <v/>
      </c>
    </row>
    <row r="7061">
      <c r="F7061" s="8" t="n"/>
      <c r="G7061" s="8">
        <f>IF(E7061="","",E7061*F7061)</f>
        <v/>
      </c>
      <c r="H7061" s="8">
        <f>IF(G7061="","",G7061-I7061)</f>
        <v/>
      </c>
      <c r="I7061" s="8">
        <f>IF(D7061="","",VLOOKUP(D7061, RECETTES!B:G, 6, FALSE)*E7061)</f>
        <v/>
      </c>
      <c r="J7061" s="8">
        <f>IF(G7061="","",G7061*0.20)</f>
        <v/>
      </c>
      <c r="K7061" s="8">
        <f>IF(G7061="","",G7061+J7061)</f>
        <v/>
      </c>
    </row>
    <row r="7062">
      <c r="F7062" s="8" t="n"/>
      <c r="G7062" s="8">
        <f>IF(E7062="","",E7062*F7062)</f>
        <v/>
      </c>
      <c r="H7062" s="8">
        <f>IF(G7062="","",G7062-I7062)</f>
        <v/>
      </c>
      <c r="I7062" s="8">
        <f>IF(D7062="","",VLOOKUP(D7062, RECETTES!B:G, 6, FALSE)*E7062)</f>
        <v/>
      </c>
      <c r="J7062" s="8">
        <f>IF(G7062="","",G7062*0.20)</f>
        <v/>
      </c>
      <c r="K7062" s="8">
        <f>IF(G7062="","",G7062+J7062)</f>
        <v/>
      </c>
    </row>
    <row r="7063">
      <c r="F7063" s="8" t="n"/>
      <c r="G7063" s="8">
        <f>IF(E7063="","",E7063*F7063)</f>
        <v/>
      </c>
      <c r="H7063" s="8">
        <f>IF(G7063="","",G7063-I7063)</f>
        <v/>
      </c>
      <c r="I7063" s="8">
        <f>IF(D7063="","",VLOOKUP(D7063, RECETTES!B:G, 6, FALSE)*E7063)</f>
        <v/>
      </c>
      <c r="J7063" s="8">
        <f>IF(G7063="","",G7063*0.20)</f>
        <v/>
      </c>
      <c r="K7063" s="8">
        <f>IF(G7063="","",G7063+J7063)</f>
        <v/>
      </c>
    </row>
    <row r="7064">
      <c r="F7064" s="8" t="n"/>
      <c r="G7064" s="8">
        <f>IF(E7064="","",E7064*F7064)</f>
        <v/>
      </c>
      <c r="H7064" s="8">
        <f>IF(G7064="","",G7064-I7064)</f>
        <v/>
      </c>
      <c r="I7064" s="8">
        <f>IF(D7064="","",VLOOKUP(D7064, RECETTES!B:G, 6, FALSE)*E7064)</f>
        <v/>
      </c>
      <c r="J7064" s="8">
        <f>IF(G7064="","",G7064*0.20)</f>
        <v/>
      </c>
      <c r="K7064" s="8">
        <f>IF(G7064="","",G7064+J7064)</f>
        <v/>
      </c>
    </row>
    <row r="7065">
      <c r="F7065" s="8" t="n"/>
      <c r="G7065" s="8">
        <f>IF(E7065="","",E7065*F7065)</f>
        <v/>
      </c>
      <c r="H7065" s="8">
        <f>IF(G7065="","",G7065-I7065)</f>
        <v/>
      </c>
      <c r="I7065" s="8">
        <f>IF(D7065="","",VLOOKUP(D7065, RECETTES!B:G, 6, FALSE)*E7065)</f>
        <v/>
      </c>
      <c r="J7065" s="8">
        <f>IF(G7065="","",G7065*0.20)</f>
        <v/>
      </c>
      <c r="K7065" s="8">
        <f>IF(G7065="","",G7065+J7065)</f>
        <v/>
      </c>
    </row>
    <row r="7066">
      <c r="F7066" s="8" t="n"/>
      <c r="G7066" s="8">
        <f>IF(E7066="","",E7066*F7066)</f>
        <v/>
      </c>
      <c r="H7066" s="8">
        <f>IF(G7066="","",G7066-I7066)</f>
        <v/>
      </c>
      <c r="I7066" s="8">
        <f>IF(D7066="","",VLOOKUP(D7066, RECETTES!B:G, 6, FALSE)*E7066)</f>
        <v/>
      </c>
      <c r="J7066" s="8">
        <f>IF(G7066="","",G7066*0.20)</f>
        <v/>
      </c>
      <c r="K7066" s="8">
        <f>IF(G7066="","",G7066+J7066)</f>
        <v/>
      </c>
    </row>
    <row r="7067">
      <c r="F7067" s="8" t="n"/>
      <c r="G7067" s="8">
        <f>IF(E7067="","",E7067*F7067)</f>
        <v/>
      </c>
      <c r="H7067" s="8">
        <f>IF(G7067="","",G7067-I7067)</f>
        <v/>
      </c>
      <c r="I7067" s="8">
        <f>IF(D7067="","",VLOOKUP(D7067, RECETTES!B:G, 6, FALSE)*E7067)</f>
        <v/>
      </c>
      <c r="J7067" s="8">
        <f>IF(G7067="","",G7067*0.20)</f>
        <v/>
      </c>
      <c r="K7067" s="8">
        <f>IF(G7067="","",G7067+J7067)</f>
        <v/>
      </c>
    </row>
    <row r="7068">
      <c r="F7068" s="8" t="n"/>
      <c r="G7068" s="8">
        <f>IF(E7068="","",E7068*F7068)</f>
        <v/>
      </c>
      <c r="H7068" s="8">
        <f>IF(G7068="","",G7068-I7068)</f>
        <v/>
      </c>
      <c r="I7068" s="8">
        <f>IF(D7068="","",VLOOKUP(D7068, RECETTES!B:G, 6, FALSE)*E7068)</f>
        <v/>
      </c>
      <c r="J7068" s="8">
        <f>IF(G7068="","",G7068*0.20)</f>
        <v/>
      </c>
      <c r="K7068" s="8">
        <f>IF(G7068="","",G7068+J7068)</f>
        <v/>
      </c>
    </row>
    <row r="7069">
      <c r="F7069" s="8" t="n"/>
      <c r="G7069" s="8">
        <f>IF(E7069="","",E7069*F7069)</f>
        <v/>
      </c>
      <c r="H7069" s="8">
        <f>IF(G7069="","",G7069-I7069)</f>
        <v/>
      </c>
      <c r="I7069" s="8">
        <f>IF(D7069="","",VLOOKUP(D7069, RECETTES!B:G, 6, FALSE)*E7069)</f>
        <v/>
      </c>
      <c r="J7069" s="8">
        <f>IF(G7069="","",G7069*0.20)</f>
        <v/>
      </c>
      <c r="K7069" s="8">
        <f>IF(G7069="","",G7069+J7069)</f>
        <v/>
      </c>
    </row>
    <row r="7070">
      <c r="F7070" s="8" t="n"/>
      <c r="G7070" s="8">
        <f>IF(E7070="","",E7070*F7070)</f>
        <v/>
      </c>
      <c r="H7070" s="8">
        <f>IF(G7070="","",G7070-I7070)</f>
        <v/>
      </c>
      <c r="I7070" s="8">
        <f>IF(D7070="","",VLOOKUP(D7070, RECETTES!B:G, 6, FALSE)*E7070)</f>
        <v/>
      </c>
      <c r="J7070" s="8">
        <f>IF(G7070="","",G7070*0.20)</f>
        <v/>
      </c>
      <c r="K7070" s="8">
        <f>IF(G7070="","",G7070+J7070)</f>
        <v/>
      </c>
    </row>
    <row r="7071">
      <c r="F7071" s="8" t="n"/>
      <c r="G7071" s="8">
        <f>IF(E7071="","",E7071*F7071)</f>
        <v/>
      </c>
      <c r="H7071" s="8">
        <f>IF(G7071="","",G7071-I7071)</f>
        <v/>
      </c>
      <c r="I7071" s="8">
        <f>IF(D7071="","",VLOOKUP(D7071, RECETTES!B:G, 6, FALSE)*E7071)</f>
        <v/>
      </c>
      <c r="J7071" s="8">
        <f>IF(G7071="","",G7071*0.20)</f>
        <v/>
      </c>
      <c r="K7071" s="8">
        <f>IF(G7071="","",G7071+J7071)</f>
        <v/>
      </c>
    </row>
    <row r="7072">
      <c r="F7072" s="8" t="n"/>
      <c r="G7072" s="8">
        <f>IF(E7072="","",E7072*F7072)</f>
        <v/>
      </c>
      <c r="H7072" s="8">
        <f>IF(G7072="","",G7072-I7072)</f>
        <v/>
      </c>
      <c r="I7072" s="8">
        <f>IF(D7072="","",VLOOKUP(D7072, RECETTES!B:G, 6, FALSE)*E7072)</f>
        <v/>
      </c>
      <c r="J7072" s="8">
        <f>IF(G7072="","",G7072*0.20)</f>
        <v/>
      </c>
      <c r="K7072" s="8">
        <f>IF(G7072="","",G7072+J7072)</f>
        <v/>
      </c>
    </row>
    <row r="7073">
      <c r="F7073" s="8" t="n"/>
      <c r="G7073" s="8">
        <f>IF(E7073="","",E7073*F7073)</f>
        <v/>
      </c>
      <c r="H7073" s="8">
        <f>IF(G7073="","",G7073-I7073)</f>
        <v/>
      </c>
      <c r="I7073" s="8">
        <f>IF(D7073="","",VLOOKUP(D7073, RECETTES!B:G, 6, FALSE)*E7073)</f>
        <v/>
      </c>
      <c r="J7073" s="8">
        <f>IF(G7073="","",G7073*0.20)</f>
        <v/>
      </c>
      <c r="K7073" s="8">
        <f>IF(G7073="","",G7073+J7073)</f>
        <v/>
      </c>
    </row>
    <row r="7074">
      <c r="F7074" s="8" t="n"/>
      <c r="G7074" s="8">
        <f>IF(E7074="","",E7074*F7074)</f>
        <v/>
      </c>
      <c r="H7074" s="8">
        <f>IF(G7074="","",G7074-I7074)</f>
        <v/>
      </c>
      <c r="I7074" s="8">
        <f>IF(D7074="","",VLOOKUP(D7074, RECETTES!B:G, 6, FALSE)*E7074)</f>
        <v/>
      </c>
      <c r="J7074" s="8">
        <f>IF(G7074="","",G7074*0.20)</f>
        <v/>
      </c>
      <c r="K7074" s="8">
        <f>IF(G7074="","",G7074+J7074)</f>
        <v/>
      </c>
    </row>
    <row r="7075">
      <c r="F7075" s="8" t="n"/>
      <c r="G7075" s="8">
        <f>IF(E7075="","",E7075*F7075)</f>
        <v/>
      </c>
      <c r="H7075" s="8">
        <f>IF(G7075="","",G7075-I7075)</f>
        <v/>
      </c>
      <c r="I7075" s="8">
        <f>IF(D7075="","",VLOOKUP(D7075, RECETTES!B:G, 6, FALSE)*E7075)</f>
        <v/>
      </c>
      <c r="J7075" s="8">
        <f>IF(G7075="","",G7075*0.20)</f>
        <v/>
      </c>
      <c r="K7075" s="8">
        <f>IF(G7075="","",G7075+J7075)</f>
        <v/>
      </c>
    </row>
    <row r="7076">
      <c r="F7076" s="8" t="n"/>
      <c r="G7076" s="8">
        <f>IF(E7076="","",E7076*F7076)</f>
        <v/>
      </c>
      <c r="H7076" s="8">
        <f>IF(G7076="","",G7076-I7076)</f>
        <v/>
      </c>
      <c r="I7076" s="8">
        <f>IF(D7076="","",VLOOKUP(D7076, RECETTES!B:G, 6, FALSE)*E7076)</f>
        <v/>
      </c>
      <c r="J7076" s="8">
        <f>IF(G7076="","",G7076*0.20)</f>
        <v/>
      </c>
      <c r="K7076" s="8">
        <f>IF(G7076="","",G7076+J7076)</f>
        <v/>
      </c>
    </row>
    <row r="7077">
      <c r="F7077" s="8" t="n"/>
      <c r="G7077" s="8">
        <f>IF(E7077="","",E7077*F7077)</f>
        <v/>
      </c>
      <c r="H7077" s="8">
        <f>IF(G7077="","",G7077-I7077)</f>
        <v/>
      </c>
      <c r="I7077" s="8">
        <f>IF(D7077="","",VLOOKUP(D7077, RECETTES!B:G, 6, FALSE)*E7077)</f>
        <v/>
      </c>
      <c r="J7077" s="8">
        <f>IF(G7077="","",G7077*0.20)</f>
        <v/>
      </c>
      <c r="K7077" s="8">
        <f>IF(G7077="","",G7077+J7077)</f>
        <v/>
      </c>
    </row>
    <row r="7078">
      <c r="F7078" s="8" t="n"/>
      <c r="G7078" s="8">
        <f>IF(E7078="","",E7078*F7078)</f>
        <v/>
      </c>
      <c r="H7078" s="8">
        <f>IF(G7078="","",G7078-I7078)</f>
        <v/>
      </c>
      <c r="I7078" s="8">
        <f>IF(D7078="","",VLOOKUP(D7078, RECETTES!B:G, 6, FALSE)*E7078)</f>
        <v/>
      </c>
      <c r="J7078" s="8">
        <f>IF(G7078="","",G7078*0.20)</f>
        <v/>
      </c>
      <c r="K7078" s="8">
        <f>IF(G7078="","",G7078+J7078)</f>
        <v/>
      </c>
    </row>
    <row r="7079">
      <c r="F7079" s="8" t="n"/>
      <c r="G7079" s="8">
        <f>IF(E7079="","",E7079*F7079)</f>
        <v/>
      </c>
      <c r="H7079" s="8">
        <f>IF(G7079="","",G7079-I7079)</f>
        <v/>
      </c>
      <c r="I7079" s="8">
        <f>IF(D7079="","",VLOOKUP(D7079, RECETTES!B:G, 6, FALSE)*E7079)</f>
        <v/>
      </c>
      <c r="J7079" s="8">
        <f>IF(G7079="","",G7079*0.20)</f>
        <v/>
      </c>
      <c r="K7079" s="8">
        <f>IF(G7079="","",G7079+J7079)</f>
        <v/>
      </c>
    </row>
    <row r="7080">
      <c r="F7080" s="8" t="n"/>
      <c r="G7080" s="8">
        <f>IF(E7080="","",E7080*F7080)</f>
        <v/>
      </c>
      <c r="H7080" s="8">
        <f>IF(G7080="","",G7080-I7080)</f>
        <v/>
      </c>
      <c r="I7080" s="8">
        <f>IF(D7080="","",VLOOKUP(D7080, RECETTES!B:G, 6, FALSE)*E7080)</f>
        <v/>
      </c>
      <c r="J7080" s="8">
        <f>IF(G7080="","",G7080*0.20)</f>
        <v/>
      </c>
      <c r="K7080" s="8">
        <f>IF(G7080="","",G7080+J7080)</f>
        <v/>
      </c>
    </row>
    <row r="7081">
      <c r="F7081" s="8" t="n"/>
      <c r="G7081" s="8">
        <f>IF(E7081="","",E7081*F7081)</f>
        <v/>
      </c>
      <c r="H7081" s="8">
        <f>IF(G7081="","",G7081-I7081)</f>
        <v/>
      </c>
      <c r="I7081" s="8">
        <f>IF(D7081="","",VLOOKUP(D7081, RECETTES!B:G, 6, FALSE)*E7081)</f>
        <v/>
      </c>
      <c r="J7081" s="8">
        <f>IF(G7081="","",G7081*0.20)</f>
        <v/>
      </c>
      <c r="K7081" s="8">
        <f>IF(G7081="","",G7081+J7081)</f>
        <v/>
      </c>
    </row>
    <row r="7082">
      <c r="F7082" s="8" t="n"/>
      <c r="G7082" s="8">
        <f>IF(E7082="","",E7082*F7082)</f>
        <v/>
      </c>
      <c r="H7082" s="8">
        <f>IF(G7082="","",G7082-I7082)</f>
        <v/>
      </c>
      <c r="I7082" s="8">
        <f>IF(D7082="","",VLOOKUP(D7082, RECETTES!B:G, 6, FALSE)*E7082)</f>
        <v/>
      </c>
      <c r="J7082" s="8">
        <f>IF(G7082="","",G7082*0.20)</f>
        <v/>
      </c>
      <c r="K7082" s="8">
        <f>IF(G7082="","",G7082+J7082)</f>
        <v/>
      </c>
    </row>
    <row r="7083">
      <c r="F7083" s="8" t="n"/>
      <c r="G7083" s="8">
        <f>IF(E7083="","",E7083*F7083)</f>
        <v/>
      </c>
      <c r="H7083" s="8">
        <f>IF(G7083="","",G7083-I7083)</f>
        <v/>
      </c>
      <c r="I7083" s="8">
        <f>IF(D7083="","",VLOOKUP(D7083, RECETTES!B:G, 6, FALSE)*E7083)</f>
        <v/>
      </c>
      <c r="J7083" s="8">
        <f>IF(G7083="","",G7083*0.20)</f>
        <v/>
      </c>
      <c r="K7083" s="8">
        <f>IF(G7083="","",G7083+J7083)</f>
        <v/>
      </c>
    </row>
    <row r="7084">
      <c r="F7084" s="8" t="n"/>
      <c r="G7084" s="8">
        <f>IF(E7084="","",E7084*F7084)</f>
        <v/>
      </c>
      <c r="H7084" s="8">
        <f>IF(G7084="","",G7084-I7084)</f>
        <v/>
      </c>
      <c r="I7084" s="8">
        <f>IF(D7084="","",VLOOKUP(D7084, RECETTES!B:G, 6, FALSE)*E7084)</f>
        <v/>
      </c>
      <c r="J7084" s="8">
        <f>IF(G7084="","",G7084*0.20)</f>
        <v/>
      </c>
      <c r="K7084" s="8">
        <f>IF(G7084="","",G7084+J7084)</f>
        <v/>
      </c>
    </row>
    <row r="7085">
      <c r="F7085" s="8" t="n"/>
      <c r="G7085" s="8">
        <f>IF(E7085="","",E7085*F7085)</f>
        <v/>
      </c>
      <c r="H7085" s="8">
        <f>IF(G7085="","",G7085-I7085)</f>
        <v/>
      </c>
      <c r="I7085" s="8">
        <f>IF(D7085="","",VLOOKUP(D7085, RECETTES!B:G, 6, FALSE)*E7085)</f>
        <v/>
      </c>
      <c r="J7085" s="8">
        <f>IF(G7085="","",G7085*0.20)</f>
        <v/>
      </c>
      <c r="K7085" s="8">
        <f>IF(G7085="","",G7085+J7085)</f>
        <v/>
      </c>
    </row>
    <row r="7086">
      <c r="F7086" s="8" t="n"/>
      <c r="G7086" s="8">
        <f>IF(E7086="","",E7086*F7086)</f>
        <v/>
      </c>
      <c r="H7086" s="8">
        <f>IF(G7086="","",G7086-I7086)</f>
        <v/>
      </c>
      <c r="I7086" s="8">
        <f>IF(D7086="","",VLOOKUP(D7086, RECETTES!B:G, 6, FALSE)*E7086)</f>
        <v/>
      </c>
      <c r="J7086" s="8">
        <f>IF(G7086="","",G7086*0.20)</f>
        <v/>
      </c>
      <c r="K7086" s="8">
        <f>IF(G7086="","",G7086+J7086)</f>
        <v/>
      </c>
    </row>
    <row r="7087">
      <c r="F7087" s="8" t="n"/>
      <c r="G7087" s="8">
        <f>IF(E7087="","",E7087*F7087)</f>
        <v/>
      </c>
      <c r="H7087" s="8">
        <f>IF(G7087="","",G7087-I7087)</f>
        <v/>
      </c>
      <c r="I7087" s="8">
        <f>IF(D7087="","",VLOOKUP(D7087, RECETTES!B:G, 6, FALSE)*E7087)</f>
        <v/>
      </c>
      <c r="J7087" s="8">
        <f>IF(G7087="","",G7087*0.20)</f>
        <v/>
      </c>
      <c r="K7087" s="8">
        <f>IF(G7087="","",G7087+J7087)</f>
        <v/>
      </c>
    </row>
    <row r="7088">
      <c r="F7088" s="8" t="n"/>
      <c r="G7088" s="8">
        <f>IF(E7088="","",E7088*F7088)</f>
        <v/>
      </c>
      <c r="H7088" s="8">
        <f>IF(G7088="","",G7088-I7088)</f>
        <v/>
      </c>
      <c r="I7088" s="8">
        <f>IF(D7088="","",VLOOKUP(D7088, RECETTES!B:G, 6, FALSE)*E7088)</f>
        <v/>
      </c>
      <c r="J7088" s="8">
        <f>IF(G7088="","",G7088*0.20)</f>
        <v/>
      </c>
      <c r="K7088" s="8">
        <f>IF(G7088="","",G7088+J7088)</f>
        <v/>
      </c>
    </row>
    <row r="7089">
      <c r="F7089" s="8" t="n"/>
      <c r="G7089" s="8">
        <f>IF(E7089="","",E7089*F7089)</f>
        <v/>
      </c>
      <c r="H7089" s="8">
        <f>IF(G7089="","",G7089-I7089)</f>
        <v/>
      </c>
      <c r="I7089" s="8">
        <f>IF(D7089="","",VLOOKUP(D7089, RECETTES!B:G, 6, FALSE)*E7089)</f>
        <v/>
      </c>
      <c r="J7089" s="8">
        <f>IF(G7089="","",G7089*0.20)</f>
        <v/>
      </c>
      <c r="K7089" s="8">
        <f>IF(G7089="","",G7089+J7089)</f>
        <v/>
      </c>
    </row>
    <row r="7090">
      <c r="F7090" s="8" t="n"/>
      <c r="G7090" s="8">
        <f>IF(E7090="","",E7090*F7090)</f>
        <v/>
      </c>
      <c r="H7090" s="8">
        <f>IF(G7090="","",G7090-I7090)</f>
        <v/>
      </c>
      <c r="I7090" s="8">
        <f>IF(D7090="","",VLOOKUP(D7090, RECETTES!B:G, 6, FALSE)*E7090)</f>
        <v/>
      </c>
      <c r="J7090" s="8">
        <f>IF(G7090="","",G7090*0.20)</f>
        <v/>
      </c>
      <c r="K7090" s="8">
        <f>IF(G7090="","",G7090+J7090)</f>
        <v/>
      </c>
    </row>
    <row r="7091">
      <c r="F7091" s="8" t="n"/>
      <c r="G7091" s="8">
        <f>IF(E7091="","",E7091*F7091)</f>
        <v/>
      </c>
      <c r="H7091" s="8">
        <f>IF(G7091="","",G7091-I7091)</f>
        <v/>
      </c>
      <c r="I7091" s="8">
        <f>IF(D7091="","",VLOOKUP(D7091, RECETTES!B:G, 6, FALSE)*E7091)</f>
        <v/>
      </c>
      <c r="J7091" s="8">
        <f>IF(G7091="","",G7091*0.20)</f>
        <v/>
      </c>
      <c r="K7091" s="8">
        <f>IF(G7091="","",G7091+J7091)</f>
        <v/>
      </c>
    </row>
    <row r="7092">
      <c r="F7092" s="8" t="n"/>
      <c r="G7092" s="8">
        <f>IF(E7092="","",E7092*F7092)</f>
        <v/>
      </c>
      <c r="H7092" s="8">
        <f>IF(G7092="","",G7092-I7092)</f>
        <v/>
      </c>
      <c r="I7092" s="8">
        <f>IF(D7092="","",VLOOKUP(D7092, RECETTES!B:G, 6, FALSE)*E7092)</f>
        <v/>
      </c>
      <c r="J7092" s="8">
        <f>IF(G7092="","",G7092*0.20)</f>
        <v/>
      </c>
      <c r="K7092" s="8">
        <f>IF(G7092="","",G7092+J7092)</f>
        <v/>
      </c>
    </row>
    <row r="7093">
      <c r="F7093" s="8" t="n"/>
      <c r="G7093" s="8">
        <f>IF(E7093="","",E7093*F7093)</f>
        <v/>
      </c>
      <c r="H7093" s="8">
        <f>IF(G7093="","",G7093-I7093)</f>
        <v/>
      </c>
      <c r="I7093" s="8">
        <f>IF(D7093="","",VLOOKUP(D7093, RECETTES!B:G, 6, FALSE)*E7093)</f>
        <v/>
      </c>
      <c r="J7093" s="8">
        <f>IF(G7093="","",G7093*0.20)</f>
        <v/>
      </c>
      <c r="K7093" s="8">
        <f>IF(G7093="","",G7093+J7093)</f>
        <v/>
      </c>
    </row>
    <row r="7094">
      <c r="F7094" s="8" t="n"/>
      <c r="G7094" s="8">
        <f>IF(E7094="","",E7094*F7094)</f>
        <v/>
      </c>
      <c r="H7094" s="8">
        <f>IF(G7094="","",G7094-I7094)</f>
        <v/>
      </c>
      <c r="I7094" s="8">
        <f>IF(D7094="","",VLOOKUP(D7094, RECETTES!B:G, 6, FALSE)*E7094)</f>
        <v/>
      </c>
      <c r="J7094" s="8">
        <f>IF(G7094="","",G7094*0.20)</f>
        <v/>
      </c>
      <c r="K7094" s="8">
        <f>IF(G7094="","",G7094+J7094)</f>
        <v/>
      </c>
    </row>
    <row r="7095">
      <c r="F7095" s="8" t="n"/>
      <c r="G7095" s="8">
        <f>IF(E7095="","",E7095*F7095)</f>
        <v/>
      </c>
      <c r="H7095" s="8">
        <f>IF(G7095="","",G7095-I7095)</f>
        <v/>
      </c>
      <c r="I7095" s="8">
        <f>IF(D7095="","",VLOOKUP(D7095, RECETTES!B:G, 6, FALSE)*E7095)</f>
        <v/>
      </c>
      <c r="J7095" s="8">
        <f>IF(G7095="","",G7095*0.20)</f>
        <v/>
      </c>
      <c r="K7095" s="8">
        <f>IF(G7095="","",G7095+J7095)</f>
        <v/>
      </c>
    </row>
    <row r="7096">
      <c r="F7096" s="8" t="n"/>
      <c r="G7096" s="8">
        <f>IF(E7096="","",E7096*F7096)</f>
        <v/>
      </c>
      <c r="H7096" s="8">
        <f>IF(G7096="","",G7096-I7096)</f>
        <v/>
      </c>
      <c r="I7096" s="8">
        <f>IF(D7096="","",VLOOKUP(D7096, RECETTES!B:G, 6, FALSE)*E7096)</f>
        <v/>
      </c>
      <c r="J7096" s="8">
        <f>IF(G7096="","",G7096*0.20)</f>
        <v/>
      </c>
      <c r="K7096" s="8">
        <f>IF(G7096="","",G7096+J7096)</f>
        <v/>
      </c>
    </row>
    <row r="7097">
      <c r="F7097" s="8" t="n"/>
      <c r="G7097" s="8">
        <f>IF(E7097="","",E7097*F7097)</f>
        <v/>
      </c>
      <c r="H7097" s="8">
        <f>IF(G7097="","",G7097-I7097)</f>
        <v/>
      </c>
      <c r="I7097" s="8">
        <f>IF(D7097="","",VLOOKUP(D7097, RECETTES!B:G, 6, FALSE)*E7097)</f>
        <v/>
      </c>
      <c r="J7097" s="8">
        <f>IF(G7097="","",G7097*0.20)</f>
        <v/>
      </c>
      <c r="K7097" s="8">
        <f>IF(G7097="","",G7097+J7097)</f>
        <v/>
      </c>
    </row>
    <row r="7098">
      <c r="F7098" s="8" t="n"/>
      <c r="G7098" s="8">
        <f>IF(E7098="","",E7098*F7098)</f>
        <v/>
      </c>
      <c r="H7098" s="8">
        <f>IF(G7098="","",G7098-I7098)</f>
        <v/>
      </c>
      <c r="I7098" s="8">
        <f>IF(D7098="","",VLOOKUP(D7098, RECETTES!B:G, 6, FALSE)*E7098)</f>
        <v/>
      </c>
      <c r="J7098" s="8">
        <f>IF(G7098="","",G7098*0.20)</f>
        <v/>
      </c>
      <c r="K7098" s="8">
        <f>IF(G7098="","",G7098+J7098)</f>
        <v/>
      </c>
    </row>
    <row r="7099">
      <c r="F7099" s="8" t="n"/>
      <c r="G7099" s="8">
        <f>IF(E7099="","",E7099*F7099)</f>
        <v/>
      </c>
      <c r="H7099" s="8">
        <f>IF(G7099="","",G7099-I7099)</f>
        <v/>
      </c>
      <c r="I7099" s="8">
        <f>IF(D7099="","",VLOOKUP(D7099, RECETTES!B:G, 6, FALSE)*E7099)</f>
        <v/>
      </c>
      <c r="J7099" s="8">
        <f>IF(G7099="","",G7099*0.20)</f>
        <v/>
      </c>
      <c r="K7099" s="8">
        <f>IF(G7099="","",G7099+J7099)</f>
        <v/>
      </c>
    </row>
    <row r="7100">
      <c r="F7100" s="8" t="n"/>
      <c r="G7100" s="8">
        <f>IF(E7100="","",E7100*F7100)</f>
        <v/>
      </c>
      <c r="H7100" s="8">
        <f>IF(G7100="","",G7100-I7100)</f>
        <v/>
      </c>
      <c r="I7100" s="8">
        <f>IF(D7100="","",VLOOKUP(D7100, RECETTES!B:G, 6, FALSE)*E7100)</f>
        <v/>
      </c>
      <c r="J7100" s="8">
        <f>IF(G7100="","",G7100*0.20)</f>
        <v/>
      </c>
      <c r="K7100" s="8">
        <f>IF(G7100="","",G7100+J7100)</f>
        <v/>
      </c>
    </row>
    <row r="7101">
      <c r="F7101" s="8" t="n"/>
      <c r="G7101" s="8">
        <f>IF(E7101="","",E7101*F7101)</f>
        <v/>
      </c>
      <c r="H7101" s="8">
        <f>IF(G7101="","",G7101-I7101)</f>
        <v/>
      </c>
      <c r="I7101" s="8">
        <f>IF(D7101="","",VLOOKUP(D7101, RECETTES!B:G, 6, FALSE)*E7101)</f>
        <v/>
      </c>
      <c r="J7101" s="8">
        <f>IF(G7101="","",G7101*0.20)</f>
        <v/>
      </c>
      <c r="K7101" s="8">
        <f>IF(G7101="","",G7101+J7101)</f>
        <v/>
      </c>
    </row>
    <row r="7102">
      <c r="F7102" s="8" t="n"/>
      <c r="G7102" s="8">
        <f>IF(E7102="","",E7102*F7102)</f>
        <v/>
      </c>
      <c r="H7102" s="8">
        <f>IF(G7102="","",G7102-I7102)</f>
        <v/>
      </c>
      <c r="I7102" s="8">
        <f>IF(D7102="","",VLOOKUP(D7102, RECETTES!B:G, 6, FALSE)*E7102)</f>
        <v/>
      </c>
      <c r="J7102" s="8">
        <f>IF(G7102="","",G7102*0.20)</f>
        <v/>
      </c>
      <c r="K7102" s="8">
        <f>IF(G7102="","",G7102+J7102)</f>
        <v/>
      </c>
    </row>
    <row r="7103">
      <c r="F7103" s="8" t="n"/>
      <c r="G7103" s="8">
        <f>IF(E7103="","",E7103*F7103)</f>
        <v/>
      </c>
      <c r="H7103" s="8">
        <f>IF(G7103="","",G7103-I7103)</f>
        <v/>
      </c>
      <c r="I7103" s="8">
        <f>IF(D7103="","",VLOOKUP(D7103, RECETTES!B:G, 6, FALSE)*E7103)</f>
        <v/>
      </c>
      <c r="J7103" s="8">
        <f>IF(G7103="","",G7103*0.20)</f>
        <v/>
      </c>
      <c r="K7103" s="8">
        <f>IF(G7103="","",G7103+J7103)</f>
        <v/>
      </c>
    </row>
    <row r="7104">
      <c r="F7104" s="8" t="n"/>
      <c r="G7104" s="8">
        <f>IF(E7104="","",E7104*F7104)</f>
        <v/>
      </c>
      <c r="H7104" s="8">
        <f>IF(G7104="","",G7104-I7104)</f>
        <v/>
      </c>
      <c r="I7104" s="8">
        <f>IF(D7104="","",VLOOKUP(D7104, RECETTES!B:G, 6, FALSE)*E7104)</f>
        <v/>
      </c>
      <c r="J7104" s="8">
        <f>IF(G7104="","",G7104*0.20)</f>
        <v/>
      </c>
      <c r="K7104" s="8">
        <f>IF(G7104="","",G7104+J7104)</f>
        <v/>
      </c>
    </row>
    <row r="7105">
      <c r="F7105" s="8" t="n"/>
      <c r="G7105" s="8">
        <f>IF(E7105="","",E7105*F7105)</f>
        <v/>
      </c>
      <c r="H7105" s="8">
        <f>IF(G7105="","",G7105-I7105)</f>
        <v/>
      </c>
      <c r="I7105" s="8">
        <f>IF(D7105="","",VLOOKUP(D7105, RECETTES!B:G, 6, FALSE)*E7105)</f>
        <v/>
      </c>
      <c r="J7105" s="8">
        <f>IF(G7105="","",G7105*0.20)</f>
        <v/>
      </c>
      <c r="K7105" s="8">
        <f>IF(G7105="","",G7105+J7105)</f>
        <v/>
      </c>
    </row>
    <row r="7106">
      <c r="F7106" s="8" t="n"/>
      <c r="G7106" s="8">
        <f>IF(E7106="","",E7106*F7106)</f>
        <v/>
      </c>
      <c r="H7106" s="8">
        <f>IF(G7106="","",G7106-I7106)</f>
        <v/>
      </c>
      <c r="I7106" s="8">
        <f>IF(D7106="","",VLOOKUP(D7106, RECETTES!B:G, 6, FALSE)*E7106)</f>
        <v/>
      </c>
      <c r="J7106" s="8">
        <f>IF(G7106="","",G7106*0.20)</f>
        <v/>
      </c>
      <c r="K7106" s="8">
        <f>IF(G7106="","",G7106+J7106)</f>
        <v/>
      </c>
    </row>
    <row r="7107">
      <c r="F7107" s="8" t="n"/>
      <c r="G7107" s="8">
        <f>IF(E7107="","",E7107*F7107)</f>
        <v/>
      </c>
      <c r="H7107" s="8">
        <f>IF(G7107="","",G7107-I7107)</f>
        <v/>
      </c>
      <c r="I7107" s="8">
        <f>IF(D7107="","",VLOOKUP(D7107, RECETTES!B:G, 6, FALSE)*E7107)</f>
        <v/>
      </c>
      <c r="J7107" s="8">
        <f>IF(G7107="","",G7107*0.20)</f>
        <v/>
      </c>
      <c r="K7107" s="8">
        <f>IF(G7107="","",G7107+J7107)</f>
        <v/>
      </c>
    </row>
    <row r="7108">
      <c r="F7108" s="8" t="n"/>
      <c r="G7108" s="8">
        <f>IF(E7108="","",E7108*F7108)</f>
        <v/>
      </c>
      <c r="H7108" s="8">
        <f>IF(G7108="","",G7108-I7108)</f>
        <v/>
      </c>
      <c r="I7108" s="8">
        <f>IF(D7108="","",VLOOKUP(D7108, RECETTES!B:G, 6, FALSE)*E7108)</f>
        <v/>
      </c>
      <c r="J7108" s="8">
        <f>IF(G7108="","",G7108*0.20)</f>
        <v/>
      </c>
      <c r="K7108" s="8">
        <f>IF(G7108="","",G7108+J7108)</f>
        <v/>
      </c>
    </row>
    <row r="7109">
      <c r="F7109" s="8" t="n"/>
      <c r="G7109" s="8">
        <f>IF(E7109="","",E7109*F7109)</f>
        <v/>
      </c>
      <c r="H7109" s="8">
        <f>IF(G7109="","",G7109-I7109)</f>
        <v/>
      </c>
      <c r="I7109" s="8">
        <f>IF(D7109="","",VLOOKUP(D7109, RECETTES!B:G, 6, FALSE)*E7109)</f>
        <v/>
      </c>
      <c r="J7109" s="8">
        <f>IF(G7109="","",G7109*0.20)</f>
        <v/>
      </c>
      <c r="K7109" s="8">
        <f>IF(G7109="","",G7109+J7109)</f>
        <v/>
      </c>
    </row>
    <row r="7110">
      <c r="F7110" s="8" t="n"/>
      <c r="G7110" s="8">
        <f>IF(E7110="","",E7110*F7110)</f>
        <v/>
      </c>
      <c r="H7110" s="8">
        <f>IF(G7110="","",G7110-I7110)</f>
        <v/>
      </c>
      <c r="I7110" s="8">
        <f>IF(D7110="","",VLOOKUP(D7110, RECETTES!B:G, 6, FALSE)*E7110)</f>
        <v/>
      </c>
      <c r="J7110" s="8">
        <f>IF(G7110="","",G7110*0.20)</f>
        <v/>
      </c>
      <c r="K7110" s="8">
        <f>IF(G7110="","",G7110+J7110)</f>
        <v/>
      </c>
    </row>
    <row r="7111">
      <c r="F7111" s="8" t="n"/>
      <c r="G7111" s="8">
        <f>IF(E7111="","",E7111*F7111)</f>
        <v/>
      </c>
      <c r="H7111" s="8">
        <f>IF(G7111="","",G7111-I7111)</f>
        <v/>
      </c>
      <c r="I7111" s="8">
        <f>IF(D7111="","",VLOOKUP(D7111, RECETTES!B:G, 6, FALSE)*E7111)</f>
        <v/>
      </c>
      <c r="J7111" s="8">
        <f>IF(G7111="","",G7111*0.20)</f>
        <v/>
      </c>
      <c r="K7111" s="8">
        <f>IF(G7111="","",G7111+J7111)</f>
        <v/>
      </c>
    </row>
    <row r="7112">
      <c r="F7112" s="8" t="n"/>
      <c r="G7112" s="8">
        <f>IF(E7112="","",E7112*F7112)</f>
        <v/>
      </c>
      <c r="H7112" s="8">
        <f>IF(G7112="","",G7112-I7112)</f>
        <v/>
      </c>
      <c r="I7112" s="8">
        <f>IF(D7112="","",VLOOKUP(D7112, RECETTES!B:G, 6, FALSE)*E7112)</f>
        <v/>
      </c>
      <c r="J7112" s="8">
        <f>IF(G7112="","",G7112*0.20)</f>
        <v/>
      </c>
      <c r="K7112" s="8">
        <f>IF(G7112="","",G7112+J7112)</f>
        <v/>
      </c>
    </row>
    <row r="7113">
      <c r="F7113" s="8" t="n"/>
      <c r="G7113" s="8">
        <f>IF(E7113="","",E7113*F7113)</f>
        <v/>
      </c>
      <c r="H7113" s="8">
        <f>IF(G7113="","",G7113-I7113)</f>
        <v/>
      </c>
      <c r="I7113" s="8">
        <f>IF(D7113="","",VLOOKUP(D7113, RECETTES!B:G, 6, FALSE)*E7113)</f>
        <v/>
      </c>
      <c r="J7113" s="8">
        <f>IF(G7113="","",G7113*0.20)</f>
        <v/>
      </c>
      <c r="K7113" s="8">
        <f>IF(G7113="","",G7113+J7113)</f>
        <v/>
      </c>
    </row>
    <row r="7114">
      <c r="F7114" s="8" t="n"/>
      <c r="G7114" s="8">
        <f>IF(E7114="","",E7114*F7114)</f>
        <v/>
      </c>
      <c r="H7114" s="8">
        <f>IF(G7114="","",G7114-I7114)</f>
        <v/>
      </c>
      <c r="I7114" s="8">
        <f>IF(D7114="","",VLOOKUP(D7114, RECETTES!B:G, 6, FALSE)*E7114)</f>
        <v/>
      </c>
      <c r="J7114" s="8">
        <f>IF(G7114="","",G7114*0.20)</f>
        <v/>
      </c>
      <c r="K7114" s="8">
        <f>IF(G7114="","",G7114+J7114)</f>
        <v/>
      </c>
    </row>
    <row r="7115">
      <c r="F7115" s="8" t="n"/>
      <c r="G7115" s="8">
        <f>IF(E7115="","",E7115*F7115)</f>
        <v/>
      </c>
      <c r="H7115" s="8">
        <f>IF(G7115="","",G7115-I7115)</f>
        <v/>
      </c>
      <c r="I7115" s="8">
        <f>IF(D7115="","",VLOOKUP(D7115, RECETTES!B:G, 6, FALSE)*E7115)</f>
        <v/>
      </c>
      <c r="J7115" s="8">
        <f>IF(G7115="","",G7115*0.20)</f>
        <v/>
      </c>
      <c r="K7115" s="8">
        <f>IF(G7115="","",G7115+J7115)</f>
        <v/>
      </c>
    </row>
    <row r="7116">
      <c r="F7116" s="8" t="n"/>
      <c r="G7116" s="8">
        <f>IF(E7116="","",E7116*F7116)</f>
        <v/>
      </c>
      <c r="H7116" s="8">
        <f>IF(G7116="","",G7116-I7116)</f>
        <v/>
      </c>
      <c r="I7116" s="8">
        <f>IF(D7116="","",VLOOKUP(D7116, RECETTES!B:G, 6, FALSE)*E7116)</f>
        <v/>
      </c>
      <c r="J7116" s="8">
        <f>IF(G7116="","",G7116*0.20)</f>
        <v/>
      </c>
      <c r="K7116" s="8">
        <f>IF(G7116="","",G7116+J7116)</f>
        <v/>
      </c>
    </row>
    <row r="7117">
      <c r="F7117" s="8" t="n"/>
      <c r="G7117" s="8">
        <f>IF(E7117="","",E7117*F7117)</f>
        <v/>
      </c>
      <c r="H7117" s="8">
        <f>IF(G7117="","",G7117-I7117)</f>
        <v/>
      </c>
      <c r="I7117" s="8">
        <f>IF(D7117="","",VLOOKUP(D7117, RECETTES!B:G, 6, FALSE)*E7117)</f>
        <v/>
      </c>
      <c r="J7117" s="8">
        <f>IF(G7117="","",G7117*0.20)</f>
        <v/>
      </c>
      <c r="K7117" s="8">
        <f>IF(G7117="","",G7117+J7117)</f>
        <v/>
      </c>
    </row>
    <row r="7118">
      <c r="F7118" s="8" t="n"/>
      <c r="G7118" s="8">
        <f>IF(E7118="","",E7118*F7118)</f>
        <v/>
      </c>
      <c r="H7118" s="8">
        <f>IF(G7118="","",G7118-I7118)</f>
        <v/>
      </c>
      <c r="I7118" s="8">
        <f>IF(D7118="","",VLOOKUP(D7118, RECETTES!B:G, 6, FALSE)*E7118)</f>
        <v/>
      </c>
      <c r="J7118" s="8">
        <f>IF(G7118="","",G7118*0.20)</f>
        <v/>
      </c>
      <c r="K7118" s="8">
        <f>IF(G7118="","",G7118+J7118)</f>
        <v/>
      </c>
    </row>
    <row r="7119">
      <c r="F7119" s="8" t="n"/>
      <c r="G7119" s="8">
        <f>IF(E7119="","",E7119*F7119)</f>
        <v/>
      </c>
      <c r="H7119" s="8">
        <f>IF(G7119="","",G7119-I7119)</f>
        <v/>
      </c>
      <c r="I7119" s="8">
        <f>IF(D7119="","",VLOOKUP(D7119, RECETTES!B:G, 6, FALSE)*E7119)</f>
        <v/>
      </c>
      <c r="J7119" s="8">
        <f>IF(G7119="","",G7119*0.20)</f>
        <v/>
      </c>
      <c r="K7119" s="8">
        <f>IF(G7119="","",G7119+J7119)</f>
        <v/>
      </c>
    </row>
    <row r="7120">
      <c r="F7120" s="8" t="n"/>
      <c r="G7120" s="8">
        <f>IF(E7120="","",E7120*F7120)</f>
        <v/>
      </c>
      <c r="H7120" s="8">
        <f>IF(G7120="","",G7120-I7120)</f>
        <v/>
      </c>
      <c r="I7120" s="8">
        <f>IF(D7120="","",VLOOKUP(D7120, RECETTES!B:G, 6, FALSE)*E7120)</f>
        <v/>
      </c>
      <c r="J7120" s="8">
        <f>IF(G7120="","",G7120*0.20)</f>
        <v/>
      </c>
      <c r="K7120" s="8">
        <f>IF(G7120="","",G7120+J7120)</f>
        <v/>
      </c>
    </row>
    <row r="7121">
      <c r="F7121" s="8" t="n"/>
      <c r="G7121" s="8">
        <f>IF(E7121="","",E7121*F7121)</f>
        <v/>
      </c>
      <c r="H7121" s="8">
        <f>IF(G7121="","",G7121-I7121)</f>
        <v/>
      </c>
      <c r="I7121" s="8">
        <f>IF(D7121="","",VLOOKUP(D7121, RECETTES!B:G, 6, FALSE)*E7121)</f>
        <v/>
      </c>
      <c r="J7121" s="8">
        <f>IF(G7121="","",G7121*0.20)</f>
        <v/>
      </c>
      <c r="K7121" s="8">
        <f>IF(G7121="","",G7121+J7121)</f>
        <v/>
      </c>
    </row>
    <row r="7122">
      <c r="F7122" s="8" t="n"/>
      <c r="G7122" s="8">
        <f>IF(E7122="","",E7122*F7122)</f>
        <v/>
      </c>
      <c r="H7122" s="8">
        <f>IF(G7122="","",G7122-I7122)</f>
        <v/>
      </c>
      <c r="I7122" s="8">
        <f>IF(D7122="","",VLOOKUP(D7122, RECETTES!B:G, 6, FALSE)*E7122)</f>
        <v/>
      </c>
      <c r="J7122" s="8">
        <f>IF(G7122="","",G7122*0.20)</f>
        <v/>
      </c>
      <c r="K7122" s="8">
        <f>IF(G7122="","",G7122+J7122)</f>
        <v/>
      </c>
    </row>
    <row r="7123">
      <c r="F7123" s="8" t="n"/>
      <c r="G7123" s="8">
        <f>IF(E7123="","",E7123*F7123)</f>
        <v/>
      </c>
      <c r="H7123" s="8">
        <f>IF(G7123="","",G7123-I7123)</f>
        <v/>
      </c>
      <c r="I7123" s="8">
        <f>IF(D7123="","",VLOOKUP(D7123, RECETTES!B:G, 6, FALSE)*E7123)</f>
        <v/>
      </c>
      <c r="J7123" s="8">
        <f>IF(G7123="","",G7123*0.20)</f>
        <v/>
      </c>
      <c r="K7123" s="8">
        <f>IF(G7123="","",G7123+J7123)</f>
        <v/>
      </c>
    </row>
    <row r="7124">
      <c r="F7124" s="8" t="n"/>
      <c r="G7124" s="8">
        <f>IF(E7124="","",E7124*F7124)</f>
        <v/>
      </c>
      <c r="H7124" s="8">
        <f>IF(G7124="","",G7124-I7124)</f>
        <v/>
      </c>
      <c r="I7124" s="8">
        <f>IF(D7124="","",VLOOKUP(D7124, RECETTES!B:G, 6, FALSE)*E7124)</f>
        <v/>
      </c>
      <c r="J7124" s="8">
        <f>IF(G7124="","",G7124*0.20)</f>
        <v/>
      </c>
      <c r="K7124" s="8">
        <f>IF(G7124="","",G7124+J7124)</f>
        <v/>
      </c>
    </row>
    <row r="7125">
      <c r="F7125" s="8" t="n"/>
      <c r="G7125" s="8">
        <f>IF(E7125="","",E7125*F7125)</f>
        <v/>
      </c>
      <c r="H7125" s="8">
        <f>IF(G7125="","",G7125-I7125)</f>
        <v/>
      </c>
      <c r="I7125" s="8">
        <f>IF(D7125="","",VLOOKUP(D7125, RECETTES!B:G, 6, FALSE)*E7125)</f>
        <v/>
      </c>
      <c r="J7125" s="8">
        <f>IF(G7125="","",G7125*0.20)</f>
        <v/>
      </c>
      <c r="K7125" s="8">
        <f>IF(G7125="","",G7125+J7125)</f>
        <v/>
      </c>
    </row>
    <row r="7126">
      <c r="F7126" s="8" t="n"/>
      <c r="G7126" s="8">
        <f>IF(E7126="","",E7126*F7126)</f>
        <v/>
      </c>
      <c r="H7126" s="8">
        <f>IF(G7126="","",G7126-I7126)</f>
        <v/>
      </c>
      <c r="I7126" s="8">
        <f>IF(D7126="","",VLOOKUP(D7126, RECETTES!B:G, 6, FALSE)*E7126)</f>
        <v/>
      </c>
      <c r="J7126" s="8">
        <f>IF(G7126="","",G7126*0.20)</f>
        <v/>
      </c>
      <c r="K7126" s="8">
        <f>IF(G7126="","",G7126+J7126)</f>
        <v/>
      </c>
    </row>
    <row r="7127">
      <c r="F7127" s="8" t="n"/>
      <c r="G7127" s="8">
        <f>IF(E7127="","",E7127*F7127)</f>
        <v/>
      </c>
      <c r="H7127" s="8">
        <f>IF(G7127="","",G7127-I7127)</f>
        <v/>
      </c>
      <c r="I7127" s="8">
        <f>IF(D7127="","",VLOOKUP(D7127, RECETTES!B:G, 6, FALSE)*E7127)</f>
        <v/>
      </c>
      <c r="J7127" s="8">
        <f>IF(G7127="","",G7127*0.20)</f>
        <v/>
      </c>
      <c r="K7127" s="8">
        <f>IF(G7127="","",G7127+J7127)</f>
        <v/>
      </c>
    </row>
    <row r="7128">
      <c r="F7128" s="8" t="n"/>
      <c r="G7128" s="8">
        <f>IF(E7128="","",E7128*F7128)</f>
        <v/>
      </c>
      <c r="H7128" s="8">
        <f>IF(G7128="","",G7128-I7128)</f>
        <v/>
      </c>
      <c r="I7128" s="8">
        <f>IF(D7128="","",VLOOKUP(D7128, RECETTES!B:G, 6, FALSE)*E7128)</f>
        <v/>
      </c>
      <c r="J7128" s="8">
        <f>IF(G7128="","",G7128*0.20)</f>
        <v/>
      </c>
      <c r="K7128" s="8">
        <f>IF(G7128="","",G7128+J7128)</f>
        <v/>
      </c>
    </row>
    <row r="7129">
      <c r="F7129" s="8" t="n"/>
      <c r="G7129" s="8">
        <f>IF(E7129="","",E7129*F7129)</f>
        <v/>
      </c>
      <c r="H7129" s="8">
        <f>IF(G7129="","",G7129-I7129)</f>
        <v/>
      </c>
      <c r="I7129" s="8">
        <f>IF(D7129="","",VLOOKUP(D7129, RECETTES!B:G, 6, FALSE)*E7129)</f>
        <v/>
      </c>
      <c r="J7129" s="8">
        <f>IF(G7129="","",G7129*0.20)</f>
        <v/>
      </c>
      <c r="K7129" s="8">
        <f>IF(G7129="","",G7129+J7129)</f>
        <v/>
      </c>
    </row>
    <row r="7130">
      <c r="F7130" s="8" t="n"/>
      <c r="G7130" s="8">
        <f>IF(E7130="","",E7130*F7130)</f>
        <v/>
      </c>
      <c r="H7130" s="8">
        <f>IF(G7130="","",G7130-I7130)</f>
        <v/>
      </c>
      <c r="I7130" s="8">
        <f>IF(D7130="","",VLOOKUP(D7130, RECETTES!B:G, 6, FALSE)*E7130)</f>
        <v/>
      </c>
      <c r="J7130" s="8">
        <f>IF(G7130="","",G7130*0.20)</f>
        <v/>
      </c>
      <c r="K7130" s="8">
        <f>IF(G7130="","",G7130+J7130)</f>
        <v/>
      </c>
    </row>
    <row r="7131">
      <c r="F7131" s="8" t="n"/>
      <c r="G7131" s="8">
        <f>IF(E7131="","",E7131*F7131)</f>
        <v/>
      </c>
      <c r="H7131" s="8">
        <f>IF(G7131="","",G7131-I7131)</f>
        <v/>
      </c>
      <c r="I7131" s="8">
        <f>IF(D7131="","",VLOOKUP(D7131, RECETTES!B:G, 6, FALSE)*E7131)</f>
        <v/>
      </c>
      <c r="J7131" s="8">
        <f>IF(G7131="","",G7131*0.20)</f>
        <v/>
      </c>
      <c r="K7131" s="8">
        <f>IF(G7131="","",G7131+J7131)</f>
        <v/>
      </c>
    </row>
    <row r="7132">
      <c r="F7132" s="8" t="n"/>
      <c r="G7132" s="8">
        <f>IF(E7132="","",E7132*F7132)</f>
        <v/>
      </c>
      <c r="H7132" s="8">
        <f>IF(G7132="","",G7132-I7132)</f>
        <v/>
      </c>
      <c r="I7132" s="8">
        <f>IF(D7132="","",VLOOKUP(D7132, RECETTES!B:G, 6, FALSE)*E7132)</f>
        <v/>
      </c>
      <c r="J7132" s="8">
        <f>IF(G7132="","",G7132*0.20)</f>
        <v/>
      </c>
      <c r="K7132" s="8">
        <f>IF(G7132="","",G7132+J7132)</f>
        <v/>
      </c>
    </row>
    <row r="7133">
      <c r="F7133" s="8" t="n"/>
      <c r="G7133" s="8">
        <f>IF(E7133="","",E7133*F7133)</f>
        <v/>
      </c>
      <c r="H7133" s="8">
        <f>IF(G7133="","",G7133-I7133)</f>
        <v/>
      </c>
      <c r="I7133" s="8">
        <f>IF(D7133="","",VLOOKUP(D7133, RECETTES!B:G, 6, FALSE)*E7133)</f>
        <v/>
      </c>
      <c r="J7133" s="8">
        <f>IF(G7133="","",G7133*0.20)</f>
        <v/>
      </c>
      <c r="K7133" s="8">
        <f>IF(G7133="","",G7133+J7133)</f>
        <v/>
      </c>
    </row>
    <row r="7134">
      <c r="F7134" s="8" t="n"/>
      <c r="G7134" s="8">
        <f>IF(E7134="","",E7134*F7134)</f>
        <v/>
      </c>
      <c r="H7134" s="8">
        <f>IF(G7134="","",G7134-I7134)</f>
        <v/>
      </c>
      <c r="I7134" s="8">
        <f>IF(D7134="","",VLOOKUP(D7134, RECETTES!B:G, 6, FALSE)*E7134)</f>
        <v/>
      </c>
      <c r="J7134" s="8">
        <f>IF(G7134="","",G7134*0.20)</f>
        <v/>
      </c>
      <c r="K7134" s="8">
        <f>IF(G7134="","",G7134+J7134)</f>
        <v/>
      </c>
    </row>
    <row r="7135">
      <c r="F7135" s="8" t="n"/>
      <c r="G7135" s="8">
        <f>IF(E7135="","",E7135*F7135)</f>
        <v/>
      </c>
      <c r="H7135" s="8">
        <f>IF(G7135="","",G7135-I7135)</f>
        <v/>
      </c>
      <c r="I7135" s="8">
        <f>IF(D7135="","",VLOOKUP(D7135, RECETTES!B:G, 6, FALSE)*E7135)</f>
        <v/>
      </c>
      <c r="J7135" s="8">
        <f>IF(G7135="","",G7135*0.20)</f>
        <v/>
      </c>
      <c r="K7135" s="8">
        <f>IF(G7135="","",G7135+J7135)</f>
        <v/>
      </c>
    </row>
    <row r="7136">
      <c r="F7136" s="8" t="n"/>
      <c r="G7136" s="8">
        <f>IF(E7136="","",E7136*F7136)</f>
        <v/>
      </c>
      <c r="H7136" s="8">
        <f>IF(G7136="","",G7136-I7136)</f>
        <v/>
      </c>
      <c r="I7136" s="8">
        <f>IF(D7136="","",VLOOKUP(D7136, RECETTES!B:G, 6, FALSE)*E7136)</f>
        <v/>
      </c>
      <c r="J7136" s="8">
        <f>IF(G7136="","",G7136*0.20)</f>
        <v/>
      </c>
      <c r="K7136" s="8">
        <f>IF(G7136="","",G7136+J7136)</f>
        <v/>
      </c>
    </row>
    <row r="7137">
      <c r="F7137" s="8" t="n"/>
      <c r="G7137" s="8">
        <f>IF(E7137="","",E7137*F7137)</f>
        <v/>
      </c>
      <c r="H7137" s="8">
        <f>IF(G7137="","",G7137-I7137)</f>
        <v/>
      </c>
      <c r="I7137" s="8">
        <f>IF(D7137="","",VLOOKUP(D7137, RECETTES!B:G, 6, FALSE)*E7137)</f>
        <v/>
      </c>
      <c r="J7137" s="8">
        <f>IF(G7137="","",G7137*0.20)</f>
        <v/>
      </c>
      <c r="K7137" s="8">
        <f>IF(G7137="","",G7137+J7137)</f>
        <v/>
      </c>
    </row>
    <row r="7138">
      <c r="F7138" s="8" t="n"/>
      <c r="G7138" s="8">
        <f>IF(E7138="","",E7138*F7138)</f>
        <v/>
      </c>
      <c r="H7138" s="8">
        <f>IF(G7138="","",G7138-I7138)</f>
        <v/>
      </c>
      <c r="I7138" s="8">
        <f>IF(D7138="","",VLOOKUP(D7138, RECETTES!B:G, 6, FALSE)*E7138)</f>
        <v/>
      </c>
      <c r="J7138" s="8">
        <f>IF(G7138="","",G7138*0.20)</f>
        <v/>
      </c>
      <c r="K7138" s="8">
        <f>IF(G7138="","",G7138+J7138)</f>
        <v/>
      </c>
    </row>
    <row r="7139">
      <c r="F7139" s="8" t="n"/>
      <c r="G7139" s="8">
        <f>IF(E7139="","",E7139*F7139)</f>
        <v/>
      </c>
      <c r="H7139" s="8">
        <f>IF(G7139="","",G7139-I7139)</f>
        <v/>
      </c>
      <c r="I7139" s="8">
        <f>IF(D7139="","",VLOOKUP(D7139, RECETTES!B:G, 6, FALSE)*E7139)</f>
        <v/>
      </c>
      <c r="J7139" s="8">
        <f>IF(G7139="","",G7139*0.20)</f>
        <v/>
      </c>
      <c r="K7139" s="8">
        <f>IF(G7139="","",G7139+J7139)</f>
        <v/>
      </c>
    </row>
    <row r="7140">
      <c r="F7140" s="8" t="n"/>
      <c r="G7140" s="8">
        <f>IF(E7140="","",E7140*F7140)</f>
        <v/>
      </c>
      <c r="H7140" s="8">
        <f>IF(G7140="","",G7140-I7140)</f>
        <v/>
      </c>
      <c r="I7140" s="8">
        <f>IF(D7140="","",VLOOKUP(D7140, RECETTES!B:G, 6, FALSE)*E7140)</f>
        <v/>
      </c>
      <c r="J7140" s="8">
        <f>IF(G7140="","",G7140*0.20)</f>
        <v/>
      </c>
      <c r="K7140" s="8">
        <f>IF(G7140="","",G7140+J7140)</f>
        <v/>
      </c>
    </row>
    <row r="7141">
      <c r="F7141" s="8" t="n"/>
      <c r="G7141" s="8">
        <f>IF(E7141="","",E7141*F7141)</f>
        <v/>
      </c>
      <c r="H7141" s="8">
        <f>IF(G7141="","",G7141-I7141)</f>
        <v/>
      </c>
      <c r="I7141" s="8">
        <f>IF(D7141="","",VLOOKUP(D7141, RECETTES!B:G, 6, FALSE)*E7141)</f>
        <v/>
      </c>
      <c r="J7141" s="8">
        <f>IF(G7141="","",G7141*0.20)</f>
        <v/>
      </c>
      <c r="K7141" s="8">
        <f>IF(G7141="","",G7141+J7141)</f>
        <v/>
      </c>
    </row>
    <row r="7142">
      <c r="F7142" s="8" t="n"/>
      <c r="G7142" s="8">
        <f>IF(E7142="","",E7142*F7142)</f>
        <v/>
      </c>
      <c r="H7142" s="8">
        <f>IF(G7142="","",G7142-I7142)</f>
        <v/>
      </c>
      <c r="I7142" s="8">
        <f>IF(D7142="","",VLOOKUP(D7142, RECETTES!B:G, 6, FALSE)*E7142)</f>
        <v/>
      </c>
      <c r="J7142" s="8">
        <f>IF(G7142="","",G7142*0.20)</f>
        <v/>
      </c>
      <c r="K7142" s="8">
        <f>IF(G7142="","",G7142+J7142)</f>
        <v/>
      </c>
    </row>
    <row r="7143">
      <c r="F7143" s="8" t="n"/>
      <c r="G7143" s="8">
        <f>IF(E7143="","",E7143*F7143)</f>
        <v/>
      </c>
      <c r="H7143" s="8">
        <f>IF(G7143="","",G7143-I7143)</f>
        <v/>
      </c>
      <c r="I7143" s="8">
        <f>IF(D7143="","",VLOOKUP(D7143, RECETTES!B:G, 6, FALSE)*E7143)</f>
        <v/>
      </c>
      <c r="J7143" s="8">
        <f>IF(G7143="","",G7143*0.20)</f>
        <v/>
      </c>
      <c r="K7143" s="8">
        <f>IF(G7143="","",G7143+J7143)</f>
        <v/>
      </c>
    </row>
    <row r="7144">
      <c r="F7144" s="8" t="n"/>
      <c r="G7144" s="8">
        <f>IF(E7144="","",E7144*F7144)</f>
        <v/>
      </c>
      <c r="H7144" s="8">
        <f>IF(G7144="","",G7144-I7144)</f>
        <v/>
      </c>
      <c r="I7144" s="8">
        <f>IF(D7144="","",VLOOKUP(D7144, RECETTES!B:G, 6, FALSE)*E7144)</f>
        <v/>
      </c>
      <c r="J7144" s="8">
        <f>IF(G7144="","",G7144*0.20)</f>
        <v/>
      </c>
      <c r="K7144" s="8">
        <f>IF(G7144="","",G7144+J7144)</f>
        <v/>
      </c>
    </row>
    <row r="7145">
      <c r="F7145" s="8" t="n"/>
      <c r="G7145" s="8">
        <f>IF(E7145="","",E7145*F7145)</f>
        <v/>
      </c>
      <c r="H7145" s="8">
        <f>IF(G7145="","",G7145-I7145)</f>
        <v/>
      </c>
      <c r="I7145" s="8">
        <f>IF(D7145="","",VLOOKUP(D7145, RECETTES!B:G, 6, FALSE)*E7145)</f>
        <v/>
      </c>
      <c r="J7145" s="8">
        <f>IF(G7145="","",G7145*0.20)</f>
        <v/>
      </c>
      <c r="K7145" s="8">
        <f>IF(G7145="","",G7145+J7145)</f>
        <v/>
      </c>
    </row>
    <row r="7146">
      <c r="F7146" s="8" t="n"/>
      <c r="G7146" s="8">
        <f>IF(E7146="","",E7146*F7146)</f>
        <v/>
      </c>
      <c r="H7146" s="8">
        <f>IF(G7146="","",G7146-I7146)</f>
        <v/>
      </c>
      <c r="I7146" s="8">
        <f>IF(D7146="","",VLOOKUP(D7146, RECETTES!B:G, 6, FALSE)*E7146)</f>
        <v/>
      </c>
      <c r="J7146" s="8">
        <f>IF(G7146="","",G7146*0.20)</f>
        <v/>
      </c>
      <c r="K7146" s="8">
        <f>IF(G7146="","",G7146+J7146)</f>
        <v/>
      </c>
    </row>
    <row r="7147">
      <c r="F7147" s="8" t="n"/>
      <c r="G7147" s="8">
        <f>IF(E7147="","",E7147*F7147)</f>
        <v/>
      </c>
      <c r="H7147" s="8">
        <f>IF(G7147="","",G7147-I7147)</f>
        <v/>
      </c>
      <c r="I7147" s="8">
        <f>IF(D7147="","",VLOOKUP(D7147, RECETTES!B:G, 6, FALSE)*E7147)</f>
        <v/>
      </c>
      <c r="J7147" s="8">
        <f>IF(G7147="","",G7147*0.20)</f>
        <v/>
      </c>
      <c r="K7147" s="8">
        <f>IF(G7147="","",G7147+J7147)</f>
        <v/>
      </c>
    </row>
    <row r="7148">
      <c r="F7148" s="8" t="n"/>
      <c r="G7148" s="8">
        <f>IF(E7148="","",E7148*F7148)</f>
        <v/>
      </c>
      <c r="H7148" s="8">
        <f>IF(G7148="","",G7148-I7148)</f>
        <v/>
      </c>
      <c r="I7148" s="8">
        <f>IF(D7148="","",VLOOKUP(D7148, RECETTES!B:G, 6, FALSE)*E7148)</f>
        <v/>
      </c>
      <c r="J7148" s="8">
        <f>IF(G7148="","",G7148*0.20)</f>
        <v/>
      </c>
      <c r="K7148" s="8">
        <f>IF(G7148="","",G7148+J7148)</f>
        <v/>
      </c>
    </row>
    <row r="7149">
      <c r="F7149" s="8" t="n"/>
      <c r="G7149" s="8">
        <f>IF(E7149="","",E7149*F7149)</f>
        <v/>
      </c>
      <c r="H7149" s="8">
        <f>IF(G7149="","",G7149-I7149)</f>
        <v/>
      </c>
      <c r="I7149" s="8">
        <f>IF(D7149="","",VLOOKUP(D7149, RECETTES!B:G, 6, FALSE)*E7149)</f>
        <v/>
      </c>
      <c r="J7149" s="8">
        <f>IF(G7149="","",G7149*0.20)</f>
        <v/>
      </c>
      <c r="K7149" s="8">
        <f>IF(G7149="","",G7149+J7149)</f>
        <v/>
      </c>
    </row>
    <row r="7150">
      <c r="F7150" s="8" t="n"/>
      <c r="G7150" s="8">
        <f>IF(E7150="","",E7150*F7150)</f>
        <v/>
      </c>
      <c r="H7150" s="8">
        <f>IF(G7150="","",G7150-I7150)</f>
        <v/>
      </c>
      <c r="I7150" s="8">
        <f>IF(D7150="","",VLOOKUP(D7150, RECETTES!B:G, 6, FALSE)*E7150)</f>
        <v/>
      </c>
      <c r="J7150" s="8">
        <f>IF(G7150="","",G7150*0.20)</f>
        <v/>
      </c>
      <c r="K7150" s="8">
        <f>IF(G7150="","",G7150+J7150)</f>
        <v/>
      </c>
    </row>
    <row r="7151">
      <c r="F7151" s="8" t="n"/>
      <c r="G7151" s="8">
        <f>IF(E7151="","",E7151*F7151)</f>
        <v/>
      </c>
      <c r="H7151" s="8">
        <f>IF(G7151="","",G7151-I7151)</f>
        <v/>
      </c>
      <c r="I7151" s="8">
        <f>IF(D7151="","",VLOOKUP(D7151, RECETTES!B:G, 6, FALSE)*E7151)</f>
        <v/>
      </c>
      <c r="J7151" s="8">
        <f>IF(G7151="","",G7151*0.20)</f>
        <v/>
      </c>
      <c r="K7151" s="8">
        <f>IF(G7151="","",G7151+J7151)</f>
        <v/>
      </c>
    </row>
    <row r="7152">
      <c r="F7152" s="8" t="n"/>
      <c r="G7152" s="8">
        <f>IF(E7152="","",E7152*F7152)</f>
        <v/>
      </c>
      <c r="H7152" s="8">
        <f>IF(G7152="","",G7152-I7152)</f>
        <v/>
      </c>
      <c r="I7152" s="8">
        <f>IF(D7152="","",VLOOKUP(D7152, RECETTES!B:G, 6, FALSE)*E7152)</f>
        <v/>
      </c>
      <c r="J7152" s="8">
        <f>IF(G7152="","",G7152*0.20)</f>
        <v/>
      </c>
      <c r="K7152" s="8">
        <f>IF(G7152="","",G7152+J7152)</f>
        <v/>
      </c>
    </row>
    <row r="7153">
      <c r="F7153" s="8" t="n"/>
      <c r="G7153" s="8">
        <f>IF(E7153="","",E7153*F7153)</f>
        <v/>
      </c>
      <c r="H7153" s="8">
        <f>IF(G7153="","",G7153-I7153)</f>
        <v/>
      </c>
      <c r="I7153" s="8">
        <f>IF(D7153="","",VLOOKUP(D7153, RECETTES!B:G, 6, FALSE)*E7153)</f>
        <v/>
      </c>
      <c r="J7153" s="8">
        <f>IF(G7153="","",G7153*0.20)</f>
        <v/>
      </c>
      <c r="K7153" s="8">
        <f>IF(G7153="","",G7153+J7153)</f>
        <v/>
      </c>
    </row>
    <row r="7154">
      <c r="F7154" s="8" t="n"/>
      <c r="G7154" s="8">
        <f>IF(E7154="","",E7154*F7154)</f>
        <v/>
      </c>
      <c r="H7154" s="8">
        <f>IF(G7154="","",G7154-I7154)</f>
        <v/>
      </c>
      <c r="I7154" s="8">
        <f>IF(D7154="","",VLOOKUP(D7154, RECETTES!B:G, 6, FALSE)*E7154)</f>
        <v/>
      </c>
      <c r="J7154" s="8">
        <f>IF(G7154="","",G7154*0.20)</f>
        <v/>
      </c>
      <c r="K7154" s="8">
        <f>IF(G7154="","",G7154+J7154)</f>
        <v/>
      </c>
    </row>
    <row r="7155">
      <c r="F7155" s="8" t="n"/>
      <c r="G7155" s="8">
        <f>IF(E7155="","",E7155*F7155)</f>
        <v/>
      </c>
      <c r="H7155" s="8">
        <f>IF(G7155="","",G7155-I7155)</f>
        <v/>
      </c>
      <c r="I7155" s="8">
        <f>IF(D7155="","",VLOOKUP(D7155, RECETTES!B:G, 6, FALSE)*E7155)</f>
        <v/>
      </c>
      <c r="J7155" s="8">
        <f>IF(G7155="","",G7155*0.20)</f>
        <v/>
      </c>
      <c r="K7155" s="8">
        <f>IF(G7155="","",G7155+J7155)</f>
        <v/>
      </c>
    </row>
    <row r="7156">
      <c r="F7156" s="8" t="n"/>
      <c r="G7156" s="8">
        <f>IF(E7156="","",E7156*F7156)</f>
        <v/>
      </c>
      <c r="H7156" s="8">
        <f>IF(G7156="","",G7156-I7156)</f>
        <v/>
      </c>
      <c r="I7156" s="8">
        <f>IF(D7156="","",VLOOKUP(D7156, RECETTES!B:G, 6, FALSE)*E7156)</f>
        <v/>
      </c>
      <c r="J7156" s="8">
        <f>IF(G7156="","",G7156*0.20)</f>
        <v/>
      </c>
      <c r="K7156" s="8">
        <f>IF(G7156="","",G7156+J7156)</f>
        <v/>
      </c>
    </row>
    <row r="7157">
      <c r="F7157" s="8" t="n"/>
      <c r="G7157" s="8">
        <f>IF(E7157="","",E7157*F7157)</f>
        <v/>
      </c>
      <c r="H7157" s="8">
        <f>IF(G7157="","",G7157-I7157)</f>
        <v/>
      </c>
      <c r="I7157" s="8">
        <f>IF(D7157="","",VLOOKUP(D7157, RECETTES!B:G, 6, FALSE)*E7157)</f>
        <v/>
      </c>
      <c r="J7157" s="8">
        <f>IF(G7157="","",G7157*0.20)</f>
        <v/>
      </c>
      <c r="K7157" s="8">
        <f>IF(G7157="","",G7157+J7157)</f>
        <v/>
      </c>
    </row>
    <row r="7158">
      <c r="F7158" s="8" t="n"/>
      <c r="G7158" s="8">
        <f>IF(E7158="","",E7158*F7158)</f>
        <v/>
      </c>
      <c r="H7158" s="8">
        <f>IF(G7158="","",G7158-I7158)</f>
        <v/>
      </c>
      <c r="I7158" s="8">
        <f>IF(D7158="","",VLOOKUP(D7158, RECETTES!B:G, 6, FALSE)*E7158)</f>
        <v/>
      </c>
      <c r="J7158" s="8">
        <f>IF(G7158="","",G7158*0.20)</f>
        <v/>
      </c>
      <c r="K7158" s="8">
        <f>IF(G7158="","",G7158+J7158)</f>
        <v/>
      </c>
    </row>
    <row r="7159">
      <c r="F7159" s="8" t="n"/>
      <c r="G7159" s="8">
        <f>IF(E7159="","",E7159*F7159)</f>
        <v/>
      </c>
      <c r="H7159" s="8">
        <f>IF(G7159="","",G7159-I7159)</f>
        <v/>
      </c>
      <c r="I7159" s="8">
        <f>IF(D7159="","",VLOOKUP(D7159, RECETTES!B:G, 6, FALSE)*E7159)</f>
        <v/>
      </c>
      <c r="J7159" s="8">
        <f>IF(G7159="","",G7159*0.20)</f>
        <v/>
      </c>
      <c r="K7159" s="8">
        <f>IF(G7159="","",G7159+J7159)</f>
        <v/>
      </c>
    </row>
    <row r="7160">
      <c r="F7160" s="8" t="n"/>
      <c r="G7160" s="8">
        <f>IF(E7160="","",E7160*F7160)</f>
        <v/>
      </c>
      <c r="H7160" s="8">
        <f>IF(G7160="","",G7160-I7160)</f>
        <v/>
      </c>
      <c r="I7160" s="8">
        <f>IF(D7160="","",VLOOKUP(D7160, RECETTES!B:G, 6, FALSE)*E7160)</f>
        <v/>
      </c>
      <c r="J7160" s="8">
        <f>IF(G7160="","",G7160*0.20)</f>
        <v/>
      </c>
      <c r="K7160" s="8">
        <f>IF(G7160="","",G7160+J7160)</f>
        <v/>
      </c>
    </row>
    <row r="7161">
      <c r="F7161" s="8" t="n"/>
      <c r="G7161" s="8">
        <f>IF(E7161="","",E7161*F7161)</f>
        <v/>
      </c>
      <c r="H7161" s="8">
        <f>IF(G7161="","",G7161-I7161)</f>
        <v/>
      </c>
      <c r="I7161" s="8">
        <f>IF(D7161="","",VLOOKUP(D7161, RECETTES!B:G, 6, FALSE)*E7161)</f>
        <v/>
      </c>
      <c r="J7161" s="8">
        <f>IF(G7161="","",G7161*0.20)</f>
        <v/>
      </c>
      <c r="K7161" s="8">
        <f>IF(G7161="","",G7161+J7161)</f>
        <v/>
      </c>
    </row>
    <row r="7162">
      <c r="F7162" s="8" t="n"/>
      <c r="G7162" s="8">
        <f>IF(E7162="","",E7162*F7162)</f>
        <v/>
      </c>
      <c r="H7162" s="8">
        <f>IF(G7162="","",G7162-I7162)</f>
        <v/>
      </c>
      <c r="I7162" s="8">
        <f>IF(D7162="","",VLOOKUP(D7162, RECETTES!B:G, 6, FALSE)*E7162)</f>
        <v/>
      </c>
      <c r="J7162" s="8">
        <f>IF(G7162="","",G7162*0.20)</f>
        <v/>
      </c>
      <c r="K7162" s="8">
        <f>IF(G7162="","",G7162+J7162)</f>
        <v/>
      </c>
    </row>
    <row r="7163">
      <c r="F7163" s="8" t="n"/>
      <c r="G7163" s="8">
        <f>IF(E7163="","",E7163*F7163)</f>
        <v/>
      </c>
      <c r="H7163" s="8">
        <f>IF(G7163="","",G7163-I7163)</f>
        <v/>
      </c>
      <c r="I7163" s="8">
        <f>IF(D7163="","",VLOOKUP(D7163, RECETTES!B:G, 6, FALSE)*E7163)</f>
        <v/>
      </c>
      <c r="J7163" s="8">
        <f>IF(G7163="","",G7163*0.20)</f>
        <v/>
      </c>
      <c r="K7163" s="8">
        <f>IF(G7163="","",G7163+J7163)</f>
        <v/>
      </c>
    </row>
    <row r="7164">
      <c r="F7164" s="8" t="n"/>
      <c r="G7164" s="8">
        <f>IF(E7164="","",E7164*F7164)</f>
        <v/>
      </c>
      <c r="H7164" s="8">
        <f>IF(G7164="","",G7164-I7164)</f>
        <v/>
      </c>
      <c r="I7164" s="8">
        <f>IF(D7164="","",VLOOKUP(D7164, RECETTES!B:G, 6, FALSE)*E7164)</f>
        <v/>
      </c>
      <c r="J7164" s="8">
        <f>IF(G7164="","",G7164*0.20)</f>
        <v/>
      </c>
      <c r="K7164" s="8">
        <f>IF(G7164="","",G7164+J7164)</f>
        <v/>
      </c>
    </row>
    <row r="7165">
      <c r="F7165" s="8" t="n"/>
      <c r="G7165" s="8">
        <f>IF(E7165="","",E7165*F7165)</f>
        <v/>
      </c>
      <c r="H7165" s="8">
        <f>IF(G7165="","",G7165-I7165)</f>
        <v/>
      </c>
      <c r="I7165" s="8">
        <f>IF(D7165="","",VLOOKUP(D7165, RECETTES!B:G, 6, FALSE)*E7165)</f>
        <v/>
      </c>
      <c r="J7165" s="8">
        <f>IF(G7165="","",G7165*0.20)</f>
        <v/>
      </c>
      <c r="K7165" s="8">
        <f>IF(G7165="","",G7165+J7165)</f>
        <v/>
      </c>
    </row>
    <row r="7166">
      <c r="F7166" s="8" t="n"/>
      <c r="G7166" s="8">
        <f>IF(E7166="","",E7166*F7166)</f>
        <v/>
      </c>
      <c r="H7166" s="8">
        <f>IF(G7166="","",G7166-I7166)</f>
        <v/>
      </c>
      <c r="I7166" s="8">
        <f>IF(D7166="","",VLOOKUP(D7166, RECETTES!B:G, 6, FALSE)*E7166)</f>
        <v/>
      </c>
      <c r="J7166" s="8">
        <f>IF(G7166="","",G7166*0.20)</f>
        <v/>
      </c>
      <c r="K7166" s="8">
        <f>IF(G7166="","",G7166+J7166)</f>
        <v/>
      </c>
    </row>
    <row r="7167">
      <c r="F7167" s="8" t="n"/>
      <c r="G7167" s="8">
        <f>IF(E7167="","",E7167*F7167)</f>
        <v/>
      </c>
      <c r="H7167" s="8">
        <f>IF(G7167="","",G7167-I7167)</f>
        <v/>
      </c>
      <c r="I7167" s="8">
        <f>IF(D7167="","",VLOOKUP(D7167, RECETTES!B:G, 6, FALSE)*E7167)</f>
        <v/>
      </c>
      <c r="J7167" s="8">
        <f>IF(G7167="","",G7167*0.20)</f>
        <v/>
      </c>
      <c r="K7167" s="8">
        <f>IF(G7167="","",G7167+J7167)</f>
        <v/>
      </c>
    </row>
    <row r="7168">
      <c r="F7168" s="8" t="n"/>
      <c r="G7168" s="8">
        <f>IF(E7168="","",E7168*F7168)</f>
        <v/>
      </c>
      <c r="H7168" s="8">
        <f>IF(G7168="","",G7168-I7168)</f>
        <v/>
      </c>
      <c r="I7168" s="8">
        <f>IF(D7168="","",VLOOKUP(D7168, RECETTES!B:G, 6, FALSE)*E7168)</f>
        <v/>
      </c>
      <c r="J7168" s="8">
        <f>IF(G7168="","",G7168*0.20)</f>
        <v/>
      </c>
      <c r="K7168" s="8">
        <f>IF(G7168="","",G7168+J7168)</f>
        <v/>
      </c>
    </row>
    <row r="7169">
      <c r="F7169" s="8" t="n"/>
      <c r="G7169" s="8">
        <f>IF(E7169="","",E7169*F7169)</f>
        <v/>
      </c>
      <c r="H7169" s="8">
        <f>IF(G7169="","",G7169-I7169)</f>
        <v/>
      </c>
      <c r="I7169" s="8">
        <f>IF(D7169="","",VLOOKUP(D7169, RECETTES!B:G, 6, FALSE)*E7169)</f>
        <v/>
      </c>
      <c r="J7169" s="8">
        <f>IF(G7169="","",G7169*0.20)</f>
        <v/>
      </c>
      <c r="K7169" s="8">
        <f>IF(G7169="","",G7169+J7169)</f>
        <v/>
      </c>
    </row>
    <row r="7170">
      <c r="F7170" s="8" t="n"/>
      <c r="G7170" s="8">
        <f>IF(E7170="","",E7170*F7170)</f>
        <v/>
      </c>
      <c r="H7170" s="8">
        <f>IF(G7170="","",G7170-I7170)</f>
        <v/>
      </c>
      <c r="I7170" s="8">
        <f>IF(D7170="","",VLOOKUP(D7170, RECETTES!B:G, 6, FALSE)*E7170)</f>
        <v/>
      </c>
      <c r="J7170" s="8">
        <f>IF(G7170="","",G7170*0.20)</f>
        <v/>
      </c>
      <c r="K7170" s="8">
        <f>IF(G7170="","",G7170+J7170)</f>
        <v/>
      </c>
    </row>
    <row r="7171">
      <c r="F7171" s="8" t="n"/>
      <c r="G7171" s="8">
        <f>IF(E7171="","",E7171*F7171)</f>
        <v/>
      </c>
      <c r="H7171" s="8">
        <f>IF(G7171="","",G7171-I7171)</f>
        <v/>
      </c>
      <c r="I7171" s="8">
        <f>IF(D7171="","",VLOOKUP(D7171, RECETTES!B:G, 6, FALSE)*E7171)</f>
        <v/>
      </c>
      <c r="J7171" s="8">
        <f>IF(G7171="","",G7171*0.20)</f>
        <v/>
      </c>
      <c r="K7171" s="8">
        <f>IF(G7171="","",G7171+J7171)</f>
        <v/>
      </c>
    </row>
    <row r="7172">
      <c r="F7172" s="8" t="n"/>
      <c r="G7172" s="8">
        <f>IF(E7172="","",E7172*F7172)</f>
        <v/>
      </c>
      <c r="H7172" s="8">
        <f>IF(G7172="","",G7172-I7172)</f>
        <v/>
      </c>
      <c r="I7172" s="8">
        <f>IF(D7172="","",VLOOKUP(D7172, RECETTES!B:G, 6, FALSE)*E7172)</f>
        <v/>
      </c>
      <c r="J7172" s="8">
        <f>IF(G7172="","",G7172*0.20)</f>
        <v/>
      </c>
      <c r="K7172" s="8">
        <f>IF(G7172="","",G7172+J7172)</f>
        <v/>
      </c>
    </row>
    <row r="7173">
      <c r="F7173" s="8" t="n"/>
      <c r="G7173" s="8">
        <f>IF(E7173="","",E7173*F7173)</f>
        <v/>
      </c>
      <c r="H7173" s="8">
        <f>IF(G7173="","",G7173-I7173)</f>
        <v/>
      </c>
      <c r="I7173" s="8">
        <f>IF(D7173="","",VLOOKUP(D7173, RECETTES!B:G, 6, FALSE)*E7173)</f>
        <v/>
      </c>
      <c r="J7173" s="8">
        <f>IF(G7173="","",G7173*0.20)</f>
        <v/>
      </c>
      <c r="K7173" s="8">
        <f>IF(G7173="","",G7173+J7173)</f>
        <v/>
      </c>
    </row>
    <row r="7174">
      <c r="F7174" s="8" t="n"/>
      <c r="G7174" s="8">
        <f>IF(E7174="","",E7174*F7174)</f>
        <v/>
      </c>
      <c r="H7174" s="8">
        <f>IF(G7174="","",G7174-I7174)</f>
        <v/>
      </c>
      <c r="I7174" s="8">
        <f>IF(D7174="","",VLOOKUP(D7174, RECETTES!B:G, 6, FALSE)*E7174)</f>
        <v/>
      </c>
      <c r="J7174" s="8">
        <f>IF(G7174="","",G7174*0.20)</f>
        <v/>
      </c>
      <c r="K7174" s="8">
        <f>IF(G7174="","",G7174+J7174)</f>
        <v/>
      </c>
    </row>
    <row r="7175">
      <c r="F7175" s="8" t="n"/>
      <c r="G7175" s="8">
        <f>IF(E7175="","",E7175*F7175)</f>
        <v/>
      </c>
      <c r="H7175" s="8">
        <f>IF(G7175="","",G7175-I7175)</f>
        <v/>
      </c>
      <c r="I7175" s="8">
        <f>IF(D7175="","",VLOOKUP(D7175, RECETTES!B:G, 6, FALSE)*E7175)</f>
        <v/>
      </c>
      <c r="J7175" s="8">
        <f>IF(G7175="","",G7175*0.20)</f>
        <v/>
      </c>
      <c r="K7175" s="8">
        <f>IF(G7175="","",G7175+J7175)</f>
        <v/>
      </c>
    </row>
    <row r="7176">
      <c r="F7176" s="8" t="n"/>
      <c r="G7176" s="8">
        <f>IF(E7176="","",E7176*F7176)</f>
        <v/>
      </c>
      <c r="H7176" s="8">
        <f>IF(G7176="","",G7176-I7176)</f>
        <v/>
      </c>
      <c r="I7176" s="8">
        <f>IF(D7176="","",VLOOKUP(D7176, RECETTES!B:G, 6, FALSE)*E7176)</f>
        <v/>
      </c>
      <c r="J7176" s="8">
        <f>IF(G7176="","",G7176*0.20)</f>
        <v/>
      </c>
      <c r="K7176" s="8">
        <f>IF(G7176="","",G7176+J7176)</f>
        <v/>
      </c>
    </row>
    <row r="7177">
      <c r="F7177" s="8" t="n"/>
      <c r="G7177" s="8">
        <f>IF(E7177="","",E7177*F7177)</f>
        <v/>
      </c>
      <c r="H7177" s="8">
        <f>IF(G7177="","",G7177-I7177)</f>
        <v/>
      </c>
      <c r="I7177" s="8">
        <f>IF(D7177="","",VLOOKUP(D7177, RECETTES!B:G, 6, FALSE)*E7177)</f>
        <v/>
      </c>
      <c r="J7177" s="8">
        <f>IF(G7177="","",G7177*0.20)</f>
        <v/>
      </c>
      <c r="K7177" s="8">
        <f>IF(G7177="","",G7177+J7177)</f>
        <v/>
      </c>
    </row>
    <row r="7178">
      <c r="F7178" s="8" t="n"/>
      <c r="G7178" s="8">
        <f>IF(E7178="","",E7178*F7178)</f>
        <v/>
      </c>
      <c r="H7178" s="8">
        <f>IF(G7178="","",G7178-I7178)</f>
        <v/>
      </c>
      <c r="I7178" s="8">
        <f>IF(D7178="","",VLOOKUP(D7178, RECETTES!B:G, 6, FALSE)*E7178)</f>
        <v/>
      </c>
      <c r="J7178" s="8">
        <f>IF(G7178="","",G7178*0.20)</f>
        <v/>
      </c>
      <c r="K7178" s="8">
        <f>IF(G7178="","",G7178+J7178)</f>
        <v/>
      </c>
    </row>
    <row r="7179">
      <c r="F7179" s="8" t="n"/>
      <c r="G7179" s="8">
        <f>IF(E7179="","",E7179*F7179)</f>
        <v/>
      </c>
      <c r="H7179" s="8">
        <f>IF(G7179="","",G7179-I7179)</f>
        <v/>
      </c>
      <c r="I7179" s="8">
        <f>IF(D7179="","",VLOOKUP(D7179, RECETTES!B:G, 6, FALSE)*E7179)</f>
        <v/>
      </c>
      <c r="J7179" s="8">
        <f>IF(G7179="","",G7179*0.20)</f>
        <v/>
      </c>
      <c r="K7179" s="8">
        <f>IF(G7179="","",G7179+J7179)</f>
        <v/>
      </c>
    </row>
    <row r="7180">
      <c r="F7180" s="8" t="n"/>
      <c r="G7180" s="8">
        <f>IF(E7180="","",E7180*F7180)</f>
        <v/>
      </c>
      <c r="H7180" s="8">
        <f>IF(G7180="","",G7180-I7180)</f>
        <v/>
      </c>
      <c r="I7180" s="8">
        <f>IF(D7180="","",VLOOKUP(D7180, RECETTES!B:G, 6, FALSE)*E7180)</f>
        <v/>
      </c>
      <c r="J7180" s="8">
        <f>IF(G7180="","",G7180*0.20)</f>
        <v/>
      </c>
      <c r="K7180" s="8">
        <f>IF(G7180="","",G7180+J7180)</f>
        <v/>
      </c>
    </row>
    <row r="7181">
      <c r="F7181" s="8" t="n"/>
      <c r="G7181" s="8">
        <f>IF(E7181="","",E7181*F7181)</f>
        <v/>
      </c>
      <c r="H7181" s="8">
        <f>IF(G7181="","",G7181-I7181)</f>
        <v/>
      </c>
      <c r="I7181" s="8">
        <f>IF(D7181="","",VLOOKUP(D7181, RECETTES!B:G, 6, FALSE)*E7181)</f>
        <v/>
      </c>
      <c r="J7181" s="8">
        <f>IF(G7181="","",G7181*0.20)</f>
        <v/>
      </c>
      <c r="K7181" s="8">
        <f>IF(G7181="","",G7181+J7181)</f>
        <v/>
      </c>
    </row>
    <row r="7182">
      <c r="F7182" s="8" t="n"/>
      <c r="G7182" s="8">
        <f>IF(E7182="","",E7182*F7182)</f>
        <v/>
      </c>
      <c r="H7182" s="8">
        <f>IF(G7182="","",G7182-I7182)</f>
        <v/>
      </c>
      <c r="I7182" s="8">
        <f>IF(D7182="","",VLOOKUP(D7182, RECETTES!B:G, 6, FALSE)*E7182)</f>
        <v/>
      </c>
      <c r="J7182" s="8">
        <f>IF(G7182="","",G7182*0.20)</f>
        <v/>
      </c>
      <c r="K7182" s="8">
        <f>IF(G7182="","",G7182+J7182)</f>
        <v/>
      </c>
    </row>
    <row r="7183">
      <c r="F7183" s="8" t="n"/>
      <c r="G7183" s="8">
        <f>IF(E7183="","",E7183*F7183)</f>
        <v/>
      </c>
      <c r="H7183" s="8">
        <f>IF(G7183="","",G7183-I7183)</f>
        <v/>
      </c>
      <c r="I7183" s="8">
        <f>IF(D7183="","",VLOOKUP(D7183, RECETTES!B:G, 6, FALSE)*E7183)</f>
        <v/>
      </c>
      <c r="J7183" s="8">
        <f>IF(G7183="","",G7183*0.20)</f>
        <v/>
      </c>
      <c r="K7183" s="8">
        <f>IF(G7183="","",G7183+J7183)</f>
        <v/>
      </c>
    </row>
    <row r="7184">
      <c r="F7184" s="8" t="n"/>
      <c r="G7184" s="8">
        <f>IF(E7184="","",E7184*F7184)</f>
        <v/>
      </c>
      <c r="H7184" s="8">
        <f>IF(G7184="","",G7184-I7184)</f>
        <v/>
      </c>
      <c r="I7184" s="8">
        <f>IF(D7184="","",VLOOKUP(D7184, RECETTES!B:G, 6, FALSE)*E7184)</f>
        <v/>
      </c>
      <c r="J7184" s="8">
        <f>IF(G7184="","",G7184*0.20)</f>
        <v/>
      </c>
      <c r="K7184" s="8">
        <f>IF(G7184="","",G7184+J7184)</f>
        <v/>
      </c>
    </row>
    <row r="7185">
      <c r="F7185" s="8" t="n"/>
      <c r="G7185" s="8">
        <f>IF(E7185="","",E7185*F7185)</f>
        <v/>
      </c>
      <c r="H7185" s="8">
        <f>IF(G7185="","",G7185-I7185)</f>
        <v/>
      </c>
      <c r="I7185" s="8">
        <f>IF(D7185="","",VLOOKUP(D7185, RECETTES!B:G, 6, FALSE)*E7185)</f>
        <v/>
      </c>
      <c r="J7185" s="8">
        <f>IF(G7185="","",G7185*0.20)</f>
        <v/>
      </c>
      <c r="K7185" s="8">
        <f>IF(G7185="","",G7185+J7185)</f>
        <v/>
      </c>
    </row>
    <row r="7186">
      <c r="F7186" s="8" t="n"/>
      <c r="G7186" s="8">
        <f>IF(E7186="","",E7186*F7186)</f>
        <v/>
      </c>
      <c r="H7186" s="8">
        <f>IF(G7186="","",G7186-I7186)</f>
        <v/>
      </c>
      <c r="I7186" s="8">
        <f>IF(D7186="","",VLOOKUP(D7186, RECETTES!B:G, 6, FALSE)*E7186)</f>
        <v/>
      </c>
      <c r="J7186" s="8">
        <f>IF(G7186="","",G7186*0.20)</f>
        <v/>
      </c>
      <c r="K7186" s="8">
        <f>IF(G7186="","",G7186+J7186)</f>
        <v/>
      </c>
    </row>
    <row r="7187">
      <c r="F7187" s="8" t="n"/>
      <c r="G7187" s="8">
        <f>IF(E7187="","",E7187*F7187)</f>
        <v/>
      </c>
      <c r="H7187" s="8">
        <f>IF(G7187="","",G7187-I7187)</f>
        <v/>
      </c>
      <c r="I7187" s="8">
        <f>IF(D7187="","",VLOOKUP(D7187, RECETTES!B:G, 6, FALSE)*E7187)</f>
        <v/>
      </c>
      <c r="J7187" s="8">
        <f>IF(G7187="","",G7187*0.20)</f>
        <v/>
      </c>
      <c r="K7187" s="8">
        <f>IF(G7187="","",G7187+J7187)</f>
        <v/>
      </c>
    </row>
    <row r="7188">
      <c r="F7188" s="8" t="n"/>
      <c r="G7188" s="8">
        <f>IF(E7188="","",E7188*F7188)</f>
        <v/>
      </c>
      <c r="H7188" s="8">
        <f>IF(G7188="","",G7188-I7188)</f>
        <v/>
      </c>
      <c r="I7188" s="8">
        <f>IF(D7188="","",VLOOKUP(D7188, RECETTES!B:G, 6, FALSE)*E7188)</f>
        <v/>
      </c>
      <c r="J7188" s="8">
        <f>IF(G7188="","",G7188*0.20)</f>
        <v/>
      </c>
      <c r="K7188" s="8">
        <f>IF(G7188="","",G7188+J7188)</f>
        <v/>
      </c>
    </row>
    <row r="7189">
      <c r="F7189" s="8" t="n"/>
      <c r="G7189" s="8">
        <f>IF(E7189="","",E7189*F7189)</f>
        <v/>
      </c>
      <c r="H7189" s="8">
        <f>IF(G7189="","",G7189-I7189)</f>
        <v/>
      </c>
      <c r="I7189" s="8">
        <f>IF(D7189="","",VLOOKUP(D7189, RECETTES!B:G, 6, FALSE)*E7189)</f>
        <v/>
      </c>
      <c r="J7189" s="8">
        <f>IF(G7189="","",G7189*0.20)</f>
        <v/>
      </c>
      <c r="K7189" s="8">
        <f>IF(G7189="","",G7189+J7189)</f>
        <v/>
      </c>
    </row>
    <row r="7190">
      <c r="F7190" s="8" t="n"/>
      <c r="G7190" s="8">
        <f>IF(E7190="","",E7190*F7190)</f>
        <v/>
      </c>
      <c r="H7190" s="8">
        <f>IF(G7190="","",G7190-I7190)</f>
        <v/>
      </c>
      <c r="I7190" s="8">
        <f>IF(D7190="","",VLOOKUP(D7190, RECETTES!B:G, 6, FALSE)*E7190)</f>
        <v/>
      </c>
      <c r="J7190" s="8">
        <f>IF(G7190="","",G7190*0.20)</f>
        <v/>
      </c>
      <c r="K7190" s="8">
        <f>IF(G7190="","",G7190+J7190)</f>
        <v/>
      </c>
    </row>
    <row r="7191">
      <c r="F7191" s="8" t="n"/>
      <c r="G7191" s="8">
        <f>IF(E7191="","",E7191*F7191)</f>
        <v/>
      </c>
      <c r="H7191" s="8">
        <f>IF(G7191="","",G7191-I7191)</f>
        <v/>
      </c>
      <c r="I7191" s="8">
        <f>IF(D7191="","",VLOOKUP(D7191, RECETTES!B:G, 6, FALSE)*E7191)</f>
        <v/>
      </c>
      <c r="J7191" s="8">
        <f>IF(G7191="","",G7191*0.20)</f>
        <v/>
      </c>
      <c r="K7191" s="8">
        <f>IF(G7191="","",G7191+J7191)</f>
        <v/>
      </c>
    </row>
    <row r="7192">
      <c r="F7192" s="8" t="n"/>
      <c r="G7192" s="8">
        <f>IF(E7192="","",E7192*F7192)</f>
        <v/>
      </c>
      <c r="H7192" s="8">
        <f>IF(G7192="","",G7192-I7192)</f>
        <v/>
      </c>
      <c r="I7192" s="8">
        <f>IF(D7192="","",VLOOKUP(D7192, RECETTES!B:G, 6, FALSE)*E7192)</f>
        <v/>
      </c>
      <c r="J7192" s="8">
        <f>IF(G7192="","",G7192*0.20)</f>
        <v/>
      </c>
      <c r="K7192" s="8">
        <f>IF(G7192="","",G7192+J7192)</f>
        <v/>
      </c>
    </row>
    <row r="7193">
      <c r="F7193" s="8" t="n"/>
      <c r="G7193" s="8">
        <f>IF(E7193="","",E7193*F7193)</f>
        <v/>
      </c>
      <c r="H7193" s="8">
        <f>IF(G7193="","",G7193-I7193)</f>
        <v/>
      </c>
      <c r="I7193" s="8">
        <f>IF(D7193="","",VLOOKUP(D7193, RECETTES!B:G, 6, FALSE)*E7193)</f>
        <v/>
      </c>
      <c r="J7193" s="8">
        <f>IF(G7193="","",G7193*0.20)</f>
        <v/>
      </c>
      <c r="K7193" s="8">
        <f>IF(G7193="","",G7193+J7193)</f>
        <v/>
      </c>
    </row>
    <row r="7194">
      <c r="F7194" s="8" t="n"/>
      <c r="G7194" s="8">
        <f>IF(E7194="","",E7194*F7194)</f>
        <v/>
      </c>
      <c r="H7194" s="8">
        <f>IF(G7194="","",G7194-I7194)</f>
        <v/>
      </c>
      <c r="I7194" s="8">
        <f>IF(D7194="","",VLOOKUP(D7194, RECETTES!B:G, 6, FALSE)*E7194)</f>
        <v/>
      </c>
      <c r="J7194" s="8">
        <f>IF(G7194="","",G7194*0.20)</f>
        <v/>
      </c>
      <c r="K7194" s="8">
        <f>IF(G7194="","",G7194+J7194)</f>
        <v/>
      </c>
    </row>
    <row r="7195">
      <c r="F7195" s="8" t="n"/>
      <c r="G7195" s="8">
        <f>IF(E7195="","",E7195*F7195)</f>
        <v/>
      </c>
      <c r="H7195" s="8">
        <f>IF(G7195="","",G7195-I7195)</f>
        <v/>
      </c>
      <c r="I7195" s="8">
        <f>IF(D7195="","",VLOOKUP(D7195, RECETTES!B:G, 6, FALSE)*E7195)</f>
        <v/>
      </c>
      <c r="J7195" s="8">
        <f>IF(G7195="","",G7195*0.20)</f>
        <v/>
      </c>
      <c r="K7195" s="8">
        <f>IF(G7195="","",G7195+J7195)</f>
        <v/>
      </c>
    </row>
    <row r="7196">
      <c r="F7196" s="8" t="n"/>
      <c r="G7196" s="8">
        <f>IF(E7196="","",E7196*F7196)</f>
        <v/>
      </c>
      <c r="H7196" s="8">
        <f>IF(G7196="","",G7196-I7196)</f>
        <v/>
      </c>
      <c r="I7196" s="8">
        <f>IF(D7196="","",VLOOKUP(D7196, RECETTES!B:G, 6, FALSE)*E7196)</f>
        <v/>
      </c>
      <c r="J7196" s="8">
        <f>IF(G7196="","",G7196*0.20)</f>
        <v/>
      </c>
      <c r="K7196" s="8">
        <f>IF(G7196="","",G7196+J7196)</f>
        <v/>
      </c>
    </row>
    <row r="7197">
      <c r="F7197" s="8" t="n"/>
      <c r="G7197" s="8">
        <f>IF(E7197="","",E7197*F7197)</f>
        <v/>
      </c>
      <c r="H7197" s="8">
        <f>IF(G7197="","",G7197-I7197)</f>
        <v/>
      </c>
      <c r="I7197" s="8">
        <f>IF(D7197="","",VLOOKUP(D7197, RECETTES!B:G, 6, FALSE)*E7197)</f>
        <v/>
      </c>
      <c r="J7197" s="8">
        <f>IF(G7197="","",G7197*0.20)</f>
        <v/>
      </c>
      <c r="K7197" s="8">
        <f>IF(G7197="","",G7197+J7197)</f>
        <v/>
      </c>
    </row>
    <row r="7198">
      <c r="F7198" s="8" t="n"/>
      <c r="G7198" s="8">
        <f>IF(E7198="","",E7198*F7198)</f>
        <v/>
      </c>
      <c r="H7198" s="8">
        <f>IF(G7198="","",G7198-I7198)</f>
        <v/>
      </c>
      <c r="I7198" s="8">
        <f>IF(D7198="","",VLOOKUP(D7198, RECETTES!B:G, 6, FALSE)*E7198)</f>
        <v/>
      </c>
      <c r="J7198" s="8">
        <f>IF(G7198="","",G7198*0.20)</f>
        <v/>
      </c>
      <c r="K7198" s="8">
        <f>IF(G7198="","",G7198+J7198)</f>
        <v/>
      </c>
    </row>
    <row r="7199">
      <c r="F7199" s="8" t="n"/>
      <c r="G7199" s="8">
        <f>IF(E7199="","",E7199*F7199)</f>
        <v/>
      </c>
      <c r="H7199" s="8">
        <f>IF(G7199="","",G7199-I7199)</f>
        <v/>
      </c>
      <c r="I7199" s="8">
        <f>IF(D7199="","",VLOOKUP(D7199, RECETTES!B:G, 6, FALSE)*E7199)</f>
        <v/>
      </c>
      <c r="J7199" s="8">
        <f>IF(G7199="","",G7199*0.20)</f>
        <v/>
      </c>
      <c r="K7199" s="8">
        <f>IF(G7199="","",G7199+J7199)</f>
        <v/>
      </c>
    </row>
    <row r="7200">
      <c r="F7200" s="8" t="n"/>
      <c r="G7200" s="8">
        <f>IF(E7200="","",E7200*F7200)</f>
        <v/>
      </c>
      <c r="H7200" s="8">
        <f>IF(G7200="","",G7200-I7200)</f>
        <v/>
      </c>
      <c r="I7200" s="8">
        <f>IF(D7200="","",VLOOKUP(D7200, RECETTES!B:G, 6, FALSE)*E7200)</f>
        <v/>
      </c>
      <c r="J7200" s="8">
        <f>IF(G7200="","",G7200*0.20)</f>
        <v/>
      </c>
      <c r="K7200" s="8">
        <f>IF(G7200="","",G7200+J7200)</f>
        <v/>
      </c>
    </row>
    <row r="7201">
      <c r="F7201" s="8" t="n"/>
      <c r="G7201" s="8">
        <f>IF(E7201="","",E7201*F7201)</f>
        <v/>
      </c>
      <c r="H7201" s="8">
        <f>IF(G7201="","",G7201-I7201)</f>
        <v/>
      </c>
      <c r="I7201" s="8">
        <f>IF(D7201="","",VLOOKUP(D7201, RECETTES!B:G, 6, FALSE)*E7201)</f>
        <v/>
      </c>
      <c r="J7201" s="8">
        <f>IF(G7201="","",G7201*0.20)</f>
        <v/>
      </c>
      <c r="K7201" s="8">
        <f>IF(G7201="","",G7201+J7201)</f>
        <v/>
      </c>
    </row>
    <row r="7202">
      <c r="F7202" s="8" t="n"/>
      <c r="G7202" s="8">
        <f>IF(E7202="","",E7202*F7202)</f>
        <v/>
      </c>
      <c r="H7202" s="8">
        <f>IF(G7202="","",G7202-I7202)</f>
        <v/>
      </c>
      <c r="I7202" s="8">
        <f>IF(D7202="","",VLOOKUP(D7202, RECETTES!B:G, 6, FALSE)*E7202)</f>
        <v/>
      </c>
      <c r="J7202" s="8">
        <f>IF(G7202="","",G7202*0.20)</f>
        <v/>
      </c>
      <c r="K7202" s="8">
        <f>IF(G7202="","",G7202+J7202)</f>
        <v/>
      </c>
    </row>
    <row r="7203">
      <c r="F7203" s="8" t="n"/>
      <c r="G7203" s="8">
        <f>IF(E7203="","",E7203*F7203)</f>
        <v/>
      </c>
      <c r="H7203" s="8">
        <f>IF(G7203="","",G7203-I7203)</f>
        <v/>
      </c>
      <c r="I7203" s="8">
        <f>IF(D7203="","",VLOOKUP(D7203, RECETTES!B:G, 6, FALSE)*E7203)</f>
        <v/>
      </c>
      <c r="J7203" s="8">
        <f>IF(G7203="","",G7203*0.20)</f>
        <v/>
      </c>
      <c r="K7203" s="8">
        <f>IF(G7203="","",G7203+J7203)</f>
        <v/>
      </c>
    </row>
    <row r="7204">
      <c r="F7204" s="8" t="n"/>
      <c r="G7204" s="8">
        <f>IF(E7204="","",E7204*F7204)</f>
        <v/>
      </c>
      <c r="H7204" s="8">
        <f>IF(G7204="","",G7204-I7204)</f>
        <v/>
      </c>
      <c r="I7204" s="8">
        <f>IF(D7204="","",VLOOKUP(D7204, RECETTES!B:G, 6, FALSE)*E7204)</f>
        <v/>
      </c>
      <c r="J7204" s="8">
        <f>IF(G7204="","",G7204*0.20)</f>
        <v/>
      </c>
      <c r="K7204" s="8">
        <f>IF(G7204="","",G7204+J7204)</f>
        <v/>
      </c>
    </row>
    <row r="7205">
      <c r="F7205" s="8" t="n"/>
      <c r="G7205" s="8">
        <f>IF(E7205="","",E7205*F7205)</f>
        <v/>
      </c>
      <c r="H7205" s="8">
        <f>IF(G7205="","",G7205-I7205)</f>
        <v/>
      </c>
      <c r="I7205" s="8">
        <f>IF(D7205="","",VLOOKUP(D7205, RECETTES!B:G, 6, FALSE)*E7205)</f>
        <v/>
      </c>
      <c r="J7205" s="8">
        <f>IF(G7205="","",G7205*0.20)</f>
        <v/>
      </c>
      <c r="K7205" s="8">
        <f>IF(G7205="","",G7205+J7205)</f>
        <v/>
      </c>
    </row>
    <row r="7206">
      <c r="F7206" s="8" t="n"/>
      <c r="G7206" s="8">
        <f>IF(E7206="","",E7206*F7206)</f>
        <v/>
      </c>
      <c r="H7206" s="8">
        <f>IF(G7206="","",G7206-I7206)</f>
        <v/>
      </c>
      <c r="I7206" s="8">
        <f>IF(D7206="","",VLOOKUP(D7206, RECETTES!B:G, 6, FALSE)*E7206)</f>
        <v/>
      </c>
      <c r="J7206" s="8">
        <f>IF(G7206="","",G7206*0.20)</f>
        <v/>
      </c>
      <c r="K7206" s="8">
        <f>IF(G7206="","",G7206+J7206)</f>
        <v/>
      </c>
    </row>
    <row r="7207">
      <c r="F7207" s="8" t="n"/>
      <c r="G7207" s="8">
        <f>IF(E7207="","",E7207*F7207)</f>
        <v/>
      </c>
      <c r="H7207" s="8">
        <f>IF(G7207="","",G7207-I7207)</f>
        <v/>
      </c>
      <c r="I7207" s="8">
        <f>IF(D7207="","",VLOOKUP(D7207, RECETTES!B:G, 6, FALSE)*E7207)</f>
        <v/>
      </c>
      <c r="J7207" s="8">
        <f>IF(G7207="","",G7207*0.20)</f>
        <v/>
      </c>
      <c r="K7207" s="8">
        <f>IF(G7207="","",G7207+J7207)</f>
        <v/>
      </c>
    </row>
    <row r="7208">
      <c r="F7208" s="8" t="n"/>
      <c r="G7208" s="8">
        <f>IF(E7208="","",E7208*F7208)</f>
        <v/>
      </c>
      <c r="H7208" s="8">
        <f>IF(G7208="","",G7208-I7208)</f>
        <v/>
      </c>
      <c r="I7208" s="8">
        <f>IF(D7208="","",VLOOKUP(D7208, RECETTES!B:G, 6, FALSE)*E7208)</f>
        <v/>
      </c>
      <c r="J7208" s="8">
        <f>IF(G7208="","",G7208*0.20)</f>
        <v/>
      </c>
      <c r="K7208" s="8">
        <f>IF(G7208="","",G7208+J7208)</f>
        <v/>
      </c>
    </row>
    <row r="7209">
      <c r="F7209" s="8" t="n"/>
      <c r="G7209" s="8">
        <f>IF(E7209="","",E7209*F7209)</f>
        <v/>
      </c>
      <c r="H7209" s="8">
        <f>IF(G7209="","",G7209-I7209)</f>
        <v/>
      </c>
      <c r="I7209" s="8">
        <f>IF(D7209="","",VLOOKUP(D7209, RECETTES!B:G, 6, FALSE)*E7209)</f>
        <v/>
      </c>
      <c r="J7209" s="8">
        <f>IF(G7209="","",G7209*0.20)</f>
        <v/>
      </c>
      <c r="K7209" s="8">
        <f>IF(G7209="","",G7209+J7209)</f>
        <v/>
      </c>
    </row>
    <row r="7210">
      <c r="F7210" s="8" t="n"/>
      <c r="G7210" s="8">
        <f>IF(E7210="","",E7210*F7210)</f>
        <v/>
      </c>
      <c r="H7210" s="8">
        <f>IF(G7210="","",G7210-I7210)</f>
        <v/>
      </c>
      <c r="I7210" s="8">
        <f>IF(D7210="","",VLOOKUP(D7210, RECETTES!B:G, 6, FALSE)*E7210)</f>
        <v/>
      </c>
      <c r="J7210" s="8">
        <f>IF(G7210="","",G7210*0.20)</f>
        <v/>
      </c>
      <c r="K7210" s="8">
        <f>IF(G7210="","",G7210+J7210)</f>
        <v/>
      </c>
    </row>
    <row r="7211">
      <c r="F7211" s="8" t="n"/>
      <c r="G7211" s="8">
        <f>IF(E7211="","",E7211*F7211)</f>
        <v/>
      </c>
      <c r="H7211" s="8">
        <f>IF(G7211="","",G7211-I7211)</f>
        <v/>
      </c>
      <c r="I7211" s="8">
        <f>IF(D7211="","",VLOOKUP(D7211, RECETTES!B:G, 6, FALSE)*E7211)</f>
        <v/>
      </c>
      <c r="J7211" s="8">
        <f>IF(G7211="","",G7211*0.20)</f>
        <v/>
      </c>
      <c r="K7211" s="8">
        <f>IF(G7211="","",G7211+J7211)</f>
        <v/>
      </c>
    </row>
    <row r="7212">
      <c r="F7212" s="8" t="n"/>
      <c r="G7212" s="8">
        <f>IF(E7212="","",E7212*F7212)</f>
        <v/>
      </c>
      <c r="H7212" s="8">
        <f>IF(G7212="","",G7212-I7212)</f>
        <v/>
      </c>
      <c r="I7212" s="8">
        <f>IF(D7212="","",VLOOKUP(D7212, RECETTES!B:G, 6, FALSE)*E7212)</f>
        <v/>
      </c>
      <c r="J7212" s="8">
        <f>IF(G7212="","",G7212*0.20)</f>
        <v/>
      </c>
      <c r="K7212" s="8">
        <f>IF(G7212="","",G7212+J7212)</f>
        <v/>
      </c>
    </row>
    <row r="7213">
      <c r="F7213" s="8" t="n"/>
      <c r="G7213" s="8">
        <f>IF(E7213="","",E7213*F7213)</f>
        <v/>
      </c>
      <c r="H7213" s="8">
        <f>IF(G7213="","",G7213-I7213)</f>
        <v/>
      </c>
      <c r="I7213" s="8">
        <f>IF(D7213="","",VLOOKUP(D7213, RECETTES!B:G, 6, FALSE)*E7213)</f>
        <v/>
      </c>
      <c r="J7213" s="8">
        <f>IF(G7213="","",G7213*0.20)</f>
        <v/>
      </c>
      <c r="K7213" s="8">
        <f>IF(G7213="","",G7213+J7213)</f>
        <v/>
      </c>
    </row>
    <row r="7214">
      <c r="F7214" s="8" t="n"/>
      <c r="G7214" s="8">
        <f>IF(E7214="","",E7214*F7214)</f>
        <v/>
      </c>
      <c r="H7214" s="8">
        <f>IF(G7214="","",G7214-I7214)</f>
        <v/>
      </c>
      <c r="I7214" s="8">
        <f>IF(D7214="","",VLOOKUP(D7214, RECETTES!B:G, 6, FALSE)*E7214)</f>
        <v/>
      </c>
      <c r="J7214" s="8">
        <f>IF(G7214="","",G7214*0.20)</f>
        <v/>
      </c>
      <c r="K7214" s="8">
        <f>IF(G7214="","",G7214+J7214)</f>
        <v/>
      </c>
    </row>
    <row r="7215">
      <c r="F7215" s="8" t="n"/>
      <c r="G7215" s="8">
        <f>IF(E7215="","",E7215*F7215)</f>
        <v/>
      </c>
      <c r="H7215" s="8">
        <f>IF(G7215="","",G7215-I7215)</f>
        <v/>
      </c>
      <c r="I7215" s="8">
        <f>IF(D7215="","",VLOOKUP(D7215, RECETTES!B:G, 6, FALSE)*E7215)</f>
        <v/>
      </c>
      <c r="J7215" s="8">
        <f>IF(G7215="","",G7215*0.20)</f>
        <v/>
      </c>
      <c r="K7215" s="8">
        <f>IF(G7215="","",G7215+J7215)</f>
        <v/>
      </c>
    </row>
    <row r="7216">
      <c r="F7216" s="8" t="n"/>
      <c r="G7216" s="8">
        <f>IF(E7216="","",E7216*F7216)</f>
        <v/>
      </c>
      <c r="H7216" s="8">
        <f>IF(G7216="","",G7216-I7216)</f>
        <v/>
      </c>
      <c r="I7216" s="8">
        <f>IF(D7216="","",VLOOKUP(D7216, RECETTES!B:G, 6, FALSE)*E7216)</f>
        <v/>
      </c>
      <c r="J7216" s="8">
        <f>IF(G7216="","",G7216*0.20)</f>
        <v/>
      </c>
      <c r="K7216" s="8">
        <f>IF(G7216="","",G7216+J7216)</f>
        <v/>
      </c>
    </row>
    <row r="7217">
      <c r="F7217" s="8" t="n"/>
      <c r="G7217" s="8">
        <f>IF(E7217="","",E7217*F7217)</f>
        <v/>
      </c>
      <c r="H7217" s="8">
        <f>IF(G7217="","",G7217-I7217)</f>
        <v/>
      </c>
      <c r="I7217" s="8">
        <f>IF(D7217="","",VLOOKUP(D7217, RECETTES!B:G, 6, FALSE)*E7217)</f>
        <v/>
      </c>
      <c r="J7217" s="8">
        <f>IF(G7217="","",G7217*0.20)</f>
        <v/>
      </c>
      <c r="K7217" s="8">
        <f>IF(G7217="","",G7217+J7217)</f>
        <v/>
      </c>
    </row>
    <row r="7218">
      <c r="F7218" s="8" t="n"/>
      <c r="G7218" s="8">
        <f>IF(E7218="","",E7218*F7218)</f>
        <v/>
      </c>
      <c r="H7218" s="8">
        <f>IF(G7218="","",G7218-I7218)</f>
        <v/>
      </c>
      <c r="I7218" s="8">
        <f>IF(D7218="","",VLOOKUP(D7218, RECETTES!B:G, 6, FALSE)*E7218)</f>
        <v/>
      </c>
      <c r="J7218" s="8">
        <f>IF(G7218="","",G7218*0.20)</f>
        <v/>
      </c>
      <c r="K7218" s="8">
        <f>IF(G7218="","",G7218+J7218)</f>
        <v/>
      </c>
    </row>
    <row r="7219">
      <c r="F7219" s="8" t="n"/>
      <c r="G7219" s="8">
        <f>IF(E7219="","",E7219*F7219)</f>
        <v/>
      </c>
      <c r="H7219" s="8">
        <f>IF(G7219="","",G7219-I7219)</f>
        <v/>
      </c>
      <c r="I7219" s="8">
        <f>IF(D7219="","",VLOOKUP(D7219, RECETTES!B:G, 6, FALSE)*E7219)</f>
        <v/>
      </c>
      <c r="J7219" s="8">
        <f>IF(G7219="","",G7219*0.20)</f>
        <v/>
      </c>
      <c r="K7219" s="8">
        <f>IF(G7219="","",G7219+J7219)</f>
        <v/>
      </c>
    </row>
    <row r="7220">
      <c r="F7220" s="8" t="n"/>
      <c r="G7220" s="8">
        <f>IF(E7220="","",E7220*F7220)</f>
        <v/>
      </c>
      <c r="H7220" s="8">
        <f>IF(G7220="","",G7220-I7220)</f>
        <v/>
      </c>
      <c r="I7220" s="8">
        <f>IF(D7220="","",VLOOKUP(D7220, RECETTES!B:G, 6, FALSE)*E7220)</f>
        <v/>
      </c>
      <c r="J7220" s="8">
        <f>IF(G7220="","",G7220*0.20)</f>
        <v/>
      </c>
      <c r="K7220" s="8">
        <f>IF(G7220="","",G7220+J7220)</f>
        <v/>
      </c>
    </row>
    <row r="7221">
      <c r="F7221" s="8" t="n"/>
      <c r="G7221" s="8">
        <f>IF(E7221="","",E7221*F7221)</f>
        <v/>
      </c>
      <c r="H7221" s="8">
        <f>IF(G7221="","",G7221-I7221)</f>
        <v/>
      </c>
      <c r="I7221" s="8">
        <f>IF(D7221="","",VLOOKUP(D7221, RECETTES!B:G, 6, FALSE)*E7221)</f>
        <v/>
      </c>
      <c r="J7221" s="8">
        <f>IF(G7221="","",G7221*0.20)</f>
        <v/>
      </c>
      <c r="K7221" s="8">
        <f>IF(G7221="","",G7221+J7221)</f>
        <v/>
      </c>
    </row>
    <row r="7222">
      <c r="F7222" s="8" t="n"/>
      <c r="G7222" s="8">
        <f>IF(E7222="","",E7222*F7222)</f>
        <v/>
      </c>
      <c r="H7222" s="8">
        <f>IF(G7222="","",G7222-I7222)</f>
        <v/>
      </c>
      <c r="I7222" s="8">
        <f>IF(D7222="","",VLOOKUP(D7222, RECETTES!B:G, 6, FALSE)*E7222)</f>
        <v/>
      </c>
      <c r="J7222" s="8">
        <f>IF(G7222="","",G7222*0.20)</f>
        <v/>
      </c>
      <c r="K7222" s="8">
        <f>IF(G7222="","",G7222+J7222)</f>
        <v/>
      </c>
    </row>
    <row r="7223">
      <c r="F7223" s="8" t="n"/>
      <c r="G7223" s="8">
        <f>IF(E7223="","",E7223*F7223)</f>
        <v/>
      </c>
      <c r="H7223" s="8">
        <f>IF(G7223="","",G7223-I7223)</f>
        <v/>
      </c>
      <c r="I7223" s="8">
        <f>IF(D7223="","",VLOOKUP(D7223, RECETTES!B:G, 6, FALSE)*E7223)</f>
        <v/>
      </c>
      <c r="J7223" s="8">
        <f>IF(G7223="","",G7223*0.20)</f>
        <v/>
      </c>
      <c r="K7223" s="8">
        <f>IF(G7223="","",G7223+J7223)</f>
        <v/>
      </c>
    </row>
    <row r="7224">
      <c r="F7224" s="8" t="n"/>
      <c r="G7224" s="8">
        <f>IF(E7224="","",E7224*F7224)</f>
        <v/>
      </c>
      <c r="H7224" s="8">
        <f>IF(G7224="","",G7224-I7224)</f>
        <v/>
      </c>
      <c r="I7224" s="8">
        <f>IF(D7224="","",VLOOKUP(D7224, RECETTES!B:G, 6, FALSE)*E7224)</f>
        <v/>
      </c>
      <c r="J7224" s="8">
        <f>IF(G7224="","",G7224*0.20)</f>
        <v/>
      </c>
      <c r="K7224" s="8">
        <f>IF(G7224="","",G7224+J7224)</f>
        <v/>
      </c>
    </row>
    <row r="7225">
      <c r="F7225" s="8" t="n"/>
      <c r="G7225" s="8">
        <f>IF(E7225="","",E7225*F7225)</f>
        <v/>
      </c>
      <c r="H7225" s="8">
        <f>IF(G7225="","",G7225-I7225)</f>
        <v/>
      </c>
      <c r="I7225" s="8">
        <f>IF(D7225="","",VLOOKUP(D7225, RECETTES!B:G, 6, FALSE)*E7225)</f>
        <v/>
      </c>
      <c r="J7225" s="8">
        <f>IF(G7225="","",G7225*0.20)</f>
        <v/>
      </c>
      <c r="K7225" s="8">
        <f>IF(G7225="","",G7225+J7225)</f>
        <v/>
      </c>
    </row>
    <row r="7226">
      <c r="F7226" s="8" t="n"/>
      <c r="G7226" s="8">
        <f>IF(E7226="","",E7226*F7226)</f>
        <v/>
      </c>
      <c r="H7226" s="8">
        <f>IF(G7226="","",G7226-I7226)</f>
        <v/>
      </c>
      <c r="I7226" s="8">
        <f>IF(D7226="","",VLOOKUP(D7226, RECETTES!B:G, 6, FALSE)*E7226)</f>
        <v/>
      </c>
      <c r="J7226" s="8">
        <f>IF(G7226="","",G7226*0.20)</f>
        <v/>
      </c>
      <c r="K7226" s="8">
        <f>IF(G7226="","",G7226+J7226)</f>
        <v/>
      </c>
    </row>
    <row r="7227">
      <c r="F7227" s="8" t="n"/>
      <c r="G7227" s="8">
        <f>IF(E7227="","",E7227*F7227)</f>
        <v/>
      </c>
      <c r="H7227" s="8">
        <f>IF(G7227="","",G7227-I7227)</f>
        <v/>
      </c>
      <c r="I7227" s="8">
        <f>IF(D7227="","",VLOOKUP(D7227, RECETTES!B:G, 6, FALSE)*E7227)</f>
        <v/>
      </c>
      <c r="J7227" s="8">
        <f>IF(G7227="","",G7227*0.20)</f>
        <v/>
      </c>
      <c r="K7227" s="8">
        <f>IF(G7227="","",G7227+J7227)</f>
        <v/>
      </c>
    </row>
    <row r="7228">
      <c r="F7228" s="8" t="n"/>
      <c r="G7228" s="8">
        <f>IF(E7228="","",E7228*F7228)</f>
        <v/>
      </c>
      <c r="H7228" s="8">
        <f>IF(G7228="","",G7228-I7228)</f>
        <v/>
      </c>
      <c r="I7228" s="8">
        <f>IF(D7228="","",VLOOKUP(D7228, RECETTES!B:G, 6, FALSE)*E7228)</f>
        <v/>
      </c>
      <c r="J7228" s="8">
        <f>IF(G7228="","",G7228*0.20)</f>
        <v/>
      </c>
      <c r="K7228" s="8">
        <f>IF(G7228="","",G7228+J7228)</f>
        <v/>
      </c>
    </row>
    <row r="7229">
      <c r="F7229" s="8" t="n"/>
      <c r="G7229" s="8">
        <f>IF(E7229="","",E7229*F7229)</f>
        <v/>
      </c>
      <c r="H7229" s="8">
        <f>IF(G7229="","",G7229-I7229)</f>
        <v/>
      </c>
      <c r="I7229" s="8">
        <f>IF(D7229="","",VLOOKUP(D7229, RECETTES!B:G, 6, FALSE)*E7229)</f>
        <v/>
      </c>
      <c r="J7229" s="8">
        <f>IF(G7229="","",G7229*0.20)</f>
        <v/>
      </c>
      <c r="K7229" s="8">
        <f>IF(G7229="","",G7229+J7229)</f>
        <v/>
      </c>
    </row>
    <row r="7230">
      <c r="F7230" s="8" t="n"/>
      <c r="G7230" s="8">
        <f>IF(E7230="","",E7230*F7230)</f>
        <v/>
      </c>
      <c r="H7230" s="8">
        <f>IF(G7230="","",G7230-I7230)</f>
        <v/>
      </c>
      <c r="I7230" s="8">
        <f>IF(D7230="","",VLOOKUP(D7230, RECETTES!B:G, 6, FALSE)*E7230)</f>
        <v/>
      </c>
      <c r="J7230" s="8">
        <f>IF(G7230="","",G7230*0.20)</f>
        <v/>
      </c>
      <c r="K7230" s="8">
        <f>IF(G7230="","",G7230+J7230)</f>
        <v/>
      </c>
    </row>
    <row r="7231">
      <c r="F7231" s="8" t="n"/>
      <c r="G7231" s="8">
        <f>IF(E7231="","",E7231*F7231)</f>
        <v/>
      </c>
      <c r="H7231" s="8">
        <f>IF(G7231="","",G7231-I7231)</f>
        <v/>
      </c>
      <c r="I7231" s="8">
        <f>IF(D7231="","",VLOOKUP(D7231, RECETTES!B:G, 6, FALSE)*E7231)</f>
        <v/>
      </c>
      <c r="J7231" s="8">
        <f>IF(G7231="","",G7231*0.20)</f>
        <v/>
      </c>
      <c r="K7231" s="8">
        <f>IF(G7231="","",G7231+J7231)</f>
        <v/>
      </c>
    </row>
    <row r="7232">
      <c r="F7232" s="8" t="n"/>
      <c r="G7232" s="8">
        <f>IF(E7232="","",E7232*F7232)</f>
        <v/>
      </c>
      <c r="H7232" s="8">
        <f>IF(G7232="","",G7232-I7232)</f>
        <v/>
      </c>
      <c r="I7232" s="8">
        <f>IF(D7232="","",VLOOKUP(D7232, RECETTES!B:G, 6, FALSE)*E7232)</f>
        <v/>
      </c>
      <c r="J7232" s="8">
        <f>IF(G7232="","",G7232*0.20)</f>
        <v/>
      </c>
      <c r="K7232" s="8">
        <f>IF(G7232="","",G7232+J7232)</f>
        <v/>
      </c>
    </row>
    <row r="7233">
      <c r="F7233" s="8" t="n"/>
      <c r="G7233" s="8">
        <f>IF(E7233="","",E7233*F7233)</f>
        <v/>
      </c>
      <c r="H7233" s="8">
        <f>IF(G7233="","",G7233-I7233)</f>
        <v/>
      </c>
      <c r="I7233" s="8">
        <f>IF(D7233="","",VLOOKUP(D7233, RECETTES!B:G, 6, FALSE)*E7233)</f>
        <v/>
      </c>
      <c r="J7233" s="8">
        <f>IF(G7233="","",G7233*0.20)</f>
        <v/>
      </c>
      <c r="K7233" s="8">
        <f>IF(G7233="","",G7233+J7233)</f>
        <v/>
      </c>
    </row>
    <row r="7234">
      <c r="F7234" s="8" t="n"/>
      <c r="G7234" s="8">
        <f>IF(E7234="","",E7234*F7234)</f>
        <v/>
      </c>
      <c r="H7234" s="8">
        <f>IF(G7234="","",G7234-I7234)</f>
        <v/>
      </c>
      <c r="I7234" s="8">
        <f>IF(D7234="","",VLOOKUP(D7234, RECETTES!B:G, 6, FALSE)*E7234)</f>
        <v/>
      </c>
      <c r="J7234" s="8">
        <f>IF(G7234="","",G7234*0.20)</f>
        <v/>
      </c>
      <c r="K7234" s="8">
        <f>IF(G7234="","",G7234+J7234)</f>
        <v/>
      </c>
    </row>
    <row r="7235">
      <c r="F7235" s="8" t="n"/>
      <c r="G7235" s="8">
        <f>IF(E7235="","",E7235*F7235)</f>
        <v/>
      </c>
      <c r="H7235" s="8">
        <f>IF(G7235="","",G7235-I7235)</f>
        <v/>
      </c>
      <c r="I7235" s="8">
        <f>IF(D7235="","",VLOOKUP(D7235, RECETTES!B:G, 6, FALSE)*E7235)</f>
        <v/>
      </c>
      <c r="J7235" s="8">
        <f>IF(G7235="","",G7235*0.20)</f>
        <v/>
      </c>
      <c r="K7235" s="8">
        <f>IF(G7235="","",G7235+J7235)</f>
        <v/>
      </c>
    </row>
    <row r="7236">
      <c r="F7236" s="8" t="n"/>
      <c r="G7236" s="8">
        <f>IF(E7236="","",E7236*F7236)</f>
        <v/>
      </c>
      <c r="H7236" s="8">
        <f>IF(G7236="","",G7236-I7236)</f>
        <v/>
      </c>
      <c r="I7236" s="8">
        <f>IF(D7236="","",VLOOKUP(D7236, RECETTES!B:G, 6, FALSE)*E7236)</f>
        <v/>
      </c>
      <c r="J7236" s="8">
        <f>IF(G7236="","",G7236*0.20)</f>
        <v/>
      </c>
      <c r="K7236" s="8">
        <f>IF(G7236="","",G7236+J7236)</f>
        <v/>
      </c>
    </row>
    <row r="7237">
      <c r="F7237" s="8" t="n"/>
      <c r="G7237" s="8">
        <f>IF(E7237="","",E7237*F7237)</f>
        <v/>
      </c>
      <c r="H7237" s="8">
        <f>IF(G7237="","",G7237-I7237)</f>
        <v/>
      </c>
      <c r="I7237" s="8">
        <f>IF(D7237="","",VLOOKUP(D7237, RECETTES!B:G, 6, FALSE)*E7237)</f>
        <v/>
      </c>
      <c r="J7237" s="8">
        <f>IF(G7237="","",G7237*0.20)</f>
        <v/>
      </c>
      <c r="K7237" s="8">
        <f>IF(G7237="","",G7237+J7237)</f>
        <v/>
      </c>
    </row>
    <row r="7238">
      <c r="F7238" s="8" t="n"/>
      <c r="G7238" s="8">
        <f>IF(E7238="","",E7238*F7238)</f>
        <v/>
      </c>
      <c r="H7238" s="8">
        <f>IF(G7238="","",G7238-I7238)</f>
        <v/>
      </c>
      <c r="I7238" s="8">
        <f>IF(D7238="","",VLOOKUP(D7238, RECETTES!B:G, 6, FALSE)*E7238)</f>
        <v/>
      </c>
      <c r="J7238" s="8">
        <f>IF(G7238="","",G7238*0.20)</f>
        <v/>
      </c>
      <c r="K7238" s="8">
        <f>IF(G7238="","",G7238+J7238)</f>
        <v/>
      </c>
    </row>
    <row r="7239">
      <c r="F7239" s="8" t="n"/>
      <c r="G7239" s="8">
        <f>IF(E7239="","",E7239*F7239)</f>
        <v/>
      </c>
      <c r="H7239" s="8">
        <f>IF(G7239="","",G7239-I7239)</f>
        <v/>
      </c>
      <c r="I7239" s="8">
        <f>IF(D7239="","",VLOOKUP(D7239, RECETTES!B:G, 6, FALSE)*E7239)</f>
        <v/>
      </c>
      <c r="J7239" s="8">
        <f>IF(G7239="","",G7239*0.20)</f>
        <v/>
      </c>
      <c r="K7239" s="8">
        <f>IF(G7239="","",G7239+J7239)</f>
        <v/>
      </c>
    </row>
    <row r="7240">
      <c r="F7240" s="8" t="n"/>
      <c r="G7240" s="8">
        <f>IF(E7240="","",E7240*F7240)</f>
        <v/>
      </c>
      <c r="H7240" s="8">
        <f>IF(G7240="","",G7240-I7240)</f>
        <v/>
      </c>
      <c r="I7240" s="8">
        <f>IF(D7240="","",VLOOKUP(D7240, RECETTES!B:G, 6, FALSE)*E7240)</f>
        <v/>
      </c>
      <c r="J7240" s="8">
        <f>IF(G7240="","",G7240*0.20)</f>
        <v/>
      </c>
      <c r="K7240" s="8">
        <f>IF(G7240="","",G7240+J7240)</f>
        <v/>
      </c>
    </row>
    <row r="7241">
      <c r="F7241" s="8" t="n"/>
      <c r="G7241" s="8">
        <f>IF(E7241="","",E7241*F7241)</f>
        <v/>
      </c>
      <c r="H7241" s="8">
        <f>IF(G7241="","",G7241-I7241)</f>
        <v/>
      </c>
      <c r="I7241" s="8">
        <f>IF(D7241="","",VLOOKUP(D7241, RECETTES!B:G, 6, FALSE)*E7241)</f>
        <v/>
      </c>
      <c r="J7241" s="8">
        <f>IF(G7241="","",G7241*0.20)</f>
        <v/>
      </c>
      <c r="K7241" s="8">
        <f>IF(G7241="","",G7241+J7241)</f>
        <v/>
      </c>
    </row>
    <row r="7242">
      <c r="F7242" s="8" t="n"/>
      <c r="G7242" s="8">
        <f>IF(E7242="","",E7242*F7242)</f>
        <v/>
      </c>
      <c r="H7242" s="8">
        <f>IF(G7242="","",G7242-I7242)</f>
        <v/>
      </c>
      <c r="I7242" s="8">
        <f>IF(D7242="","",VLOOKUP(D7242, RECETTES!B:G, 6, FALSE)*E7242)</f>
        <v/>
      </c>
      <c r="J7242" s="8">
        <f>IF(G7242="","",G7242*0.20)</f>
        <v/>
      </c>
      <c r="K7242" s="8">
        <f>IF(G7242="","",G7242+J7242)</f>
        <v/>
      </c>
    </row>
    <row r="7243">
      <c r="F7243" s="8" t="n"/>
      <c r="G7243" s="8">
        <f>IF(E7243="","",E7243*F7243)</f>
        <v/>
      </c>
      <c r="H7243" s="8">
        <f>IF(G7243="","",G7243-I7243)</f>
        <v/>
      </c>
      <c r="I7243" s="8">
        <f>IF(D7243="","",VLOOKUP(D7243, RECETTES!B:G, 6, FALSE)*E7243)</f>
        <v/>
      </c>
      <c r="J7243" s="8">
        <f>IF(G7243="","",G7243*0.20)</f>
        <v/>
      </c>
      <c r="K7243" s="8">
        <f>IF(G7243="","",G7243+J7243)</f>
        <v/>
      </c>
    </row>
    <row r="7244">
      <c r="F7244" s="8" t="n"/>
      <c r="G7244" s="8">
        <f>IF(E7244="","",E7244*F7244)</f>
        <v/>
      </c>
      <c r="H7244" s="8">
        <f>IF(G7244="","",G7244-I7244)</f>
        <v/>
      </c>
      <c r="I7244" s="8">
        <f>IF(D7244="","",VLOOKUP(D7244, RECETTES!B:G, 6, FALSE)*E7244)</f>
        <v/>
      </c>
      <c r="J7244" s="8">
        <f>IF(G7244="","",G7244*0.20)</f>
        <v/>
      </c>
      <c r="K7244" s="8">
        <f>IF(G7244="","",G7244+J7244)</f>
        <v/>
      </c>
    </row>
    <row r="7245">
      <c r="F7245" s="8" t="n"/>
      <c r="G7245" s="8">
        <f>IF(E7245="","",E7245*F7245)</f>
        <v/>
      </c>
      <c r="H7245" s="8">
        <f>IF(G7245="","",G7245-I7245)</f>
        <v/>
      </c>
      <c r="I7245" s="8">
        <f>IF(D7245="","",VLOOKUP(D7245, RECETTES!B:G, 6, FALSE)*E7245)</f>
        <v/>
      </c>
      <c r="J7245" s="8">
        <f>IF(G7245="","",G7245*0.20)</f>
        <v/>
      </c>
      <c r="K7245" s="8">
        <f>IF(G7245="","",G7245+J7245)</f>
        <v/>
      </c>
    </row>
    <row r="7246">
      <c r="F7246" s="8" t="n"/>
      <c r="G7246" s="8">
        <f>IF(E7246="","",E7246*F7246)</f>
        <v/>
      </c>
      <c r="H7246" s="8">
        <f>IF(G7246="","",G7246-I7246)</f>
        <v/>
      </c>
      <c r="I7246" s="8">
        <f>IF(D7246="","",VLOOKUP(D7246, RECETTES!B:G, 6, FALSE)*E7246)</f>
        <v/>
      </c>
      <c r="J7246" s="8">
        <f>IF(G7246="","",G7246*0.20)</f>
        <v/>
      </c>
      <c r="K7246" s="8">
        <f>IF(G7246="","",G7246+J7246)</f>
        <v/>
      </c>
    </row>
    <row r="7247">
      <c r="F7247" s="8" t="n"/>
      <c r="G7247" s="8">
        <f>IF(E7247="","",E7247*F7247)</f>
        <v/>
      </c>
      <c r="H7247" s="8">
        <f>IF(G7247="","",G7247-I7247)</f>
        <v/>
      </c>
      <c r="I7247" s="8">
        <f>IF(D7247="","",VLOOKUP(D7247, RECETTES!B:G, 6, FALSE)*E7247)</f>
        <v/>
      </c>
      <c r="J7247" s="8">
        <f>IF(G7247="","",G7247*0.20)</f>
        <v/>
      </c>
      <c r="K7247" s="8">
        <f>IF(G7247="","",G7247+J7247)</f>
        <v/>
      </c>
    </row>
    <row r="7248">
      <c r="F7248" s="8" t="n"/>
      <c r="G7248" s="8">
        <f>IF(E7248="","",E7248*F7248)</f>
        <v/>
      </c>
      <c r="H7248" s="8">
        <f>IF(G7248="","",G7248-I7248)</f>
        <v/>
      </c>
      <c r="I7248" s="8">
        <f>IF(D7248="","",VLOOKUP(D7248, RECETTES!B:G, 6, FALSE)*E7248)</f>
        <v/>
      </c>
      <c r="J7248" s="8">
        <f>IF(G7248="","",G7248*0.20)</f>
        <v/>
      </c>
      <c r="K7248" s="8">
        <f>IF(G7248="","",G7248+J7248)</f>
        <v/>
      </c>
    </row>
    <row r="7249">
      <c r="F7249" s="8" t="n"/>
      <c r="G7249" s="8">
        <f>IF(E7249="","",E7249*F7249)</f>
        <v/>
      </c>
      <c r="H7249" s="8">
        <f>IF(G7249="","",G7249-I7249)</f>
        <v/>
      </c>
      <c r="I7249" s="8">
        <f>IF(D7249="","",VLOOKUP(D7249, RECETTES!B:G, 6, FALSE)*E7249)</f>
        <v/>
      </c>
      <c r="J7249" s="8">
        <f>IF(G7249="","",G7249*0.20)</f>
        <v/>
      </c>
      <c r="K7249" s="8">
        <f>IF(G7249="","",G7249+J7249)</f>
        <v/>
      </c>
    </row>
    <row r="7250">
      <c r="F7250" s="8" t="n"/>
      <c r="G7250" s="8">
        <f>IF(E7250="","",E7250*F7250)</f>
        <v/>
      </c>
      <c r="H7250" s="8">
        <f>IF(G7250="","",G7250-I7250)</f>
        <v/>
      </c>
      <c r="I7250" s="8">
        <f>IF(D7250="","",VLOOKUP(D7250, RECETTES!B:G, 6, FALSE)*E7250)</f>
        <v/>
      </c>
      <c r="J7250" s="8">
        <f>IF(G7250="","",G7250*0.20)</f>
        <v/>
      </c>
      <c r="K7250" s="8">
        <f>IF(G7250="","",G7250+J7250)</f>
        <v/>
      </c>
    </row>
    <row r="7251">
      <c r="F7251" s="8" t="n"/>
      <c r="G7251" s="8">
        <f>IF(E7251="","",E7251*F7251)</f>
        <v/>
      </c>
      <c r="H7251" s="8">
        <f>IF(G7251="","",G7251-I7251)</f>
        <v/>
      </c>
      <c r="I7251" s="8">
        <f>IF(D7251="","",VLOOKUP(D7251, RECETTES!B:G, 6, FALSE)*E7251)</f>
        <v/>
      </c>
      <c r="J7251" s="8">
        <f>IF(G7251="","",G7251*0.20)</f>
        <v/>
      </c>
      <c r="K7251" s="8">
        <f>IF(G7251="","",G7251+J7251)</f>
        <v/>
      </c>
    </row>
    <row r="7252">
      <c r="F7252" s="8" t="n"/>
      <c r="G7252" s="8">
        <f>IF(E7252="","",E7252*F7252)</f>
        <v/>
      </c>
      <c r="H7252" s="8">
        <f>IF(G7252="","",G7252-I7252)</f>
        <v/>
      </c>
      <c r="I7252" s="8">
        <f>IF(D7252="","",VLOOKUP(D7252, RECETTES!B:G, 6, FALSE)*E7252)</f>
        <v/>
      </c>
      <c r="J7252" s="8">
        <f>IF(G7252="","",G7252*0.20)</f>
        <v/>
      </c>
      <c r="K7252" s="8">
        <f>IF(G7252="","",G7252+J7252)</f>
        <v/>
      </c>
    </row>
    <row r="7253">
      <c r="F7253" s="8" t="n"/>
      <c r="G7253" s="8">
        <f>IF(E7253="","",E7253*F7253)</f>
        <v/>
      </c>
      <c r="H7253" s="8">
        <f>IF(G7253="","",G7253-I7253)</f>
        <v/>
      </c>
      <c r="I7253" s="8">
        <f>IF(D7253="","",VLOOKUP(D7253, RECETTES!B:G, 6, FALSE)*E7253)</f>
        <v/>
      </c>
      <c r="J7253" s="8">
        <f>IF(G7253="","",G7253*0.20)</f>
        <v/>
      </c>
      <c r="K7253" s="8">
        <f>IF(G7253="","",G7253+J7253)</f>
        <v/>
      </c>
    </row>
    <row r="7254">
      <c r="F7254" s="8" t="n"/>
      <c r="G7254" s="8">
        <f>IF(E7254="","",E7254*F7254)</f>
        <v/>
      </c>
      <c r="H7254" s="8">
        <f>IF(G7254="","",G7254-I7254)</f>
        <v/>
      </c>
      <c r="I7254" s="8">
        <f>IF(D7254="","",VLOOKUP(D7254, RECETTES!B:G, 6, FALSE)*E7254)</f>
        <v/>
      </c>
      <c r="J7254" s="8">
        <f>IF(G7254="","",G7254*0.20)</f>
        <v/>
      </c>
      <c r="K7254" s="8">
        <f>IF(G7254="","",G7254+J7254)</f>
        <v/>
      </c>
    </row>
    <row r="7255">
      <c r="F7255" s="8" t="n"/>
      <c r="G7255" s="8">
        <f>IF(E7255="","",E7255*F7255)</f>
        <v/>
      </c>
      <c r="H7255" s="8">
        <f>IF(G7255="","",G7255-I7255)</f>
        <v/>
      </c>
      <c r="I7255" s="8">
        <f>IF(D7255="","",VLOOKUP(D7255, RECETTES!B:G, 6, FALSE)*E7255)</f>
        <v/>
      </c>
      <c r="J7255" s="8">
        <f>IF(G7255="","",G7255*0.20)</f>
        <v/>
      </c>
      <c r="K7255" s="8">
        <f>IF(G7255="","",G7255+J7255)</f>
        <v/>
      </c>
    </row>
    <row r="7256">
      <c r="F7256" s="8" t="n"/>
      <c r="G7256" s="8">
        <f>IF(E7256="","",E7256*F7256)</f>
        <v/>
      </c>
      <c r="H7256" s="8">
        <f>IF(G7256="","",G7256-I7256)</f>
        <v/>
      </c>
      <c r="I7256" s="8">
        <f>IF(D7256="","",VLOOKUP(D7256, RECETTES!B:G, 6, FALSE)*E7256)</f>
        <v/>
      </c>
      <c r="J7256" s="8">
        <f>IF(G7256="","",G7256*0.20)</f>
        <v/>
      </c>
      <c r="K7256" s="8">
        <f>IF(G7256="","",G7256+J7256)</f>
        <v/>
      </c>
    </row>
    <row r="7257">
      <c r="F7257" s="8" t="n"/>
      <c r="G7257" s="8">
        <f>IF(E7257="","",E7257*F7257)</f>
        <v/>
      </c>
      <c r="H7257" s="8">
        <f>IF(G7257="","",G7257-I7257)</f>
        <v/>
      </c>
      <c r="I7257" s="8">
        <f>IF(D7257="","",VLOOKUP(D7257, RECETTES!B:G, 6, FALSE)*E7257)</f>
        <v/>
      </c>
      <c r="J7257" s="8">
        <f>IF(G7257="","",G7257*0.20)</f>
        <v/>
      </c>
      <c r="K7257" s="8">
        <f>IF(G7257="","",G7257+J7257)</f>
        <v/>
      </c>
    </row>
    <row r="7258">
      <c r="F7258" s="8" t="n"/>
      <c r="G7258" s="8">
        <f>IF(E7258="","",E7258*F7258)</f>
        <v/>
      </c>
      <c r="H7258" s="8">
        <f>IF(G7258="","",G7258-I7258)</f>
        <v/>
      </c>
      <c r="I7258" s="8">
        <f>IF(D7258="","",VLOOKUP(D7258, RECETTES!B:G, 6, FALSE)*E7258)</f>
        <v/>
      </c>
      <c r="J7258" s="8">
        <f>IF(G7258="","",G7258*0.20)</f>
        <v/>
      </c>
      <c r="K7258" s="8">
        <f>IF(G7258="","",G7258+J7258)</f>
        <v/>
      </c>
    </row>
    <row r="7259">
      <c r="F7259" s="8" t="n"/>
      <c r="G7259" s="8">
        <f>IF(E7259="","",E7259*F7259)</f>
        <v/>
      </c>
      <c r="H7259" s="8">
        <f>IF(G7259="","",G7259-I7259)</f>
        <v/>
      </c>
      <c r="I7259" s="8">
        <f>IF(D7259="","",VLOOKUP(D7259, RECETTES!B:G, 6, FALSE)*E7259)</f>
        <v/>
      </c>
      <c r="J7259" s="8">
        <f>IF(G7259="","",G7259*0.20)</f>
        <v/>
      </c>
      <c r="K7259" s="8">
        <f>IF(G7259="","",G7259+J7259)</f>
        <v/>
      </c>
    </row>
    <row r="7260">
      <c r="F7260" s="8" t="n"/>
      <c r="G7260" s="8">
        <f>IF(E7260="","",E7260*F7260)</f>
        <v/>
      </c>
      <c r="H7260" s="8">
        <f>IF(G7260="","",G7260-I7260)</f>
        <v/>
      </c>
      <c r="I7260" s="8">
        <f>IF(D7260="","",VLOOKUP(D7260, RECETTES!B:G, 6, FALSE)*E7260)</f>
        <v/>
      </c>
      <c r="J7260" s="8">
        <f>IF(G7260="","",G7260*0.20)</f>
        <v/>
      </c>
      <c r="K7260" s="8">
        <f>IF(G7260="","",G7260+J7260)</f>
        <v/>
      </c>
    </row>
    <row r="7261">
      <c r="F7261" s="8" t="n"/>
      <c r="G7261" s="8">
        <f>IF(E7261="","",E7261*F7261)</f>
        <v/>
      </c>
      <c r="H7261" s="8">
        <f>IF(G7261="","",G7261-I7261)</f>
        <v/>
      </c>
      <c r="I7261" s="8">
        <f>IF(D7261="","",VLOOKUP(D7261, RECETTES!B:G, 6, FALSE)*E7261)</f>
        <v/>
      </c>
      <c r="J7261" s="8">
        <f>IF(G7261="","",G7261*0.20)</f>
        <v/>
      </c>
      <c r="K7261" s="8">
        <f>IF(G7261="","",G7261+J7261)</f>
        <v/>
      </c>
    </row>
    <row r="7262">
      <c r="F7262" s="8" t="n"/>
      <c r="G7262" s="8">
        <f>IF(E7262="","",E7262*F7262)</f>
        <v/>
      </c>
      <c r="H7262" s="8">
        <f>IF(G7262="","",G7262-I7262)</f>
        <v/>
      </c>
      <c r="I7262" s="8">
        <f>IF(D7262="","",VLOOKUP(D7262, RECETTES!B:G, 6, FALSE)*E7262)</f>
        <v/>
      </c>
      <c r="J7262" s="8">
        <f>IF(G7262="","",G7262*0.20)</f>
        <v/>
      </c>
      <c r="K7262" s="8">
        <f>IF(G7262="","",G7262+J7262)</f>
        <v/>
      </c>
    </row>
    <row r="7263">
      <c r="F7263" s="8" t="n"/>
      <c r="G7263" s="8">
        <f>IF(E7263="","",E7263*F7263)</f>
        <v/>
      </c>
      <c r="H7263" s="8">
        <f>IF(G7263="","",G7263-I7263)</f>
        <v/>
      </c>
      <c r="I7263" s="8">
        <f>IF(D7263="","",VLOOKUP(D7263, RECETTES!B:G, 6, FALSE)*E7263)</f>
        <v/>
      </c>
      <c r="J7263" s="8">
        <f>IF(G7263="","",G7263*0.20)</f>
        <v/>
      </c>
      <c r="K7263" s="8">
        <f>IF(G7263="","",G7263+J7263)</f>
        <v/>
      </c>
    </row>
    <row r="7264">
      <c r="F7264" s="8" t="n"/>
      <c r="G7264" s="8">
        <f>IF(E7264="","",E7264*F7264)</f>
        <v/>
      </c>
      <c r="H7264" s="8">
        <f>IF(G7264="","",G7264-I7264)</f>
        <v/>
      </c>
      <c r="I7264" s="8">
        <f>IF(D7264="","",VLOOKUP(D7264, RECETTES!B:G, 6, FALSE)*E7264)</f>
        <v/>
      </c>
      <c r="J7264" s="8">
        <f>IF(G7264="","",G7264*0.20)</f>
        <v/>
      </c>
      <c r="K7264" s="8">
        <f>IF(G7264="","",G7264+J7264)</f>
        <v/>
      </c>
    </row>
    <row r="7265">
      <c r="F7265" s="8" t="n"/>
      <c r="G7265" s="8">
        <f>IF(E7265="","",E7265*F7265)</f>
        <v/>
      </c>
      <c r="H7265" s="8">
        <f>IF(G7265="","",G7265-I7265)</f>
        <v/>
      </c>
      <c r="I7265" s="8">
        <f>IF(D7265="","",VLOOKUP(D7265, RECETTES!B:G, 6, FALSE)*E7265)</f>
        <v/>
      </c>
      <c r="J7265" s="8">
        <f>IF(G7265="","",G7265*0.20)</f>
        <v/>
      </c>
      <c r="K7265" s="8">
        <f>IF(G7265="","",G7265+J7265)</f>
        <v/>
      </c>
    </row>
    <row r="7266">
      <c r="F7266" s="8" t="n"/>
      <c r="G7266" s="8">
        <f>IF(E7266="","",E7266*F7266)</f>
        <v/>
      </c>
      <c r="H7266" s="8">
        <f>IF(G7266="","",G7266-I7266)</f>
        <v/>
      </c>
      <c r="I7266" s="8">
        <f>IF(D7266="","",VLOOKUP(D7266, RECETTES!B:G, 6, FALSE)*E7266)</f>
        <v/>
      </c>
      <c r="J7266" s="8">
        <f>IF(G7266="","",G7266*0.20)</f>
        <v/>
      </c>
      <c r="K7266" s="8">
        <f>IF(G7266="","",G7266+J7266)</f>
        <v/>
      </c>
    </row>
    <row r="7267">
      <c r="F7267" s="8" t="n"/>
      <c r="G7267" s="8">
        <f>IF(E7267="","",E7267*F7267)</f>
        <v/>
      </c>
      <c r="H7267" s="8">
        <f>IF(G7267="","",G7267-I7267)</f>
        <v/>
      </c>
      <c r="I7267" s="8">
        <f>IF(D7267="","",VLOOKUP(D7267, RECETTES!B:G, 6, FALSE)*E7267)</f>
        <v/>
      </c>
      <c r="J7267" s="8">
        <f>IF(G7267="","",G7267*0.20)</f>
        <v/>
      </c>
      <c r="K7267" s="8">
        <f>IF(G7267="","",G7267+J7267)</f>
        <v/>
      </c>
    </row>
    <row r="7268">
      <c r="F7268" s="8" t="n"/>
      <c r="G7268" s="8">
        <f>IF(E7268="","",E7268*F7268)</f>
        <v/>
      </c>
      <c r="H7268" s="8">
        <f>IF(G7268="","",G7268-I7268)</f>
        <v/>
      </c>
      <c r="I7268" s="8">
        <f>IF(D7268="","",VLOOKUP(D7268, RECETTES!B:G, 6, FALSE)*E7268)</f>
        <v/>
      </c>
      <c r="J7268" s="8">
        <f>IF(G7268="","",G7268*0.20)</f>
        <v/>
      </c>
      <c r="K7268" s="8">
        <f>IF(G7268="","",G7268+J7268)</f>
        <v/>
      </c>
    </row>
    <row r="7269">
      <c r="F7269" s="8" t="n"/>
      <c r="G7269" s="8">
        <f>IF(E7269="","",E7269*F7269)</f>
        <v/>
      </c>
      <c r="H7269" s="8">
        <f>IF(G7269="","",G7269-I7269)</f>
        <v/>
      </c>
      <c r="I7269" s="8">
        <f>IF(D7269="","",VLOOKUP(D7269, RECETTES!B:G, 6, FALSE)*E7269)</f>
        <v/>
      </c>
      <c r="J7269" s="8">
        <f>IF(G7269="","",G7269*0.20)</f>
        <v/>
      </c>
      <c r="K7269" s="8">
        <f>IF(G7269="","",G7269+J7269)</f>
        <v/>
      </c>
    </row>
    <row r="7270">
      <c r="F7270" s="8" t="n"/>
      <c r="G7270" s="8">
        <f>IF(E7270="","",E7270*F7270)</f>
        <v/>
      </c>
      <c r="H7270" s="8">
        <f>IF(G7270="","",G7270-I7270)</f>
        <v/>
      </c>
      <c r="I7270" s="8">
        <f>IF(D7270="","",VLOOKUP(D7270, RECETTES!B:G, 6, FALSE)*E7270)</f>
        <v/>
      </c>
      <c r="J7270" s="8">
        <f>IF(G7270="","",G7270*0.20)</f>
        <v/>
      </c>
      <c r="K7270" s="8">
        <f>IF(G7270="","",G7270+J7270)</f>
        <v/>
      </c>
    </row>
    <row r="7271">
      <c r="F7271" s="8" t="n"/>
      <c r="G7271" s="8">
        <f>IF(E7271="","",E7271*F7271)</f>
        <v/>
      </c>
      <c r="H7271" s="8">
        <f>IF(G7271="","",G7271-I7271)</f>
        <v/>
      </c>
      <c r="I7271" s="8">
        <f>IF(D7271="","",VLOOKUP(D7271, RECETTES!B:G, 6, FALSE)*E7271)</f>
        <v/>
      </c>
      <c r="J7271" s="8">
        <f>IF(G7271="","",G7271*0.20)</f>
        <v/>
      </c>
      <c r="K7271" s="8">
        <f>IF(G7271="","",G7271+J7271)</f>
        <v/>
      </c>
    </row>
    <row r="7272">
      <c r="F7272" s="8" t="n"/>
      <c r="G7272" s="8">
        <f>IF(E7272="","",E7272*F7272)</f>
        <v/>
      </c>
      <c r="H7272" s="8">
        <f>IF(G7272="","",G7272-I7272)</f>
        <v/>
      </c>
      <c r="I7272" s="8">
        <f>IF(D7272="","",VLOOKUP(D7272, RECETTES!B:G, 6, FALSE)*E7272)</f>
        <v/>
      </c>
      <c r="J7272" s="8">
        <f>IF(G7272="","",G7272*0.20)</f>
        <v/>
      </c>
      <c r="K7272" s="8">
        <f>IF(G7272="","",G7272+J7272)</f>
        <v/>
      </c>
    </row>
    <row r="7273">
      <c r="F7273" s="8" t="n"/>
      <c r="G7273" s="8">
        <f>IF(E7273="","",E7273*F7273)</f>
        <v/>
      </c>
      <c r="H7273" s="8">
        <f>IF(G7273="","",G7273-I7273)</f>
        <v/>
      </c>
      <c r="I7273" s="8">
        <f>IF(D7273="","",VLOOKUP(D7273, RECETTES!B:G, 6, FALSE)*E7273)</f>
        <v/>
      </c>
      <c r="J7273" s="8">
        <f>IF(G7273="","",G7273*0.20)</f>
        <v/>
      </c>
      <c r="K7273" s="8">
        <f>IF(G7273="","",G7273+J7273)</f>
        <v/>
      </c>
    </row>
    <row r="7274">
      <c r="F7274" s="8" t="n"/>
      <c r="G7274" s="8">
        <f>IF(E7274="","",E7274*F7274)</f>
        <v/>
      </c>
      <c r="H7274" s="8">
        <f>IF(G7274="","",G7274-I7274)</f>
        <v/>
      </c>
      <c r="I7274" s="8">
        <f>IF(D7274="","",VLOOKUP(D7274, RECETTES!B:G, 6, FALSE)*E7274)</f>
        <v/>
      </c>
      <c r="J7274" s="8">
        <f>IF(G7274="","",G7274*0.20)</f>
        <v/>
      </c>
      <c r="K7274" s="8">
        <f>IF(G7274="","",G7274+J7274)</f>
        <v/>
      </c>
    </row>
    <row r="7275">
      <c r="F7275" s="8" t="n"/>
      <c r="G7275" s="8">
        <f>IF(E7275="","",E7275*F7275)</f>
        <v/>
      </c>
      <c r="H7275" s="8">
        <f>IF(G7275="","",G7275-I7275)</f>
        <v/>
      </c>
      <c r="I7275" s="8">
        <f>IF(D7275="","",VLOOKUP(D7275, RECETTES!B:G, 6, FALSE)*E7275)</f>
        <v/>
      </c>
      <c r="J7275" s="8">
        <f>IF(G7275="","",G7275*0.20)</f>
        <v/>
      </c>
      <c r="K7275" s="8">
        <f>IF(G7275="","",G7275+J7275)</f>
        <v/>
      </c>
    </row>
    <row r="7276">
      <c r="F7276" s="8" t="n"/>
      <c r="G7276" s="8">
        <f>IF(E7276="","",E7276*F7276)</f>
        <v/>
      </c>
      <c r="H7276" s="8">
        <f>IF(G7276="","",G7276-I7276)</f>
        <v/>
      </c>
      <c r="I7276" s="8">
        <f>IF(D7276="","",VLOOKUP(D7276, RECETTES!B:G, 6, FALSE)*E7276)</f>
        <v/>
      </c>
      <c r="J7276" s="8">
        <f>IF(G7276="","",G7276*0.20)</f>
        <v/>
      </c>
      <c r="K7276" s="8">
        <f>IF(G7276="","",G7276+J7276)</f>
        <v/>
      </c>
    </row>
    <row r="7277">
      <c r="F7277" s="8" t="n"/>
      <c r="G7277" s="8">
        <f>IF(E7277="","",E7277*F7277)</f>
        <v/>
      </c>
      <c r="H7277" s="8">
        <f>IF(G7277="","",G7277-I7277)</f>
        <v/>
      </c>
      <c r="I7277" s="8">
        <f>IF(D7277="","",VLOOKUP(D7277, RECETTES!B:G, 6, FALSE)*E7277)</f>
        <v/>
      </c>
      <c r="J7277" s="8">
        <f>IF(G7277="","",G7277*0.20)</f>
        <v/>
      </c>
      <c r="K7277" s="8">
        <f>IF(G7277="","",G7277+J7277)</f>
        <v/>
      </c>
    </row>
    <row r="7278">
      <c r="F7278" s="8" t="n"/>
      <c r="G7278" s="8">
        <f>IF(E7278="","",E7278*F7278)</f>
        <v/>
      </c>
      <c r="H7278" s="8">
        <f>IF(G7278="","",G7278-I7278)</f>
        <v/>
      </c>
      <c r="I7278" s="8">
        <f>IF(D7278="","",VLOOKUP(D7278, RECETTES!B:G, 6, FALSE)*E7278)</f>
        <v/>
      </c>
      <c r="J7278" s="8">
        <f>IF(G7278="","",G7278*0.20)</f>
        <v/>
      </c>
      <c r="K7278" s="8">
        <f>IF(G7278="","",G7278+J7278)</f>
        <v/>
      </c>
    </row>
    <row r="7279">
      <c r="F7279" s="8" t="n"/>
      <c r="G7279" s="8">
        <f>IF(E7279="","",E7279*F7279)</f>
        <v/>
      </c>
      <c r="H7279" s="8">
        <f>IF(G7279="","",G7279-I7279)</f>
        <v/>
      </c>
      <c r="I7279" s="8">
        <f>IF(D7279="","",VLOOKUP(D7279, RECETTES!B:G, 6, FALSE)*E7279)</f>
        <v/>
      </c>
      <c r="J7279" s="8">
        <f>IF(G7279="","",G7279*0.20)</f>
        <v/>
      </c>
      <c r="K7279" s="8">
        <f>IF(G7279="","",G7279+J7279)</f>
        <v/>
      </c>
    </row>
    <row r="7280">
      <c r="F7280" s="8" t="n"/>
      <c r="G7280" s="8">
        <f>IF(E7280="","",E7280*F7280)</f>
        <v/>
      </c>
      <c r="H7280" s="8">
        <f>IF(G7280="","",G7280-I7280)</f>
        <v/>
      </c>
      <c r="I7280" s="8">
        <f>IF(D7280="","",VLOOKUP(D7280, RECETTES!B:G, 6, FALSE)*E7280)</f>
        <v/>
      </c>
      <c r="J7280" s="8">
        <f>IF(G7280="","",G7280*0.20)</f>
        <v/>
      </c>
      <c r="K7280" s="8">
        <f>IF(G7280="","",G7280+J7280)</f>
        <v/>
      </c>
    </row>
    <row r="7281">
      <c r="F7281" s="8" t="n"/>
      <c r="G7281" s="8">
        <f>IF(E7281="","",E7281*F7281)</f>
        <v/>
      </c>
      <c r="H7281" s="8">
        <f>IF(G7281="","",G7281-I7281)</f>
        <v/>
      </c>
      <c r="I7281" s="8">
        <f>IF(D7281="","",VLOOKUP(D7281, RECETTES!B:G, 6, FALSE)*E7281)</f>
        <v/>
      </c>
      <c r="J7281" s="8">
        <f>IF(G7281="","",G7281*0.20)</f>
        <v/>
      </c>
      <c r="K7281" s="8">
        <f>IF(G7281="","",G7281+J7281)</f>
        <v/>
      </c>
    </row>
    <row r="7282">
      <c r="F7282" s="8" t="n"/>
      <c r="G7282" s="8">
        <f>IF(E7282="","",E7282*F7282)</f>
        <v/>
      </c>
      <c r="H7282" s="8">
        <f>IF(G7282="","",G7282-I7282)</f>
        <v/>
      </c>
      <c r="I7282" s="8">
        <f>IF(D7282="","",VLOOKUP(D7282, RECETTES!B:G, 6, FALSE)*E7282)</f>
        <v/>
      </c>
      <c r="J7282" s="8">
        <f>IF(G7282="","",G7282*0.20)</f>
        <v/>
      </c>
      <c r="K7282" s="8">
        <f>IF(G7282="","",G7282+J7282)</f>
        <v/>
      </c>
    </row>
    <row r="7283">
      <c r="F7283" s="8" t="n"/>
      <c r="G7283" s="8">
        <f>IF(E7283="","",E7283*F7283)</f>
        <v/>
      </c>
      <c r="H7283" s="8">
        <f>IF(G7283="","",G7283-I7283)</f>
        <v/>
      </c>
      <c r="I7283" s="8">
        <f>IF(D7283="","",VLOOKUP(D7283, RECETTES!B:G, 6, FALSE)*E7283)</f>
        <v/>
      </c>
      <c r="J7283" s="8">
        <f>IF(G7283="","",G7283*0.20)</f>
        <v/>
      </c>
      <c r="K7283" s="8">
        <f>IF(G7283="","",G7283+J7283)</f>
        <v/>
      </c>
    </row>
    <row r="7284">
      <c r="F7284" s="8" t="n"/>
      <c r="G7284" s="8">
        <f>IF(E7284="","",E7284*F7284)</f>
        <v/>
      </c>
      <c r="H7284" s="8">
        <f>IF(G7284="","",G7284-I7284)</f>
        <v/>
      </c>
      <c r="I7284" s="8">
        <f>IF(D7284="","",VLOOKUP(D7284, RECETTES!B:G, 6, FALSE)*E7284)</f>
        <v/>
      </c>
      <c r="J7284" s="8">
        <f>IF(G7284="","",G7284*0.20)</f>
        <v/>
      </c>
      <c r="K7284" s="8">
        <f>IF(G7284="","",G7284+J7284)</f>
        <v/>
      </c>
    </row>
    <row r="7285">
      <c r="F7285" s="8" t="n"/>
      <c r="G7285" s="8">
        <f>IF(E7285="","",E7285*F7285)</f>
        <v/>
      </c>
      <c r="H7285" s="8">
        <f>IF(G7285="","",G7285-I7285)</f>
        <v/>
      </c>
      <c r="I7285" s="8">
        <f>IF(D7285="","",VLOOKUP(D7285, RECETTES!B:G, 6, FALSE)*E7285)</f>
        <v/>
      </c>
      <c r="J7285" s="8">
        <f>IF(G7285="","",G7285*0.20)</f>
        <v/>
      </c>
      <c r="K7285" s="8">
        <f>IF(G7285="","",G7285+J7285)</f>
        <v/>
      </c>
    </row>
    <row r="7286">
      <c r="F7286" s="8" t="n"/>
      <c r="G7286" s="8">
        <f>IF(E7286="","",E7286*F7286)</f>
        <v/>
      </c>
      <c r="H7286" s="8">
        <f>IF(G7286="","",G7286-I7286)</f>
        <v/>
      </c>
      <c r="I7286" s="8">
        <f>IF(D7286="","",VLOOKUP(D7286, RECETTES!B:G, 6, FALSE)*E7286)</f>
        <v/>
      </c>
      <c r="J7286" s="8">
        <f>IF(G7286="","",G7286*0.20)</f>
        <v/>
      </c>
      <c r="K7286" s="8">
        <f>IF(G7286="","",G7286+J7286)</f>
        <v/>
      </c>
    </row>
    <row r="7287">
      <c r="F7287" s="8" t="n"/>
      <c r="G7287" s="8">
        <f>IF(E7287="","",E7287*F7287)</f>
        <v/>
      </c>
      <c r="H7287" s="8">
        <f>IF(G7287="","",G7287-I7287)</f>
        <v/>
      </c>
      <c r="I7287" s="8">
        <f>IF(D7287="","",VLOOKUP(D7287, RECETTES!B:G, 6, FALSE)*E7287)</f>
        <v/>
      </c>
      <c r="J7287" s="8">
        <f>IF(G7287="","",G7287*0.20)</f>
        <v/>
      </c>
      <c r="K7287" s="8">
        <f>IF(G7287="","",G7287+J7287)</f>
        <v/>
      </c>
    </row>
    <row r="7288">
      <c r="F7288" s="8" t="n"/>
      <c r="G7288" s="8">
        <f>IF(E7288="","",E7288*F7288)</f>
        <v/>
      </c>
      <c r="H7288" s="8">
        <f>IF(G7288="","",G7288-I7288)</f>
        <v/>
      </c>
      <c r="I7288" s="8">
        <f>IF(D7288="","",VLOOKUP(D7288, RECETTES!B:G, 6, FALSE)*E7288)</f>
        <v/>
      </c>
      <c r="J7288" s="8">
        <f>IF(G7288="","",G7288*0.20)</f>
        <v/>
      </c>
      <c r="K7288" s="8">
        <f>IF(G7288="","",G7288+J7288)</f>
        <v/>
      </c>
    </row>
    <row r="7289">
      <c r="F7289" s="8" t="n"/>
      <c r="G7289" s="8">
        <f>IF(E7289="","",E7289*F7289)</f>
        <v/>
      </c>
      <c r="H7289" s="8">
        <f>IF(G7289="","",G7289-I7289)</f>
        <v/>
      </c>
      <c r="I7289" s="8">
        <f>IF(D7289="","",VLOOKUP(D7289, RECETTES!B:G, 6, FALSE)*E7289)</f>
        <v/>
      </c>
      <c r="J7289" s="8">
        <f>IF(G7289="","",G7289*0.20)</f>
        <v/>
      </c>
      <c r="K7289" s="8">
        <f>IF(G7289="","",G7289+J7289)</f>
        <v/>
      </c>
    </row>
    <row r="7290">
      <c r="F7290" s="8" t="n"/>
      <c r="G7290" s="8">
        <f>IF(E7290="","",E7290*F7290)</f>
        <v/>
      </c>
      <c r="H7290" s="8">
        <f>IF(G7290="","",G7290-I7290)</f>
        <v/>
      </c>
      <c r="I7290" s="8">
        <f>IF(D7290="","",VLOOKUP(D7290, RECETTES!B:G, 6, FALSE)*E7290)</f>
        <v/>
      </c>
      <c r="J7290" s="8">
        <f>IF(G7290="","",G7290*0.20)</f>
        <v/>
      </c>
      <c r="K7290" s="8">
        <f>IF(G7290="","",G7290+J7290)</f>
        <v/>
      </c>
    </row>
    <row r="7291">
      <c r="F7291" s="8" t="n"/>
      <c r="G7291" s="8">
        <f>IF(E7291="","",E7291*F7291)</f>
        <v/>
      </c>
      <c r="H7291" s="8">
        <f>IF(G7291="","",G7291-I7291)</f>
        <v/>
      </c>
      <c r="I7291" s="8">
        <f>IF(D7291="","",VLOOKUP(D7291, RECETTES!B:G, 6, FALSE)*E7291)</f>
        <v/>
      </c>
      <c r="J7291" s="8">
        <f>IF(G7291="","",G7291*0.20)</f>
        <v/>
      </c>
      <c r="K7291" s="8">
        <f>IF(G7291="","",G7291+J7291)</f>
        <v/>
      </c>
    </row>
    <row r="7292">
      <c r="F7292" s="8" t="n"/>
      <c r="G7292" s="8">
        <f>IF(E7292="","",E7292*F7292)</f>
        <v/>
      </c>
      <c r="H7292" s="8">
        <f>IF(G7292="","",G7292-I7292)</f>
        <v/>
      </c>
      <c r="I7292" s="8">
        <f>IF(D7292="","",VLOOKUP(D7292, RECETTES!B:G, 6, FALSE)*E7292)</f>
        <v/>
      </c>
      <c r="J7292" s="8">
        <f>IF(G7292="","",G7292*0.20)</f>
        <v/>
      </c>
      <c r="K7292" s="8">
        <f>IF(G7292="","",G7292+J7292)</f>
        <v/>
      </c>
    </row>
    <row r="7293">
      <c r="F7293" s="8" t="n"/>
      <c r="G7293" s="8">
        <f>IF(E7293="","",E7293*F7293)</f>
        <v/>
      </c>
      <c r="H7293" s="8">
        <f>IF(G7293="","",G7293-I7293)</f>
        <v/>
      </c>
      <c r="I7293" s="8">
        <f>IF(D7293="","",VLOOKUP(D7293, RECETTES!B:G, 6, FALSE)*E7293)</f>
        <v/>
      </c>
      <c r="J7293" s="8">
        <f>IF(G7293="","",G7293*0.20)</f>
        <v/>
      </c>
      <c r="K7293" s="8">
        <f>IF(G7293="","",G7293+J7293)</f>
        <v/>
      </c>
    </row>
    <row r="7294">
      <c r="F7294" s="8" t="n"/>
      <c r="G7294" s="8">
        <f>IF(E7294="","",E7294*F7294)</f>
        <v/>
      </c>
      <c r="H7294" s="8">
        <f>IF(G7294="","",G7294-I7294)</f>
        <v/>
      </c>
      <c r="I7294" s="8">
        <f>IF(D7294="","",VLOOKUP(D7294, RECETTES!B:G, 6, FALSE)*E7294)</f>
        <v/>
      </c>
      <c r="J7294" s="8">
        <f>IF(G7294="","",G7294*0.20)</f>
        <v/>
      </c>
      <c r="K7294" s="8">
        <f>IF(G7294="","",G7294+J7294)</f>
        <v/>
      </c>
    </row>
    <row r="7295">
      <c r="F7295" s="8" t="n"/>
      <c r="G7295" s="8">
        <f>IF(E7295="","",E7295*F7295)</f>
        <v/>
      </c>
      <c r="H7295" s="8">
        <f>IF(G7295="","",G7295-I7295)</f>
        <v/>
      </c>
      <c r="I7295" s="8">
        <f>IF(D7295="","",VLOOKUP(D7295, RECETTES!B:G, 6, FALSE)*E7295)</f>
        <v/>
      </c>
      <c r="J7295" s="8">
        <f>IF(G7295="","",G7295*0.20)</f>
        <v/>
      </c>
      <c r="K7295" s="8">
        <f>IF(G7295="","",G7295+J7295)</f>
        <v/>
      </c>
    </row>
    <row r="7296">
      <c r="F7296" s="8" t="n"/>
      <c r="G7296" s="8">
        <f>IF(E7296="","",E7296*F7296)</f>
        <v/>
      </c>
      <c r="H7296" s="8">
        <f>IF(G7296="","",G7296-I7296)</f>
        <v/>
      </c>
      <c r="I7296" s="8">
        <f>IF(D7296="","",VLOOKUP(D7296, RECETTES!B:G, 6, FALSE)*E7296)</f>
        <v/>
      </c>
      <c r="J7296" s="8">
        <f>IF(G7296="","",G7296*0.20)</f>
        <v/>
      </c>
      <c r="K7296" s="8">
        <f>IF(G7296="","",G7296+J7296)</f>
        <v/>
      </c>
    </row>
    <row r="7297">
      <c r="F7297" s="8" t="n"/>
      <c r="G7297" s="8">
        <f>IF(E7297="","",E7297*F7297)</f>
        <v/>
      </c>
      <c r="H7297" s="8">
        <f>IF(G7297="","",G7297-I7297)</f>
        <v/>
      </c>
      <c r="I7297" s="8">
        <f>IF(D7297="","",VLOOKUP(D7297, RECETTES!B:G, 6, FALSE)*E7297)</f>
        <v/>
      </c>
      <c r="J7297" s="8">
        <f>IF(G7297="","",G7297*0.20)</f>
        <v/>
      </c>
      <c r="K7297" s="8">
        <f>IF(G7297="","",G7297+J7297)</f>
        <v/>
      </c>
    </row>
    <row r="7298">
      <c r="F7298" s="8" t="n"/>
      <c r="G7298" s="8">
        <f>IF(E7298="","",E7298*F7298)</f>
        <v/>
      </c>
      <c r="H7298" s="8">
        <f>IF(G7298="","",G7298-I7298)</f>
        <v/>
      </c>
      <c r="I7298" s="8">
        <f>IF(D7298="","",VLOOKUP(D7298, RECETTES!B:G, 6, FALSE)*E7298)</f>
        <v/>
      </c>
      <c r="J7298" s="8">
        <f>IF(G7298="","",G7298*0.20)</f>
        <v/>
      </c>
      <c r="K7298" s="8">
        <f>IF(G7298="","",G7298+J7298)</f>
        <v/>
      </c>
    </row>
    <row r="7299">
      <c r="F7299" s="8" t="n"/>
      <c r="G7299" s="8">
        <f>IF(E7299="","",E7299*F7299)</f>
        <v/>
      </c>
      <c r="H7299" s="8">
        <f>IF(G7299="","",G7299-I7299)</f>
        <v/>
      </c>
      <c r="I7299" s="8">
        <f>IF(D7299="","",VLOOKUP(D7299, RECETTES!B:G, 6, FALSE)*E7299)</f>
        <v/>
      </c>
      <c r="J7299" s="8">
        <f>IF(G7299="","",G7299*0.20)</f>
        <v/>
      </c>
      <c r="K7299" s="8">
        <f>IF(G7299="","",G7299+J7299)</f>
        <v/>
      </c>
    </row>
    <row r="7300">
      <c r="F7300" s="8" t="n"/>
      <c r="G7300" s="8">
        <f>IF(E7300="","",E7300*F7300)</f>
        <v/>
      </c>
      <c r="H7300" s="8">
        <f>IF(G7300="","",G7300-I7300)</f>
        <v/>
      </c>
      <c r="I7300" s="8">
        <f>IF(D7300="","",VLOOKUP(D7300, RECETTES!B:G, 6, FALSE)*E7300)</f>
        <v/>
      </c>
      <c r="J7300" s="8">
        <f>IF(G7300="","",G7300*0.20)</f>
        <v/>
      </c>
      <c r="K7300" s="8">
        <f>IF(G7300="","",G7300+J7300)</f>
        <v/>
      </c>
    </row>
    <row r="7301">
      <c r="F7301" s="8" t="n"/>
      <c r="G7301" s="8">
        <f>IF(E7301="","",E7301*F7301)</f>
        <v/>
      </c>
      <c r="H7301" s="8">
        <f>IF(G7301="","",G7301-I7301)</f>
        <v/>
      </c>
      <c r="I7301" s="8">
        <f>IF(D7301="","",VLOOKUP(D7301, RECETTES!B:G, 6, FALSE)*E7301)</f>
        <v/>
      </c>
      <c r="J7301" s="8">
        <f>IF(G7301="","",G7301*0.20)</f>
        <v/>
      </c>
      <c r="K7301" s="8">
        <f>IF(G7301="","",G7301+J7301)</f>
        <v/>
      </c>
    </row>
    <row r="7302">
      <c r="F7302" s="8" t="n"/>
      <c r="G7302" s="8">
        <f>IF(E7302="","",E7302*F7302)</f>
        <v/>
      </c>
      <c r="H7302" s="8">
        <f>IF(G7302="","",G7302-I7302)</f>
        <v/>
      </c>
      <c r="I7302" s="8">
        <f>IF(D7302="","",VLOOKUP(D7302, RECETTES!B:G, 6, FALSE)*E7302)</f>
        <v/>
      </c>
      <c r="J7302" s="8">
        <f>IF(G7302="","",G7302*0.20)</f>
        <v/>
      </c>
      <c r="K7302" s="8">
        <f>IF(G7302="","",G7302+J7302)</f>
        <v/>
      </c>
    </row>
    <row r="7303">
      <c r="F7303" s="8" t="n"/>
      <c r="G7303" s="8">
        <f>IF(E7303="","",E7303*F7303)</f>
        <v/>
      </c>
      <c r="H7303" s="8">
        <f>IF(G7303="","",G7303-I7303)</f>
        <v/>
      </c>
      <c r="I7303" s="8">
        <f>IF(D7303="","",VLOOKUP(D7303, RECETTES!B:G, 6, FALSE)*E7303)</f>
        <v/>
      </c>
      <c r="J7303" s="8">
        <f>IF(G7303="","",G7303*0.20)</f>
        <v/>
      </c>
      <c r="K7303" s="8">
        <f>IF(G7303="","",G7303+J7303)</f>
        <v/>
      </c>
    </row>
    <row r="7304">
      <c r="F7304" s="8" t="n"/>
      <c r="G7304" s="8">
        <f>IF(E7304="","",E7304*F7304)</f>
        <v/>
      </c>
      <c r="H7304" s="8">
        <f>IF(G7304="","",G7304-I7304)</f>
        <v/>
      </c>
      <c r="I7304" s="8">
        <f>IF(D7304="","",VLOOKUP(D7304, RECETTES!B:G, 6, FALSE)*E7304)</f>
        <v/>
      </c>
      <c r="J7304" s="8">
        <f>IF(G7304="","",G7304*0.20)</f>
        <v/>
      </c>
      <c r="K7304" s="8">
        <f>IF(G7304="","",G7304+J7304)</f>
        <v/>
      </c>
    </row>
    <row r="7305">
      <c r="F7305" s="8" t="n"/>
      <c r="G7305" s="8">
        <f>IF(E7305="","",E7305*F7305)</f>
        <v/>
      </c>
      <c r="H7305" s="8">
        <f>IF(G7305="","",G7305-I7305)</f>
        <v/>
      </c>
      <c r="I7305" s="8">
        <f>IF(D7305="","",VLOOKUP(D7305, RECETTES!B:G, 6, FALSE)*E7305)</f>
        <v/>
      </c>
      <c r="J7305" s="8">
        <f>IF(G7305="","",G7305*0.20)</f>
        <v/>
      </c>
      <c r="K7305" s="8">
        <f>IF(G7305="","",G7305+J7305)</f>
        <v/>
      </c>
    </row>
    <row r="7306">
      <c r="F7306" s="8" t="n"/>
      <c r="G7306" s="8">
        <f>IF(E7306="","",E7306*F7306)</f>
        <v/>
      </c>
      <c r="H7306" s="8">
        <f>IF(G7306="","",G7306-I7306)</f>
        <v/>
      </c>
      <c r="I7306" s="8">
        <f>IF(D7306="","",VLOOKUP(D7306, RECETTES!B:G, 6, FALSE)*E7306)</f>
        <v/>
      </c>
      <c r="J7306" s="8">
        <f>IF(G7306="","",G7306*0.20)</f>
        <v/>
      </c>
      <c r="K7306" s="8">
        <f>IF(G7306="","",G7306+J7306)</f>
        <v/>
      </c>
    </row>
    <row r="7307">
      <c r="F7307" s="8" t="n"/>
      <c r="G7307" s="8">
        <f>IF(E7307="","",E7307*F7307)</f>
        <v/>
      </c>
      <c r="H7307" s="8">
        <f>IF(G7307="","",G7307-I7307)</f>
        <v/>
      </c>
      <c r="I7307" s="8">
        <f>IF(D7307="","",VLOOKUP(D7307, RECETTES!B:G, 6, FALSE)*E7307)</f>
        <v/>
      </c>
      <c r="J7307" s="8">
        <f>IF(G7307="","",G7307*0.20)</f>
        <v/>
      </c>
      <c r="K7307" s="8">
        <f>IF(G7307="","",G7307+J7307)</f>
        <v/>
      </c>
    </row>
    <row r="7308">
      <c r="F7308" s="8" t="n"/>
      <c r="G7308" s="8">
        <f>IF(E7308="","",E7308*F7308)</f>
        <v/>
      </c>
      <c r="H7308" s="8">
        <f>IF(G7308="","",G7308-I7308)</f>
        <v/>
      </c>
      <c r="I7308" s="8">
        <f>IF(D7308="","",VLOOKUP(D7308, RECETTES!B:G, 6, FALSE)*E7308)</f>
        <v/>
      </c>
      <c r="J7308" s="8">
        <f>IF(G7308="","",G7308*0.20)</f>
        <v/>
      </c>
      <c r="K7308" s="8">
        <f>IF(G7308="","",G7308+J7308)</f>
        <v/>
      </c>
    </row>
    <row r="7309">
      <c r="F7309" s="8" t="n"/>
      <c r="G7309" s="8">
        <f>IF(E7309="","",E7309*F7309)</f>
        <v/>
      </c>
      <c r="H7309" s="8">
        <f>IF(G7309="","",G7309-I7309)</f>
        <v/>
      </c>
      <c r="I7309" s="8">
        <f>IF(D7309="","",VLOOKUP(D7309, RECETTES!B:G, 6, FALSE)*E7309)</f>
        <v/>
      </c>
      <c r="J7309" s="8">
        <f>IF(G7309="","",G7309*0.20)</f>
        <v/>
      </c>
      <c r="K7309" s="8">
        <f>IF(G7309="","",G7309+J7309)</f>
        <v/>
      </c>
    </row>
    <row r="7310">
      <c r="F7310" s="8" t="n"/>
      <c r="G7310" s="8">
        <f>IF(E7310="","",E7310*F7310)</f>
        <v/>
      </c>
      <c r="H7310" s="8">
        <f>IF(G7310="","",G7310-I7310)</f>
        <v/>
      </c>
      <c r="I7310" s="8">
        <f>IF(D7310="","",VLOOKUP(D7310, RECETTES!B:G, 6, FALSE)*E7310)</f>
        <v/>
      </c>
      <c r="J7310" s="8">
        <f>IF(G7310="","",G7310*0.20)</f>
        <v/>
      </c>
      <c r="K7310" s="8">
        <f>IF(G7310="","",G7310+J7310)</f>
        <v/>
      </c>
    </row>
    <row r="7311">
      <c r="F7311" s="8" t="n"/>
      <c r="G7311" s="8">
        <f>IF(E7311="","",E7311*F7311)</f>
        <v/>
      </c>
      <c r="H7311" s="8">
        <f>IF(G7311="","",G7311-I7311)</f>
        <v/>
      </c>
      <c r="I7311" s="8">
        <f>IF(D7311="","",VLOOKUP(D7311, RECETTES!B:G, 6, FALSE)*E7311)</f>
        <v/>
      </c>
      <c r="J7311" s="8">
        <f>IF(G7311="","",G7311*0.20)</f>
        <v/>
      </c>
      <c r="K7311" s="8">
        <f>IF(G7311="","",G7311+J7311)</f>
        <v/>
      </c>
    </row>
    <row r="7312">
      <c r="F7312" s="8" t="n"/>
      <c r="G7312" s="8">
        <f>IF(E7312="","",E7312*F7312)</f>
        <v/>
      </c>
      <c r="H7312" s="8">
        <f>IF(G7312="","",G7312-I7312)</f>
        <v/>
      </c>
      <c r="I7312" s="8">
        <f>IF(D7312="","",VLOOKUP(D7312, RECETTES!B:G, 6, FALSE)*E7312)</f>
        <v/>
      </c>
      <c r="J7312" s="8">
        <f>IF(G7312="","",G7312*0.20)</f>
        <v/>
      </c>
      <c r="K7312" s="8">
        <f>IF(G7312="","",G7312+J7312)</f>
        <v/>
      </c>
    </row>
    <row r="7313">
      <c r="F7313" s="8" t="n"/>
      <c r="G7313" s="8">
        <f>IF(E7313="","",E7313*F7313)</f>
        <v/>
      </c>
      <c r="H7313" s="8">
        <f>IF(G7313="","",G7313-I7313)</f>
        <v/>
      </c>
      <c r="I7313" s="8">
        <f>IF(D7313="","",VLOOKUP(D7313, RECETTES!B:G, 6, FALSE)*E7313)</f>
        <v/>
      </c>
      <c r="J7313" s="8">
        <f>IF(G7313="","",G7313*0.20)</f>
        <v/>
      </c>
      <c r="K7313" s="8">
        <f>IF(G7313="","",G7313+J7313)</f>
        <v/>
      </c>
    </row>
    <row r="7314">
      <c r="F7314" s="8" t="n"/>
      <c r="G7314" s="8">
        <f>IF(E7314="","",E7314*F7314)</f>
        <v/>
      </c>
      <c r="H7314" s="8">
        <f>IF(G7314="","",G7314-I7314)</f>
        <v/>
      </c>
      <c r="I7314" s="8">
        <f>IF(D7314="","",VLOOKUP(D7314, RECETTES!B:G, 6, FALSE)*E7314)</f>
        <v/>
      </c>
      <c r="J7314" s="8">
        <f>IF(G7314="","",G7314*0.20)</f>
        <v/>
      </c>
      <c r="K7314" s="8">
        <f>IF(G7314="","",G7314+J7314)</f>
        <v/>
      </c>
    </row>
    <row r="7315">
      <c r="F7315" s="8" t="n"/>
      <c r="G7315" s="8">
        <f>IF(E7315="","",E7315*F7315)</f>
        <v/>
      </c>
      <c r="H7315" s="8">
        <f>IF(G7315="","",G7315-I7315)</f>
        <v/>
      </c>
      <c r="I7315" s="8">
        <f>IF(D7315="","",VLOOKUP(D7315, RECETTES!B:G, 6, FALSE)*E7315)</f>
        <v/>
      </c>
      <c r="J7315" s="8">
        <f>IF(G7315="","",G7315*0.20)</f>
        <v/>
      </c>
      <c r="K7315" s="8">
        <f>IF(G7315="","",G7315+J7315)</f>
        <v/>
      </c>
    </row>
    <row r="7316">
      <c r="F7316" s="8" t="n"/>
      <c r="G7316" s="8">
        <f>IF(E7316="","",E7316*F7316)</f>
        <v/>
      </c>
      <c r="H7316" s="8">
        <f>IF(G7316="","",G7316-I7316)</f>
        <v/>
      </c>
      <c r="I7316" s="8">
        <f>IF(D7316="","",VLOOKUP(D7316, RECETTES!B:G, 6, FALSE)*E7316)</f>
        <v/>
      </c>
      <c r="J7316" s="8">
        <f>IF(G7316="","",G7316*0.20)</f>
        <v/>
      </c>
      <c r="K7316" s="8">
        <f>IF(G7316="","",G7316+J7316)</f>
        <v/>
      </c>
    </row>
    <row r="7317">
      <c r="F7317" s="8" t="n"/>
      <c r="G7317" s="8">
        <f>IF(E7317="","",E7317*F7317)</f>
        <v/>
      </c>
      <c r="H7317" s="8">
        <f>IF(G7317="","",G7317-I7317)</f>
        <v/>
      </c>
      <c r="I7317" s="8">
        <f>IF(D7317="","",VLOOKUP(D7317, RECETTES!B:G, 6, FALSE)*E7317)</f>
        <v/>
      </c>
      <c r="J7317" s="8">
        <f>IF(G7317="","",G7317*0.20)</f>
        <v/>
      </c>
      <c r="K7317" s="8">
        <f>IF(G7317="","",G7317+J7317)</f>
        <v/>
      </c>
    </row>
    <row r="7318">
      <c r="F7318" s="8" t="n"/>
      <c r="G7318" s="8">
        <f>IF(E7318="","",E7318*F7318)</f>
        <v/>
      </c>
      <c r="H7318" s="8">
        <f>IF(G7318="","",G7318-I7318)</f>
        <v/>
      </c>
      <c r="I7318" s="8">
        <f>IF(D7318="","",VLOOKUP(D7318, RECETTES!B:G, 6, FALSE)*E7318)</f>
        <v/>
      </c>
      <c r="J7318" s="8">
        <f>IF(G7318="","",G7318*0.20)</f>
        <v/>
      </c>
      <c r="K7318" s="8">
        <f>IF(G7318="","",G7318+J7318)</f>
        <v/>
      </c>
    </row>
    <row r="7319">
      <c r="F7319" s="8" t="n"/>
      <c r="G7319" s="8">
        <f>IF(E7319="","",E7319*F7319)</f>
        <v/>
      </c>
      <c r="H7319" s="8">
        <f>IF(G7319="","",G7319-I7319)</f>
        <v/>
      </c>
      <c r="I7319" s="8">
        <f>IF(D7319="","",VLOOKUP(D7319, RECETTES!B:G, 6, FALSE)*E7319)</f>
        <v/>
      </c>
      <c r="J7319" s="8">
        <f>IF(G7319="","",G7319*0.20)</f>
        <v/>
      </c>
      <c r="K7319" s="8">
        <f>IF(G7319="","",G7319+J7319)</f>
        <v/>
      </c>
    </row>
    <row r="7320">
      <c r="F7320" s="8" t="n"/>
      <c r="G7320" s="8">
        <f>IF(E7320="","",E7320*F7320)</f>
        <v/>
      </c>
      <c r="H7320" s="8">
        <f>IF(G7320="","",G7320-I7320)</f>
        <v/>
      </c>
      <c r="I7320" s="8">
        <f>IF(D7320="","",VLOOKUP(D7320, RECETTES!B:G, 6, FALSE)*E7320)</f>
        <v/>
      </c>
      <c r="J7320" s="8">
        <f>IF(G7320="","",G7320*0.20)</f>
        <v/>
      </c>
      <c r="K7320" s="8">
        <f>IF(G7320="","",G7320+J7320)</f>
        <v/>
      </c>
    </row>
    <row r="7321">
      <c r="F7321" s="8" t="n"/>
      <c r="G7321" s="8">
        <f>IF(E7321="","",E7321*F7321)</f>
        <v/>
      </c>
      <c r="H7321" s="8">
        <f>IF(G7321="","",G7321-I7321)</f>
        <v/>
      </c>
      <c r="I7321" s="8">
        <f>IF(D7321="","",VLOOKUP(D7321, RECETTES!B:G, 6, FALSE)*E7321)</f>
        <v/>
      </c>
      <c r="J7321" s="8">
        <f>IF(G7321="","",G7321*0.20)</f>
        <v/>
      </c>
      <c r="K7321" s="8">
        <f>IF(G7321="","",G7321+J7321)</f>
        <v/>
      </c>
    </row>
    <row r="7322">
      <c r="F7322" s="8" t="n"/>
      <c r="G7322" s="8">
        <f>IF(E7322="","",E7322*F7322)</f>
        <v/>
      </c>
      <c r="H7322" s="8">
        <f>IF(G7322="","",G7322-I7322)</f>
        <v/>
      </c>
      <c r="I7322" s="8">
        <f>IF(D7322="","",VLOOKUP(D7322, RECETTES!B:G, 6, FALSE)*E7322)</f>
        <v/>
      </c>
      <c r="J7322" s="8">
        <f>IF(G7322="","",G7322*0.20)</f>
        <v/>
      </c>
      <c r="K7322" s="8">
        <f>IF(G7322="","",G7322+J7322)</f>
        <v/>
      </c>
    </row>
    <row r="7323">
      <c r="F7323" s="8" t="n"/>
      <c r="G7323" s="8">
        <f>IF(E7323="","",E7323*F7323)</f>
        <v/>
      </c>
      <c r="H7323" s="8">
        <f>IF(G7323="","",G7323-I7323)</f>
        <v/>
      </c>
      <c r="I7323" s="8">
        <f>IF(D7323="","",VLOOKUP(D7323, RECETTES!B:G, 6, FALSE)*E7323)</f>
        <v/>
      </c>
      <c r="J7323" s="8">
        <f>IF(G7323="","",G7323*0.20)</f>
        <v/>
      </c>
      <c r="K7323" s="8">
        <f>IF(G7323="","",G7323+J7323)</f>
        <v/>
      </c>
    </row>
    <row r="7324">
      <c r="F7324" s="8" t="n"/>
      <c r="G7324" s="8">
        <f>IF(E7324="","",E7324*F7324)</f>
        <v/>
      </c>
      <c r="H7324" s="8">
        <f>IF(G7324="","",G7324-I7324)</f>
        <v/>
      </c>
      <c r="I7324" s="8">
        <f>IF(D7324="","",VLOOKUP(D7324, RECETTES!B:G, 6, FALSE)*E7324)</f>
        <v/>
      </c>
      <c r="J7324" s="8">
        <f>IF(G7324="","",G7324*0.20)</f>
        <v/>
      </c>
      <c r="K7324" s="8">
        <f>IF(G7324="","",G7324+J7324)</f>
        <v/>
      </c>
    </row>
    <row r="7325">
      <c r="F7325" s="8" t="n"/>
      <c r="G7325" s="8">
        <f>IF(E7325="","",E7325*F7325)</f>
        <v/>
      </c>
      <c r="H7325" s="8">
        <f>IF(G7325="","",G7325-I7325)</f>
        <v/>
      </c>
      <c r="I7325" s="8">
        <f>IF(D7325="","",VLOOKUP(D7325, RECETTES!B:G, 6, FALSE)*E7325)</f>
        <v/>
      </c>
      <c r="J7325" s="8">
        <f>IF(G7325="","",G7325*0.20)</f>
        <v/>
      </c>
      <c r="K7325" s="8">
        <f>IF(G7325="","",G7325+J7325)</f>
        <v/>
      </c>
    </row>
    <row r="7326">
      <c r="F7326" s="8" t="n"/>
      <c r="G7326" s="8">
        <f>IF(E7326="","",E7326*F7326)</f>
        <v/>
      </c>
      <c r="H7326" s="8">
        <f>IF(G7326="","",G7326-I7326)</f>
        <v/>
      </c>
      <c r="I7326" s="8">
        <f>IF(D7326="","",VLOOKUP(D7326, RECETTES!B:G, 6, FALSE)*E7326)</f>
        <v/>
      </c>
      <c r="J7326" s="8">
        <f>IF(G7326="","",G7326*0.20)</f>
        <v/>
      </c>
      <c r="K7326" s="8">
        <f>IF(G7326="","",G7326+J7326)</f>
        <v/>
      </c>
    </row>
    <row r="7327">
      <c r="F7327" s="8" t="n"/>
      <c r="G7327" s="8">
        <f>IF(E7327="","",E7327*F7327)</f>
        <v/>
      </c>
      <c r="H7327" s="8">
        <f>IF(G7327="","",G7327-I7327)</f>
        <v/>
      </c>
      <c r="I7327" s="8">
        <f>IF(D7327="","",VLOOKUP(D7327, RECETTES!B:G, 6, FALSE)*E7327)</f>
        <v/>
      </c>
      <c r="J7327" s="8">
        <f>IF(G7327="","",G7327*0.20)</f>
        <v/>
      </c>
      <c r="K7327" s="8">
        <f>IF(G7327="","",G7327+J7327)</f>
        <v/>
      </c>
    </row>
    <row r="7328">
      <c r="F7328" s="8" t="n"/>
      <c r="G7328" s="8">
        <f>IF(E7328="","",E7328*F7328)</f>
        <v/>
      </c>
      <c r="H7328" s="8">
        <f>IF(G7328="","",G7328-I7328)</f>
        <v/>
      </c>
      <c r="I7328" s="8">
        <f>IF(D7328="","",VLOOKUP(D7328, RECETTES!B:G, 6, FALSE)*E7328)</f>
        <v/>
      </c>
      <c r="J7328" s="8">
        <f>IF(G7328="","",G7328*0.20)</f>
        <v/>
      </c>
      <c r="K7328" s="8">
        <f>IF(G7328="","",G7328+J7328)</f>
        <v/>
      </c>
    </row>
    <row r="7329">
      <c r="F7329" s="8" t="n"/>
      <c r="G7329" s="8">
        <f>IF(E7329="","",E7329*F7329)</f>
        <v/>
      </c>
      <c r="H7329" s="8">
        <f>IF(G7329="","",G7329-I7329)</f>
        <v/>
      </c>
      <c r="I7329" s="8">
        <f>IF(D7329="","",VLOOKUP(D7329, RECETTES!B:G, 6, FALSE)*E7329)</f>
        <v/>
      </c>
      <c r="J7329" s="8">
        <f>IF(G7329="","",G7329*0.20)</f>
        <v/>
      </c>
      <c r="K7329" s="8">
        <f>IF(G7329="","",G7329+J7329)</f>
        <v/>
      </c>
    </row>
    <row r="7330">
      <c r="F7330" s="8" t="n"/>
      <c r="G7330" s="8">
        <f>IF(E7330="","",E7330*F7330)</f>
        <v/>
      </c>
      <c r="H7330" s="8">
        <f>IF(G7330="","",G7330-I7330)</f>
        <v/>
      </c>
      <c r="I7330" s="8">
        <f>IF(D7330="","",VLOOKUP(D7330, RECETTES!B:G, 6, FALSE)*E7330)</f>
        <v/>
      </c>
      <c r="J7330" s="8">
        <f>IF(G7330="","",G7330*0.20)</f>
        <v/>
      </c>
      <c r="K7330" s="8">
        <f>IF(G7330="","",G7330+J7330)</f>
        <v/>
      </c>
    </row>
    <row r="7331">
      <c r="F7331" s="8" t="n"/>
      <c r="G7331" s="8">
        <f>IF(E7331="","",E7331*F7331)</f>
        <v/>
      </c>
      <c r="H7331" s="8">
        <f>IF(G7331="","",G7331-I7331)</f>
        <v/>
      </c>
      <c r="I7331" s="8">
        <f>IF(D7331="","",VLOOKUP(D7331, RECETTES!B:G, 6, FALSE)*E7331)</f>
        <v/>
      </c>
      <c r="J7331" s="8">
        <f>IF(G7331="","",G7331*0.20)</f>
        <v/>
      </c>
      <c r="K7331" s="8">
        <f>IF(G7331="","",G7331+J7331)</f>
        <v/>
      </c>
    </row>
    <row r="7332">
      <c r="F7332" s="8" t="n"/>
      <c r="G7332" s="8">
        <f>IF(E7332="","",E7332*F7332)</f>
        <v/>
      </c>
      <c r="H7332" s="8">
        <f>IF(G7332="","",G7332-I7332)</f>
        <v/>
      </c>
      <c r="I7332" s="8">
        <f>IF(D7332="","",VLOOKUP(D7332, RECETTES!B:G, 6, FALSE)*E7332)</f>
        <v/>
      </c>
      <c r="J7332" s="8">
        <f>IF(G7332="","",G7332*0.20)</f>
        <v/>
      </c>
      <c r="K7332" s="8">
        <f>IF(G7332="","",G7332+J7332)</f>
        <v/>
      </c>
    </row>
    <row r="7333">
      <c r="F7333" s="8" t="n"/>
      <c r="G7333" s="8">
        <f>IF(E7333="","",E7333*F7333)</f>
        <v/>
      </c>
      <c r="H7333" s="8">
        <f>IF(G7333="","",G7333-I7333)</f>
        <v/>
      </c>
      <c r="I7333" s="8">
        <f>IF(D7333="","",VLOOKUP(D7333, RECETTES!B:G, 6, FALSE)*E7333)</f>
        <v/>
      </c>
      <c r="J7333" s="8">
        <f>IF(G7333="","",G7333*0.20)</f>
        <v/>
      </c>
      <c r="K7333" s="8">
        <f>IF(G7333="","",G7333+J7333)</f>
        <v/>
      </c>
    </row>
    <row r="7334">
      <c r="F7334" s="8" t="n"/>
      <c r="G7334" s="8">
        <f>IF(E7334="","",E7334*F7334)</f>
        <v/>
      </c>
      <c r="H7334" s="8">
        <f>IF(G7334="","",G7334-I7334)</f>
        <v/>
      </c>
      <c r="I7334" s="8">
        <f>IF(D7334="","",VLOOKUP(D7334, RECETTES!B:G, 6, FALSE)*E7334)</f>
        <v/>
      </c>
      <c r="J7334" s="8">
        <f>IF(G7334="","",G7334*0.20)</f>
        <v/>
      </c>
      <c r="K7334" s="8">
        <f>IF(G7334="","",G7334+J7334)</f>
        <v/>
      </c>
    </row>
    <row r="7335">
      <c r="F7335" s="8" t="n"/>
      <c r="G7335" s="8">
        <f>IF(E7335="","",E7335*F7335)</f>
        <v/>
      </c>
      <c r="H7335" s="8">
        <f>IF(G7335="","",G7335-I7335)</f>
        <v/>
      </c>
      <c r="I7335" s="8">
        <f>IF(D7335="","",VLOOKUP(D7335, RECETTES!B:G, 6, FALSE)*E7335)</f>
        <v/>
      </c>
      <c r="J7335" s="8">
        <f>IF(G7335="","",G7335*0.20)</f>
        <v/>
      </c>
      <c r="K7335" s="8">
        <f>IF(G7335="","",G7335+J7335)</f>
        <v/>
      </c>
    </row>
    <row r="7336">
      <c r="F7336" s="8" t="n"/>
      <c r="G7336" s="8">
        <f>IF(E7336="","",E7336*F7336)</f>
        <v/>
      </c>
      <c r="H7336" s="8">
        <f>IF(G7336="","",G7336-I7336)</f>
        <v/>
      </c>
      <c r="I7336" s="8">
        <f>IF(D7336="","",VLOOKUP(D7336, RECETTES!B:G, 6, FALSE)*E7336)</f>
        <v/>
      </c>
      <c r="J7336" s="8">
        <f>IF(G7336="","",G7336*0.20)</f>
        <v/>
      </c>
      <c r="K7336" s="8">
        <f>IF(G7336="","",G7336+J7336)</f>
        <v/>
      </c>
    </row>
    <row r="7337">
      <c r="F7337" s="8" t="n"/>
      <c r="G7337" s="8">
        <f>IF(E7337="","",E7337*F7337)</f>
        <v/>
      </c>
      <c r="H7337" s="8">
        <f>IF(G7337="","",G7337-I7337)</f>
        <v/>
      </c>
      <c r="I7337" s="8">
        <f>IF(D7337="","",VLOOKUP(D7337, RECETTES!B:G, 6, FALSE)*E7337)</f>
        <v/>
      </c>
      <c r="J7337" s="8">
        <f>IF(G7337="","",G7337*0.20)</f>
        <v/>
      </c>
      <c r="K7337" s="8">
        <f>IF(G7337="","",G7337+J7337)</f>
        <v/>
      </c>
    </row>
    <row r="7338">
      <c r="F7338" s="8" t="n"/>
      <c r="G7338" s="8">
        <f>IF(E7338="","",E7338*F7338)</f>
        <v/>
      </c>
      <c r="H7338" s="8">
        <f>IF(G7338="","",G7338-I7338)</f>
        <v/>
      </c>
      <c r="I7338" s="8">
        <f>IF(D7338="","",VLOOKUP(D7338, RECETTES!B:G, 6, FALSE)*E7338)</f>
        <v/>
      </c>
      <c r="J7338" s="8">
        <f>IF(G7338="","",G7338*0.20)</f>
        <v/>
      </c>
      <c r="K7338" s="8">
        <f>IF(G7338="","",G7338+J7338)</f>
        <v/>
      </c>
    </row>
    <row r="7339">
      <c r="F7339" s="8" t="n"/>
      <c r="G7339" s="8">
        <f>IF(E7339="","",E7339*F7339)</f>
        <v/>
      </c>
      <c r="H7339" s="8">
        <f>IF(G7339="","",G7339-I7339)</f>
        <v/>
      </c>
      <c r="I7339" s="8">
        <f>IF(D7339="","",VLOOKUP(D7339, RECETTES!B:G, 6, FALSE)*E7339)</f>
        <v/>
      </c>
      <c r="J7339" s="8">
        <f>IF(G7339="","",G7339*0.20)</f>
        <v/>
      </c>
      <c r="K7339" s="8">
        <f>IF(G7339="","",G7339+J7339)</f>
        <v/>
      </c>
    </row>
    <row r="7340">
      <c r="F7340" s="8" t="n"/>
      <c r="G7340" s="8">
        <f>IF(E7340="","",E7340*F7340)</f>
        <v/>
      </c>
      <c r="H7340" s="8">
        <f>IF(G7340="","",G7340-I7340)</f>
        <v/>
      </c>
      <c r="I7340" s="8">
        <f>IF(D7340="","",VLOOKUP(D7340, RECETTES!B:G, 6, FALSE)*E7340)</f>
        <v/>
      </c>
      <c r="J7340" s="8">
        <f>IF(G7340="","",G7340*0.20)</f>
        <v/>
      </c>
      <c r="K7340" s="8">
        <f>IF(G7340="","",G7340+J7340)</f>
        <v/>
      </c>
    </row>
    <row r="7341">
      <c r="F7341" s="8" t="n"/>
      <c r="G7341" s="8">
        <f>IF(E7341="","",E7341*F7341)</f>
        <v/>
      </c>
      <c r="H7341" s="8">
        <f>IF(G7341="","",G7341-I7341)</f>
        <v/>
      </c>
      <c r="I7341" s="8">
        <f>IF(D7341="","",VLOOKUP(D7341, RECETTES!B:G, 6, FALSE)*E7341)</f>
        <v/>
      </c>
      <c r="J7341" s="8">
        <f>IF(G7341="","",G7341*0.20)</f>
        <v/>
      </c>
      <c r="K7341" s="8">
        <f>IF(G7341="","",G7341+J7341)</f>
        <v/>
      </c>
    </row>
    <row r="7342">
      <c r="F7342" s="8" t="n"/>
      <c r="G7342" s="8">
        <f>IF(E7342="","",E7342*F7342)</f>
        <v/>
      </c>
      <c r="H7342" s="8">
        <f>IF(G7342="","",G7342-I7342)</f>
        <v/>
      </c>
      <c r="I7342" s="8">
        <f>IF(D7342="","",VLOOKUP(D7342, RECETTES!B:G, 6, FALSE)*E7342)</f>
        <v/>
      </c>
      <c r="J7342" s="8">
        <f>IF(G7342="","",G7342*0.20)</f>
        <v/>
      </c>
      <c r="K7342" s="8">
        <f>IF(G7342="","",G7342+J7342)</f>
        <v/>
      </c>
    </row>
    <row r="7343">
      <c r="F7343" s="8" t="n"/>
      <c r="G7343" s="8">
        <f>IF(E7343="","",E7343*F7343)</f>
        <v/>
      </c>
      <c r="H7343" s="8">
        <f>IF(G7343="","",G7343-I7343)</f>
        <v/>
      </c>
      <c r="I7343" s="8">
        <f>IF(D7343="","",VLOOKUP(D7343, RECETTES!B:G, 6, FALSE)*E7343)</f>
        <v/>
      </c>
      <c r="J7343" s="8">
        <f>IF(G7343="","",G7343*0.20)</f>
        <v/>
      </c>
      <c r="K7343" s="8">
        <f>IF(G7343="","",G7343+J7343)</f>
        <v/>
      </c>
    </row>
    <row r="7344">
      <c r="F7344" s="8" t="n"/>
      <c r="G7344" s="8">
        <f>IF(E7344="","",E7344*F7344)</f>
        <v/>
      </c>
      <c r="H7344" s="8">
        <f>IF(G7344="","",G7344-I7344)</f>
        <v/>
      </c>
      <c r="I7344" s="8">
        <f>IF(D7344="","",VLOOKUP(D7344, RECETTES!B:G, 6, FALSE)*E7344)</f>
        <v/>
      </c>
      <c r="J7344" s="8">
        <f>IF(G7344="","",G7344*0.20)</f>
        <v/>
      </c>
      <c r="K7344" s="8">
        <f>IF(G7344="","",G7344+J7344)</f>
        <v/>
      </c>
    </row>
    <row r="7345">
      <c r="F7345" s="8" t="n"/>
      <c r="G7345" s="8">
        <f>IF(E7345="","",E7345*F7345)</f>
        <v/>
      </c>
      <c r="H7345" s="8">
        <f>IF(G7345="","",G7345-I7345)</f>
        <v/>
      </c>
      <c r="I7345" s="8">
        <f>IF(D7345="","",VLOOKUP(D7345, RECETTES!B:G, 6, FALSE)*E7345)</f>
        <v/>
      </c>
      <c r="J7345" s="8">
        <f>IF(G7345="","",G7345*0.20)</f>
        <v/>
      </c>
      <c r="K7345" s="8">
        <f>IF(G7345="","",G7345+J7345)</f>
        <v/>
      </c>
    </row>
    <row r="7346">
      <c r="F7346" s="8" t="n"/>
      <c r="G7346" s="8">
        <f>IF(E7346="","",E7346*F7346)</f>
        <v/>
      </c>
      <c r="H7346" s="8">
        <f>IF(G7346="","",G7346-I7346)</f>
        <v/>
      </c>
      <c r="I7346" s="8">
        <f>IF(D7346="","",VLOOKUP(D7346, RECETTES!B:G, 6, FALSE)*E7346)</f>
        <v/>
      </c>
      <c r="J7346" s="8">
        <f>IF(G7346="","",G7346*0.20)</f>
        <v/>
      </c>
      <c r="K7346" s="8">
        <f>IF(G7346="","",G7346+J7346)</f>
        <v/>
      </c>
    </row>
    <row r="7347">
      <c r="F7347" s="8" t="n"/>
      <c r="G7347" s="8">
        <f>IF(E7347="","",E7347*F7347)</f>
        <v/>
      </c>
      <c r="H7347" s="8">
        <f>IF(G7347="","",G7347-I7347)</f>
        <v/>
      </c>
      <c r="I7347" s="8">
        <f>IF(D7347="","",VLOOKUP(D7347, RECETTES!B:G, 6, FALSE)*E7347)</f>
        <v/>
      </c>
      <c r="J7347" s="8">
        <f>IF(G7347="","",G7347*0.20)</f>
        <v/>
      </c>
      <c r="K7347" s="8">
        <f>IF(G7347="","",G7347+J7347)</f>
        <v/>
      </c>
    </row>
    <row r="7348">
      <c r="F7348" s="8" t="n"/>
      <c r="G7348" s="8">
        <f>IF(E7348="","",E7348*F7348)</f>
        <v/>
      </c>
      <c r="H7348" s="8">
        <f>IF(G7348="","",G7348-I7348)</f>
        <v/>
      </c>
      <c r="I7348" s="8">
        <f>IF(D7348="","",VLOOKUP(D7348, RECETTES!B:G, 6, FALSE)*E7348)</f>
        <v/>
      </c>
      <c r="J7348" s="8">
        <f>IF(G7348="","",G7348*0.20)</f>
        <v/>
      </c>
      <c r="K7348" s="8">
        <f>IF(G7348="","",G7348+J7348)</f>
        <v/>
      </c>
    </row>
    <row r="7349">
      <c r="F7349" s="8" t="n"/>
      <c r="G7349" s="8">
        <f>IF(E7349="","",E7349*F7349)</f>
        <v/>
      </c>
      <c r="H7349" s="8">
        <f>IF(G7349="","",G7349-I7349)</f>
        <v/>
      </c>
      <c r="I7349" s="8">
        <f>IF(D7349="","",VLOOKUP(D7349, RECETTES!B:G, 6, FALSE)*E7349)</f>
        <v/>
      </c>
      <c r="J7349" s="8">
        <f>IF(G7349="","",G7349*0.20)</f>
        <v/>
      </c>
      <c r="K7349" s="8">
        <f>IF(G7349="","",G7349+J7349)</f>
        <v/>
      </c>
    </row>
    <row r="7350">
      <c r="F7350" s="8" t="n"/>
      <c r="G7350" s="8">
        <f>IF(E7350="","",E7350*F7350)</f>
        <v/>
      </c>
      <c r="H7350" s="8">
        <f>IF(G7350="","",G7350-I7350)</f>
        <v/>
      </c>
      <c r="I7350" s="8">
        <f>IF(D7350="","",VLOOKUP(D7350, RECETTES!B:G, 6, FALSE)*E7350)</f>
        <v/>
      </c>
      <c r="J7350" s="8">
        <f>IF(G7350="","",G7350*0.20)</f>
        <v/>
      </c>
      <c r="K7350" s="8">
        <f>IF(G7350="","",G7350+J7350)</f>
        <v/>
      </c>
    </row>
    <row r="7351">
      <c r="F7351" s="8" t="n"/>
      <c r="G7351" s="8">
        <f>IF(E7351="","",E7351*F7351)</f>
        <v/>
      </c>
      <c r="H7351" s="8">
        <f>IF(G7351="","",G7351-I7351)</f>
        <v/>
      </c>
      <c r="I7351" s="8">
        <f>IF(D7351="","",VLOOKUP(D7351, RECETTES!B:G, 6, FALSE)*E7351)</f>
        <v/>
      </c>
      <c r="J7351" s="8">
        <f>IF(G7351="","",G7351*0.20)</f>
        <v/>
      </c>
      <c r="K7351" s="8">
        <f>IF(G7351="","",G7351+J7351)</f>
        <v/>
      </c>
    </row>
    <row r="7352">
      <c r="F7352" s="8" t="n"/>
      <c r="G7352" s="8">
        <f>IF(E7352="","",E7352*F7352)</f>
        <v/>
      </c>
      <c r="H7352" s="8">
        <f>IF(G7352="","",G7352-I7352)</f>
        <v/>
      </c>
      <c r="I7352" s="8">
        <f>IF(D7352="","",VLOOKUP(D7352, RECETTES!B:G, 6, FALSE)*E7352)</f>
        <v/>
      </c>
      <c r="J7352" s="8">
        <f>IF(G7352="","",G7352*0.20)</f>
        <v/>
      </c>
      <c r="K7352" s="8">
        <f>IF(G7352="","",G7352+J7352)</f>
        <v/>
      </c>
    </row>
    <row r="7353">
      <c r="F7353" s="8" t="n"/>
      <c r="G7353" s="8">
        <f>IF(E7353="","",E7353*F7353)</f>
        <v/>
      </c>
      <c r="H7353" s="8">
        <f>IF(G7353="","",G7353-I7353)</f>
        <v/>
      </c>
      <c r="I7353" s="8">
        <f>IF(D7353="","",VLOOKUP(D7353, RECETTES!B:G, 6, FALSE)*E7353)</f>
        <v/>
      </c>
      <c r="J7353" s="8">
        <f>IF(G7353="","",G7353*0.20)</f>
        <v/>
      </c>
      <c r="K7353" s="8">
        <f>IF(G7353="","",G7353+J7353)</f>
        <v/>
      </c>
    </row>
    <row r="7354">
      <c r="F7354" s="8" t="n"/>
      <c r="G7354" s="8">
        <f>IF(E7354="","",E7354*F7354)</f>
        <v/>
      </c>
      <c r="H7354" s="8">
        <f>IF(G7354="","",G7354-I7354)</f>
        <v/>
      </c>
      <c r="I7354" s="8">
        <f>IF(D7354="","",VLOOKUP(D7354, RECETTES!B:G, 6, FALSE)*E7354)</f>
        <v/>
      </c>
      <c r="J7354" s="8">
        <f>IF(G7354="","",G7354*0.20)</f>
        <v/>
      </c>
      <c r="K7354" s="8">
        <f>IF(G7354="","",G7354+J7354)</f>
        <v/>
      </c>
    </row>
    <row r="7355">
      <c r="F7355" s="8" t="n"/>
      <c r="G7355" s="8">
        <f>IF(E7355="","",E7355*F7355)</f>
        <v/>
      </c>
      <c r="H7355" s="8">
        <f>IF(G7355="","",G7355-I7355)</f>
        <v/>
      </c>
      <c r="I7355" s="8">
        <f>IF(D7355="","",VLOOKUP(D7355, RECETTES!B:G, 6, FALSE)*E7355)</f>
        <v/>
      </c>
      <c r="J7355" s="8">
        <f>IF(G7355="","",G7355*0.20)</f>
        <v/>
      </c>
      <c r="K7355" s="8">
        <f>IF(G7355="","",G7355+J7355)</f>
        <v/>
      </c>
    </row>
    <row r="7356">
      <c r="F7356" s="8" t="n"/>
      <c r="G7356" s="8">
        <f>IF(E7356="","",E7356*F7356)</f>
        <v/>
      </c>
      <c r="H7356" s="8">
        <f>IF(G7356="","",G7356-I7356)</f>
        <v/>
      </c>
      <c r="I7356" s="8">
        <f>IF(D7356="","",VLOOKUP(D7356, RECETTES!B:G, 6, FALSE)*E7356)</f>
        <v/>
      </c>
      <c r="J7356" s="8">
        <f>IF(G7356="","",G7356*0.20)</f>
        <v/>
      </c>
      <c r="K7356" s="8">
        <f>IF(G7356="","",G7356+J7356)</f>
        <v/>
      </c>
    </row>
    <row r="7357">
      <c r="F7357" s="8" t="n"/>
      <c r="G7357" s="8">
        <f>IF(E7357="","",E7357*F7357)</f>
        <v/>
      </c>
      <c r="H7357" s="8">
        <f>IF(G7357="","",G7357-I7357)</f>
        <v/>
      </c>
      <c r="I7357" s="8">
        <f>IF(D7357="","",VLOOKUP(D7357, RECETTES!B:G, 6, FALSE)*E7357)</f>
        <v/>
      </c>
      <c r="J7357" s="8">
        <f>IF(G7357="","",G7357*0.20)</f>
        <v/>
      </c>
      <c r="K7357" s="8">
        <f>IF(G7357="","",G7357+J7357)</f>
        <v/>
      </c>
    </row>
    <row r="7358">
      <c r="F7358" s="8" t="n"/>
      <c r="G7358" s="8">
        <f>IF(E7358="","",E7358*F7358)</f>
        <v/>
      </c>
      <c r="H7358" s="8">
        <f>IF(G7358="","",G7358-I7358)</f>
        <v/>
      </c>
      <c r="I7358" s="8">
        <f>IF(D7358="","",VLOOKUP(D7358, RECETTES!B:G, 6, FALSE)*E7358)</f>
        <v/>
      </c>
      <c r="J7358" s="8">
        <f>IF(G7358="","",G7358*0.20)</f>
        <v/>
      </c>
      <c r="K7358" s="8">
        <f>IF(G7358="","",G7358+J7358)</f>
        <v/>
      </c>
    </row>
    <row r="7359">
      <c r="F7359" s="8" t="n"/>
      <c r="G7359" s="8">
        <f>IF(E7359="","",E7359*F7359)</f>
        <v/>
      </c>
      <c r="H7359" s="8">
        <f>IF(G7359="","",G7359-I7359)</f>
        <v/>
      </c>
      <c r="I7359" s="8">
        <f>IF(D7359="","",VLOOKUP(D7359, RECETTES!B:G, 6, FALSE)*E7359)</f>
        <v/>
      </c>
      <c r="J7359" s="8">
        <f>IF(G7359="","",G7359*0.20)</f>
        <v/>
      </c>
      <c r="K7359" s="8">
        <f>IF(G7359="","",G7359+J7359)</f>
        <v/>
      </c>
    </row>
    <row r="7360">
      <c r="F7360" s="8" t="n"/>
      <c r="G7360" s="8">
        <f>IF(E7360="","",E7360*F7360)</f>
        <v/>
      </c>
      <c r="H7360" s="8">
        <f>IF(G7360="","",G7360-I7360)</f>
        <v/>
      </c>
      <c r="I7360" s="8">
        <f>IF(D7360="","",VLOOKUP(D7360, RECETTES!B:G, 6, FALSE)*E7360)</f>
        <v/>
      </c>
      <c r="J7360" s="8">
        <f>IF(G7360="","",G7360*0.20)</f>
        <v/>
      </c>
      <c r="K7360" s="8">
        <f>IF(G7360="","",G7360+J7360)</f>
        <v/>
      </c>
    </row>
    <row r="7361">
      <c r="F7361" s="8" t="n"/>
      <c r="G7361" s="8">
        <f>IF(E7361="","",E7361*F7361)</f>
        <v/>
      </c>
      <c r="H7361" s="8">
        <f>IF(G7361="","",G7361-I7361)</f>
        <v/>
      </c>
      <c r="I7361" s="8">
        <f>IF(D7361="","",VLOOKUP(D7361, RECETTES!B:G, 6, FALSE)*E7361)</f>
        <v/>
      </c>
      <c r="J7361" s="8">
        <f>IF(G7361="","",G7361*0.20)</f>
        <v/>
      </c>
      <c r="K7361" s="8">
        <f>IF(G7361="","",G7361+J7361)</f>
        <v/>
      </c>
    </row>
    <row r="7362">
      <c r="F7362" s="8" t="n"/>
      <c r="G7362" s="8">
        <f>IF(E7362="","",E7362*F7362)</f>
        <v/>
      </c>
      <c r="H7362" s="8">
        <f>IF(G7362="","",G7362-I7362)</f>
        <v/>
      </c>
      <c r="I7362" s="8">
        <f>IF(D7362="","",VLOOKUP(D7362, RECETTES!B:G, 6, FALSE)*E7362)</f>
        <v/>
      </c>
      <c r="J7362" s="8">
        <f>IF(G7362="","",G7362*0.20)</f>
        <v/>
      </c>
      <c r="K7362" s="8">
        <f>IF(G7362="","",G7362+J7362)</f>
        <v/>
      </c>
    </row>
    <row r="7363">
      <c r="F7363" s="8" t="n"/>
      <c r="G7363" s="8">
        <f>IF(E7363="","",E7363*F7363)</f>
        <v/>
      </c>
      <c r="H7363" s="8">
        <f>IF(G7363="","",G7363-I7363)</f>
        <v/>
      </c>
      <c r="I7363" s="8">
        <f>IF(D7363="","",VLOOKUP(D7363, RECETTES!B:G, 6, FALSE)*E7363)</f>
        <v/>
      </c>
      <c r="J7363" s="8">
        <f>IF(G7363="","",G7363*0.20)</f>
        <v/>
      </c>
      <c r="K7363" s="8">
        <f>IF(G7363="","",G7363+J7363)</f>
        <v/>
      </c>
    </row>
    <row r="7364">
      <c r="F7364" s="8" t="n"/>
      <c r="G7364" s="8">
        <f>IF(E7364="","",E7364*F7364)</f>
        <v/>
      </c>
      <c r="H7364" s="8">
        <f>IF(G7364="","",G7364-I7364)</f>
        <v/>
      </c>
      <c r="I7364" s="8">
        <f>IF(D7364="","",VLOOKUP(D7364, RECETTES!B:G, 6, FALSE)*E7364)</f>
        <v/>
      </c>
      <c r="J7364" s="8">
        <f>IF(G7364="","",G7364*0.20)</f>
        <v/>
      </c>
      <c r="K7364" s="8">
        <f>IF(G7364="","",G7364+J7364)</f>
        <v/>
      </c>
    </row>
    <row r="7365">
      <c r="F7365" s="8" t="n"/>
      <c r="G7365" s="8">
        <f>IF(E7365="","",E7365*F7365)</f>
        <v/>
      </c>
      <c r="H7365" s="8">
        <f>IF(G7365="","",G7365-I7365)</f>
        <v/>
      </c>
      <c r="I7365" s="8">
        <f>IF(D7365="","",VLOOKUP(D7365, RECETTES!B:G, 6, FALSE)*E7365)</f>
        <v/>
      </c>
      <c r="J7365" s="8">
        <f>IF(G7365="","",G7365*0.20)</f>
        <v/>
      </c>
      <c r="K7365" s="8">
        <f>IF(G7365="","",G7365+J7365)</f>
        <v/>
      </c>
    </row>
    <row r="7366">
      <c r="F7366" s="8" t="n"/>
      <c r="G7366" s="8">
        <f>IF(E7366="","",E7366*F7366)</f>
        <v/>
      </c>
      <c r="H7366" s="8">
        <f>IF(G7366="","",G7366-I7366)</f>
        <v/>
      </c>
      <c r="I7366" s="8">
        <f>IF(D7366="","",VLOOKUP(D7366, RECETTES!B:G, 6, FALSE)*E7366)</f>
        <v/>
      </c>
      <c r="J7366" s="8">
        <f>IF(G7366="","",G7366*0.20)</f>
        <v/>
      </c>
      <c r="K7366" s="8">
        <f>IF(G7366="","",G7366+J7366)</f>
        <v/>
      </c>
    </row>
    <row r="7367">
      <c r="F7367" s="8" t="n"/>
      <c r="G7367" s="8">
        <f>IF(E7367="","",E7367*F7367)</f>
        <v/>
      </c>
      <c r="H7367" s="8">
        <f>IF(G7367="","",G7367-I7367)</f>
        <v/>
      </c>
      <c r="I7367" s="8">
        <f>IF(D7367="","",VLOOKUP(D7367, RECETTES!B:G, 6, FALSE)*E7367)</f>
        <v/>
      </c>
      <c r="J7367" s="8">
        <f>IF(G7367="","",G7367*0.20)</f>
        <v/>
      </c>
      <c r="K7367" s="8">
        <f>IF(G7367="","",G7367+J7367)</f>
        <v/>
      </c>
    </row>
    <row r="7368">
      <c r="F7368" s="8" t="n"/>
      <c r="G7368" s="8">
        <f>IF(E7368="","",E7368*F7368)</f>
        <v/>
      </c>
      <c r="H7368" s="8">
        <f>IF(G7368="","",G7368-I7368)</f>
        <v/>
      </c>
      <c r="I7368" s="8">
        <f>IF(D7368="","",VLOOKUP(D7368, RECETTES!B:G, 6, FALSE)*E7368)</f>
        <v/>
      </c>
      <c r="J7368" s="8">
        <f>IF(G7368="","",G7368*0.20)</f>
        <v/>
      </c>
      <c r="K7368" s="8">
        <f>IF(G7368="","",G7368+J7368)</f>
        <v/>
      </c>
    </row>
    <row r="7369">
      <c r="F7369" s="8" t="n"/>
      <c r="G7369" s="8">
        <f>IF(E7369="","",E7369*F7369)</f>
        <v/>
      </c>
      <c r="H7369" s="8">
        <f>IF(G7369="","",G7369-I7369)</f>
        <v/>
      </c>
      <c r="I7369" s="8">
        <f>IF(D7369="","",VLOOKUP(D7369, RECETTES!B:G, 6, FALSE)*E7369)</f>
        <v/>
      </c>
      <c r="J7369" s="8">
        <f>IF(G7369="","",G7369*0.20)</f>
        <v/>
      </c>
      <c r="K7369" s="8">
        <f>IF(G7369="","",G7369+J7369)</f>
        <v/>
      </c>
    </row>
    <row r="7370">
      <c r="F7370" s="8" t="n"/>
      <c r="G7370" s="8">
        <f>IF(E7370="","",E7370*F7370)</f>
        <v/>
      </c>
      <c r="H7370" s="8">
        <f>IF(G7370="","",G7370-I7370)</f>
        <v/>
      </c>
      <c r="I7370" s="8">
        <f>IF(D7370="","",VLOOKUP(D7370, RECETTES!B:G, 6, FALSE)*E7370)</f>
        <v/>
      </c>
      <c r="J7370" s="8">
        <f>IF(G7370="","",G7370*0.20)</f>
        <v/>
      </c>
      <c r="K7370" s="8">
        <f>IF(G7370="","",G7370+J7370)</f>
        <v/>
      </c>
    </row>
    <row r="7371">
      <c r="F7371" s="8" t="n"/>
      <c r="G7371" s="8">
        <f>IF(E7371="","",E7371*F7371)</f>
        <v/>
      </c>
      <c r="H7371" s="8">
        <f>IF(G7371="","",G7371-I7371)</f>
        <v/>
      </c>
      <c r="I7371" s="8">
        <f>IF(D7371="","",VLOOKUP(D7371, RECETTES!B:G, 6, FALSE)*E7371)</f>
        <v/>
      </c>
      <c r="J7371" s="8">
        <f>IF(G7371="","",G7371*0.20)</f>
        <v/>
      </c>
      <c r="K7371" s="8">
        <f>IF(G7371="","",G7371+J7371)</f>
        <v/>
      </c>
    </row>
    <row r="7372">
      <c r="F7372" s="8" t="n"/>
      <c r="G7372" s="8">
        <f>IF(E7372="","",E7372*F7372)</f>
        <v/>
      </c>
      <c r="H7372" s="8">
        <f>IF(G7372="","",G7372-I7372)</f>
        <v/>
      </c>
      <c r="I7372" s="8">
        <f>IF(D7372="","",VLOOKUP(D7372, RECETTES!B:G, 6, FALSE)*E7372)</f>
        <v/>
      </c>
      <c r="J7372" s="8">
        <f>IF(G7372="","",G7372*0.20)</f>
        <v/>
      </c>
      <c r="K7372" s="8">
        <f>IF(G7372="","",G7372+J7372)</f>
        <v/>
      </c>
    </row>
    <row r="7373">
      <c r="F7373" s="8" t="n"/>
      <c r="G7373" s="8">
        <f>IF(E7373="","",E7373*F7373)</f>
        <v/>
      </c>
      <c r="H7373" s="8">
        <f>IF(G7373="","",G7373-I7373)</f>
        <v/>
      </c>
      <c r="I7373" s="8">
        <f>IF(D7373="","",VLOOKUP(D7373, RECETTES!B:G, 6, FALSE)*E7373)</f>
        <v/>
      </c>
      <c r="J7373" s="8">
        <f>IF(G7373="","",G7373*0.20)</f>
        <v/>
      </c>
      <c r="K7373" s="8">
        <f>IF(G7373="","",G7373+J7373)</f>
        <v/>
      </c>
    </row>
    <row r="7374">
      <c r="F7374" s="8" t="n"/>
      <c r="G7374" s="8">
        <f>IF(E7374="","",E7374*F7374)</f>
        <v/>
      </c>
      <c r="H7374" s="8">
        <f>IF(G7374="","",G7374-I7374)</f>
        <v/>
      </c>
      <c r="I7374" s="8">
        <f>IF(D7374="","",VLOOKUP(D7374, RECETTES!B:G, 6, FALSE)*E7374)</f>
        <v/>
      </c>
      <c r="J7374" s="8">
        <f>IF(G7374="","",G7374*0.20)</f>
        <v/>
      </c>
      <c r="K7374" s="8">
        <f>IF(G7374="","",G7374+J7374)</f>
        <v/>
      </c>
    </row>
    <row r="7375">
      <c r="F7375" s="8" t="n"/>
      <c r="G7375" s="8">
        <f>IF(E7375="","",E7375*F7375)</f>
        <v/>
      </c>
      <c r="H7375" s="8">
        <f>IF(G7375="","",G7375-I7375)</f>
        <v/>
      </c>
      <c r="I7375" s="8">
        <f>IF(D7375="","",VLOOKUP(D7375, RECETTES!B:G, 6, FALSE)*E7375)</f>
        <v/>
      </c>
      <c r="J7375" s="8">
        <f>IF(G7375="","",G7375*0.20)</f>
        <v/>
      </c>
      <c r="K7375" s="8">
        <f>IF(G7375="","",G7375+J7375)</f>
        <v/>
      </c>
    </row>
    <row r="7376">
      <c r="F7376" s="8" t="n"/>
      <c r="G7376" s="8">
        <f>IF(E7376="","",E7376*F7376)</f>
        <v/>
      </c>
      <c r="H7376" s="8">
        <f>IF(G7376="","",G7376-I7376)</f>
        <v/>
      </c>
      <c r="I7376" s="8">
        <f>IF(D7376="","",VLOOKUP(D7376, RECETTES!B:G, 6, FALSE)*E7376)</f>
        <v/>
      </c>
      <c r="J7376" s="8">
        <f>IF(G7376="","",G7376*0.20)</f>
        <v/>
      </c>
      <c r="K7376" s="8">
        <f>IF(G7376="","",G7376+J7376)</f>
        <v/>
      </c>
    </row>
    <row r="7377">
      <c r="F7377" s="8" t="n"/>
      <c r="G7377" s="8">
        <f>IF(E7377="","",E7377*F7377)</f>
        <v/>
      </c>
      <c r="H7377" s="8">
        <f>IF(G7377="","",G7377-I7377)</f>
        <v/>
      </c>
      <c r="I7377" s="8">
        <f>IF(D7377="","",VLOOKUP(D7377, RECETTES!B:G, 6, FALSE)*E7377)</f>
        <v/>
      </c>
      <c r="J7377" s="8">
        <f>IF(G7377="","",G7377*0.20)</f>
        <v/>
      </c>
      <c r="K7377" s="8">
        <f>IF(G7377="","",G7377+J7377)</f>
        <v/>
      </c>
    </row>
    <row r="7378">
      <c r="F7378" s="8" t="n"/>
      <c r="G7378" s="8">
        <f>IF(E7378="","",E7378*F7378)</f>
        <v/>
      </c>
      <c r="H7378" s="8">
        <f>IF(G7378="","",G7378-I7378)</f>
        <v/>
      </c>
      <c r="I7378" s="8">
        <f>IF(D7378="","",VLOOKUP(D7378, RECETTES!B:G, 6, FALSE)*E7378)</f>
        <v/>
      </c>
      <c r="J7378" s="8">
        <f>IF(G7378="","",G7378*0.20)</f>
        <v/>
      </c>
      <c r="K7378" s="8">
        <f>IF(G7378="","",G7378+J7378)</f>
        <v/>
      </c>
    </row>
    <row r="7379">
      <c r="F7379" s="8" t="n"/>
      <c r="G7379" s="8">
        <f>IF(E7379="","",E7379*F7379)</f>
        <v/>
      </c>
      <c r="H7379" s="8">
        <f>IF(G7379="","",G7379-I7379)</f>
        <v/>
      </c>
      <c r="I7379" s="8">
        <f>IF(D7379="","",VLOOKUP(D7379, RECETTES!B:G, 6, FALSE)*E7379)</f>
        <v/>
      </c>
      <c r="J7379" s="8">
        <f>IF(G7379="","",G7379*0.20)</f>
        <v/>
      </c>
      <c r="K7379" s="8">
        <f>IF(G7379="","",G7379+J7379)</f>
        <v/>
      </c>
    </row>
    <row r="7380">
      <c r="F7380" s="8" t="n"/>
      <c r="G7380" s="8">
        <f>IF(E7380="","",E7380*F7380)</f>
        <v/>
      </c>
      <c r="H7380" s="8">
        <f>IF(G7380="","",G7380-I7380)</f>
        <v/>
      </c>
      <c r="I7380" s="8">
        <f>IF(D7380="","",VLOOKUP(D7380, RECETTES!B:G, 6, FALSE)*E7380)</f>
        <v/>
      </c>
      <c r="J7380" s="8">
        <f>IF(G7380="","",G7380*0.20)</f>
        <v/>
      </c>
      <c r="K7380" s="8">
        <f>IF(G7380="","",G7380+J7380)</f>
        <v/>
      </c>
    </row>
    <row r="7381">
      <c r="F7381" s="8" t="n"/>
      <c r="G7381" s="8">
        <f>IF(E7381="","",E7381*F7381)</f>
        <v/>
      </c>
      <c r="H7381" s="8">
        <f>IF(G7381="","",G7381-I7381)</f>
        <v/>
      </c>
      <c r="I7381" s="8">
        <f>IF(D7381="","",VLOOKUP(D7381, RECETTES!B:G, 6, FALSE)*E7381)</f>
        <v/>
      </c>
      <c r="J7381" s="8">
        <f>IF(G7381="","",G7381*0.20)</f>
        <v/>
      </c>
      <c r="K7381" s="8">
        <f>IF(G7381="","",G7381+J7381)</f>
        <v/>
      </c>
    </row>
    <row r="7382">
      <c r="F7382" s="8" t="n"/>
      <c r="G7382" s="8">
        <f>IF(E7382="","",E7382*F7382)</f>
        <v/>
      </c>
      <c r="H7382" s="8">
        <f>IF(G7382="","",G7382-I7382)</f>
        <v/>
      </c>
      <c r="I7382" s="8">
        <f>IF(D7382="","",VLOOKUP(D7382, RECETTES!B:G, 6, FALSE)*E7382)</f>
        <v/>
      </c>
      <c r="J7382" s="8">
        <f>IF(G7382="","",G7382*0.20)</f>
        <v/>
      </c>
      <c r="K7382" s="8">
        <f>IF(G7382="","",G7382+J7382)</f>
        <v/>
      </c>
    </row>
    <row r="7383">
      <c r="F7383" s="8" t="n"/>
      <c r="G7383" s="8">
        <f>IF(E7383="","",E7383*F7383)</f>
        <v/>
      </c>
      <c r="H7383" s="8">
        <f>IF(G7383="","",G7383-I7383)</f>
        <v/>
      </c>
      <c r="I7383" s="8">
        <f>IF(D7383="","",VLOOKUP(D7383, RECETTES!B:G, 6, FALSE)*E7383)</f>
        <v/>
      </c>
      <c r="J7383" s="8">
        <f>IF(G7383="","",G7383*0.20)</f>
        <v/>
      </c>
      <c r="K7383" s="8">
        <f>IF(G7383="","",G7383+J7383)</f>
        <v/>
      </c>
    </row>
    <row r="7384">
      <c r="F7384" s="8" t="n"/>
      <c r="G7384" s="8">
        <f>IF(E7384="","",E7384*F7384)</f>
        <v/>
      </c>
      <c r="H7384" s="8">
        <f>IF(G7384="","",G7384-I7384)</f>
        <v/>
      </c>
      <c r="I7384" s="8">
        <f>IF(D7384="","",VLOOKUP(D7384, RECETTES!B:G, 6, FALSE)*E7384)</f>
        <v/>
      </c>
      <c r="J7384" s="8">
        <f>IF(G7384="","",G7384*0.20)</f>
        <v/>
      </c>
      <c r="K7384" s="8">
        <f>IF(G7384="","",G7384+J7384)</f>
        <v/>
      </c>
    </row>
    <row r="7385">
      <c r="F7385" s="8" t="n"/>
      <c r="G7385" s="8">
        <f>IF(E7385="","",E7385*F7385)</f>
        <v/>
      </c>
      <c r="H7385" s="8">
        <f>IF(G7385="","",G7385-I7385)</f>
        <v/>
      </c>
      <c r="I7385" s="8">
        <f>IF(D7385="","",VLOOKUP(D7385, RECETTES!B:G, 6, FALSE)*E7385)</f>
        <v/>
      </c>
      <c r="J7385" s="8">
        <f>IF(G7385="","",G7385*0.20)</f>
        <v/>
      </c>
      <c r="K7385" s="8">
        <f>IF(G7385="","",G7385+J7385)</f>
        <v/>
      </c>
    </row>
    <row r="7386">
      <c r="F7386" s="8" t="n"/>
      <c r="G7386" s="8">
        <f>IF(E7386="","",E7386*F7386)</f>
        <v/>
      </c>
      <c r="H7386" s="8">
        <f>IF(G7386="","",G7386-I7386)</f>
        <v/>
      </c>
      <c r="I7386" s="8">
        <f>IF(D7386="","",VLOOKUP(D7386, RECETTES!B:G, 6, FALSE)*E7386)</f>
        <v/>
      </c>
      <c r="J7386" s="8">
        <f>IF(G7386="","",G7386*0.20)</f>
        <v/>
      </c>
      <c r="K7386" s="8">
        <f>IF(G7386="","",G7386+J7386)</f>
        <v/>
      </c>
    </row>
    <row r="7387">
      <c r="F7387" s="8" t="n"/>
      <c r="G7387" s="8">
        <f>IF(E7387="","",E7387*F7387)</f>
        <v/>
      </c>
      <c r="H7387" s="8">
        <f>IF(G7387="","",G7387-I7387)</f>
        <v/>
      </c>
      <c r="I7387" s="8">
        <f>IF(D7387="","",VLOOKUP(D7387, RECETTES!B:G, 6, FALSE)*E7387)</f>
        <v/>
      </c>
      <c r="J7387" s="8">
        <f>IF(G7387="","",G7387*0.20)</f>
        <v/>
      </c>
      <c r="K7387" s="8">
        <f>IF(G7387="","",G7387+J7387)</f>
        <v/>
      </c>
    </row>
    <row r="7388">
      <c r="F7388" s="8" t="n"/>
      <c r="G7388" s="8">
        <f>IF(E7388="","",E7388*F7388)</f>
        <v/>
      </c>
      <c r="H7388" s="8">
        <f>IF(G7388="","",G7388-I7388)</f>
        <v/>
      </c>
      <c r="I7388" s="8">
        <f>IF(D7388="","",VLOOKUP(D7388, RECETTES!B:G, 6, FALSE)*E7388)</f>
        <v/>
      </c>
      <c r="J7388" s="8">
        <f>IF(G7388="","",G7388*0.20)</f>
        <v/>
      </c>
      <c r="K7388" s="8">
        <f>IF(G7388="","",G7388+J7388)</f>
        <v/>
      </c>
    </row>
    <row r="7389">
      <c r="F7389" s="8" t="n"/>
      <c r="G7389" s="8">
        <f>IF(E7389="","",E7389*F7389)</f>
        <v/>
      </c>
      <c r="H7389" s="8">
        <f>IF(G7389="","",G7389-I7389)</f>
        <v/>
      </c>
      <c r="I7389" s="8">
        <f>IF(D7389="","",VLOOKUP(D7389, RECETTES!B:G, 6, FALSE)*E7389)</f>
        <v/>
      </c>
      <c r="J7389" s="8">
        <f>IF(G7389="","",G7389*0.20)</f>
        <v/>
      </c>
      <c r="K7389" s="8">
        <f>IF(G7389="","",G7389+J7389)</f>
        <v/>
      </c>
    </row>
    <row r="7390">
      <c r="F7390" s="8" t="n"/>
      <c r="G7390" s="8">
        <f>IF(E7390="","",E7390*F7390)</f>
        <v/>
      </c>
      <c r="H7390" s="8">
        <f>IF(G7390="","",G7390-I7390)</f>
        <v/>
      </c>
      <c r="I7390" s="8">
        <f>IF(D7390="","",VLOOKUP(D7390, RECETTES!B:G, 6, FALSE)*E7390)</f>
        <v/>
      </c>
      <c r="J7390" s="8">
        <f>IF(G7390="","",G7390*0.20)</f>
        <v/>
      </c>
      <c r="K7390" s="8">
        <f>IF(G7390="","",G7390+J7390)</f>
        <v/>
      </c>
    </row>
    <row r="7391">
      <c r="F7391" s="8" t="n"/>
      <c r="G7391" s="8">
        <f>IF(E7391="","",E7391*F7391)</f>
        <v/>
      </c>
      <c r="H7391" s="8">
        <f>IF(G7391="","",G7391-I7391)</f>
        <v/>
      </c>
      <c r="I7391" s="8">
        <f>IF(D7391="","",VLOOKUP(D7391, RECETTES!B:G, 6, FALSE)*E7391)</f>
        <v/>
      </c>
      <c r="J7391" s="8">
        <f>IF(G7391="","",G7391*0.20)</f>
        <v/>
      </c>
      <c r="K7391" s="8">
        <f>IF(G7391="","",G7391+J7391)</f>
        <v/>
      </c>
    </row>
    <row r="7392">
      <c r="F7392" s="8" t="n"/>
      <c r="G7392" s="8">
        <f>IF(E7392="","",E7392*F7392)</f>
        <v/>
      </c>
      <c r="H7392" s="8">
        <f>IF(G7392="","",G7392-I7392)</f>
        <v/>
      </c>
      <c r="I7392" s="8">
        <f>IF(D7392="","",VLOOKUP(D7392, RECETTES!B:G, 6, FALSE)*E7392)</f>
        <v/>
      </c>
      <c r="J7392" s="8">
        <f>IF(G7392="","",G7392*0.20)</f>
        <v/>
      </c>
      <c r="K7392" s="8">
        <f>IF(G7392="","",G7392+J7392)</f>
        <v/>
      </c>
    </row>
    <row r="7393">
      <c r="F7393" s="8" t="n"/>
      <c r="G7393" s="8">
        <f>IF(E7393="","",E7393*F7393)</f>
        <v/>
      </c>
      <c r="H7393" s="8">
        <f>IF(G7393="","",G7393-I7393)</f>
        <v/>
      </c>
      <c r="I7393" s="8">
        <f>IF(D7393="","",VLOOKUP(D7393, RECETTES!B:G, 6, FALSE)*E7393)</f>
        <v/>
      </c>
      <c r="J7393" s="8">
        <f>IF(G7393="","",G7393*0.20)</f>
        <v/>
      </c>
      <c r="K7393" s="8">
        <f>IF(G7393="","",G7393+J7393)</f>
        <v/>
      </c>
    </row>
    <row r="7394">
      <c r="F7394" s="8" t="n"/>
      <c r="G7394" s="8">
        <f>IF(E7394="","",E7394*F7394)</f>
        <v/>
      </c>
      <c r="H7394" s="8">
        <f>IF(G7394="","",G7394-I7394)</f>
        <v/>
      </c>
      <c r="I7394" s="8">
        <f>IF(D7394="","",VLOOKUP(D7394, RECETTES!B:G, 6, FALSE)*E7394)</f>
        <v/>
      </c>
      <c r="J7394" s="8">
        <f>IF(G7394="","",G7394*0.20)</f>
        <v/>
      </c>
      <c r="K7394" s="8">
        <f>IF(G7394="","",G7394+J7394)</f>
        <v/>
      </c>
    </row>
    <row r="7395">
      <c r="F7395" s="8" t="n"/>
      <c r="G7395" s="8">
        <f>IF(E7395="","",E7395*F7395)</f>
        <v/>
      </c>
      <c r="H7395" s="8">
        <f>IF(G7395="","",G7395-I7395)</f>
        <v/>
      </c>
      <c r="I7395" s="8">
        <f>IF(D7395="","",VLOOKUP(D7395, RECETTES!B:G, 6, FALSE)*E7395)</f>
        <v/>
      </c>
      <c r="J7395" s="8">
        <f>IF(G7395="","",G7395*0.20)</f>
        <v/>
      </c>
      <c r="K7395" s="8">
        <f>IF(G7395="","",G7395+J7395)</f>
        <v/>
      </c>
    </row>
    <row r="7396">
      <c r="F7396" s="8" t="n"/>
      <c r="G7396" s="8">
        <f>IF(E7396="","",E7396*F7396)</f>
        <v/>
      </c>
      <c r="H7396" s="8">
        <f>IF(G7396="","",G7396-I7396)</f>
        <v/>
      </c>
      <c r="I7396" s="8">
        <f>IF(D7396="","",VLOOKUP(D7396, RECETTES!B:G, 6, FALSE)*E7396)</f>
        <v/>
      </c>
      <c r="J7396" s="8">
        <f>IF(G7396="","",G7396*0.20)</f>
        <v/>
      </c>
      <c r="K7396" s="8">
        <f>IF(G7396="","",G7396+J7396)</f>
        <v/>
      </c>
    </row>
    <row r="7397">
      <c r="F7397" s="8" t="n"/>
      <c r="G7397" s="8">
        <f>IF(E7397="","",E7397*F7397)</f>
        <v/>
      </c>
      <c r="H7397" s="8">
        <f>IF(G7397="","",G7397-I7397)</f>
        <v/>
      </c>
      <c r="I7397" s="8">
        <f>IF(D7397="","",VLOOKUP(D7397, RECETTES!B:G, 6, FALSE)*E7397)</f>
        <v/>
      </c>
      <c r="J7397" s="8">
        <f>IF(G7397="","",G7397*0.20)</f>
        <v/>
      </c>
      <c r="K7397" s="8">
        <f>IF(G7397="","",G7397+J7397)</f>
        <v/>
      </c>
    </row>
    <row r="7398">
      <c r="F7398" s="8" t="n"/>
      <c r="G7398" s="8">
        <f>IF(E7398="","",E7398*F7398)</f>
        <v/>
      </c>
      <c r="H7398" s="8">
        <f>IF(G7398="","",G7398-I7398)</f>
        <v/>
      </c>
      <c r="I7398" s="8">
        <f>IF(D7398="","",VLOOKUP(D7398, RECETTES!B:G, 6, FALSE)*E7398)</f>
        <v/>
      </c>
      <c r="J7398" s="8">
        <f>IF(G7398="","",G7398*0.20)</f>
        <v/>
      </c>
      <c r="K7398" s="8">
        <f>IF(G7398="","",G7398+J7398)</f>
        <v/>
      </c>
    </row>
    <row r="7399">
      <c r="F7399" s="8" t="n"/>
      <c r="G7399" s="8">
        <f>IF(E7399="","",E7399*F7399)</f>
        <v/>
      </c>
      <c r="H7399" s="8">
        <f>IF(G7399="","",G7399-I7399)</f>
        <v/>
      </c>
      <c r="I7399" s="8">
        <f>IF(D7399="","",VLOOKUP(D7399, RECETTES!B:G, 6, FALSE)*E7399)</f>
        <v/>
      </c>
      <c r="J7399" s="8">
        <f>IF(G7399="","",G7399*0.20)</f>
        <v/>
      </c>
      <c r="K7399" s="8">
        <f>IF(G7399="","",G7399+J7399)</f>
        <v/>
      </c>
    </row>
    <row r="7400">
      <c r="F7400" s="8" t="n"/>
      <c r="G7400" s="8">
        <f>IF(E7400="","",E7400*F7400)</f>
        <v/>
      </c>
      <c r="H7400" s="8">
        <f>IF(G7400="","",G7400-I7400)</f>
        <v/>
      </c>
      <c r="I7400" s="8">
        <f>IF(D7400="","",VLOOKUP(D7400, RECETTES!B:G, 6, FALSE)*E7400)</f>
        <v/>
      </c>
      <c r="J7400" s="8">
        <f>IF(G7400="","",G7400*0.20)</f>
        <v/>
      </c>
      <c r="K7400" s="8">
        <f>IF(G7400="","",G7400+J7400)</f>
        <v/>
      </c>
    </row>
    <row r="7401">
      <c r="F7401" s="8" t="n"/>
      <c r="G7401" s="8">
        <f>IF(E7401="","",E7401*F7401)</f>
        <v/>
      </c>
      <c r="H7401" s="8">
        <f>IF(G7401="","",G7401-I7401)</f>
        <v/>
      </c>
      <c r="I7401" s="8">
        <f>IF(D7401="","",VLOOKUP(D7401, RECETTES!B:G, 6, FALSE)*E7401)</f>
        <v/>
      </c>
      <c r="J7401" s="8">
        <f>IF(G7401="","",G7401*0.20)</f>
        <v/>
      </c>
      <c r="K7401" s="8">
        <f>IF(G7401="","",G7401+J7401)</f>
        <v/>
      </c>
    </row>
    <row r="7402">
      <c r="F7402" s="8" t="n"/>
      <c r="G7402" s="8">
        <f>IF(E7402="","",E7402*F7402)</f>
        <v/>
      </c>
      <c r="H7402" s="8">
        <f>IF(G7402="","",G7402-I7402)</f>
        <v/>
      </c>
      <c r="I7402" s="8">
        <f>IF(D7402="","",VLOOKUP(D7402, RECETTES!B:G, 6, FALSE)*E7402)</f>
        <v/>
      </c>
      <c r="J7402" s="8">
        <f>IF(G7402="","",G7402*0.20)</f>
        <v/>
      </c>
      <c r="K7402" s="8">
        <f>IF(G7402="","",G7402+J7402)</f>
        <v/>
      </c>
    </row>
    <row r="7403">
      <c r="F7403" s="8" t="n"/>
      <c r="G7403" s="8">
        <f>IF(E7403="","",E7403*F7403)</f>
        <v/>
      </c>
      <c r="H7403" s="8">
        <f>IF(G7403="","",G7403-I7403)</f>
        <v/>
      </c>
      <c r="I7403" s="8">
        <f>IF(D7403="","",VLOOKUP(D7403, RECETTES!B:G, 6, FALSE)*E7403)</f>
        <v/>
      </c>
      <c r="J7403" s="8">
        <f>IF(G7403="","",G7403*0.20)</f>
        <v/>
      </c>
      <c r="K7403" s="8">
        <f>IF(G7403="","",G7403+J7403)</f>
        <v/>
      </c>
    </row>
    <row r="7404">
      <c r="F7404" s="8" t="n"/>
      <c r="G7404" s="8">
        <f>IF(E7404="","",E7404*F7404)</f>
        <v/>
      </c>
      <c r="H7404" s="8">
        <f>IF(G7404="","",G7404-I7404)</f>
        <v/>
      </c>
      <c r="I7404" s="8">
        <f>IF(D7404="","",VLOOKUP(D7404, RECETTES!B:G, 6, FALSE)*E7404)</f>
        <v/>
      </c>
      <c r="J7404" s="8">
        <f>IF(G7404="","",G7404*0.20)</f>
        <v/>
      </c>
      <c r="K7404" s="8">
        <f>IF(G7404="","",G7404+J7404)</f>
        <v/>
      </c>
    </row>
    <row r="7405">
      <c r="F7405" s="8" t="n"/>
      <c r="G7405" s="8">
        <f>IF(E7405="","",E7405*F7405)</f>
        <v/>
      </c>
      <c r="H7405" s="8">
        <f>IF(G7405="","",G7405-I7405)</f>
        <v/>
      </c>
      <c r="I7405" s="8">
        <f>IF(D7405="","",VLOOKUP(D7405, RECETTES!B:G, 6, FALSE)*E7405)</f>
        <v/>
      </c>
      <c r="J7405" s="8">
        <f>IF(G7405="","",G7405*0.20)</f>
        <v/>
      </c>
      <c r="K7405" s="8">
        <f>IF(G7405="","",G7405+J7405)</f>
        <v/>
      </c>
    </row>
    <row r="7406">
      <c r="F7406" s="8" t="n"/>
      <c r="G7406" s="8">
        <f>IF(E7406="","",E7406*F7406)</f>
        <v/>
      </c>
      <c r="H7406" s="8">
        <f>IF(G7406="","",G7406-I7406)</f>
        <v/>
      </c>
      <c r="I7406" s="8">
        <f>IF(D7406="","",VLOOKUP(D7406, RECETTES!B:G, 6, FALSE)*E7406)</f>
        <v/>
      </c>
      <c r="J7406" s="8">
        <f>IF(G7406="","",G7406*0.20)</f>
        <v/>
      </c>
      <c r="K7406" s="8">
        <f>IF(G7406="","",G7406+J7406)</f>
        <v/>
      </c>
    </row>
    <row r="7407">
      <c r="F7407" s="8" t="n"/>
      <c r="G7407" s="8">
        <f>IF(E7407="","",E7407*F7407)</f>
        <v/>
      </c>
      <c r="H7407" s="8">
        <f>IF(G7407="","",G7407-I7407)</f>
        <v/>
      </c>
      <c r="I7407" s="8">
        <f>IF(D7407="","",VLOOKUP(D7407, RECETTES!B:G, 6, FALSE)*E7407)</f>
        <v/>
      </c>
      <c r="J7407" s="8">
        <f>IF(G7407="","",G7407*0.20)</f>
        <v/>
      </c>
      <c r="K7407" s="8">
        <f>IF(G7407="","",G7407+J7407)</f>
        <v/>
      </c>
    </row>
    <row r="7408">
      <c r="F7408" s="8" t="n"/>
      <c r="G7408" s="8">
        <f>IF(E7408="","",E7408*F7408)</f>
        <v/>
      </c>
      <c r="H7408" s="8">
        <f>IF(G7408="","",G7408-I7408)</f>
        <v/>
      </c>
      <c r="I7408" s="8">
        <f>IF(D7408="","",VLOOKUP(D7408, RECETTES!B:G, 6, FALSE)*E7408)</f>
        <v/>
      </c>
      <c r="J7408" s="8">
        <f>IF(G7408="","",G7408*0.20)</f>
        <v/>
      </c>
      <c r="K7408" s="8">
        <f>IF(G7408="","",G7408+J7408)</f>
        <v/>
      </c>
    </row>
    <row r="7409">
      <c r="F7409" s="8" t="n"/>
      <c r="G7409" s="8">
        <f>IF(E7409="","",E7409*F7409)</f>
        <v/>
      </c>
      <c r="H7409" s="8">
        <f>IF(G7409="","",G7409-I7409)</f>
        <v/>
      </c>
      <c r="I7409" s="8">
        <f>IF(D7409="","",VLOOKUP(D7409, RECETTES!B:G, 6, FALSE)*E7409)</f>
        <v/>
      </c>
      <c r="J7409" s="8">
        <f>IF(G7409="","",G7409*0.20)</f>
        <v/>
      </c>
      <c r="K7409" s="8">
        <f>IF(G7409="","",G7409+J7409)</f>
        <v/>
      </c>
    </row>
    <row r="7410">
      <c r="F7410" s="8" t="n"/>
      <c r="G7410" s="8">
        <f>IF(E7410="","",E7410*F7410)</f>
        <v/>
      </c>
      <c r="H7410" s="8">
        <f>IF(G7410="","",G7410-I7410)</f>
        <v/>
      </c>
      <c r="I7410" s="8">
        <f>IF(D7410="","",VLOOKUP(D7410, RECETTES!B:G, 6, FALSE)*E7410)</f>
        <v/>
      </c>
      <c r="J7410" s="8">
        <f>IF(G7410="","",G7410*0.20)</f>
        <v/>
      </c>
      <c r="K7410" s="8">
        <f>IF(G7410="","",G7410+J7410)</f>
        <v/>
      </c>
    </row>
    <row r="7411">
      <c r="F7411" s="8" t="n"/>
      <c r="G7411" s="8">
        <f>IF(E7411="","",E7411*F7411)</f>
        <v/>
      </c>
      <c r="H7411" s="8">
        <f>IF(G7411="","",G7411-I7411)</f>
        <v/>
      </c>
      <c r="I7411" s="8">
        <f>IF(D7411="","",VLOOKUP(D7411, RECETTES!B:G, 6, FALSE)*E7411)</f>
        <v/>
      </c>
      <c r="J7411" s="8">
        <f>IF(G7411="","",G7411*0.20)</f>
        <v/>
      </c>
      <c r="K7411" s="8">
        <f>IF(G7411="","",G7411+J7411)</f>
        <v/>
      </c>
    </row>
    <row r="7412">
      <c r="F7412" s="8" t="n"/>
      <c r="G7412" s="8">
        <f>IF(E7412="","",E7412*F7412)</f>
        <v/>
      </c>
      <c r="H7412" s="8">
        <f>IF(G7412="","",G7412-I7412)</f>
        <v/>
      </c>
      <c r="I7412" s="8">
        <f>IF(D7412="","",VLOOKUP(D7412, RECETTES!B:G, 6, FALSE)*E7412)</f>
        <v/>
      </c>
      <c r="J7412" s="8">
        <f>IF(G7412="","",G7412*0.20)</f>
        <v/>
      </c>
      <c r="K7412" s="8">
        <f>IF(G7412="","",G7412+J7412)</f>
        <v/>
      </c>
    </row>
    <row r="7413">
      <c r="F7413" s="8" t="n"/>
      <c r="G7413" s="8">
        <f>IF(E7413="","",E7413*F7413)</f>
        <v/>
      </c>
      <c r="H7413" s="8">
        <f>IF(G7413="","",G7413-I7413)</f>
        <v/>
      </c>
      <c r="I7413" s="8">
        <f>IF(D7413="","",VLOOKUP(D7413, RECETTES!B:G, 6, FALSE)*E7413)</f>
        <v/>
      </c>
      <c r="J7413" s="8">
        <f>IF(G7413="","",G7413*0.20)</f>
        <v/>
      </c>
      <c r="K7413" s="8">
        <f>IF(G7413="","",G7413+J7413)</f>
        <v/>
      </c>
    </row>
    <row r="7414">
      <c r="F7414" s="8" t="n"/>
      <c r="G7414" s="8">
        <f>IF(E7414="","",E7414*F7414)</f>
        <v/>
      </c>
      <c r="H7414" s="8">
        <f>IF(G7414="","",G7414-I7414)</f>
        <v/>
      </c>
      <c r="I7414" s="8">
        <f>IF(D7414="","",VLOOKUP(D7414, RECETTES!B:G, 6, FALSE)*E7414)</f>
        <v/>
      </c>
      <c r="J7414" s="8">
        <f>IF(G7414="","",G7414*0.20)</f>
        <v/>
      </c>
      <c r="K7414" s="8">
        <f>IF(G7414="","",G7414+J7414)</f>
        <v/>
      </c>
    </row>
    <row r="7415">
      <c r="F7415" s="8" t="n"/>
      <c r="G7415" s="8">
        <f>IF(E7415="","",E7415*F7415)</f>
        <v/>
      </c>
      <c r="H7415" s="8">
        <f>IF(G7415="","",G7415-I7415)</f>
        <v/>
      </c>
      <c r="I7415" s="8">
        <f>IF(D7415="","",VLOOKUP(D7415, RECETTES!B:G, 6, FALSE)*E7415)</f>
        <v/>
      </c>
      <c r="J7415" s="8">
        <f>IF(G7415="","",G7415*0.20)</f>
        <v/>
      </c>
      <c r="K7415" s="8">
        <f>IF(G7415="","",G7415+J7415)</f>
        <v/>
      </c>
    </row>
    <row r="7416">
      <c r="F7416" s="8" t="n"/>
      <c r="G7416" s="8">
        <f>IF(E7416="","",E7416*F7416)</f>
        <v/>
      </c>
      <c r="H7416" s="8">
        <f>IF(G7416="","",G7416-I7416)</f>
        <v/>
      </c>
      <c r="I7416" s="8">
        <f>IF(D7416="","",VLOOKUP(D7416, RECETTES!B:G, 6, FALSE)*E7416)</f>
        <v/>
      </c>
      <c r="J7416" s="8">
        <f>IF(G7416="","",G7416*0.20)</f>
        <v/>
      </c>
      <c r="K7416" s="8">
        <f>IF(G7416="","",G7416+J7416)</f>
        <v/>
      </c>
    </row>
    <row r="7417">
      <c r="F7417" s="8" t="n"/>
      <c r="G7417" s="8">
        <f>IF(E7417="","",E7417*F7417)</f>
        <v/>
      </c>
      <c r="H7417" s="8">
        <f>IF(G7417="","",G7417-I7417)</f>
        <v/>
      </c>
      <c r="I7417" s="8">
        <f>IF(D7417="","",VLOOKUP(D7417, RECETTES!B:G, 6, FALSE)*E7417)</f>
        <v/>
      </c>
      <c r="J7417" s="8">
        <f>IF(G7417="","",G7417*0.20)</f>
        <v/>
      </c>
      <c r="K7417" s="8">
        <f>IF(G7417="","",G7417+J7417)</f>
        <v/>
      </c>
    </row>
    <row r="7418">
      <c r="F7418" s="8" t="n"/>
      <c r="G7418" s="8">
        <f>IF(E7418="","",E7418*F7418)</f>
        <v/>
      </c>
      <c r="H7418" s="8">
        <f>IF(G7418="","",G7418-I7418)</f>
        <v/>
      </c>
      <c r="I7418" s="8">
        <f>IF(D7418="","",VLOOKUP(D7418, RECETTES!B:G, 6, FALSE)*E7418)</f>
        <v/>
      </c>
      <c r="J7418" s="8">
        <f>IF(G7418="","",G7418*0.20)</f>
        <v/>
      </c>
      <c r="K7418" s="8">
        <f>IF(G7418="","",G7418+J7418)</f>
        <v/>
      </c>
    </row>
    <row r="7419">
      <c r="F7419" s="8" t="n"/>
      <c r="G7419" s="8">
        <f>IF(E7419="","",E7419*F7419)</f>
        <v/>
      </c>
      <c r="H7419" s="8">
        <f>IF(G7419="","",G7419-I7419)</f>
        <v/>
      </c>
      <c r="I7419" s="8">
        <f>IF(D7419="","",VLOOKUP(D7419, RECETTES!B:G, 6, FALSE)*E7419)</f>
        <v/>
      </c>
      <c r="J7419" s="8">
        <f>IF(G7419="","",G7419*0.20)</f>
        <v/>
      </c>
      <c r="K7419" s="8">
        <f>IF(G7419="","",G7419+J7419)</f>
        <v/>
      </c>
    </row>
    <row r="7420">
      <c r="F7420" s="8" t="n"/>
      <c r="G7420" s="8">
        <f>IF(E7420="","",E7420*F7420)</f>
        <v/>
      </c>
      <c r="H7420" s="8">
        <f>IF(G7420="","",G7420-I7420)</f>
        <v/>
      </c>
      <c r="I7420" s="8">
        <f>IF(D7420="","",VLOOKUP(D7420, RECETTES!B:G, 6, FALSE)*E7420)</f>
        <v/>
      </c>
      <c r="J7420" s="8">
        <f>IF(G7420="","",G7420*0.20)</f>
        <v/>
      </c>
      <c r="K7420" s="8">
        <f>IF(G7420="","",G7420+J7420)</f>
        <v/>
      </c>
    </row>
    <row r="7421">
      <c r="F7421" s="8" t="n"/>
      <c r="G7421" s="8">
        <f>IF(E7421="","",E7421*F7421)</f>
        <v/>
      </c>
      <c r="H7421" s="8">
        <f>IF(G7421="","",G7421-I7421)</f>
        <v/>
      </c>
      <c r="I7421" s="8">
        <f>IF(D7421="","",VLOOKUP(D7421, RECETTES!B:G, 6, FALSE)*E7421)</f>
        <v/>
      </c>
      <c r="J7421" s="8">
        <f>IF(G7421="","",G7421*0.20)</f>
        <v/>
      </c>
      <c r="K7421" s="8">
        <f>IF(G7421="","",G7421+J7421)</f>
        <v/>
      </c>
    </row>
    <row r="7422">
      <c r="F7422" s="8" t="n"/>
      <c r="G7422" s="8">
        <f>IF(E7422="","",E7422*F7422)</f>
        <v/>
      </c>
      <c r="H7422" s="8">
        <f>IF(G7422="","",G7422-I7422)</f>
        <v/>
      </c>
      <c r="I7422" s="8">
        <f>IF(D7422="","",VLOOKUP(D7422, RECETTES!B:G, 6, FALSE)*E7422)</f>
        <v/>
      </c>
      <c r="J7422" s="8">
        <f>IF(G7422="","",G7422*0.20)</f>
        <v/>
      </c>
      <c r="K7422" s="8">
        <f>IF(G7422="","",G7422+J7422)</f>
        <v/>
      </c>
    </row>
    <row r="7423">
      <c r="F7423" s="8" t="n"/>
      <c r="G7423" s="8">
        <f>IF(E7423="","",E7423*F7423)</f>
        <v/>
      </c>
      <c r="H7423" s="8">
        <f>IF(G7423="","",G7423-I7423)</f>
        <v/>
      </c>
      <c r="I7423" s="8">
        <f>IF(D7423="","",VLOOKUP(D7423, RECETTES!B:G, 6, FALSE)*E7423)</f>
        <v/>
      </c>
      <c r="J7423" s="8">
        <f>IF(G7423="","",G7423*0.20)</f>
        <v/>
      </c>
      <c r="K7423" s="8">
        <f>IF(G7423="","",G7423+J7423)</f>
        <v/>
      </c>
    </row>
    <row r="7424">
      <c r="F7424" s="8" t="n"/>
      <c r="G7424" s="8">
        <f>IF(E7424="","",E7424*F7424)</f>
        <v/>
      </c>
      <c r="H7424" s="8">
        <f>IF(G7424="","",G7424-I7424)</f>
        <v/>
      </c>
      <c r="I7424" s="8">
        <f>IF(D7424="","",VLOOKUP(D7424, RECETTES!B:G, 6, FALSE)*E7424)</f>
        <v/>
      </c>
      <c r="J7424" s="8">
        <f>IF(G7424="","",G7424*0.20)</f>
        <v/>
      </c>
      <c r="K7424" s="8">
        <f>IF(G7424="","",G7424+J7424)</f>
        <v/>
      </c>
    </row>
    <row r="7425">
      <c r="F7425" s="8" t="n"/>
      <c r="G7425" s="8">
        <f>IF(E7425="","",E7425*F7425)</f>
        <v/>
      </c>
      <c r="H7425" s="8">
        <f>IF(G7425="","",G7425-I7425)</f>
        <v/>
      </c>
      <c r="I7425" s="8">
        <f>IF(D7425="","",VLOOKUP(D7425, RECETTES!B:G, 6, FALSE)*E7425)</f>
        <v/>
      </c>
      <c r="J7425" s="8">
        <f>IF(G7425="","",G7425*0.20)</f>
        <v/>
      </c>
      <c r="K7425" s="8">
        <f>IF(G7425="","",G7425+J7425)</f>
        <v/>
      </c>
    </row>
    <row r="7426">
      <c r="F7426" s="8" t="n"/>
      <c r="G7426" s="8">
        <f>IF(E7426="","",E7426*F7426)</f>
        <v/>
      </c>
      <c r="H7426" s="8">
        <f>IF(G7426="","",G7426-I7426)</f>
        <v/>
      </c>
      <c r="I7426" s="8">
        <f>IF(D7426="","",VLOOKUP(D7426, RECETTES!B:G, 6, FALSE)*E7426)</f>
        <v/>
      </c>
      <c r="J7426" s="8">
        <f>IF(G7426="","",G7426*0.20)</f>
        <v/>
      </c>
      <c r="K7426" s="8">
        <f>IF(G7426="","",G7426+J7426)</f>
        <v/>
      </c>
    </row>
    <row r="7427">
      <c r="F7427" s="8" t="n"/>
      <c r="G7427" s="8">
        <f>IF(E7427="","",E7427*F7427)</f>
        <v/>
      </c>
      <c r="H7427" s="8">
        <f>IF(G7427="","",G7427-I7427)</f>
        <v/>
      </c>
      <c r="I7427" s="8">
        <f>IF(D7427="","",VLOOKUP(D7427, RECETTES!B:G, 6, FALSE)*E7427)</f>
        <v/>
      </c>
      <c r="J7427" s="8">
        <f>IF(G7427="","",G7427*0.20)</f>
        <v/>
      </c>
      <c r="K7427" s="8">
        <f>IF(G7427="","",G7427+J7427)</f>
        <v/>
      </c>
    </row>
    <row r="7428">
      <c r="F7428" s="8" t="n"/>
      <c r="G7428" s="8">
        <f>IF(E7428="","",E7428*F7428)</f>
        <v/>
      </c>
      <c r="H7428" s="8">
        <f>IF(G7428="","",G7428-I7428)</f>
        <v/>
      </c>
      <c r="I7428" s="8">
        <f>IF(D7428="","",VLOOKUP(D7428, RECETTES!B:G, 6, FALSE)*E7428)</f>
        <v/>
      </c>
      <c r="J7428" s="8">
        <f>IF(G7428="","",G7428*0.20)</f>
        <v/>
      </c>
      <c r="K7428" s="8">
        <f>IF(G7428="","",G7428+J7428)</f>
        <v/>
      </c>
    </row>
    <row r="7429">
      <c r="F7429" s="8" t="n"/>
      <c r="G7429" s="8">
        <f>IF(E7429="","",E7429*F7429)</f>
        <v/>
      </c>
      <c r="H7429" s="8">
        <f>IF(G7429="","",G7429-I7429)</f>
        <v/>
      </c>
      <c r="I7429" s="8">
        <f>IF(D7429="","",VLOOKUP(D7429, RECETTES!B:G, 6, FALSE)*E7429)</f>
        <v/>
      </c>
      <c r="J7429" s="8">
        <f>IF(G7429="","",G7429*0.20)</f>
        <v/>
      </c>
      <c r="K7429" s="8">
        <f>IF(G7429="","",G7429+J7429)</f>
        <v/>
      </c>
    </row>
    <row r="7430">
      <c r="F7430" s="8" t="n"/>
      <c r="G7430" s="8">
        <f>IF(E7430="","",E7430*F7430)</f>
        <v/>
      </c>
      <c r="H7430" s="8">
        <f>IF(G7430="","",G7430-I7430)</f>
        <v/>
      </c>
      <c r="I7430" s="8">
        <f>IF(D7430="","",VLOOKUP(D7430, RECETTES!B:G, 6, FALSE)*E7430)</f>
        <v/>
      </c>
      <c r="J7430" s="8">
        <f>IF(G7430="","",G7430*0.20)</f>
        <v/>
      </c>
      <c r="K7430" s="8">
        <f>IF(G7430="","",G7430+J7430)</f>
        <v/>
      </c>
    </row>
    <row r="7431">
      <c r="F7431" s="8" t="n"/>
      <c r="G7431" s="8">
        <f>IF(E7431="","",E7431*F7431)</f>
        <v/>
      </c>
      <c r="H7431" s="8">
        <f>IF(G7431="","",G7431-I7431)</f>
        <v/>
      </c>
      <c r="I7431" s="8">
        <f>IF(D7431="","",VLOOKUP(D7431, RECETTES!B:G, 6, FALSE)*E7431)</f>
        <v/>
      </c>
      <c r="J7431" s="8">
        <f>IF(G7431="","",G7431*0.20)</f>
        <v/>
      </c>
      <c r="K7431" s="8">
        <f>IF(G7431="","",G7431+J7431)</f>
        <v/>
      </c>
    </row>
    <row r="7432">
      <c r="F7432" s="8" t="n"/>
      <c r="G7432" s="8">
        <f>IF(E7432="","",E7432*F7432)</f>
        <v/>
      </c>
      <c r="H7432" s="8">
        <f>IF(G7432="","",G7432-I7432)</f>
        <v/>
      </c>
      <c r="I7432" s="8">
        <f>IF(D7432="","",VLOOKUP(D7432, RECETTES!B:G, 6, FALSE)*E7432)</f>
        <v/>
      </c>
      <c r="J7432" s="8">
        <f>IF(G7432="","",G7432*0.20)</f>
        <v/>
      </c>
      <c r="K7432" s="8">
        <f>IF(G7432="","",G7432+J7432)</f>
        <v/>
      </c>
    </row>
    <row r="7433">
      <c r="F7433" s="8" t="n"/>
      <c r="G7433" s="8">
        <f>IF(E7433="","",E7433*F7433)</f>
        <v/>
      </c>
      <c r="H7433" s="8">
        <f>IF(G7433="","",G7433-I7433)</f>
        <v/>
      </c>
      <c r="I7433" s="8">
        <f>IF(D7433="","",VLOOKUP(D7433, RECETTES!B:G, 6, FALSE)*E7433)</f>
        <v/>
      </c>
      <c r="J7433" s="8">
        <f>IF(G7433="","",G7433*0.20)</f>
        <v/>
      </c>
      <c r="K7433" s="8">
        <f>IF(G7433="","",G7433+J7433)</f>
        <v/>
      </c>
    </row>
    <row r="7434">
      <c r="F7434" s="8" t="n"/>
      <c r="G7434" s="8">
        <f>IF(E7434="","",E7434*F7434)</f>
        <v/>
      </c>
      <c r="H7434" s="8">
        <f>IF(G7434="","",G7434-I7434)</f>
        <v/>
      </c>
      <c r="I7434" s="8">
        <f>IF(D7434="","",VLOOKUP(D7434, RECETTES!B:G, 6, FALSE)*E7434)</f>
        <v/>
      </c>
      <c r="J7434" s="8">
        <f>IF(G7434="","",G7434*0.20)</f>
        <v/>
      </c>
      <c r="K7434" s="8">
        <f>IF(G7434="","",G7434+J7434)</f>
        <v/>
      </c>
    </row>
    <row r="7435">
      <c r="F7435" s="8" t="n"/>
      <c r="G7435" s="8">
        <f>IF(E7435="","",E7435*F7435)</f>
        <v/>
      </c>
      <c r="H7435" s="8">
        <f>IF(G7435="","",G7435-I7435)</f>
        <v/>
      </c>
      <c r="I7435" s="8">
        <f>IF(D7435="","",VLOOKUP(D7435, RECETTES!B:G, 6, FALSE)*E7435)</f>
        <v/>
      </c>
      <c r="J7435" s="8">
        <f>IF(G7435="","",G7435*0.20)</f>
        <v/>
      </c>
      <c r="K7435" s="8">
        <f>IF(G7435="","",G7435+J7435)</f>
        <v/>
      </c>
    </row>
    <row r="7436">
      <c r="F7436" s="8" t="n"/>
      <c r="G7436" s="8">
        <f>IF(E7436="","",E7436*F7436)</f>
        <v/>
      </c>
      <c r="H7436" s="8">
        <f>IF(G7436="","",G7436-I7436)</f>
        <v/>
      </c>
      <c r="I7436" s="8">
        <f>IF(D7436="","",VLOOKUP(D7436, RECETTES!B:G, 6, FALSE)*E7436)</f>
        <v/>
      </c>
      <c r="J7436" s="8">
        <f>IF(G7436="","",G7436*0.20)</f>
        <v/>
      </c>
      <c r="K7436" s="8">
        <f>IF(G7436="","",G7436+J7436)</f>
        <v/>
      </c>
    </row>
    <row r="7437">
      <c r="F7437" s="8" t="n"/>
      <c r="G7437" s="8">
        <f>IF(E7437="","",E7437*F7437)</f>
        <v/>
      </c>
      <c r="H7437" s="8">
        <f>IF(G7437="","",G7437-I7437)</f>
        <v/>
      </c>
      <c r="I7437" s="8">
        <f>IF(D7437="","",VLOOKUP(D7437, RECETTES!B:G, 6, FALSE)*E7437)</f>
        <v/>
      </c>
      <c r="J7437" s="8">
        <f>IF(G7437="","",G7437*0.20)</f>
        <v/>
      </c>
      <c r="K7437" s="8">
        <f>IF(G7437="","",G7437+J7437)</f>
        <v/>
      </c>
    </row>
    <row r="7438">
      <c r="F7438" s="8" t="n"/>
      <c r="G7438" s="8">
        <f>IF(E7438="","",E7438*F7438)</f>
        <v/>
      </c>
      <c r="H7438" s="8">
        <f>IF(G7438="","",G7438-I7438)</f>
        <v/>
      </c>
      <c r="I7438" s="8">
        <f>IF(D7438="","",VLOOKUP(D7438, RECETTES!B:G, 6, FALSE)*E7438)</f>
        <v/>
      </c>
      <c r="J7438" s="8">
        <f>IF(G7438="","",G7438*0.20)</f>
        <v/>
      </c>
      <c r="K7438" s="8">
        <f>IF(G7438="","",G7438+J7438)</f>
        <v/>
      </c>
    </row>
    <row r="7439">
      <c r="F7439" s="8" t="n"/>
      <c r="G7439" s="8">
        <f>IF(E7439="","",E7439*F7439)</f>
        <v/>
      </c>
      <c r="H7439" s="8">
        <f>IF(G7439="","",G7439-I7439)</f>
        <v/>
      </c>
      <c r="I7439" s="8">
        <f>IF(D7439="","",VLOOKUP(D7439, RECETTES!B:G, 6, FALSE)*E7439)</f>
        <v/>
      </c>
      <c r="J7439" s="8">
        <f>IF(G7439="","",G7439*0.20)</f>
        <v/>
      </c>
      <c r="K7439" s="8">
        <f>IF(G7439="","",G7439+J7439)</f>
        <v/>
      </c>
    </row>
    <row r="7440">
      <c r="F7440" s="8" t="n"/>
      <c r="G7440" s="8">
        <f>IF(E7440="","",E7440*F7440)</f>
        <v/>
      </c>
      <c r="H7440" s="8">
        <f>IF(G7440="","",G7440-I7440)</f>
        <v/>
      </c>
      <c r="I7440" s="8">
        <f>IF(D7440="","",VLOOKUP(D7440, RECETTES!B:G, 6, FALSE)*E7440)</f>
        <v/>
      </c>
      <c r="J7440" s="8">
        <f>IF(G7440="","",G7440*0.20)</f>
        <v/>
      </c>
      <c r="K7440" s="8">
        <f>IF(G7440="","",G7440+J7440)</f>
        <v/>
      </c>
    </row>
    <row r="7441">
      <c r="F7441" s="8" t="n"/>
      <c r="G7441" s="8">
        <f>IF(E7441="","",E7441*F7441)</f>
        <v/>
      </c>
      <c r="H7441" s="8">
        <f>IF(G7441="","",G7441-I7441)</f>
        <v/>
      </c>
      <c r="I7441" s="8">
        <f>IF(D7441="","",VLOOKUP(D7441, RECETTES!B:G, 6, FALSE)*E7441)</f>
        <v/>
      </c>
      <c r="J7441" s="8">
        <f>IF(G7441="","",G7441*0.20)</f>
        <v/>
      </c>
      <c r="K7441" s="8">
        <f>IF(G7441="","",G7441+J7441)</f>
        <v/>
      </c>
    </row>
    <row r="7442">
      <c r="F7442" s="8" t="n"/>
      <c r="G7442" s="8">
        <f>IF(E7442="","",E7442*F7442)</f>
        <v/>
      </c>
      <c r="H7442" s="8">
        <f>IF(G7442="","",G7442-I7442)</f>
        <v/>
      </c>
      <c r="I7442" s="8">
        <f>IF(D7442="","",VLOOKUP(D7442, RECETTES!B:G, 6, FALSE)*E7442)</f>
        <v/>
      </c>
      <c r="J7442" s="8">
        <f>IF(G7442="","",G7442*0.20)</f>
        <v/>
      </c>
      <c r="K7442" s="8">
        <f>IF(G7442="","",G7442+J7442)</f>
        <v/>
      </c>
    </row>
    <row r="7443">
      <c r="F7443" s="8" t="n"/>
      <c r="G7443" s="8">
        <f>IF(E7443="","",E7443*F7443)</f>
        <v/>
      </c>
      <c r="H7443" s="8">
        <f>IF(G7443="","",G7443-I7443)</f>
        <v/>
      </c>
      <c r="I7443" s="8">
        <f>IF(D7443="","",VLOOKUP(D7443, RECETTES!B:G, 6, FALSE)*E7443)</f>
        <v/>
      </c>
      <c r="J7443" s="8">
        <f>IF(G7443="","",G7443*0.20)</f>
        <v/>
      </c>
      <c r="K7443" s="8">
        <f>IF(G7443="","",G7443+J7443)</f>
        <v/>
      </c>
    </row>
    <row r="7444">
      <c r="F7444" s="8" t="n"/>
      <c r="G7444" s="8">
        <f>IF(E7444="","",E7444*F7444)</f>
        <v/>
      </c>
      <c r="H7444" s="8">
        <f>IF(G7444="","",G7444-I7444)</f>
        <v/>
      </c>
      <c r="I7444" s="8">
        <f>IF(D7444="","",VLOOKUP(D7444, RECETTES!B:G, 6, FALSE)*E7444)</f>
        <v/>
      </c>
      <c r="J7444" s="8">
        <f>IF(G7444="","",G7444*0.20)</f>
        <v/>
      </c>
      <c r="K7444" s="8">
        <f>IF(G7444="","",G7444+J7444)</f>
        <v/>
      </c>
    </row>
    <row r="7445">
      <c r="F7445" s="8" t="n"/>
      <c r="G7445" s="8">
        <f>IF(E7445="","",E7445*F7445)</f>
        <v/>
      </c>
      <c r="H7445" s="8">
        <f>IF(G7445="","",G7445-I7445)</f>
        <v/>
      </c>
      <c r="I7445" s="8">
        <f>IF(D7445="","",VLOOKUP(D7445, RECETTES!B:G, 6, FALSE)*E7445)</f>
        <v/>
      </c>
      <c r="J7445" s="8">
        <f>IF(G7445="","",G7445*0.20)</f>
        <v/>
      </c>
      <c r="K7445" s="8">
        <f>IF(G7445="","",G7445+J7445)</f>
        <v/>
      </c>
    </row>
    <row r="7446">
      <c r="F7446" s="8" t="n"/>
      <c r="G7446" s="8">
        <f>IF(E7446="","",E7446*F7446)</f>
        <v/>
      </c>
      <c r="H7446" s="8">
        <f>IF(G7446="","",G7446-I7446)</f>
        <v/>
      </c>
      <c r="I7446" s="8">
        <f>IF(D7446="","",VLOOKUP(D7446, RECETTES!B:G, 6, FALSE)*E7446)</f>
        <v/>
      </c>
      <c r="J7446" s="8">
        <f>IF(G7446="","",G7446*0.20)</f>
        <v/>
      </c>
      <c r="K7446" s="8">
        <f>IF(G7446="","",G7446+J7446)</f>
        <v/>
      </c>
    </row>
    <row r="7447">
      <c r="F7447" s="8" t="n"/>
      <c r="G7447" s="8">
        <f>IF(E7447="","",E7447*F7447)</f>
        <v/>
      </c>
      <c r="H7447" s="8">
        <f>IF(G7447="","",G7447-I7447)</f>
        <v/>
      </c>
      <c r="I7447" s="8">
        <f>IF(D7447="","",VLOOKUP(D7447, RECETTES!B:G, 6, FALSE)*E7447)</f>
        <v/>
      </c>
      <c r="J7447" s="8">
        <f>IF(G7447="","",G7447*0.20)</f>
        <v/>
      </c>
      <c r="K7447" s="8">
        <f>IF(G7447="","",G7447+J7447)</f>
        <v/>
      </c>
    </row>
    <row r="7448">
      <c r="F7448" s="8" t="n"/>
      <c r="G7448" s="8">
        <f>IF(E7448="","",E7448*F7448)</f>
        <v/>
      </c>
      <c r="H7448" s="8">
        <f>IF(G7448="","",G7448-I7448)</f>
        <v/>
      </c>
      <c r="I7448" s="8">
        <f>IF(D7448="","",VLOOKUP(D7448, RECETTES!B:G, 6, FALSE)*E7448)</f>
        <v/>
      </c>
      <c r="J7448" s="8">
        <f>IF(G7448="","",G7448*0.20)</f>
        <v/>
      </c>
      <c r="K7448" s="8">
        <f>IF(G7448="","",G7448+J7448)</f>
        <v/>
      </c>
    </row>
    <row r="7449">
      <c r="F7449" s="8" t="n"/>
      <c r="G7449" s="8">
        <f>IF(E7449="","",E7449*F7449)</f>
        <v/>
      </c>
      <c r="H7449" s="8">
        <f>IF(G7449="","",G7449-I7449)</f>
        <v/>
      </c>
      <c r="I7449" s="8">
        <f>IF(D7449="","",VLOOKUP(D7449, RECETTES!B:G, 6, FALSE)*E7449)</f>
        <v/>
      </c>
      <c r="J7449" s="8">
        <f>IF(G7449="","",G7449*0.20)</f>
        <v/>
      </c>
      <c r="K7449" s="8">
        <f>IF(G7449="","",G7449+J7449)</f>
        <v/>
      </c>
    </row>
    <row r="7450">
      <c r="F7450" s="8" t="n"/>
      <c r="G7450" s="8">
        <f>IF(E7450="","",E7450*F7450)</f>
        <v/>
      </c>
      <c r="H7450" s="8">
        <f>IF(G7450="","",G7450-I7450)</f>
        <v/>
      </c>
      <c r="I7450" s="8">
        <f>IF(D7450="","",VLOOKUP(D7450, RECETTES!B:G, 6, FALSE)*E7450)</f>
        <v/>
      </c>
      <c r="J7450" s="8">
        <f>IF(G7450="","",G7450*0.20)</f>
        <v/>
      </c>
      <c r="K7450" s="8">
        <f>IF(G7450="","",G7450+J7450)</f>
        <v/>
      </c>
    </row>
    <row r="7451">
      <c r="F7451" s="8" t="n"/>
      <c r="G7451" s="8">
        <f>IF(E7451="","",E7451*F7451)</f>
        <v/>
      </c>
      <c r="H7451" s="8">
        <f>IF(G7451="","",G7451-I7451)</f>
        <v/>
      </c>
      <c r="I7451" s="8">
        <f>IF(D7451="","",VLOOKUP(D7451, RECETTES!B:G, 6, FALSE)*E7451)</f>
        <v/>
      </c>
      <c r="J7451" s="8">
        <f>IF(G7451="","",G7451*0.20)</f>
        <v/>
      </c>
      <c r="K7451" s="8">
        <f>IF(G7451="","",G7451+J7451)</f>
        <v/>
      </c>
    </row>
    <row r="7452">
      <c r="F7452" s="8" t="n"/>
      <c r="G7452" s="8">
        <f>IF(E7452="","",E7452*F7452)</f>
        <v/>
      </c>
      <c r="H7452" s="8">
        <f>IF(G7452="","",G7452-I7452)</f>
        <v/>
      </c>
      <c r="I7452" s="8">
        <f>IF(D7452="","",VLOOKUP(D7452, RECETTES!B:G, 6, FALSE)*E7452)</f>
        <v/>
      </c>
      <c r="J7452" s="8">
        <f>IF(G7452="","",G7452*0.20)</f>
        <v/>
      </c>
      <c r="K7452" s="8">
        <f>IF(G7452="","",G7452+J7452)</f>
        <v/>
      </c>
    </row>
    <row r="7453">
      <c r="F7453" s="8" t="n"/>
      <c r="G7453" s="8">
        <f>IF(E7453="","",E7453*F7453)</f>
        <v/>
      </c>
      <c r="H7453" s="8">
        <f>IF(G7453="","",G7453-I7453)</f>
        <v/>
      </c>
      <c r="I7453" s="8">
        <f>IF(D7453="","",VLOOKUP(D7453, RECETTES!B:G, 6, FALSE)*E7453)</f>
        <v/>
      </c>
      <c r="J7453" s="8">
        <f>IF(G7453="","",G7453*0.20)</f>
        <v/>
      </c>
      <c r="K7453" s="8">
        <f>IF(G7453="","",G7453+J7453)</f>
        <v/>
      </c>
    </row>
    <row r="7454">
      <c r="F7454" s="8" t="n"/>
      <c r="G7454" s="8">
        <f>IF(E7454="","",E7454*F7454)</f>
        <v/>
      </c>
      <c r="H7454" s="8">
        <f>IF(G7454="","",G7454-I7454)</f>
        <v/>
      </c>
      <c r="I7454" s="8">
        <f>IF(D7454="","",VLOOKUP(D7454, RECETTES!B:G, 6, FALSE)*E7454)</f>
        <v/>
      </c>
      <c r="J7454" s="8">
        <f>IF(G7454="","",G7454*0.20)</f>
        <v/>
      </c>
      <c r="K7454" s="8">
        <f>IF(G7454="","",G7454+J7454)</f>
        <v/>
      </c>
    </row>
    <row r="7455">
      <c r="F7455" s="8" t="n"/>
      <c r="G7455" s="8">
        <f>IF(E7455="","",E7455*F7455)</f>
        <v/>
      </c>
      <c r="H7455" s="8">
        <f>IF(G7455="","",G7455-I7455)</f>
        <v/>
      </c>
      <c r="I7455" s="8">
        <f>IF(D7455="","",VLOOKUP(D7455, RECETTES!B:G, 6, FALSE)*E7455)</f>
        <v/>
      </c>
      <c r="J7455" s="8">
        <f>IF(G7455="","",G7455*0.20)</f>
        <v/>
      </c>
      <c r="K7455" s="8">
        <f>IF(G7455="","",G7455+J7455)</f>
        <v/>
      </c>
    </row>
    <row r="7456">
      <c r="F7456" s="8" t="n"/>
      <c r="G7456" s="8">
        <f>IF(E7456="","",E7456*F7456)</f>
        <v/>
      </c>
      <c r="H7456" s="8">
        <f>IF(G7456="","",G7456-I7456)</f>
        <v/>
      </c>
      <c r="I7456" s="8">
        <f>IF(D7456="","",VLOOKUP(D7456, RECETTES!B:G, 6, FALSE)*E7456)</f>
        <v/>
      </c>
      <c r="J7456" s="8">
        <f>IF(G7456="","",G7456*0.20)</f>
        <v/>
      </c>
      <c r="K7456" s="8">
        <f>IF(G7456="","",G7456+J7456)</f>
        <v/>
      </c>
    </row>
    <row r="7457">
      <c r="F7457" s="8" t="n"/>
      <c r="G7457" s="8">
        <f>IF(E7457="","",E7457*F7457)</f>
        <v/>
      </c>
      <c r="H7457" s="8">
        <f>IF(G7457="","",G7457-I7457)</f>
        <v/>
      </c>
      <c r="I7457" s="8">
        <f>IF(D7457="","",VLOOKUP(D7457, RECETTES!B:G, 6, FALSE)*E7457)</f>
        <v/>
      </c>
      <c r="J7457" s="8">
        <f>IF(G7457="","",G7457*0.20)</f>
        <v/>
      </c>
      <c r="K7457" s="8">
        <f>IF(G7457="","",G7457+J7457)</f>
        <v/>
      </c>
    </row>
    <row r="7458">
      <c r="F7458" s="8" t="n"/>
      <c r="G7458" s="8">
        <f>IF(E7458="","",E7458*F7458)</f>
        <v/>
      </c>
      <c r="H7458" s="8">
        <f>IF(G7458="","",G7458-I7458)</f>
        <v/>
      </c>
      <c r="I7458" s="8">
        <f>IF(D7458="","",VLOOKUP(D7458, RECETTES!B:G, 6, FALSE)*E7458)</f>
        <v/>
      </c>
      <c r="J7458" s="8">
        <f>IF(G7458="","",G7458*0.20)</f>
        <v/>
      </c>
      <c r="K7458" s="8">
        <f>IF(G7458="","",G7458+J7458)</f>
        <v/>
      </c>
    </row>
    <row r="7459">
      <c r="F7459" s="8" t="n"/>
      <c r="G7459" s="8">
        <f>IF(E7459="","",E7459*F7459)</f>
        <v/>
      </c>
      <c r="H7459" s="8">
        <f>IF(G7459="","",G7459-I7459)</f>
        <v/>
      </c>
      <c r="I7459" s="8">
        <f>IF(D7459="","",VLOOKUP(D7459, RECETTES!B:G, 6, FALSE)*E7459)</f>
        <v/>
      </c>
      <c r="J7459" s="8">
        <f>IF(G7459="","",G7459*0.20)</f>
        <v/>
      </c>
      <c r="K7459" s="8">
        <f>IF(G7459="","",G7459+J7459)</f>
        <v/>
      </c>
    </row>
    <row r="7460">
      <c r="F7460" s="8" t="n"/>
      <c r="G7460" s="8">
        <f>IF(E7460="","",E7460*F7460)</f>
        <v/>
      </c>
      <c r="H7460" s="8">
        <f>IF(G7460="","",G7460-I7460)</f>
        <v/>
      </c>
      <c r="I7460" s="8">
        <f>IF(D7460="","",VLOOKUP(D7460, RECETTES!B:G, 6, FALSE)*E7460)</f>
        <v/>
      </c>
      <c r="J7460" s="8">
        <f>IF(G7460="","",G7460*0.20)</f>
        <v/>
      </c>
      <c r="K7460" s="8">
        <f>IF(G7460="","",G7460+J7460)</f>
        <v/>
      </c>
    </row>
    <row r="7461">
      <c r="F7461" s="8" t="n"/>
      <c r="G7461" s="8">
        <f>IF(E7461="","",E7461*F7461)</f>
        <v/>
      </c>
      <c r="H7461" s="8">
        <f>IF(G7461="","",G7461-I7461)</f>
        <v/>
      </c>
      <c r="I7461" s="8">
        <f>IF(D7461="","",VLOOKUP(D7461, RECETTES!B:G, 6, FALSE)*E7461)</f>
        <v/>
      </c>
      <c r="J7461" s="8">
        <f>IF(G7461="","",G7461*0.20)</f>
        <v/>
      </c>
      <c r="K7461" s="8">
        <f>IF(G7461="","",G7461+J7461)</f>
        <v/>
      </c>
    </row>
    <row r="7462">
      <c r="F7462" s="8" t="n"/>
      <c r="G7462" s="8">
        <f>IF(E7462="","",E7462*F7462)</f>
        <v/>
      </c>
      <c r="H7462" s="8">
        <f>IF(G7462="","",G7462-I7462)</f>
        <v/>
      </c>
      <c r="I7462" s="8">
        <f>IF(D7462="","",VLOOKUP(D7462, RECETTES!B:G, 6, FALSE)*E7462)</f>
        <v/>
      </c>
      <c r="J7462" s="8">
        <f>IF(G7462="","",G7462*0.20)</f>
        <v/>
      </c>
      <c r="K7462" s="8">
        <f>IF(G7462="","",G7462+J7462)</f>
        <v/>
      </c>
    </row>
    <row r="7463">
      <c r="F7463" s="8" t="n"/>
      <c r="G7463" s="8">
        <f>IF(E7463="","",E7463*F7463)</f>
        <v/>
      </c>
      <c r="H7463" s="8">
        <f>IF(G7463="","",G7463-I7463)</f>
        <v/>
      </c>
      <c r="I7463" s="8">
        <f>IF(D7463="","",VLOOKUP(D7463, RECETTES!B:G, 6, FALSE)*E7463)</f>
        <v/>
      </c>
      <c r="J7463" s="8">
        <f>IF(G7463="","",G7463*0.20)</f>
        <v/>
      </c>
      <c r="K7463" s="8">
        <f>IF(G7463="","",G7463+J7463)</f>
        <v/>
      </c>
    </row>
    <row r="7464">
      <c r="F7464" s="8" t="n"/>
      <c r="G7464" s="8">
        <f>IF(E7464="","",E7464*F7464)</f>
        <v/>
      </c>
      <c r="H7464" s="8">
        <f>IF(G7464="","",G7464-I7464)</f>
        <v/>
      </c>
      <c r="I7464" s="8">
        <f>IF(D7464="","",VLOOKUP(D7464, RECETTES!B:G, 6, FALSE)*E7464)</f>
        <v/>
      </c>
      <c r="J7464" s="8">
        <f>IF(G7464="","",G7464*0.20)</f>
        <v/>
      </c>
      <c r="K7464" s="8">
        <f>IF(G7464="","",G7464+J7464)</f>
        <v/>
      </c>
    </row>
    <row r="7465">
      <c r="F7465" s="8" t="n"/>
      <c r="G7465" s="8">
        <f>IF(E7465="","",E7465*F7465)</f>
        <v/>
      </c>
      <c r="H7465" s="8">
        <f>IF(G7465="","",G7465-I7465)</f>
        <v/>
      </c>
      <c r="I7465" s="8">
        <f>IF(D7465="","",VLOOKUP(D7465, RECETTES!B:G, 6, FALSE)*E7465)</f>
        <v/>
      </c>
      <c r="J7465" s="8">
        <f>IF(G7465="","",G7465*0.20)</f>
        <v/>
      </c>
      <c r="K7465" s="8">
        <f>IF(G7465="","",G7465+J7465)</f>
        <v/>
      </c>
    </row>
    <row r="7466">
      <c r="F7466" s="8" t="n"/>
      <c r="G7466" s="8">
        <f>IF(E7466="","",E7466*F7466)</f>
        <v/>
      </c>
      <c r="H7466" s="8">
        <f>IF(G7466="","",G7466-I7466)</f>
        <v/>
      </c>
      <c r="I7466" s="8">
        <f>IF(D7466="","",VLOOKUP(D7466, RECETTES!B:G, 6, FALSE)*E7466)</f>
        <v/>
      </c>
      <c r="J7466" s="8">
        <f>IF(G7466="","",G7466*0.20)</f>
        <v/>
      </c>
      <c r="K7466" s="8">
        <f>IF(G7466="","",G7466+J7466)</f>
        <v/>
      </c>
    </row>
    <row r="7467">
      <c r="F7467" s="8" t="n"/>
      <c r="G7467" s="8">
        <f>IF(E7467="","",E7467*F7467)</f>
        <v/>
      </c>
      <c r="H7467" s="8">
        <f>IF(G7467="","",G7467-I7467)</f>
        <v/>
      </c>
      <c r="I7467" s="8">
        <f>IF(D7467="","",VLOOKUP(D7467, RECETTES!B:G, 6, FALSE)*E7467)</f>
        <v/>
      </c>
      <c r="J7467" s="8">
        <f>IF(G7467="","",G7467*0.20)</f>
        <v/>
      </c>
      <c r="K7467" s="8">
        <f>IF(G7467="","",G7467+J7467)</f>
        <v/>
      </c>
    </row>
    <row r="7468">
      <c r="F7468" s="8" t="n"/>
      <c r="G7468" s="8">
        <f>IF(E7468="","",E7468*F7468)</f>
        <v/>
      </c>
      <c r="H7468" s="8">
        <f>IF(G7468="","",G7468-I7468)</f>
        <v/>
      </c>
      <c r="I7468" s="8">
        <f>IF(D7468="","",VLOOKUP(D7468, RECETTES!B:G, 6, FALSE)*E7468)</f>
        <v/>
      </c>
      <c r="J7468" s="8">
        <f>IF(G7468="","",G7468*0.20)</f>
        <v/>
      </c>
      <c r="K7468" s="8">
        <f>IF(G7468="","",G7468+J7468)</f>
        <v/>
      </c>
    </row>
    <row r="7469">
      <c r="F7469" s="8" t="n"/>
      <c r="G7469" s="8">
        <f>IF(E7469="","",E7469*F7469)</f>
        <v/>
      </c>
      <c r="H7469" s="8">
        <f>IF(G7469="","",G7469-I7469)</f>
        <v/>
      </c>
      <c r="I7469" s="8">
        <f>IF(D7469="","",VLOOKUP(D7469, RECETTES!B:G, 6, FALSE)*E7469)</f>
        <v/>
      </c>
      <c r="J7469" s="8">
        <f>IF(G7469="","",G7469*0.20)</f>
        <v/>
      </c>
      <c r="K7469" s="8">
        <f>IF(G7469="","",G7469+J7469)</f>
        <v/>
      </c>
    </row>
    <row r="7470">
      <c r="F7470" s="8" t="n"/>
      <c r="G7470" s="8">
        <f>IF(E7470="","",E7470*F7470)</f>
        <v/>
      </c>
      <c r="H7470" s="8">
        <f>IF(G7470="","",G7470-I7470)</f>
        <v/>
      </c>
      <c r="I7470" s="8">
        <f>IF(D7470="","",VLOOKUP(D7470, RECETTES!B:G, 6, FALSE)*E7470)</f>
        <v/>
      </c>
      <c r="J7470" s="8">
        <f>IF(G7470="","",G7470*0.20)</f>
        <v/>
      </c>
      <c r="K7470" s="8">
        <f>IF(G7470="","",G7470+J7470)</f>
        <v/>
      </c>
    </row>
    <row r="7471">
      <c r="F7471" s="8" t="n"/>
      <c r="G7471" s="8">
        <f>IF(E7471="","",E7471*F7471)</f>
        <v/>
      </c>
      <c r="H7471" s="8">
        <f>IF(G7471="","",G7471-I7471)</f>
        <v/>
      </c>
      <c r="I7471" s="8">
        <f>IF(D7471="","",VLOOKUP(D7471, RECETTES!B:G, 6, FALSE)*E7471)</f>
        <v/>
      </c>
      <c r="J7471" s="8">
        <f>IF(G7471="","",G7471*0.20)</f>
        <v/>
      </c>
      <c r="K7471" s="8">
        <f>IF(G7471="","",G7471+J7471)</f>
        <v/>
      </c>
    </row>
    <row r="7472">
      <c r="F7472" s="8" t="n"/>
      <c r="G7472" s="8">
        <f>IF(E7472="","",E7472*F7472)</f>
        <v/>
      </c>
      <c r="H7472" s="8">
        <f>IF(G7472="","",G7472-I7472)</f>
        <v/>
      </c>
      <c r="I7472" s="8">
        <f>IF(D7472="","",VLOOKUP(D7472, RECETTES!B:G, 6, FALSE)*E7472)</f>
        <v/>
      </c>
      <c r="J7472" s="8">
        <f>IF(G7472="","",G7472*0.20)</f>
        <v/>
      </c>
      <c r="K7472" s="8">
        <f>IF(G7472="","",G7472+J7472)</f>
        <v/>
      </c>
    </row>
    <row r="7473">
      <c r="F7473" s="8" t="n"/>
      <c r="G7473" s="8">
        <f>IF(E7473="","",E7473*F7473)</f>
        <v/>
      </c>
      <c r="H7473" s="8">
        <f>IF(G7473="","",G7473-I7473)</f>
        <v/>
      </c>
      <c r="I7473" s="8">
        <f>IF(D7473="","",VLOOKUP(D7473, RECETTES!B:G, 6, FALSE)*E7473)</f>
        <v/>
      </c>
      <c r="J7473" s="8">
        <f>IF(G7473="","",G7473*0.20)</f>
        <v/>
      </c>
      <c r="K7473" s="8">
        <f>IF(G7473="","",G7473+J7473)</f>
        <v/>
      </c>
    </row>
    <row r="7474">
      <c r="F7474" s="8" t="n"/>
      <c r="G7474" s="8">
        <f>IF(E7474="","",E7474*F7474)</f>
        <v/>
      </c>
      <c r="H7474" s="8">
        <f>IF(G7474="","",G7474-I7474)</f>
        <v/>
      </c>
      <c r="I7474" s="8">
        <f>IF(D7474="","",VLOOKUP(D7474, RECETTES!B:G, 6, FALSE)*E7474)</f>
        <v/>
      </c>
      <c r="J7474" s="8">
        <f>IF(G7474="","",G7474*0.20)</f>
        <v/>
      </c>
      <c r="K7474" s="8">
        <f>IF(G7474="","",G7474+J7474)</f>
        <v/>
      </c>
    </row>
    <row r="7475">
      <c r="F7475" s="8" t="n"/>
      <c r="G7475" s="8">
        <f>IF(E7475="","",E7475*F7475)</f>
        <v/>
      </c>
      <c r="H7475" s="8">
        <f>IF(G7475="","",G7475-I7475)</f>
        <v/>
      </c>
      <c r="I7475" s="8">
        <f>IF(D7475="","",VLOOKUP(D7475, RECETTES!B:G, 6, FALSE)*E7475)</f>
        <v/>
      </c>
      <c r="J7475" s="8">
        <f>IF(G7475="","",G7475*0.20)</f>
        <v/>
      </c>
      <c r="K7475" s="8">
        <f>IF(G7475="","",G7475+J7475)</f>
        <v/>
      </c>
    </row>
    <row r="7476">
      <c r="F7476" s="8" t="n"/>
      <c r="G7476" s="8">
        <f>IF(E7476="","",E7476*F7476)</f>
        <v/>
      </c>
      <c r="H7476" s="8">
        <f>IF(G7476="","",G7476-I7476)</f>
        <v/>
      </c>
      <c r="I7476" s="8">
        <f>IF(D7476="","",VLOOKUP(D7476, RECETTES!B:G, 6, FALSE)*E7476)</f>
        <v/>
      </c>
      <c r="J7476" s="8">
        <f>IF(G7476="","",G7476*0.20)</f>
        <v/>
      </c>
      <c r="K7476" s="8">
        <f>IF(G7476="","",G7476+J7476)</f>
        <v/>
      </c>
    </row>
    <row r="7477">
      <c r="F7477" s="8" t="n"/>
      <c r="G7477" s="8">
        <f>IF(E7477="","",E7477*F7477)</f>
        <v/>
      </c>
      <c r="H7477" s="8">
        <f>IF(G7477="","",G7477-I7477)</f>
        <v/>
      </c>
      <c r="I7477" s="8">
        <f>IF(D7477="","",VLOOKUP(D7477, RECETTES!B:G, 6, FALSE)*E7477)</f>
        <v/>
      </c>
      <c r="J7477" s="8">
        <f>IF(G7477="","",G7477*0.20)</f>
        <v/>
      </c>
      <c r="K7477" s="8">
        <f>IF(G7477="","",G7477+J7477)</f>
        <v/>
      </c>
    </row>
    <row r="7478">
      <c r="F7478" s="8" t="n"/>
      <c r="G7478" s="8">
        <f>IF(E7478="","",E7478*F7478)</f>
        <v/>
      </c>
      <c r="H7478" s="8">
        <f>IF(G7478="","",G7478-I7478)</f>
        <v/>
      </c>
      <c r="I7478" s="8">
        <f>IF(D7478="","",VLOOKUP(D7478, RECETTES!B:G, 6, FALSE)*E7478)</f>
        <v/>
      </c>
      <c r="J7478" s="8">
        <f>IF(G7478="","",G7478*0.20)</f>
        <v/>
      </c>
      <c r="K7478" s="8">
        <f>IF(G7478="","",G7478+J7478)</f>
        <v/>
      </c>
    </row>
    <row r="7479">
      <c r="F7479" s="8" t="n"/>
      <c r="G7479" s="8">
        <f>IF(E7479="","",E7479*F7479)</f>
        <v/>
      </c>
      <c r="H7479" s="8">
        <f>IF(G7479="","",G7479-I7479)</f>
        <v/>
      </c>
      <c r="I7479" s="8">
        <f>IF(D7479="","",VLOOKUP(D7479, RECETTES!B:G, 6, FALSE)*E7479)</f>
        <v/>
      </c>
      <c r="J7479" s="8">
        <f>IF(G7479="","",G7479*0.20)</f>
        <v/>
      </c>
      <c r="K7479" s="8">
        <f>IF(G7479="","",G7479+J7479)</f>
        <v/>
      </c>
    </row>
    <row r="7480">
      <c r="F7480" s="8" t="n"/>
      <c r="G7480" s="8">
        <f>IF(E7480="","",E7480*F7480)</f>
        <v/>
      </c>
      <c r="H7480" s="8">
        <f>IF(G7480="","",G7480-I7480)</f>
        <v/>
      </c>
      <c r="I7480" s="8">
        <f>IF(D7480="","",VLOOKUP(D7480, RECETTES!B:G, 6, FALSE)*E7480)</f>
        <v/>
      </c>
      <c r="J7480" s="8">
        <f>IF(G7480="","",G7480*0.20)</f>
        <v/>
      </c>
      <c r="K7480" s="8">
        <f>IF(G7480="","",G7480+J7480)</f>
        <v/>
      </c>
    </row>
    <row r="7481">
      <c r="F7481" s="8" t="n"/>
      <c r="G7481" s="8">
        <f>IF(E7481="","",E7481*F7481)</f>
        <v/>
      </c>
      <c r="H7481" s="8">
        <f>IF(G7481="","",G7481-I7481)</f>
        <v/>
      </c>
      <c r="I7481" s="8">
        <f>IF(D7481="","",VLOOKUP(D7481, RECETTES!B:G, 6, FALSE)*E7481)</f>
        <v/>
      </c>
      <c r="J7481" s="8">
        <f>IF(G7481="","",G7481*0.20)</f>
        <v/>
      </c>
      <c r="K7481" s="8">
        <f>IF(G7481="","",G7481+J7481)</f>
        <v/>
      </c>
    </row>
    <row r="7482">
      <c r="F7482" s="8" t="n"/>
      <c r="G7482" s="8">
        <f>IF(E7482="","",E7482*F7482)</f>
        <v/>
      </c>
      <c r="H7482" s="8">
        <f>IF(G7482="","",G7482-I7482)</f>
        <v/>
      </c>
      <c r="I7482" s="8">
        <f>IF(D7482="","",VLOOKUP(D7482, RECETTES!B:G, 6, FALSE)*E7482)</f>
        <v/>
      </c>
      <c r="J7482" s="8">
        <f>IF(G7482="","",G7482*0.20)</f>
        <v/>
      </c>
      <c r="K7482" s="8">
        <f>IF(G7482="","",G7482+J7482)</f>
        <v/>
      </c>
    </row>
    <row r="7483">
      <c r="F7483" s="8" t="n"/>
      <c r="G7483" s="8">
        <f>IF(E7483="","",E7483*F7483)</f>
        <v/>
      </c>
      <c r="H7483" s="8">
        <f>IF(G7483="","",G7483-I7483)</f>
        <v/>
      </c>
      <c r="I7483" s="8">
        <f>IF(D7483="","",VLOOKUP(D7483, RECETTES!B:G, 6, FALSE)*E7483)</f>
        <v/>
      </c>
      <c r="J7483" s="8">
        <f>IF(G7483="","",G7483*0.20)</f>
        <v/>
      </c>
      <c r="K7483" s="8">
        <f>IF(G7483="","",G7483+J7483)</f>
        <v/>
      </c>
    </row>
    <row r="7484">
      <c r="F7484" s="8" t="n"/>
      <c r="G7484" s="8">
        <f>IF(E7484="","",E7484*F7484)</f>
        <v/>
      </c>
      <c r="H7484" s="8">
        <f>IF(G7484="","",G7484-I7484)</f>
        <v/>
      </c>
      <c r="I7484" s="8">
        <f>IF(D7484="","",VLOOKUP(D7484, RECETTES!B:G, 6, FALSE)*E7484)</f>
        <v/>
      </c>
      <c r="J7484" s="8">
        <f>IF(G7484="","",G7484*0.20)</f>
        <v/>
      </c>
      <c r="K7484" s="8">
        <f>IF(G7484="","",G7484+J7484)</f>
        <v/>
      </c>
    </row>
    <row r="7485">
      <c r="F7485" s="8" t="n"/>
      <c r="G7485" s="8">
        <f>IF(E7485="","",E7485*F7485)</f>
        <v/>
      </c>
      <c r="H7485" s="8">
        <f>IF(G7485="","",G7485-I7485)</f>
        <v/>
      </c>
      <c r="I7485" s="8">
        <f>IF(D7485="","",VLOOKUP(D7485, RECETTES!B:G, 6, FALSE)*E7485)</f>
        <v/>
      </c>
      <c r="J7485" s="8">
        <f>IF(G7485="","",G7485*0.20)</f>
        <v/>
      </c>
      <c r="K7485" s="8">
        <f>IF(G7485="","",G7485+J7485)</f>
        <v/>
      </c>
    </row>
    <row r="7486">
      <c r="F7486" s="8" t="n"/>
      <c r="G7486" s="8">
        <f>IF(E7486="","",E7486*F7486)</f>
        <v/>
      </c>
      <c r="H7486" s="8">
        <f>IF(G7486="","",G7486-I7486)</f>
        <v/>
      </c>
      <c r="I7486" s="8">
        <f>IF(D7486="","",VLOOKUP(D7486, RECETTES!B:G, 6, FALSE)*E7486)</f>
        <v/>
      </c>
      <c r="J7486" s="8">
        <f>IF(G7486="","",G7486*0.20)</f>
        <v/>
      </c>
      <c r="K7486" s="8">
        <f>IF(G7486="","",G7486+J7486)</f>
        <v/>
      </c>
    </row>
    <row r="7487">
      <c r="F7487" s="8" t="n"/>
      <c r="G7487" s="8">
        <f>IF(E7487="","",E7487*F7487)</f>
        <v/>
      </c>
      <c r="H7487" s="8">
        <f>IF(G7487="","",G7487-I7487)</f>
        <v/>
      </c>
      <c r="I7487" s="8">
        <f>IF(D7487="","",VLOOKUP(D7487, RECETTES!B:G, 6, FALSE)*E7487)</f>
        <v/>
      </c>
      <c r="J7487" s="8">
        <f>IF(G7487="","",G7487*0.20)</f>
        <v/>
      </c>
      <c r="K7487" s="8">
        <f>IF(G7487="","",G7487+J7487)</f>
        <v/>
      </c>
    </row>
    <row r="7488">
      <c r="F7488" s="8" t="n"/>
      <c r="G7488" s="8">
        <f>IF(E7488="","",E7488*F7488)</f>
        <v/>
      </c>
      <c r="H7488" s="8">
        <f>IF(G7488="","",G7488-I7488)</f>
        <v/>
      </c>
      <c r="I7488" s="8">
        <f>IF(D7488="","",VLOOKUP(D7488, RECETTES!B:G, 6, FALSE)*E7488)</f>
        <v/>
      </c>
      <c r="J7488" s="8">
        <f>IF(G7488="","",G7488*0.20)</f>
        <v/>
      </c>
      <c r="K7488" s="8">
        <f>IF(G7488="","",G7488+J7488)</f>
        <v/>
      </c>
    </row>
    <row r="7489">
      <c r="F7489" s="8" t="n"/>
      <c r="G7489" s="8">
        <f>IF(E7489="","",E7489*F7489)</f>
        <v/>
      </c>
      <c r="H7489" s="8">
        <f>IF(G7489="","",G7489-I7489)</f>
        <v/>
      </c>
      <c r="I7489" s="8">
        <f>IF(D7489="","",VLOOKUP(D7489, RECETTES!B:G, 6, FALSE)*E7489)</f>
        <v/>
      </c>
      <c r="J7489" s="8">
        <f>IF(G7489="","",G7489*0.20)</f>
        <v/>
      </c>
      <c r="K7489" s="8">
        <f>IF(G7489="","",G7489+J7489)</f>
        <v/>
      </c>
    </row>
    <row r="7490">
      <c r="F7490" s="8" t="n"/>
      <c r="G7490" s="8">
        <f>IF(E7490="","",E7490*F7490)</f>
        <v/>
      </c>
      <c r="H7490" s="8">
        <f>IF(G7490="","",G7490-I7490)</f>
        <v/>
      </c>
      <c r="I7490" s="8">
        <f>IF(D7490="","",VLOOKUP(D7490, RECETTES!B:G, 6, FALSE)*E7490)</f>
        <v/>
      </c>
      <c r="J7490" s="8">
        <f>IF(G7490="","",G7490*0.20)</f>
        <v/>
      </c>
      <c r="K7490" s="8">
        <f>IF(G7490="","",G7490+J7490)</f>
        <v/>
      </c>
    </row>
    <row r="7491">
      <c r="F7491" s="8" t="n"/>
      <c r="G7491" s="8">
        <f>IF(E7491="","",E7491*F7491)</f>
        <v/>
      </c>
      <c r="H7491" s="8">
        <f>IF(G7491="","",G7491-I7491)</f>
        <v/>
      </c>
      <c r="I7491" s="8">
        <f>IF(D7491="","",VLOOKUP(D7491, RECETTES!B:G, 6, FALSE)*E7491)</f>
        <v/>
      </c>
      <c r="J7491" s="8">
        <f>IF(G7491="","",G7491*0.20)</f>
        <v/>
      </c>
      <c r="K7491" s="8">
        <f>IF(G7491="","",G7491+J7491)</f>
        <v/>
      </c>
    </row>
    <row r="7492">
      <c r="F7492" s="8" t="n"/>
      <c r="G7492" s="8">
        <f>IF(E7492="","",E7492*F7492)</f>
        <v/>
      </c>
      <c r="H7492" s="8">
        <f>IF(G7492="","",G7492-I7492)</f>
        <v/>
      </c>
      <c r="I7492" s="8">
        <f>IF(D7492="","",VLOOKUP(D7492, RECETTES!B:G, 6, FALSE)*E7492)</f>
        <v/>
      </c>
      <c r="J7492" s="8">
        <f>IF(G7492="","",G7492*0.20)</f>
        <v/>
      </c>
      <c r="K7492" s="8">
        <f>IF(G7492="","",G7492+J7492)</f>
        <v/>
      </c>
    </row>
    <row r="7493">
      <c r="F7493" s="8" t="n"/>
      <c r="G7493" s="8">
        <f>IF(E7493="","",E7493*F7493)</f>
        <v/>
      </c>
      <c r="H7493" s="8">
        <f>IF(G7493="","",G7493-I7493)</f>
        <v/>
      </c>
      <c r="I7493" s="8">
        <f>IF(D7493="","",VLOOKUP(D7493, RECETTES!B:G, 6, FALSE)*E7493)</f>
        <v/>
      </c>
      <c r="J7493" s="8">
        <f>IF(G7493="","",G7493*0.20)</f>
        <v/>
      </c>
      <c r="K7493" s="8">
        <f>IF(G7493="","",G7493+J7493)</f>
        <v/>
      </c>
    </row>
    <row r="7494">
      <c r="F7494" s="8" t="n"/>
      <c r="G7494" s="8">
        <f>IF(E7494="","",E7494*F7494)</f>
        <v/>
      </c>
      <c r="H7494" s="8">
        <f>IF(G7494="","",G7494-I7494)</f>
        <v/>
      </c>
      <c r="I7494" s="8">
        <f>IF(D7494="","",VLOOKUP(D7494, RECETTES!B:G, 6, FALSE)*E7494)</f>
        <v/>
      </c>
      <c r="J7494" s="8">
        <f>IF(G7494="","",G7494*0.20)</f>
        <v/>
      </c>
      <c r="K7494" s="8">
        <f>IF(G7494="","",G7494+J7494)</f>
        <v/>
      </c>
    </row>
    <row r="7495">
      <c r="F7495" s="8" t="n"/>
      <c r="G7495" s="8">
        <f>IF(E7495="","",E7495*F7495)</f>
        <v/>
      </c>
      <c r="H7495" s="8">
        <f>IF(G7495="","",G7495-I7495)</f>
        <v/>
      </c>
      <c r="I7495" s="8">
        <f>IF(D7495="","",VLOOKUP(D7495, RECETTES!B:G, 6, FALSE)*E7495)</f>
        <v/>
      </c>
      <c r="J7495" s="8">
        <f>IF(G7495="","",G7495*0.20)</f>
        <v/>
      </c>
      <c r="K7495" s="8">
        <f>IF(G7495="","",G7495+J7495)</f>
        <v/>
      </c>
    </row>
    <row r="7496">
      <c r="F7496" s="8" t="n"/>
      <c r="G7496" s="8">
        <f>IF(E7496="","",E7496*F7496)</f>
        <v/>
      </c>
      <c r="H7496" s="8">
        <f>IF(G7496="","",G7496-I7496)</f>
        <v/>
      </c>
      <c r="I7496" s="8">
        <f>IF(D7496="","",VLOOKUP(D7496, RECETTES!B:G, 6, FALSE)*E7496)</f>
        <v/>
      </c>
      <c r="J7496" s="8">
        <f>IF(G7496="","",G7496*0.20)</f>
        <v/>
      </c>
      <c r="K7496" s="8">
        <f>IF(G7496="","",G7496+J7496)</f>
        <v/>
      </c>
    </row>
    <row r="7497">
      <c r="F7497" s="8" t="n"/>
      <c r="G7497" s="8">
        <f>IF(E7497="","",E7497*F7497)</f>
        <v/>
      </c>
      <c r="H7497" s="8">
        <f>IF(G7497="","",G7497-I7497)</f>
        <v/>
      </c>
      <c r="I7497" s="8">
        <f>IF(D7497="","",VLOOKUP(D7497, RECETTES!B:G, 6, FALSE)*E7497)</f>
        <v/>
      </c>
      <c r="J7497" s="8">
        <f>IF(G7497="","",G7497*0.20)</f>
        <v/>
      </c>
      <c r="K7497" s="8">
        <f>IF(G7497="","",G7497+J7497)</f>
        <v/>
      </c>
    </row>
    <row r="7498">
      <c r="F7498" s="8" t="n"/>
      <c r="G7498" s="8">
        <f>IF(E7498="","",E7498*F7498)</f>
        <v/>
      </c>
      <c r="H7498" s="8">
        <f>IF(G7498="","",G7498-I7498)</f>
        <v/>
      </c>
      <c r="I7498" s="8">
        <f>IF(D7498="","",VLOOKUP(D7498, RECETTES!B:G, 6, FALSE)*E7498)</f>
        <v/>
      </c>
      <c r="J7498" s="8">
        <f>IF(G7498="","",G7498*0.20)</f>
        <v/>
      </c>
      <c r="K7498" s="8">
        <f>IF(G7498="","",G7498+J7498)</f>
        <v/>
      </c>
    </row>
    <row r="7499">
      <c r="F7499" s="8" t="n"/>
      <c r="G7499" s="8">
        <f>IF(E7499="","",E7499*F7499)</f>
        <v/>
      </c>
      <c r="H7499" s="8">
        <f>IF(G7499="","",G7499-I7499)</f>
        <v/>
      </c>
      <c r="I7499" s="8">
        <f>IF(D7499="","",VLOOKUP(D7499, RECETTES!B:G, 6, FALSE)*E7499)</f>
        <v/>
      </c>
      <c r="J7499" s="8">
        <f>IF(G7499="","",G7499*0.20)</f>
        <v/>
      </c>
      <c r="K7499" s="8">
        <f>IF(G7499="","",G7499+J7499)</f>
        <v/>
      </c>
    </row>
    <row r="7500">
      <c r="F7500" s="8" t="n"/>
      <c r="G7500" s="8">
        <f>IF(E7500="","",E7500*F7500)</f>
        <v/>
      </c>
      <c r="H7500" s="8">
        <f>IF(G7500="","",G7500-I7500)</f>
        <v/>
      </c>
      <c r="I7500" s="8">
        <f>IF(D7500="","",VLOOKUP(D7500, RECETTES!B:G, 6, FALSE)*E7500)</f>
        <v/>
      </c>
      <c r="J7500" s="8">
        <f>IF(G7500="","",G7500*0.20)</f>
        <v/>
      </c>
      <c r="K7500" s="8">
        <f>IF(G7500="","",G7500+J7500)</f>
        <v/>
      </c>
    </row>
    <row r="7501">
      <c r="F7501" s="8" t="n"/>
      <c r="G7501" s="8">
        <f>IF(E7501="","",E7501*F7501)</f>
        <v/>
      </c>
      <c r="H7501" s="8">
        <f>IF(G7501="","",G7501-I7501)</f>
        <v/>
      </c>
      <c r="I7501" s="8">
        <f>IF(D7501="","",VLOOKUP(D7501, RECETTES!B:G, 6, FALSE)*E7501)</f>
        <v/>
      </c>
      <c r="J7501" s="8">
        <f>IF(G7501="","",G7501*0.20)</f>
        <v/>
      </c>
      <c r="K7501" s="8">
        <f>IF(G7501="","",G7501+J7501)</f>
        <v/>
      </c>
    </row>
    <row r="7502">
      <c r="F7502" s="8" t="n"/>
      <c r="G7502" s="8">
        <f>IF(E7502="","",E7502*F7502)</f>
        <v/>
      </c>
      <c r="H7502" s="8">
        <f>IF(G7502="","",G7502-I7502)</f>
        <v/>
      </c>
      <c r="I7502" s="8">
        <f>IF(D7502="","",VLOOKUP(D7502, RECETTES!B:G, 6, FALSE)*E7502)</f>
        <v/>
      </c>
      <c r="J7502" s="8">
        <f>IF(G7502="","",G7502*0.20)</f>
        <v/>
      </c>
      <c r="K7502" s="8">
        <f>IF(G7502="","",G7502+J7502)</f>
        <v/>
      </c>
    </row>
    <row r="7503">
      <c r="F7503" s="8" t="n"/>
      <c r="G7503" s="8">
        <f>IF(E7503="","",E7503*F7503)</f>
        <v/>
      </c>
      <c r="H7503" s="8">
        <f>IF(G7503="","",G7503-I7503)</f>
        <v/>
      </c>
      <c r="I7503" s="8">
        <f>IF(D7503="","",VLOOKUP(D7503, RECETTES!B:G, 6, FALSE)*E7503)</f>
        <v/>
      </c>
      <c r="J7503" s="8">
        <f>IF(G7503="","",G7503*0.20)</f>
        <v/>
      </c>
      <c r="K7503" s="8">
        <f>IF(G7503="","",G7503+J7503)</f>
        <v/>
      </c>
    </row>
    <row r="7504">
      <c r="F7504" s="8" t="n"/>
      <c r="G7504" s="8">
        <f>IF(E7504="","",E7504*F7504)</f>
        <v/>
      </c>
      <c r="H7504" s="8">
        <f>IF(G7504="","",G7504-I7504)</f>
        <v/>
      </c>
      <c r="I7504" s="8">
        <f>IF(D7504="","",VLOOKUP(D7504, RECETTES!B:G, 6, FALSE)*E7504)</f>
        <v/>
      </c>
      <c r="J7504" s="8">
        <f>IF(G7504="","",G7504*0.20)</f>
        <v/>
      </c>
      <c r="K7504" s="8">
        <f>IF(G7504="","",G7504+J7504)</f>
        <v/>
      </c>
    </row>
    <row r="7505">
      <c r="F7505" s="8" t="n"/>
      <c r="G7505" s="8">
        <f>IF(E7505="","",E7505*F7505)</f>
        <v/>
      </c>
      <c r="H7505" s="8">
        <f>IF(G7505="","",G7505-I7505)</f>
        <v/>
      </c>
      <c r="I7505" s="8">
        <f>IF(D7505="","",VLOOKUP(D7505, RECETTES!B:G, 6, FALSE)*E7505)</f>
        <v/>
      </c>
      <c r="J7505" s="8">
        <f>IF(G7505="","",G7505*0.20)</f>
        <v/>
      </c>
      <c r="K7505" s="8">
        <f>IF(G7505="","",G7505+J7505)</f>
        <v/>
      </c>
    </row>
    <row r="7506">
      <c r="F7506" s="8" t="n"/>
      <c r="G7506" s="8">
        <f>IF(E7506="","",E7506*F7506)</f>
        <v/>
      </c>
      <c r="H7506" s="8">
        <f>IF(G7506="","",G7506-I7506)</f>
        <v/>
      </c>
      <c r="I7506" s="8">
        <f>IF(D7506="","",VLOOKUP(D7506, RECETTES!B:G, 6, FALSE)*E7506)</f>
        <v/>
      </c>
      <c r="J7506" s="8">
        <f>IF(G7506="","",G7506*0.20)</f>
        <v/>
      </c>
      <c r="K7506" s="8">
        <f>IF(G7506="","",G7506+J7506)</f>
        <v/>
      </c>
    </row>
    <row r="7507">
      <c r="F7507" s="8" t="n"/>
      <c r="G7507" s="8">
        <f>IF(E7507="","",E7507*F7507)</f>
        <v/>
      </c>
      <c r="H7507" s="8">
        <f>IF(G7507="","",G7507-I7507)</f>
        <v/>
      </c>
      <c r="I7507" s="8">
        <f>IF(D7507="","",VLOOKUP(D7507, RECETTES!B:G, 6, FALSE)*E7507)</f>
        <v/>
      </c>
      <c r="J7507" s="8">
        <f>IF(G7507="","",G7507*0.20)</f>
        <v/>
      </c>
      <c r="K7507" s="8">
        <f>IF(G7507="","",G7507+J7507)</f>
        <v/>
      </c>
    </row>
    <row r="7508">
      <c r="F7508" s="8" t="n"/>
      <c r="G7508" s="8">
        <f>IF(E7508="","",E7508*F7508)</f>
        <v/>
      </c>
      <c r="H7508" s="8">
        <f>IF(G7508="","",G7508-I7508)</f>
        <v/>
      </c>
      <c r="I7508" s="8">
        <f>IF(D7508="","",VLOOKUP(D7508, RECETTES!B:G, 6, FALSE)*E7508)</f>
        <v/>
      </c>
      <c r="J7508" s="8">
        <f>IF(G7508="","",G7508*0.20)</f>
        <v/>
      </c>
      <c r="K7508" s="8">
        <f>IF(G7508="","",G7508+J7508)</f>
        <v/>
      </c>
    </row>
    <row r="7509">
      <c r="F7509" s="8" t="n"/>
      <c r="G7509" s="8">
        <f>IF(E7509="","",E7509*F7509)</f>
        <v/>
      </c>
      <c r="H7509" s="8">
        <f>IF(G7509="","",G7509-I7509)</f>
        <v/>
      </c>
      <c r="I7509" s="8">
        <f>IF(D7509="","",VLOOKUP(D7509, RECETTES!B:G, 6, FALSE)*E7509)</f>
        <v/>
      </c>
      <c r="J7509" s="8">
        <f>IF(G7509="","",G7509*0.20)</f>
        <v/>
      </c>
      <c r="K7509" s="8">
        <f>IF(G7509="","",G7509+J7509)</f>
        <v/>
      </c>
    </row>
    <row r="7510">
      <c r="F7510" s="8" t="n"/>
      <c r="G7510" s="8">
        <f>IF(E7510="","",E7510*F7510)</f>
        <v/>
      </c>
      <c r="H7510" s="8">
        <f>IF(G7510="","",G7510-I7510)</f>
        <v/>
      </c>
      <c r="I7510" s="8">
        <f>IF(D7510="","",VLOOKUP(D7510, RECETTES!B:G, 6, FALSE)*E7510)</f>
        <v/>
      </c>
      <c r="J7510" s="8">
        <f>IF(G7510="","",G7510*0.20)</f>
        <v/>
      </c>
      <c r="K7510" s="8">
        <f>IF(G7510="","",G7510+J7510)</f>
        <v/>
      </c>
    </row>
    <row r="7511">
      <c r="F7511" s="8" t="n"/>
      <c r="G7511" s="8">
        <f>IF(E7511="","",E7511*F7511)</f>
        <v/>
      </c>
      <c r="H7511" s="8">
        <f>IF(G7511="","",G7511-I7511)</f>
        <v/>
      </c>
      <c r="I7511" s="8">
        <f>IF(D7511="","",VLOOKUP(D7511, RECETTES!B:G, 6, FALSE)*E7511)</f>
        <v/>
      </c>
      <c r="J7511" s="8">
        <f>IF(G7511="","",G7511*0.20)</f>
        <v/>
      </c>
      <c r="K7511" s="8">
        <f>IF(G7511="","",G7511+J7511)</f>
        <v/>
      </c>
    </row>
    <row r="7512">
      <c r="F7512" s="8" t="n"/>
      <c r="G7512" s="8">
        <f>IF(E7512="","",E7512*F7512)</f>
        <v/>
      </c>
      <c r="H7512" s="8">
        <f>IF(G7512="","",G7512-I7512)</f>
        <v/>
      </c>
      <c r="I7512" s="8">
        <f>IF(D7512="","",VLOOKUP(D7512, RECETTES!B:G, 6, FALSE)*E7512)</f>
        <v/>
      </c>
      <c r="J7512" s="8">
        <f>IF(G7512="","",G7512*0.20)</f>
        <v/>
      </c>
      <c r="K7512" s="8">
        <f>IF(G7512="","",G7512+J7512)</f>
        <v/>
      </c>
    </row>
    <row r="7513">
      <c r="F7513" s="8" t="n"/>
      <c r="G7513" s="8">
        <f>IF(E7513="","",E7513*F7513)</f>
        <v/>
      </c>
      <c r="H7513" s="8">
        <f>IF(G7513="","",G7513-I7513)</f>
        <v/>
      </c>
      <c r="I7513" s="8">
        <f>IF(D7513="","",VLOOKUP(D7513, RECETTES!B:G, 6, FALSE)*E7513)</f>
        <v/>
      </c>
      <c r="J7513" s="8">
        <f>IF(G7513="","",G7513*0.20)</f>
        <v/>
      </c>
      <c r="K7513" s="8">
        <f>IF(G7513="","",G7513+J7513)</f>
        <v/>
      </c>
    </row>
    <row r="7514">
      <c r="F7514" s="8" t="n"/>
      <c r="G7514" s="8">
        <f>IF(E7514="","",E7514*F7514)</f>
        <v/>
      </c>
      <c r="H7514" s="8">
        <f>IF(G7514="","",G7514-I7514)</f>
        <v/>
      </c>
      <c r="I7514" s="8">
        <f>IF(D7514="","",VLOOKUP(D7514, RECETTES!B:G, 6, FALSE)*E7514)</f>
        <v/>
      </c>
      <c r="J7514" s="8">
        <f>IF(G7514="","",G7514*0.20)</f>
        <v/>
      </c>
      <c r="K7514" s="8">
        <f>IF(G7514="","",G7514+J7514)</f>
        <v/>
      </c>
    </row>
    <row r="7515">
      <c r="F7515" s="8" t="n"/>
      <c r="G7515" s="8">
        <f>IF(E7515="","",E7515*F7515)</f>
        <v/>
      </c>
      <c r="H7515" s="8">
        <f>IF(G7515="","",G7515-I7515)</f>
        <v/>
      </c>
      <c r="I7515" s="8">
        <f>IF(D7515="","",VLOOKUP(D7515, RECETTES!B:G, 6, FALSE)*E7515)</f>
        <v/>
      </c>
      <c r="J7515" s="8">
        <f>IF(G7515="","",G7515*0.20)</f>
        <v/>
      </c>
      <c r="K7515" s="8">
        <f>IF(G7515="","",G7515+J7515)</f>
        <v/>
      </c>
    </row>
    <row r="7516">
      <c r="F7516" s="8" t="n"/>
      <c r="G7516" s="8">
        <f>IF(E7516="","",E7516*F7516)</f>
        <v/>
      </c>
      <c r="H7516" s="8">
        <f>IF(G7516="","",G7516-I7516)</f>
        <v/>
      </c>
      <c r="I7516" s="8">
        <f>IF(D7516="","",VLOOKUP(D7516, RECETTES!B:G, 6, FALSE)*E7516)</f>
        <v/>
      </c>
      <c r="J7516" s="8">
        <f>IF(G7516="","",G7516*0.20)</f>
        <v/>
      </c>
      <c r="K7516" s="8">
        <f>IF(G7516="","",G7516+J7516)</f>
        <v/>
      </c>
    </row>
    <row r="7517">
      <c r="F7517" s="8" t="n"/>
      <c r="G7517" s="8">
        <f>IF(E7517="","",E7517*F7517)</f>
        <v/>
      </c>
      <c r="H7517" s="8">
        <f>IF(G7517="","",G7517-I7517)</f>
        <v/>
      </c>
      <c r="I7517" s="8">
        <f>IF(D7517="","",VLOOKUP(D7517, RECETTES!B:G, 6, FALSE)*E7517)</f>
        <v/>
      </c>
      <c r="J7517" s="8">
        <f>IF(G7517="","",G7517*0.20)</f>
        <v/>
      </c>
      <c r="K7517" s="8">
        <f>IF(G7517="","",G7517+J7517)</f>
        <v/>
      </c>
    </row>
    <row r="7518">
      <c r="F7518" s="8" t="n"/>
      <c r="G7518" s="8">
        <f>IF(E7518="","",E7518*F7518)</f>
        <v/>
      </c>
      <c r="H7518" s="8">
        <f>IF(G7518="","",G7518-I7518)</f>
        <v/>
      </c>
      <c r="I7518" s="8">
        <f>IF(D7518="","",VLOOKUP(D7518, RECETTES!B:G, 6, FALSE)*E7518)</f>
        <v/>
      </c>
      <c r="J7518" s="8">
        <f>IF(G7518="","",G7518*0.20)</f>
        <v/>
      </c>
      <c r="K7518" s="8">
        <f>IF(G7518="","",G7518+J7518)</f>
        <v/>
      </c>
    </row>
    <row r="7519">
      <c r="F7519" s="8" t="n"/>
      <c r="G7519" s="8">
        <f>IF(E7519="","",E7519*F7519)</f>
        <v/>
      </c>
      <c r="H7519" s="8">
        <f>IF(G7519="","",G7519-I7519)</f>
        <v/>
      </c>
      <c r="I7519" s="8">
        <f>IF(D7519="","",VLOOKUP(D7519, RECETTES!B:G, 6, FALSE)*E7519)</f>
        <v/>
      </c>
      <c r="J7519" s="8">
        <f>IF(G7519="","",G7519*0.20)</f>
        <v/>
      </c>
      <c r="K7519" s="8">
        <f>IF(G7519="","",G7519+J7519)</f>
        <v/>
      </c>
    </row>
    <row r="7520">
      <c r="F7520" s="8" t="n"/>
      <c r="G7520" s="8">
        <f>IF(E7520="","",E7520*F7520)</f>
        <v/>
      </c>
      <c r="H7520" s="8">
        <f>IF(G7520="","",G7520-I7520)</f>
        <v/>
      </c>
      <c r="I7520" s="8">
        <f>IF(D7520="","",VLOOKUP(D7520, RECETTES!B:G, 6, FALSE)*E7520)</f>
        <v/>
      </c>
      <c r="J7520" s="8">
        <f>IF(G7520="","",G7520*0.20)</f>
        <v/>
      </c>
      <c r="K7520" s="8">
        <f>IF(G7520="","",G7520+J7520)</f>
        <v/>
      </c>
    </row>
    <row r="7521">
      <c r="F7521" s="8" t="n"/>
      <c r="G7521" s="8">
        <f>IF(E7521="","",E7521*F7521)</f>
        <v/>
      </c>
      <c r="H7521" s="8">
        <f>IF(G7521="","",G7521-I7521)</f>
        <v/>
      </c>
      <c r="I7521" s="8">
        <f>IF(D7521="","",VLOOKUP(D7521, RECETTES!B:G, 6, FALSE)*E7521)</f>
        <v/>
      </c>
      <c r="J7521" s="8">
        <f>IF(G7521="","",G7521*0.20)</f>
        <v/>
      </c>
      <c r="K7521" s="8">
        <f>IF(G7521="","",G7521+J7521)</f>
        <v/>
      </c>
    </row>
    <row r="7522">
      <c r="F7522" s="8" t="n"/>
      <c r="G7522" s="8">
        <f>IF(E7522="","",E7522*F7522)</f>
        <v/>
      </c>
      <c r="H7522" s="8">
        <f>IF(G7522="","",G7522-I7522)</f>
        <v/>
      </c>
      <c r="I7522" s="8">
        <f>IF(D7522="","",VLOOKUP(D7522, RECETTES!B:G, 6, FALSE)*E7522)</f>
        <v/>
      </c>
      <c r="J7522" s="8">
        <f>IF(G7522="","",G7522*0.20)</f>
        <v/>
      </c>
      <c r="K7522" s="8">
        <f>IF(G7522="","",G7522+J7522)</f>
        <v/>
      </c>
    </row>
    <row r="7523">
      <c r="F7523" s="8" t="n"/>
      <c r="G7523" s="8">
        <f>IF(E7523="","",E7523*F7523)</f>
        <v/>
      </c>
      <c r="H7523" s="8">
        <f>IF(G7523="","",G7523-I7523)</f>
        <v/>
      </c>
      <c r="I7523" s="8">
        <f>IF(D7523="","",VLOOKUP(D7523, RECETTES!B:G, 6, FALSE)*E7523)</f>
        <v/>
      </c>
      <c r="J7523" s="8">
        <f>IF(G7523="","",G7523*0.20)</f>
        <v/>
      </c>
      <c r="K7523" s="8">
        <f>IF(G7523="","",G7523+J7523)</f>
        <v/>
      </c>
    </row>
    <row r="7524">
      <c r="F7524" s="8" t="n"/>
      <c r="G7524" s="8">
        <f>IF(E7524="","",E7524*F7524)</f>
        <v/>
      </c>
      <c r="H7524" s="8">
        <f>IF(G7524="","",G7524-I7524)</f>
        <v/>
      </c>
      <c r="I7524" s="8">
        <f>IF(D7524="","",VLOOKUP(D7524, RECETTES!B:G, 6, FALSE)*E7524)</f>
        <v/>
      </c>
      <c r="J7524" s="8">
        <f>IF(G7524="","",G7524*0.20)</f>
        <v/>
      </c>
      <c r="K7524" s="8">
        <f>IF(G7524="","",G7524+J7524)</f>
        <v/>
      </c>
    </row>
    <row r="7525">
      <c r="F7525" s="8" t="n"/>
      <c r="G7525" s="8">
        <f>IF(E7525="","",E7525*F7525)</f>
        <v/>
      </c>
      <c r="H7525" s="8">
        <f>IF(G7525="","",G7525-I7525)</f>
        <v/>
      </c>
      <c r="I7525" s="8">
        <f>IF(D7525="","",VLOOKUP(D7525, RECETTES!B:G, 6, FALSE)*E7525)</f>
        <v/>
      </c>
      <c r="J7525" s="8">
        <f>IF(G7525="","",G7525*0.20)</f>
        <v/>
      </c>
      <c r="K7525" s="8">
        <f>IF(G7525="","",G7525+J7525)</f>
        <v/>
      </c>
    </row>
    <row r="7526">
      <c r="F7526" s="8" t="n"/>
      <c r="G7526" s="8">
        <f>IF(E7526="","",E7526*F7526)</f>
        <v/>
      </c>
      <c r="H7526" s="8">
        <f>IF(G7526="","",G7526-I7526)</f>
        <v/>
      </c>
      <c r="I7526" s="8">
        <f>IF(D7526="","",VLOOKUP(D7526, RECETTES!B:G, 6, FALSE)*E7526)</f>
        <v/>
      </c>
      <c r="J7526" s="8">
        <f>IF(G7526="","",G7526*0.20)</f>
        <v/>
      </c>
      <c r="K7526" s="8">
        <f>IF(G7526="","",G7526+J7526)</f>
        <v/>
      </c>
    </row>
    <row r="7527">
      <c r="F7527" s="8" t="n"/>
      <c r="G7527" s="8">
        <f>IF(E7527="","",E7527*F7527)</f>
        <v/>
      </c>
      <c r="H7527" s="8">
        <f>IF(G7527="","",G7527-I7527)</f>
        <v/>
      </c>
      <c r="I7527" s="8">
        <f>IF(D7527="","",VLOOKUP(D7527, RECETTES!B:G, 6, FALSE)*E7527)</f>
        <v/>
      </c>
      <c r="J7527" s="8">
        <f>IF(G7527="","",G7527*0.20)</f>
        <v/>
      </c>
      <c r="K7527" s="8">
        <f>IF(G7527="","",G7527+J7527)</f>
        <v/>
      </c>
    </row>
    <row r="7528">
      <c r="F7528" s="8" t="n"/>
      <c r="G7528" s="8">
        <f>IF(E7528="","",E7528*F7528)</f>
        <v/>
      </c>
      <c r="H7528" s="8">
        <f>IF(G7528="","",G7528-I7528)</f>
        <v/>
      </c>
      <c r="I7528" s="8">
        <f>IF(D7528="","",VLOOKUP(D7528, RECETTES!B:G, 6, FALSE)*E7528)</f>
        <v/>
      </c>
      <c r="J7528" s="8">
        <f>IF(G7528="","",G7528*0.20)</f>
        <v/>
      </c>
      <c r="K7528" s="8">
        <f>IF(G7528="","",G7528+J7528)</f>
        <v/>
      </c>
    </row>
    <row r="7529">
      <c r="F7529" s="8" t="n"/>
      <c r="G7529" s="8">
        <f>IF(E7529="","",E7529*F7529)</f>
        <v/>
      </c>
      <c r="H7529" s="8">
        <f>IF(G7529="","",G7529-I7529)</f>
        <v/>
      </c>
      <c r="I7529" s="8">
        <f>IF(D7529="","",VLOOKUP(D7529, RECETTES!B:G, 6, FALSE)*E7529)</f>
        <v/>
      </c>
      <c r="J7529" s="8">
        <f>IF(G7529="","",G7529*0.20)</f>
        <v/>
      </c>
      <c r="K7529" s="8">
        <f>IF(G7529="","",G7529+J7529)</f>
        <v/>
      </c>
    </row>
    <row r="7530">
      <c r="F7530" s="8" t="n"/>
      <c r="G7530" s="8">
        <f>IF(E7530="","",E7530*F7530)</f>
        <v/>
      </c>
      <c r="H7530" s="8">
        <f>IF(G7530="","",G7530-I7530)</f>
        <v/>
      </c>
      <c r="I7530" s="8">
        <f>IF(D7530="","",VLOOKUP(D7530, RECETTES!B:G, 6, FALSE)*E7530)</f>
        <v/>
      </c>
      <c r="J7530" s="8">
        <f>IF(G7530="","",G7530*0.20)</f>
        <v/>
      </c>
      <c r="K7530" s="8">
        <f>IF(G7530="","",G7530+J7530)</f>
        <v/>
      </c>
    </row>
    <row r="7531">
      <c r="F7531" s="8" t="n"/>
      <c r="G7531" s="8">
        <f>IF(E7531="","",E7531*F7531)</f>
        <v/>
      </c>
      <c r="H7531" s="8">
        <f>IF(G7531="","",G7531-I7531)</f>
        <v/>
      </c>
      <c r="I7531" s="8">
        <f>IF(D7531="","",VLOOKUP(D7531, RECETTES!B:G, 6, FALSE)*E7531)</f>
        <v/>
      </c>
      <c r="J7531" s="8">
        <f>IF(G7531="","",G7531*0.20)</f>
        <v/>
      </c>
      <c r="K7531" s="8">
        <f>IF(G7531="","",G7531+J7531)</f>
        <v/>
      </c>
    </row>
    <row r="7532">
      <c r="F7532" s="8" t="n"/>
      <c r="G7532" s="8">
        <f>IF(E7532="","",E7532*F7532)</f>
        <v/>
      </c>
      <c r="H7532" s="8">
        <f>IF(G7532="","",G7532-I7532)</f>
        <v/>
      </c>
      <c r="I7532" s="8">
        <f>IF(D7532="","",VLOOKUP(D7532, RECETTES!B:G, 6, FALSE)*E7532)</f>
        <v/>
      </c>
      <c r="J7532" s="8">
        <f>IF(G7532="","",G7532*0.20)</f>
        <v/>
      </c>
      <c r="K7532" s="8">
        <f>IF(G7532="","",G7532+J7532)</f>
        <v/>
      </c>
    </row>
    <row r="7533">
      <c r="F7533" s="8" t="n"/>
      <c r="G7533" s="8">
        <f>IF(E7533="","",E7533*F7533)</f>
        <v/>
      </c>
      <c r="H7533" s="8">
        <f>IF(G7533="","",G7533-I7533)</f>
        <v/>
      </c>
      <c r="I7533" s="8">
        <f>IF(D7533="","",VLOOKUP(D7533, RECETTES!B:G, 6, FALSE)*E7533)</f>
        <v/>
      </c>
      <c r="J7533" s="8">
        <f>IF(G7533="","",G7533*0.20)</f>
        <v/>
      </c>
      <c r="K7533" s="8">
        <f>IF(G7533="","",G7533+J7533)</f>
        <v/>
      </c>
    </row>
    <row r="7534">
      <c r="F7534" s="8" t="n"/>
      <c r="G7534" s="8">
        <f>IF(E7534="","",E7534*F7534)</f>
        <v/>
      </c>
      <c r="H7534" s="8">
        <f>IF(G7534="","",G7534-I7534)</f>
        <v/>
      </c>
      <c r="I7534" s="8">
        <f>IF(D7534="","",VLOOKUP(D7534, RECETTES!B:G, 6, FALSE)*E7534)</f>
        <v/>
      </c>
      <c r="J7534" s="8">
        <f>IF(G7534="","",G7534*0.20)</f>
        <v/>
      </c>
      <c r="K7534" s="8">
        <f>IF(G7534="","",G7534+J7534)</f>
        <v/>
      </c>
    </row>
    <row r="7535">
      <c r="F7535" s="8" t="n"/>
      <c r="G7535" s="8">
        <f>IF(E7535="","",E7535*F7535)</f>
        <v/>
      </c>
      <c r="H7535" s="8">
        <f>IF(G7535="","",G7535-I7535)</f>
        <v/>
      </c>
      <c r="I7535" s="8">
        <f>IF(D7535="","",VLOOKUP(D7535, RECETTES!B:G, 6, FALSE)*E7535)</f>
        <v/>
      </c>
      <c r="J7535" s="8">
        <f>IF(G7535="","",G7535*0.20)</f>
        <v/>
      </c>
      <c r="K7535" s="8">
        <f>IF(G7535="","",G7535+J7535)</f>
        <v/>
      </c>
    </row>
    <row r="7536">
      <c r="F7536" s="8" t="n"/>
      <c r="G7536" s="8">
        <f>IF(E7536="","",E7536*F7536)</f>
        <v/>
      </c>
      <c r="H7536" s="8">
        <f>IF(G7536="","",G7536-I7536)</f>
        <v/>
      </c>
      <c r="I7536" s="8">
        <f>IF(D7536="","",VLOOKUP(D7536, RECETTES!B:G, 6, FALSE)*E7536)</f>
        <v/>
      </c>
      <c r="J7536" s="8">
        <f>IF(G7536="","",G7536*0.20)</f>
        <v/>
      </c>
      <c r="K7536" s="8">
        <f>IF(G7536="","",G7536+J7536)</f>
        <v/>
      </c>
    </row>
    <row r="7537">
      <c r="F7537" s="8" t="n"/>
      <c r="G7537" s="8">
        <f>IF(E7537="","",E7537*F7537)</f>
        <v/>
      </c>
      <c r="H7537" s="8">
        <f>IF(G7537="","",G7537-I7537)</f>
        <v/>
      </c>
      <c r="I7537" s="8">
        <f>IF(D7537="","",VLOOKUP(D7537, RECETTES!B:G, 6, FALSE)*E7537)</f>
        <v/>
      </c>
      <c r="J7537" s="8">
        <f>IF(G7537="","",G7537*0.20)</f>
        <v/>
      </c>
      <c r="K7537" s="8">
        <f>IF(G7537="","",G7537+J7537)</f>
        <v/>
      </c>
    </row>
    <row r="7538">
      <c r="F7538" s="8" t="n"/>
      <c r="G7538" s="8">
        <f>IF(E7538="","",E7538*F7538)</f>
        <v/>
      </c>
      <c r="H7538" s="8">
        <f>IF(G7538="","",G7538-I7538)</f>
        <v/>
      </c>
      <c r="I7538" s="8">
        <f>IF(D7538="","",VLOOKUP(D7538, RECETTES!B:G, 6, FALSE)*E7538)</f>
        <v/>
      </c>
      <c r="J7538" s="8">
        <f>IF(G7538="","",G7538*0.20)</f>
        <v/>
      </c>
      <c r="K7538" s="8">
        <f>IF(G7538="","",G7538+J7538)</f>
        <v/>
      </c>
    </row>
    <row r="7539">
      <c r="F7539" s="8" t="n"/>
      <c r="G7539" s="8">
        <f>IF(E7539="","",E7539*F7539)</f>
        <v/>
      </c>
      <c r="H7539" s="8">
        <f>IF(G7539="","",G7539-I7539)</f>
        <v/>
      </c>
      <c r="I7539" s="8">
        <f>IF(D7539="","",VLOOKUP(D7539, RECETTES!B:G, 6, FALSE)*E7539)</f>
        <v/>
      </c>
      <c r="J7539" s="8">
        <f>IF(G7539="","",G7539*0.20)</f>
        <v/>
      </c>
      <c r="K7539" s="8">
        <f>IF(G7539="","",G7539+J7539)</f>
        <v/>
      </c>
    </row>
    <row r="7540">
      <c r="F7540" s="8" t="n"/>
      <c r="G7540" s="8">
        <f>IF(E7540="","",E7540*F7540)</f>
        <v/>
      </c>
      <c r="H7540" s="8">
        <f>IF(G7540="","",G7540-I7540)</f>
        <v/>
      </c>
      <c r="I7540" s="8">
        <f>IF(D7540="","",VLOOKUP(D7540, RECETTES!B:G, 6, FALSE)*E7540)</f>
        <v/>
      </c>
      <c r="J7540" s="8">
        <f>IF(G7540="","",G7540*0.20)</f>
        <v/>
      </c>
      <c r="K7540" s="8">
        <f>IF(G7540="","",G7540+J7540)</f>
        <v/>
      </c>
    </row>
    <row r="7541">
      <c r="F7541" s="8" t="n"/>
      <c r="G7541" s="8">
        <f>IF(E7541="","",E7541*F7541)</f>
        <v/>
      </c>
      <c r="H7541" s="8">
        <f>IF(G7541="","",G7541-I7541)</f>
        <v/>
      </c>
      <c r="I7541" s="8">
        <f>IF(D7541="","",VLOOKUP(D7541, RECETTES!B:G, 6, FALSE)*E7541)</f>
        <v/>
      </c>
      <c r="J7541" s="8">
        <f>IF(G7541="","",G7541*0.20)</f>
        <v/>
      </c>
      <c r="K7541" s="8">
        <f>IF(G7541="","",G7541+J7541)</f>
        <v/>
      </c>
    </row>
    <row r="7542">
      <c r="F7542" s="8" t="n"/>
      <c r="G7542" s="8">
        <f>IF(E7542="","",E7542*F7542)</f>
        <v/>
      </c>
      <c r="H7542" s="8">
        <f>IF(G7542="","",G7542-I7542)</f>
        <v/>
      </c>
      <c r="I7542" s="8">
        <f>IF(D7542="","",VLOOKUP(D7542, RECETTES!B:G, 6, FALSE)*E7542)</f>
        <v/>
      </c>
      <c r="J7542" s="8">
        <f>IF(G7542="","",G7542*0.20)</f>
        <v/>
      </c>
      <c r="K7542" s="8">
        <f>IF(G7542="","",G7542+J7542)</f>
        <v/>
      </c>
    </row>
    <row r="7543">
      <c r="F7543" s="8" t="n"/>
      <c r="G7543" s="8">
        <f>IF(E7543="","",E7543*F7543)</f>
        <v/>
      </c>
      <c r="H7543" s="8">
        <f>IF(G7543="","",G7543-I7543)</f>
        <v/>
      </c>
      <c r="I7543" s="8">
        <f>IF(D7543="","",VLOOKUP(D7543, RECETTES!B:G, 6, FALSE)*E7543)</f>
        <v/>
      </c>
      <c r="J7543" s="8">
        <f>IF(G7543="","",G7543*0.20)</f>
        <v/>
      </c>
      <c r="K7543" s="8">
        <f>IF(G7543="","",G7543+J7543)</f>
        <v/>
      </c>
    </row>
    <row r="7544">
      <c r="F7544" s="8" t="n"/>
      <c r="G7544" s="8">
        <f>IF(E7544="","",E7544*F7544)</f>
        <v/>
      </c>
      <c r="H7544" s="8">
        <f>IF(G7544="","",G7544-I7544)</f>
        <v/>
      </c>
      <c r="I7544" s="8">
        <f>IF(D7544="","",VLOOKUP(D7544, RECETTES!B:G, 6, FALSE)*E7544)</f>
        <v/>
      </c>
      <c r="J7544" s="8">
        <f>IF(G7544="","",G7544*0.20)</f>
        <v/>
      </c>
      <c r="K7544" s="8">
        <f>IF(G7544="","",G7544+J7544)</f>
        <v/>
      </c>
    </row>
    <row r="7545">
      <c r="F7545" s="8" t="n"/>
      <c r="G7545" s="8">
        <f>IF(E7545="","",E7545*F7545)</f>
        <v/>
      </c>
      <c r="H7545" s="8">
        <f>IF(G7545="","",G7545-I7545)</f>
        <v/>
      </c>
      <c r="I7545" s="8">
        <f>IF(D7545="","",VLOOKUP(D7545, RECETTES!B:G, 6, FALSE)*E7545)</f>
        <v/>
      </c>
      <c r="J7545" s="8">
        <f>IF(G7545="","",G7545*0.20)</f>
        <v/>
      </c>
      <c r="K7545" s="8">
        <f>IF(G7545="","",G7545+J7545)</f>
        <v/>
      </c>
    </row>
    <row r="7546">
      <c r="F7546" s="8" t="n"/>
      <c r="G7546" s="8">
        <f>IF(E7546="","",E7546*F7546)</f>
        <v/>
      </c>
      <c r="H7546" s="8">
        <f>IF(G7546="","",G7546-I7546)</f>
        <v/>
      </c>
      <c r="I7546" s="8">
        <f>IF(D7546="","",VLOOKUP(D7546, RECETTES!B:G, 6, FALSE)*E7546)</f>
        <v/>
      </c>
      <c r="J7546" s="8">
        <f>IF(G7546="","",G7546*0.20)</f>
        <v/>
      </c>
      <c r="K7546" s="8">
        <f>IF(G7546="","",G7546+J7546)</f>
        <v/>
      </c>
    </row>
    <row r="7547">
      <c r="F7547" s="8" t="n"/>
      <c r="G7547" s="8">
        <f>IF(E7547="","",E7547*F7547)</f>
        <v/>
      </c>
      <c r="H7547" s="8">
        <f>IF(G7547="","",G7547-I7547)</f>
        <v/>
      </c>
      <c r="I7547" s="8">
        <f>IF(D7547="","",VLOOKUP(D7547, RECETTES!B:G, 6, FALSE)*E7547)</f>
        <v/>
      </c>
      <c r="J7547" s="8">
        <f>IF(G7547="","",G7547*0.20)</f>
        <v/>
      </c>
      <c r="K7547" s="8">
        <f>IF(G7547="","",G7547+J7547)</f>
        <v/>
      </c>
    </row>
    <row r="7548">
      <c r="F7548" s="8" t="n"/>
      <c r="G7548" s="8">
        <f>IF(E7548="","",E7548*F7548)</f>
        <v/>
      </c>
      <c r="H7548" s="8">
        <f>IF(G7548="","",G7548-I7548)</f>
        <v/>
      </c>
      <c r="I7548" s="8">
        <f>IF(D7548="","",VLOOKUP(D7548, RECETTES!B:G, 6, FALSE)*E7548)</f>
        <v/>
      </c>
      <c r="J7548" s="8">
        <f>IF(G7548="","",G7548*0.20)</f>
        <v/>
      </c>
      <c r="K7548" s="8">
        <f>IF(G7548="","",G7548+J7548)</f>
        <v/>
      </c>
    </row>
    <row r="7549">
      <c r="F7549" s="8" t="n"/>
      <c r="G7549" s="8">
        <f>IF(E7549="","",E7549*F7549)</f>
        <v/>
      </c>
      <c r="H7549" s="8">
        <f>IF(G7549="","",G7549-I7549)</f>
        <v/>
      </c>
      <c r="I7549" s="8">
        <f>IF(D7549="","",VLOOKUP(D7549, RECETTES!B:G, 6, FALSE)*E7549)</f>
        <v/>
      </c>
      <c r="J7549" s="8">
        <f>IF(G7549="","",G7549*0.20)</f>
        <v/>
      </c>
      <c r="K7549" s="8">
        <f>IF(G7549="","",G7549+J7549)</f>
        <v/>
      </c>
    </row>
    <row r="7550">
      <c r="F7550" s="8" t="n"/>
      <c r="G7550" s="8">
        <f>IF(E7550="","",E7550*F7550)</f>
        <v/>
      </c>
      <c r="H7550" s="8">
        <f>IF(G7550="","",G7550-I7550)</f>
        <v/>
      </c>
      <c r="I7550" s="8">
        <f>IF(D7550="","",VLOOKUP(D7550, RECETTES!B:G, 6, FALSE)*E7550)</f>
        <v/>
      </c>
      <c r="J7550" s="8">
        <f>IF(G7550="","",G7550*0.20)</f>
        <v/>
      </c>
      <c r="K7550" s="8">
        <f>IF(G7550="","",G7550+J7550)</f>
        <v/>
      </c>
    </row>
    <row r="7551">
      <c r="F7551" s="8" t="n"/>
      <c r="G7551" s="8">
        <f>IF(E7551="","",E7551*F7551)</f>
        <v/>
      </c>
      <c r="H7551" s="8">
        <f>IF(G7551="","",G7551-I7551)</f>
        <v/>
      </c>
      <c r="I7551" s="8">
        <f>IF(D7551="","",VLOOKUP(D7551, RECETTES!B:G, 6, FALSE)*E7551)</f>
        <v/>
      </c>
      <c r="J7551" s="8">
        <f>IF(G7551="","",G7551*0.20)</f>
        <v/>
      </c>
      <c r="K7551" s="8">
        <f>IF(G7551="","",G7551+J7551)</f>
        <v/>
      </c>
    </row>
    <row r="7552">
      <c r="F7552" s="8" t="n"/>
      <c r="G7552" s="8">
        <f>IF(E7552="","",E7552*F7552)</f>
        <v/>
      </c>
      <c r="H7552" s="8">
        <f>IF(G7552="","",G7552-I7552)</f>
        <v/>
      </c>
      <c r="I7552" s="8">
        <f>IF(D7552="","",VLOOKUP(D7552, RECETTES!B:G, 6, FALSE)*E7552)</f>
        <v/>
      </c>
      <c r="J7552" s="8">
        <f>IF(G7552="","",G7552*0.20)</f>
        <v/>
      </c>
      <c r="K7552" s="8">
        <f>IF(G7552="","",G7552+J7552)</f>
        <v/>
      </c>
    </row>
    <row r="7553">
      <c r="F7553" s="8" t="n"/>
      <c r="G7553" s="8">
        <f>IF(E7553="","",E7553*F7553)</f>
        <v/>
      </c>
      <c r="H7553" s="8">
        <f>IF(G7553="","",G7553-I7553)</f>
        <v/>
      </c>
      <c r="I7553" s="8">
        <f>IF(D7553="","",VLOOKUP(D7553, RECETTES!B:G, 6, FALSE)*E7553)</f>
        <v/>
      </c>
      <c r="J7553" s="8">
        <f>IF(G7553="","",G7553*0.20)</f>
        <v/>
      </c>
      <c r="K7553" s="8">
        <f>IF(G7553="","",G7553+J7553)</f>
        <v/>
      </c>
    </row>
    <row r="7554">
      <c r="F7554" s="8" t="n"/>
      <c r="G7554" s="8">
        <f>IF(E7554="","",E7554*F7554)</f>
        <v/>
      </c>
      <c r="H7554" s="8">
        <f>IF(G7554="","",G7554-I7554)</f>
        <v/>
      </c>
      <c r="I7554" s="8">
        <f>IF(D7554="","",VLOOKUP(D7554, RECETTES!B:G, 6, FALSE)*E7554)</f>
        <v/>
      </c>
      <c r="J7554" s="8">
        <f>IF(G7554="","",G7554*0.20)</f>
        <v/>
      </c>
      <c r="K7554" s="8">
        <f>IF(G7554="","",G7554+J7554)</f>
        <v/>
      </c>
    </row>
    <row r="7555">
      <c r="F7555" s="8" t="n"/>
      <c r="G7555" s="8">
        <f>IF(E7555="","",E7555*F7555)</f>
        <v/>
      </c>
      <c r="H7555" s="8">
        <f>IF(G7555="","",G7555-I7555)</f>
        <v/>
      </c>
      <c r="I7555" s="8">
        <f>IF(D7555="","",VLOOKUP(D7555, RECETTES!B:G, 6, FALSE)*E7555)</f>
        <v/>
      </c>
      <c r="J7555" s="8">
        <f>IF(G7555="","",G7555*0.20)</f>
        <v/>
      </c>
      <c r="K7555" s="8">
        <f>IF(G7555="","",G7555+J7555)</f>
        <v/>
      </c>
    </row>
    <row r="7556">
      <c r="F7556" s="8" t="n"/>
      <c r="G7556" s="8">
        <f>IF(E7556="","",E7556*F7556)</f>
        <v/>
      </c>
      <c r="H7556" s="8">
        <f>IF(G7556="","",G7556-I7556)</f>
        <v/>
      </c>
      <c r="I7556" s="8">
        <f>IF(D7556="","",VLOOKUP(D7556, RECETTES!B:G, 6, FALSE)*E7556)</f>
        <v/>
      </c>
      <c r="J7556" s="8">
        <f>IF(G7556="","",G7556*0.20)</f>
        <v/>
      </c>
      <c r="K7556" s="8">
        <f>IF(G7556="","",G7556+J7556)</f>
        <v/>
      </c>
    </row>
    <row r="7557">
      <c r="F7557" s="8" t="n"/>
      <c r="G7557" s="8">
        <f>IF(E7557="","",E7557*F7557)</f>
        <v/>
      </c>
      <c r="H7557" s="8">
        <f>IF(G7557="","",G7557-I7557)</f>
        <v/>
      </c>
      <c r="I7557" s="8">
        <f>IF(D7557="","",VLOOKUP(D7557, RECETTES!B:G, 6, FALSE)*E7557)</f>
        <v/>
      </c>
      <c r="J7557" s="8">
        <f>IF(G7557="","",G7557*0.20)</f>
        <v/>
      </c>
      <c r="K7557" s="8">
        <f>IF(G7557="","",G7557+J7557)</f>
        <v/>
      </c>
    </row>
    <row r="7558">
      <c r="F7558" s="8" t="n"/>
      <c r="G7558" s="8">
        <f>IF(E7558="","",E7558*F7558)</f>
        <v/>
      </c>
      <c r="H7558" s="8">
        <f>IF(G7558="","",G7558-I7558)</f>
        <v/>
      </c>
      <c r="I7558" s="8">
        <f>IF(D7558="","",VLOOKUP(D7558, RECETTES!B:G, 6, FALSE)*E7558)</f>
        <v/>
      </c>
      <c r="J7558" s="8">
        <f>IF(G7558="","",G7558*0.20)</f>
        <v/>
      </c>
      <c r="K7558" s="8">
        <f>IF(G7558="","",G7558+J7558)</f>
        <v/>
      </c>
    </row>
    <row r="7559">
      <c r="F7559" s="8" t="n"/>
      <c r="G7559" s="8">
        <f>IF(E7559="","",E7559*F7559)</f>
        <v/>
      </c>
      <c r="H7559" s="8">
        <f>IF(G7559="","",G7559-I7559)</f>
        <v/>
      </c>
      <c r="I7559" s="8">
        <f>IF(D7559="","",VLOOKUP(D7559, RECETTES!B:G, 6, FALSE)*E7559)</f>
        <v/>
      </c>
      <c r="J7559" s="8">
        <f>IF(G7559="","",G7559*0.20)</f>
        <v/>
      </c>
      <c r="K7559" s="8">
        <f>IF(G7559="","",G7559+J7559)</f>
        <v/>
      </c>
    </row>
    <row r="7560">
      <c r="F7560" s="8" t="n"/>
      <c r="G7560" s="8">
        <f>IF(E7560="","",E7560*F7560)</f>
        <v/>
      </c>
      <c r="H7560" s="8">
        <f>IF(G7560="","",G7560-I7560)</f>
        <v/>
      </c>
      <c r="I7560" s="8">
        <f>IF(D7560="","",VLOOKUP(D7560, RECETTES!B:G, 6, FALSE)*E7560)</f>
        <v/>
      </c>
      <c r="J7560" s="8">
        <f>IF(G7560="","",G7560*0.20)</f>
        <v/>
      </c>
      <c r="K7560" s="8">
        <f>IF(G7560="","",G7560+J7560)</f>
        <v/>
      </c>
    </row>
    <row r="7561">
      <c r="F7561" s="8" t="n"/>
      <c r="G7561" s="8">
        <f>IF(E7561="","",E7561*F7561)</f>
        <v/>
      </c>
      <c r="H7561" s="8">
        <f>IF(G7561="","",G7561-I7561)</f>
        <v/>
      </c>
      <c r="I7561" s="8">
        <f>IF(D7561="","",VLOOKUP(D7561, RECETTES!B:G, 6, FALSE)*E7561)</f>
        <v/>
      </c>
      <c r="J7561" s="8">
        <f>IF(G7561="","",G7561*0.20)</f>
        <v/>
      </c>
      <c r="K7561" s="8">
        <f>IF(G7561="","",G7561+J7561)</f>
        <v/>
      </c>
    </row>
    <row r="7562">
      <c r="F7562" s="8" t="n"/>
      <c r="G7562" s="8">
        <f>IF(E7562="","",E7562*F7562)</f>
        <v/>
      </c>
      <c r="H7562" s="8">
        <f>IF(G7562="","",G7562-I7562)</f>
        <v/>
      </c>
      <c r="I7562" s="8">
        <f>IF(D7562="","",VLOOKUP(D7562, RECETTES!B:G, 6, FALSE)*E7562)</f>
        <v/>
      </c>
      <c r="J7562" s="8">
        <f>IF(G7562="","",G7562*0.20)</f>
        <v/>
      </c>
      <c r="K7562" s="8">
        <f>IF(G7562="","",G7562+J7562)</f>
        <v/>
      </c>
    </row>
    <row r="7563">
      <c r="F7563" s="8" t="n"/>
      <c r="G7563" s="8">
        <f>IF(E7563="","",E7563*F7563)</f>
        <v/>
      </c>
      <c r="H7563" s="8">
        <f>IF(G7563="","",G7563-I7563)</f>
        <v/>
      </c>
      <c r="I7563" s="8">
        <f>IF(D7563="","",VLOOKUP(D7563, RECETTES!B:G, 6, FALSE)*E7563)</f>
        <v/>
      </c>
      <c r="J7563" s="8">
        <f>IF(G7563="","",G7563*0.20)</f>
        <v/>
      </c>
      <c r="K7563" s="8">
        <f>IF(G7563="","",G7563+J7563)</f>
        <v/>
      </c>
    </row>
    <row r="7564">
      <c r="F7564" s="8" t="n"/>
      <c r="G7564" s="8">
        <f>IF(E7564="","",E7564*F7564)</f>
        <v/>
      </c>
      <c r="H7564" s="8">
        <f>IF(G7564="","",G7564-I7564)</f>
        <v/>
      </c>
      <c r="I7564" s="8">
        <f>IF(D7564="","",VLOOKUP(D7564, RECETTES!B:G, 6, FALSE)*E7564)</f>
        <v/>
      </c>
      <c r="J7564" s="8">
        <f>IF(G7564="","",G7564*0.20)</f>
        <v/>
      </c>
      <c r="K7564" s="8">
        <f>IF(G7564="","",G7564+J7564)</f>
        <v/>
      </c>
    </row>
    <row r="7565">
      <c r="F7565" s="8" t="n"/>
      <c r="G7565" s="8">
        <f>IF(E7565="","",E7565*F7565)</f>
        <v/>
      </c>
      <c r="H7565" s="8">
        <f>IF(G7565="","",G7565-I7565)</f>
        <v/>
      </c>
      <c r="I7565" s="8">
        <f>IF(D7565="","",VLOOKUP(D7565, RECETTES!B:G, 6, FALSE)*E7565)</f>
        <v/>
      </c>
      <c r="J7565" s="8">
        <f>IF(G7565="","",G7565*0.20)</f>
        <v/>
      </c>
      <c r="K7565" s="8">
        <f>IF(G7565="","",G7565+J7565)</f>
        <v/>
      </c>
    </row>
    <row r="7566">
      <c r="F7566" s="8" t="n"/>
      <c r="G7566" s="8">
        <f>IF(E7566="","",E7566*F7566)</f>
        <v/>
      </c>
      <c r="H7566" s="8">
        <f>IF(G7566="","",G7566-I7566)</f>
        <v/>
      </c>
      <c r="I7566" s="8">
        <f>IF(D7566="","",VLOOKUP(D7566, RECETTES!B:G, 6, FALSE)*E7566)</f>
        <v/>
      </c>
      <c r="J7566" s="8">
        <f>IF(G7566="","",G7566*0.20)</f>
        <v/>
      </c>
      <c r="K7566" s="8">
        <f>IF(G7566="","",G7566+J7566)</f>
        <v/>
      </c>
    </row>
    <row r="7567">
      <c r="F7567" s="8" t="n"/>
      <c r="G7567" s="8">
        <f>IF(E7567="","",E7567*F7567)</f>
        <v/>
      </c>
      <c r="H7567" s="8">
        <f>IF(G7567="","",G7567-I7567)</f>
        <v/>
      </c>
      <c r="I7567" s="8">
        <f>IF(D7567="","",VLOOKUP(D7567, RECETTES!B:G, 6, FALSE)*E7567)</f>
        <v/>
      </c>
      <c r="J7567" s="8">
        <f>IF(G7567="","",G7567*0.20)</f>
        <v/>
      </c>
      <c r="K7567" s="8">
        <f>IF(G7567="","",G7567+J7567)</f>
        <v/>
      </c>
    </row>
    <row r="7568">
      <c r="F7568" s="8" t="n"/>
      <c r="G7568" s="8">
        <f>IF(E7568="","",E7568*F7568)</f>
        <v/>
      </c>
      <c r="H7568" s="8">
        <f>IF(G7568="","",G7568-I7568)</f>
        <v/>
      </c>
      <c r="I7568" s="8">
        <f>IF(D7568="","",VLOOKUP(D7568, RECETTES!B:G, 6, FALSE)*E7568)</f>
        <v/>
      </c>
      <c r="J7568" s="8">
        <f>IF(G7568="","",G7568*0.20)</f>
        <v/>
      </c>
      <c r="K7568" s="8">
        <f>IF(G7568="","",G7568+J7568)</f>
        <v/>
      </c>
    </row>
    <row r="7569">
      <c r="F7569" s="8" t="n"/>
      <c r="G7569" s="8">
        <f>IF(E7569="","",E7569*F7569)</f>
        <v/>
      </c>
      <c r="H7569" s="8">
        <f>IF(G7569="","",G7569-I7569)</f>
        <v/>
      </c>
      <c r="I7569" s="8">
        <f>IF(D7569="","",VLOOKUP(D7569, RECETTES!B:G, 6, FALSE)*E7569)</f>
        <v/>
      </c>
      <c r="J7569" s="8">
        <f>IF(G7569="","",G7569*0.20)</f>
        <v/>
      </c>
      <c r="K7569" s="8">
        <f>IF(G7569="","",G7569+J7569)</f>
        <v/>
      </c>
    </row>
    <row r="7570">
      <c r="F7570" s="8" t="n"/>
      <c r="G7570" s="8">
        <f>IF(E7570="","",E7570*F7570)</f>
        <v/>
      </c>
      <c r="H7570" s="8">
        <f>IF(G7570="","",G7570-I7570)</f>
        <v/>
      </c>
      <c r="I7570" s="8">
        <f>IF(D7570="","",VLOOKUP(D7570, RECETTES!B:G, 6, FALSE)*E7570)</f>
        <v/>
      </c>
      <c r="J7570" s="8">
        <f>IF(G7570="","",G7570*0.20)</f>
        <v/>
      </c>
      <c r="K7570" s="8">
        <f>IF(G7570="","",G7570+J7570)</f>
        <v/>
      </c>
    </row>
    <row r="7571">
      <c r="F7571" s="8" t="n"/>
      <c r="G7571" s="8">
        <f>IF(E7571="","",E7571*F7571)</f>
        <v/>
      </c>
      <c r="H7571" s="8">
        <f>IF(G7571="","",G7571-I7571)</f>
        <v/>
      </c>
      <c r="I7571" s="8">
        <f>IF(D7571="","",VLOOKUP(D7571, RECETTES!B:G, 6, FALSE)*E7571)</f>
        <v/>
      </c>
      <c r="J7571" s="8">
        <f>IF(G7571="","",G7571*0.20)</f>
        <v/>
      </c>
      <c r="K7571" s="8">
        <f>IF(G7571="","",G7571+J7571)</f>
        <v/>
      </c>
    </row>
    <row r="7572">
      <c r="F7572" s="8" t="n"/>
      <c r="G7572" s="8">
        <f>IF(E7572="","",E7572*F7572)</f>
        <v/>
      </c>
      <c r="H7572" s="8">
        <f>IF(G7572="","",G7572-I7572)</f>
        <v/>
      </c>
      <c r="I7572" s="8">
        <f>IF(D7572="","",VLOOKUP(D7572, RECETTES!B:G, 6, FALSE)*E7572)</f>
        <v/>
      </c>
      <c r="J7572" s="8">
        <f>IF(G7572="","",G7572*0.20)</f>
        <v/>
      </c>
      <c r="K7572" s="8">
        <f>IF(G7572="","",G7572+J7572)</f>
        <v/>
      </c>
    </row>
    <row r="7573">
      <c r="F7573" s="8" t="n"/>
      <c r="G7573" s="8">
        <f>IF(E7573="","",E7573*F7573)</f>
        <v/>
      </c>
      <c r="H7573" s="8">
        <f>IF(G7573="","",G7573-I7573)</f>
        <v/>
      </c>
      <c r="I7573" s="8">
        <f>IF(D7573="","",VLOOKUP(D7573, RECETTES!B:G, 6, FALSE)*E7573)</f>
        <v/>
      </c>
      <c r="J7573" s="8">
        <f>IF(G7573="","",G7573*0.20)</f>
        <v/>
      </c>
      <c r="K7573" s="8">
        <f>IF(G7573="","",G7573+J7573)</f>
        <v/>
      </c>
    </row>
    <row r="7574">
      <c r="F7574" s="8" t="n"/>
      <c r="G7574" s="8">
        <f>IF(E7574="","",E7574*F7574)</f>
        <v/>
      </c>
      <c r="H7574" s="8">
        <f>IF(G7574="","",G7574-I7574)</f>
        <v/>
      </c>
      <c r="I7574" s="8">
        <f>IF(D7574="","",VLOOKUP(D7574, RECETTES!B:G, 6, FALSE)*E7574)</f>
        <v/>
      </c>
      <c r="J7574" s="8">
        <f>IF(G7574="","",G7574*0.20)</f>
        <v/>
      </c>
      <c r="K7574" s="8">
        <f>IF(G7574="","",G7574+J7574)</f>
        <v/>
      </c>
    </row>
    <row r="7575">
      <c r="F7575" s="8" t="n"/>
      <c r="G7575" s="8">
        <f>IF(E7575="","",E7575*F7575)</f>
        <v/>
      </c>
      <c r="H7575" s="8">
        <f>IF(G7575="","",G7575-I7575)</f>
        <v/>
      </c>
      <c r="I7575" s="8">
        <f>IF(D7575="","",VLOOKUP(D7575, RECETTES!B:G, 6, FALSE)*E7575)</f>
        <v/>
      </c>
      <c r="J7575" s="8">
        <f>IF(G7575="","",G7575*0.20)</f>
        <v/>
      </c>
      <c r="K7575" s="8">
        <f>IF(G7575="","",G7575+J7575)</f>
        <v/>
      </c>
    </row>
    <row r="7576">
      <c r="F7576" s="8" t="n"/>
      <c r="G7576" s="8">
        <f>IF(E7576="","",E7576*F7576)</f>
        <v/>
      </c>
      <c r="H7576" s="8">
        <f>IF(G7576="","",G7576-I7576)</f>
        <v/>
      </c>
      <c r="I7576" s="8">
        <f>IF(D7576="","",VLOOKUP(D7576, RECETTES!B:G, 6, FALSE)*E7576)</f>
        <v/>
      </c>
      <c r="J7576" s="8">
        <f>IF(G7576="","",G7576*0.20)</f>
        <v/>
      </c>
      <c r="K7576" s="8">
        <f>IF(G7576="","",G7576+J7576)</f>
        <v/>
      </c>
    </row>
    <row r="7577">
      <c r="F7577" s="8" t="n"/>
      <c r="G7577" s="8">
        <f>IF(E7577="","",E7577*F7577)</f>
        <v/>
      </c>
      <c r="H7577" s="8">
        <f>IF(G7577="","",G7577-I7577)</f>
        <v/>
      </c>
      <c r="I7577" s="8">
        <f>IF(D7577="","",VLOOKUP(D7577, RECETTES!B:G, 6, FALSE)*E7577)</f>
        <v/>
      </c>
      <c r="J7577" s="8">
        <f>IF(G7577="","",G7577*0.20)</f>
        <v/>
      </c>
      <c r="K7577" s="8">
        <f>IF(G7577="","",G7577+J7577)</f>
        <v/>
      </c>
    </row>
    <row r="7578">
      <c r="F7578" s="8" t="n"/>
      <c r="G7578" s="8">
        <f>IF(E7578="","",E7578*F7578)</f>
        <v/>
      </c>
      <c r="H7578" s="8">
        <f>IF(G7578="","",G7578-I7578)</f>
        <v/>
      </c>
      <c r="I7578" s="8">
        <f>IF(D7578="","",VLOOKUP(D7578, RECETTES!B:G, 6, FALSE)*E7578)</f>
        <v/>
      </c>
      <c r="J7578" s="8">
        <f>IF(G7578="","",G7578*0.20)</f>
        <v/>
      </c>
      <c r="K7578" s="8">
        <f>IF(G7578="","",G7578+J7578)</f>
        <v/>
      </c>
    </row>
    <row r="7579">
      <c r="F7579" s="8" t="n"/>
      <c r="G7579" s="8">
        <f>IF(E7579="","",E7579*F7579)</f>
        <v/>
      </c>
      <c r="H7579" s="8">
        <f>IF(G7579="","",G7579-I7579)</f>
        <v/>
      </c>
      <c r="I7579" s="8">
        <f>IF(D7579="","",VLOOKUP(D7579, RECETTES!B:G, 6, FALSE)*E7579)</f>
        <v/>
      </c>
      <c r="J7579" s="8">
        <f>IF(G7579="","",G7579*0.20)</f>
        <v/>
      </c>
      <c r="K7579" s="8">
        <f>IF(G7579="","",G7579+J7579)</f>
        <v/>
      </c>
    </row>
    <row r="7580">
      <c r="F7580" s="8" t="n"/>
      <c r="G7580" s="8">
        <f>IF(E7580="","",E7580*F7580)</f>
        <v/>
      </c>
      <c r="H7580" s="8">
        <f>IF(G7580="","",G7580-I7580)</f>
        <v/>
      </c>
      <c r="I7580" s="8">
        <f>IF(D7580="","",VLOOKUP(D7580, RECETTES!B:G, 6, FALSE)*E7580)</f>
        <v/>
      </c>
      <c r="J7580" s="8">
        <f>IF(G7580="","",G7580*0.20)</f>
        <v/>
      </c>
      <c r="K7580" s="8">
        <f>IF(G7580="","",G7580+J7580)</f>
        <v/>
      </c>
    </row>
    <row r="7581">
      <c r="F7581" s="8" t="n"/>
      <c r="G7581" s="8">
        <f>IF(E7581="","",E7581*F7581)</f>
        <v/>
      </c>
      <c r="H7581" s="8">
        <f>IF(G7581="","",G7581-I7581)</f>
        <v/>
      </c>
      <c r="I7581" s="8">
        <f>IF(D7581="","",VLOOKUP(D7581, RECETTES!B:G, 6, FALSE)*E7581)</f>
        <v/>
      </c>
      <c r="J7581" s="8">
        <f>IF(G7581="","",G7581*0.20)</f>
        <v/>
      </c>
      <c r="K7581" s="8">
        <f>IF(G7581="","",G7581+J7581)</f>
        <v/>
      </c>
    </row>
    <row r="7582">
      <c r="F7582" s="8" t="n"/>
      <c r="G7582" s="8">
        <f>IF(E7582="","",E7582*F7582)</f>
        <v/>
      </c>
      <c r="H7582" s="8">
        <f>IF(G7582="","",G7582-I7582)</f>
        <v/>
      </c>
      <c r="I7582" s="8">
        <f>IF(D7582="","",VLOOKUP(D7582, RECETTES!B:G, 6, FALSE)*E7582)</f>
        <v/>
      </c>
      <c r="J7582" s="8">
        <f>IF(G7582="","",G7582*0.20)</f>
        <v/>
      </c>
      <c r="K7582" s="8">
        <f>IF(G7582="","",G7582+J7582)</f>
        <v/>
      </c>
    </row>
    <row r="7583">
      <c r="F7583" s="8" t="n"/>
      <c r="G7583" s="8">
        <f>IF(E7583="","",E7583*F7583)</f>
        <v/>
      </c>
      <c r="H7583" s="8">
        <f>IF(G7583="","",G7583-I7583)</f>
        <v/>
      </c>
      <c r="I7583" s="8">
        <f>IF(D7583="","",VLOOKUP(D7583, RECETTES!B:G, 6, FALSE)*E7583)</f>
        <v/>
      </c>
      <c r="J7583" s="8">
        <f>IF(G7583="","",G7583*0.20)</f>
        <v/>
      </c>
      <c r="K7583" s="8">
        <f>IF(G7583="","",G7583+J7583)</f>
        <v/>
      </c>
    </row>
    <row r="7584">
      <c r="F7584" s="8" t="n"/>
      <c r="G7584" s="8">
        <f>IF(E7584="","",E7584*F7584)</f>
        <v/>
      </c>
      <c r="H7584" s="8">
        <f>IF(G7584="","",G7584-I7584)</f>
        <v/>
      </c>
      <c r="I7584" s="8">
        <f>IF(D7584="","",VLOOKUP(D7584, RECETTES!B:G, 6, FALSE)*E7584)</f>
        <v/>
      </c>
      <c r="J7584" s="8">
        <f>IF(G7584="","",G7584*0.20)</f>
        <v/>
      </c>
      <c r="K7584" s="8">
        <f>IF(G7584="","",G7584+J7584)</f>
        <v/>
      </c>
    </row>
    <row r="7585">
      <c r="F7585" s="8" t="n"/>
      <c r="G7585" s="8">
        <f>IF(E7585="","",E7585*F7585)</f>
        <v/>
      </c>
      <c r="H7585" s="8">
        <f>IF(G7585="","",G7585-I7585)</f>
        <v/>
      </c>
      <c r="I7585" s="8">
        <f>IF(D7585="","",VLOOKUP(D7585, RECETTES!B:G, 6, FALSE)*E7585)</f>
        <v/>
      </c>
      <c r="J7585" s="8">
        <f>IF(G7585="","",G7585*0.20)</f>
        <v/>
      </c>
      <c r="K7585" s="8">
        <f>IF(G7585="","",G7585+J7585)</f>
        <v/>
      </c>
    </row>
    <row r="7586">
      <c r="F7586" s="8" t="n"/>
      <c r="G7586" s="8">
        <f>IF(E7586="","",E7586*F7586)</f>
        <v/>
      </c>
      <c r="H7586" s="8">
        <f>IF(G7586="","",G7586-I7586)</f>
        <v/>
      </c>
      <c r="I7586" s="8">
        <f>IF(D7586="","",VLOOKUP(D7586, RECETTES!B:G, 6, FALSE)*E7586)</f>
        <v/>
      </c>
      <c r="J7586" s="8">
        <f>IF(G7586="","",G7586*0.20)</f>
        <v/>
      </c>
      <c r="K7586" s="8">
        <f>IF(G7586="","",G7586+J7586)</f>
        <v/>
      </c>
    </row>
    <row r="7587">
      <c r="F7587" s="8" t="n"/>
      <c r="G7587" s="8">
        <f>IF(E7587="","",E7587*F7587)</f>
        <v/>
      </c>
      <c r="H7587" s="8">
        <f>IF(G7587="","",G7587-I7587)</f>
        <v/>
      </c>
      <c r="I7587" s="8">
        <f>IF(D7587="","",VLOOKUP(D7587, RECETTES!B:G, 6, FALSE)*E7587)</f>
        <v/>
      </c>
      <c r="J7587" s="8">
        <f>IF(G7587="","",G7587*0.20)</f>
        <v/>
      </c>
      <c r="K7587" s="8">
        <f>IF(G7587="","",G7587+J7587)</f>
        <v/>
      </c>
    </row>
    <row r="7588">
      <c r="F7588" s="8" t="n"/>
      <c r="G7588" s="8">
        <f>IF(E7588="","",E7588*F7588)</f>
        <v/>
      </c>
      <c r="H7588" s="8">
        <f>IF(G7588="","",G7588-I7588)</f>
        <v/>
      </c>
      <c r="I7588" s="8">
        <f>IF(D7588="","",VLOOKUP(D7588, RECETTES!B:G, 6, FALSE)*E7588)</f>
        <v/>
      </c>
      <c r="J7588" s="8">
        <f>IF(G7588="","",G7588*0.20)</f>
        <v/>
      </c>
      <c r="K7588" s="8">
        <f>IF(G7588="","",G7588+J7588)</f>
        <v/>
      </c>
    </row>
    <row r="7589">
      <c r="F7589" s="8" t="n"/>
      <c r="G7589" s="8">
        <f>IF(E7589="","",E7589*F7589)</f>
        <v/>
      </c>
      <c r="H7589" s="8">
        <f>IF(G7589="","",G7589-I7589)</f>
        <v/>
      </c>
      <c r="I7589" s="8">
        <f>IF(D7589="","",VLOOKUP(D7589, RECETTES!B:G, 6, FALSE)*E7589)</f>
        <v/>
      </c>
      <c r="J7589" s="8">
        <f>IF(G7589="","",G7589*0.20)</f>
        <v/>
      </c>
      <c r="K7589" s="8">
        <f>IF(G7589="","",G7589+J7589)</f>
        <v/>
      </c>
    </row>
    <row r="7590">
      <c r="F7590" s="8" t="n"/>
      <c r="G7590" s="8">
        <f>IF(E7590="","",E7590*F7590)</f>
        <v/>
      </c>
      <c r="H7590" s="8">
        <f>IF(G7590="","",G7590-I7590)</f>
        <v/>
      </c>
      <c r="I7590" s="8">
        <f>IF(D7590="","",VLOOKUP(D7590, RECETTES!B:G, 6, FALSE)*E7590)</f>
        <v/>
      </c>
      <c r="J7590" s="8">
        <f>IF(G7590="","",G7590*0.20)</f>
        <v/>
      </c>
      <c r="K7590" s="8">
        <f>IF(G7590="","",G7590+J7590)</f>
        <v/>
      </c>
    </row>
    <row r="7591">
      <c r="F7591" s="8" t="n"/>
      <c r="G7591" s="8">
        <f>IF(E7591="","",E7591*F7591)</f>
        <v/>
      </c>
      <c r="H7591" s="8">
        <f>IF(G7591="","",G7591-I7591)</f>
        <v/>
      </c>
      <c r="I7591" s="8">
        <f>IF(D7591="","",VLOOKUP(D7591, RECETTES!B:G, 6, FALSE)*E7591)</f>
        <v/>
      </c>
      <c r="J7591" s="8">
        <f>IF(G7591="","",G7591*0.20)</f>
        <v/>
      </c>
      <c r="K7591" s="8">
        <f>IF(G7591="","",G7591+J7591)</f>
        <v/>
      </c>
    </row>
    <row r="7592">
      <c r="F7592" s="8" t="n"/>
      <c r="G7592" s="8">
        <f>IF(E7592="","",E7592*F7592)</f>
        <v/>
      </c>
      <c r="H7592" s="8">
        <f>IF(G7592="","",G7592-I7592)</f>
        <v/>
      </c>
      <c r="I7592" s="8">
        <f>IF(D7592="","",VLOOKUP(D7592, RECETTES!B:G, 6, FALSE)*E7592)</f>
        <v/>
      </c>
      <c r="J7592" s="8">
        <f>IF(G7592="","",G7592*0.20)</f>
        <v/>
      </c>
      <c r="K7592" s="8">
        <f>IF(G7592="","",G7592+J7592)</f>
        <v/>
      </c>
    </row>
    <row r="7593">
      <c r="F7593" s="8" t="n"/>
      <c r="G7593" s="8">
        <f>IF(E7593="","",E7593*F7593)</f>
        <v/>
      </c>
      <c r="H7593" s="8">
        <f>IF(G7593="","",G7593-I7593)</f>
        <v/>
      </c>
      <c r="I7593" s="8">
        <f>IF(D7593="","",VLOOKUP(D7593, RECETTES!B:G, 6, FALSE)*E7593)</f>
        <v/>
      </c>
      <c r="J7593" s="8">
        <f>IF(G7593="","",G7593*0.20)</f>
        <v/>
      </c>
      <c r="K7593" s="8">
        <f>IF(G7593="","",G7593+J7593)</f>
        <v/>
      </c>
    </row>
    <row r="7594">
      <c r="F7594" s="8" t="n"/>
      <c r="G7594" s="8">
        <f>IF(E7594="","",E7594*F7594)</f>
        <v/>
      </c>
      <c r="H7594" s="8">
        <f>IF(G7594="","",G7594-I7594)</f>
        <v/>
      </c>
      <c r="I7594" s="8">
        <f>IF(D7594="","",VLOOKUP(D7594, RECETTES!B:G, 6, FALSE)*E7594)</f>
        <v/>
      </c>
      <c r="J7594" s="8">
        <f>IF(G7594="","",G7594*0.20)</f>
        <v/>
      </c>
      <c r="K7594" s="8">
        <f>IF(G7594="","",G7594+J7594)</f>
        <v/>
      </c>
    </row>
    <row r="7595">
      <c r="F7595" s="8" t="n"/>
      <c r="G7595" s="8">
        <f>IF(E7595="","",E7595*F7595)</f>
        <v/>
      </c>
      <c r="H7595" s="8">
        <f>IF(G7595="","",G7595-I7595)</f>
        <v/>
      </c>
      <c r="I7595" s="8">
        <f>IF(D7595="","",VLOOKUP(D7595, RECETTES!B:G, 6, FALSE)*E7595)</f>
        <v/>
      </c>
      <c r="J7595" s="8">
        <f>IF(G7595="","",G7595*0.20)</f>
        <v/>
      </c>
      <c r="K7595" s="8">
        <f>IF(G7595="","",G7595+J7595)</f>
        <v/>
      </c>
    </row>
    <row r="7596">
      <c r="F7596" s="8" t="n"/>
      <c r="G7596" s="8">
        <f>IF(E7596="","",E7596*F7596)</f>
        <v/>
      </c>
      <c r="H7596" s="8">
        <f>IF(G7596="","",G7596-I7596)</f>
        <v/>
      </c>
      <c r="I7596" s="8">
        <f>IF(D7596="","",VLOOKUP(D7596, RECETTES!B:G, 6, FALSE)*E7596)</f>
        <v/>
      </c>
      <c r="J7596" s="8">
        <f>IF(G7596="","",G7596*0.20)</f>
        <v/>
      </c>
      <c r="K7596" s="8">
        <f>IF(G7596="","",G7596+J7596)</f>
        <v/>
      </c>
    </row>
    <row r="7597">
      <c r="F7597" s="8" t="n"/>
      <c r="G7597" s="8">
        <f>IF(E7597="","",E7597*F7597)</f>
        <v/>
      </c>
      <c r="H7597" s="8">
        <f>IF(G7597="","",G7597-I7597)</f>
        <v/>
      </c>
      <c r="I7597" s="8">
        <f>IF(D7597="","",VLOOKUP(D7597, RECETTES!B:G, 6, FALSE)*E7597)</f>
        <v/>
      </c>
      <c r="J7597" s="8">
        <f>IF(G7597="","",G7597*0.20)</f>
        <v/>
      </c>
      <c r="K7597" s="8">
        <f>IF(G7597="","",G7597+J7597)</f>
        <v/>
      </c>
    </row>
    <row r="7598">
      <c r="F7598" s="8" t="n"/>
      <c r="G7598" s="8">
        <f>IF(E7598="","",E7598*F7598)</f>
        <v/>
      </c>
      <c r="H7598" s="8">
        <f>IF(G7598="","",G7598-I7598)</f>
        <v/>
      </c>
      <c r="I7598" s="8">
        <f>IF(D7598="","",VLOOKUP(D7598, RECETTES!B:G, 6, FALSE)*E7598)</f>
        <v/>
      </c>
      <c r="J7598" s="8">
        <f>IF(G7598="","",G7598*0.20)</f>
        <v/>
      </c>
      <c r="K7598" s="8">
        <f>IF(G7598="","",G7598+J7598)</f>
        <v/>
      </c>
    </row>
    <row r="7599">
      <c r="F7599" s="8" t="n"/>
      <c r="G7599" s="8">
        <f>IF(E7599="","",E7599*F7599)</f>
        <v/>
      </c>
      <c r="H7599" s="8">
        <f>IF(G7599="","",G7599-I7599)</f>
        <v/>
      </c>
      <c r="I7599" s="8">
        <f>IF(D7599="","",VLOOKUP(D7599, RECETTES!B:G, 6, FALSE)*E7599)</f>
        <v/>
      </c>
      <c r="J7599" s="8">
        <f>IF(G7599="","",G7599*0.20)</f>
        <v/>
      </c>
      <c r="K7599" s="8">
        <f>IF(G7599="","",G7599+J7599)</f>
        <v/>
      </c>
    </row>
    <row r="7600">
      <c r="F7600" s="8" t="n"/>
      <c r="G7600" s="8">
        <f>IF(E7600="","",E7600*F7600)</f>
        <v/>
      </c>
      <c r="H7600" s="8">
        <f>IF(G7600="","",G7600-I7600)</f>
        <v/>
      </c>
      <c r="I7600" s="8">
        <f>IF(D7600="","",VLOOKUP(D7600, RECETTES!B:G, 6, FALSE)*E7600)</f>
        <v/>
      </c>
      <c r="J7600" s="8">
        <f>IF(G7600="","",G7600*0.20)</f>
        <v/>
      </c>
      <c r="K7600" s="8">
        <f>IF(G7600="","",G7600+J7600)</f>
        <v/>
      </c>
    </row>
    <row r="7601">
      <c r="F7601" s="8" t="n"/>
      <c r="G7601" s="8">
        <f>IF(E7601="","",E7601*F7601)</f>
        <v/>
      </c>
      <c r="H7601" s="8">
        <f>IF(G7601="","",G7601-I7601)</f>
        <v/>
      </c>
      <c r="I7601" s="8">
        <f>IF(D7601="","",VLOOKUP(D7601, RECETTES!B:G, 6, FALSE)*E7601)</f>
        <v/>
      </c>
      <c r="J7601" s="8">
        <f>IF(G7601="","",G7601*0.20)</f>
        <v/>
      </c>
      <c r="K7601" s="8">
        <f>IF(G7601="","",G7601+J7601)</f>
        <v/>
      </c>
    </row>
    <row r="7602">
      <c r="F7602" s="8" t="n"/>
      <c r="G7602" s="8">
        <f>IF(E7602="","",E7602*F7602)</f>
        <v/>
      </c>
      <c r="H7602" s="8">
        <f>IF(G7602="","",G7602-I7602)</f>
        <v/>
      </c>
      <c r="I7602" s="8">
        <f>IF(D7602="","",VLOOKUP(D7602, RECETTES!B:G, 6, FALSE)*E7602)</f>
        <v/>
      </c>
      <c r="J7602" s="8">
        <f>IF(G7602="","",G7602*0.20)</f>
        <v/>
      </c>
      <c r="K7602" s="8">
        <f>IF(G7602="","",G7602+J7602)</f>
        <v/>
      </c>
    </row>
    <row r="7603">
      <c r="F7603" s="8" t="n"/>
      <c r="G7603" s="8">
        <f>IF(E7603="","",E7603*F7603)</f>
        <v/>
      </c>
      <c r="H7603" s="8">
        <f>IF(G7603="","",G7603-I7603)</f>
        <v/>
      </c>
      <c r="I7603" s="8">
        <f>IF(D7603="","",VLOOKUP(D7603, RECETTES!B:G, 6, FALSE)*E7603)</f>
        <v/>
      </c>
      <c r="J7603" s="8">
        <f>IF(G7603="","",G7603*0.20)</f>
        <v/>
      </c>
      <c r="K7603" s="8">
        <f>IF(G7603="","",G7603+J7603)</f>
        <v/>
      </c>
    </row>
    <row r="7604">
      <c r="F7604" s="8" t="n"/>
      <c r="G7604" s="8">
        <f>IF(E7604="","",E7604*F7604)</f>
        <v/>
      </c>
      <c r="H7604" s="8">
        <f>IF(G7604="","",G7604-I7604)</f>
        <v/>
      </c>
      <c r="I7604" s="8">
        <f>IF(D7604="","",VLOOKUP(D7604, RECETTES!B:G, 6, FALSE)*E7604)</f>
        <v/>
      </c>
      <c r="J7604" s="8">
        <f>IF(G7604="","",G7604*0.20)</f>
        <v/>
      </c>
      <c r="K7604" s="8">
        <f>IF(G7604="","",G7604+J7604)</f>
        <v/>
      </c>
    </row>
    <row r="7605">
      <c r="F7605" s="8" t="n"/>
      <c r="G7605" s="8">
        <f>IF(E7605="","",E7605*F7605)</f>
        <v/>
      </c>
      <c r="H7605" s="8">
        <f>IF(G7605="","",G7605-I7605)</f>
        <v/>
      </c>
      <c r="I7605" s="8">
        <f>IF(D7605="","",VLOOKUP(D7605, RECETTES!B:G, 6, FALSE)*E7605)</f>
        <v/>
      </c>
      <c r="J7605" s="8">
        <f>IF(G7605="","",G7605*0.20)</f>
        <v/>
      </c>
      <c r="K7605" s="8">
        <f>IF(G7605="","",G7605+J7605)</f>
        <v/>
      </c>
    </row>
    <row r="7606">
      <c r="F7606" s="8" t="n"/>
      <c r="G7606" s="8">
        <f>IF(E7606="","",E7606*F7606)</f>
        <v/>
      </c>
      <c r="H7606" s="8">
        <f>IF(G7606="","",G7606-I7606)</f>
        <v/>
      </c>
      <c r="I7606" s="8">
        <f>IF(D7606="","",VLOOKUP(D7606, RECETTES!B:G, 6, FALSE)*E7606)</f>
        <v/>
      </c>
      <c r="J7606" s="8">
        <f>IF(G7606="","",G7606*0.20)</f>
        <v/>
      </c>
      <c r="K7606" s="8">
        <f>IF(G7606="","",G7606+J7606)</f>
        <v/>
      </c>
    </row>
    <row r="7607">
      <c r="F7607" s="8" t="n"/>
      <c r="G7607" s="8">
        <f>IF(E7607="","",E7607*F7607)</f>
        <v/>
      </c>
      <c r="H7607" s="8">
        <f>IF(G7607="","",G7607-I7607)</f>
        <v/>
      </c>
      <c r="I7607" s="8">
        <f>IF(D7607="","",VLOOKUP(D7607, RECETTES!B:G, 6, FALSE)*E7607)</f>
        <v/>
      </c>
      <c r="J7607" s="8">
        <f>IF(G7607="","",G7607*0.20)</f>
        <v/>
      </c>
      <c r="K7607" s="8">
        <f>IF(G7607="","",G7607+J7607)</f>
        <v/>
      </c>
    </row>
    <row r="7608">
      <c r="F7608" s="8" t="n"/>
      <c r="G7608" s="8">
        <f>IF(E7608="","",E7608*F7608)</f>
        <v/>
      </c>
      <c r="H7608" s="8">
        <f>IF(G7608="","",G7608-I7608)</f>
        <v/>
      </c>
      <c r="I7608" s="8">
        <f>IF(D7608="","",VLOOKUP(D7608, RECETTES!B:G, 6, FALSE)*E7608)</f>
        <v/>
      </c>
      <c r="J7608" s="8">
        <f>IF(G7608="","",G7608*0.20)</f>
        <v/>
      </c>
      <c r="K7608" s="8">
        <f>IF(G7608="","",G7608+J7608)</f>
        <v/>
      </c>
    </row>
    <row r="7609">
      <c r="F7609" s="8" t="n"/>
      <c r="G7609" s="8">
        <f>IF(E7609="","",E7609*F7609)</f>
        <v/>
      </c>
      <c r="H7609" s="8">
        <f>IF(G7609="","",G7609-I7609)</f>
        <v/>
      </c>
      <c r="I7609" s="8">
        <f>IF(D7609="","",VLOOKUP(D7609, RECETTES!B:G, 6, FALSE)*E7609)</f>
        <v/>
      </c>
      <c r="J7609" s="8">
        <f>IF(G7609="","",G7609*0.20)</f>
        <v/>
      </c>
      <c r="K7609" s="8">
        <f>IF(G7609="","",G7609+J7609)</f>
        <v/>
      </c>
    </row>
    <row r="7610">
      <c r="F7610" s="8" t="n"/>
      <c r="G7610" s="8">
        <f>IF(E7610="","",E7610*F7610)</f>
        <v/>
      </c>
      <c r="H7610" s="8">
        <f>IF(G7610="","",G7610-I7610)</f>
        <v/>
      </c>
      <c r="I7610" s="8">
        <f>IF(D7610="","",VLOOKUP(D7610, RECETTES!B:G, 6, FALSE)*E7610)</f>
        <v/>
      </c>
      <c r="J7610" s="8">
        <f>IF(G7610="","",G7610*0.20)</f>
        <v/>
      </c>
      <c r="K7610" s="8">
        <f>IF(G7610="","",G7610+J7610)</f>
        <v/>
      </c>
    </row>
    <row r="7611">
      <c r="F7611" s="8" t="n"/>
      <c r="G7611" s="8">
        <f>IF(E7611="","",E7611*F7611)</f>
        <v/>
      </c>
      <c r="H7611" s="8">
        <f>IF(G7611="","",G7611-I7611)</f>
        <v/>
      </c>
      <c r="I7611" s="8">
        <f>IF(D7611="","",VLOOKUP(D7611, RECETTES!B:G, 6, FALSE)*E7611)</f>
        <v/>
      </c>
      <c r="J7611" s="8">
        <f>IF(G7611="","",G7611*0.20)</f>
        <v/>
      </c>
      <c r="K7611" s="8">
        <f>IF(G7611="","",G7611+J7611)</f>
        <v/>
      </c>
    </row>
    <row r="7612">
      <c r="F7612" s="8" t="n"/>
      <c r="G7612" s="8">
        <f>IF(E7612="","",E7612*F7612)</f>
        <v/>
      </c>
      <c r="H7612" s="8">
        <f>IF(G7612="","",G7612-I7612)</f>
        <v/>
      </c>
      <c r="I7612" s="8">
        <f>IF(D7612="","",VLOOKUP(D7612, RECETTES!B:G, 6, FALSE)*E7612)</f>
        <v/>
      </c>
      <c r="J7612" s="8">
        <f>IF(G7612="","",G7612*0.20)</f>
        <v/>
      </c>
      <c r="K7612" s="8">
        <f>IF(G7612="","",G7612+J7612)</f>
        <v/>
      </c>
    </row>
    <row r="7613">
      <c r="F7613" s="8" t="n"/>
      <c r="G7613" s="8">
        <f>IF(E7613="","",E7613*F7613)</f>
        <v/>
      </c>
      <c r="H7613" s="8">
        <f>IF(G7613="","",G7613-I7613)</f>
        <v/>
      </c>
      <c r="I7613" s="8">
        <f>IF(D7613="","",VLOOKUP(D7613, RECETTES!B:G, 6, FALSE)*E7613)</f>
        <v/>
      </c>
      <c r="J7613" s="8">
        <f>IF(G7613="","",G7613*0.20)</f>
        <v/>
      </c>
      <c r="K7613" s="8">
        <f>IF(G7613="","",G7613+J7613)</f>
        <v/>
      </c>
    </row>
    <row r="7614">
      <c r="F7614" s="8" t="n"/>
      <c r="G7614" s="8">
        <f>IF(E7614="","",E7614*F7614)</f>
        <v/>
      </c>
      <c r="H7614" s="8">
        <f>IF(G7614="","",G7614-I7614)</f>
        <v/>
      </c>
      <c r="I7614" s="8">
        <f>IF(D7614="","",VLOOKUP(D7614, RECETTES!B:G, 6, FALSE)*E7614)</f>
        <v/>
      </c>
      <c r="J7614" s="8">
        <f>IF(G7614="","",G7614*0.20)</f>
        <v/>
      </c>
      <c r="K7614" s="8">
        <f>IF(G7614="","",G7614+J7614)</f>
        <v/>
      </c>
    </row>
    <row r="7615">
      <c r="F7615" s="8" t="n"/>
      <c r="G7615" s="8">
        <f>IF(E7615="","",E7615*F7615)</f>
        <v/>
      </c>
      <c r="H7615" s="8">
        <f>IF(G7615="","",G7615-I7615)</f>
        <v/>
      </c>
      <c r="I7615" s="8">
        <f>IF(D7615="","",VLOOKUP(D7615, RECETTES!B:G, 6, FALSE)*E7615)</f>
        <v/>
      </c>
      <c r="J7615" s="8">
        <f>IF(G7615="","",G7615*0.20)</f>
        <v/>
      </c>
      <c r="K7615" s="8">
        <f>IF(G7615="","",G7615+J7615)</f>
        <v/>
      </c>
    </row>
    <row r="7616">
      <c r="F7616" s="8" t="n"/>
      <c r="G7616" s="8">
        <f>IF(E7616="","",E7616*F7616)</f>
        <v/>
      </c>
      <c r="H7616" s="8">
        <f>IF(G7616="","",G7616-I7616)</f>
        <v/>
      </c>
      <c r="I7616" s="8">
        <f>IF(D7616="","",VLOOKUP(D7616, RECETTES!B:G, 6, FALSE)*E7616)</f>
        <v/>
      </c>
      <c r="J7616" s="8">
        <f>IF(G7616="","",G7616*0.20)</f>
        <v/>
      </c>
      <c r="K7616" s="8">
        <f>IF(G7616="","",G7616+J7616)</f>
        <v/>
      </c>
    </row>
    <row r="7617">
      <c r="F7617" s="8" t="n"/>
      <c r="G7617" s="8">
        <f>IF(E7617="","",E7617*F7617)</f>
        <v/>
      </c>
      <c r="H7617" s="8">
        <f>IF(G7617="","",G7617-I7617)</f>
        <v/>
      </c>
      <c r="I7617" s="8">
        <f>IF(D7617="","",VLOOKUP(D7617, RECETTES!B:G, 6, FALSE)*E7617)</f>
        <v/>
      </c>
      <c r="J7617" s="8">
        <f>IF(G7617="","",G7617*0.20)</f>
        <v/>
      </c>
      <c r="K7617" s="8">
        <f>IF(G7617="","",G7617+J7617)</f>
        <v/>
      </c>
    </row>
    <row r="7618">
      <c r="F7618" s="8" t="n"/>
      <c r="G7618" s="8">
        <f>IF(E7618="","",E7618*F7618)</f>
        <v/>
      </c>
      <c r="H7618" s="8">
        <f>IF(G7618="","",G7618-I7618)</f>
        <v/>
      </c>
      <c r="I7618" s="8">
        <f>IF(D7618="","",VLOOKUP(D7618, RECETTES!B:G, 6, FALSE)*E7618)</f>
        <v/>
      </c>
      <c r="J7618" s="8">
        <f>IF(G7618="","",G7618*0.20)</f>
        <v/>
      </c>
      <c r="K7618" s="8">
        <f>IF(G7618="","",G7618+J7618)</f>
        <v/>
      </c>
    </row>
    <row r="7619">
      <c r="F7619" s="8" t="n"/>
      <c r="G7619" s="8">
        <f>IF(E7619="","",E7619*F7619)</f>
        <v/>
      </c>
      <c r="H7619" s="8">
        <f>IF(G7619="","",G7619-I7619)</f>
        <v/>
      </c>
      <c r="I7619" s="8">
        <f>IF(D7619="","",VLOOKUP(D7619, RECETTES!B:G, 6, FALSE)*E7619)</f>
        <v/>
      </c>
      <c r="J7619" s="8">
        <f>IF(G7619="","",G7619*0.20)</f>
        <v/>
      </c>
      <c r="K7619" s="8">
        <f>IF(G7619="","",G7619+J7619)</f>
        <v/>
      </c>
    </row>
    <row r="7620">
      <c r="F7620" s="8" t="n"/>
      <c r="G7620" s="8">
        <f>IF(E7620="","",E7620*F7620)</f>
        <v/>
      </c>
      <c r="H7620" s="8">
        <f>IF(G7620="","",G7620-I7620)</f>
        <v/>
      </c>
      <c r="I7620" s="8">
        <f>IF(D7620="","",VLOOKUP(D7620, RECETTES!B:G, 6, FALSE)*E7620)</f>
        <v/>
      </c>
      <c r="J7620" s="8">
        <f>IF(G7620="","",G7620*0.20)</f>
        <v/>
      </c>
      <c r="K7620" s="8">
        <f>IF(G7620="","",G7620+J7620)</f>
        <v/>
      </c>
    </row>
    <row r="7621">
      <c r="F7621" s="8" t="n"/>
      <c r="G7621" s="8">
        <f>IF(E7621="","",E7621*F7621)</f>
        <v/>
      </c>
      <c r="H7621" s="8">
        <f>IF(G7621="","",G7621-I7621)</f>
        <v/>
      </c>
      <c r="I7621" s="8">
        <f>IF(D7621="","",VLOOKUP(D7621, RECETTES!B:G, 6, FALSE)*E7621)</f>
        <v/>
      </c>
      <c r="J7621" s="8">
        <f>IF(G7621="","",G7621*0.20)</f>
        <v/>
      </c>
      <c r="K7621" s="8">
        <f>IF(G7621="","",G7621+J7621)</f>
        <v/>
      </c>
    </row>
    <row r="7622">
      <c r="F7622" s="8" t="n"/>
      <c r="G7622" s="8">
        <f>IF(E7622="","",E7622*F7622)</f>
        <v/>
      </c>
      <c r="H7622" s="8">
        <f>IF(G7622="","",G7622-I7622)</f>
        <v/>
      </c>
      <c r="I7622" s="8">
        <f>IF(D7622="","",VLOOKUP(D7622, RECETTES!B:G, 6, FALSE)*E7622)</f>
        <v/>
      </c>
      <c r="J7622" s="8">
        <f>IF(G7622="","",G7622*0.20)</f>
        <v/>
      </c>
      <c r="K7622" s="8">
        <f>IF(G7622="","",G7622+J7622)</f>
        <v/>
      </c>
    </row>
    <row r="7623">
      <c r="F7623" s="8" t="n"/>
      <c r="G7623" s="8">
        <f>IF(E7623="","",E7623*F7623)</f>
        <v/>
      </c>
      <c r="H7623" s="8">
        <f>IF(G7623="","",G7623-I7623)</f>
        <v/>
      </c>
      <c r="I7623" s="8">
        <f>IF(D7623="","",VLOOKUP(D7623, RECETTES!B:G, 6, FALSE)*E7623)</f>
        <v/>
      </c>
      <c r="J7623" s="8">
        <f>IF(G7623="","",G7623*0.20)</f>
        <v/>
      </c>
      <c r="K7623" s="8">
        <f>IF(G7623="","",G7623+J7623)</f>
        <v/>
      </c>
    </row>
    <row r="7624">
      <c r="F7624" s="8" t="n"/>
      <c r="G7624" s="8">
        <f>IF(E7624="","",E7624*F7624)</f>
        <v/>
      </c>
      <c r="H7624" s="8">
        <f>IF(G7624="","",G7624-I7624)</f>
        <v/>
      </c>
      <c r="I7624" s="8">
        <f>IF(D7624="","",VLOOKUP(D7624, RECETTES!B:G, 6, FALSE)*E7624)</f>
        <v/>
      </c>
      <c r="J7624" s="8">
        <f>IF(G7624="","",G7624*0.20)</f>
        <v/>
      </c>
      <c r="K7624" s="8">
        <f>IF(G7624="","",G7624+J7624)</f>
        <v/>
      </c>
    </row>
    <row r="7625">
      <c r="F7625" s="8" t="n"/>
      <c r="G7625" s="8">
        <f>IF(E7625="","",E7625*F7625)</f>
        <v/>
      </c>
      <c r="H7625" s="8">
        <f>IF(G7625="","",G7625-I7625)</f>
        <v/>
      </c>
      <c r="I7625" s="8">
        <f>IF(D7625="","",VLOOKUP(D7625, RECETTES!B:G, 6, FALSE)*E7625)</f>
        <v/>
      </c>
      <c r="J7625" s="8">
        <f>IF(G7625="","",G7625*0.20)</f>
        <v/>
      </c>
      <c r="K7625" s="8">
        <f>IF(G7625="","",G7625+J7625)</f>
        <v/>
      </c>
    </row>
    <row r="7626">
      <c r="F7626" s="8" t="n"/>
      <c r="G7626" s="8">
        <f>IF(E7626="","",E7626*F7626)</f>
        <v/>
      </c>
      <c r="H7626" s="8">
        <f>IF(G7626="","",G7626-I7626)</f>
        <v/>
      </c>
      <c r="I7626" s="8">
        <f>IF(D7626="","",VLOOKUP(D7626, RECETTES!B:G, 6, FALSE)*E7626)</f>
        <v/>
      </c>
      <c r="J7626" s="8">
        <f>IF(G7626="","",G7626*0.20)</f>
        <v/>
      </c>
      <c r="K7626" s="8">
        <f>IF(G7626="","",G7626+J7626)</f>
        <v/>
      </c>
    </row>
    <row r="7627">
      <c r="F7627" s="8" t="n"/>
      <c r="G7627" s="8">
        <f>IF(E7627="","",E7627*F7627)</f>
        <v/>
      </c>
      <c r="H7627" s="8">
        <f>IF(G7627="","",G7627-I7627)</f>
        <v/>
      </c>
      <c r="I7627" s="8">
        <f>IF(D7627="","",VLOOKUP(D7627, RECETTES!B:G, 6, FALSE)*E7627)</f>
        <v/>
      </c>
      <c r="J7627" s="8">
        <f>IF(G7627="","",G7627*0.20)</f>
        <v/>
      </c>
      <c r="K7627" s="8">
        <f>IF(G7627="","",G7627+J7627)</f>
        <v/>
      </c>
    </row>
    <row r="7628">
      <c r="F7628" s="8" t="n"/>
      <c r="G7628" s="8">
        <f>IF(E7628="","",E7628*F7628)</f>
        <v/>
      </c>
      <c r="H7628" s="8">
        <f>IF(G7628="","",G7628-I7628)</f>
        <v/>
      </c>
      <c r="I7628" s="8">
        <f>IF(D7628="","",VLOOKUP(D7628, RECETTES!B:G, 6, FALSE)*E7628)</f>
        <v/>
      </c>
      <c r="J7628" s="8">
        <f>IF(G7628="","",G7628*0.20)</f>
        <v/>
      </c>
      <c r="K7628" s="8">
        <f>IF(G7628="","",G7628+J7628)</f>
        <v/>
      </c>
    </row>
    <row r="7629">
      <c r="F7629" s="8" t="n"/>
      <c r="G7629" s="8">
        <f>IF(E7629="","",E7629*F7629)</f>
        <v/>
      </c>
      <c r="H7629" s="8">
        <f>IF(G7629="","",G7629-I7629)</f>
        <v/>
      </c>
      <c r="I7629" s="8">
        <f>IF(D7629="","",VLOOKUP(D7629, RECETTES!B:G, 6, FALSE)*E7629)</f>
        <v/>
      </c>
      <c r="J7629" s="8">
        <f>IF(G7629="","",G7629*0.20)</f>
        <v/>
      </c>
      <c r="K7629" s="8">
        <f>IF(G7629="","",G7629+J7629)</f>
        <v/>
      </c>
    </row>
    <row r="7630">
      <c r="F7630" s="8" t="n"/>
      <c r="G7630" s="8">
        <f>IF(E7630="","",E7630*F7630)</f>
        <v/>
      </c>
      <c r="H7630" s="8">
        <f>IF(G7630="","",G7630-I7630)</f>
        <v/>
      </c>
      <c r="I7630" s="8">
        <f>IF(D7630="","",VLOOKUP(D7630, RECETTES!B:G, 6, FALSE)*E7630)</f>
        <v/>
      </c>
      <c r="J7630" s="8">
        <f>IF(G7630="","",G7630*0.20)</f>
        <v/>
      </c>
      <c r="K7630" s="8">
        <f>IF(G7630="","",G7630+J7630)</f>
        <v/>
      </c>
    </row>
    <row r="7631">
      <c r="F7631" s="8" t="n"/>
      <c r="G7631" s="8">
        <f>IF(E7631="","",E7631*F7631)</f>
        <v/>
      </c>
      <c r="H7631" s="8">
        <f>IF(G7631="","",G7631-I7631)</f>
        <v/>
      </c>
      <c r="I7631" s="8">
        <f>IF(D7631="","",VLOOKUP(D7631, RECETTES!B:G, 6, FALSE)*E7631)</f>
        <v/>
      </c>
      <c r="J7631" s="8">
        <f>IF(G7631="","",G7631*0.20)</f>
        <v/>
      </c>
      <c r="K7631" s="8">
        <f>IF(G7631="","",G7631+J7631)</f>
        <v/>
      </c>
    </row>
    <row r="7632">
      <c r="F7632" s="8" t="n"/>
      <c r="G7632" s="8">
        <f>IF(E7632="","",E7632*F7632)</f>
        <v/>
      </c>
      <c r="H7632" s="8">
        <f>IF(G7632="","",G7632-I7632)</f>
        <v/>
      </c>
      <c r="I7632" s="8">
        <f>IF(D7632="","",VLOOKUP(D7632, RECETTES!B:G, 6, FALSE)*E7632)</f>
        <v/>
      </c>
      <c r="J7632" s="8">
        <f>IF(G7632="","",G7632*0.20)</f>
        <v/>
      </c>
      <c r="K7632" s="8">
        <f>IF(G7632="","",G7632+J7632)</f>
        <v/>
      </c>
    </row>
    <row r="7633">
      <c r="F7633" s="8" t="n"/>
      <c r="G7633" s="8">
        <f>IF(E7633="","",E7633*F7633)</f>
        <v/>
      </c>
      <c r="H7633" s="8">
        <f>IF(G7633="","",G7633-I7633)</f>
        <v/>
      </c>
      <c r="I7633" s="8">
        <f>IF(D7633="","",VLOOKUP(D7633, RECETTES!B:G, 6, FALSE)*E7633)</f>
        <v/>
      </c>
      <c r="J7633" s="8">
        <f>IF(G7633="","",G7633*0.20)</f>
        <v/>
      </c>
      <c r="K7633" s="8">
        <f>IF(G7633="","",G7633+J7633)</f>
        <v/>
      </c>
    </row>
    <row r="7634">
      <c r="F7634" s="8" t="n"/>
      <c r="G7634" s="8">
        <f>IF(E7634="","",E7634*F7634)</f>
        <v/>
      </c>
      <c r="H7634" s="8">
        <f>IF(G7634="","",G7634-I7634)</f>
        <v/>
      </c>
      <c r="I7634" s="8">
        <f>IF(D7634="","",VLOOKUP(D7634, RECETTES!B:G, 6, FALSE)*E7634)</f>
        <v/>
      </c>
      <c r="J7634" s="8">
        <f>IF(G7634="","",G7634*0.20)</f>
        <v/>
      </c>
      <c r="K7634" s="8">
        <f>IF(G7634="","",G7634+J7634)</f>
        <v/>
      </c>
    </row>
    <row r="7635">
      <c r="F7635" s="8" t="n"/>
      <c r="G7635" s="8">
        <f>IF(E7635="","",E7635*F7635)</f>
        <v/>
      </c>
      <c r="H7635" s="8">
        <f>IF(G7635="","",G7635-I7635)</f>
        <v/>
      </c>
      <c r="I7635" s="8">
        <f>IF(D7635="","",VLOOKUP(D7635, RECETTES!B:G, 6, FALSE)*E7635)</f>
        <v/>
      </c>
      <c r="J7635" s="8">
        <f>IF(G7635="","",G7635*0.20)</f>
        <v/>
      </c>
      <c r="K7635" s="8">
        <f>IF(G7635="","",G7635+J7635)</f>
        <v/>
      </c>
    </row>
    <row r="7636">
      <c r="F7636" s="8" t="n"/>
      <c r="G7636" s="8">
        <f>IF(E7636="","",E7636*F7636)</f>
        <v/>
      </c>
      <c r="H7636" s="8">
        <f>IF(G7636="","",G7636-I7636)</f>
        <v/>
      </c>
      <c r="I7636" s="8">
        <f>IF(D7636="","",VLOOKUP(D7636, RECETTES!B:G, 6, FALSE)*E7636)</f>
        <v/>
      </c>
      <c r="J7636" s="8">
        <f>IF(G7636="","",G7636*0.20)</f>
        <v/>
      </c>
      <c r="K7636" s="8">
        <f>IF(G7636="","",G7636+J7636)</f>
        <v/>
      </c>
    </row>
    <row r="7637">
      <c r="F7637" s="8" t="n"/>
      <c r="G7637" s="8">
        <f>IF(E7637="","",E7637*F7637)</f>
        <v/>
      </c>
      <c r="H7637" s="8">
        <f>IF(G7637="","",G7637-I7637)</f>
        <v/>
      </c>
      <c r="I7637" s="8">
        <f>IF(D7637="","",VLOOKUP(D7637, RECETTES!B:G, 6, FALSE)*E7637)</f>
        <v/>
      </c>
      <c r="J7637" s="8">
        <f>IF(G7637="","",G7637*0.20)</f>
        <v/>
      </c>
      <c r="K7637" s="8">
        <f>IF(G7637="","",G7637+J7637)</f>
        <v/>
      </c>
    </row>
    <row r="7638">
      <c r="F7638" s="8" t="n"/>
      <c r="G7638" s="8">
        <f>IF(E7638="","",E7638*F7638)</f>
        <v/>
      </c>
      <c r="H7638" s="8">
        <f>IF(G7638="","",G7638-I7638)</f>
        <v/>
      </c>
      <c r="I7638" s="8">
        <f>IF(D7638="","",VLOOKUP(D7638, RECETTES!B:G, 6, FALSE)*E7638)</f>
        <v/>
      </c>
      <c r="J7638" s="8">
        <f>IF(G7638="","",G7638*0.20)</f>
        <v/>
      </c>
      <c r="K7638" s="8">
        <f>IF(G7638="","",G7638+J7638)</f>
        <v/>
      </c>
    </row>
    <row r="7639">
      <c r="F7639" s="8" t="n"/>
      <c r="G7639" s="8">
        <f>IF(E7639="","",E7639*F7639)</f>
        <v/>
      </c>
      <c r="H7639" s="8">
        <f>IF(G7639="","",G7639-I7639)</f>
        <v/>
      </c>
      <c r="I7639" s="8">
        <f>IF(D7639="","",VLOOKUP(D7639, RECETTES!B:G, 6, FALSE)*E7639)</f>
        <v/>
      </c>
      <c r="J7639" s="8">
        <f>IF(G7639="","",G7639*0.20)</f>
        <v/>
      </c>
      <c r="K7639" s="8">
        <f>IF(G7639="","",G7639+J7639)</f>
        <v/>
      </c>
    </row>
    <row r="7640">
      <c r="F7640" s="8" t="n"/>
      <c r="G7640" s="8">
        <f>IF(E7640="","",E7640*F7640)</f>
        <v/>
      </c>
      <c r="H7640" s="8">
        <f>IF(G7640="","",G7640-I7640)</f>
        <v/>
      </c>
      <c r="I7640" s="8">
        <f>IF(D7640="","",VLOOKUP(D7640, RECETTES!B:G, 6, FALSE)*E7640)</f>
        <v/>
      </c>
      <c r="J7640" s="8">
        <f>IF(G7640="","",G7640*0.20)</f>
        <v/>
      </c>
      <c r="K7640" s="8">
        <f>IF(G7640="","",G7640+J7640)</f>
        <v/>
      </c>
    </row>
    <row r="7641">
      <c r="F7641" s="8" t="n"/>
      <c r="G7641" s="8">
        <f>IF(E7641="","",E7641*F7641)</f>
        <v/>
      </c>
      <c r="H7641" s="8">
        <f>IF(G7641="","",G7641-I7641)</f>
        <v/>
      </c>
      <c r="I7641" s="8">
        <f>IF(D7641="","",VLOOKUP(D7641, RECETTES!B:G, 6, FALSE)*E7641)</f>
        <v/>
      </c>
      <c r="J7641" s="8">
        <f>IF(G7641="","",G7641*0.20)</f>
        <v/>
      </c>
      <c r="K7641" s="8">
        <f>IF(G7641="","",G7641+J7641)</f>
        <v/>
      </c>
    </row>
    <row r="7642">
      <c r="F7642" s="8" t="n"/>
      <c r="G7642" s="8">
        <f>IF(E7642="","",E7642*F7642)</f>
        <v/>
      </c>
      <c r="H7642" s="8">
        <f>IF(G7642="","",G7642-I7642)</f>
        <v/>
      </c>
      <c r="I7642" s="8">
        <f>IF(D7642="","",VLOOKUP(D7642, RECETTES!B:G, 6, FALSE)*E7642)</f>
        <v/>
      </c>
      <c r="J7642" s="8">
        <f>IF(G7642="","",G7642*0.20)</f>
        <v/>
      </c>
      <c r="K7642" s="8">
        <f>IF(G7642="","",G7642+J7642)</f>
        <v/>
      </c>
    </row>
    <row r="7643">
      <c r="F7643" s="8" t="n"/>
      <c r="G7643" s="8">
        <f>IF(E7643="","",E7643*F7643)</f>
        <v/>
      </c>
      <c r="H7643" s="8">
        <f>IF(G7643="","",G7643-I7643)</f>
        <v/>
      </c>
      <c r="I7643" s="8">
        <f>IF(D7643="","",VLOOKUP(D7643, RECETTES!B:G, 6, FALSE)*E7643)</f>
        <v/>
      </c>
      <c r="J7643" s="8">
        <f>IF(G7643="","",G7643*0.20)</f>
        <v/>
      </c>
      <c r="K7643" s="8">
        <f>IF(G7643="","",G7643+J7643)</f>
        <v/>
      </c>
    </row>
    <row r="7644">
      <c r="F7644" s="8" t="n"/>
      <c r="G7644" s="8">
        <f>IF(E7644="","",E7644*F7644)</f>
        <v/>
      </c>
      <c r="H7644" s="8">
        <f>IF(G7644="","",G7644-I7644)</f>
        <v/>
      </c>
      <c r="I7644" s="8">
        <f>IF(D7644="","",VLOOKUP(D7644, RECETTES!B:G, 6, FALSE)*E7644)</f>
        <v/>
      </c>
      <c r="J7644" s="8">
        <f>IF(G7644="","",G7644*0.20)</f>
        <v/>
      </c>
      <c r="K7644" s="8">
        <f>IF(G7644="","",G7644+J7644)</f>
        <v/>
      </c>
    </row>
    <row r="7645">
      <c r="F7645" s="8" t="n"/>
      <c r="G7645" s="8">
        <f>IF(E7645="","",E7645*F7645)</f>
        <v/>
      </c>
      <c r="H7645" s="8">
        <f>IF(G7645="","",G7645-I7645)</f>
        <v/>
      </c>
      <c r="I7645" s="8">
        <f>IF(D7645="","",VLOOKUP(D7645, RECETTES!B:G, 6, FALSE)*E7645)</f>
        <v/>
      </c>
      <c r="J7645" s="8">
        <f>IF(G7645="","",G7645*0.20)</f>
        <v/>
      </c>
      <c r="K7645" s="8">
        <f>IF(G7645="","",G7645+J7645)</f>
        <v/>
      </c>
    </row>
    <row r="7646">
      <c r="F7646" s="8" t="n"/>
      <c r="G7646" s="8">
        <f>IF(E7646="","",E7646*F7646)</f>
        <v/>
      </c>
      <c r="H7646" s="8">
        <f>IF(G7646="","",G7646-I7646)</f>
        <v/>
      </c>
      <c r="I7646" s="8">
        <f>IF(D7646="","",VLOOKUP(D7646, RECETTES!B:G, 6, FALSE)*E7646)</f>
        <v/>
      </c>
      <c r="J7646" s="8">
        <f>IF(G7646="","",G7646*0.20)</f>
        <v/>
      </c>
      <c r="K7646" s="8">
        <f>IF(G7646="","",G7646+J7646)</f>
        <v/>
      </c>
    </row>
    <row r="7647">
      <c r="F7647" s="8" t="n"/>
      <c r="G7647" s="8">
        <f>IF(E7647="","",E7647*F7647)</f>
        <v/>
      </c>
      <c r="H7647" s="8">
        <f>IF(G7647="","",G7647-I7647)</f>
        <v/>
      </c>
      <c r="I7647" s="8">
        <f>IF(D7647="","",VLOOKUP(D7647, RECETTES!B:G, 6, FALSE)*E7647)</f>
        <v/>
      </c>
      <c r="J7647" s="8">
        <f>IF(G7647="","",G7647*0.20)</f>
        <v/>
      </c>
      <c r="K7647" s="8">
        <f>IF(G7647="","",G7647+J7647)</f>
        <v/>
      </c>
    </row>
    <row r="7648">
      <c r="F7648" s="8" t="n"/>
      <c r="G7648" s="8">
        <f>IF(E7648="","",E7648*F7648)</f>
        <v/>
      </c>
      <c r="H7648" s="8">
        <f>IF(G7648="","",G7648-I7648)</f>
        <v/>
      </c>
      <c r="I7648" s="8">
        <f>IF(D7648="","",VLOOKUP(D7648, RECETTES!B:G, 6, FALSE)*E7648)</f>
        <v/>
      </c>
      <c r="J7648" s="8">
        <f>IF(G7648="","",G7648*0.20)</f>
        <v/>
      </c>
      <c r="K7648" s="8">
        <f>IF(G7648="","",G7648+J7648)</f>
        <v/>
      </c>
    </row>
    <row r="7649">
      <c r="F7649" s="8" t="n"/>
      <c r="G7649" s="8">
        <f>IF(E7649="","",E7649*F7649)</f>
        <v/>
      </c>
      <c r="H7649" s="8">
        <f>IF(G7649="","",G7649-I7649)</f>
        <v/>
      </c>
      <c r="I7649" s="8">
        <f>IF(D7649="","",VLOOKUP(D7649, RECETTES!B:G, 6, FALSE)*E7649)</f>
        <v/>
      </c>
      <c r="J7649" s="8">
        <f>IF(G7649="","",G7649*0.20)</f>
        <v/>
      </c>
      <c r="K7649" s="8">
        <f>IF(G7649="","",G7649+J7649)</f>
        <v/>
      </c>
    </row>
    <row r="7650">
      <c r="F7650" s="8" t="n"/>
      <c r="G7650" s="8">
        <f>IF(E7650="","",E7650*F7650)</f>
        <v/>
      </c>
      <c r="H7650" s="8">
        <f>IF(G7650="","",G7650-I7650)</f>
        <v/>
      </c>
      <c r="I7650" s="8">
        <f>IF(D7650="","",VLOOKUP(D7650, RECETTES!B:G, 6, FALSE)*E7650)</f>
        <v/>
      </c>
      <c r="J7650" s="8">
        <f>IF(G7650="","",G7650*0.20)</f>
        <v/>
      </c>
      <c r="K7650" s="8">
        <f>IF(G7650="","",G7650+J7650)</f>
        <v/>
      </c>
    </row>
    <row r="7651">
      <c r="F7651" s="8" t="n"/>
      <c r="G7651" s="8">
        <f>IF(E7651="","",E7651*F7651)</f>
        <v/>
      </c>
      <c r="H7651" s="8">
        <f>IF(G7651="","",G7651-I7651)</f>
        <v/>
      </c>
      <c r="I7651" s="8">
        <f>IF(D7651="","",VLOOKUP(D7651, RECETTES!B:G, 6, FALSE)*E7651)</f>
        <v/>
      </c>
      <c r="J7651" s="8">
        <f>IF(G7651="","",G7651*0.20)</f>
        <v/>
      </c>
      <c r="K7651" s="8">
        <f>IF(G7651="","",G7651+J7651)</f>
        <v/>
      </c>
    </row>
    <row r="7652">
      <c r="F7652" s="8" t="n"/>
      <c r="G7652" s="8">
        <f>IF(E7652="","",E7652*F7652)</f>
        <v/>
      </c>
      <c r="H7652" s="8">
        <f>IF(G7652="","",G7652-I7652)</f>
        <v/>
      </c>
      <c r="I7652" s="8">
        <f>IF(D7652="","",VLOOKUP(D7652, RECETTES!B:G, 6, FALSE)*E7652)</f>
        <v/>
      </c>
      <c r="J7652" s="8">
        <f>IF(G7652="","",G7652*0.20)</f>
        <v/>
      </c>
      <c r="K7652" s="8">
        <f>IF(G7652="","",G7652+J7652)</f>
        <v/>
      </c>
    </row>
    <row r="7653">
      <c r="F7653" s="8" t="n"/>
      <c r="G7653" s="8">
        <f>IF(E7653="","",E7653*F7653)</f>
        <v/>
      </c>
      <c r="H7653" s="8">
        <f>IF(G7653="","",G7653-I7653)</f>
        <v/>
      </c>
      <c r="I7653" s="8">
        <f>IF(D7653="","",VLOOKUP(D7653, RECETTES!B:G, 6, FALSE)*E7653)</f>
        <v/>
      </c>
      <c r="J7653" s="8">
        <f>IF(G7653="","",G7653*0.20)</f>
        <v/>
      </c>
      <c r="K7653" s="8">
        <f>IF(G7653="","",G7653+J7653)</f>
        <v/>
      </c>
    </row>
    <row r="7654">
      <c r="F7654" s="8" t="n"/>
      <c r="G7654" s="8">
        <f>IF(E7654="","",E7654*F7654)</f>
        <v/>
      </c>
      <c r="H7654" s="8">
        <f>IF(G7654="","",G7654-I7654)</f>
        <v/>
      </c>
      <c r="I7654" s="8">
        <f>IF(D7654="","",VLOOKUP(D7654, RECETTES!B:G, 6, FALSE)*E7654)</f>
        <v/>
      </c>
      <c r="J7654" s="8">
        <f>IF(G7654="","",G7654*0.20)</f>
        <v/>
      </c>
      <c r="K7654" s="8">
        <f>IF(G7654="","",G7654+J7654)</f>
        <v/>
      </c>
    </row>
    <row r="7655">
      <c r="F7655" s="8" t="n"/>
      <c r="G7655" s="8">
        <f>IF(E7655="","",E7655*F7655)</f>
        <v/>
      </c>
      <c r="H7655" s="8">
        <f>IF(G7655="","",G7655-I7655)</f>
        <v/>
      </c>
      <c r="I7655" s="8">
        <f>IF(D7655="","",VLOOKUP(D7655, RECETTES!B:G, 6, FALSE)*E7655)</f>
        <v/>
      </c>
      <c r="J7655" s="8">
        <f>IF(G7655="","",G7655*0.20)</f>
        <v/>
      </c>
      <c r="K7655" s="8">
        <f>IF(G7655="","",G7655+J7655)</f>
        <v/>
      </c>
    </row>
    <row r="7656">
      <c r="F7656" s="8" t="n"/>
      <c r="G7656" s="8">
        <f>IF(E7656="","",E7656*F7656)</f>
        <v/>
      </c>
      <c r="H7656" s="8">
        <f>IF(G7656="","",G7656-I7656)</f>
        <v/>
      </c>
      <c r="I7656" s="8">
        <f>IF(D7656="","",VLOOKUP(D7656, RECETTES!B:G, 6, FALSE)*E7656)</f>
        <v/>
      </c>
      <c r="J7656" s="8">
        <f>IF(G7656="","",G7656*0.20)</f>
        <v/>
      </c>
      <c r="K7656" s="8">
        <f>IF(G7656="","",G7656+J7656)</f>
        <v/>
      </c>
    </row>
    <row r="7657">
      <c r="F7657" s="8" t="n"/>
      <c r="G7657" s="8">
        <f>IF(E7657="","",E7657*F7657)</f>
        <v/>
      </c>
      <c r="H7657" s="8">
        <f>IF(G7657="","",G7657-I7657)</f>
        <v/>
      </c>
      <c r="I7657" s="8">
        <f>IF(D7657="","",VLOOKUP(D7657, RECETTES!B:G, 6, FALSE)*E7657)</f>
        <v/>
      </c>
      <c r="J7657" s="8">
        <f>IF(G7657="","",G7657*0.20)</f>
        <v/>
      </c>
      <c r="K7657" s="8">
        <f>IF(G7657="","",G7657+J7657)</f>
        <v/>
      </c>
    </row>
    <row r="7658">
      <c r="F7658" s="8" t="n"/>
      <c r="G7658" s="8">
        <f>IF(E7658="","",E7658*F7658)</f>
        <v/>
      </c>
      <c r="H7658" s="8">
        <f>IF(G7658="","",G7658-I7658)</f>
        <v/>
      </c>
      <c r="I7658" s="8">
        <f>IF(D7658="","",VLOOKUP(D7658, RECETTES!B:G, 6, FALSE)*E7658)</f>
        <v/>
      </c>
      <c r="J7658" s="8">
        <f>IF(G7658="","",G7658*0.20)</f>
        <v/>
      </c>
      <c r="K7658" s="8">
        <f>IF(G7658="","",G7658+J7658)</f>
        <v/>
      </c>
    </row>
    <row r="7659">
      <c r="F7659" s="8" t="n"/>
      <c r="G7659" s="8">
        <f>IF(E7659="","",E7659*F7659)</f>
        <v/>
      </c>
      <c r="H7659" s="8">
        <f>IF(G7659="","",G7659-I7659)</f>
        <v/>
      </c>
      <c r="I7659" s="8">
        <f>IF(D7659="","",VLOOKUP(D7659, RECETTES!B:G, 6, FALSE)*E7659)</f>
        <v/>
      </c>
      <c r="J7659" s="8">
        <f>IF(G7659="","",G7659*0.20)</f>
        <v/>
      </c>
      <c r="K7659" s="8">
        <f>IF(G7659="","",G7659+J7659)</f>
        <v/>
      </c>
    </row>
    <row r="7660">
      <c r="F7660" s="8" t="n"/>
      <c r="G7660" s="8">
        <f>IF(E7660="","",E7660*F7660)</f>
        <v/>
      </c>
      <c r="H7660" s="8">
        <f>IF(G7660="","",G7660-I7660)</f>
        <v/>
      </c>
      <c r="I7660" s="8">
        <f>IF(D7660="","",VLOOKUP(D7660, RECETTES!B:G, 6, FALSE)*E7660)</f>
        <v/>
      </c>
      <c r="J7660" s="8">
        <f>IF(G7660="","",G7660*0.20)</f>
        <v/>
      </c>
      <c r="K7660" s="8">
        <f>IF(G7660="","",G7660+J7660)</f>
        <v/>
      </c>
    </row>
    <row r="7661">
      <c r="F7661" s="8" t="n"/>
      <c r="G7661" s="8">
        <f>IF(E7661="","",E7661*F7661)</f>
        <v/>
      </c>
      <c r="H7661" s="8">
        <f>IF(G7661="","",G7661-I7661)</f>
        <v/>
      </c>
      <c r="I7661" s="8">
        <f>IF(D7661="","",VLOOKUP(D7661, RECETTES!B:G, 6, FALSE)*E7661)</f>
        <v/>
      </c>
      <c r="J7661" s="8">
        <f>IF(G7661="","",G7661*0.20)</f>
        <v/>
      </c>
      <c r="K7661" s="8">
        <f>IF(G7661="","",G7661+J7661)</f>
        <v/>
      </c>
    </row>
    <row r="7662">
      <c r="F7662" s="8" t="n"/>
      <c r="G7662" s="8">
        <f>IF(E7662="","",E7662*F7662)</f>
        <v/>
      </c>
      <c r="H7662" s="8">
        <f>IF(G7662="","",G7662-I7662)</f>
        <v/>
      </c>
      <c r="I7662" s="8">
        <f>IF(D7662="","",VLOOKUP(D7662, RECETTES!B:G, 6, FALSE)*E7662)</f>
        <v/>
      </c>
      <c r="J7662" s="8">
        <f>IF(G7662="","",G7662*0.20)</f>
        <v/>
      </c>
      <c r="K7662" s="8">
        <f>IF(G7662="","",G7662+J7662)</f>
        <v/>
      </c>
    </row>
    <row r="7663">
      <c r="F7663" s="8" t="n"/>
      <c r="G7663" s="8">
        <f>IF(E7663="","",E7663*F7663)</f>
        <v/>
      </c>
      <c r="H7663" s="8">
        <f>IF(G7663="","",G7663-I7663)</f>
        <v/>
      </c>
      <c r="I7663" s="8">
        <f>IF(D7663="","",VLOOKUP(D7663, RECETTES!B:G, 6, FALSE)*E7663)</f>
        <v/>
      </c>
      <c r="J7663" s="8">
        <f>IF(G7663="","",G7663*0.20)</f>
        <v/>
      </c>
      <c r="K7663" s="8">
        <f>IF(G7663="","",G7663+J7663)</f>
        <v/>
      </c>
    </row>
    <row r="7664">
      <c r="F7664" s="8" t="n"/>
      <c r="G7664" s="8">
        <f>IF(E7664="","",E7664*F7664)</f>
        <v/>
      </c>
      <c r="H7664" s="8">
        <f>IF(G7664="","",G7664-I7664)</f>
        <v/>
      </c>
      <c r="I7664" s="8">
        <f>IF(D7664="","",VLOOKUP(D7664, RECETTES!B:G, 6, FALSE)*E7664)</f>
        <v/>
      </c>
      <c r="J7664" s="8">
        <f>IF(G7664="","",G7664*0.20)</f>
        <v/>
      </c>
      <c r="K7664" s="8">
        <f>IF(G7664="","",G7664+J7664)</f>
        <v/>
      </c>
    </row>
    <row r="7665">
      <c r="F7665" s="8" t="n"/>
      <c r="G7665" s="8">
        <f>IF(E7665="","",E7665*F7665)</f>
        <v/>
      </c>
      <c r="H7665" s="8">
        <f>IF(G7665="","",G7665-I7665)</f>
        <v/>
      </c>
      <c r="I7665" s="8">
        <f>IF(D7665="","",VLOOKUP(D7665, RECETTES!B:G, 6, FALSE)*E7665)</f>
        <v/>
      </c>
      <c r="J7665" s="8">
        <f>IF(G7665="","",G7665*0.20)</f>
        <v/>
      </c>
      <c r="K7665" s="8">
        <f>IF(G7665="","",G7665+J7665)</f>
        <v/>
      </c>
    </row>
    <row r="7666">
      <c r="F7666" s="8" t="n"/>
      <c r="G7666" s="8">
        <f>IF(E7666="","",E7666*F7666)</f>
        <v/>
      </c>
      <c r="H7666" s="8">
        <f>IF(G7666="","",G7666-I7666)</f>
        <v/>
      </c>
      <c r="I7666" s="8">
        <f>IF(D7666="","",VLOOKUP(D7666, RECETTES!B:G, 6, FALSE)*E7666)</f>
        <v/>
      </c>
      <c r="J7666" s="8">
        <f>IF(G7666="","",G7666*0.20)</f>
        <v/>
      </c>
      <c r="K7666" s="8">
        <f>IF(G7666="","",G7666+J7666)</f>
        <v/>
      </c>
    </row>
    <row r="7667">
      <c r="F7667" s="8" t="n"/>
      <c r="G7667" s="8">
        <f>IF(E7667="","",E7667*F7667)</f>
        <v/>
      </c>
      <c r="H7667" s="8">
        <f>IF(G7667="","",G7667-I7667)</f>
        <v/>
      </c>
      <c r="I7667" s="8">
        <f>IF(D7667="","",VLOOKUP(D7667, RECETTES!B:G, 6, FALSE)*E7667)</f>
        <v/>
      </c>
      <c r="J7667" s="8">
        <f>IF(G7667="","",G7667*0.20)</f>
        <v/>
      </c>
      <c r="K7667" s="8">
        <f>IF(G7667="","",G7667+J7667)</f>
        <v/>
      </c>
    </row>
    <row r="7668">
      <c r="F7668" s="8" t="n"/>
      <c r="G7668" s="8">
        <f>IF(E7668="","",E7668*F7668)</f>
        <v/>
      </c>
      <c r="H7668" s="8">
        <f>IF(G7668="","",G7668-I7668)</f>
        <v/>
      </c>
      <c r="I7668" s="8">
        <f>IF(D7668="","",VLOOKUP(D7668, RECETTES!B:G, 6, FALSE)*E7668)</f>
        <v/>
      </c>
      <c r="J7668" s="8">
        <f>IF(G7668="","",G7668*0.20)</f>
        <v/>
      </c>
      <c r="K7668" s="8">
        <f>IF(G7668="","",G7668+J7668)</f>
        <v/>
      </c>
    </row>
    <row r="7669">
      <c r="F7669" s="8" t="n"/>
      <c r="G7669" s="8">
        <f>IF(E7669="","",E7669*F7669)</f>
        <v/>
      </c>
      <c r="H7669" s="8">
        <f>IF(G7669="","",G7669-I7669)</f>
        <v/>
      </c>
      <c r="I7669" s="8">
        <f>IF(D7669="","",VLOOKUP(D7669, RECETTES!B:G, 6, FALSE)*E7669)</f>
        <v/>
      </c>
      <c r="J7669" s="8">
        <f>IF(G7669="","",G7669*0.20)</f>
        <v/>
      </c>
      <c r="K7669" s="8">
        <f>IF(G7669="","",G7669+J7669)</f>
        <v/>
      </c>
    </row>
    <row r="7670">
      <c r="F7670" s="8" t="n"/>
      <c r="G7670" s="8">
        <f>IF(E7670="","",E7670*F7670)</f>
        <v/>
      </c>
      <c r="H7670" s="8">
        <f>IF(G7670="","",G7670-I7670)</f>
        <v/>
      </c>
      <c r="I7670" s="8">
        <f>IF(D7670="","",VLOOKUP(D7670, RECETTES!B:G, 6, FALSE)*E7670)</f>
        <v/>
      </c>
      <c r="J7670" s="8">
        <f>IF(G7670="","",G7670*0.20)</f>
        <v/>
      </c>
      <c r="K7670" s="8">
        <f>IF(G7670="","",G7670+J7670)</f>
        <v/>
      </c>
    </row>
    <row r="7671">
      <c r="F7671" s="8" t="n"/>
      <c r="G7671" s="8">
        <f>IF(E7671="","",E7671*F7671)</f>
        <v/>
      </c>
      <c r="H7671" s="8">
        <f>IF(G7671="","",G7671-I7671)</f>
        <v/>
      </c>
      <c r="I7671" s="8">
        <f>IF(D7671="","",VLOOKUP(D7671, RECETTES!B:G, 6, FALSE)*E7671)</f>
        <v/>
      </c>
      <c r="J7671" s="8">
        <f>IF(G7671="","",G7671*0.20)</f>
        <v/>
      </c>
      <c r="K7671" s="8">
        <f>IF(G7671="","",G7671+J7671)</f>
        <v/>
      </c>
    </row>
    <row r="7672">
      <c r="F7672" s="8" t="n"/>
      <c r="G7672" s="8">
        <f>IF(E7672="","",E7672*F7672)</f>
        <v/>
      </c>
      <c r="H7672" s="8">
        <f>IF(G7672="","",G7672-I7672)</f>
        <v/>
      </c>
      <c r="I7672" s="8">
        <f>IF(D7672="","",VLOOKUP(D7672, RECETTES!B:G, 6, FALSE)*E7672)</f>
        <v/>
      </c>
      <c r="J7672" s="8">
        <f>IF(G7672="","",G7672*0.20)</f>
        <v/>
      </c>
      <c r="K7672" s="8">
        <f>IF(G7672="","",G7672+J7672)</f>
        <v/>
      </c>
    </row>
    <row r="7673">
      <c r="F7673" s="8" t="n"/>
      <c r="G7673" s="8">
        <f>IF(E7673="","",E7673*F7673)</f>
        <v/>
      </c>
      <c r="H7673" s="8">
        <f>IF(G7673="","",G7673-I7673)</f>
        <v/>
      </c>
      <c r="I7673" s="8">
        <f>IF(D7673="","",VLOOKUP(D7673, RECETTES!B:G, 6, FALSE)*E7673)</f>
        <v/>
      </c>
      <c r="J7673" s="8">
        <f>IF(G7673="","",G7673*0.20)</f>
        <v/>
      </c>
      <c r="K7673" s="8">
        <f>IF(G7673="","",G7673+J7673)</f>
        <v/>
      </c>
    </row>
    <row r="7674">
      <c r="F7674" s="8" t="n"/>
      <c r="G7674" s="8">
        <f>IF(E7674="","",E7674*F7674)</f>
        <v/>
      </c>
      <c r="H7674" s="8">
        <f>IF(G7674="","",G7674-I7674)</f>
        <v/>
      </c>
      <c r="I7674" s="8">
        <f>IF(D7674="","",VLOOKUP(D7674, RECETTES!B:G, 6, FALSE)*E7674)</f>
        <v/>
      </c>
      <c r="J7674" s="8">
        <f>IF(G7674="","",G7674*0.20)</f>
        <v/>
      </c>
      <c r="K7674" s="8">
        <f>IF(G7674="","",G7674+J7674)</f>
        <v/>
      </c>
    </row>
    <row r="7675">
      <c r="F7675" s="8" t="n"/>
      <c r="G7675" s="8">
        <f>IF(E7675="","",E7675*F7675)</f>
        <v/>
      </c>
      <c r="H7675" s="8">
        <f>IF(G7675="","",G7675-I7675)</f>
        <v/>
      </c>
      <c r="I7675" s="8">
        <f>IF(D7675="","",VLOOKUP(D7675, RECETTES!B:G, 6, FALSE)*E7675)</f>
        <v/>
      </c>
      <c r="J7675" s="8">
        <f>IF(G7675="","",G7675*0.20)</f>
        <v/>
      </c>
      <c r="K7675" s="8">
        <f>IF(G7675="","",G7675+J7675)</f>
        <v/>
      </c>
    </row>
    <row r="7676">
      <c r="F7676" s="8" t="n"/>
      <c r="G7676" s="8">
        <f>IF(E7676="","",E7676*F7676)</f>
        <v/>
      </c>
      <c r="H7676" s="8">
        <f>IF(G7676="","",G7676-I7676)</f>
        <v/>
      </c>
      <c r="I7676" s="8">
        <f>IF(D7676="","",VLOOKUP(D7676, RECETTES!B:G, 6, FALSE)*E7676)</f>
        <v/>
      </c>
      <c r="J7676" s="8">
        <f>IF(G7676="","",G7676*0.20)</f>
        <v/>
      </c>
      <c r="K7676" s="8">
        <f>IF(G7676="","",G7676+J7676)</f>
        <v/>
      </c>
    </row>
    <row r="7677">
      <c r="F7677" s="8" t="n"/>
      <c r="G7677" s="8">
        <f>IF(E7677="","",E7677*F7677)</f>
        <v/>
      </c>
      <c r="H7677" s="8">
        <f>IF(G7677="","",G7677-I7677)</f>
        <v/>
      </c>
      <c r="I7677" s="8">
        <f>IF(D7677="","",VLOOKUP(D7677, RECETTES!B:G, 6, FALSE)*E7677)</f>
        <v/>
      </c>
      <c r="J7677" s="8">
        <f>IF(G7677="","",G7677*0.20)</f>
        <v/>
      </c>
      <c r="K7677" s="8">
        <f>IF(G7677="","",G7677+J7677)</f>
        <v/>
      </c>
    </row>
    <row r="7678">
      <c r="F7678" s="8" t="n"/>
      <c r="G7678" s="8">
        <f>IF(E7678="","",E7678*F7678)</f>
        <v/>
      </c>
      <c r="H7678" s="8">
        <f>IF(G7678="","",G7678-I7678)</f>
        <v/>
      </c>
      <c r="I7678" s="8">
        <f>IF(D7678="","",VLOOKUP(D7678, RECETTES!B:G, 6, FALSE)*E7678)</f>
        <v/>
      </c>
      <c r="J7678" s="8">
        <f>IF(G7678="","",G7678*0.20)</f>
        <v/>
      </c>
      <c r="K7678" s="8">
        <f>IF(G7678="","",G7678+J7678)</f>
        <v/>
      </c>
    </row>
    <row r="7679">
      <c r="F7679" s="8" t="n"/>
      <c r="G7679" s="8">
        <f>IF(E7679="","",E7679*F7679)</f>
        <v/>
      </c>
      <c r="H7679" s="8">
        <f>IF(G7679="","",G7679-I7679)</f>
        <v/>
      </c>
      <c r="I7679" s="8">
        <f>IF(D7679="","",VLOOKUP(D7679, RECETTES!B:G, 6, FALSE)*E7679)</f>
        <v/>
      </c>
      <c r="J7679" s="8">
        <f>IF(G7679="","",G7679*0.20)</f>
        <v/>
      </c>
      <c r="K7679" s="8">
        <f>IF(G7679="","",G7679+J7679)</f>
        <v/>
      </c>
    </row>
    <row r="7680">
      <c r="F7680" s="8" t="n"/>
      <c r="G7680" s="8">
        <f>IF(E7680="","",E7680*F7680)</f>
        <v/>
      </c>
      <c r="H7680" s="8">
        <f>IF(G7680="","",G7680-I7680)</f>
        <v/>
      </c>
      <c r="I7680" s="8">
        <f>IF(D7680="","",VLOOKUP(D7680, RECETTES!B:G, 6, FALSE)*E7680)</f>
        <v/>
      </c>
      <c r="J7680" s="8">
        <f>IF(G7680="","",G7680*0.20)</f>
        <v/>
      </c>
      <c r="K7680" s="8">
        <f>IF(G7680="","",G7680+J7680)</f>
        <v/>
      </c>
    </row>
    <row r="7681">
      <c r="F7681" s="8" t="n"/>
      <c r="G7681" s="8">
        <f>IF(E7681="","",E7681*F7681)</f>
        <v/>
      </c>
      <c r="H7681" s="8">
        <f>IF(G7681="","",G7681-I7681)</f>
        <v/>
      </c>
      <c r="I7681" s="8">
        <f>IF(D7681="","",VLOOKUP(D7681, RECETTES!B:G, 6, FALSE)*E7681)</f>
        <v/>
      </c>
      <c r="J7681" s="8">
        <f>IF(G7681="","",G7681*0.20)</f>
        <v/>
      </c>
      <c r="K7681" s="8">
        <f>IF(G7681="","",G7681+J7681)</f>
        <v/>
      </c>
    </row>
    <row r="7682">
      <c r="F7682" s="8" t="n"/>
      <c r="G7682" s="8">
        <f>IF(E7682="","",E7682*F7682)</f>
        <v/>
      </c>
      <c r="H7682" s="8">
        <f>IF(G7682="","",G7682-I7682)</f>
        <v/>
      </c>
      <c r="I7682" s="8">
        <f>IF(D7682="","",VLOOKUP(D7682, RECETTES!B:G, 6, FALSE)*E7682)</f>
        <v/>
      </c>
      <c r="J7682" s="8">
        <f>IF(G7682="","",G7682*0.20)</f>
        <v/>
      </c>
      <c r="K7682" s="8">
        <f>IF(G7682="","",G7682+J7682)</f>
        <v/>
      </c>
    </row>
    <row r="7683">
      <c r="F7683" s="8" t="n"/>
      <c r="G7683" s="8">
        <f>IF(E7683="","",E7683*F7683)</f>
        <v/>
      </c>
      <c r="H7683" s="8">
        <f>IF(G7683="","",G7683-I7683)</f>
        <v/>
      </c>
      <c r="I7683" s="8">
        <f>IF(D7683="","",VLOOKUP(D7683, RECETTES!B:G, 6, FALSE)*E7683)</f>
        <v/>
      </c>
      <c r="J7683" s="8">
        <f>IF(G7683="","",G7683*0.20)</f>
        <v/>
      </c>
      <c r="K7683" s="8">
        <f>IF(G7683="","",G7683+J7683)</f>
        <v/>
      </c>
    </row>
    <row r="7684">
      <c r="F7684" s="8" t="n"/>
      <c r="G7684" s="8">
        <f>IF(E7684="","",E7684*F7684)</f>
        <v/>
      </c>
      <c r="H7684" s="8">
        <f>IF(G7684="","",G7684-I7684)</f>
        <v/>
      </c>
      <c r="I7684" s="8">
        <f>IF(D7684="","",VLOOKUP(D7684, RECETTES!B:G, 6, FALSE)*E7684)</f>
        <v/>
      </c>
      <c r="J7684" s="8">
        <f>IF(G7684="","",G7684*0.20)</f>
        <v/>
      </c>
      <c r="K7684" s="8">
        <f>IF(G7684="","",G7684+J7684)</f>
        <v/>
      </c>
    </row>
    <row r="7685">
      <c r="F7685" s="8" t="n"/>
      <c r="G7685" s="8">
        <f>IF(E7685="","",E7685*F7685)</f>
        <v/>
      </c>
      <c r="H7685" s="8">
        <f>IF(G7685="","",G7685-I7685)</f>
        <v/>
      </c>
      <c r="I7685" s="8">
        <f>IF(D7685="","",VLOOKUP(D7685, RECETTES!B:G, 6, FALSE)*E7685)</f>
        <v/>
      </c>
      <c r="J7685" s="8">
        <f>IF(G7685="","",G7685*0.20)</f>
        <v/>
      </c>
      <c r="K7685" s="8">
        <f>IF(G7685="","",G7685+J7685)</f>
        <v/>
      </c>
    </row>
    <row r="7686">
      <c r="F7686" s="8" t="n"/>
      <c r="G7686" s="8">
        <f>IF(E7686="","",E7686*F7686)</f>
        <v/>
      </c>
      <c r="H7686" s="8">
        <f>IF(G7686="","",G7686-I7686)</f>
        <v/>
      </c>
      <c r="I7686" s="8">
        <f>IF(D7686="","",VLOOKUP(D7686, RECETTES!B:G, 6, FALSE)*E7686)</f>
        <v/>
      </c>
      <c r="J7686" s="8">
        <f>IF(G7686="","",G7686*0.20)</f>
        <v/>
      </c>
      <c r="K7686" s="8">
        <f>IF(G7686="","",G7686+J7686)</f>
        <v/>
      </c>
    </row>
    <row r="7687">
      <c r="F7687" s="8" t="n"/>
      <c r="G7687" s="8">
        <f>IF(E7687="","",E7687*F7687)</f>
        <v/>
      </c>
      <c r="H7687" s="8">
        <f>IF(G7687="","",G7687-I7687)</f>
        <v/>
      </c>
      <c r="I7687" s="8">
        <f>IF(D7687="","",VLOOKUP(D7687, RECETTES!B:G, 6, FALSE)*E7687)</f>
        <v/>
      </c>
      <c r="J7687" s="8">
        <f>IF(G7687="","",G7687*0.20)</f>
        <v/>
      </c>
      <c r="K7687" s="8">
        <f>IF(G7687="","",G7687+J7687)</f>
        <v/>
      </c>
    </row>
    <row r="7688">
      <c r="F7688" s="8" t="n"/>
      <c r="G7688" s="8">
        <f>IF(E7688="","",E7688*F7688)</f>
        <v/>
      </c>
      <c r="H7688" s="8">
        <f>IF(G7688="","",G7688-I7688)</f>
        <v/>
      </c>
      <c r="I7688" s="8">
        <f>IF(D7688="","",VLOOKUP(D7688, RECETTES!B:G, 6, FALSE)*E7688)</f>
        <v/>
      </c>
      <c r="J7688" s="8">
        <f>IF(G7688="","",G7688*0.20)</f>
        <v/>
      </c>
      <c r="K7688" s="8">
        <f>IF(G7688="","",G7688+J7688)</f>
        <v/>
      </c>
    </row>
    <row r="7689">
      <c r="F7689" s="8" t="n"/>
      <c r="G7689" s="8">
        <f>IF(E7689="","",E7689*F7689)</f>
        <v/>
      </c>
      <c r="H7689" s="8">
        <f>IF(G7689="","",G7689-I7689)</f>
        <v/>
      </c>
      <c r="I7689" s="8">
        <f>IF(D7689="","",VLOOKUP(D7689, RECETTES!B:G, 6, FALSE)*E7689)</f>
        <v/>
      </c>
      <c r="J7689" s="8">
        <f>IF(G7689="","",G7689*0.20)</f>
        <v/>
      </c>
      <c r="K7689" s="8">
        <f>IF(G7689="","",G7689+J7689)</f>
        <v/>
      </c>
    </row>
    <row r="7690">
      <c r="F7690" s="8" t="n"/>
      <c r="G7690" s="8">
        <f>IF(E7690="","",E7690*F7690)</f>
        <v/>
      </c>
      <c r="H7690" s="8">
        <f>IF(G7690="","",G7690-I7690)</f>
        <v/>
      </c>
      <c r="I7690" s="8">
        <f>IF(D7690="","",VLOOKUP(D7690, RECETTES!B:G, 6, FALSE)*E7690)</f>
        <v/>
      </c>
      <c r="J7690" s="8">
        <f>IF(G7690="","",G7690*0.20)</f>
        <v/>
      </c>
      <c r="K7690" s="8">
        <f>IF(G7690="","",G7690+J7690)</f>
        <v/>
      </c>
    </row>
    <row r="7691">
      <c r="F7691" s="8" t="n"/>
      <c r="G7691" s="8">
        <f>IF(E7691="","",E7691*F7691)</f>
        <v/>
      </c>
      <c r="H7691" s="8">
        <f>IF(G7691="","",G7691-I7691)</f>
        <v/>
      </c>
      <c r="I7691" s="8">
        <f>IF(D7691="","",VLOOKUP(D7691, RECETTES!B:G, 6, FALSE)*E7691)</f>
        <v/>
      </c>
      <c r="J7691" s="8">
        <f>IF(G7691="","",G7691*0.20)</f>
        <v/>
      </c>
      <c r="K7691" s="8">
        <f>IF(G7691="","",G7691+J7691)</f>
        <v/>
      </c>
    </row>
    <row r="7692">
      <c r="F7692" s="8" t="n"/>
      <c r="G7692" s="8">
        <f>IF(E7692="","",E7692*F7692)</f>
        <v/>
      </c>
      <c r="H7692" s="8">
        <f>IF(G7692="","",G7692-I7692)</f>
        <v/>
      </c>
      <c r="I7692" s="8">
        <f>IF(D7692="","",VLOOKUP(D7692, RECETTES!B:G, 6, FALSE)*E7692)</f>
        <v/>
      </c>
      <c r="J7692" s="8">
        <f>IF(G7692="","",G7692*0.20)</f>
        <v/>
      </c>
      <c r="K7692" s="8">
        <f>IF(G7692="","",G7692+J7692)</f>
        <v/>
      </c>
    </row>
    <row r="7693">
      <c r="F7693" s="8" t="n"/>
      <c r="G7693" s="8">
        <f>IF(E7693="","",E7693*F7693)</f>
        <v/>
      </c>
      <c r="H7693" s="8">
        <f>IF(G7693="","",G7693-I7693)</f>
        <v/>
      </c>
      <c r="I7693" s="8">
        <f>IF(D7693="","",VLOOKUP(D7693, RECETTES!B:G, 6, FALSE)*E7693)</f>
        <v/>
      </c>
      <c r="J7693" s="8">
        <f>IF(G7693="","",G7693*0.20)</f>
        <v/>
      </c>
      <c r="K7693" s="8">
        <f>IF(G7693="","",G7693+J7693)</f>
        <v/>
      </c>
    </row>
    <row r="7694">
      <c r="F7694" s="8" t="n"/>
      <c r="G7694" s="8">
        <f>IF(E7694="","",E7694*F7694)</f>
        <v/>
      </c>
      <c r="H7694" s="8">
        <f>IF(G7694="","",G7694-I7694)</f>
        <v/>
      </c>
      <c r="I7694" s="8">
        <f>IF(D7694="","",VLOOKUP(D7694, RECETTES!B:G, 6, FALSE)*E7694)</f>
        <v/>
      </c>
      <c r="J7694" s="8">
        <f>IF(G7694="","",G7694*0.20)</f>
        <v/>
      </c>
      <c r="K7694" s="8">
        <f>IF(G7694="","",G7694+J7694)</f>
        <v/>
      </c>
    </row>
    <row r="7695">
      <c r="F7695" s="8" t="n"/>
      <c r="G7695" s="8">
        <f>IF(E7695="","",E7695*F7695)</f>
        <v/>
      </c>
      <c r="H7695" s="8">
        <f>IF(G7695="","",G7695-I7695)</f>
        <v/>
      </c>
      <c r="I7695" s="8">
        <f>IF(D7695="","",VLOOKUP(D7695, RECETTES!B:G, 6, FALSE)*E7695)</f>
        <v/>
      </c>
      <c r="J7695" s="8">
        <f>IF(G7695="","",G7695*0.20)</f>
        <v/>
      </c>
      <c r="K7695" s="8">
        <f>IF(G7695="","",G7695+J7695)</f>
        <v/>
      </c>
    </row>
    <row r="7696">
      <c r="F7696" s="8" t="n"/>
      <c r="G7696" s="8">
        <f>IF(E7696="","",E7696*F7696)</f>
        <v/>
      </c>
      <c r="H7696" s="8">
        <f>IF(G7696="","",G7696-I7696)</f>
        <v/>
      </c>
      <c r="I7696" s="8">
        <f>IF(D7696="","",VLOOKUP(D7696, RECETTES!B:G, 6, FALSE)*E7696)</f>
        <v/>
      </c>
      <c r="J7696" s="8">
        <f>IF(G7696="","",G7696*0.20)</f>
        <v/>
      </c>
      <c r="K7696" s="8">
        <f>IF(G7696="","",G7696+J7696)</f>
        <v/>
      </c>
    </row>
    <row r="7697">
      <c r="F7697" s="8" t="n"/>
      <c r="G7697" s="8">
        <f>IF(E7697="","",E7697*F7697)</f>
        <v/>
      </c>
      <c r="H7697" s="8">
        <f>IF(G7697="","",G7697-I7697)</f>
        <v/>
      </c>
      <c r="I7697" s="8">
        <f>IF(D7697="","",VLOOKUP(D7697, RECETTES!B:G, 6, FALSE)*E7697)</f>
        <v/>
      </c>
      <c r="J7697" s="8">
        <f>IF(G7697="","",G7697*0.20)</f>
        <v/>
      </c>
      <c r="K7697" s="8">
        <f>IF(G7697="","",G7697+J7697)</f>
        <v/>
      </c>
    </row>
    <row r="7698">
      <c r="F7698" s="8" t="n"/>
      <c r="G7698" s="8">
        <f>IF(E7698="","",E7698*F7698)</f>
        <v/>
      </c>
      <c r="H7698" s="8">
        <f>IF(G7698="","",G7698-I7698)</f>
        <v/>
      </c>
      <c r="I7698" s="8">
        <f>IF(D7698="","",VLOOKUP(D7698, RECETTES!B:G, 6, FALSE)*E7698)</f>
        <v/>
      </c>
      <c r="J7698" s="8">
        <f>IF(G7698="","",G7698*0.20)</f>
        <v/>
      </c>
      <c r="K7698" s="8">
        <f>IF(G7698="","",G7698+J7698)</f>
        <v/>
      </c>
    </row>
    <row r="7699">
      <c r="F7699" s="8" t="n"/>
      <c r="G7699" s="8">
        <f>IF(E7699="","",E7699*F7699)</f>
        <v/>
      </c>
      <c r="H7699" s="8">
        <f>IF(G7699="","",G7699-I7699)</f>
        <v/>
      </c>
      <c r="I7699" s="8">
        <f>IF(D7699="","",VLOOKUP(D7699, RECETTES!B:G, 6, FALSE)*E7699)</f>
        <v/>
      </c>
      <c r="J7699" s="8">
        <f>IF(G7699="","",G7699*0.20)</f>
        <v/>
      </c>
      <c r="K7699" s="8">
        <f>IF(G7699="","",G7699+J7699)</f>
        <v/>
      </c>
    </row>
    <row r="7700">
      <c r="F7700" s="8" t="n"/>
      <c r="G7700" s="8">
        <f>IF(E7700="","",E7700*F7700)</f>
        <v/>
      </c>
      <c r="H7700" s="8">
        <f>IF(G7700="","",G7700-I7700)</f>
        <v/>
      </c>
      <c r="I7700" s="8">
        <f>IF(D7700="","",VLOOKUP(D7700, RECETTES!B:G, 6, FALSE)*E7700)</f>
        <v/>
      </c>
      <c r="J7700" s="8">
        <f>IF(G7700="","",G7700*0.20)</f>
        <v/>
      </c>
      <c r="K7700" s="8">
        <f>IF(G7700="","",G7700+J7700)</f>
        <v/>
      </c>
    </row>
    <row r="7701">
      <c r="F7701" s="8" t="n"/>
      <c r="G7701" s="8">
        <f>IF(E7701="","",E7701*F7701)</f>
        <v/>
      </c>
      <c r="H7701" s="8">
        <f>IF(G7701="","",G7701-I7701)</f>
        <v/>
      </c>
      <c r="I7701" s="8">
        <f>IF(D7701="","",VLOOKUP(D7701, RECETTES!B:G, 6, FALSE)*E7701)</f>
        <v/>
      </c>
      <c r="J7701" s="8">
        <f>IF(G7701="","",G7701*0.20)</f>
        <v/>
      </c>
      <c r="K7701" s="8">
        <f>IF(G7701="","",G7701+J7701)</f>
        <v/>
      </c>
    </row>
    <row r="7702">
      <c r="F7702" s="8" t="n"/>
      <c r="G7702" s="8">
        <f>IF(E7702="","",E7702*F7702)</f>
        <v/>
      </c>
      <c r="H7702" s="8">
        <f>IF(G7702="","",G7702-I7702)</f>
        <v/>
      </c>
      <c r="I7702" s="8">
        <f>IF(D7702="","",VLOOKUP(D7702, RECETTES!B:G, 6, FALSE)*E7702)</f>
        <v/>
      </c>
      <c r="J7702" s="8">
        <f>IF(G7702="","",G7702*0.20)</f>
        <v/>
      </c>
      <c r="K7702" s="8">
        <f>IF(G7702="","",G7702+J7702)</f>
        <v/>
      </c>
    </row>
    <row r="7703">
      <c r="F7703" s="8" t="n"/>
      <c r="G7703" s="8">
        <f>IF(E7703="","",E7703*F7703)</f>
        <v/>
      </c>
      <c r="H7703" s="8">
        <f>IF(G7703="","",G7703-I7703)</f>
        <v/>
      </c>
      <c r="I7703" s="8">
        <f>IF(D7703="","",VLOOKUP(D7703, RECETTES!B:G, 6, FALSE)*E7703)</f>
        <v/>
      </c>
      <c r="J7703" s="8">
        <f>IF(G7703="","",G7703*0.20)</f>
        <v/>
      </c>
      <c r="K7703" s="8">
        <f>IF(G7703="","",G7703+J7703)</f>
        <v/>
      </c>
    </row>
    <row r="7704">
      <c r="F7704" s="8" t="n"/>
      <c r="G7704" s="8">
        <f>IF(E7704="","",E7704*F7704)</f>
        <v/>
      </c>
      <c r="H7704" s="8">
        <f>IF(G7704="","",G7704-I7704)</f>
        <v/>
      </c>
      <c r="I7704" s="8">
        <f>IF(D7704="","",VLOOKUP(D7704, RECETTES!B:G, 6, FALSE)*E7704)</f>
        <v/>
      </c>
      <c r="J7704" s="8">
        <f>IF(G7704="","",G7704*0.20)</f>
        <v/>
      </c>
      <c r="K7704" s="8">
        <f>IF(G7704="","",G7704+J7704)</f>
        <v/>
      </c>
    </row>
    <row r="7705">
      <c r="F7705" s="8" t="n"/>
      <c r="G7705" s="8">
        <f>IF(E7705="","",E7705*F7705)</f>
        <v/>
      </c>
      <c r="H7705" s="8">
        <f>IF(G7705="","",G7705-I7705)</f>
        <v/>
      </c>
      <c r="I7705" s="8">
        <f>IF(D7705="","",VLOOKUP(D7705, RECETTES!B:G, 6, FALSE)*E7705)</f>
        <v/>
      </c>
      <c r="J7705" s="8">
        <f>IF(G7705="","",G7705*0.20)</f>
        <v/>
      </c>
      <c r="K7705" s="8">
        <f>IF(G7705="","",G7705+J7705)</f>
        <v/>
      </c>
    </row>
    <row r="7706">
      <c r="F7706" s="8" t="n"/>
      <c r="G7706" s="8">
        <f>IF(E7706="","",E7706*F7706)</f>
        <v/>
      </c>
      <c r="H7706" s="8">
        <f>IF(G7706="","",G7706-I7706)</f>
        <v/>
      </c>
      <c r="I7706" s="8">
        <f>IF(D7706="","",VLOOKUP(D7706, RECETTES!B:G, 6, FALSE)*E7706)</f>
        <v/>
      </c>
      <c r="J7706" s="8">
        <f>IF(G7706="","",G7706*0.20)</f>
        <v/>
      </c>
      <c r="K7706" s="8">
        <f>IF(G7706="","",G7706+J7706)</f>
        <v/>
      </c>
    </row>
    <row r="7707">
      <c r="F7707" s="8" t="n"/>
      <c r="G7707" s="8">
        <f>IF(E7707="","",E7707*F7707)</f>
        <v/>
      </c>
      <c r="H7707" s="8">
        <f>IF(G7707="","",G7707-I7707)</f>
        <v/>
      </c>
      <c r="I7707" s="8">
        <f>IF(D7707="","",VLOOKUP(D7707, RECETTES!B:G, 6, FALSE)*E7707)</f>
        <v/>
      </c>
      <c r="J7707" s="8">
        <f>IF(G7707="","",G7707*0.20)</f>
        <v/>
      </c>
      <c r="K7707" s="8">
        <f>IF(G7707="","",G7707+J7707)</f>
        <v/>
      </c>
    </row>
    <row r="7708">
      <c r="F7708" s="8" t="n"/>
      <c r="G7708" s="8">
        <f>IF(E7708="","",E7708*F7708)</f>
        <v/>
      </c>
      <c r="H7708" s="8">
        <f>IF(G7708="","",G7708-I7708)</f>
        <v/>
      </c>
      <c r="I7708" s="8">
        <f>IF(D7708="","",VLOOKUP(D7708, RECETTES!B:G, 6, FALSE)*E7708)</f>
        <v/>
      </c>
      <c r="J7708" s="8">
        <f>IF(G7708="","",G7708*0.20)</f>
        <v/>
      </c>
      <c r="K7708" s="8">
        <f>IF(G7708="","",G7708+J7708)</f>
        <v/>
      </c>
    </row>
    <row r="7709">
      <c r="F7709" s="8" t="n"/>
      <c r="G7709" s="8">
        <f>IF(E7709="","",E7709*F7709)</f>
        <v/>
      </c>
      <c r="H7709" s="8">
        <f>IF(G7709="","",G7709-I7709)</f>
        <v/>
      </c>
      <c r="I7709" s="8">
        <f>IF(D7709="","",VLOOKUP(D7709, RECETTES!B:G, 6, FALSE)*E7709)</f>
        <v/>
      </c>
      <c r="J7709" s="8">
        <f>IF(G7709="","",G7709*0.20)</f>
        <v/>
      </c>
      <c r="K7709" s="8">
        <f>IF(G7709="","",G7709+J7709)</f>
        <v/>
      </c>
    </row>
    <row r="7710">
      <c r="F7710" s="8" t="n"/>
      <c r="G7710" s="8">
        <f>IF(E7710="","",E7710*F7710)</f>
        <v/>
      </c>
      <c r="H7710" s="8">
        <f>IF(G7710="","",G7710-I7710)</f>
        <v/>
      </c>
      <c r="I7710" s="8">
        <f>IF(D7710="","",VLOOKUP(D7710, RECETTES!B:G, 6, FALSE)*E7710)</f>
        <v/>
      </c>
      <c r="J7710" s="8">
        <f>IF(G7710="","",G7710*0.20)</f>
        <v/>
      </c>
      <c r="K7710" s="8">
        <f>IF(G7710="","",G7710+J7710)</f>
        <v/>
      </c>
    </row>
    <row r="7711">
      <c r="F7711" s="8" t="n"/>
      <c r="G7711" s="8">
        <f>IF(E7711="","",E7711*F7711)</f>
        <v/>
      </c>
      <c r="H7711" s="8">
        <f>IF(G7711="","",G7711-I7711)</f>
        <v/>
      </c>
      <c r="I7711" s="8">
        <f>IF(D7711="","",VLOOKUP(D7711, RECETTES!B:G, 6, FALSE)*E7711)</f>
        <v/>
      </c>
      <c r="J7711" s="8">
        <f>IF(G7711="","",G7711*0.20)</f>
        <v/>
      </c>
      <c r="K7711" s="8">
        <f>IF(G7711="","",G7711+J7711)</f>
        <v/>
      </c>
    </row>
    <row r="7712">
      <c r="F7712" s="8" t="n"/>
      <c r="G7712" s="8">
        <f>IF(E7712="","",E7712*F7712)</f>
        <v/>
      </c>
      <c r="H7712" s="8">
        <f>IF(G7712="","",G7712-I7712)</f>
        <v/>
      </c>
      <c r="I7712" s="8">
        <f>IF(D7712="","",VLOOKUP(D7712, RECETTES!B:G, 6, FALSE)*E7712)</f>
        <v/>
      </c>
      <c r="J7712" s="8">
        <f>IF(G7712="","",G7712*0.20)</f>
        <v/>
      </c>
      <c r="K7712" s="8">
        <f>IF(G7712="","",G7712+J7712)</f>
        <v/>
      </c>
    </row>
    <row r="7713">
      <c r="F7713" s="8" t="n"/>
      <c r="G7713" s="8">
        <f>IF(E7713="","",E7713*F7713)</f>
        <v/>
      </c>
      <c r="H7713" s="8">
        <f>IF(G7713="","",G7713-I7713)</f>
        <v/>
      </c>
      <c r="I7713" s="8">
        <f>IF(D7713="","",VLOOKUP(D7713, RECETTES!B:G, 6, FALSE)*E7713)</f>
        <v/>
      </c>
      <c r="J7713" s="8">
        <f>IF(G7713="","",G7713*0.20)</f>
        <v/>
      </c>
      <c r="K7713" s="8">
        <f>IF(G7713="","",G7713+J7713)</f>
        <v/>
      </c>
    </row>
    <row r="7714">
      <c r="F7714" s="8" t="n"/>
      <c r="G7714" s="8">
        <f>IF(E7714="","",E7714*F7714)</f>
        <v/>
      </c>
      <c r="H7714" s="8">
        <f>IF(G7714="","",G7714-I7714)</f>
        <v/>
      </c>
      <c r="I7714" s="8">
        <f>IF(D7714="","",VLOOKUP(D7714, RECETTES!B:G, 6, FALSE)*E7714)</f>
        <v/>
      </c>
      <c r="J7714" s="8">
        <f>IF(G7714="","",G7714*0.20)</f>
        <v/>
      </c>
      <c r="K7714" s="8">
        <f>IF(G7714="","",G7714+J7714)</f>
        <v/>
      </c>
    </row>
    <row r="7715">
      <c r="F7715" s="8" t="n"/>
      <c r="G7715" s="8">
        <f>IF(E7715="","",E7715*F7715)</f>
        <v/>
      </c>
      <c r="H7715" s="8">
        <f>IF(G7715="","",G7715-I7715)</f>
        <v/>
      </c>
      <c r="I7715" s="8">
        <f>IF(D7715="","",VLOOKUP(D7715, RECETTES!B:G, 6, FALSE)*E7715)</f>
        <v/>
      </c>
      <c r="J7715" s="8">
        <f>IF(G7715="","",G7715*0.20)</f>
        <v/>
      </c>
      <c r="K7715" s="8">
        <f>IF(G7715="","",G7715+J7715)</f>
        <v/>
      </c>
    </row>
    <row r="7716">
      <c r="F7716" s="8" t="n"/>
      <c r="G7716" s="8">
        <f>IF(E7716="","",E7716*F7716)</f>
        <v/>
      </c>
      <c r="H7716" s="8">
        <f>IF(G7716="","",G7716-I7716)</f>
        <v/>
      </c>
      <c r="I7716" s="8">
        <f>IF(D7716="","",VLOOKUP(D7716, RECETTES!B:G, 6, FALSE)*E7716)</f>
        <v/>
      </c>
      <c r="J7716" s="8">
        <f>IF(G7716="","",G7716*0.20)</f>
        <v/>
      </c>
      <c r="K7716" s="8">
        <f>IF(G7716="","",G7716+J7716)</f>
        <v/>
      </c>
    </row>
    <row r="7717">
      <c r="F7717" s="8" t="n"/>
      <c r="G7717" s="8">
        <f>IF(E7717="","",E7717*F7717)</f>
        <v/>
      </c>
      <c r="H7717" s="8">
        <f>IF(G7717="","",G7717-I7717)</f>
        <v/>
      </c>
      <c r="I7717" s="8">
        <f>IF(D7717="","",VLOOKUP(D7717, RECETTES!B:G, 6, FALSE)*E7717)</f>
        <v/>
      </c>
      <c r="J7717" s="8">
        <f>IF(G7717="","",G7717*0.20)</f>
        <v/>
      </c>
      <c r="K7717" s="8">
        <f>IF(G7717="","",G7717+J7717)</f>
        <v/>
      </c>
    </row>
    <row r="7718">
      <c r="F7718" s="8" t="n"/>
      <c r="G7718" s="8">
        <f>IF(E7718="","",E7718*F7718)</f>
        <v/>
      </c>
      <c r="H7718" s="8">
        <f>IF(G7718="","",G7718-I7718)</f>
        <v/>
      </c>
      <c r="I7718" s="8">
        <f>IF(D7718="","",VLOOKUP(D7718, RECETTES!B:G, 6, FALSE)*E7718)</f>
        <v/>
      </c>
      <c r="J7718" s="8">
        <f>IF(G7718="","",G7718*0.20)</f>
        <v/>
      </c>
      <c r="K7718" s="8">
        <f>IF(G7718="","",G7718+J7718)</f>
        <v/>
      </c>
    </row>
    <row r="7719">
      <c r="F7719" s="8" t="n"/>
      <c r="G7719" s="8">
        <f>IF(E7719="","",E7719*F7719)</f>
        <v/>
      </c>
      <c r="H7719" s="8">
        <f>IF(G7719="","",G7719-I7719)</f>
        <v/>
      </c>
      <c r="I7719" s="8">
        <f>IF(D7719="","",VLOOKUP(D7719, RECETTES!B:G, 6, FALSE)*E7719)</f>
        <v/>
      </c>
      <c r="J7719" s="8">
        <f>IF(G7719="","",G7719*0.20)</f>
        <v/>
      </c>
      <c r="K7719" s="8">
        <f>IF(G7719="","",G7719+J7719)</f>
        <v/>
      </c>
    </row>
    <row r="7720">
      <c r="F7720" s="8" t="n"/>
      <c r="G7720" s="8">
        <f>IF(E7720="","",E7720*F7720)</f>
        <v/>
      </c>
      <c r="H7720" s="8">
        <f>IF(G7720="","",G7720-I7720)</f>
        <v/>
      </c>
      <c r="I7720" s="8">
        <f>IF(D7720="","",VLOOKUP(D7720, RECETTES!B:G, 6, FALSE)*E7720)</f>
        <v/>
      </c>
      <c r="J7720" s="8">
        <f>IF(G7720="","",G7720*0.20)</f>
        <v/>
      </c>
      <c r="K7720" s="8">
        <f>IF(G7720="","",G7720+J7720)</f>
        <v/>
      </c>
    </row>
    <row r="7721">
      <c r="F7721" s="8" t="n"/>
      <c r="G7721" s="8">
        <f>IF(E7721="","",E7721*F7721)</f>
        <v/>
      </c>
      <c r="H7721" s="8">
        <f>IF(G7721="","",G7721-I7721)</f>
        <v/>
      </c>
      <c r="I7721" s="8">
        <f>IF(D7721="","",VLOOKUP(D7721, RECETTES!B:G, 6, FALSE)*E7721)</f>
        <v/>
      </c>
      <c r="J7721" s="8">
        <f>IF(G7721="","",G7721*0.20)</f>
        <v/>
      </c>
      <c r="K7721" s="8">
        <f>IF(G7721="","",G7721+J7721)</f>
        <v/>
      </c>
    </row>
    <row r="7722">
      <c r="F7722" s="8" t="n"/>
      <c r="G7722" s="8">
        <f>IF(E7722="","",E7722*F7722)</f>
        <v/>
      </c>
      <c r="H7722" s="8">
        <f>IF(G7722="","",G7722-I7722)</f>
        <v/>
      </c>
      <c r="I7722" s="8">
        <f>IF(D7722="","",VLOOKUP(D7722, RECETTES!B:G, 6, FALSE)*E7722)</f>
        <v/>
      </c>
      <c r="J7722" s="8">
        <f>IF(G7722="","",G7722*0.20)</f>
        <v/>
      </c>
      <c r="K7722" s="8">
        <f>IF(G7722="","",G7722+J7722)</f>
        <v/>
      </c>
    </row>
    <row r="7723">
      <c r="F7723" s="8" t="n"/>
      <c r="G7723" s="8">
        <f>IF(E7723="","",E7723*F7723)</f>
        <v/>
      </c>
      <c r="H7723" s="8">
        <f>IF(G7723="","",G7723-I7723)</f>
        <v/>
      </c>
      <c r="I7723" s="8">
        <f>IF(D7723="","",VLOOKUP(D7723, RECETTES!B:G, 6, FALSE)*E7723)</f>
        <v/>
      </c>
      <c r="J7723" s="8">
        <f>IF(G7723="","",G7723*0.20)</f>
        <v/>
      </c>
      <c r="K7723" s="8">
        <f>IF(G7723="","",G7723+J7723)</f>
        <v/>
      </c>
    </row>
    <row r="7724">
      <c r="F7724" s="8" t="n"/>
      <c r="G7724" s="8">
        <f>IF(E7724="","",E7724*F7724)</f>
        <v/>
      </c>
      <c r="H7724" s="8">
        <f>IF(G7724="","",G7724-I7724)</f>
        <v/>
      </c>
      <c r="I7724" s="8">
        <f>IF(D7724="","",VLOOKUP(D7724, RECETTES!B:G, 6, FALSE)*E7724)</f>
        <v/>
      </c>
      <c r="J7724" s="8">
        <f>IF(G7724="","",G7724*0.20)</f>
        <v/>
      </c>
      <c r="K7724" s="8">
        <f>IF(G7724="","",G7724+J7724)</f>
        <v/>
      </c>
    </row>
    <row r="7725">
      <c r="F7725" s="8" t="n"/>
      <c r="G7725" s="8">
        <f>IF(E7725="","",E7725*F7725)</f>
        <v/>
      </c>
      <c r="H7725" s="8">
        <f>IF(G7725="","",G7725-I7725)</f>
        <v/>
      </c>
      <c r="I7725" s="8">
        <f>IF(D7725="","",VLOOKUP(D7725, RECETTES!B:G, 6, FALSE)*E7725)</f>
        <v/>
      </c>
      <c r="J7725" s="8">
        <f>IF(G7725="","",G7725*0.20)</f>
        <v/>
      </c>
      <c r="K7725" s="8">
        <f>IF(G7725="","",G7725+J7725)</f>
        <v/>
      </c>
    </row>
    <row r="7726">
      <c r="F7726" s="8" t="n"/>
      <c r="G7726" s="8">
        <f>IF(E7726="","",E7726*F7726)</f>
        <v/>
      </c>
      <c r="H7726" s="8">
        <f>IF(G7726="","",G7726-I7726)</f>
        <v/>
      </c>
      <c r="I7726" s="8">
        <f>IF(D7726="","",VLOOKUP(D7726, RECETTES!B:G, 6, FALSE)*E7726)</f>
        <v/>
      </c>
      <c r="J7726" s="8">
        <f>IF(G7726="","",G7726*0.20)</f>
        <v/>
      </c>
      <c r="K7726" s="8">
        <f>IF(G7726="","",G7726+J7726)</f>
        <v/>
      </c>
    </row>
    <row r="7727">
      <c r="F7727" s="8" t="n"/>
      <c r="G7727" s="8">
        <f>IF(E7727="","",E7727*F7727)</f>
        <v/>
      </c>
      <c r="H7727" s="8">
        <f>IF(G7727="","",G7727-I7727)</f>
        <v/>
      </c>
      <c r="I7727" s="8">
        <f>IF(D7727="","",VLOOKUP(D7727, RECETTES!B:G, 6, FALSE)*E7727)</f>
        <v/>
      </c>
      <c r="J7727" s="8">
        <f>IF(G7727="","",G7727*0.20)</f>
        <v/>
      </c>
      <c r="K7727" s="8">
        <f>IF(G7727="","",G7727+J7727)</f>
        <v/>
      </c>
    </row>
    <row r="7728">
      <c r="F7728" s="8" t="n"/>
      <c r="G7728" s="8">
        <f>IF(E7728="","",E7728*F7728)</f>
        <v/>
      </c>
      <c r="H7728" s="8">
        <f>IF(G7728="","",G7728-I7728)</f>
        <v/>
      </c>
      <c r="I7728" s="8">
        <f>IF(D7728="","",VLOOKUP(D7728, RECETTES!B:G, 6, FALSE)*E7728)</f>
        <v/>
      </c>
      <c r="J7728" s="8">
        <f>IF(G7728="","",G7728*0.20)</f>
        <v/>
      </c>
      <c r="K7728" s="8">
        <f>IF(G7728="","",G7728+J7728)</f>
        <v/>
      </c>
    </row>
    <row r="7729">
      <c r="F7729" s="8" t="n"/>
      <c r="G7729" s="8">
        <f>IF(E7729="","",E7729*F7729)</f>
        <v/>
      </c>
      <c r="H7729" s="8">
        <f>IF(G7729="","",G7729-I7729)</f>
        <v/>
      </c>
      <c r="I7729" s="8">
        <f>IF(D7729="","",VLOOKUP(D7729, RECETTES!B:G, 6, FALSE)*E7729)</f>
        <v/>
      </c>
      <c r="J7729" s="8">
        <f>IF(G7729="","",G7729*0.20)</f>
        <v/>
      </c>
      <c r="K7729" s="8">
        <f>IF(G7729="","",G7729+J7729)</f>
        <v/>
      </c>
    </row>
    <row r="7730">
      <c r="F7730" s="8" t="n"/>
      <c r="G7730" s="8">
        <f>IF(E7730="","",E7730*F7730)</f>
        <v/>
      </c>
      <c r="H7730" s="8">
        <f>IF(G7730="","",G7730-I7730)</f>
        <v/>
      </c>
      <c r="I7730" s="8">
        <f>IF(D7730="","",VLOOKUP(D7730, RECETTES!B:G, 6, FALSE)*E7730)</f>
        <v/>
      </c>
      <c r="J7730" s="8">
        <f>IF(G7730="","",G7730*0.20)</f>
        <v/>
      </c>
      <c r="K7730" s="8">
        <f>IF(G7730="","",G7730+J7730)</f>
        <v/>
      </c>
    </row>
    <row r="7731">
      <c r="F7731" s="8" t="n"/>
      <c r="G7731" s="8">
        <f>IF(E7731="","",E7731*F7731)</f>
        <v/>
      </c>
      <c r="H7731" s="8">
        <f>IF(G7731="","",G7731-I7731)</f>
        <v/>
      </c>
      <c r="I7731" s="8">
        <f>IF(D7731="","",VLOOKUP(D7731, RECETTES!B:G, 6, FALSE)*E7731)</f>
        <v/>
      </c>
      <c r="J7731" s="8">
        <f>IF(G7731="","",G7731*0.20)</f>
        <v/>
      </c>
      <c r="K7731" s="8">
        <f>IF(G7731="","",G7731+J7731)</f>
        <v/>
      </c>
    </row>
    <row r="7732">
      <c r="F7732" s="8" t="n"/>
      <c r="G7732" s="8">
        <f>IF(E7732="","",E7732*F7732)</f>
        <v/>
      </c>
      <c r="H7732" s="8">
        <f>IF(G7732="","",G7732-I7732)</f>
        <v/>
      </c>
      <c r="I7732" s="8">
        <f>IF(D7732="","",VLOOKUP(D7732, RECETTES!B:G, 6, FALSE)*E7732)</f>
        <v/>
      </c>
      <c r="J7732" s="8">
        <f>IF(G7732="","",G7732*0.20)</f>
        <v/>
      </c>
      <c r="K7732" s="8">
        <f>IF(G7732="","",G7732+J7732)</f>
        <v/>
      </c>
    </row>
    <row r="7733">
      <c r="F7733" s="8" t="n"/>
      <c r="G7733" s="8">
        <f>IF(E7733="","",E7733*F7733)</f>
        <v/>
      </c>
      <c r="H7733" s="8">
        <f>IF(G7733="","",G7733-I7733)</f>
        <v/>
      </c>
      <c r="I7733" s="8">
        <f>IF(D7733="","",VLOOKUP(D7733, RECETTES!B:G, 6, FALSE)*E7733)</f>
        <v/>
      </c>
      <c r="J7733" s="8">
        <f>IF(G7733="","",G7733*0.20)</f>
        <v/>
      </c>
      <c r="K7733" s="8">
        <f>IF(G7733="","",G7733+J7733)</f>
        <v/>
      </c>
    </row>
    <row r="7734">
      <c r="F7734" s="8" t="n"/>
      <c r="G7734" s="8">
        <f>IF(E7734="","",E7734*F7734)</f>
        <v/>
      </c>
      <c r="H7734" s="8">
        <f>IF(G7734="","",G7734-I7734)</f>
        <v/>
      </c>
      <c r="I7734" s="8">
        <f>IF(D7734="","",VLOOKUP(D7734, RECETTES!B:G, 6, FALSE)*E7734)</f>
        <v/>
      </c>
      <c r="J7734" s="8">
        <f>IF(G7734="","",G7734*0.20)</f>
        <v/>
      </c>
      <c r="K7734" s="8">
        <f>IF(G7734="","",G7734+J7734)</f>
        <v/>
      </c>
    </row>
    <row r="7735">
      <c r="F7735" s="8" t="n"/>
      <c r="G7735" s="8">
        <f>IF(E7735="","",E7735*F7735)</f>
        <v/>
      </c>
      <c r="H7735" s="8">
        <f>IF(G7735="","",G7735-I7735)</f>
        <v/>
      </c>
      <c r="I7735" s="8">
        <f>IF(D7735="","",VLOOKUP(D7735, RECETTES!B:G, 6, FALSE)*E7735)</f>
        <v/>
      </c>
      <c r="J7735" s="8">
        <f>IF(G7735="","",G7735*0.20)</f>
        <v/>
      </c>
      <c r="K7735" s="8">
        <f>IF(G7735="","",G7735+J7735)</f>
        <v/>
      </c>
    </row>
    <row r="7736">
      <c r="F7736" s="8" t="n"/>
      <c r="G7736" s="8">
        <f>IF(E7736="","",E7736*F7736)</f>
        <v/>
      </c>
      <c r="H7736" s="8">
        <f>IF(G7736="","",G7736-I7736)</f>
        <v/>
      </c>
      <c r="I7736" s="8">
        <f>IF(D7736="","",VLOOKUP(D7736, RECETTES!B:G, 6, FALSE)*E7736)</f>
        <v/>
      </c>
      <c r="J7736" s="8">
        <f>IF(G7736="","",G7736*0.20)</f>
        <v/>
      </c>
      <c r="K7736" s="8">
        <f>IF(G7736="","",G7736+J7736)</f>
        <v/>
      </c>
    </row>
    <row r="7737">
      <c r="F7737" s="8" t="n"/>
      <c r="G7737" s="8">
        <f>IF(E7737="","",E7737*F7737)</f>
        <v/>
      </c>
      <c r="H7737" s="8">
        <f>IF(G7737="","",G7737-I7737)</f>
        <v/>
      </c>
      <c r="I7737" s="8">
        <f>IF(D7737="","",VLOOKUP(D7737, RECETTES!B:G, 6, FALSE)*E7737)</f>
        <v/>
      </c>
      <c r="J7737" s="8">
        <f>IF(G7737="","",G7737*0.20)</f>
        <v/>
      </c>
      <c r="K7737" s="8">
        <f>IF(G7737="","",G7737+J7737)</f>
        <v/>
      </c>
    </row>
    <row r="7738">
      <c r="F7738" s="8" t="n"/>
      <c r="G7738" s="8">
        <f>IF(E7738="","",E7738*F7738)</f>
        <v/>
      </c>
      <c r="H7738" s="8">
        <f>IF(G7738="","",G7738-I7738)</f>
        <v/>
      </c>
      <c r="I7738" s="8">
        <f>IF(D7738="","",VLOOKUP(D7738, RECETTES!B:G, 6, FALSE)*E7738)</f>
        <v/>
      </c>
      <c r="J7738" s="8">
        <f>IF(G7738="","",G7738*0.20)</f>
        <v/>
      </c>
      <c r="K7738" s="8">
        <f>IF(G7738="","",G7738+J7738)</f>
        <v/>
      </c>
    </row>
    <row r="7739">
      <c r="F7739" s="8" t="n"/>
      <c r="G7739" s="8">
        <f>IF(E7739="","",E7739*F7739)</f>
        <v/>
      </c>
      <c r="H7739" s="8">
        <f>IF(G7739="","",G7739-I7739)</f>
        <v/>
      </c>
      <c r="I7739" s="8">
        <f>IF(D7739="","",VLOOKUP(D7739, RECETTES!B:G, 6, FALSE)*E7739)</f>
        <v/>
      </c>
      <c r="J7739" s="8">
        <f>IF(G7739="","",G7739*0.20)</f>
        <v/>
      </c>
      <c r="K7739" s="8">
        <f>IF(G7739="","",G7739+J7739)</f>
        <v/>
      </c>
    </row>
    <row r="7740">
      <c r="F7740" s="8" t="n"/>
      <c r="G7740" s="8">
        <f>IF(E7740="","",E7740*F7740)</f>
        <v/>
      </c>
      <c r="H7740" s="8">
        <f>IF(G7740="","",G7740-I7740)</f>
        <v/>
      </c>
      <c r="I7740" s="8">
        <f>IF(D7740="","",VLOOKUP(D7740, RECETTES!B:G, 6, FALSE)*E7740)</f>
        <v/>
      </c>
      <c r="J7740" s="8">
        <f>IF(G7740="","",G7740*0.20)</f>
        <v/>
      </c>
      <c r="K7740" s="8">
        <f>IF(G7740="","",G7740+J7740)</f>
        <v/>
      </c>
    </row>
    <row r="7741">
      <c r="F7741" s="8" t="n"/>
      <c r="G7741" s="8">
        <f>IF(E7741="","",E7741*F7741)</f>
        <v/>
      </c>
      <c r="H7741" s="8">
        <f>IF(G7741="","",G7741-I7741)</f>
        <v/>
      </c>
      <c r="I7741" s="8">
        <f>IF(D7741="","",VLOOKUP(D7741, RECETTES!B:G, 6, FALSE)*E7741)</f>
        <v/>
      </c>
      <c r="J7741" s="8">
        <f>IF(G7741="","",G7741*0.20)</f>
        <v/>
      </c>
      <c r="K7741" s="8">
        <f>IF(G7741="","",G7741+J7741)</f>
        <v/>
      </c>
    </row>
    <row r="7742">
      <c r="F7742" s="8" t="n"/>
      <c r="G7742" s="8">
        <f>IF(E7742="","",E7742*F7742)</f>
        <v/>
      </c>
      <c r="H7742" s="8">
        <f>IF(G7742="","",G7742-I7742)</f>
        <v/>
      </c>
      <c r="I7742" s="8">
        <f>IF(D7742="","",VLOOKUP(D7742, RECETTES!B:G, 6, FALSE)*E7742)</f>
        <v/>
      </c>
      <c r="J7742" s="8">
        <f>IF(G7742="","",G7742*0.20)</f>
        <v/>
      </c>
      <c r="K7742" s="8">
        <f>IF(G7742="","",G7742+J7742)</f>
        <v/>
      </c>
    </row>
    <row r="7743">
      <c r="F7743" s="8" t="n"/>
      <c r="G7743" s="8">
        <f>IF(E7743="","",E7743*F7743)</f>
        <v/>
      </c>
      <c r="H7743" s="8">
        <f>IF(G7743="","",G7743-I7743)</f>
        <v/>
      </c>
      <c r="I7743" s="8">
        <f>IF(D7743="","",VLOOKUP(D7743, RECETTES!B:G, 6, FALSE)*E7743)</f>
        <v/>
      </c>
      <c r="J7743" s="8">
        <f>IF(G7743="","",G7743*0.20)</f>
        <v/>
      </c>
      <c r="K7743" s="8">
        <f>IF(G7743="","",G7743+J7743)</f>
        <v/>
      </c>
    </row>
    <row r="7744">
      <c r="F7744" s="8" t="n"/>
      <c r="G7744" s="8">
        <f>IF(E7744="","",E7744*F7744)</f>
        <v/>
      </c>
      <c r="H7744" s="8">
        <f>IF(G7744="","",G7744-I7744)</f>
        <v/>
      </c>
      <c r="I7744" s="8">
        <f>IF(D7744="","",VLOOKUP(D7744, RECETTES!B:G, 6, FALSE)*E7744)</f>
        <v/>
      </c>
      <c r="J7744" s="8">
        <f>IF(G7744="","",G7744*0.20)</f>
        <v/>
      </c>
      <c r="K7744" s="8">
        <f>IF(G7744="","",G7744+J7744)</f>
        <v/>
      </c>
    </row>
    <row r="7745">
      <c r="F7745" s="8" t="n"/>
      <c r="G7745" s="8">
        <f>IF(E7745="","",E7745*F7745)</f>
        <v/>
      </c>
      <c r="H7745" s="8">
        <f>IF(G7745="","",G7745-I7745)</f>
        <v/>
      </c>
      <c r="I7745" s="8">
        <f>IF(D7745="","",VLOOKUP(D7745, RECETTES!B:G, 6, FALSE)*E7745)</f>
        <v/>
      </c>
      <c r="J7745" s="8">
        <f>IF(G7745="","",G7745*0.20)</f>
        <v/>
      </c>
      <c r="K7745" s="8">
        <f>IF(G7745="","",G7745+J7745)</f>
        <v/>
      </c>
    </row>
    <row r="7746">
      <c r="F7746" s="8" t="n"/>
      <c r="G7746" s="8">
        <f>IF(E7746="","",E7746*F7746)</f>
        <v/>
      </c>
      <c r="H7746" s="8">
        <f>IF(G7746="","",G7746-I7746)</f>
        <v/>
      </c>
      <c r="I7746" s="8">
        <f>IF(D7746="","",VLOOKUP(D7746, RECETTES!B:G, 6, FALSE)*E7746)</f>
        <v/>
      </c>
      <c r="J7746" s="8">
        <f>IF(G7746="","",G7746*0.20)</f>
        <v/>
      </c>
      <c r="K7746" s="8">
        <f>IF(G7746="","",G7746+J7746)</f>
        <v/>
      </c>
    </row>
    <row r="7747">
      <c r="F7747" s="8" t="n"/>
      <c r="G7747" s="8">
        <f>IF(E7747="","",E7747*F7747)</f>
        <v/>
      </c>
      <c r="H7747" s="8">
        <f>IF(G7747="","",G7747-I7747)</f>
        <v/>
      </c>
      <c r="I7747" s="8">
        <f>IF(D7747="","",VLOOKUP(D7747, RECETTES!B:G, 6, FALSE)*E7747)</f>
        <v/>
      </c>
      <c r="J7747" s="8">
        <f>IF(G7747="","",G7747*0.20)</f>
        <v/>
      </c>
      <c r="K7747" s="8">
        <f>IF(G7747="","",G7747+J7747)</f>
        <v/>
      </c>
    </row>
    <row r="7748">
      <c r="F7748" s="8" t="n"/>
      <c r="G7748" s="8">
        <f>IF(E7748="","",E7748*F7748)</f>
        <v/>
      </c>
      <c r="H7748" s="8">
        <f>IF(G7748="","",G7748-I7748)</f>
        <v/>
      </c>
      <c r="I7748" s="8">
        <f>IF(D7748="","",VLOOKUP(D7748, RECETTES!B:G, 6, FALSE)*E7748)</f>
        <v/>
      </c>
      <c r="J7748" s="8">
        <f>IF(G7748="","",G7748*0.20)</f>
        <v/>
      </c>
      <c r="K7748" s="8">
        <f>IF(G7748="","",G7748+J7748)</f>
        <v/>
      </c>
    </row>
    <row r="7749">
      <c r="F7749" s="8" t="n"/>
      <c r="G7749" s="8">
        <f>IF(E7749="","",E7749*F7749)</f>
        <v/>
      </c>
      <c r="H7749" s="8">
        <f>IF(G7749="","",G7749-I7749)</f>
        <v/>
      </c>
      <c r="I7749" s="8">
        <f>IF(D7749="","",VLOOKUP(D7749, RECETTES!B:G, 6, FALSE)*E7749)</f>
        <v/>
      </c>
      <c r="J7749" s="8">
        <f>IF(G7749="","",G7749*0.20)</f>
        <v/>
      </c>
      <c r="K7749" s="8">
        <f>IF(G7749="","",G7749+J7749)</f>
        <v/>
      </c>
    </row>
    <row r="7750">
      <c r="F7750" s="8" t="n"/>
      <c r="G7750" s="8">
        <f>IF(E7750="","",E7750*F7750)</f>
        <v/>
      </c>
      <c r="H7750" s="8">
        <f>IF(G7750="","",G7750-I7750)</f>
        <v/>
      </c>
      <c r="I7750" s="8">
        <f>IF(D7750="","",VLOOKUP(D7750, RECETTES!B:G, 6, FALSE)*E7750)</f>
        <v/>
      </c>
      <c r="J7750" s="8">
        <f>IF(G7750="","",G7750*0.20)</f>
        <v/>
      </c>
      <c r="K7750" s="8">
        <f>IF(G7750="","",G7750+J7750)</f>
        <v/>
      </c>
    </row>
    <row r="7751">
      <c r="F7751" s="8" t="n"/>
      <c r="G7751" s="8">
        <f>IF(E7751="","",E7751*F7751)</f>
        <v/>
      </c>
      <c r="H7751" s="8">
        <f>IF(G7751="","",G7751-I7751)</f>
        <v/>
      </c>
      <c r="I7751" s="8">
        <f>IF(D7751="","",VLOOKUP(D7751, RECETTES!B:G, 6, FALSE)*E7751)</f>
        <v/>
      </c>
      <c r="J7751" s="8">
        <f>IF(G7751="","",G7751*0.20)</f>
        <v/>
      </c>
      <c r="K7751" s="8">
        <f>IF(G7751="","",G7751+J7751)</f>
        <v/>
      </c>
    </row>
    <row r="7752">
      <c r="F7752" s="8" t="n"/>
      <c r="G7752" s="8">
        <f>IF(E7752="","",E7752*F7752)</f>
        <v/>
      </c>
      <c r="H7752" s="8">
        <f>IF(G7752="","",G7752-I7752)</f>
        <v/>
      </c>
      <c r="I7752" s="8">
        <f>IF(D7752="","",VLOOKUP(D7752, RECETTES!B:G, 6, FALSE)*E7752)</f>
        <v/>
      </c>
      <c r="J7752" s="8">
        <f>IF(G7752="","",G7752*0.20)</f>
        <v/>
      </c>
      <c r="K7752" s="8">
        <f>IF(G7752="","",G7752+J7752)</f>
        <v/>
      </c>
    </row>
    <row r="7753">
      <c r="F7753" s="8" t="n"/>
      <c r="G7753" s="8">
        <f>IF(E7753="","",E7753*F7753)</f>
        <v/>
      </c>
      <c r="H7753" s="8">
        <f>IF(G7753="","",G7753-I7753)</f>
        <v/>
      </c>
      <c r="I7753" s="8">
        <f>IF(D7753="","",VLOOKUP(D7753, RECETTES!B:G, 6, FALSE)*E7753)</f>
        <v/>
      </c>
      <c r="J7753" s="8">
        <f>IF(G7753="","",G7753*0.20)</f>
        <v/>
      </c>
      <c r="K7753" s="8">
        <f>IF(G7753="","",G7753+J7753)</f>
        <v/>
      </c>
    </row>
    <row r="7754">
      <c r="F7754" s="8" t="n"/>
      <c r="G7754" s="8">
        <f>IF(E7754="","",E7754*F7754)</f>
        <v/>
      </c>
      <c r="H7754" s="8">
        <f>IF(G7754="","",G7754-I7754)</f>
        <v/>
      </c>
      <c r="I7754" s="8">
        <f>IF(D7754="","",VLOOKUP(D7754, RECETTES!B:G, 6, FALSE)*E7754)</f>
        <v/>
      </c>
      <c r="J7754" s="8">
        <f>IF(G7754="","",G7754*0.20)</f>
        <v/>
      </c>
      <c r="K7754" s="8">
        <f>IF(G7754="","",G7754+J7754)</f>
        <v/>
      </c>
    </row>
    <row r="7755">
      <c r="F7755" s="8" t="n"/>
      <c r="G7755" s="8">
        <f>IF(E7755="","",E7755*F7755)</f>
        <v/>
      </c>
      <c r="H7755" s="8">
        <f>IF(G7755="","",G7755-I7755)</f>
        <v/>
      </c>
      <c r="I7755" s="8">
        <f>IF(D7755="","",VLOOKUP(D7755, RECETTES!B:G, 6, FALSE)*E7755)</f>
        <v/>
      </c>
      <c r="J7755" s="8">
        <f>IF(G7755="","",G7755*0.20)</f>
        <v/>
      </c>
      <c r="K7755" s="8">
        <f>IF(G7755="","",G7755+J7755)</f>
        <v/>
      </c>
    </row>
    <row r="7756">
      <c r="F7756" s="8" t="n"/>
      <c r="G7756" s="8">
        <f>IF(E7756="","",E7756*F7756)</f>
        <v/>
      </c>
      <c r="H7756" s="8">
        <f>IF(G7756="","",G7756-I7756)</f>
        <v/>
      </c>
      <c r="I7756" s="8">
        <f>IF(D7756="","",VLOOKUP(D7756, RECETTES!B:G, 6, FALSE)*E7756)</f>
        <v/>
      </c>
      <c r="J7756" s="8">
        <f>IF(G7756="","",G7756*0.20)</f>
        <v/>
      </c>
      <c r="K7756" s="8">
        <f>IF(G7756="","",G7756+J7756)</f>
        <v/>
      </c>
    </row>
    <row r="7757">
      <c r="F7757" s="8" t="n"/>
      <c r="G7757" s="8">
        <f>IF(E7757="","",E7757*F7757)</f>
        <v/>
      </c>
      <c r="H7757" s="8">
        <f>IF(G7757="","",G7757-I7757)</f>
        <v/>
      </c>
      <c r="I7757" s="8">
        <f>IF(D7757="","",VLOOKUP(D7757, RECETTES!B:G, 6, FALSE)*E7757)</f>
        <v/>
      </c>
      <c r="J7757" s="8">
        <f>IF(G7757="","",G7757*0.20)</f>
        <v/>
      </c>
      <c r="K7757" s="8">
        <f>IF(G7757="","",G7757+J7757)</f>
        <v/>
      </c>
    </row>
    <row r="7758">
      <c r="F7758" s="8" t="n"/>
      <c r="G7758" s="8">
        <f>IF(E7758="","",E7758*F7758)</f>
        <v/>
      </c>
      <c r="H7758" s="8">
        <f>IF(G7758="","",G7758-I7758)</f>
        <v/>
      </c>
      <c r="I7758" s="8">
        <f>IF(D7758="","",VLOOKUP(D7758, RECETTES!B:G, 6, FALSE)*E7758)</f>
        <v/>
      </c>
      <c r="J7758" s="8">
        <f>IF(G7758="","",G7758*0.20)</f>
        <v/>
      </c>
      <c r="K7758" s="8">
        <f>IF(G7758="","",G7758+J7758)</f>
        <v/>
      </c>
    </row>
    <row r="7759">
      <c r="F7759" s="8" t="n"/>
      <c r="G7759" s="8">
        <f>IF(E7759="","",E7759*F7759)</f>
        <v/>
      </c>
      <c r="H7759" s="8">
        <f>IF(G7759="","",G7759-I7759)</f>
        <v/>
      </c>
      <c r="I7759" s="8">
        <f>IF(D7759="","",VLOOKUP(D7759, RECETTES!B:G, 6, FALSE)*E7759)</f>
        <v/>
      </c>
      <c r="J7759" s="8">
        <f>IF(G7759="","",G7759*0.20)</f>
        <v/>
      </c>
      <c r="K7759" s="8">
        <f>IF(G7759="","",G7759+J7759)</f>
        <v/>
      </c>
    </row>
    <row r="7760">
      <c r="F7760" s="8" t="n"/>
      <c r="G7760" s="8">
        <f>IF(E7760="","",E7760*F7760)</f>
        <v/>
      </c>
      <c r="H7760" s="8">
        <f>IF(G7760="","",G7760-I7760)</f>
        <v/>
      </c>
      <c r="I7760" s="8">
        <f>IF(D7760="","",VLOOKUP(D7760, RECETTES!B:G, 6, FALSE)*E7760)</f>
        <v/>
      </c>
      <c r="J7760" s="8">
        <f>IF(G7760="","",G7760*0.20)</f>
        <v/>
      </c>
      <c r="K7760" s="8">
        <f>IF(G7760="","",G7760+J7760)</f>
        <v/>
      </c>
    </row>
    <row r="7761">
      <c r="F7761" s="8" t="n"/>
      <c r="G7761" s="8">
        <f>IF(E7761="","",E7761*F7761)</f>
        <v/>
      </c>
      <c r="H7761" s="8">
        <f>IF(G7761="","",G7761-I7761)</f>
        <v/>
      </c>
      <c r="I7761" s="8">
        <f>IF(D7761="","",VLOOKUP(D7761, RECETTES!B:G, 6, FALSE)*E7761)</f>
        <v/>
      </c>
      <c r="J7761" s="8">
        <f>IF(G7761="","",G7761*0.20)</f>
        <v/>
      </c>
      <c r="K7761" s="8">
        <f>IF(G7761="","",G7761+J7761)</f>
        <v/>
      </c>
    </row>
    <row r="7762">
      <c r="F7762" s="8" t="n"/>
      <c r="G7762" s="8">
        <f>IF(E7762="","",E7762*F7762)</f>
        <v/>
      </c>
      <c r="H7762" s="8">
        <f>IF(G7762="","",G7762-I7762)</f>
        <v/>
      </c>
      <c r="I7762" s="8">
        <f>IF(D7762="","",VLOOKUP(D7762, RECETTES!B:G, 6, FALSE)*E7762)</f>
        <v/>
      </c>
      <c r="J7762" s="8">
        <f>IF(G7762="","",G7762*0.20)</f>
        <v/>
      </c>
      <c r="K7762" s="8">
        <f>IF(G7762="","",G7762+J7762)</f>
        <v/>
      </c>
    </row>
    <row r="7763">
      <c r="F7763" s="8" t="n"/>
      <c r="G7763" s="8">
        <f>IF(E7763="","",E7763*F7763)</f>
        <v/>
      </c>
      <c r="H7763" s="8">
        <f>IF(G7763="","",G7763-I7763)</f>
        <v/>
      </c>
      <c r="I7763" s="8">
        <f>IF(D7763="","",VLOOKUP(D7763, RECETTES!B:G, 6, FALSE)*E7763)</f>
        <v/>
      </c>
      <c r="J7763" s="8">
        <f>IF(G7763="","",G7763*0.20)</f>
        <v/>
      </c>
      <c r="K7763" s="8">
        <f>IF(G7763="","",G7763+J7763)</f>
        <v/>
      </c>
    </row>
    <row r="7764">
      <c r="F7764" s="8" t="n"/>
      <c r="G7764" s="8">
        <f>IF(E7764="","",E7764*F7764)</f>
        <v/>
      </c>
      <c r="H7764" s="8">
        <f>IF(G7764="","",G7764-I7764)</f>
        <v/>
      </c>
      <c r="I7764" s="8">
        <f>IF(D7764="","",VLOOKUP(D7764, RECETTES!B:G, 6, FALSE)*E7764)</f>
        <v/>
      </c>
      <c r="J7764" s="8">
        <f>IF(G7764="","",G7764*0.20)</f>
        <v/>
      </c>
      <c r="K7764" s="8">
        <f>IF(G7764="","",G7764+J7764)</f>
        <v/>
      </c>
    </row>
    <row r="7765">
      <c r="F7765" s="8" t="n"/>
      <c r="G7765" s="8">
        <f>IF(E7765="","",E7765*F7765)</f>
        <v/>
      </c>
      <c r="H7765" s="8">
        <f>IF(G7765="","",G7765-I7765)</f>
        <v/>
      </c>
      <c r="I7765" s="8">
        <f>IF(D7765="","",VLOOKUP(D7765, RECETTES!B:G, 6, FALSE)*E7765)</f>
        <v/>
      </c>
      <c r="J7765" s="8">
        <f>IF(G7765="","",G7765*0.20)</f>
        <v/>
      </c>
      <c r="K7765" s="8">
        <f>IF(G7765="","",G7765+J7765)</f>
        <v/>
      </c>
    </row>
    <row r="7766">
      <c r="F7766" s="8" t="n"/>
      <c r="G7766" s="8">
        <f>IF(E7766="","",E7766*F7766)</f>
        <v/>
      </c>
      <c r="H7766" s="8">
        <f>IF(G7766="","",G7766-I7766)</f>
        <v/>
      </c>
      <c r="I7766" s="8">
        <f>IF(D7766="","",VLOOKUP(D7766, RECETTES!B:G, 6, FALSE)*E7766)</f>
        <v/>
      </c>
      <c r="J7766" s="8">
        <f>IF(G7766="","",G7766*0.20)</f>
        <v/>
      </c>
      <c r="K7766" s="8">
        <f>IF(G7766="","",G7766+J7766)</f>
        <v/>
      </c>
    </row>
    <row r="7767">
      <c r="F7767" s="8" t="n"/>
      <c r="G7767" s="8">
        <f>IF(E7767="","",E7767*F7767)</f>
        <v/>
      </c>
      <c r="H7767" s="8">
        <f>IF(G7767="","",G7767-I7767)</f>
        <v/>
      </c>
      <c r="I7767" s="8">
        <f>IF(D7767="","",VLOOKUP(D7767, RECETTES!B:G, 6, FALSE)*E7767)</f>
        <v/>
      </c>
      <c r="J7767" s="8">
        <f>IF(G7767="","",G7767*0.20)</f>
        <v/>
      </c>
      <c r="K7767" s="8">
        <f>IF(G7767="","",G7767+J7767)</f>
        <v/>
      </c>
    </row>
    <row r="7768">
      <c r="F7768" s="8" t="n"/>
      <c r="G7768" s="8">
        <f>IF(E7768="","",E7768*F7768)</f>
        <v/>
      </c>
      <c r="H7768" s="8">
        <f>IF(G7768="","",G7768-I7768)</f>
        <v/>
      </c>
      <c r="I7768" s="8">
        <f>IF(D7768="","",VLOOKUP(D7768, RECETTES!B:G, 6, FALSE)*E7768)</f>
        <v/>
      </c>
      <c r="J7768" s="8">
        <f>IF(G7768="","",G7768*0.20)</f>
        <v/>
      </c>
      <c r="K7768" s="8">
        <f>IF(G7768="","",G7768+J7768)</f>
        <v/>
      </c>
    </row>
    <row r="7769">
      <c r="F7769" s="8" t="n"/>
      <c r="G7769" s="8">
        <f>IF(E7769="","",E7769*F7769)</f>
        <v/>
      </c>
      <c r="H7769" s="8">
        <f>IF(G7769="","",G7769-I7769)</f>
        <v/>
      </c>
      <c r="I7769" s="8">
        <f>IF(D7769="","",VLOOKUP(D7769, RECETTES!B:G, 6, FALSE)*E7769)</f>
        <v/>
      </c>
      <c r="J7769" s="8">
        <f>IF(G7769="","",G7769*0.20)</f>
        <v/>
      </c>
      <c r="K7769" s="8">
        <f>IF(G7769="","",G7769+J7769)</f>
        <v/>
      </c>
    </row>
    <row r="7770">
      <c r="F7770" s="8" t="n"/>
      <c r="G7770" s="8">
        <f>IF(E7770="","",E7770*F7770)</f>
        <v/>
      </c>
      <c r="H7770" s="8">
        <f>IF(G7770="","",G7770-I7770)</f>
        <v/>
      </c>
      <c r="I7770" s="8">
        <f>IF(D7770="","",VLOOKUP(D7770, RECETTES!B:G, 6, FALSE)*E7770)</f>
        <v/>
      </c>
      <c r="J7770" s="8">
        <f>IF(G7770="","",G7770*0.20)</f>
        <v/>
      </c>
      <c r="K7770" s="8">
        <f>IF(G7770="","",G7770+J7770)</f>
        <v/>
      </c>
    </row>
    <row r="7771">
      <c r="F7771" s="8" t="n"/>
      <c r="G7771" s="8">
        <f>IF(E7771="","",E7771*F7771)</f>
        <v/>
      </c>
      <c r="H7771" s="8">
        <f>IF(G7771="","",G7771-I7771)</f>
        <v/>
      </c>
      <c r="I7771" s="8">
        <f>IF(D7771="","",VLOOKUP(D7771, RECETTES!B:G, 6, FALSE)*E7771)</f>
        <v/>
      </c>
      <c r="J7771" s="8">
        <f>IF(G7771="","",G7771*0.20)</f>
        <v/>
      </c>
      <c r="K7771" s="8">
        <f>IF(G7771="","",G7771+J7771)</f>
        <v/>
      </c>
    </row>
    <row r="7772">
      <c r="F7772" s="8" t="n"/>
      <c r="G7772" s="8">
        <f>IF(E7772="","",E7772*F7772)</f>
        <v/>
      </c>
      <c r="H7772" s="8">
        <f>IF(G7772="","",G7772-I7772)</f>
        <v/>
      </c>
      <c r="I7772" s="8">
        <f>IF(D7772="","",VLOOKUP(D7772, RECETTES!B:G, 6, FALSE)*E7772)</f>
        <v/>
      </c>
      <c r="J7772" s="8">
        <f>IF(G7772="","",G7772*0.20)</f>
        <v/>
      </c>
      <c r="K7772" s="8">
        <f>IF(G7772="","",G7772+J7772)</f>
        <v/>
      </c>
    </row>
    <row r="7773">
      <c r="F7773" s="8" t="n"/>
      <c r="G7773" s="8">
        <f>IF(E7773="","",E7773*F7773)</f>
        <v/>
      </c>
      <c r="H7773" s="8">
        <f>IF(G7773="","",G7773-I7773)</f>
        <v/>
      </c>
      <c r="I7773" s="8">
        <f>IF(D7773="","",VLOOKUP(D7773, RECETTES!B:G, 6, FALSE)*E7773)</f>
        <v/>
      </c>
      <c r="J7773" s="8">
        <f>IF(G7773="","",G7773*0.20)</f>
        <v/>
      </c>
      <c r="K7773" s="8">
        <f>IF(G7773="","",G7773+J7773)</f>
        <v/>
      </c>
    </row>
    <row r="7774">
      <c r="F7774" s="8" t="n"/>
      <c r="G7774" s="8">
        <f>IF(E7774="","",E7774*F7774)</f>
        <v/>
      </c>
      <c r="H7774" s="8">
        <f>IF(G7774="","",G7774-I7774)</f>
        <v/>
      </c>
      <c r="I7774" s="8">
        <f>IF(D7774="","",VLOOKUP(D7774, RECETTES!B:G, 6, FALSE)*E7774)</f>
        <v/>
      </c>
      <c r="J7774" s="8">
        <f>IF(G7774="","",G7774*0.20)</f>
        <v/>
      </c>
      <c r="K7774" s="8">
        <f>IF(G7774="","",G7774+J7774)</f>
        <v/>
      </c>
    </row>
    <row r="7775">
      <c r="F7775" s="8" t="n"/>
      <c r="G7775" s="8">
        <f>IF(E7775="","",E7775*F7775)</f>
        <v/>
      </c>
      <c r="H7775" s="8">
        <f>IF(G7775="","",G7775-I7775)</f>
        <v/>
      </c>
      <c r="I7775" s="8">
        <f>IF(D7775="","",VLOOKUP(D7775, RECETTES!B:G, 6, FALSE)*E7775)</f>
        <v/>
      </c>
      <c r="J7775" s="8">
        <f>IF(G7775="","",G7775*0.20)</f>
        <v/>
      </c>
      <c r="K7775" s="8">
        <f>IF(G7775="","",G7775+J7775)</f>
        <v/>
      </c>
    </row>
    <row r="7776">
      <c r="F7776" s="8" t="n"/>
      <c r="G7776" s="8">
        <f>IF(E7776="","",E7776*F7776)</f>
        <v/>
      </c>
      <c r="H7776" s="8">
        <f>IF(G7776="","",G7776-I7776)</f>
        <v/>
      </c>
      <c r="I7776" s="8">
        <f>IF(D7776="","",VLOOKUP(D7776, RECETTES!B:G, 6, FALSE)*E7776)</f>
        <v/>
      </c>
      <c r="J7776" s="8">
        <f>IF(G7776="","",G7776*0.20)</f>
        <v/>
      </c>
      <c r="K7776" s="8">
        <f>IF(G7776="","",G7776+J7776)</f>
        <v/>
      </c>
    </row>
    <row r="7777">
      <c r="F7777" s="8" t="n"/>
      <c r="G7777" s="8">
        <f>IF(E7777="","",E7777*F7777)</f>
        <v/>
      </c>
      <c r="H7777" s="8">
        <f>IF(G7777="","",G7777-I7777)</f>
        <v/>
      </c>
      <c r="I7777" s="8">
        <f>IF(D7777="","",VLOOKUP(D7777, RECETTES!B:G, 6, FALSE)*E7777)</f>
        <v/>
      </c>
      <c r="J7777" s="8">
        <f>IF(G7777="","",G7777*0.20)</f>
        <v/>
      </c>
      <c r="K7777" s="8">
        <f>IF(G7777="","",G7777+J7777)</f>
        <v/>
      </c>
    </row>
    <row r="7778">
      <c r="F7778" s="8" t="n"/>
      <c r="G7778" s="8">
        <f>IF(E7778="","",E7778*F7778)</f>
        <v/>
      </c>
      <c r="H7778" s="8">
        <f>IF(G7778="","",G7778-I7778)</f>
        <v/>
      </c>
      <c r="I7778" s="8">
        <f>IF(D7778="","",VLOOKUP(D7778, RECETTES!B:G, 6, FALSE)*E7778)</f>
        <v/>
      </c>
      <c r="J7778" s="8">
        <f>IF(G7778="","",G7778*0.20)</f>
        <v/>
      </c>
      <c r="K7778" s="8">
        <f>IF(G7778="","",G7778+J7778)</f>
        <v/>
      </c>
    </row>
    <row r="7779">
      <c r="F7779" s="8" t="n"/>
      <c r="G7779" s="8">
        <f>IF(E7779="","",E7779*F7779)</f>
        <v/>
      </c>
      <c r="H7779" s="8">
        <f>IF(G7779="","",G7779-I7779)</f>
        <v/>
      </c>
      <c r="I7779" s="8">
        <f>IF(D7779="","",VLOOKUP(D7779, RECETTES!B:G, 6, FALSE)*E7779)</f>
        <v/>
      </c>
      <c r="J7779" s="8">
        <f>IF(G7779="","",G7779*0.20)</f>
        <v/>
      </c>
      <c r="K7779" s="8">
        <f>IF(G7779="","",G7779+J7779)</f>
        <v/>
      </c>
    </row>
    <row r="7780">
      <c r="F7780" s="8" t="n"/>
      <c r="G7780" s="8">
        <f>IF(E7780="","",E7780*F7780)</f>
        <v/>
      </c>
      <c r="H7780" s="8">
        <f>IF(G7780="","",G7780-I7780)</f>
        <v/>
      </c>
      <c r="I7780" s="8">
        <f>IF(D7780="","",VLOOKUP(D7780, RECETTES!B:G, 6, FALSE)*E7780)</f>
        <v/>
      </c>
      <c r="J7780" s="8">
        <f>IF(G7780="","",G7780*0.20)</f>
        <v/>
      </c>
      <c r="K7780" s="8">
        <f>IF(G7780="","",G7780+J7780)</f>
        <v/>
      </c>
    </row>
    <row r="7781">
      <c r="F7781" s="8" t="n"/>
      <c r="G7781" s="8">
        <f>IF(E7781="","",E7781*F7781)</f>
        <v/>
      </c>
      <c r="H7781" s="8">
        <f>IF(G7781="","",G7781-I7781)</f>
        <v/>
      </c>
      <c r="I7781" s="8">
        <f>IF(D7781="","",VLOOKUP(D7781, RECETTES!B:G, 6, FALSE)*E7781)</f>
        <v/>
      </c>
      <c r="J7781" s="8">
        <f>IF(G7781="","",G7781*0.20)</f>
        <v/>
      </c>
      <c r="K7781" s="8">
        <f>IF(G7781="","",G7781+J7781)</f>
        <v/>
      </c>
    </row>
    <row r="7782">
      <c r="F7782" s="8" t="n"/>
      <c r="G7782" s="8">
        <f>IF(E7782="","",E7782*F7782)</f>
        <v/>
      </c>
      <c r="H7782" s="8">
        <f>IF(G7782="","",G7782-I7782)</f>
        <v/>
      </c>
      <c r="I7782" s="8">
        <f>IF(D7782="","",VLOOKUP(D7782, RECETTES!B:G, 6, FALSE)*E7782)</f>
        <v/>
      </c>
      <c r="J7782" s="8">
        <f>IF(G7782="","",G7782*0.20)</f>
        <v/>
      </c>
      <c r="K7782" s="8">
        <f>IF(G7782="","",G7782+J7782)</f>
        <v/>
      </c>
    </row>
    <row r="7783">
      <c r="F7783" s="8" t="n"/>
      <c r="G7783" s="8">
        <f>IF(E7783="","",E7783*F7783)</f>
        <v/>
      </c>
      <c r="H7783" s="8">
        <f>IF(G7783="","",G7783-I7783)</f>
        <v/>
      </c>
      <c r="I7783" s="8">
        <f>IF(D7783="","",VLOOKUP(D7783, RECETTES!B:G, 6, FALSE)*E7783)</f>
        <v/>
      </c>
      <c r="J7783" s="8">
        <f>IF(G7783="","",G7783*0.20)</f>
        <v/>
      </c>
      <c r="K7783" s="8">
        <f>IF(G7783="","",G7783+J7783)</f>
        <v/>
      </c>
    </row>
    <row r="7784">
      <c r="F7784" s="8" t="n"/>
      <c r="G7784" s="8">
        <f>IF(E7784="","",E7784*F7784)</f>
        <v/>
      </c>
      <c r="H7784" s="8">
        <f>IF(G7784="","",G7784-I7784)</f>
        <v/>
      </c>
      <c r="I7784" s="8">
        <f>IF(D7784="","",VLOOKUP(D7784, RECETTES!B:G, 6, FALSE)*E7784)</f>
        <v/>
      </c>
      <c r="J7784" s="8">
        <f>IF(G7784="","",G7784*0.20)</f>
        <v/>
      </c>
      <c r="K7784" s="8">
        <f>IF(G7784="","",G7784+J7784)</f>
        <v/>
      </c>
    </row>
    <row r="7785">
      <c r="F7785" s="8" t="n"/>
      <c r="G7785" s="8">
        <f>IF(E7785="","",E7785*F7785)</f>
        <v/>
      </c>
      <c r="H7785" s="8">
        <f>IF(G7785="","",G7785-I7785)</f>
        <v/>
      </c>
      <c r="I7785" s="8">
        <f>IF(D7785="","",VLOOKUP(D7785, RECETTES!B:G, 6, FALSE)*E7785)</f>
        <v/>
      </c>
      <c r="J7785" s="8">
        <f>IF(G7785="","",G7785*0.20)</f>
        <v/>
      </c>
      <c r="K7785" s="8">
        <f>IF(G7785="","",G7785+J7785)</f>
        <v/>
      </c>
    </row>
    <row r="7786">
      <c r="F7786" s="8" t="n"/>
      <c r="G7786" s="8">
        <f>IF(E7786="","",E7786*F7786)</f>
        <v/>
      </c>
      <c r="H7786" s="8">
        <f>IF(G7786="","",G7786-I7786)</f>
        <v/>
      </c>
      <c r="I7786" s="8">
        <f>IF(D7786="","",VLOOKUP(D7786, RECETTES!B:G, 6, FALSE)*E7786)</f>
        <v/>
      </c>
      <c r="J7786" s="8">
        <f>IF(G7786="","",G7786*0.20)</f>
        <v/>
      </c>
      <c r="K7786" s="8">
        <f>IF(G7786="","",G7786+J7786)</f>
        <v/>
      </c>
    </row>
    <row r="7787">
      <c r="F7787" s="8" t="n"/>
      <c r="G7787" s="8">
        <f>IF(E7787="","",E7787*F7787)</f>
        <v/>
      </c>
      <c r="H7787" s="8">
        <f>IF(G7787="","",G7787-I7787)</f>
        <v/>
      </c>
      <c r="I7787" s="8">
        <f>IF(D7787="","",VLOOKUP(D7787, RECETTES!B:G, 6, FALSE)*E7787)</f>
        <v/>
      </c>
      <c r="J7787" s="8">
        <f>IF(G7787="","",G7787*0.20)</f>
        <v/>
      </c>
      <c r="K7787" s="8">
        <f>IF(G7787="","",G7787+J7787)</f>
        <v/>
      </c>
    </row>
    <row r="7788">
      <c r="F7788" s="8" t="n"/>
      <c r="G7788" s="8">
        <f>IF(E7788="","",E7788*F7788)</f>
        <v/>
      </c>
      <c r="H7788" s="8">
        <f>IF(G7788="","",G7788-I7788)</f>
        <v/>
      </c>
      <c r="I7788" s="8">
        <f>IF(D7788="","",VLOOKUP(D7788, RECETTES!B:G, 6, FALSE)*E7788)</f>
        <v/>
      </c>
      <c r="J7788" s="8">
        <f>IF(G7788="","",G7788*0.20)</f>
        <v/>
      </c>
      <c r="K7788" s="8">
        <f>IF(G7788="","",G7788+J7788)</f>
        <v/>
      </c>
    </row>
    <row r="7789">
      <c r="F7789" s="8" t="n"/>
      <c r="G7789" s="8">
        <f>IF(E7789="","",E7789*F7789)</f>
        <v/>
      </c>
      <c r="H7789" s="8">
        <f>IF(G7789="","",G7789-I7789)</f>
        <v/>
      </c>
      <c r="I7789" s="8">
        <f>IF(D7789="","",VLOOKUP(D7789, RECETTES!B:G, 6, FALSE)*E7789)</f>
        <v/>
      </c>
      <c r="J7789" s="8">
        <f>IF(G7789="","",G7789*0.20)</f>
        <v/>
      </c>
      <c r="K7789" s="8">
        <f>IF(G7789="","",G7789+J7789)</f>
        <v/>
      </c>
    </row>
    <row r="7790">
      <c r="F7790" s="8" t="n"/>
      <c r="G7790" s="8">
        <f>IF(E7790="","",E7790*F7790)</f>
        <v/>
      </c>
      <c r="H7790" s="8">
        <f>IF(G7790="","",G7790-I7790)</f>
        <v/>
      </c>
      <c r="I7790" s="8">
        <f>IF(D7790="","",VLOOKUP(D7790, RECETTES!B:G, 6, FALSE)*E7790)</f>
        <v/>
      </c>
      <c r="J7790" s="8">
        <f>IF(G7790="","",G7790*0.20)</f>
        <v/>
      </c>
      <c r="K7790" s="8">
        <f>IF(G7790="","",G7790+J7790)</f>
        <v/>
      </c>
    </row>
    <row r="7791">
      <c r="F7791" s="8" t="n"/>
      <c r="G7791" s="8">
        <f>IF(E7791="","",E7791*F7791)</f>
        <v/>
      </c>
      <c r="H7791" s="8">
        <f>IF(G7791="","",G7791-I7791)</f>
        <v/>
      </c>
      <c r="I7791" s="8">
        <f>IF(D7791="","",VLOOKUP(D7791, RECETTES!B:G, 6, FALSE)*E7791)</f>
        <v/>
      </c>
      <c r="J7791" s="8">
        <f>IF(G7791="","",G7791*0.20)</f>
        <v/>
      </c>
      <c r="K7791" s="8">
        <f>IF(G7791="","",G7791+J7791)</f>
        <v/>
      </c>
    </row>
    <row r="7792">
      <c r="F7792" s="8" t="n"/>
      <c r="G7792" s="8">
        <f>IF(E7792="","",E7792*F7792)</f>
        <v/>
      </c>
      <c r="H7792" s="8">
        <f>IF(G7792="","",G7792-I7792)</f>
        <v/>
      </c>
      <c r="I7792" s="8">
        <f>IF(D7792="","",VLOOKUP(D7792, RECETTES!B:G, 6, FALSE)*E7792)</f>
        <v/>
      </c>
      <c r="J7792" s="8">
        <f>IF(G7792="","",G7792*0.20)</f>
        <v/>
      </c>
      <c r="K7792" s="8">
        <f>IF(G7792="","",G7792+J7792)</f>
        <v/>
      </c>
    </row>
    <row r="7793">
      <c r="F7793" s="8" t="n"/>
      <c r="G7793" s="8">
        <f>IF(E7793="","",E7793*F7793)</f>
        <v/>
      </c>
      <c r="H7793" s="8">
        <f>IF(G7793="","",G7793-I7793)</f>
        <v/>
      </c>
      <c r="I7793" s="8">
        <f>IF(D7793="","",VLOOKUP(D7793, RECETTES!B:G, 6, FALSE)*E7793)</f>
        <v/>
      </c>
      <c r="J7793" s="8">
        <f>IF(G7793="","",G7793*0.20)</f>
        <v/>
      </c>
      <c r="K7793" s="8">
        <f>IF(G7793="","",G7793+J7793)</f>
        <v/>
      </c>
    </row>
    <row r="7794">
      <c r="F7794" s="8" t="n"/>
      <c r="G7794" s="8">
        <f>IF(E7794="","",E7794*F7794)</f>
        <v/>
      </c>
      <c r="H7794" s="8">
        <f>IF(G7794="","",G7794-I7794)</f>
        <v/>
      </c>
      <c r="I7794" s="8">
        <f>IF(D7794="","",VLOOKUP(D7794, RECETTES!B:G, 6, FALSE)*E7794)</f>
        <v/>
      </c>
      <c r="J7794" s="8">
        <f>IF(G7794="","",G7794*0.20)</f>
        <v/>
      </c>
      <c r="K7794" s="8">
        <f>IF(G7794="","",G7794+J7794)</f>
        <v/>
      </c>
    </row>
    <row r="7795">
      <c r="F7795" s="8" t="n"/>
      <c r="G7795" s="8">
        <f>IF(E7795="","",E7795*F7795)</f>
        <v/>
      </c>
      <c r="H7795" s="8">
        <f>IF(G7795="","",G7795-I7795)</f>
        <v/>
      </c>
      <c r="I7795" s="8">
        <f>IF(D7795="","",VLOOKUP(D7795, RECETTES!B:G, 6, FALSE)*E7795)</f>
        <v/>
      </c>
      <c r="J7795" s="8">
        <f>IF(G7795="","",G7795*0.20)</f>
        <v/>
      </c>
      <c r="K7795" s="8">
        <f>IF(G7795="","",G7795+J7795)</f>
        <v/>
      </c>
    </row>
    <row r="7796">
      <c r="F7796" s="8" t="n"/>
      <c r="G7796" s="8">
        <f>IF(E7796="","",E7796*F7796)</f>
        <v/>
      </c>
      <c r="H7796" s="8">
        <f>IF(G7796="","",G7796-I7796)</f>
        <v/>
      </c>
      <c r="I7796" s="8">
        <f>IF(D7796="","",VLOOKUP(D7796, RECETTES!B:G, 6, FALSE)*E7796)</f>
        <v/>
      </c>
      <c r="J7796" s="8">
        <f>IF(G7796="","",G7796*0.20)</f>
        <v/>
      </c>
      <c r="K7796" s="8">
        <f>IF(G7796="","",G7796+J7796)</f>
        <v/>
      </c>
    </row>
    <row r="7797">
      <c r="F7797" s="8" t="n"/>
      <c r="G7797" s="8">
        <f>IF(E7797="","",E7797*F7797)</f>
        <v/>
      </c>
      <c r="H7797" s="8">
        <f>IF(G7797="","",G7797-I7797)</f>
        <v/>
      </c>
      <c r="I7797" s="8">
        <f>IF(D7797="","",VLOOKUP(D7797, RECETTES!B:G, 6, FALSE)*E7797)</f>
        <v/>
      </c>
      <c r="J7797" s="8">
        <f>IF(G7797="","",G7797*0.20)</f>
        <v/>
      </c>
      <c r="K7797" s="8">
        <f>IF(G7797="","",G7797+J7797)</f>
        <v/>
      </c>
    </row>
    <row r="7798">
      <c r="F7798" s="8" t="n"/>
      <c r="G7798" s="8">
        <f>IF(E7798="","",E7798*F7798)</f>
        <v/>
      </c>
      <c r="H7798" s="8">
        <f>IF(G7798="","",G7798-I7798)</f>
        <v/>
      </c>
      <c r="I7798" s="8">
        <f>IF(D7798="","",VLOOKUP(D7798, RECETTES!B:G, 6, FALSE)*E7798)</f>
        <v/>
      </c>
      <c r="J7798" s="8">
        <f>IF(G7798="","",G7798*0.20)</f>
        <v/>
      </c>
      <c r="K7798" s="8">
        <f>IF(G7798="","",G7798+J7798)</f>
        <v/>
      </c>
    </row>
    <row r="7799">
      <c r="F7799" s="8" t="n"/>
      <c r="G7799" s="8">
        <f>IF(E7799="","",E7799*F7799)</f>
        <v/>
      </c>
      <c r="H7799" s="8">
        <f>IF(G7799="","",G7799-I7799)</f>
        <v/>
      </c>
      <c r="I7799" s="8">
        <f>IF(D7799="","",VLOOKUP(D7799, RECETTES!B:G, 6, FALSE)*E7799)</f>
        <v/>
      </c>
      <c r="J7799" s="8">
        <f>IF(G7799="","",G7799*0.20)</f>
        <v/>
      </c>
      <c r="K7799" s="8">
        <f>IF(G7799="","",G7799+J7799)</f>
        <v/>
      </c>
    </row>
    <row r="7800">
      <c r="F7800" s="8" t="n"/>
      <c r="G7800" s="8">
        <f>IF(E7800="","",E7800*F7800)</f>
        <v/>
      </c>
      <c r="H7800" s="8">
        <f>IF(G7800="","",G7800-I7800)</f>
        <v/>
      </c>
      <c r="I7800" s="8">
        <f>IF(D7800="","",VLOOKUP(D7800, RECETTES!B:G, 6, FALSE)*E7800)</f>
        <v/>
      </c>
      <c r="J7800" s="8">
        <f>IF(G7800="","",G7800*0.20)</f>
        <v/>
      </c>
      <c r="K7800" s="8">
        <f>IF(G7800="","",G7800+J7800)</f>
        <v/>
      </c>
    </row>
    <row r="7801">
      <c r="F7801" s="8" t="n"/>
      <c r="G7801" s="8">
        <f>IF(E7801="","",E7801*F7801)</f>
        <v/>
      </c>
      <c r="H7801" s="8">
        <f>IF(G7801="","",G7801-I7801)</f>
        <v/>
      </c>
      <c r="I7801" s="8">
        <f>IF(D7801="","",VLOOKUP(D7801, RECETTES!B:G, 6, FALSE)*E7801)</f>
        <v/>
      </c>
      <c r="J7801" s="8">
        <f>IF(G7801="","",G7801*0.20)</f>
        <v/>
      </c>
      <c r="K7801" s="8">
        <f>IF(G7801="","",G7801+J7801)</f>
        <v/>
      </c>
    </row>
    <row r="7802">
      <c r="F7802" s="8" t="n"/>
      <c r="G7802" s="8">
        <f>IF(E7802="","",E7802*F7802)</f>
        <v/>
      </c>
      <c r="H7802" s="8">
        <f>IF(G7802="","",G7802-I7802)</f>
        <v/>
      </c>
      <c r="I7802" s="8">
        <f>IF(D7802="","",VLOOKUP(D7802, RECETTES!B:G, 6, FALSE)*E7802)</f>
        <v/>
      </c>
      <c r="J7802" s="8">
        <f>IF(G7802="","",G7802*0.20)</f>
        <v/>
      </c>
      <c r="K7802" s="8">
        <f>IF(G7802="","",G7802+J7802)</f>
        <v/>
      </c>
    </row>
    <row r="7803">
      <c r="F7803" s="8" t="n"/>
      <c r="G7803" s="8">
        <f>IF(E7803="","",E7803*F7803)</f>
        <v/>
      </c>
      <c r="H7803" s="8">
        <f>IF(G7803="","",G7803-I7803)</f>
        <v/>
      </c>
      <c r="I7803" s="8">
        <f>IF(D7803="","",VLOOKUP(D7803, RECETTES!B:G, 6, FALSE)*E7803)</f>
        <v/>
      </c>
      <c r="J7803" s="8">
        <f>IF(G7803="","",G7803*0.20)</f>
        <v/>
      </c>
      <c r="K7803" s="8">
        <f>IF(G7803="","",G7803+J7803)</f>
        <v/>
      </c>
    </row>
    <row r="7804">
      <c r="F7804" s="8" t="n"/>
      <c r="G7804" s="8">
        <f>IF(E7804="","",E7804*F7804)</f>
        <v/>
      </c>
      <c r="H7804" s="8">
        <f>IF(G7804="","",G7804-I7804)</f>
        <v/>
      </c>
      <c r="I7804" s="8">
        <f>IF(D7804="","",VLOOKUP(D7804, RECETTES!B:G, 6, FALSE)*E7804)</f>
        <v/>
      </c>
      <c r="J7804" s="8">
        <f>IF(G7804="","",G7804*0.20)</f>
        <v/>
      </c>
      <c r="K7804" s="8">
        <f>IF(G7804="","",G7804+J7804)</f>
        <v/>
      </c>
    </row>
    <row r="7805">
      <c r="F7805" s="8" t="n"/>
      <c r="G7805" s="8">
        <f>IF(E7805="","",E7805*F7805)</f>
        <v/>
      </c>
      <c r="H7805" s="8">
        <f>IF(G7805="","",G7805-I7805)</f>
        <v/>
      </c>
      <c r="I7805" s="8">
        <f>IF(D7805="","",VLOOKUP(D7805, RECETTES!B:G, 6, FALSE)*E7805)</f>
        <v/>
      </c>
      <c r="J7805" s="8">
        <f>IF(G7805="","",G7805*0.20)</f>
        <v/>
      </c>
      <c r="K7805" s="8">
        <f>IF(G7805="","",G7805+J7805)</f>
        <v/>
      </c>
    </row>
    <row r="7806">
      <c r="F7806" s="8" t="n"/>
      <c r="G7806" s="8">
        <f>IF(E7806="","",E7806*F7806)</f>
        <v/>
      </c>
      <c r="H7806" s="8">
        <f>IF(G7806="","",G7806-I7806)</f>
        <v/>
      </c>
      <c r="I7806" s="8">
        <f>IF(D7806="","",VLOOKUP(D7806, RECETTES!B:G, 6, FALSE)*E7806)</f>
        <v/>
      </c>
      <c r="J7806" s="8">
        <f>IF(G7806="","",G7806*0.20)</f>
        <v/>
      </c>
      <c r="K7806" s="8">
        <f>IF(G7806="","",G7806+J7806)</f>
        <v/>
      </c>
    </row>
    <row r="7807">
      <c r="F7807" s="8" t="n"/>
      <c r="G7807" s="8">
        <f>IF(E7807="","",E7807*F7807)</f>
        <v/>
      </c>
      <c r="H7807" s="8">
        <f>IF(G7807="","",G7807-I7807)</f>
        <v/>
      </c>
      <c r="I7807" s="8">
        <f>IF(D7807="","",VLOOKUP(D7807, RECETTES!B:G, 6, FALSE)*E7807)</f>
        <v/>
      </c>
      <c r="J7807" s="8">
        <f>IF(G7807="","",G7807*0.20)</f>
        <v/>
      </c>
      <c r="K7807" s="8">
        <f>IF(G7807="","",G7807+J7807)</f>
        <v/>
      </c>
    </row>
    <row r="7808">
      <c r="F7808" s="8" t="n"/>
      <c r="G7808" s="8">
        <f>IF(E7808="","",E7808*F7808)</f>
        <v/>
      </c>
      <c r="H7808" s="8">
        <f>IF(G7808="","",G7808-I7808)</f>
        <v/>
      </c>
      <c r="I7808" s="8">
        <f>IF(D7808="","",VLOOKUP(D7808, RECETTES!B:G, 6, FALSE)*E7808)</f>
        <v/>
      </c>
      <c r="J7808" s="8">
        <f>IF(G7808="","",G7808*0.20)</f>
        <v/>
      </c>
      <c r="K7808" s="8">
        <f>IF(G7808="","",G7808+J7808)</f>
        <v/>
      </c>
    </row>
    <row r="7809">
      <c r="F7809" s="8" t="n"/>
      <c r="G7809" s="8">
        <f>IF(E7809="","",E7809*F7809)</f>
        <v/>
      </c>
      <c r="H7809" s="8">
        <f>IF(G7809="","",G7809-I7809)</f>
        <v/>
      </c>
      <c r="I7809" s="8">
        <f>IF(D7809="","",VLOOKUP(D7809, RECETTES!B:G, 6, FALSE)*E7809)</f>
        <v/>
      </c>
      <c r="J7809" s="8">
        <f>IF(G7809="","",G7809*0.20)</f>
        <v/>
      </c>
      <c r="K7809" s="8">
        <f>IF(G7809="","",G7809+J7809)</f>
        <v/>
      </c>
    </row>
    <row r="7810">
      <c r="F7810" s="8" t="n"/>
      <c r="G7810" s="8">
        <f>IF(E7810="","",E7810*F7810)</f>
        <v/>
      </c>
      <c r="H7810" s="8">
        <f>IF(G7810="","",G7810-I7810)</f>
        <v/>
      </c>
      <c r="I7810" s="8">
        <f>IF(D7810="","",VLOOKUP(D7810, RECETTES!B:G, 6, FALSE)*E7810)</f>
        <v/>
      </c>
      <c r="J7810" s="8">
        <f>IF(G7810="","",G7810*0.20)</f>
        <v/>
      </c>
      <c r="K7810" s="8">
        <f>IF(G7810="","",G7810+J7810)</f>
        <v/>
      </c>
    </row>
    <row r="7811">
      <c r="F7811" s="8" t="n"/>
      <c r="G7811" s="8">
        <f>IF(E7811="","",E7811*F7811)</f>
        <v/>
      </c>
      <c r="H7811" s="8">
        <f>IF(G7811="","",G7811-I7811)</f>
        <v/>
      </c>
      <c r="I7811" s="8">
        <f>IF(D7811="","",VLOOKUP(D7811, RECETTES!B:G, 6, FALSE)*E7811)</f>
        <v/>
      </c>
      <c r="J7811" s="8">
        <f>IF(G7811="","",G7811*0.20)</f>
        <v/>
      </c>
      <c r="K7811" s="8">
        <f>IF(G7811="","",G7811+J7811)</f>
        <v/>
      </c>
    </row>
    <row r="7812">
      <c r="F7812" s="8" t="n"/>
      <c r="G7812" s="8">
        <f>IF(E7812="","",E7812*F7812)</f>
        <v/>
      </c>
      <c r="H7812" s="8">
        <f>IF(G7812="","",G7812-I7812)</f>
        <v/>
      </c>
      <c r="I7812" s="8">
        <f>IF(D7812="","",VLOOKUP(D7812, RECETTES!B:G, 6, FALSE)*E7812)</f>
        <v/>
      </c>
      <c r="J7812" s="8">
        <f>IF(G7812="","",G7812*0.20)</f>
        <v/>
      </c>
      <c r="K7812" s="8">
        <f>IF(G7812="","",G7812+J7812)</f>
        <v/>
      </c>
    </row>
    <row r="7813">
      <c r="F7813" s="8" t="n"/>
      <c r="G7813" s="8">
        <f>IF(E7813="","",E7813*F7813)</f>
        <v/>
      </c>
      <c r="H7813" s="8">
        <f>IF(G7813="","",G7813-I7813)</f>
        <v/>
      </c>
      <c r="I7813" s="8">
        <f>IF(D7813="","",VLOOKUP(D7813, RECETTES!B:G, 6, FALSE)*E7813)</f>
        <v/>
      </c>
      <c r="J7813" s="8">
        <f>IF(G7813="","",G7813*0.20)</f>
        <v/>
      </c>
      <c r="K7813" s="8">
        <f>IF(G7813="","",G7813+J7813)</f>
        <v/>
      </c>
    </row>
    <row r="7814">
      <c r="F7814" s="8" t="n"/>
      <c r="G7814" s="8">
        <f>IF(E7814="","",E7814*F7814)</f>
        <v/>
      </c>
      <c r="H7814" s="8">
        <f>IF(G7814="","",G7814-I7814)</f>
        <v/>
      </c>
      <c r="I7814" s="8">
        <f>IF(D7814="","",VLOOKUP(D7814, RECETTES!B:G, 6, FALSE)*E7814)</f>
        <v/>
      </c>
      <c r="J7814" s="8">
        <f>IF(G7814="","",G7814*0.20)</f>
        <v/>
      </c>
      <c r="K7814" s="8">
        <f>IF(G7814="","",G7814+J7814)</f>
        <v/>
      </c>
    </row>
    <row r="7815">
      <c r="F7815" s="8" t="n"/>
      <c r="G7815" s="8">
        <f>IF(E7815="","",E7815*F7815)</f>
        <v/>
      </c>
      <c r="H7815" s="8">
        <f>IF(G7815="","",G7815-I7815)</f>
        <v/>
      </c>
      <c r="I7815" s="8">
        <f>IF(D7815="","",VLOOKUP(D7815, RECETTES!B:G, 6, FALSE)*E7815)</f>
        <v/>
      </c>
      <c r="J7815" s="8">
        <f>IF(G7815="","",G7815*0.20)</f>
        <v/>
      </c>
      <c r="K7815" s="8">
        <f>IF(G7815="","",G7815+J7815)</f>
        <v/>
      </c>
    </row>
    <row r="7816">
      <c r="F7816" s="8" t="n"/>
      <c r="G7816" s="8">
        <f>IF(E7816="","",E7816*F7816)</f>
        <v/>
      </c>
      <c r="H7816" s="8">
        <f>IF(G7816="","",G7816-I7816)</f>
        <v/>
      </c>
      <c r="I7816" s="8">
        <f>IF(D7816="","",VLOOKUP(D7816, RECETTES!B:G, 6, FALSE)*E7816)</f>
        <v/>
      </c>
      <c r="J7816" s="8">
        <f>IF(G7816="","",G7816*0.20)</f>
        <v/>
      </c>
      <c r="K7816" s="8">
        <f>IF(G7816="","",G7816+J7816)</f>
        <v/>
      </c>
    </row>
    <row r="7817">
      <c r="F7817" s="8" t="n"/>
      <c r="G7817" s="8">
        <f>IF(E7817="","",E7817*F7817)</f>
        <v/>
      </c>
      <c r="H7817" s="8">
        <f>IF(G7817="","",G7817-I7817)</f>
        <v/>
      </c>
      <c r="I7817" s="8">
        <f>IF(D7817="","",VLOOKUP(D7817, RECETTES!B:G, 6, FALSE)*E7817)</f>
        <v/>
      </c>
      <c r="J7817" s="8">
        <f>IF(G7817="","",G7817*0.20)</f>
        <v/>
      </c>
      <c r="K7817" s="8">
        <f>IF(G7817="","",G7817+J7817)</f>
        <v/>
      </c>
    </row>
    <row r="7818">
      <c r="F7818" s="8" t="n"/>
      <c r="G7818" s="8">
        <f>IF(E7818="","",E7818*F7818)</f>
        <v/>
      </c>
      <c r="H7818" s="8">
        <f>IF(G7818="","",G7818-I7818)</f>
        <v/>
      </c>
      <c r="I7818" s="8">
        <f>IF(D7818="","",VLOOKUP(D7818, RECETTES!B:G, 6, FALSE)*E7818)</f>
        <v/>
      </c>
      <c r="J7818" s="8">
        <f>IF(G7818="","",G7818*0.20)</f>
        <v/>
      </c>
      <c r="K7818" s="8">
        <f>IF(G7818="","",G7818+J7818)</f>
        <v/>
      </c>
    </row>
    <row r="7819">
      <c r="F7819" s="8" t="n"/>
      <c r="G7819" s="8">
        <f>IF(E7819="","",E7819*F7819)</f>
        <v/>
      </c>
      <c r="H7819" s="8">
        <f>IF(G7819="","",G7819-I7819)</f>
        <v/>
      </c>
      <c r="I7819" s="8">
        <f>IF(D7819="","",VLOOKUP(D7819, RECETTES!B:G, 6, FALSE)*E7819)</f>
        <v/>
      </c>
      <c r="J7819" s="8">
        <f>IF(G7819="","",G7819*0.20)</f>
        <v/>
      </c>
      <c r="K7819" s="8">
        <f>IF(G7819="","",G7819+J7819)</f>
        <v/>
      </c>
    </row>
    <row r="7820">
      <c r="F7820" s="8" t="n"/>
      <c r="G7820" s="8">
        <f>IF(E7820="","",E7820*F7820)</f>
        <v/>
      </c>
      <c r="H7820" s="8">
        <f>IF(G7820="","",G7820-I7820)</f>
        <v/>
      </c>
      <c r="I7820" s="8">
        <f>IF(D7820="","",VLOOKUP(D7820, RECETTES!B:G, 6, FALSE)*E7820)</f>
        <v/>
      </c>
      <c r="J7820" s="8">
        <f>IF(G7820="","",G7820*0.20)</f>
        <v/>
      </c>
      <c r="K7820" s="8">
        <f>IF(G7820="","",G7820+J7820)</f>
        <v/>
      </c>
    </row>
    <row r="7821">
      <c r="F7821" s="8" t="n"/>
      <c r="G7821" s="8">
        <f>IF(E7821="","",E7821*F7821)</f>
        <v/>
      </c>
      <c r="H7821" s="8">
        <f>IF(G7821="","",G7821-I7821)</f>
        <v/>
      </c>
      <c r="I7821" s="8">
        <f>IF(D7821="","",VLOOKUP(D7821, RECETTES!B:G, 6, FALSE)*E7821)</f>
        <v/>
      </c>
      <c r="J7821" s="8">
        <f>IF(G7821="","",G7821*0.20)</f>
        <v/>
      </c>
      <c r="K7821" s="8">
        <f>IF(G7821="","",G7821+J7821)</f>
        <v/>
      </c>
    </row>
    <row r="7822">
      <c r="F7822" s="8" t="n"/>
      <c r="G7822" s="8">
        <f>IF(E7822="","",E7822*F7822)</f>
        <v/>
      </c>
      <c r="H7822" s="8">
        <f>IF(G7822="","",G7822-I7822)</f>
        <v/>
      </c>
      <c r="I7822" s="8">
        <f>IF(D7822="","",VLOOKUP(D7822, RECETTES!B:G, 6, FALSE)*E7822)</f>
        <v/>
      </c>
      <c r="J7822" s="8">
        <f>IF(G7822="","",G7822*0.20)</f>
        <v/>
      </c>
      <c r="K7822" s="8">
        <f>IF(G7822="","",G7822+J7822)</f>
        <v/>
      </c>
    </row>
    <row r="7823">
      <c r="F7823" s="8" t="n"/>
      <c r="G7823" s="8">
        <f>IF(E7823="","",E7823*F7823)</f>
        <v/>
      </c>
      <c r="H7823" s="8">
        <f>IF(G7823="","",G7823-I7823)</f>
        <v/>
      </c>
      <c r="I7823" s="8">
        <f>IF(D7823="","",VLOOKUP(D7823, RECETTES!B:G, 6, FALSE)*E7823)</f>
        <v/>
      </c>
      <c r="J7823" s="8">
        <f>IF(G7823="","",G7823*0.20)</f>
        <v/>
      </c>
      <c r="K7823" s="8">
        <f>IF(G7823="","",G7823+J7823)</f>
        <v/>
      </c>
    </row>
    <row r="7824">
      <c r="F7824" s="8" t="n"/>
      <c r="G7824" s="8">
        <f>IF(E7824="","",E7824*F7824)</f>
        <v/>
      </c>
      <c r="H7824" s="8">
        <f>IF(G7824="","",G7824-I7824)</f>
        <v/>
      </c>
      <c r="I7824" s="8">
        <f>IF(D7824="","",VLOOKUP(D7824, RECETTES!B:G, 6, FALSE)*E7824)</f>
        <v/>
      </c>
      <c r="J7824" s="8">
        <f>IF(G7824="","",G7824*0.20)</f>
        <v/>
      </c>
      <c r="K7824" s="8">
        <f>IF(G7824="","",G7824+J7824)</f>
        <v/>
      </c>
    </row>
    <row r="7825">
      <c r="F7825" s="8" t="n"/>
      <c r="G7825" s="8">
        <f>IF(E7825="","",E7825*F7825)</f>
        <v/>
      </c>
      <c r="H7825" s="8">
        <f>IF(G7825="","",G7825-I7825)</f>
        <v/>
      </c>
      <c r="I7825" s="8">
        <f>IF(D7825="","",VLOOKUP(D7825, RECETTES!B:G, 6, FALSE)*E7825)</f>
        <v/>
      </c>
      <c r="J7825" s="8">
        <f>IF(G7825="","",G7825*0.20)</f>
        <v/>
      </c>
      <c r="K7825" s="8">
        <f>IF(G7825="","",G7825+J7825)</f>
        <v/>
      </c>
    </row>
    <row r="7826">
      <c r="F7826" s="8" t="n"/>
      <c r="G7826" s="8">
        <f>IF(E7826="","",E7826*F7826)</f>
        <v/>
      </c>
      <c r="H7826" s="8">
        <f>IF(G7826="","",G7826-I7826)</f>
        <v/>
      </c>
      <c r="I7826" s="8">
        <f>IF(D7826="","",VLOOKUP(D7826, RECETTES!B:G, 6, FALSE)*E7826)</f>
        <v/>
      </c>
      <c r="J7826" s="8">
        <f>IF(G7826="","",G7826*0.20)</f>
        <v/>
      </c>
      <c r="K7826" s="8">
        <f>IF(G7826="","",G7826+J7826)</f>
        <v/>
      </c>
    </row>
    <row r="7827">
      <c r="F7827" s="8" t="n"/>
      <c r="G7827" s="8">
        <f>IF(E7827="","",E7827*F7827)</f>
        <v/>
      </c>
      <c r="H7827" s="8">
        <f>IF(G7827="","",G7827-I7827)</f>
        <v/>
      </c>
      <c r="I7827" s="8">
        <f>IF(D7827="","",VLOOKUP(D7827, RECETTES!B:G, 6, FALSE)*E7827)</f>
        <v/>
      </c>
      <c r="J7827" s="8">
        <f>IF(G7827="","",G7827*0.20)</f>
        <v/>
      </c>
      <c r="K7827" s="8">
        <f>IF(G7827="","",G7827+J7827)</f>
        <v/>
      </c>
    </row>
    <row r="7828">
      <c r="F7828" s="8" t="n"/>
      <c r="G7828" s="8">
        <f>IF(E7828="","",E7828*F7828)</f>
        <v/>
      </c>
      <c r="H7828" s="8">
        <f>IF(G7828="","",G7828-I7828)</f>
        <v/>
      </c>
      <c r="I7828" s="8">
        <f>IF(D7828="","",VLOOKUP(D7828, RECETTES!B:G, 6, FALSE)*E7828)</f>
        <v/>
      </c>
      <c r="J7828" s="8">
        <f>IF(G7828="","",G7828*0.20)</f>
        <v/>
      </c>
      <c r="K7828" s="8">
        <f>IF(G7828="","",G7828+J7828)</f>
        <v/>
      </c>
    </row>
    <row r="7829">
      <c r="F7829" s="8" t="n"/>
      <c r="G7829" s="8">
        <f>IF(E7829="","",E7829*F7829)</f>
        <v/>
      </c>
      <c r="H7829" s="8">
        <f>IF(G7829="","",G7829-I7829)</f>
        <v/>
      </c>
      <c r="I7829" s="8">
        <f>IF(D7829="","",VLOOKUP(D7829, RECETTES!B:G, 6, FALSE)*E7829)</f>
        <v/>
      </c>
      <c r="J7829" s="8">
        <f>IF(G7829="","",G7829*0.20)</f>
        <v/>
      </c>
      <c r="K7829" s="8">
        <f>IF(G7829="","",G7829+J7829)</f>
        <v/>
      </c>
    </row>
    <row r="7830">
      <c r="F7830" s="8" t="n"/>
      <c r="G7830" s="8">
        <f>IF(E7830="","",E7830*F7830)</f>
        <v/>
      </c>
      <c r="H7830" s="8">
        <f>IF(G7830="","",G7830-I7830)</f>
        <v/>
      </c>
      <c r="I7830" s="8">
        <f>IF(D7830="","",VLOOKUP(D7830, RECETTES!B:G, 6, FALSE)*E7830)</f>
        <v/>
      </c>
      <c r="J7830" s="8">
        <f>IF(G7830="","",G7830*0.20)</f>
        <v/>
      </c>
      <c r="K7830" s="8">
        <f>IF(G7830="","",G7830+J7830)</f>
        <v/>
      </c>
    </row>
    <row r="7831">
      <c r="F7831" s="8" t="n"/>
      <c r="G7831" s="8">
        <f>IF(E7831="","",E7831*F7831)</f>
        <v/>
      </c>
      <c r="H7831" s="8">
        <f>IF(G7831="","",G7831-I7831)</f>
        <v/>
      </c>
      <c r="I7831" s="8">
        <f>IF(D7831="","",VLOOKUP(D7831, RECETTES!B:G, 6, FALSE)*E7831)</f>
        <v/>
      </c>
      <c r="J7831" s="8">
        <f>IF(G7831="","",G7831*0.20)</f>
        <v/>
      </c>
      <c r="K7831" s="8">
        <f>IF(G7831="","",G7831+J7831)</f>
        <v/>
      </c>
    </row>
    <row r="7832">
      <c r="F7832" s="8" t="n"/>
      <c r="G7832" s="8">
        <f>IF(E7832="","",E7832*F7832)</f>
        <v/>
      </c>
      <c r="H7832" s="8">
        <f>IF(G7832="","",G7832-I7832)</f>
        <v/>
      </c>
      <c r="I7832" s="8">
        <f>IF(D7832="","",VLOOKUP(D7832, RECETTES!B:G, 6, FALSE)*E7832)</f>
        <v/>
      </c>
      <c r="J7832" s="8">
        <f>IF(G7832="","",G7832*0.20)</f>
        <v/>
      </c>
      <c r="K7832" s="8">
        <f>IF(G7832="","",G7832+J7832)</f>
        <v/>
      </c>
    </row>
    <row r="7833">
      <c r="F7833" s="8" t="n"/>
      <c r="G7833" s="8">
        <f>IF(E7833="","",E7833*F7833)</f>
        <v/>
      </c>
      <c r="H7833" s="8">
        <f>IF(G7833="","",G7833-I7833)</f>
        <v/>
      </c>
      <c r="I7833" s="8">
        <f>IF(D7833="","",VLOOKUP(D7833, RECETTES!B:G, 6, FALSE)*E7833)</f>
        <v/>
      </c>
      <c r="J7833" s="8">
        <f>IF(G7833="","",G7833*0.20)</f>
        <v/>
      </c>
      <c r="K7833" s="8">
        <f>IF(G7833="","",G7833+J7833)</f>
        <v/>
      </c>
    </row>
    <row r="7834">
      <c r="F7834" s="8" t="n"/>
      <c r="G7834" s="8">
        <f>IF(E7834="","",E7834*F7834)</f>
        <v/>
      </c>
      <c r="H7834" s="8">
        <f>IF(G7834="","",G7834-I7834)</f>
        <v/>
      </c>
      <c r="I7834" s="8">
        <f>IF(D7834="","",VLOOKUP(D7834, RECETTES!B:G, 6, FALSE)*E7834)</f>
        <v/>
      </c>
      <c r="J7834" s="8">
        <f>IF(G7834="","",G7834*0.20)</f>
        <v/>
      </c>
      <c r="K7834" s="8">
        <f>IF(G7834="","",G7834+J7834)</f>
        <v/>
      </c>
    </row>
    <row r="7835">
      <c r="F7835" s="8" t="n"/>
      <c r="G7835" s="8">
        <f>IF(E7835="","",E7835*F7835)</f>
        <v/>
      </c>
      <c r="H7835" s="8">
        <f>IF(G7835="","",G7835-I7835)</f>
        <v/>
      </c>
      <c r="I7835" s="8">
        <f>IF(D7835="","",VLOOKUP(D7835, RECETTES!B:G, 6, FALSE)*E7835)</f>
        <v/>
      </c>
      <c r="J7835" s="8">
        <f>IF(G7835="","",G7835*0.20)</f>
        <v/>
      </c>
      <c r="K7835" s="8">
        <f>IF(G7835="","",G7835+J7835)</f>
        <v/>
      </c>
    </row>
    <row r="7836">
      <c r="F7836" s="8" t="n"/>
      <c r="G7836" s="8">
        <f>IF(E7836="","",E7836*F7836)</f>
        <v/>
      </c>
      <c r="H7836" s="8">
        <f>IF(G7836="","",G7836-I7836)</f>
        <v/>
      </c>
      <c r="I7836" s="8">
        <f>IF(D7836="","",VLOOKUP(D7836, RECETTES!B:G, 6, FALSE)*E7836)</f>
        <v/>
      </c>
      <c r="J7836" s="8">
        <f>IF(G7836="","",G7836*0.20)</f>
        <v/>
      </c>
      <c r="K7836" s="8">
        <f>IF(G7836="","",G7836+J7836)</f>
        <v/>
      </c>
    </row>
    <row r="7837">
      <c r="F7837" s="8" t="n"/>
      <c r="G7837" s="8">
        <f>IF(E7837="","",E7837*F7837)</f>
        <v/>
      </c>
      <c r="H7837" s="8">
        <f>IF(G7837="","",G7837-I7837)</f>
        <v/>
      </c>
      <c r="I7837" s="8">
        <f>IF(D7837="","",VLOOKUP(D7837, RECETTES!B:G, 6, FALSE)*E7837)</f>
        <v/>
      </c>
      <c r="J7837" s="8">
        <f>IF(G7837="","",G7837*0.20)</f>
        <v/>
      </c>
      <c r="K7837" s="8">
        <f>IF(G7837="","",G7837+J7837)</f>
        <v/>
      </c>
    </row>
    <row r="7838">
      <c r="F7838" s="8" t="n"/>
      <c r="G7838" s="8">
        <f>IF(E7838="","",E7838*F7838)</f>
        <v/>
      </c>
      <c r="H7838" s="8">
        <f>IF(G7838="","",G7838-I7838)</f>
        <v/>
      </c>
      <c r="I7838" s="8">
        <f>IF(D7838="","",VLOOKUP(D7838, RECETTES!B:G, 6, FALSE)*E7838)</f>
        <v/>
      </c>
      <c r="J7838" s="8">
        <f>IF(G7838="","",G7838*0.20)</f>
        <v/>
      </c>
      <c r="K7838" s="8">
        <f>IF(G7838="","",G7838+J7838)</f>
        <v/>
      </c>
    </row>
    <row r="7839">
      <c r="F7839" s="8" t="n"/>
      <c r="G7839" s="8">
        <f>IF(E7839="","",E7839*F7839)</f>
        <v/>
      </c>
      <c r="H7839" s="8">
        <f>IF(G7839="","",G7839-I7839)</f>
        <v/>
      </c>
      <c r="I7839" s="8">
        <f>IF(D7839="","",VLOOKUP(D7839, RECETTES!B:G, 6, FALSE)*E7839)</f>
        <v/>
      </c>
      <c r="J7839" s="8">
        <f>IF(G7839="","",G7839*0.20)</f>
        <v/>
      </c>
      <c r="K7839" s="8">
        <f>IF(G7839="","",G7839+J7839)</f>
        <v/>
      </c>
    </row>
    <row r="7840">
      <c r="F7840" s="8" t="n"/>
      <c r="G7840" s="8">
        <f>IF(E7840="","",E7840*F7840)</f>
        <v/>
      </c>
      <c r="H7840" s="8">
        <f>IF(G7840="","",G7840-I7840)</f>
        <v/>
      </c>
      <c r="I7840" s="8">
        <f>IF(D7840="","",VLOOKUP(D7840, RECETTES!B:G, 6, FALSE)*E7840)</f>
        <v/>
      </c>
      <c r="J7840" s="8">
        <f>IF(G7840="","",G7840*0.20)</f>
        <v/>
      </c>
      <c r="K7840" s="8">
        <f>IF(G7840="","",G7840+J7840)</f>
        <v/>
      </c>
    </row>
    <row r="7841">
      <c r="F7841" s="8" t="n"/>
      <c r="G7841" s="8">
        <f>IF(E7841="","",E7841*F7841)</f>
        <v/>
      </c>
      <c r="H7841" s="8">
        <f>IF(G7841="","",G7841-I7841)</f>
        <v/>
      </c>
      <c r="I7841" s="8">
        <f>IF(D7841="","",VLOOKUP(D7841, RECETTES!B:G, 6, FALSE)*E7841)</f>
        <v/>
      </c>
      <c r="J7841" s="8">
        <f>IF(G7841="","",G7841*0.20)</f>
        <v/>
      </c>
      <c r="K7841" s="8">
        <f>IF(G7841="","",G7841+J7841)</f>
        <v/>
      </c>
    </row>
    <row r="7842">
      <c r="F7842" s="8" t="n"/>
      <c r="G7842" s="8">
        <f>IF(E7842="","",E7842*F7842)</f>
        <v/>
      </c>
      <c r="H7842" s="8">
        <f>IF(G7842="","",G7842-I7842)</f>
        <v/>
      </c>
      <c r="I7842" s="8">
        <f>IF(D7842="","",VLOOKUP(D7842, RECETTES!B:G, 6, FALSE)*E7842)</f>
        <v/>
      </c>
      <c r="J7842" s="8">
        <f>IF(G7842="","",G7842*0.20)</f>
        <v/>
      </c>
      <c r="K7842" s="8">
        <f>IF(G7842="","",G7842+J7842)</f>
        <v/>
      </c>
    </row>
    <row r="7843">
      <c r="F7843" s="8" t="n"/>
      <c r="G7843" s="8">
        <f>IF(E7843="","",E7843*F7843)</f>
        <v/>
      </c>
      <c r="H7843" s="8">
        <f>IF(G7843="","",G7843-I7843)</f>
        <v/>
      </c>
      <c r="I7843" s="8">
        <f>IF(D7843="","",VLOOKUP(D7843, RECETTES!B:G, 6, FALSE)*E7843)</f>
        <v/>
      </c>
      <c r="J7843" s="8">
        <f>IF(G7843="","",G7843*0.20)</f>
        <v/>
      </c>
      <c r="K7843" s="8">
        <f>IF(G7843="","",G7843+J7843)</f>
        <v/>
      </c>
    </row>
    <row r="7844">
      <c r="F7844" s="8" t="n"/>
      <c r="G7844" s="8">
        <f>IF(E7844="","",E7844*F7844)</f>
        <v/>
      </c>
      <c r="H7844" s="8">
        <f>IF(G7844="","",G7844-I7844)</f>
        <v/>
      </c>
      <c r="I7844" s="8">
        <f>IF(D7844="","",VLOOKUP(D7844, RECETTES!B:G, 6, FALSE)*E7844)</f>
        <v/>
      </c>
      <c r="J7844" s="8">
        <f>IF(G7844="","",G7844*0.20)</f>
        <v/>
      </c>
      <c r="K7844" s="8">
        <f>IF(G7844="","",G7844+J7844)</f>
        <v/>
      </c>
    </row>
    <row r="7845">
      <c r="F7845" s="8" t="n"/>
      <c r="G7845" s="8">
        <f>IF(E7845="","",E7845*F7845)</f>
        <v/>
      </c>
      <c r="H7845" s="8">
        <f>IF(G7845="","",G7845-I7845)</f>
        <v/>
      </c>
      <c r="I7845" s="8">
        <f>IF(D7845="","",VLOOKUP(D7845, RECETTES!B:G, 6, FALSE)*E7845)</f>
        <v/>
      </c>
      <c r="J7845" s="8">
        <f>IF(G7845="","",G7845*0.20)</f>
        <v/>
      </c>
      <c r="K7845" s="8">
        <f>IF(G7845="","",G7845+J7845)</f>
        <v/>
      </c>
    </row>
    <row r="7846">
      <c r="F7846" s="8" t="n"/>
      <c r="G7846" s="8">
        <f>IF(E7846="","",E7846*F7846)</f>
        <v/>
      </c>
      <c r="H7846" s="8">
        <f>IF(G7846="","",G7846-I7846)</f>
        <v/>
      </c>
      <c r="I7846" s="8">
        <f>IF(D7846="","",VLOOKUP(D7846, RECETTES!B:G, 6, FALSE)*E7846)</f>
        <v/>
      </c>
      <c r="J7846" s="8">
        <f>IF(G7846="","",G7846*0.20)</f>
        <v/>
      </c>
      <c r="K7846" s="8">
        <f>IF(G7846="","",G7846+J7846)</f>
        <v/>
      </c>
    </row>
    <row r="7847">
      <c r="F7847" s="8" t="n"/>
      <c r="G7847" s="8">
        <f>IF(E7847="","",E7847*F7847)</f>
        <v/>
      </c>
      <c r="H7847" s="8">
        <f>IF(G7847="","",G7847-I7847)</f>
        <v/>
      </c>
      <c r="I7847" s="8">
        <f>IF(D7847="","",VLOOKUP(D7847, RECETTES!B:G, 6, FALSE)*E7847)</f>
        <v/>
      </c>
      <c r="J7847" s="8">
        <f>IF(G7847="","",G7847*0.20)</f>
        <v/>
      </c>
      <c r="K7847" s="8">
        <f>IF(G7847="","",G7847+J7847)</f>
        <v/>
      </c>
    </row>
    <row r="7848">
      <c r="F7848" s="8" t="n"/>
      <c r="G7848" s="8">
        <f>IF(E7848="","",E7848*F7848)</f>
        <v/>
      </c>
      <c r="H7848" s="8">
        <f>IF(G7848="","",G7848-I7848)</f>
        <v/>
      </c>
      <c r="I7848" s="8">
        <f>IF(D7848="","",VLOOKUP(D7848, RECETTES!B:G, 6, FALSE)*E7848)</f>
        <v/>
      </c>
      <c r="J7848" s="8">
        <f>IF(G7848="","",G7848*0.20)</f>
        <v/>
      </c>
      <c r="K7848" s="8">
        <f>IF(G7848="","",G7848+J7848)</f>
        <v/>
      </c>
    </row>
    <row r="7849">
      <c r="F7849" s="8" t="n"/>
      <c r="G7849" s="8">
        <f>IF(E7849="","",E7849*F7849)</f>
        <v/>
      </c>
      <c r="H7849" s="8">
        <f>IF(G7849="","",G7849-I7849)</f>
        <v/>
      </c>
      <c r="I7849" s="8">
        <f>IF(D7849="","",VLOOKUP(D7849, RECETTES!B:G, 6, FALSE)*E7849)</f>
        <v/>
      </c>
      <c r="J7849" s="8">
        <f>IF(G7849="","",G7849*0.20)</f>
        <v/>
      </c>
      <c r="K7849" s="8">
        <f>IF(G7849="","",G7849+J7849)</f>
        <v/>
      </c>
    </row>
    <row r="7850">
      <c r="F7850" s="8" t="n"/>
      <c r="G7850" s="8">
        <f>IF(E7850="","",E7850*F7850)</f>
        <v/>
      </c>
      <c r="H7850" s="8">
        <f>IF(G7850="","",G7850-I7850)</f>
        <v/>
      </c>
      <c r="I7850" s="8">
        <f>IF(D7850="","",VLOOKUP(D7850, RECETTES!B:G, 6, FALSE)*E7850)</f>
        <v/>
      </c>
      <c r="J7850" s="8">
        <f>IF(G7850="","",G7850*0.20)</f>
        <v/>
      </c>
      <c r="K7850" s="8">
        <f>IF(G7850="","",G7850+J7850)</f>
        <v/>
      </c>
    </row>
    <row r="7851">
      <c r="F7851" s="8" t="n"/>
      <c r="G7851" s="8">
        <f>IF(E7851="","",E7851*F7851)</f>
        <v/>
      </c>
      <c r="H7851" s="8">
        <f>IF(G7851="","",G7851-I7851)</f>
        <v/>
      </c>
      <c r="I7851" s="8">
        <f>IF(D7851="","",VLOOKUP(D7851, RECETTES!B:G, 6, FALSE)*E7851)</f>
        <v/>
      </c>
      <c r="J7851" s="8">
        <f>IF(G7851="","",G7851*0.20)</f>
        <v/>
      </c>
      <c r="K7851" s="8">
        <f>IF(G7851="","",G7851+J7851)</f>
        <v/>
      </c>
    </row>
    <row r="7852">
      <c r="F7852" s="8" t="n"/>
      <c r="G7852" s="8">
        <f>IF(E7852="","",E7852*F7852)</f>
        <v/>
      </c>
      <c r="H7852" s="8">
        <f>IF(G7852="","",G7852-I7852)</f>
        <v/>
      </c>
      <c r="I7852" s="8">
        <f>IF(D7852="","",VLOOKUP(D7852, RECETTES!B:G, 6, FALSE)*E7852)</f>
        <v/>
      </c>
      <c r="J7852" s="8">
        <f>IF(G7852="","",G7852*0.20)</f>
        <v/>
      </c>
      <c r="K7852" s="8">
        <f>IF(G7852="","",G7852+J7852)</f>
        <v/>
      </c>
    </row>
    <row r="7853">
      <c r="F7853" s="8" t="n"/>
      <c r="G7853" s="8">
        <f>IF(E7853="","",E7853*F7853)</f>
        <v/>
      </c>
      <c r="H7853" s="8">
        <f>IF(G7853="","",G7853-I7853)</f>
        <v/>
      </c>
      <c r="I7853" s="8">
        <f>IF(D7853="","",VLOOKUP(D7853, RECETTES!B:G, 6, FALSE)*E7853)</f>
        <v/>
      </c>
      <c r="J7853" s="8">
        <f>IF(G7853="","",G7853*0.20)</f>
        <v/>
      </c>
      <c r="K7853" s="8">
        <f>IF(G7853="","",G7853+J7853)</f>
        <v/>
      </c>
    </row>
    <row r="7854">
      <c r="F7854" s="8" t="n"/>
      <c r="G7854" s="8">
        <f>IF(E7854="","",E7854*F7854)</f>
        <v/>
      </c>
      <c r="H7854" s="8">
        <f>IF(G7854="","",G7854-I7854)</f>
        <v/>
      </c>
      <c r="I7854" s="8">
        <f>IF(D7854="","",VLOOKUP(D7854, RECETTES!B:G, 6, FALSE)*E7854)</f>
        <v/>
      </c>
      <c r="J7854" s="8">
        <f>IF(G7854="","",G7854*0.20)</f>
        <v/>
      </c>
      <c r="K7854" s="8">
        <f>IF(G7854="","",G7854+J7854)</f>
        <v/>
      </c>
    </row>
    <row r="7855">
      <c r="F7855" s="8" t="n"/>
      <c r="G7855" s="8">
        <f>IF(E7855="","",E7855*F7855)</f>
        <v/>
      </c>
      <c r="H7855" s="8">
        <f>IF(G7855="","",G7855-I7855)</f>
        <v/>
      </c>
      <c r="I7855" s="8">
        <f>IF(D7855="","",VLOOKUP(D7855, RECETTES!B:G, 6, FALSE)*E7855)</f>
        <v/>
      </c>
      <c r="J7855" s="8">
        <f>IF(G7855="","",G7855*0.20)</f>
        <v/>
      </c>
      <c r="K7855" s="8">
        <f>IF(G7855="","",G7855+J7855)</f>
        <v/>
      </c>
    </row>
    <row r="7856">
      <c r="F7856" s="8" t="n"/>
      <c r="G7856" s="8">
        <f>IF(E7856="","",E7856*F7856)</f>
        <v/>
      </c>
      <c r="H7856" s="8">
        <f>IF(G7856="","",G7856-I7856)</f>
        <v/>
      </c>
      <c r="I7856" s="8">
        <f>IF(D7856="","",VLOOKUP(D7856, RECETTES!B:G, 6, FALSE)*E7856)</f>
        <v/>
      </c>
      <c r="J7856" s="8">
        <f>IF(G7856="","",G7856*0.20)</f>
        <v/>
      </c>
      <c r="K7856" s="8">
        <f>IF(G7856="","",G7856+J7856)</f>
        <v/>
      </c>
    </row>
    <row r="7857">
      <c r="F7857" s="8" t="n"/>
      <c r="G7857" s="8">
        <f>IF(E7857="","",E7857*F7857)</f>
        <v/>
      </c>
      <c r="H7857" s="8">
        <f>IF(G7857="","",G7857-I7857)</f>
        <v/>
      </c>
      <c r="I7857" s="8">
        <f>IF(D7857="","",VLOOKUP(D7857, RECETTES!B:G, 6, FALSE)*E7857)</f>
        <v/>
      </c>
      <c r="J7857" s="8">
        <f>IF(G7857="","",G7857*0.20)</f>
        <v/>
      </c>
      <c r="K7857" s="8">
        <f>IF(G7857="","",G7857+J7857)</f>
        <v/>
      </c>
    </row>
    <row r="7858">
      <c r="F7858" s="8" t="n"/>
      <c r="G7858" s="8">
        <f>IF(E7858="","",E7858*F7858)</f>
        <v/>
      </c>
      <c r="H7858" s="8">
        <f>IF(G7858="","",G7858-I7858)</f>
        <v/>
      </c>
      <c r="I7858" s="8">
        <f>IF(D7858="","",VLOOKUP(D7858, RECETTES!B:G, 6, FALSE)*E7858)</f>
        <v/>
      </c>
      <c r="J7858" s="8">
        <f>IF(G7858="","",G7858*0.20)</f>
        <v/>
      </c>
      <c r="K7858" s="8">
        <f>IF(G7858="","",G7858+J7858)</f>
        <v/>
      </c>
    </row>
    <row r="7859">
      <c r="F7859" s="8" t="n"/>
      <c r="G7859" s="8">
        <f>IF(E7859="","",E7859*F7859)</f>
        <v/>
      </c>
      <c r="H7859" s="8">
        <f>IF(G7859="","",G7859-I7859)</f>
        <v/>
      </c>
      <c r="I7859" s="8">
        <f>IF(D7859="","",VLOOKUP(D7859, RECETTES!B:G, 6, FALSE)*E7859)</f>
        <v/>
      </c>
      <c r="J7859" s="8">
        <f>IF(G7859="","",G7859*0.20)</f>
        <v/>
      </c>
      <c r="K7859" s="8">
        <f>IF(G7859="","",G7859+J7859)</f>
        <v/>
      </c>
    </row>
    <row r="7860">
      <c r="F7860" s="8" t="n"/>
      <c r="G7860" s="8">
        <f>IF(E7860="","",E7860*F7860)</f>
        <v/>
      </c>
      <c r="H7860" s="8">
        <f>IF(G7860="","",G7860-I7860)</f>
        <v/>
      </c>
      <c r="I7860" s="8">
        <f>IF(D7860="","",VLOOKUP(D7860, RECETTES!B:G, 6, FALSE)*E7860)</f>
        <v/>
      </c>
      <c r="J7860" s="8">
        <f>IF(G7860="","",G7860*0.20)</f>
        <v/>
      </c>
      <c r="K7860" s="8">
        <f>IF(G7860="","",G7860+J7860)</f>
        <v/>
      </c>
    </row>
    <row r="7861">
      <c r="F7861" s="8" t="n"/>
      <c r="G7861" s="8">
        <f>IF(E7861="","",E7861*F7861)</f>
        <v/>
      </c>
      <c r="H7861" s="8">
        <f>IF(G7861="","",G7861-I7861)</f>
        <v/>
      </c>
      <c r="I7861" s="8">
        <f>IF(D7861="","",VLOOKUP(D7861, RECETTES!B:G, 6, FALSE)*E7861)</f>
        <v/>
      </c>
      <c r="J7861" s="8">
        <f>IF(G7861="","",G7861*0.20)</f>
        <v/>
      </c>
      <c r="K7861" s="8">
        <f>IF(G7861="","",G7861+J7861)</f>
        <v/>
      </c>
    </row>
    <row r="7862">
      <c r="F7862" s="8" t="n"/>
      <c r="G7862" s="8">
        <f>IF(E7862="","",E7862*F7862)</f>
        <v/>
      </c>
      <c r="H7862" s="8">
        <f>IF(G7862="","",G7862-I7862)</f>
        <v/>
      </c>
      <c r="I7862" s="8">
        <f>IF(D7862="","",VLOOKUP(D7862, RECETTES!B:G, 6, FALSE)*E7862)</f>
        <v/>
      </c>
      <c r="J7862" s="8">
        <f>IF(G7862="","",G7862*0.20)</f>
        <v/>
      </c>
      <c r="K7862" s="8">
        <f>IF(G7862="","",G7862+J7862)</f>
        <v/>
      </c>
    </row>
    <row r="7863">
      <c r="F7863" s="8" t="n"/>
      <c r="G7863" s="8">
        <f>IF(E7863="","",E7863*F7863)</f>
        <v/>
      </c>
      <c r="H7863" s="8">
        <f>IF(G7863="","",G7863-I7863)</f>
        <v/>
      </c>
      <c r="I7863" s="8">
        <f>IF(D7863="","",VLOOKUP(D7863, RECETTES!B:G, 6, FALSE)*E7863)</f>
        <v/>
      </c>
      <c r="J7863" s="8">
        <f>IF(G7863="","",G7863*0.20)</f>
        <v/>
      </c>
      <c r="K7863" s="8">
        <f>IF(G7863="","",G7863+J7863)</f>
        <v/>
      </c>
    </row>
    <row r="7864">
      <c r="F7864" s="8" t="n"/>
      <c r="G7864" s="8">
        <f>IF(E7864="","",E7864*F7864)</f>
        <v/>
      </c>
      <c r="H7864" s="8">
        <f>IF(G7864="","",G7864-I7864)</f>
        <v/>
      </c>
      <c r="I7864" s="8">
        <f>IF(D7864="","",VLOOKUP(D7864, RECETTES!B:G, 6, FALSE)*E7864)</f>
        <v/>
      </c>
      <c r="J7864" s="8">
        <f>IF(G7864="","",G7864*0.20)</f>
        <v/>
      </c>
      <c r="K7864" s="8">
        <f>IF(G7864="","",G7864+J7864)</f>
        <v/>
      </c>
    </row>
    <row r="7865">
      <c r="F7865" s="8" t="n"/>
      <c r="G7865" s="8">
        <f>IF(E7865="","",E7865*F7865)</f>
        <v/>
      </c>
      <c r="H7865" s="8">
        <f>IF(G7865="","",G7865-I7865)</f>
        <v/>
      </c>
      <c r="I7865" s="8">
        <f>IF(D7865="","",VLOOKUP(D7865, RECETTES!B:G, 6, FALSE)*E7865)</f>
        <v/>
      </c>
      <c r="J7865" s="8">
        <f>IF(G7865="","",G7865*0.20)</f>
        <v/>
      </c>
      <c r="K7865" s="8">
        <f>IF(G7865="","",G7865+J7865)</f>
        <v/>
      </c>
    </row>
    <row r="7866">
      <c r="F7866" s="8" t="n"/>
      <c r="G7866" s="8">
        <f>IF(E7866="","",E7866*F7866)</f>
        <v/>
      </c>
      <c r="H7866" s="8">
        <f>IF(G7866="","",G7866-I7866)</f>
        <v/>
      </c>
      <c r="I7866" s="8">
        <f>IF(D7866="","",VLOOKUP(D7866, RECETTES!B:G, 6, FALSE)*E7866)</f>
        <v/>
      </c>
      <c r="J7866" s="8">
        <f>IF(G7866="","",G7866*0.20)</f>
        <v/>
      </c>
      <c r="K7866" s="8">
        <f>IF(G7866="","",G7866+J7866)</f>
        <v/>
      </c>
    </row>
    <row r="7867">
      <c r="F7867" s="8" t="n"/>
      <c r="G7867" s="8">
        <f>IF(E7867="","",E7867*F7867)</f>
        <v/>
      </c>
      <c r="H7867" s="8">
        <f>IF(G7867="","",G7867-I7867)</f>
        <v/>
      </c>
      <c r="I7867" s="8">
        <f>IF(D7867="","",VLOOKUP(D7867, RECETTES!B:G, 6, FALSE)*E7867)</f>
        <v/>
      </c>
      <c r="J7867" s="8">
        <f>IF(G7867="","",G7867*0.20)</f>
        <v/>
      </c>
      <c r="K7867" s="8">
        <f>IF(G7867="","",G7867+J7867)</f>
        <v/>
      </c>
    </row>
    <row r="7868">
      <c r="F7868" s="8" t="n"/>
      <c r="G7868" s="8">
        <f>IF(E7868="","",E7868*F7868)</f>
        <v/>
      </c>
      <c r="H7868" s="8">
        <f>IF(G7868="","",G7868-I7868)</f>
        <v/>
      </c>
      <c r="I7868" s="8">
        <f>IF(D7868="","",VLOOKUP(D7868, RECETTES!B:G, 6, FALSE)*E7868)</f>
        <v/>
      </c>
      <c r="J7868" s="8">
        <f>IF(G7868="","",G7868*0.20)</f>
        <v/>
      </c>
      <c r="K7868" s="8">
        <f>IF(G7868="","",G7868+J7868)</f>
        <v/>
      </c>
    </row>
    <row r="7869">
      <c r="F7869" s="8" t="n"/>
      <c r="G7869" s="8">
        <f>IF(E7869="","",E7869*F7869)</f>
        <v/>
      </c>
      <c r="H7869" s="8">
        <f>IF(G7869="","",G7869-I7869)</f>
        <v/>
      </c>
      <c r="I7869" s="8">
        <f>IF(D7869="","",VLOOKUP(D7869, RECETTES!B:G, 6, FALSE)*E7869)</f>
        <v/>
      </c>
      <c r="J7869" s="8">
        <f>IF(G7869="","",G7869*0.20)</f>
        <v/>
      </c>
      <c r="K7869" s="8">
        <f>IF(G7869="","",G7869+J7869)</f>
        <v/>
      </c>
    </row>
    <row r="7870">
      <c r="F7870" s="8" t="n"/>
      <c r="G7870" s="8">
        <f>IF(E7870="","",E7870*F7870)</f>
        <v/>
      </c>
      <c r="H7870" s="8">
        <f>IF(G7870="","",G7870-I7870)</f>
        <v/>
      </c>
      <c r="I7870" s="8">
        <f>IF(D7870="","",VLOOKUP(D7870, RECETTES!B:G, 6, FALSE)*E7870)</f>
        <v/>
      </c>
      <c r="J7870" s="8">
        <f>IF(G7870="","",G7870*0.20)</f>
        <v/>
      </c>
      <c r="K7870" s="8">
        <f>IF(G7870="","",G7870+J7870)</f>
        <v/>
      </c>
    </row>
    <row r="7871">
      <c r="F7871" s="8" t="n"/>
      <c r="G7871" s="8">
        <f>IF(E7871="","",E7871*F7871)</f>
        <v/>
      </c>
      <c r="H7871" s="8">
        <f>IF(G7871="","",G7871-I7871)</f>
        <v/>
      </c>
      <c r="I7871" s="8">
        <f>IF(D7871="","",VLOOKUP(D7871, RECETTES!B:G, 6, FALSE)*E7871)</f>
        <v/>
      </c>
      <c r="J7871" s="8">
        <f>IF(G7871="","",G7871*0.20)</f>
        <v/>
      </c>
      <c r="K7871" s="8">
        <f>IF(G7871="","",G7871+J7871)</f>
        <v/>
      </c>
    </row>
    <row r="7872">
      <c r="F7872" s="8" t="n"/>
      <c r="G7872" s="8">
        <f>IF(E7872="","",E7872*F7872)</f>
        <v/>
      </c>
      <c r="H7872" s="8">
        <f>IF(G7872="","",G7872-I7872)</f>
        <v/>
      </c>
      <c r="I7872" s="8">
        <f>IF(D7872="","",VLOOKUP(D7872, RECETTES!B:G, 6, FALSE)*E7872)</f>
        <v/>
      </c>
      <c r="J7872" s="8">
        <f>IF(G7872="","",G7872*0.20)</f>
        <v/>
      </c>
      <c r="K7872" s="8">
        <f>IF(G7872="","",G7872+J7872)</f>
        <v/>
      </c>
    </row>
    <row r="7873">
      <c r="F7873" s="8" t="n"/>
      <c r="G7873" s="8">
        <f>IF(E7873="","",E7873*F7873)</f>
        <v/>
      </c>
      <c r="H7873" s="8">
        <f>IF(G7873="","",G7873-I7873)</f>
        <v/>
      </c>
      <c r="I7873" s="8">
        <f>IF(D7873="","",VLOOKUP(D7873, RECETTES!B:G, 6, FALSE)*E7873)</f>
        <v/>
      </c>
      <c r="J7873" s="8">
        <f>IF(G7873="","",G7873*0.20)</f>
        <v/>
      </c>
      <c r="K7873" s="8">
        <f>IF(G7873="","",G7873+J7873)</f>
        <v/>
      </c>
    </row>
    <row r="7874">
      <c r="F7874" s="8" t="n"/>
      <c r="G7874" s="8">
        <f>IF(E7874="","",E7874*F7874)</f>
        <v/>
      </c>
      <c r="H7874" s="8">
        <f>IF(G7874="","",G7874-I7874)</f>
        <v/>
      </c>
      <c r="I7874" s="8">
        <f>IF(D7874="","",VLOOKUP(D7874, RECETTES!B:G, 6, FALSE)*E7874)</f>
        <v/>
      </c>
      <c r="J7874" s="8">
        <f>IF(G7874="","",G7874*0.20)</f>
        <v/>
      </c>
      <c r="K7874" s="8">
        <f>IF(G7874="","",G7874+J7874)</f>
        <v/>
      </c>
    </row>
    <row r="7875">
      <c r="F7875" s="8" t="n"/>
      <c r="G7875" s="8">
        <f>IF(E7875="","",E7875*F7875)</f>
        <v/>
      </c>
      <c r="H7875" s="8">
        <f>IF(G7875="","",G7875-I7875)</f>
        <v/>
      </c>
      <c r="I7875" s="8">
        <f>IF(D7875="","",VLOOKUP(D7875, RECETTES!B:G, 6, FALSE)*E7875)</f>
        <v/>
      </c>
      <c r="J7875" s="8">
        <f>IF(G7875="","",G7875*0.20)</f>
        <v/>
      </c>
      <c r="K7875" s="8">
        <f>IF(G7875="","",G7875+J7875)</f>
        <v/>
      </c>
    </row>
    <row r="7876">
      <c r="F7876" s="8" t="n"/>
      <c r="G7876" s="8">
        <f>IF(E7876="","",E7876*F7876)</f>
        <v/>
      </c>
      <c r="H7876" s="8">
        <f>IF(G7876="","",G7876-I7876)</f>
        <v/>
      </c>
      <c r="I7876" s="8">
        <f>IF(D7876="","",VLOOKUP(D7876, RECETTES!B:G, 6, FALSE)*E7876)</f>
        <v/>
      </c>
      <c r="J7876" s="8">
        <f>IF(G7876="","",G7876*0.20)</f>
        <v/>
      </c>
      <c r="K7876" s="8">
        <f>IF(G7876="","",G7876+J7876)</f>
        <v/>
      </c>
    </row>
    <row r="7877">
      <c r="F7877" s="8" t="n"/>
      <c r="G7877" s="8">
        <f>IF(E7877="","",E7877*F7877)</f>
        <v/>
      </c>
      <c r="H7877" s="8">
        <f>IF(G7877="","",G7877-I7877)</f>
        <v/>
      </c>
      <c r="I7877" s="8">
        <f>IF(D7877="","",VLOOKUP(D7877, RECETTES!B:G, 6, FALSE)*E7877)</f>
        <v/>
      </c>
      <c r="J7877" s="8">
        <f>IF(G7877="","",G7877*0.20)</f>
        <v/>
      </c>
      <c r="K7877" s="8">
        <f>IF(G7877="","",G7877+J7877)</f>
        <v/>
      </c>
    </row>
    <row r="7878">
      <c r="F7878" s="8" t="n"/>
      <c r="G7878" s="8">
        <f>IF(E7878="","",E7878*F7878)</f>
        <v/>
      </c>
      <c r="H7878" s="8">
        <f>IF(G7878="","",G7878-I7878)</f>
        <v/>
      </c>
      <c r="I7878" s="8">
        <f>IF(D7878="","",VLOOKUP(D7878, RECETTES!B:G, 6, FALSE)*E7878)</f>
        <v/>
      </c>
      <c r="J7878" s="8">
        <f>IF(G7878="","",G7878*0.20)</f>
        <v/>
      </c>
      <c r="K7878" s="8">
        <f>IF(G7878="","",G7878+J7878)</f>
        <v/>
      </c>
    </row>
    <row r="7879">
      <c r="F7879" s="8" t="n"/>
      <c r="G7879" s="8">
        <f>IF(E7879="","",E7879*F7879)</f>
        <v/>
      </c>
      <c r="H7879" s="8">
        <f>IF(G7879="","",G7879-I7879)</f>
        <v/>
      </c>
      <c r="I7879" s="8">
        <f>IF(D7879="","",VLOOKUP(D7879, RECETTES!B:G, 6, FALSE)*E7879)</f>
        <v/>
      </c>
      <c r="J7879" s="8">
        <f>IF(G7879="","",G7879*0.20)</f>
        <v/>
      </c>
      <c r="K7879" s="8">
        <f>IF(G7879="","",G7879+J7879)</f>
        <v/>
      </c>
    </row>
    <row r="7880">
      <c r="F7880" s="8" t="n"/>
      <c r="G7880" s="8">
        <f>IF(E7880="","",E7880*F7880)</f>
        <v/>
      </c>
      <c r="H7880" s="8">
        <f>IF(G7880="","",G7880-I7880)</f>
        <v/>
      </c>
      <c r="I7880" s="8">
        <f>IF(D7880="","",VLOOKUP(D7880, RECETTES!B:G, 6, FALSE)*E7880)</f>
        <v/>
      </c>
      <c r="J7880" s="8">
        <f>IF(G7880="","",G7880*0.20)</f>
        <v/>
      </c>
      <c r="K7880" s="8">
        <f>IF(G7880="","",G7880+J7880)</f>
        <v/>
      </c>
    </row>
    <row r="7881">
      <c r="F7881" s="8" t="n"/>
      <c r="G7881" s="8">
        <f>IF(E7881="","",E7881*F7881)</f>
        <v/>
      </c>
      <c r="H7881" s="8">
        <f>IF(G7881="","",G7881-I7881)</f>
        <v/>
      </c>
      <c r="I7881" s="8">
        <f>IF(D7881="","",VLOOKUP(D7881, RECETTES!B:G, 6, FALSE)*E7881)</f>
        <v/>
      </c>
      <c r="J7881" s="8">
        <f>IF(G7881="","",G7881*0.20)</f>
        <v/>
      </c>
      <c r="K7881" s="8">
        <f>IF(G7881="","",G7881+J7881)</f>
        <v/>
      </c>
    </row>
    <row r="7882">
      <c r="F7882" s="8" t="n"/>
      <c r="G7882" s="8">
        <f>IF(E7882="","",E7882*F7882)</f>
        <v/>
      </c>
      <c r="H7882" s="8">
        <f>IF(G7882="","",G7882-I7882)</f>
        <v/>
      </c>
      <c r="I7882" s="8">
        <f>IF(D7882="","",VLOOKUP(D7882, RECETTES!B:G, 6, FALSE)*E7882)</f>
        <v/>
      </c>
      <c r="J7882" s="8">
        <f>IF(G7882="","",G7882*0.20)</f>
        <v/>
      </c>
      <c r="K7882" s="8">
        <f>IF(G7882="","",G7882+J7882)</f>
        <v/>
      </c>
    </row>
    <row r="7883">
      <c r="F7883" s="8" t="n"/>
      <c r="G7883" s="8">
        <f>IF(E7883="","",E7883*F7883)</f>
        <v/>
      </c>
      <c r="H7883" s="8">
        <f>IF(G7883="","",G7883-I7883)</f>
        <v/>
      </c>
      <c r="I7883" s="8">
        <f>IF(D7883="","",VLOOKUP(D7883, RECETTES!B:G, 6, FALSE)*E7883)</f>
        <v/>
      </c>
      <c r="J7883" s="8">
        <f>IF(G7883="","",G7883*0.20)</f>
        <v/>
      </c>
      <c r="K7883" s="8">
        <f>IF(G7883="","",G7883+J7883)</f>
        <v/>
      </c>
    </row>
    <row r="7884">
      <c r="F7884" s="8" t="n"/>
      <c r="G7884" s="8">
        <f>IF(E7884="","",E7884*F7884)</f>
        <v/>
      </c>
      <c r="H7884" s="8">
        <f>IF(G7884="","",G7884-I7884)</f>
        <v/>
      </c>
      <c r="I7884" s="8">
        <f>IF(D7884="","",VLOOKUP(D7884, RECETTES!B:G, 6, FALSE)*E7884)</f>
        <v/>
      </c>
      <c r="J7884" s="8">
        <f>IF(G7884="","",G7884*0.20)</f>
        <v/>
      </c>
      <c r="K7884" s="8">
        <f>IF(G7884="","",G7884+J7884)</f>
        <v/>
      </c>
    </row>
    <row r="7885">
      <c r="F7885" s="8" t="n"/>
      <c r="G7885" s="8">
        <f>IF(E7885="","",E7885*F7885)</f>
        <v/>
      </c>
      <c r="H7885" s="8">
        <f>IF(G7885="","",G7885-I7885)</f>
        <v/>
      </c>
      <c r="I7885" s="8">
        <f>IF(D7885="","",VLOOKUP(D7885, RECETTES!B:G, 6, FALSE)*E7885)</f>
        <v/>
      </c>
      <c r="J7885" s="8">
        <f>IF(G7885="","",G7885*0.20)</f>
        <v/>
      </c>
      <c r="K7885" s="8">
        <f>IF(G7885="","",G7885+J7885)</f>
        <v/>
      </c>
    </row>
    <row r="7886">
      <c r="F7886" s="8" t="n"/>
      <c r="G7886" s="8">
        <f>IF(E7886="","",E7886*F7886)</f>
        <v/>
      </c>
      <c r="H7886" s="8">
        <f>IF(G7886="","",G7886-I7886)</f>
        <v/>
      </c>
      <c r="I7886" s="8">
        <f>IF(D7886="","",VLOOKUP(D7886, RECETTES!B:G, 6, FALSE)*E7886)</f>
        <v/>
      </c>
      <c r="J7886" s="8">
        <f>IF(G7886="","",G7886*0.20)</f>
        <v/>
      </c>
      <c r="K7886" s="8">
        <f>IF(G7886="","",G7886+J7886)</f>
        <v/>
      </c>
    </row>
    <row r="7887">
      <c r="F7887" s="8" t="n"/>
      <c r="G7887" s="8">
        <f>IF(E7887="","",E7887*F7887)</f>
        <v/>
      </c>
      <c r="H7887" s="8">
        <f>IF(G7887="","",G7887-I7887)</f>
        <v/>
      </c>
      <c r="I7887" s="8">
        <f>IF(D7887="","",VLOOKUP(D7887, RECETTES!B:G, 6, FALSE)*E7887)</f>
        <v/>
      </c>
      <c r="J7887" s="8">
        <f>IF(G7887="","",G7887*0.20)</f>
        <v/>
      </c>
      <c r="K7887" s="8">
        <f>IF(G7887="","",G7887+J7887)</f>
        <v/>
      </c>
    </row>
    <row r="7888">
      <c r="F7888" s="8" t="n"/>
      <c r="G7888" s="8">
        <f>IF(E7888="","",E7888*F7888)</f>
        <v/>
      </c>
      <c r="H7888" s="8">
        <f>IF(G7888="","",G7888-I7888)</f>
        <v/>
      </c>
      <c r="I7888" s="8">
        <f>IF(D7888="","",VLOOKUP(D7888, RECETTES!B:G, 6, FALSE)*E7888)</f>
        <v/>
      </c>
      <c r="J7888" s="8">
        <f>IF(G7888="","",G7888*0.20)</f>
        <v/>
      </c>
      <c r="K7888" s="8">
        <f>IF(G7888="","",G7888+J7888)</f>
        <v/>
      </c>
    </row>
    <row r="7889">
      <c r="F7889" s="8" t="n"/>
      <c r="G7889" s="8">
        <f>IF(E7889="","",E7889*F7889)</f>
        <v/>
      </c>
      <c r="H7889" s="8">
        <f>IF(G7889="","",G7889-I7889)</f>
        <v/>
      </c>
      <c r="I7889" s="8">
        <f>IF(D7889="","",VLOOKUP(D7889, RECETTES!B:G, 6, FALSE)*E7889)</f>
        <v/>
      </c>
      <c r="J7889" s="8">
        <f>IF(G7889="","",G7889*0.20)</f>
        <v/>
      </c>
      <c r="K7889" s="8">
        <f>IF(G7889="","",G7889+J7889)</f>
        <v/>
      </c>
    </row>
    <row r="7890">
      <c r="F7890" s="8" t="n"/>
      <c r="G7890" s="8">
        <f>IF(E7890="","",E7890*F7890)</f>
        <v/>
      </c>
      <c r="H7890" s="8">
        <f>IF(G7890="","",G7890-I7890)</f>
        <v/>
      </c>
      <c r="I7890" s="8">
        <f>IF(D7890="","",VLOOKUP(D7890, RECETTES!B:G, 6, FALSE)*E7890)</f>
        <v/>
      </c>
      <c r="J7890" s="8">
        <f>IF(G7890="","",G7890*0.20)</f>
        <v/>
      </c>
      <c r="K7890" s="8">
        <f>IF(G7890="","",G7890+J7890)</f>
        <v/>
      </c>
    </row>
    <row r="7891">
      <c r="F7891" s="8" t="n"/>
      <c r="G7891" s="8">
        <f>IF(E7891="","",E7891*F7891)</f>
        <v/>
      </c>
      <c r="H7891" s="8">
        <f>IF(G7891="","",G7891-I7891)</f>
        <v/>
      </c>
      <c r="I7891" s="8">
        <f>IF(D7891="","",VLOOKUP(D7891, RECETTES!B:G, 6, FALSE)*E7891)</f>
        <v/>
      </c>
      <c r="J7891" s="8">
        <f>IF(G7891="","",G7891*0.20)</f>
        <v/>
      </c>
      <c r="K7891" s="8">
        <f>IF(G7891="","",G7891+J7891)</f>
        <v/>
      </c>
    </row>
    <row r="7892">
      <c r="F7892" s="8" t="n"/>
      <c r="G7892" s="8">
        <f>IF(E7892="","",E7892*F7892)</f>
        <v/>
      </c>
      <c r="H7892" s="8">
        <f>IF(G7892="","",G7892-I7892)</f>
        <v/>
      </c>
      <c r="I7892" s="8">
        <f>IF(D7892="","",VLOOKUP(D7892, RECETTES!B:G, 6, FALSE)*E7892)</f>
        <v/>
      </c>
      <c r="J7892" s="8">
        <f>IF(G7892="","",G7892*0.20)</f>
        <v/>
      </c>
      <c r="K7892" s="8">
        <f>IF(G7892="","",G7892+J7892)</f>
        <v/>
      </c>
    </row>
    <row r="7893">
      <c r="F7893" s="8" t="n"/>
      <c r="G7893" s="8">
        <f>IF(E7893="","",E7893*F7893)</f>
        <v/>
      </c>
      <c r="H7893" s="8">
        <f>IF(G7893="","",G7893-I7893)</f>
        <v/>
      </c>
      <c r="I7893" s="8">
        <f>IF(D7893="","",VLOOKUP(D7893, RECETTES!B:G, 6, FALSE)*E7893)</f>
        <v/>
      </c>
      <c r="J7893" s="8">
        <f>IF(G7893="","",G7893*0.20)</f>
        <v/>
      </c>
      <c r="K7893" s="8">
        <f>IF(G7893="","",G7893+J7893)</f>
        <v/>
      </c>
    </row>
    <row r="7894">
      <c r="F7894" s="8" t="n"/>
      <c r="G7894" s="8">
        <f>IF(E7894="","",E7894*F7894)</f>
        <v/>
      </c>
      <c r="H7894" s="8">
        <f>IF(G7894="","",G7894-I7894)</f>
        <v/>
      </c>
      <c r="I7894" s="8">
        <f>IF(D7894="","",VLOOKUP(D7894, RECETTES!B:G, 6, FALSE)*E7894)</f>
        <v/>
      </c>
      <c r="J7894" s="8">
        <f>IF(G7894="","",G7894*0.20)</f>
        <v/>
      </c>
      <c r="K7894" s="8">
        <f>IF(G7894="","",G7894+J7894)</f>
        <v/>
      </c>
    </row>
    <row r="7895">
      <c r="F7895" s="8" t="n"/>
      <c r="G7895" s="8">
        <f>IF(E7895="","",E7895*F7895)</f>
        <v/>
      </c>
      <c r="H7895" s="8">
        <f>IF(G7895="","",G7895-I7895)</f>
        <v/>
      </c>
      <c r="I7895" s="8">
        <f>IF(D7895="","",VLOOKUP(D7895, RECETTES!B:G, 6, FALSE)*E7895)</f>
        <v/>
      </c>
      <c r="J7895" s="8">
        <f>IF(G7895="","",G7895*0.20)</f>
        <v/>
      </c>
      <c r="K7895" s="8">
        <f>IF(G7895="","",G7895+J7895)</f>
        <v/>
      </c>
    </row>
    <row r="7896">
      <c r="F7896" s="8" t="n"/>
      <c r="G7896" s="8">
        <f>IF(E7896="","",E7896*F7896)</f>
        <v/>
      </c>
      <c r="H7896" s="8">
        <f>IF(G7896="","",G7896-I7896)</f>
        <v/>
      </c>
      <c r="I7896" s="8">
        <f>IF(D7896="","",VLOOKUP(D7896, RECETTES!B:G, 6, FALSE)*E7896)</f>
        <v/>
      </c>
      <c r="J7896" s="8">
        <f>IF(G7896="","",G7896*0.20)</f>
        <v/>
      </c>
      <c r="K7896" s="8">
        <f>IF(G7896="","",G7896+J7896)</f>
        <v/>
      </c>
    </row>
    <row r="7897">
      <c r="F7897" s="8" t="n"/>
      <c r="G7897" s="8">
        <f>IF(E7897="","",E7897*F7897)</f>
        <v/>
      </c>
      <c r="H7897" s="8">
        <f>IF(G7897="","",G7897-I7897)</f>
        <v/>
      </c>
      <c r="I7897" s="8">
        <f>IF(D7897="","",VLOOKUP(D7897, RECETTES!B:G, 6, FALSE)*E7897)</f>
        <v/>
      </c>
      <c r="J7897" s="8">
        <f>IF(G7897="","",G7897*0.20)</f>
        <v/>
      </c>
      <c r="K7897" s="8">
        <f>IF(G7897="","",G7897+J7897)</f>
        <v/>
      </c>
    </row>
    <row r="7898">
      <c r="F7898" s="8" t="n"/>
      <c r="G7898" s="8">
        <f>IF(E7898="","",E7898*F7898)</f>
        <v/>
      </c>
      <c r="H7898" s="8">
        <f>IF(G7898="","",G7898-I7898)</f>
        <v/>
      </c>
      <c r="I7898" s="8">
        <f>IF(D7898="","",VLOOKUP(D7898, RECETTES!B:G, 6, FALSE)*E7898)</f>
        <v/>
      </c>
      <c r="J7898" s="8">
        <f>IF(G7898="","",G7898*0.20)</f>
        <v/>
      </c>
      <c r="K7898" s="8">
        <f>IF(G7898="","",G7898+J7898)</f>
        <v/>
      </c>
    </row>
    <row r="7899">
      <c r="F7899" s="8" t="n"/>
      <c r="G7899" s="8">
        <f>IF(E7899="","",E7899*F7899)</f>
        <v/>
      </c>
      <c r="H7899" s="8">
        <f>IF(G7899="","",G7899-I7899)</f>
        <v/>
      </c>
      <c r="I7899" s="8">
        <f>IF(D7899="","",VLOOKUP(D7899, RECETTES!B:G, 6, FALSE)*E7899)</f>
        <v/>
      </c>
      <c r="J7899" s="8">
        <f>IF(G7899="","",G7899*0.20)</f>
        <v/>
      </c>
      <c r="K7899" s="8">
        <f>IF(G7899="","",G7899+J7899)</f>
        <v/>
      </c>
    </row>
    <row r="7900">
      <c r="F7900" s="8" t="n"/>
      <c r="G7900" s="8">
        <f>IF(E7900="","",E7900*F7900)</f>
        <v/>
      </c>
      <c r="H7900" s="8">
        <f>IF(G7900="","",G7900-I7900)</f>
        <v/>
      </c>
      <c r="I7900" s="8">
        <f>IF(D7900="","",VLOOKUP(D7900, RECETTES!B:G, 6, FALSE)*E7900)</f>
        <v/>
      </c>
      <c r="J7900" s="8">
        <f>IF(G7900="","",G7900*0.20)</f>
        <v/>
      </c>
      <c r="K7900" s="8">
        <f>IF(G7900="","",G7900+J7900)</f>
        <v/>
      </c>
    </row>
    <row r="7901">
      <c r="F7901" s="8" t="n"/>
      <c r="G7901" s="8">
        <f>IF(E7901="","",E7901*F7901)</f>
        <v/>
      </c>
      <c r="H7901" s="8">
        <f>IF(G7901="","",G7901-I7901)</f>
        <v/>
      </c>
      <c r="I7901" s="8">
        <f>IF(D7901="","",VLOOKUP(D7901, RECETTES!B:G, 6, FALSE)*E7901)</f>
        <v/>
      </c>
      <c r="J7901" s="8">
        <f>IF(G7901="","",G7901*0.20)</f>
        <v/>
      </c>
      <c r="K7901" s="8">
        <f>IF(G7901="","",G7901+J7901)</f>
        <v/>
      </c>
    </row>
    <row r="7902">
      <c r="F7902" s="8" t="n"/>
      <c r="G7902" s="8">
        <f>IF(E7902="","",E7902*F7902)</f>
        <v/>
      </c>
      <c r="H7902" s="8">
        <f>IF(G7902="","",G7902-I7902)</f>
        <v/>
      </c>
      <c r="I7902" s="8">
        <f>IF(D7902="","",VLOOKUP(D7902, RECETTES!B:G, 6, FALSE)*E7902)</f>
        <v/>
      </c>
      <c r="J7902" s="8">
        <f>IF(G7902="","",G7902*0.20)</f>
        <v/>
      </c>
      <c r="K7902" s="8">
        <f>IF(G7902="","",G7902+J7902)</f>
        <v/>
      </c>
    </row>
    <row r="7903">
      <c r="F7903" s="8" t="n"/>
      <c r="G7903" s="8">
        <f>IF(E7903="","",E7903*F7903)</f>
        <v/>
      </c>
      <c r="H7903" s="8">
        <f>IF(G7903="","",G7903-I7903)</f>
        <v/>
      </c>
      <c r="I7903" s="8">
        <f>IF(D7903="","",VLOOKUP(D7903, RECETTES!B:G, 6, FALSE)*E7903)</f>
        <v/>
      </c>
      <c r="J7903" s="8">
        <f>IF(G7903="","",G7903*0.20)</f>
        <v/>
      </c>
      <c r="K7903" s="8">
        <f>IF(G7903="","",G7903+J7903)</f>
        <v/>
      </c>
    </row>
    <row r="7904">
      <c r="F7904" s="8" t="n"/>
      <c r="G7904" s="8">
        <f>IF(E7904="","",E7904*F7904)</f>
        <v/>
      </c>
      <c r="H7904" s="8">
        <f>IF(G7904="","",G7904-I7904)</f>
        <v/>
      </c>
      <c r="I7904" s="8">
        <f>IF(D7904="","",VLOOKUP(D7904, RECETTES!B:G, 6, FALSE)*E7904)</f>
        <v/>
      </c>
      <c r="J7904" s="8">
        <f>IF(G7904="","",G7904*0.20)</f>
        <v/>
      </c>
      <c r="K7904" s="8">
        <f>IF(G7904="","",G7904+J7904)</f>
        <v/>
      </c>
    </row>
    <row r="7905">
      <c r="F7905" s="8" t="n"/>
      <c r="G7905" s="8">
        <f>IF(E7905="","",E7905*F7905)</f>
        <v/>
      </c>
      <c r="H7905" s="8">
        <f>IF(G7905="","",G7905-I7905)</f>
        <v/>
      </c>
      <c r="I7905" s="8">
        <f>IF(D7905="","",VLOOKUP(D7905, RECETTES!B:G, 6, FALSE)*E7905)</f>
        <v/>
      </c>
      <c r="J7905" s="8">
        <f>IF(G7905="","",G7905*0.20)</f>
        <v/>
      </c>
      <c r="K7905" s="8">
        <f>IF(G7905="","",G7905+J7905)</f>
        <v/>
      </c>
    </row>
    <row r="7906">
      <c r="F7906" s="8" t="n"/>
      <c r="G7906" s="8">
        <f>IF(E7906="","",E7906*F7906)</f>
        <v/>
      </c>
      <c r="H7906" s="8">
        <f>IF(G7906="","",G7906-I7906)</f>
        <v/>
      </c>
      <c r="I7906" s="8">
        <f>IF(D7906="","",VLOOKUP(D7906, RECETTES!B:G, 6, FALSE)*E7906)</f>
        <v/>
      </c>
      <c r="J7906" s="8">
        <f>IF(G7906="","",G7906*0.20)</f>
        <v/>
      </c>
      <c r="K7906" s="8">
        <f>IF(G7906="","",G7906+J7906)</f>
        <v/>
      </c>
    </row>
    <row r="7907">
      <c r="F7907" s="8" t="n"/>
      <c r="G7907" s="8">
        <f>IF(E7907="","",E7907*F7907)</f>
        <v/>
      </c>
      <c r="H7907" s="8">
        <f>IF(G7907="","",G7907-I7907)</f>
        <v/>
      </c>
      <c r="I7907" s="8">
        <f>IF(D7907="","",VLOOKUP(D7907, RECETTES!B:G, 6, FALSE)*E7907)</f>
        <v/>
      </c>
      <c r="J7907" s="8">
        <f>IF(G7907="","",G7907*0.20)</f>
        <v/>
      </c>
      <c r="K7907" s="8">
        <f>IF(G7907="","",G7907+J7907)</f>
        <v/>
      </c>
    </row>
    <row r="7908">
      <c r="F7908" s="8" t="n"/>
      <c r="G7908" s="8">
        <f>IF(E7908="","",E7908*F7908)</f>
        <v/>
      </c>
      <c r="H7908" s="8">
        <f>IF(G7908="","",G7908-I7908)</f>
        <v/>
      </c>
      <c r="I7908" s="8">
        <f>IF(D7908="","",VLOOKUP(D7908, RECETTES!B:G, 6, FALSE)*E7908)</f>
        <v/>
      </c>
      <c r="J7908" s="8">
        <f>IF(G7908="","",G7908*0.20)</f>
        <v/>
      </c>
      <c r="K7908" s="8">
        <f>IF(G7908="","",G7908+J7908)</f>
        <v/>
      </c>
    </row>
    <row r="7909">
      <c r="F7909" s="8" t="n"/>
      <c r="G7909" s="8">
        <f>IF(E7909="","",E7909*F7909)</f>
        <v/>
      </c>
      <c r="H7909" s="8">
        <f>IF(G7909="","",G7909-I7909)</f>
        <v/>
      </c>
      <c r="I7909" s="8">
        <f>IF(D7909="","",VLOOKUP(D7909, RECETTES!B:G, 6, FALSE)*E7909)</f>
        <v/>
      </c>
      <c r="J7909" s="8">
        <f>IF(G7909="","",G7909*0.20)</f>
        <v/>
      </c>
      <c r="K7909" s="8">
        <f>IF(G7909="","",G7909+J7909)</f>
        <v/>
      </c>
    </row>
    <row r="7910">
      <c r="F7910" s="8" t="n"/>
      <c r="G7910" s="8">
        <f>IF(E7910="","",E7910*F7910)</f>
        <v/>
      </c>
      <c r="H7910" s="8">
        <f>IF(G7910="","",G7910-I7910)</f>
        <v/>
      </c>
      <c r="I7910" s="8">
        <f>IF(D7910="","",VLOOKUP(D7910, RECETTES!B:G, 6, FALSE)*E7910)</f>
        <v/>
      </c>
      <c r="J7910" s="8">
        <f>IF(G7910="","",G7910*0.20)</f>
        <v/>
      </c>
      <c r="K7910" s="8">
        <f>IF(G7910="","",G7910+J7910)</f>
        <v/>
      </c>
    </row>
    <row r="7911">
      <c r="F7911" s="8" t="n"/>
      <c r="G7911" s="8">
        <f>IF(E7911="","",E7911*F7911)</f>
        <v/>
      </c>
      <c r="H7911" s="8">
        <f>IF(G7911="","",G7911-I7911)</f>
        <v/>
      </c>
      <c r="I7911" s="8">
        <f>IF(D7911="","",VLOOKUP(D7911, RECETTES!B:G, 6, FALSE)*E7911)</f>
        <v/>
      </c>
      <c r="J7911" s="8">
        <f>IF(G7911="","",G7911*0.20)</f>
        <v/>
      </c>
      <c r="K7911" s="8">
        <f>IF(G7911="","",G7911+J7911)</f>
        <v/>
      </c>
    </row>
    <row r="7912">
      <c r="F7912" s="8" t="n"/>
      <c r="G7912" s="8">
        <f>IF(E7912="","",E7912*F7912)</f>
        <v/>
      </c>
      <c r="H7912" s="8">
        <f>IF(G7912="","",G7912-I7912)</f>
        <v/>
      </c>
      <c r="I7912" s="8">
        <f>IF(D7912="","",VLOOKUP(D7912, RECETTES!B:G, 6, FALSE)*E7912)</f>
        <v/>
      </c>
      <c r="J7912" s="8">
        <f>IF(G7912="","",G7912*0.20)</f>
        <v/>
      </c>
      <c r="K7912" s="8">
        <f>IF(G7912="","",G7912+J7912)</f>
        <v/>
      </c>
    </row>
    <row r="7913">
      <c r="F7913" s="8" t="n"/>
      <c r="G7913" s="8">
        <f>IF(E7913="","",E7913*F7913)</f>
        <v/>
      </c>
      <c r="H7913" s="8">
        <f>IF(G7913="","",G7913-I7913)</f>
        <v/>
      </c>
      <c r="I7913" s="8">
        <f>IF(D7913="","",VLOOKUP(D7913, RECETTES!B:G, 6, FALSE)*E7913)</f>
        <v/>
      </c>
      <c r="J7913" s="8">
        <f>IF(G7913="","",G7913*0.20)</f>
        <v/>
      </c>
      <c r="K7913" s="8">
        <f>IF(G7913="","",G7913+J7913)</f>
        <v/>
      </c>
    </row>
    <row r="7914">
      <c r="F7914" s="8" t="n"/>
      <c r="G7914" s="8">
        <f>IF(E7914="","",E7914*F7914)</f>
        <v/>
      </c>
      <c r="H7914" s="8">
        <f>IF(G7914="","",G7914-I7914)</f>
        <v/>
      </c>
      <c r="I7914" s="8">
        <f>IF(D7914="","",VLOOKUP(D7914, RECETTES!B:G, 6, FALSE)*E7914)</f>
        <v/>
      </c>
      <c r="J7914" s="8">
        <f>IF(G7914="","",G7914*0.20)</f>
        <v/>
      </c>
      <c r="K7914" s="8">
        <f>IF(G7914="","",G7914+J7914)</f>
        <v/>
      </c>
    </row>
    <row r="7915">
      <c r="F7915" s="8" t="n"/>
      <c r="G7915" s="8">
        <f>IF(E7915="","",E7915*F7915)</f>
        <v/>
      </c>
      <c r="H7915" s="8">
        <f>IF(G7915="","",G7915-I7915)</f>
        <v/>
      </c>
      <c r="I7915" s="8">
        <f>IF(D7915="","",VLOOKUP(D7915, RECETTES!B:G, 6, FALSE)*E7915)</f>
        <v/>
      </c>
      <c r="J7915" s="8">
        <f>IF(G7915="","",G7915*0.20)</f>
        <v/>
      </c>
      <c r="K7915" s="8">
        <f>IF(G7915="","",G7915+J7915)</f>
        <v/>
      </c>
    </row>
    <row r="7916">
      <c r="F7916" s="8" t="n"/>
      <c r="G7916" s="8">
        <f>IF(E7916="","",E7916*F7916)</f>
        <v/>
      </c>
      <c r="H7916" s="8">
        <f>IF(G7916="","",G7916-I7916)</f>
        <v/>
      </c>
      <c r="I7916" s="8">
        <f>IF(D7916="","",VLOOKUP(D7916, RECETTES!B:G, 6, FALSE)*E7916)</f>
        <v/>
      </c>
      <c r="J7916" s="8">
        <f>IF(G7916="","",G7916*0.20)</f>
        <v/>
      </c>
      <c r="K7916" s="8">
        <f>IF(G7916="","",G7916+J7916)</f>
        <v/>
      </c>
    </row>
    <row r="7917">
      <c r="F7917" s="8" t="n"/>
      <c r="G7917" s="8">
        <f>IF(E7917="","",E7917*F7917)</f>
        <v/>
      </c>
      <c r="H7917" s="8">
        <f>IF(G7917="","",G7917-I7917)</f>
        <v/>
      </c>
      <c r="I7917" s="8">
        <f>IF(D7917="","",VLOOKUP(D7917, RECETTES!B:G, 6, FALSE)*E7917)</f>
        <v/>
      </c>
      <c r="J7917" s="8">
        <f>IF(G7917="","",G7917*0.20)</f>
        <v/>
      </c>
      <c r="K7917" s="8">
        <f>IF(G7917="","",G7917+J7917)</f>
        <v/>
      </c>
    </row>
    <row r="7918">
      <c r="F7918" s="8" t="n"/>
      <c r="G7918" s="8">
        <f>IF(E7918="","",E7918*F7918)</f>
        <v/>
      </c>
      <c r="H7918" s="8">
        <f>IF(G7918="","",G7918-I7918)</f>
        <v/>
      </c>
      <c r="I7918" s="8">
        <f>IF(D7918="","",VLOOKUP(D7918, RECETTES!B:G, 6, FALSE)*E7918)</f>
        <v/>
      </c>
      <c r="J7918" s="8">
        <f>IF(G7918="","",G7918*0.20)</f>
        <v/>
      </c>
      <c r="K7918" s="8">
        <f>IF(G7918="","",G7918+J7918)</f>
        <v/>
      </c>
    </row>
    <row r="7919">
      <c r="F7919" s="8" t="n"/>
      <c r="G7919" s="8">
        <f>IF(E7919="","",E7919*F7919)</f>
        <v/>
      </c>
      <c r="H7919" s="8">
        <f>IF(G7919="","",G7919-I7919)</f>
        <v/>
      </c>
      <c r="I7919" s="8">
        <f>IF(D7919="","",VLOOKUP(D7919, RECETTES!B:G, 6, FALSE)*E7919)</f>
        <v/>
      </c>
      <c r="J7919" s="8">
        <f>IF(G7919="","",G7919*0.20)</f>
        <v/>
      </c>
      <c r="K7919" s="8">
        <f>IF(G7919="","",G7919+J7919)</f>
        <v/>
      </c>
    </row>
    <row r="7920">
      <c r="F7920" s="8" t="n"/>
      <c r="G7920" s="8">
        <f>IF(E7920="","",E7920*F7920)</f>
        <v/>
      </c>
      <c r="H7920" s="8">
        <f>IF(G7920="","",G7920-I7920)</f>
        <v/>
      </c>
      <c r="I7920" s="8">
        <f>IF(D7920="","",VLOOKUP(D7920, RECETTES!B:G, 6, FALSE)*E7920)</f>
        <v/>
      </c>
      <c r="J7920" s="8">
        <f>IF(G7920="","",G7920*0.20)</f>
        <v/>
      </c>
      <c r="K7920" s="8">
        <f>IF(G7920="","",G7920+J7920)</f>
        <v/>
      </c>
    </row>
    <row r="7921">
      <c r="F7921" s="8" t="n"/>
      <c r="G7921" s="8">
        <f>IF(E7921="","",E7921*F7921)</f>
        <v/>
      </c>
      <c r="H7921" s="8">
        <f>IF(G7921="","",G7921-I7921)</f>
        <v/>
      </c>
      <c r="I7921" s="8">
        <f>IF(D7921="","",VLOOKUP(D7921, RECETTES!B:G, 6, FALSE)*E7921)</f>
        <v/>
      </c>
      <c r="J7921" s="8">
        <f>IF(G7921="","",G7921*0.20)</f>
        <v/>
      </c>
      <c r="K7921" s="8">
        <f>IF(G7921="","",G7921+J7921)</f>
        <v/>
      </c>
    </row>
    <row r="7922">
      <c r="F7922" s="8" t="n"/>
      <c r="G7922" s="8">
        <f>IF(E7922="","",E7922*F7922)</f>
        <v/>
      </c>
      <c r="H7922" s="8">
        <f>IF(G7922="","",G7922-I7922)</f>
        <v/>
      </c>
      <c r="I7922" s="8">
        <f>IF(D7922="","",VLOOKUP(D7922, RECETTES!B:G, 6, FALSE)*E7922)</f>
        <v/>
      </c>
      <c r="J7922" s="8">
        <f>IF(G7922="","",G7922*0.20)</f>
        <v/>
      </c>
      <c r="K7922" s="8">
        <f>IF(G7922="","",G7922+J7922)</f>
        <v/>
      </c>
    </row>
    <row r="7923">
      <c r="F7923" s="8" t="n"/>
      <c r="G7923" s="8">
        <f>IF(E7923="","",E7923*F7923)</f>
        <v/>
      </c>
      <c r="H7923" s="8">
        <f>IF(G7923="","",G7923-I7923)</f>
        <v/>
      </c>
      <c r="I7923" s="8">
        <f>IF(D7923="","",VLOOKUP(D7923, RECETTES!B:G, 6, FALSE)*E7923)</f>
        <v/>
      </c>
      <c r="J7923" s="8">
        <f>IF(G7923="","",G7923*0.20)</f>
        <v/>
      </c>
      <c r="K7923" s="8">
        <f>IF(G7923="","",G7923+J7923)</f>
        <v/>
      </c>
    </row>
    <row r="7924">
      <c r="F7924" s="8" t="n"/>
      <c r="G7924" s="8">
        <f>IF(E7924="","",E7924*F7924)</f>
        <v/>
      </c>
      <c r="H7924" s="8">
        <f>IF(G7924="","",G7924-I7924)</f>
        <v/>
      </c>
      <c r="I7924" s="8">
        <f>IF(D7924="","",VLOOKUP(D7924, RECETTES!B:G, 6, FALSE)*E7924)</f>
        <v/>
      </c>
      <c r="J7924" s="8">
        <f>IF(G7924="","",G7924*0.20)</f>
        <v/>
      </c>
      <c r="K7924" s="8">
        <f>IF(G7924="","",G7924+J7924)</f>
        <v/>
      </c>
    </row>
    <row r="7925">
      <c r="F7925" s="8" t="n"/>
      <c r="G7925" s="8">
        <f>IF(E7925="","",E7925*F7925)</f>
        <v/>
      </c>
      <c r="H7925" s="8">
        <f>IF(G7925="","",G7925-I7925)</f>
        <v/>
      </c>
      <c r="I7925" s="8">
        <f>IF(D7925="","",VLOOKUP(D7925, RECETTES!B:G, 6, FALSE)*E7925)</f>
        <v/>
      </c>
      <c r="J7925" s="8">
        <f>IF(G7925="","",G7925*0.20)</f>
        <v/>
      </c>
      <c r="K7925" s="8">
        <f>IF(G7925="","",G7925+J7925)</f>
        <v/>
      </c>
    </row>
    <row r="7926">
      <c r="F7926" s="8" t="n"/>
      <c r="G7926" s="8">
        <f>IF(E7926="","",E7926*F7926)</f>
        <v/>
      </c>
      <c r="H7926" s="8">
        <f>IF(G7926="","",G7926-I7926)</f>
        <v/>
      </c>
      <c r="I7926" s="8">
        <f>IF(D7926="","",VLOOKUP(D7926, RECETTES!B:G, 6, FALSE)*E7926)</f>
        <v/>
      </c>
      <c r="J7926" s="8">
        <f>IF(G7926="","",G7926*0.20)</f>
        <v/>
      </c>
      <c r="K7926" s="8">
        <f>IF(G7926="","",G7926+J7926)</f>
        <v/>
      </c>
    </row>
    <row r="7927">
      <c r="F7927" s="8" t="n"/>
      <c r="G7927" s="8">
        <f>IF(E7927="","",E7927*F7927)</f>
        <v/>
      </c>
      <c r="H7927" s="8">
        <f>IF(G7927="","",G7927-I7927)</f>
        <v/>
      </c>
      <c r="I7927" s="8">
        <f>IF(D7927="","",VLOOKUP(D7927, RECETTES!B:G, 6, FALSE)*E7927)</f>
        <v/>
      </c>
      <c r="J7927" s="8">
        <f>IF(G7927="","",G7927*0.20)</f>
        <v/>
      </c>
      <c r="K7927" s="8">
        <f>IF(G7927="","",G7927+J7927)</f>
        <v/>
      </c>
    </row>
    <row r="7928">
      <c r="F7928" s="8" t="n"/>
      <c r="G7928" s="8">
        <f>IF(E7928="","",E7928*F7928)</f>
        <v/>
      </c>
      <c r="H7928" s="8">
        <f>IF(G7928="","",G7928-I7928)</f>
        <v/>
      </c>
      <c r="I7928" s="8">
        <f>IF(D7928="","",VLOOKUP(D7928, RECETTES!B:G, 6, FALSE)*E7928)</f>
        <v/>
      </c>
      <c r="J7928" s="8">
        <f>IF(G7928="","",G7928*0.20)</f>
        <v/>
      </c>
      <c r="K7928" s="8">
        <f>IF(G7928="","",G7928+J7928)</f>
        <v/>
      </c>
    </row>
    <row r="7929">
      <c r="F7929" s="8" t="n"/>
      <c r="G7929" s="8">
        <f>IF(E7929="","",E7929*F7929)</f>
        <v/>
      </c>
      <c r="H7929" s="8">
        <f>IF(G7929="","",G7929-I7929)</f>
        <v/>
      </c>
      <c r="I7929" s="8">
        <f>IF(D7929="","",VLOOKUP(D7929, RECETTES!B:G, 6, FALSE)*E7929)</f>
        <v/>
      </c>
      <c r="J7929" s="8">
        <f>IF(G7929="","",G7929*0.20)</f>
        <v/>
      </c>
      <c r="K7929" s="8">
        <f>IF(G7929="","",G7929+J7929)</f>
        <v/>
      </c>
    </row>
    <row r="7930">
      <c r="F7930" s="8" t="n"/>
      <c r="G7930" s="8">
        <f>IF(E7930="","",E7930*F7930)</f>
        <v/>
      </c>
      <c r="H7930" s="8">
        <f>IF(G7930="","",G7930-I7930)</f>
        <v/>
      </c>
      <c r="I7930" s="8">
        <f>IF(D7930="","",VLOOKUP(D7930, RECETTES!B:G, 6, FALSE)*E7930)</f>
        <v/>
      </c>
      <c r="J7930" s="8">
        <f>IF(G7930="","",G7930*0.20)</f>
        <v/>
      </c>
      <c r="K7930" s="8">
        <f>IF(G7930="","",G7930+J7930)</f>
        <v/>
      </c>
    </row>
    <row r="7931">
      <c r="F7931" s="8" t="n"/>
      <c r="G7931" s="8">
        <f>IF(E7931="","",E7931*F7931)</f>
        <v/>
      </c>
      <c r="H7931" s="8">
        <f>IF(G7931="","",G7931-I7931)</f>
        <v/>
      </c>
      <c r="I7931" s="8">
        <f>IF(D7931="","",VLOOKUP(D7931, RECETTES!B:G, 6, FALSE)*E7931)</f>
        <v/>
      </c>
      <c r="J7931" s="8">
        <f>IF(G7931="","",G7931*0.20)</f>
        <v/>
      </c>
      <c r="K7931" s="8">
        <f>IF(G7931="","",G7931+J7931)</f>
        <v/>
      </c>
    </row>
    <row r="7932">
      <c r="F7932" s="8" t="n"/>
      <c r="G7932" s="8">
        <f>IF(E7932="","",E7932*F7932)</f>
        <v/>
      </c>
      <c r="H7932" s="8">
        <f>IF(G7932="","",G7932-I7932)</f>
        <v/>
      </c>
      <c r="I7932" s="8">
        <f>IF(D7932="","",VLOOKUP(D7932, RECETTES!B:G, 6, FALSE)*E7932)</f>
        <v/>
      </c>
      <c r="J7932" s="8">
        <f>IF(G7932="","",G7932*0.20)</f>
        <v/>
      </c>
      <c r="K7932" s="8">
        <f>IF(G7932="","",G7932+J7932)</f>
        <v/>
      </c>
    </row>
    <row r="7933">
      <c r="F7933" s="8" t="n"/>
      <c r="G7933" s="8">
        <f>IF(E7933="","",E7933*F7933)</f>
        <v/>
      </c>
      <c r="H7933" s="8">
        <f>IF(G7933="","",G7933-I7933)</f>
        <v/>
      </c>
      <c r="I7933" s="8">
        <f>IF(D7933="","",VLOOKUP(D7933, RECETTES!B:G, 6, FALSE)*E7933)</f>
        <v/>
      </c>
      <c r="J7933" s="8">
        <f>IF(G7933="","",G7933*0.20)</f>
        <v/>
      </c>
      <c r="K7933" s="8">
        <f>IF(G7933="","",G7933+J7933)</f>
        <v/>
      </c>
    </row>
    <row r="7934">
      <c r="F7934" s="8" t="n"/>
      <c r="G7934" s="8">
        <f>IF(E7934="","",E7934*F7934)</f>
        <v/>
      </c>
      <c r="H7934" s="8">
        <f>IF(G7934="","",G7934-I7934)</f>
        <v/>
      </c>
      <c r="I7934" s="8">
        <f>IF(D7934="","",VLOOKUP(D7934, RECETTES!B:G, 6, FALSE)*E7934)</f>
        <v/>
      </c>
      <c r="J7934" s="8">
        <f>IF(G7934="","",G7934*0.20)</f>
        <v/>
      </c>
      <c r="K7934" s="8">
        <f>IF(G7934="","",G7934+J7934)</f>
        <v/>
      </c>
    </row>
    <row r="7935">
      <c r="F7935" s="8" t="n"/>
      <c r="G7935" s="8">
        <f>IF(E7935="","",E7935*F7935)</f>
        <v/>
      </c>
      <c r="H7935" s="8">
        <f>IF(G7935="","",G7935-I7935)</f>
        <v/>
      </c>
      <c r="I7935" s="8">
        <f>IF(D7935="","",VLOOKUP(D7935, RECETTES!B:G, 6, FALSE)*E7935)</f>
        <v/>
      </c>
      <c r="J7935" s="8">
        <f>IF(G7935="","",G7935*0.20)</f>
        <v/>
      </c>
      <c r="K7935" s="8">
        <f>IF(G7935="","",G7935+J7935)</f>
        <v/>
      </c>
    </row>
    <row r="7936">
      <c r="F7936" s="8" t="n"/>
      <c r="G7936" s="8">
        <f>IF(E7936="","",E7936*F7936)</f>
        <v/>
      </c>
      <c r="H7936" s="8">
        <f>IF(G7936="","",G7936-I7936)</f>
        <v/>
      </c>
      <c r="I7936" s="8">
        <f>IF(D7936="","",VLOOKUP(D7936, RECETTES!B:G, 6, FALSE)*E7936)</f>
        <v/>
      </c>
      <c r="J7936" s="8">
        <f>IF(G7936="","",G7936*0.20)</f>
        <v/>
      </c>
      <c r="K7936" s="8">
        <f>IF(G7936="","",G7936+J7936)</f>
        <v/>
      </c>
    </row>
    <row r="7937">
      <c r="F7937" s="8" t="n"/>
      <c r="G7937" s="8">
        <f>IF(E7937="","",E7937*F7937)</f>
        <v/>
      </c>
      <c r="H7937" s="8">
        <f>IF(G7937="","",G7937-I7937)</f>
        <v/>
      </c>
      <c r="I7937" s="8">
        <f>IF(D7937="","",VLOOKUP(D7937, RECETTES!B:G, 6, FALSE)*E7937)</f>
        <v/>
      </c>
      <c r="J7937" s="8">
        <f>IF(G7937="","",G7937*0.20)</f>
        <v/>
      </c>
      <c r="K7937" s="8">
        <f>IF(G7937="","",G7937+J7937)</f>
        <v/>
      </c>
    </row>
    <row r="7938">
      <c r="F7938" s="8" t="n"/>
      <c r="G7938" s="8">
        <f>IF(E7938="","",E7938*F7938)</f>
        <v/>
      </c>
      <c r="H7938" s="8">
        <f>IF(G7938="","",G7938-I7938)</f>
        <v/>
      </c>
      <c r="I7938" s="8">
        <f>IF(D7938="","",VLOOKUP(D7938, RECETTES!B:G, 6, FALSE)*E7938)</f>
        <v/>
      </c>
      <c r="J7938" s="8">
        <f>IF(G7938="","",G7938*0.20)</f>
        <v/>
      </c>
      <c r="K7938" s="8">
        <f>IF(G7938="","",G7938+J7938)</f>
        <v/>
      </c>
    </row>
    <row r="7939">
      <c r="F7939" s="8" t="n"/>
      <c r="G7939" s="8">
        <f>IF(E7939="","",E7939*F7939)</f>
        <v/>
      </c>
      <c r="H7939" s="8">
        <f>IF(G7939="","",G7939-I7939)</f>
        <v/>
      </c>
      <c r="I7939" s="8">
        <f>IF(D7939="","",VLOOKUP(D7939, RECETTES!B:G, 6, FALSE)*E7939)</f>
        <v/>
      </c>
      <c r="J7939" s="8">
        <f>IF(G7939="","",G7939*0.20)</f>
        <v/>
      </c>
      <c r="K7939" s="8">
        <f>IF(G7939="","",G7939+J7939)</f>
        <v/>
      </c>
    </row>
    <row r="7940">
      <c r="F7940" s="8" t="n"/>
      <c r="G7940" s="8">
        <f>IF(E7940="","",E7940*F7940)</f>
        <v/>
      </c>
      <c r="H7940" s="8">
        <f>IF(G7940="","",G7940-I7940)</f>
        <v/>
      </c>
      <c r="I7940" s="8">
        <f>IF(D7940="","",VLOOKUP(D7940, RECETTES!B:G, 6, FALSE)*E7940)</f>
        <v/>
      </c>
      <c r="J7940" s="8">
        <f>IF(G7940="","",G7940*0.20)</f>
        <v/>
      </c>
      <c r="K7940" s="8">
        <f>IF(G7940="","",G7940+J7940)</f>
        <v/>
      </c>
    </row>
    <row r="7941">
      <c r="F7941" s="8" t="n"/>
      <c r="G7941" s="8">
        <f>IF(E7941="","",E7941*F7941)</f>
        <v/>
      </c>
      <c r="H7941" s="8">
        <f>IF(G7941="","",G7941-I7941)</f>
        <v/>
      </c>
      <c r="I7941" s="8">
        <f>IF(D7941="","",VLOOKUP(D7941, RECETTES!B:G, 6, FALSE)*E7941)</f>
        <v/>
      </c>
      <c r="J7941" s="8">
        <f>IF(G7941="","",G7941*0.20)</f>
        <v/>
      </c>
      <c r="K7941" s="8">
        <f>IF(G7941="","",G7941+J7941)</f>
        <v/>
      </c>
    </row>
    <row r="7942">
      <c r="F7942" s="8" t="n"/>
      <c r="G7942" s="8">
        <f>IF(E7942="","",E7942*F7942)</f>
        <v/>
      </c>
      <c r="H7942" s="8">
        <f>IF(G7942="","",G7942-I7942)</f>
        <v/>
      </c>
      <c r="I7942" s="8">
        <f>IF(D7942="","",VLOOKUP(D7942, RECETTES!B:G, 6, FALSE)*E7942)</f>
        <v/>
      </c>
      <c r="J7942" s="8">
        <f>IF(G7942="","",G7942*0.20)</f>
        <v/>
      </c>
      <c r="K7942" s="8">
        <f>IF(G7942="","",G7942+J7942)</f>
        <v/>
      </c>
    </row>
    <row r="7943">
      <c r="F7943" s="8" t="n"/>
      <c r="G7943" s="8">
        <f>IF(E7943="","",E7943*F7943)</f>
        <v/>
      </c>
      <c r="H7943" s="8">
        <f>IF(G7943="","",G7943-I7943)</f>
        <v/>
      </c>
      <c r="I7943" s="8">
        <f>IF(D7943="","",VLOOKUP(D7943, RECETTES!B:G, 6, FALSE)*E7943)</f>
        <v/>
      </c>
      <c r="J7943" s="8">
        <f>IF(G7943="","",G7943*0.20)</f>
        <v/>
      </c>
      <c r="K7943" s="8">
        <f>IF(G7943="","",G7943+J7943)</f>
        <v/>
      </c>
    </row>
    <row r="7944">
      <c r="F7944" s="8" t="n"/>
      <c r="G7944" s="8">
        <f>IF(E7944="","",E7944*F7944)</f>
        <v/>
      </c>
      <c r="H7944" s="8">
        <f>IF(G7944="","",G7944-I7944)</f>
        <v/>
      </c>
      <c r="I7944" s="8">
        <f>IF(D7944="","",VLOOKUP(D7944, RECETTES!B:G, 6, FALSE)*E7944)</f>
        <v/>
      </c>
      <c r="J7944" s="8">
        <f>IF(G7944="","",G7944*0.20)</f>
        <v/>
      </c>
      <c r="K7944" s="8">
        <f>IF(G7944="","",G7944+J7944)</f>
        <v/>
      </c>
    </row>
    <row r="7945">
      <c r="F7945" s="8" t="n"/>
      <c r="G7945" s="8">
        <f>IF(E7945="","",E7945*F7945)</f>
        <v/>
      </c>
      <c r="H7945" s="8">
        <f>IF(G7945="","",G7945-I7945)</f>
        <v/>
      </c>
      <c r="I7945" s="8">
        <f>IF(D7945="","",VLOOKUP(D7945, RECETTES!B:G, 6, FALSE)*E7945)</f>
        <v/>
      </c>
      <c r="J7945" s="8">
        <f>IF(G7945="","",G7945*0.20)</f>
        <v/>
      </c>
      <c r="K7945" s="8">
        <f>IF(G7945="","",G7945+J7945)</f>
        <v/>
      </c>
    </row>
    <row r="7946">
      <c r="F7946" s="8" t="n"/>
      <c r="G7946" s="8">
        <f>IF(E7946="","",E7946*F7946)</f>
        <v/>
      </c>
      <c r="H7946" s="8">
        <f>IF(G7946="","",G7946-I7946)</f>
        <v/>
      </c>
      <c r="I7946" s="8">
        <f>IF(D7946="","",VLOOKUP(D7946, RECETTES!B:G, 6, FALSE)*E7946)</f>
        <v/>
      </c>
      <c r="J7946" s="8">
        <f>IF(G7946="","",G7946*0.20)</f>
        <v/>
      </c>
      <c r="K7946" s="8">
        <f>IF(G7946="","",G7946+J7946)</f>
        <v/>
      </c>
    </row>
    <row r="7947">
      <c r="F7947" s="8" t="n"/>
      <c r="G7947" s="8">
        <f>IF(E7947="","",E7947*F7947)</f>
        <v/>
      </c>
      <c r="H7947" s="8">
        <f>IF(G7947="","",G7947-I7947)</f>
        <v/>
      </c>
      <c r="I7947" s="8">
        <f>IF(D7947="","",VLOOKUP(D7947, RECETTES!B:G, 6, FALSE)*E7947)</f>
        <v/>
      </c>
      <c r="J7947" s="8">
        <f>IF(G7947="","",G7947*0.20)</f>
        <v/>
      </c>
      <c r="K7947" s="8">
        <f>IF(G7947="","",G7947+J7947)</f>
        <v/>
      </c>
    </row>
    <row r="7948">
      <c r="F7948" s="8" t="n"/>
      <c r="G7948" s="8">
        <f>IF(E7948="","",E7948*F7948)</f>
        <v/>
      </c>
      <c r="H7948" s="8">
        <f>IF(G7948="","",G7948-I7948)</f>
        <v/>
      </c>
      <c r="I7948" s="8">
        <f>IF(D7948="","",VLOOKUP(D7948, RECETTES!B:G, 6, FALSE)*E7948)</f>
        <v/>
      </c>
      <c r="J7948" s="8">
        <f>IF(G7948="","",G7948*0.20)</f>
        <v/>
      </c>
      <c r="K7948" s="8">
        <f>IF(G7948="","",G7948+J7948)</f>
        <v/>
      </c>
    </row>
    <row r="7949">
      <c r="F7949" s="8" t="n"/>
      <c r="G7949" s="8">
        <f>IF(E7949="","",E7949*F7949)</f>
        <v/>
      </c>
      <c r="H7949" s="8">
        <f>IF(G7949="","",G7949-I7949)</f>
        <v/>
      </c>
      <c r="I7949" s="8">
        <f>IF(D7949="","",VLOOKUP(D7949, RECETTES!B:G, 6, FALSE)*E7949)</f>
        <v/>
      </c>
      <c r="J7949" s="8">
        <f>IF(G7949="","",G7949*0.20)</f>
        <v/>
      </c>
      <c r="K7949" s="8">
        <f>IF(G7949="","",G7949+J7949)</f>
        <v/>
      </c>
    </row>
    <row r="7950">
      <c r="F7950" s="8" t="n"/>
      <c r="G7950" s="8">
        <f>IF(E7950="","",E7950*F7950)</f>
        <v/>
      </c>
      <c r="H7950" s="8">
        <f>IF(G7950="","",G7950-I7950)</f>
        <v/>
      </c>
      <c r="I7950" s="8">
        <f>IF(D7950="","",VLOOKUP(D7950, RECETTES!B:G, 6, FALSE)*E7950)</f>
        <v/>
      </c>
      <c r="J7950" s="8">
        <f>IF(G7950="","",G7950*0.20)</f>
        <v/>
      </c>
      <c r="K7950" s="8">
        <f>IF(G7950="","",G7950+J7950)</f>
        <v/>
      </c>
    </row>
    <row r="7951">
      <c r="F7951" s="8" t="n"/>
      <c r="G7951" s="8">
        <f>IF(E7951="","",E7951*F7951)</f>
        <v/>
      </c>
      <c r="H7951" s="8">
        <f>IF(G7951="","",G7951-I7951)</f>
        <v/>
      </c>
      <c r="I7951" s="8">
        <f>IF(D7951="","",VLOOKUP(D7951, RECETTES!B:G, 6, FALSE)*E7951)</f>
        <v/>
      </c>
      <c r="J7951" s="8">
        <f>IF(G7951="","",G7951*0.20)</f>
        <v/>
      </c>
      <c r="K7951" s="8">
        <f>IF(G7951="","",G7951+J7951)</f>
        <v/>
      </c>
    </row>
    <row r="7952">
      <c r="F7952" s="8" t="n"/>
      <c r="G7952" s="8">
        <f>IF(E7952="","",E7952*F7952)</f>
        <v/>
      </c>
      <c r="H7952" s="8">
        <f>IF(G7952="","",G7952-I7952)</f>
        <v/>
      </c>
      <c r="I7952" s="8">
        <f>IF(D7952="","",VLOOKUP(D7952, RECETTES!B:G, 6, FALSE)*E7952)</f>
        <v/>
      </c>
      <c r="J7952" s="8">
        <f>IF(G7952="","",G7952*0.20)</f>
        <v/>
      </c>
      <c r="K7952" s="8">
        <f>IF(G7952="","",G7952+J7952)</f>
        <v/>
      </c>
    </row>
    <row r="7953">
      <c r="F7953" s="8" t="n"/>
      <c r="G7953" s="8">
        <f>IF(E7953="","",E7953*F7953)</f>
        <v/>
      </c>
      <c r="H7953" s="8">
        <f>IF(G7953="","",G7953-I7953)</f>
        <v/>
      </c>
      <c r="I7953" s="8">
        <f>IF(D7953="","",VLOOKUP(D7953, RECETTES!B:G, 6, FALSE)*E7953)</f>
        <v/>
      </c>
      <c r="J7953" s="8">
        <f>IF(G7953="","",G7953*0.20)</f>
        <v/>
      </c>
      <c r="K7953" s="8">
        <f>IF(G7953="","",G7953+J7953)</f>
        <v/>
      </c>
    </row>
    <row r="7954">
      <c r="F7954" s="8" t="n"/>
      <c r="G7954" s="8">
        <f>IF(E7954="","",E7954*F7954)</f>
        <v/>
      </c>
      <c r="H7954" s="8">
        <f>IF(G7954="","",G7954-I7954)</f>
        <v/>
      </c>
      <c r="I7954" s="8">
        <f>IF(D7954="","",VLOOKUP(D7954, RECETTES!B:G, 6, FALSE)*E7954)</f>
        <v/>
      </c>
      <c r="J7954" s="8">
        <f>IF(G7954="","",G7954*0.20)</f>
        <v/>
      </c>
      <c r="K7954" s="8">
        <f>IF(G7954="","",G7954+J7954)</f>
        <v/>
      </c>
    </row>
    <row r="7955">
      <c r="F7955" s="8" t="n"/>
      <c r="G7955" s="8">
        <f>IF(E7955="","",E7955*F7955)</f>
        <v/>
      </c>
      <c r="H7955" s="8">
        <f>IF(G7955="","",G7955-I7955)</f>
        <v/>
      </c>
      <c r="I7955" s="8">
        <f>IF(D7955="","",VLOOKUP(D7955, RECETTES!B:G, 6, FALSE)*E7955)</f>
        <v/>
      </c>
      <c r="J7955" s="8">
        <f>IF(G7955="","",G7955*0.20)</f>
        <v/>
      </c>
      <c r="K7955" s="8">
        <f>IF(G7955="","",G7955+J7955)</f>
        <v/>
      </c>
    </row>
    <row r="7956">
      <c r="F7956" s="8" t="n"/>
      <c r="G7956" s="8">
        <f>IF(E7956="","",E7956*F7956)</f>
        <v/>
      </c>
      <c r="H7956" s="8">
        <f>IF(G7956="","",G7956-I7956)</f>
        <v/>
      </c>
      <c r="I7956" s="8">
        <f>IF(D7956="","",VLOOKUP(D7956, RECETTES!B:G, 6, FALSE)*E7956)</f>
        <v/>
      </c>
      <c r="J7956" s="8">
        <f>IF(G7956="","",G7956*0.20)</f>
        <v/>
      </c>
      <c r="K7956" s="8">
        <f>IF(G7956="","",G7956+J7956)</f>
        <v/>
      </c>
    </row>
    <row r="7957">
      <c r="F7957" s="8" t="n"/>
      <c r="G7957" s="8">
        <f>IF(E7957="","",E7957*F7957)</f>
        <v/>
      </c>
      <c r="H7957" s="8">
        <f>IF(G7957="","",G7957-I7957)</f>
        <v/>
      </c>
      <c r="I7957" s="8">
        <f>IF(D7957="","",VLOOKUP(D7957, RECETTES!B:G, 6, FALSE)*E7957)</f>
        <v/>
      </c>
      <c r="J7957" s="8">
        <f>IF(G7957="","",G7957*0.20)</f>
        <v/>
      </c>
      <c r="K7957" s="8">
        <f>IF(G7957="","",G7957+J7957)</f>
        <v/>
      </c>
    </row>
    <row r="7958">
      <c r="F7958" s="8" t="n"/>
      <c r="G7958" s="8">
        <f>IF(E7958="","",E7958*F7958)</f>
        <v/>
      </c>
      <c r="H7958" s="8">
        <f>IF(G7958="","",G7958-I7958)</f>
        <v/>
      </c>
      <c r="I7958" s="8">
        <f>IF(D7958="","",VLOOKUP(D7958, RECETTES!B:G, 6, FALSE)*E7958)</f>
        <v/>
      </c>
      <c r="J7958" s="8">
        <f>IF(G7958="","",G7958*0.20)</f>
        <v/>
      </c>
      <c r="K7958" s="8">
        <f>IF(G7958="","",G7958+J7958)</f>
        <v/>
      </c>
    </row>
    <row r="7959">
      <c r="F7959" s="8" t="n"/>
      <c r="G7959" s="8">
        <f>IF(E7959="","",E7959*F7959)</f>
        <v/>
      </c>
      <c r="H7959" s="8">
        <f>IF(G7959="","",G7959-I7959)</f>
        <v/>
      </c>
      <c r="I7959" s="8">
        <f>IF(D7959="","",VLOOKUP(D7959, RECETTES!B:G, 6, FALSE)*E7959)</f>
        <v/>
      </c>
      <c r="J7959" s="8">
        <f>IF(G7959="","",G7959*0.20)</f>
        <v/>
      </c>
      <c r="K7959" s="8">
        <f>IF(G7959="","",G7959+J7959)</f>
        <v/>
      </c>
    </row>
    <row r="7960">
      <c r="F7960" s="8" t="n"/>
      <c r="G7960" s="8">
        <f>IF(E7960="","",E7960*F7960)</f>
        <v/>
      </c>
      <c r="H7960" s="8">
        <f>IF(G7960="","",G7960-I7960)</f>
        <v/>
      </c>
      <c r="I7960" s="8">
        <f>IF(D7960="","",VLOOKUP(D7960, RECETTES!B:G, 6, FALSE)*E7960)</f>
        <v/>
      </c>
      <c r="J7960" s="8">
        <f>IF(G7960="","",G7960*0.20)</f>
        <v/>
      </c>
      <c r="K7960" s="8">
        <f>IF(G7960="","",G7960+J7960)</f>
        <v/>
      </c>
    </row>
    <row r="7961">
      <c r="F7961" s="8" t="n"/>
      <c r="G7961" s="8">
        <f>IF(E7961="","",E7961*F7961)</f>
        <v/>
      </c>
      <c r="H7961" s="8">
        <f>IF(G7961="","",G7961-I7961)</f>
        <v/>
      </c>
      <c r="I7961" s="8">
        <f>IF(D7961="","",VLOOKUP(D7961, RECETTES!B:G, 6, FALSE)*E7961)</f>
        <v/>
      </c>
      <c r="J7961" s="8">
        <f>IF(G7961="","",G7961*0.20)</f>
        <v/>
      </c>
      <c r="K7961" s="8">
        <f>IF(G7961="","",G7961+J7961)</f>
        <v/>
      </c>
    </row>
    <row r="7962">
      <c r="F7962" s="8" t="n"/>
      <c r="G7962" s="8">
        <f>IF(E7962="","",E7962*F7962)</f>
        <v/>
      </c>
      <c r="H7962" s="8">
        <f>IF(G7962="","",G7962-I7962)</f>
        <v/>
      </c>
      <c r="I7962" s="8">
        <f>IF(D7962="","",VLOOKUP(D7962, RECETTES!B:G, 6, FALSE)*E7962)</f>
        <v/>
      </c>
      <c r="J7962" s="8">
        <f>IF(G7962="","",G7962*0.20)</f>
        <v/>
      </c>
      <c r="K7962" s="8">
        <f>IF(G7962="","",G7962+J7962)</f>
        <v/>
      </c>
    </row>
    <row r="7963">
      <c r="F7963" s="8" t="n"/>
      <c r="G7963" s="8">
        <f>IF(E7963="","",E7963*F7963)</f>
        <v/>
      </c>
      <c r="H7963" s="8">
        <f>IF(G7963="","",G7963-I7963)</f>
        <v/>
      </c>
      <c r="I7963" s="8">
        <f>IF(D7963="","",VLOOKUP(D7963, RECETTES!B:G, 6, FALSE)*E7963)</f>
        <v/>
      </c>
      <c r="J7963" s="8">
        <f>IF(G7963="","",G7963*0.20)</f>
        <v/>
      </c>
      <c r="K7963" s="8">
        <f>IF(G7963="","",G7963+J7963)</f>
        <v/>
      </c>
    </row>
    <row r="7964">
      <c r="F7964" s="8" t="n"/>
      <c r="G7964" s="8">
        <f>IF(E7964="","",E7964*F7964)</f>
        <v/>
      </c>
      <c r="H7964" s="8">
        <f>IF(G7964="","",G7964-I7964)</f>
        <v/>
      </c>
      <c r="I7964" s="8">
        <f>IF(D7964="","",VLOOKUP(D7964, RECETTES!B:G, 6, FALSE)*E7964)</f>
        <v/>
      </c>
      <c r="J7964" s="8">
        <f>IF(G7964="","",G7964*0.20)</f>
        <v/>
      </c>
      <c r="K7964" s="8">
        <f>IF(G7964="","",G7964+J7964)</f>
        <v/>
      </c>
    </row>
    <row r="7965">
      <c r="F7965" s="8" t="n"/>
      <c r="G7965" s="8">
        <f>IF(E7965="","",E7965*F7965)</f>
        <v/>
      </c>
      <c r="H7965" s="8">
        <f>IF(G7965="","",G7965-I7965)</f>
        <v/>
      </c>
      <c r="I7965" s="8">
        <f>IF(D7965="","",VLOOKUP(D7965, RECETTES!B:G, 6, FALSE)*E7965)</f>
        <v/>
      </c>
      <c r="J7965" s="8">
        <f>IF(G7965="","",G7965*0.20)</f>
        <v/>
      </c>
      <c r="K7965" s="8">
        <f>IF(G7965="","",G7965+J7965)</f>
        <v/>
      </c>
    </row>
    <row r="7966">
      <c r="F7966" s="8" t="n"/>
      <c r="G7966" s="8">
        <f>IF(E7966="","",E7966*F7966)</f>
        <v/>
      </c>
      <c r="H7966" s="8">
        <f>IF(G7966="","",G7966-I7966)</f>
        <v/>
      </c>
      <c r="I7966" s="8">
        <f>IF(D7966="","",VLOOKUP(D7966, RECETTES!B:G, 6, FALSE)*E7966)</f>
        <v/>
      </c>
      <c r="J7966" s="8">
        <f>IF(G7966="","",G7966*0.20)</f>
        <v/>
      </c>
      <c r="K7966" s="8">
        <f>IF(G7966="","",G7966+J7966)</f>
        <v/>
      </c>
    </row>
    <row r="7967">
      <c r="F7967" s="8" t="n"/>
      <c r="G7967" s="8">
        <f>IF(E7967="","",E7967*F7967)</f>
        <v/>
      </c>
      <c r="H7967" s="8">
        <f>IF(G7967="","",G7967-I7967)</f>
        <v/>
      </c>
      <c r="I7967" s="8">
        <f>IF(D7967="","",VLOOKUP(D7967, RECETTES!B:G, 6, FALSE)*E7967)</f>
        <v/>
      </c>
      <c r="J7967" s="8">
        <f>IF(G7967="","",G7967*0.20)</f>
        <v/>
      </c>
      <c r="K7967" s="8">
        <f>IF(G7967="","",G7967+J7967)</f>
        <v/>
      </c>
    </row>
    <row r="7968">
      <c r="F7968" s="8" t="n"/>
      <c r="G7968" s="8">
        <f>IF(E7968="","",E7968*F7968)</f>
        <v/>
      </c>
      <c r="H7968" s="8">
        <f>IF(G7968="","",G7968-I7968)</f>
        <v/>
      </c>
      <c r="I7968" s="8">
        <f>IF(D7968="","",VLOOKUP(D7968, RECETTES!B:G, 6, FALSE)*E7968)</f>
        <v/>
      </c>
      <c r="J7968" s="8">
        <f>IF(G7968="","",G7968*0.20)</f>
        <v/>
      </c>
      <c r="K7968" s="8">
        <f>IF(G7968="","",G7968+J7968)</f>
        <v/>
      </c>
    </row>
    <row r="7969">
      <c r="F7969" s="8" t="n"/>
      <c r="G7969" s="8">
        <f>IF(E7969="","",E7969*F7969)</f>
        <v/>
      </c>
      <c r="H7969" s="8">
        <f>IF(G7969="","",G7969-I7969)</f>
        <v/>
      </c>
      <c r="I7969" s="8">
        <f>IF(D7969="","",VLOOKUP(D7969, RECETTES!B:G, 6, FALSE)*E7969)</f>
        <v/>
      </c>
      <c r="J7969" s="8">
        <f>IF(G7969="","",G7969*0.20)</f>
        <v/>
      </c>
      <c r="K7969" s="8">
        <f>IF(G7969="","",G7969+J7969)</f>
        <v/>
      </c>
    </row>
    <row r="7970">
      <c r="F7970" s="8" t="n"/>
      <c r="G7970" s="8">
        <f>IF(E7970="","",E7970*F7970)</f>
        <v/>
      </c>
      <c r="H7970" s="8">
        <f>IF(G7970="","",G7970-I7970)</f>
        <v/>
      </c>
      <c r="I7970" s="8">
        <f>IF(D7970="","",VLOOKUP(D7970, RECETTES!B:G, 6, FALSE)*E7970)</f>
        <v/>
      </c>
      <c r="J7970" s="8">
        <f>IF(G7970="","",G7970*0.20)</f>
        <v/>
      </c>
      <c r="K7970" s="8">
        <f>IF(G7970="","",G7970+J7970)</f>
        <v/>
      </c>
    </row>
    <row r="7971">
      <c r="F7971" s="8" t="n"/>
      <c r="G7971" s="8">
        <f>IF(E7971="","",E7971*F7971)</f>
        <v/>
      </c>
      <c r="H7971" s="8">
        <f>IF(G7971="","",G7971-I7971)</f>
        <v/>
      </c>
      <c r="I7971" s="8">
        <f>IF(D7971="","",VLOOKUP(D7971, RECETTES!B:G, 6, FALSE)*E7971)</f>
        <v/>
      </c>
      <c r="J7971" s="8">
        <f>IF(G7971="","",G7971*0.20)</f>
        <v/>
      </c>
      <c r="K7971" s="8">
        <f>IF(G7971="","",G7971+J7971)</f>
        <v/>
      </c>
    </row>
    <row r="7972">
      <c r="F7972" s="8" t="n"/>
      <c r="G7972" s="8">
        <f>IF(E7972="","",E7972*F7972)</f>
        <v/>
      </c>
      <c r="H7972" s="8">
        <f>IF(G7972="","",G7972-I7972)</f>
        <v/>
      </c>
      <c r="I7972" s="8">
        <f>IF(D7972="","",VLOOKUP(D7972, RECETTES!B:G, 6, FALSE)*E7972)</f>
        <v/>
      </c>
      <c r="J7972" s="8">
        <f>IF(G7972="","",G7972*0.20)</f>
        <v/>
      </c>
      <c r="K7972" s="8">
        <f>IF(G7972="","",G7972+J7972)</f>
        <v/>
      </c>
    </row>
    <row r="7973">
      <c r="F7973" s="8" t="n"/>
      <c r="G7973" s="8">
        <f>IF(E7973="","",E7973*F7973)</f>
        <v/>
      </c>
      <c r="H7973" s="8">
        <f>IF(G7973="","",G7973-I7973)</f>
        <v/>
      </c>
      <c r="I7973" s="8">
        <f>IF(D7973="","",VLOOKUP(D7973, RECETTES!B:G, 6, FALSE)*E7973)</f>
        <v/>
      </c>
      <c r="J7973" s="8">
        <f>IF(G7973="","",G7973*0.20)</f>
        <v/>
      </c>
      <c r="K7973" s="8">
        <f>IF(G7973="","",G7973+J7973)</f>
        <v/>
      </c>
    </row>
    <row r="7974">
      <c r="F7974" s="8" t="n"/>
      <c r="G7974" s="8">
        <f>IF(E7974="","",E7974*F7974)</f>
        <v/>
      </c>
      <c r="H7974" s="8">
        <f>IF(G7974="","",G7974-I7974)</f>
        <v/>
      </c>
      <c r="I7974" s="8">
        <f>IF(D7974="","",VLOOKUP(D7974, RECETTES!B:G, 6, FALSE)*E7974)</f>
        <v/>
      </c>
      <c r="J7974" s="8">
        <f>IF(G7974="","",G7974*0.20)</f>
        <v/>
      </c>
      <c r="K7974" s="8">
        <f>IF(G7974="","",G7974+J7974)</f>
        <v/>
      </c>
    </row>
    <row r="7975">
      <c r="F7975" s="8" t="n"/>
      <c r="G7975" s="8">
        <f>IF(E7975="","",E7975*F7975)</f>
        <v/>
      </c>
      <c r="H7975" s="8">
        <f>IF(G7975="","",G7975-I7975)</f>
        <v/>
      </c>
      <c r="I7975" s="8">
        <f>IF(D7975="","",VLOOKUP(D7975, RECETTES!B:G, 6, FALSE)*E7975)</f>
        <v/>
      </c>
      <c r="J7975" s="8">
        <f>IF(G7975="","",G7975*0.20)</f>
        <v/>
      </c>
      <c r="K7975" s="8">
        <f>IF(G7975="","",G7975+J7975)</f>
        <v/>
      </c>
    </row>
    <row r="7976">
      <c r="F7976" s="8" t="n"/>
      <c r="G7976" s="8">
        <f>IF(E7976="","",E7976*F7976)</f>
        <v/>
      </c>
      <c r="H7976" s="8">
        <f>IF(G7976="","",G7976-I7976)</f>
        <v/>
      </c>
      <c r="I7976" s="8">
        <f>IF(D7976="","",VLOOKUP(D7976, RECETTES!B:G, 6, FALSE)*E7976)</f>
        <v/>
      </c>
      <c r="J7976" s="8">
        <f>IF(G7976="","",G7976*0.20)</f>
        <v/>
      </c>
      <c r="K7976" s="8">
        <f>IF(G7976="","",G7976+J7976)</f>
        <v/>
      </c>
    </row>
    <row r="7977">
      <c r="F7977" s="8" t="n"/>
      <c r="G7977" s="8">
        <f>IF(E7977="","",E7977*F7977)</f>
        <v/>
      </c>
      <c r="H7977" s="8">
        <f>IF(G7977="","",G7977-I7977)</f>
        <v/>
      </c>
      <c r="I7977" s="8">
        <f>IF(D7977="","",VLOOKUP(D7977, RECETTES!B:G, 6, FALSE)*E7977)</f>
        <v/>
      </c>
      <c r="J7977" s="8">
        <f>IF(G7977="","",G7977*0.20)</f>
        <v/>
      </c>
      <c r="K7977" s="8">
        <f>IF(G7977="","",G7977+J7977)</f>
        <v/>
      </c>
    </row>
    <row r="7978">
      <c r="F7978" s="8" t="n"/>
      <c r="G7978" s="8">
        <f>IF(E7978="","",E7978*F7978)</f>
        <v/>
      </c>
      <c r="H7978" s="8">
        <f>IF(G7978="","",G7978-I7978)</f>
        <v/>
      </c>
      <c r="I7978" s="8">
        <f>IF(D7978="","",VLOOKUP(D7978, RECETTES!B:G, 6, FALSE)*E7978)</f>
        <v/>
      </c>
      <c r="J7978" s="8">
        <f>IF(G7978="","",G7978*0.20)</f>
        <v/>
      </c>
      <c r="K7978" s="8">
        <f>IF(G7978="","",G7978+J7978)</f>
        <v/>
      </c>
    </row>
    <row r="7979">
      <c r="F7979" s="8" t="n"/>
      <c r="G7979" s="8">
        <f>IF(E7979="","",E7979*F7979)</f>
        <v/>
      </c>
      <c r="H7979" s="8">
        <f>IF(G7979="","",G7979-I7979)</f>
        <v/>
      </c>
      <c r="I7979" s="8">
        <f>IF(D7979="","",VLOOKUP(D7979, RECETTES!B:G, 6, FALSE)*E7979)</f>
        <v/>
      </c>
      <c r="J7979" s="8">
        <f>IF(G7979="","",G7979*0.20)</f>
        <v/>
      </c>
      <c r="K7979" s="8">
        <f>IF(G7979="","",G7979+J7979)</f>
        <v/>
      </c>
    </row>
    <row r="7980">
      <c r="F7980" s="8" t="n"/>
      <c r="G7980" s="8">
        <f>IF(E7980="","",E7980*F7980)</f>
        <v/>
      </c>
      <c r="H7980" s="8">
        <f>IF(G7980="","",G7980-I7980)</f>
        <v/>
      </c>
      <c r="I7980" s="8">
        <f>IF(D7980="","",VLOOKUP(D7980, RECETTES!B:G, 6, FALSE)*E7980)</f>
        <v/>
      </c>
      <c r="J7980" s="8">
        <f>IF(G7980="","",G7980*0.20)</f>
        <v/>
      </c>
      <c r="K7980" s="8">
        <f>IF(G7980="","",G7980+J7980)</f>
        <v/>
      </c>
    </row>
    <row r="7981">
      <c r="F7981" s="8" t="n"/>
      <c r="G7981" s="8">
        <f>IF(E7981="","",E7981*F7981)</f>
        <v/>
      </c>
      <c r="H7981" s="8">
        <f>IF(G7981="","",G7981-I7981)</f>
        <v/>
      </c>
      <c r="I7981" s="8">
        <f>IF(D7981="","",VLOOKUP(D7981, RECETTES!B:G, 6, FALSE)*E7981)</f>
        <v/>
      </c>
      <c r="J7981" s="8">
        <f>IF(G7981="","",G7981*0.20)</f>
        <v/>
      </c>
      <c r="K7981" s="8">
        <f>IF(G7981="","",G7981+J7981)</f>
        <v/>
      </c>
    </row>
    <row r="7982">
      <c r="F7982" s="8" t="n"/>
      <c r="G7982" s="8">
        <f>IF(E7982="","",E7982*F7982)</f>
        <v/>
      </c>
      <c r="H7982" s="8">
        <f>IF(G7982="","",G7982-I7982)</f>
        <v/>
      </c>
      <c r="I7982" s="8">
        <f>IF(D7982="","",VLOOKUP(D7982, RECETTES!B:G, 6, FALSE)*E7982)</f>
        <v/>
      </c>
      <c r="J7982" s="8">
        <f>IF(G7982="","",G7982*0.20)</f>
        <v/>
      </c>
      <c r="K7982" s="8">
        <f>IF(G7982="","",G7982+J7982)</f>
        <v/>
      </c>
    </row>
    <row r="7983">
      <c r="F7983" s="8" t="n"/>
      <c r="G7983" s="8">
        <f>IF(E7983="","",E7983*F7983)</f>
        <v/>
      </c>
      <c r="H7983" s="8">
        <f>IF(G7983="","",G7983-I7983)</f>
        <v/>
      </c>
      <c r="I7983" s="8">
        <f>IF(D7983="","",VLOOKUP(D7983, RECETTES!B:G, 6, FALSE)*E7983)</f>
        <v/>
      </c>
      <c r="J7983" s="8">
        <f>IF(G7983="","",G7983*0.20)</f>
        <v/>
      </c>
      <c r="K7983" s="8">
        <f>IF(G7983="","",G7983+J7983)</f>
        <v/>
      </c>
    </row>
    <row r="7984">
      <c r="F7984" s="8" t="n"/>
      <c r="G7984" s="8">
        <f>IF(E7984="","",E7984*F7984)</f>
        <v/>
      </c>
      <c r="H7984" s="8">
        <f>IF(G7984="","",G7984-I7984)</f>
        <v/>
      </c>
      <c r="I7984" s="8">
        <f>IF(D7984="","",VLOOKUP(D7984, RECETTES!B:G, 6, FALSE)*E7984)</f>
        <v/>
      </c>
      <c r="J7984" s="8">
        <f>IF(G7984="","",G7984*0.20)</f>
        <v/>
      </c>
      <c r="K7984" s="8">
        <f>IF(G7984="","",G7984+J7984)</f>
        <v/>
      </c>
    </row>
    <row r="7985">
      <c r="F7985" s="8" t="n"/>
      <c r="G7985" s="8">
        <f>IF(E7985="","",E7985*F7985)</f>
        <v/>
      </c>
      <c r="H7985" s="8">
        <f>IF(G7985="","",G7985-I7985)</f>
        <v/>
      </c>
      <c r="I7985" s="8">
        <f>IF(D7985="","",VLOOKUP(D7985, RECETTES!B:G, 6, FALSE)*E7985)</f>
        <v/>
      </c>
      <c r="J7985" s="8">
        <f>IF(G7985="","",G7985*0.20)</f>
        <v/>
      </c>
      <c r="K7985" s="8">
        <f>IF(G7985="","",G7985+J7985)</f>
        <v/>
      </c>
    </row>
    <row r="7986">
      <c r="F7986" s="8" t="n"/>
      <c r="G7986" s="8">
        <f>IF(E7986="","",E7986*F7986)</f>
        <v/>
      </c>
      <c r="H7986" s="8">
        <f>IF(G7986="","",G7986-I7986)</f>
        <v/>
      </c>
      <c r="I7986" s="8">
        <f>IF(D7986="","",VLOOKUP(D7986, RECETTES!B:G, 6, FALSE)*E7986)</f>
        <v/>
      </c>
      <c r="J7986" s="8">
        <f>IF(G7986="","",G7986*0.20)</f>
        <v/>
      </c>
      <c r="K7986" s="8">
        <f>IF(G7986="","",G7986+J7986)</f>
        <v/>
      </c>
    </row>
    <row r="7987">
      <c r="F7987" s="8" t="n"/>
      <c r="G7987" s="8">
        <f>IF(E7987="","",E7987*F7987)</f>
        <v/>
      </c>
      <c r="H7987" s="8">
        <f>IF(G7987="","",G7987-I7987)</f>
        <v/>
      </c>
      <c r="I7987" s="8">
        <f>IF(D7987="","",VLOOKUP(D7987, RECETTES!B:G, 6, FALSE)*E7987)</f>
        <v/>
      </c>
      <c r="J7987" s="8">
        <f>IF(G7987="","",G7987*0.20)</f>
        <v/>
      </c>
      <c r="K7987" s="8">
        <f>IF(G7987="","",G7987+J7987)</f>
        <v/>
      </c>
    </row>
    <row r="7988">
      <c r="F7988" s="8" t="n"/>
      <c r="G7988" s="8">
        <f>IF(E7988="","",E7988*F7988)</f>
        <v/>
      </c>
      <c r="H7988" s="8">
        <f>IF(G7988="","",G7988-I7988)</f>
        <v/>
      </c>
      <c r="I7988" s="8">
        <f>IF(D7988="","",VLOOKUP(D7988, RECETTES!B:G, 6, FALSE)*E7988)</f>
        <v/>
      </c>
      <c r="J7988" s="8">
        <f>IF(G7988="","",G7988*0.20)</f>
        <v/>
      </c>
      <c r="K7988" s="8">
        <f>IF(G7988="","",G7988+J7988)</f>
        <v/>
      </c>
    </row>
    <row r="7989">
      <c r="F7989" s="8" t="n"/>
      <c r="G7989" s="8">
        <f>IF(E7989="","",E7989*F7989)</f>
        <v/>
      </c>
      <c r="H7989" s="8">
        <f>IF(G7989="","",G7989-I7989)</f>
        <v/>
      </c>
      <c r="I7989" s="8">
        <f>IF(D7989="","",VLOOKUP(D7989, RECETTES!B:G, 6, FALSE)*E7989)</f>
        <v/>
      </c>
      <c r="J7989" s="8">
        <f>IF(G7989="","",G7989*0.20)</f>
        <v/>
      </c>
      <c r="K7989" s="8">
        <f>IF(G7989="","",G7989+J7989)</f>
        <v/>
      </c>
    </row>
    <row r="7990">
      <c r="F7990" s="8" t="n"/>
      <c r="G7990" s="8">
        <f>IF(E7990="","",E7990*F7990)</f>
        <v/>
      </c>
      <c r="H7990" s="8">
        <f>IF(G7990="","",G7990-I7990)</f>
        <v/>
      </c>
      <c r="I7990" s="8">
        <f>IF(D7990="","",VLOOKUP(D7990, RECETTES!B:G, 6, FALSE)*E7990)</f>
        <v/>
      </c>
      <c r="J7990" s="8">
        <f>IF(G7990="","",G7990*0.20)</f>
        <v/>
      </c>
      <c r="K7990" s="8">
        <f>IF(G7990="","",G7990+J7990)</f>
        <v/>
      </c>
    </row>
    <row r="7991">
      <c r="F7991" s="8" t="n"/>
      <c r="G7991" s="8">
        <f>IF(E7991="","",E7991*F7991)</f>
        <v/>
      </c>
      <c r="H7991" s="8">
        <f>IF(G7991="","",G7991-I7991)</f>
        <v/>
      </c>
      <c r="I7991" s="8">
        <f>IF(D7991="","",VLOOKUP(D7991, RECETTES!B:G, 6, FALSE)*E7991)</f>
        <v/>
      </c>
      <c r="J7991" s="8">
        <f>IF(G7991="","",G7991*0.20)</f>
        <v/>
      </c>
      <c r="K7991" s="8">
        <f>IF(G7991="","",G7991+J7991)</f>
        <v/>
      </c>
    </row>
    <row r="7992">
      <c r="F7992" s="8" t="n"/>
      <c r="G7992" s="8">
        <f>IF(E7992="","",E7992*F7992)</f>
        <v/>
      </c>
      <c r="H7992" s="8">
        <f>IF(G7992="","",G7992-I7992)</f>
        <v/>
      </c>
      <c r="I7992" s="8">
        <f>IF(D7992="","",VLOOKUP(D7992, RECETTES!B:G, 6, FALSE)*E7992)</f>
        <v/>
      </c>
      <c r="J7992" s="8">
        <f>IF(G7992="","",G7992*0.20)</f>
        <v/>
      </c>
      <c r="K7992" s="8">
        <f>IF(G7992="","",G7992+J7992)</f>
        <v/>
      </c>
    </row>
    <row r="7993">
      <c r="F7993" s="8" t="n"/>
      <c r="G7993" s="8">
        <f>IF(E7993="","",E7993*F7993)</f>
        <v/>
      </c>
      <c r="H7993" s="8">
        <f>IF(G7993="","",G7993-I7993)</f>
        <v/>
      </c>
      <c r="I7993" s="8">
        <f>IF(D7993="","",VLOOKUP(D7993, RECETTES!B:G, 6, FALSE)*E7993)</f>
        <v/>
      </c>
      <c r="J7993" s="8">
        <f>IF(G7993="","",G7993*0.20)</f>
        <v/>
      </c>
      <c r="K7993" s="8">
        <f>IF(G7993="","",G7993+J7993)</f>
        <v/>
      </c>
    </row>
    <row r="7994">
      <c r="F7994" s="8" t="n"/>
      <c r="G7994" s="8">
        <f>IF(E7994="","",E7994*F7994)</f>
        <v/>
      </c>
      <c r="H7994" s="8">
        <f>IF(G7994="","",G7994-I7994)</f>
        <v/>
      </c>
      <c r="I7994" s="8">
        <f>IF(D7994="","",VLOOKUP(D7994, RECETTES!B:G, 6, FALSE)*E7994)</f>
        <v/>
      </c>
      <c r="J7994" s="8">
        <f>IF(G7994="","",G7994*0.20)</f>
        <v/>
      </c>
      <c r="K7994" s="8">
        <f>IF(G7994="","",G7994+J7994)</f>
        <v/>
      </c>
    </row>
    <row r="7995">
      <c r="F7995" s="8" t="n"/>
      <c r="G7995" s="8">
        <f>IF(E7995="","",E7995*F7995)</f>
        <v/>
      </c>
      <c r="H7995" s="8">
        <f>IF(G7995="","",G7995-I7995)</f>
        <v/>
      </c>
      <c r="I7995" s="8">
        <f>IF(D7995="","",VLOOKUP(D7995, RECETTES!B:G, 6, FALSE)*E7995)</f>
        <v/>
      </c>
      <c r="J7995" s="8">
        <f>IF(G7995="","",G7995*0.20)</f>
        <v/>
      </c>
      <c r="K7995" s="8">
        <f>IF(G7995="","",G7995+J7995)</f>
        <v/>
      </c>
    </row>
    <row r="7996">
      <c r="F7996" s="8" t="n"/>
      <c r="G7996" s="8">
        <f>IF(E7996="","",E7996*F7996)</f>
        <v/>
      </c>
      <c r="H7996" s="8">
        <f>IF(G7996="","",G7996-I7996)</f>
        <v/>
      </c>
      <c r="I7996" s="8">
        <f>IF(D7996="","",VLOOKUP(D7996, RECETTES!B:G, 6, FALSE)*E7996)</f>
        <v/>
      </c>
      <c r="J7996" s="8">
        <f>IF(G7996="","",G7996*0.20)</f>
        <v/>
      </c>
      <c r="K7996" s="8">
        <f>IF(G7996="","",G7996+J7996)</f>
        <v/>
      </c>
    </row>
    <row r="7997">
      <c r="F7997" s="8" t="n"/>
      <c r="G7997" s="8">
        <f>IF(E7997="","",E7997*F7997)</f>
        <v/>
      </c>
      <c r="H7997" s="8">
        <f>IF(G7997="","",G7997-I7997)</f>
        <v/>
      </c>
      <c r="I7997" s="8">
        <f>IF(D7997="","",VLOOKUP(D7997, RECETTES!B:G, 6, FALSE)*E7997)</f>
        <v/>
      </c>
      <c r="J7997" s="8">
        <f>IF(G7997="","",G7997*0.20)</f>
        <v/>
      </c>
      <c r="K7997" s="8">
        <f>IF(G7997="","",G7997+J7997)</f>
        <v/>
      </c>
    </row>
    <row r="7998">
      <c r="F7998" s="8" t="n"/>
      <c r="G7998" s="8">
        <f>IF(E7998="","",E7998*F7998)</f>
        <v/>
      </c>
      <c r="H7998" s="8">
        <f>IF(G7998="","",G7998-I7998)</f>
        <v/>
      </c>
      <c r="I7998" s="8">
        <f>IF(D7998="","",VLOOKUP(D7998, RECETTES!B:G, 6, FALSE)*E7998)</f>
        <v/>
      </c>
      <c r="J7998" s="8">
        <f>IF(G7998="","",G7998*0.20)</f>
        <v/>
      </c>
      <c r="K7998" s="8">
        <f>IF(G7998="","",G7998+J7998)</f>
        <v/>
      </c>
    </row>
    <row r="7999">
      <c r="F7999" s="8" t="n"/>
      <c r="G7999" s="8">
        <f>IF(E7999="","",E7999*F7999)</f>
        <v/>
      </c>
      <c r="H7999" s="8">
        <f>IF(G7999="","",G7999-I7999)</f>
        <v/>
      </c>
      <c r="I7999" s="8">
        <f>IF(D7999="","",VLOOKUP(D7999, RECETTES!B:G, 6, FALSE)*E7999)</f>
        <v/>
      </c>
      <c r="J7999" s="8">
        <f>IF(G7999="","",G7999*0.20)</f>
        <v/>
      </c>
      <c r="K7999" s="8">
        <f>IF(G7999="","",G7999+J7999)</f>
        <v/>
      </c>
    </row>
    <row r="8000">
      <c r="F8000" s="8" t="n"/>
      <c r="G8000" s="8">
        <f>IF(E8000="","",E8000*F8000)</f>
        <v/>
      </c>
      <c r="H8000" s="8">
        <f>IF(G8000="","",G8000-I8000)</f>
        <v/>
      </c>
      <c r="I8000" s="8">
        <f>IF(D8000="","",VLOOKUP(D8000, RECETTES!B:G, 6, FALSE)*E8000)</f>
        <v/>
      </c>
      <c r="J8000" s="8">
        <f>IF(G8000="","",G8000*0.20)</f>
        <v/>
      </c>
      <c r="K8000" s="8">
        <f>IF(G8000="","",G8000+J8000)</f>
        <v/>
      </c>
    </row>
    <row r="8001">
      <c r="F8001" s="8" t="n"/>
      <c r="G8001" s="8">
        <f>IF(E8001="","",E8001*F8001)</f>
        <v/>
      </c>
      <c r="H8001" s="8">
        <f>IF(G8001="","",G8001-I8001)</f>
        <v/>
      </c>
      <c r="I8001" s="8">
        <f>IF(D8001="","",VLOOKUP(D8001, RECETTES!B:G, 6, FALSE)*E8001)</f>
        <v/>
      </c>
      <c r="J8001" s="8">
        <f>IF(G8001="","",G8001*0.20)</f>
        <v/>
      </c>
      <c r="K8001" s="8">
        <f>IF(G8001="","",G8001+J8001)</f>
        <v/>
      </c>
    </row>
    <row r="8002">
      <c r="F8002" s="8" t="n"/>
      <c r="G8002" s="8">
        <f>IF(E8002="","",E8002*F8002)</f>
        <v/>
      </c>
      <c r="H8002" s="8">
        <f>IF(G8002="","",G8002-I8002)</f>
        <v/>
      </c>
      <c r="I8002" s="8">
        <f>IF(D8002="","",VLOOKUP(D8002, RECETTES!B:G, 6, FALSE)*E8002)</f>
        <v/>
      </c>
      <c r="J8002" s="8">
        <f>IF(G8002="","",G8002*0.20)</f>
        <v/>
      </c>
      <c r="K8002" s="8">
        <f>IF(G8002="","",G8002+J8002)</f>
        <v/>
      </c>
    </row>
    <row r="8003">
      <c r="F8003" s="8" t="n"/>
      <c r="G8003" s="8">
        <f>IF(E8003="","",E8003*F8003)</f>
        <v/>
      </c>
      <c r="H8003" s="8">
        <f>IF(G8003="","",G8003-I8003)</f>
        <v/>
      </c>
      <c r="I8003" s="8">
        <f>IF(D8003="","",VLOOKUP(D8003, RECETTES!B:G, 6, FALSE)*E8003)</f>
        <v/>
      </c>
      <c r="J8003" s="8">
        <f>IF(G8003="","",G8003*0.20)</f>
        <v/>
      </c>
      <c r="K8003" s="8">
        <f>IF(G8003="","",G8003+J8003)</f>
        <v/>
      </c>
    </row>
    <row r="8004">
      <c r="F8004" s="8" t="n"/>
      <c r="G8004" s="8">
        <f>IF(E8004="","",E8004*F8004)</f>
        <v/>
      </c>
      <c r="H8004" s="8">
        <f>IF(G8004="","",G8004-I8004)</f>
        <v/>
      </c>
      <c r="I8004" s="8">
        <f>IF(D8004="","",VLOOKUP(D8004, RECETTES!B:G, 6, FALSE)*E8004)</f>
        <v/>
      </c>
      <c r="J8004" s="8">
        <f>IF(G8004="","",G8004*0.20)</f>
        <v/>
      </c>
      <c r="K8004" s="8">
        <f>IF(G8004="","",G8004+J8004)</f>
        <v/>
      </c>
    </row>
    <row r="8005">
      <c r="F8005" s="8" t="n"/>
      <c r="G8005" s="8">
        <f>IF(E8005="","",E8005*F8005)</f>
        <v/>
      </c>
      <c r="H8005" s="8">
        <f>IF(G8005="","",G8005-I8005)</f>
        <v/>
      </c>
      <c r="I8005" s="8">
        <f>IF(D8005="","",VLOOKUP(D8005, RECETTES!B:G, 6, FALSE)*E8005)</f>
        <v/>
      </c>
      <c r="J8005" s="8">
        <f>IF(G8005="","",G8005*0.20)</f>
        <v/>
      </c>
      <c r="K8005" s="8">
        <f>IF(G8005="","",G8005+J8005)</f>
        <v/>
      </c>
    </row>
    <row r="8006">
      <c r="F8006" s="8" t="n"/>
      <c r="G8006" s="8">
        <f>IF(E8006="","",E8006*F8006)</f>
        <v/>
      </c>
      <c r="H8006" s="8">
        <f>IF(G8006="","",G8006-I8006)</f>
        <v/>
      </c>
      <c r="I8006" s="8">
        <f>IF(D8006="","",VLOOKUP(D8006, RECETTES!B:G, 6, FALSE)*E8006)</f>
        <v/>
      </c>
      <c r="J8006" s="8">
        <f>IF(G8006="","",G8006*0.20)</f>
        <v/>
      </c>
      <c r="K8006" s="8">
        <f>IF(G8006="","",G8006+J8006)</f>
        <v/>
      </c>
    </row>
    <row r="8007">
      <c r="F8007" s="8" t="n"/>
      <c r="G8007" s="8">
        <f>IF(E8007="","",E8007*F8007)</f>
        <v/>
      </c>
      <c r="H8007" s="8">
        <f>IF(G8007="","",G8007-I8007)</f>
        <v/>
      </c>
      <c r="I8007" s="8">
        <f>IF(D8007="","",VLOOKUP(D8007, RECETTES!B:G, 6, FALSE)*E8007)</f>
        <v/>
      </c>
      <c r="J8007" s="8">
        <f>IF(G8007="","",G8007*0.20)</f>
        <v/>
      </c>
      <c r="K8007" s="8">
        <f>IF(G8007="","",G8007+J8007)</f>
        <v/>
      </c>
    </row>
    <row r="8008">
      <c r="F8008" s="8" t="n"/>
      <c r="G8008" s="8">
        <f>IF(E8008="","",E8008*F8008)</f>
        <v/>
      </c>
      <c r="H8008" s="8">
        <f>IF(G8008="","",G8008-I8008)</f>
        <v/>
      </c>
      <c r="I8008" s="8">
        <f>IF(D8008="","",VLOOKUP(D8008, RECETTES!B:G, 6, FALSE)*E8008)</f>
        <v/>
      </c>
      <c r="J8008" s="8">
        <f>IF(G8008="","",G8008*0.20)</f>
        <v/>
      </c>
      <c r="K8008" s="8">
        <f>IF(G8008="","",G8008+J8008)</f>
        <v/>
      </c>
    </row>
    <row r="8009">
      <c r="F8009" s="8" t="n"/>
      <c r="G8009" s="8">
        <f>IF(E8009="","",E8009*F8009)</f>
        <v/>
      </c>
      <c r="H8009" s="8">
        <f>IF(G8009="","",G8009-I8009)</f>
        <v/>
      </c>
      <c r="I8009" s="8">
        <f>IF(D8009="","",VLOOKUP(D8009, RECETTES!B:G, 6, FALSE)*E8009)</f>
        <v/>
      </c>
      <c r="J8009" s="8">
        <f>IF(G8009="","",G8009*0.20)</f>
        <v/>
      </c>
      <c r="K8009" s="8">
        <f>IF(G8009="","",G8009+J8009)</f>
        <v/>
      </c>
    </row>
    <row r="8010">
      <c r="F8010" s="8" t="n"/>
      <c r="G8010" s="8">
        <f>IF(E8010="","",E8010*F8010)</f>
        <v/>
      </c>
      <c r="H8010" s="8">
        <f>IF(G8010="","",G8010-I8010)</f>
        <v/>
      </c>
      <c r="I8010" s="8">
        <f>IF(D8010="","",VLOOKUP(D8010, RECETTES!B:G, 6, FALSE)*E8010)</f>
        <v/>
      </c>
      <c r="J8010" s="8">
        <f>IF(G8010="","",G8010*0.20)</f>
        <v/>
      </c>
      <c r="K8010" s="8">
        <f>IF(G8010="","",G8010+J8010)</f>
        <v/>
      </c>
    </row>
    <row r="8011">
      <c r="F8011" s="8" t="n"/>
      <c r="G8011" s="8">
        <f>IF(E8011="","",E8011*F8011)</f>
        <v/>
      </c>
      <c r="H8011" s="8">
        <f>IF(G8011="","",G8011-I8011)</f>
        <v/>
      </c>
      <c r="I8011" s="8">
        <f>IF(D8011="","",VLOOKUP(D8011, RECETTES!B:G, 6, FALSE)*E8011)</f>
        <v/>
      </c>
      <c r="J8011" s="8">
        <f>IF(G8011="","",G8011*0.20)</f>
        <v/>
      </c>
      <c r="K8011" s="8">
        <f>IF(G8011="","",G8011+J8011)</f>
        <v/>
      </c>
    </row>
    <row r="8012">
      <c r="F8012" s="8" t="n"/>
      <c r="G8012" s="8">
        <f>IF(E8012="","",E8012*F8012)</f>
        <v/>
      </c>
      <c r="H8012" s="8">
        <f>IF(G8012="","",G8012-I8012)</f>
        <v/>
      </c>
      <c r="I8012" s="8">
        <f>IF(D8012="","",VLOOKUP(D8012, RECETTES!B:G, 6, FALSE)*E8012)</f>
        <v/>
      </c>
      <c r="J8012" s="8">
        <f>IF(G8012="","",G8012*0.20)</f>
        <v/>
      </c>
      <c r="K8012" s="8">
        <f>IF(G8012="","",G8012+J8012)</f>
        <v/>
      </c>
    </row>
    <row r="8013">
      <c r="F8013" s="8" t="n"/>
      <c r="G8013" s="8">
        <f>IF(E8013="","",E8013*F8013)</f>
        <v/>
      </c>
      <c r="H8013" s="8">
        <f>IF(G8013="","",G8013-I8013)</f>
        <v/>
      </c>
      <c r="I8013" s="8">
        <f>IF(D8013="","",VLOOKUP(D8013, RECETTES!B:G, 6, FALSE)*E8013)</f>
        <v/>
      </c>
      <c r="J8013" s="8">
        <f>IF(G8013="","",G8013*0.20)</f>
        <v/>
      </c>
      <c r="K8013" s="8">
        <f>IF(G8013="","",G8013+J8013)</f>
        <v/>
      </c>
    </row>
    <row r="8014">
      <c r="F8014" s="8" t="n"/>
      <c r="G8014" s="8">
        <f>IF(E8014="","",E8014*F8014)</f>
        <v/>
      </c>
      <c r="H8014" s="8">
        <f>IF(G8014="","",G8014-I8014)</f>
        <v/>
      </c>
      <c r="I8014" s="8">
        <f>IF(D8014="","",VLOOKUP(D8014, RECETTES!B:G, 6, FALSE)*E8014)</f>
        <v/>
      </c>
      <c r="J8014" s="8">
        <f>IF(G8014="","",G8014*0.20)</f>
        <v/>
      </c>
      <c r="K8014" s="8">
        <f>IF(G8014="","",G8014+J8014)</f>
        <v/>
      </c>
    </row>
    <row r="8015">
      <c r="F8015" s="8" t="n"/>
      <c r="G8015" s="8">
        <f>IF(E8015="","",E8015*F8015)</f>
        <v/>
      </c>
      <c r="H8015" s="8">
        <f>IF(G8015="","",G8015-I8015)</f>
        <v/>
      </c>
      <c r="I8015" s="8">
        <f>IF(D8015="","",VLOOKUP(D8015, RECETTES!B:G, 6, FALSE)*E8015)</f>
        <v/>
      </c>
      <c r="J8015" s="8">
        <f>IF(G8015="","",G8015*0.20)</f>
        <v/>
      </c>
      <c r="K8015" s="8">
        <f>IF(G8015="","",G8015+J8015)</f>
        <v/>
      </c>
    </row>
    <row r="8016">
      <c r="F8016" s="8" t="n"/>
      <c r="G8016" s="8">
        <f>IF(E8016="","",E8016*F8016)</f>
        <v/>
      </c>
      <c r="H8016" s="8">
        <f>IF(G8016="","",G8016-I8016)</f>
        <v/>
      </c>
      <c r="I8016" s="8">
        <f>IF(D8016="","",VLOOKUP(D8016, RECETTES!B:G, 6, FALSE)*E8016)</f>
        <v/>
      </c>
      <c r="J8016" s="8">
        <f>IF(G8016="","",G8016*0.20)</f>
        <v/>
      </c>
      <c r="K8016" s="8">
        <f>IF(G8016="","",G8016+J8016)</f>
        <v/>
      </c>
    </row>
    <row r="8017">
      <c r="F8017" s="8" t="n"/>
      <c r="G8017" s="8">
        <f>IF(E8017="","",E8017*F8017)</f>
        <v/>
      </c>
      <c r="H8017" s="8">
        <f>IF(G8017="","",G8017-I8017)</f>
        <v/>
      </c>
      <c r="I8017" s="8">
        <f>IF(D8017="","",VLOOKUP(D8017, RECETTES!B:G, 6, FALSE)*E8017)</f>
        <v/>
      </c>
      <c r="J8017" s="8">
        <f>IF(G8017="","",G8017*0.20)</f>
        <v/>
      </c>
      <c r="K8017" s="8">
        <f>IF(G8017="","",G8017+J8017)</f>
        <v/>
      </c>
    </row>
    <row r="8018">
      <c r="F8018" s="8" t="n"/>
      <c r="G8018" s="8">
        <f>IF(E8018="","",E8018*F8018)</f>
        <v/>
      </c>
      <c r="H8018" s="8">
        <f>IF(G8018="","",G8018-I8018)</f>
        <v/>
      </c>
      <c r="I8018" s="8">
        <f>IF(D8018="","",VLOOKUP(D8018, RECETTES!B:G, 6, FALSE)*E8018)</f>
        <v/>
      </c>
      <c r="J8018" s="8">
        <f>IF(G8018="","",G8018*0.20)</f>
        <v/>
      </c>
      <c r="K8018" s="8">
        <f>IF(G8018="","",G8018+J8018)</f>
        <v/>
      </c>
    </row>
    <row r="8019">
      <c r="F8019" s="8" t="n"/>
      <c r="G8019" s="8">
        <f>IF(E8019="","",E8019*F8019)</f>
        <v/>
      </c>
      <c r="H8019" s="8">
        <f>IF(G8019="","",G8019-I8019)</f>
        <v/>
      </c>
      <c r="I8019" s="8">
        <f>IF(D8019="","",VLOOKUP(D8019, RECETTES!B:G, 6, FALSE)*E8019)</f>
        <v/>
      </c>
      <c r="J8019" s="8">
        <f>IF(G8019="","",G8019*0.20)</f>
        <v/>
      </c>
      <c r="K8019" s="8">
        <f>IF(G8019="","",G8019+J8019)</f>
        <v/>
      </c>
    </row>
    <row r="8020">
      <c r="F8020" s="8" t="n"/>
      <c r="G8020" s="8">
        <f>IF(E8020="","",E8020*F8020)</f>
        <v/>
      </c>
      <c r="H8020" s="8">
        <f>IF(G8020="","",G8020-I8020)</f>
        <v/>
      </c>
      <c r="I8020" s="8">
        <f>IF(D8020="","",VLOOKUP(D8020, RECETTES!B:G, 6, FALSE)*E8020)</f>
        <v/>
      </c>
      <c r="J8020" s="8">
        <f>IF(G8020="","",G8020*0.20)</f>
        <v/>
      </c>
      <c r="K8020" s="8">
        <f>IF(G8020="","",G8020+J8020)</f>
        <v/>
      </c>
    </row>
    <row r="8021">
      <c r="F8021" s="8" t="n"/>
      <c r="G8021" s="8">
        <f>IF(E8021="","",E8021*F8021)</f>
        <v/>
      </c>
      <c r="H8021" s="8">
        <f>IF(G8021="","",G8021-I8021)</f>
        <v/>
      </c>
      <c r="I8021" s="8">
        <f>IF(D8021="","",VLOOKUP(D8021, RECETTES!B:G, 6, FALSE)*E8021)</f>
        <v/>
      </c>
      <c r="J8021" s="8">
        <f>IF(G8021="","",G8021*0.20)</f>
        <v/>
      </c>
      <c r="K8021" s="8">
        <f>IF(G8021="","",G8021+J8021)</f>
        <v/>
      </c>
    </row>
    <row r="8022">
      <c r="F8022" s="8" t="n"/>
      <c r="G8022" s="8">
        <f>IF(E8022="","",E8022*F8022)</f>
        <v/>
      </c>
      <c r="H8022" s="8">
        <f>IF(G8022="","",G8022-I8022)</f>
        <v/>
      </c>
      <c r="I8022" s="8">
        <f>IF(D8022="","",VLOOKUP(D8022, RECETTES!B:G, 6, FALSE)*E8022)</f>
        <v/>
      </c>
      <c r="J8022" s="8">
        <f>IF(G8022="","",G8022*0.20)</f>
        <v/>
      </c>
      <c r="K8022" s="8">
        <f>IF(G8022="","",G8022+J8022)</f>
        <v/>
      </c>
    </row>
    <row r="8023">
      <c r="F8023" s="8" t="n"/>
      <c r="G8023" s="8">
        <f>IF(E8023="","",E8023*F8023)</f>
        <v/>
      </c>
      <c r="H8023" s="8">
        <f>IF(G8023="","",G8023-I8023)</f>
        <v/>
      </c>
      <c r="I8023" s="8">
        <f>IF(D8023="","",VLOOKUP(D8023, RECETTES!B:G, 6, FALSE)*E8023)</f>
        <v/>
      </c>
      <c r="J8023" s="8">
        <f>IF(G8023="","",G8023*0.20)</f>
        <v/>
      </c>
      <c r="K8023" s="8">
        <f>IF(G8023="","",G8023+J8023)</f>
        <v/>
      </c>
    </row>
    <row r="8024">
      <c r="F8024" s="8" t="n"/>
      <c r="G8024" s="8">
        <f>IF(E8024="","",E8024*F8024)</f>
        <v/>
      </c>
      <c r="H8024" s="8">
        <f>IF(G8024="","",G8024-I8024)</f>
        <v/>
      </c>
      <c r="I8024" s="8">
        <f>IF(D8024="","",VLOOKUP(D8024, RECETTES!B:G, 6, FALSE)*E8024)</f>
        <v/>
      </c>
      <c r="J8024" s="8">
        <f>IF(G8024="","",G8024*0.20)</f>
        <v/>
      </c>
      <c r="K8024" s="8">
        <f>IF(G8024="","",G8024+J8024)</f>
        <v/>
      </c>
    </row>
    <row r="8025">
      <c r="F8025" s="8" t="n"/>
      <c r="G8025" s="8">
        <f>IF(E8025="","",E8025*F8025)</f>
        <v/>
      </c>
      <c r="H8025" s="8">
        <f>IF(G8025="","",G8025-I8025)</f>
        <v/>
      </c>
      <c r="I8025" s="8">
        <f>IF(D8025="","",VLOOKUP(D8025, RECETTES!B:G, 6, FALSE)*E8025)</f>
        <v/>
      </c>
      <c r="J8025" s="8">
        <f>IF(G8025="","",G8025*0.20)</f>
        <v/>
      </c>
      <c r="K8025" s="8">
        <f>IF(G8025="","",G8025+J8025)</f>
        <v/>
      </c>
    </row>
    <row r="8026">
      <c r="F8026" s="8" t="n"/>
      <c r="G8026" s="8">
        <f>IF(E8026="","",E8026*F8026)</f>
        <v/>
      </c>
      <c r="H8026" s="8">
        <f>IF(G8026="","",G8026-I8026)</f>
        <v/>
      </c>
      <c r="I8026" s="8">
        <f>IF(D8026="","",VLOOKUP(D8026, RECETTES!B:G, 6, FALSE)*E8026)</f>
        <v/>
      </c>
      <c r="J8026" s="8">
        <f>IF(G8026="","",G8026*0.20)</f>
        <v/>
      </c>
      <c r="K8026" s="8">
        <f>IF(G8026="","",G8026+J8026)</f>
        <v/>
      </c>
    </row>
    <row r="8027">
      <c r="F8027" s="8" t="n"/>
      <c r="G8027" s="8">
        <f>IF(E8027="","",E8027*F8027)</f>
        <v/>
      </c>
      <c r="H8027" s="8">
        <f>IF(G8027="","",G8027-I8027)</f>
        <v/>
      </c>
      <c r="I8027" s="8">
        <f>IF(D8027="","",VLOOKUP(D8027, RECETTES!B:G, 6, FALSE)*E8027)</f>
        <v/>
      </c>
      <c r="J8027" s="8">
        <f>IF(G8027="","",G8027*0.20)</f>
        <v/>
      </c>
      <c r="K8027" s="8">
        <f>IF(G8027="","",G8027+J8027)</f>
        <v/>
      </c>
    </row>
    <row r="8028">
      <c r="F8028" s="8" t="n"/>
      <c r="G8028" s="8">
        <f>IF(E8028="","",E8028*F8028)</f>
        <v/>
      </c>
      <c r="H8028" s="8">
        <f>IF(G8028="","",G8028-I8028)</f>
        <v/>
      </c>
      <c r="I8028" s="8">
        <f>IF(D8028="","",VLOOKUP(D8028, RECETTES!B:G, 6, FALSE)*E8028)</f>
        <v/>
      </c>
      <c r="J8028" s="8">
        <f>IF(G8028="","",G8028*0.20)</f>
        <v/>
      </c>
      <c r="K8028" s="8">
        <f>IF(G8028="","",G8028+J8028)</f>
        <v/>
      </c>
    </row>
    <row r="8029">
      <c r="F8029" s="8" t="n"/>
      <c r="G8029" s="8">
        <f>IF(E8029="","",E8029*F8029)</f>
        <v/>
      </c>
      <c r="H8029" s="8">
        <f>IF(G8029="","",G8029-I8029)</f>
        <v/>
      </c>
      <c r="I8029" s="8">
        <f>IF(D8029="","",VLOOKUP(D8029, RECETTES!B:G, 6, FALSE)*E8029)</f>
        <v/>
      </c>
      <c r="J8029" s="8">
        <f>IF(G8029="","",G8029*0.20)</f>
        <v/>
      </c>
      <c r="K8029" s="8">
        <f>IF(G8029="","",G8029+J8029)</f>
        <v/>
      </c>
    </row>
    <row r="8030">
      <c r="F8030" s="8" t="n"/>
      <c r="G8030" s="8">
        <f>IF(E8030="","",E8030*F8030)</f>
        <v/>
      </c>
      <c r="H8030" s="8">
        <f>IF(G8030="","",G8030-I8030)</f>
        <v/>
      </c>
      <c r="I8030" s="8">
        <f>IF(D8030="","",VLOOKUP(D8030, RECETTES!B:G, 6, FALSE)*E8030)</f>
        <v/>
      </c>
      <c r="J8030" s="8">
        <f>IF(G8030="","",G8030*0.20)</f>
        <v/>
      </c>
      <c r="K8030" s="8">
        <f>IF(G8030="","",G8030+J8030)</f>
        <v/>
      </c>
    </row>
    <row r="8031">
      <c r="F8031" s="8" t="n"/>
      <c r="G8031" s="8">
        <f>IF(E8031="","",E8031*F8031)</f>
        <v/>
      </c>
      <c r="H8031" s="8">
        <f>IF(G8031="","",G8031-I8031)</f>
        <v/>
      </c>
      <c r="I8031" s="8">
        <f>IF(D8031="","",VLOOKUP(D8031, RECETTES!B:G, 6, FALSE)*E8031)</f>
        <v/>
      </c>
      <c r="J8031" s="8">
        <f>IF(G8031="","",G8031*0.20)</f>
        <v/>
      </c>
      <c r="K8031" s="8">
        <f>IF(G8031="","",G8031+J8031)</f>
        <v/>
      </c>
    </row>
    <row r="8032">
      <c r="F8032" s="8" t="n"/>
      <c r="G8032" s="8">
        <f>IF(E8032="","",E8032*F8032)</f>
        <v/>
      </c>
      <c r="H8032" s="8">
        <f>IF(G8032="","",G8032-I8032)</f>
        <v/>
      </c>
      <c r="I8032" s="8">
        <f>IF(D8032="","",VLOOKUP(D8032, RECETTES!B:G, 6, FALSE)*E8032)</f>
        <v/>
      </c>
      <c r="J8032" s="8">
        <f>IF(G8032="","",G8032*0.20)</f>
        <v/>
      </c>
      <c r="K8032" s="8">
        <f>IF(G8032="","",G8032+J8032)</f>
        <v/>
      </c>
    </row>
    <row r="8033">
      <c r="F8033" s="8" t="n"/>
      <c r="G8033" s="8">
        <f>IF(E8033="","",E8033*F8033)</f>
        <v/>
      </c>
      <c r="H8033" s="8">
        <f>IF(G8033="","",G8033-I8033)</f>
        <v/>
      </c>
      <c r="I8033" s="8">
        <f>IF(D8033="","",VLOOKUP(D8033, RECETTES!B:G, 6, FALSE)*E8033)</f>
        <v/>
      </c>
      <c r="J8033" s="8">
        <f>IF(G8033="","",G8033*0.20)</f>
        <v/>
      </c>
      <c r="K8033" s="8">
        <f>IF(G8033="","",G8033+J8033)</f>
        <v/>
      </c>
    </row>
    <row r="8034">
      <c r="F8034" s="8" t="n"/>
      <c r="G8034" s="8">
        <f>IF(E8034="","",E8034*F8034)</f>
        <v/>
      </c>
      <c r="H8034" s="8">
        <f>IF(G8034="","",G8034-I8034)</f>
        <v/>
      </c>
      <c r="I8034" s="8">
        <f>IF(D8034="","",VLOOKUP(D8034, RECETTES!B:G, 6, FALSE)*E8034)</f>
        <v/>
      </c>
      <c r="J8034" s="8">
        <f>IF(G8034="","",G8034*0.20)</f>
        <v/>
      </c>
      <c r="K8034" s="8">
        <f>IF(G8034="","",G8034+J8034)</f>
        <v/>
      </c>
    </row>
    <row r="8035">
      <c r="F8035" s="8" t="n"/>
      <c r="G8035" s="8">
        <f>IF(E8035="","",E8035*F8035)</f>
        <v/>
      </c>
      <c r="H8035" s="8">
        <f>IF(G8035="","",G8035-I8035)</f>
        <v/>
      </c>
      <c r="I8035" s="8">
        <f>IF(D8035="","",VLOOKUP(D8035, RECETTES!B:G, 6, FALSE)*E8035)</f>
        <v/>
      </c>
      <c r="J8035" s="8">
        <f>IF(G8035="","",G8035*0.20)</f>
        <v/>
      </c>
      <c r="K8035" s="8">
        <f>IF(G8035="","",G8035+J8035)</f>
        <v/>
      </c>
    </row>
    <row r="8036">
      <c r="F8036" s="8" t="n"/>
      <c r="G8036" s="8">
        <f>IF(E8036="","",E8036*F8036)</f>
        <v/>
      </c>
      <c r="H8036" s="8">
        <f>IF(G8036="","",G8036-I8036)</f>
        <v/>
      </c>
      <c r="I8036" s="8">
        <f>IF(D8036="","",VLOOKUP(D8036, RECETTES!B:G, 6, FALSE)*E8036)</f>
        <v/>
      </c>
      <c r="J8036" s="8">
        <f>IF(G8036="","",G8036*0.20)</f>
        <v/>
      </c>
      <c r="K8036" s="8">
        <f>IF(G8036="","",G8036+J8036)</f>
        <v/>
      </c>
    </row>
    <row r="8037">
      <c r="F8037" s="8" t="n"/>
      <c r="G8037" s="8">
        <f>IF(E8037="","",E8037*F8037)</f>
        <v/>
      </c>
      <c r="H8037" s="8">
        <f>IF(G8037="","",G8037-I8037)</f>
        <v/>
      </c>
      <c r="I8037" s="8">
        <f>IF(D8037="","",VLOOKUP(D8037, RECETTES!B:G, 6, FALSE)*E8037)</f>
        <v/>
      </c>
      <c r="J8037" s="8">
        <f>IF(G8037="","",G8037*0.20)</f>
        <v/>
      </c>
      <c r="K8037" s="8">
        <f>IF(G8037="","",G8037+J8037)</f>
        <v/>
      </c>
    </row>
    <row r="8038">
      <c r="F8038" s="8" t="n"/>
      <c r="G8038" s="8">
        <f>IF(E8038="","",E8038*F8038)</f>
        <v/>
      </c>
      <c r="H8038" s="8">
        <f>IF(G8038="","",G8038-I8038)</f>
        <v/>
      </c>
      <c r="I8038" s="8">
        <f>IF(D8038="","",VLOOKUP(D8038, RECETTES!B:G, 6, FALSE)*E8038)</f>
        <v/>
      </c>
      <c r="J8038" s="8">
        <f>IF(G8038="","",G8038*0.20)</f>
        <v/>
      </c>
      <c r="K8038" s="8">
        <f>IF(G8038="","",G8038+J8038)</f>
        <v/>
      </c>
    </row>
    <row r="8039">
      <c r="F8039" s="8" t="n"/>
      <c r="G8039" s="8">
        <f>IF(E8039="","",E8039*F8039)</f>
        <v/>
      </c>
      <c r="H8039" s="8">
        <f>IF(G8039="","",G8039-I8039)</f>
        <v/>
      </c>
      <c r="I8039" s="8">
        <f>IF(D8039="","",VLOOKUP(D8039, RECETTES!B:G, 6, FALSE)*E8039)</f>
        <v/>
      </c>
      <c r="J8039" s="8">
        <f>IF(G8039="","",G8039*0.20)</f>
        <v/>
      </c>
      <c r="K8039" s="8">
        <f>IF(G8039="","",G8039+J8039)</f>
        <v/>
      </c>
    </row>
    <row r="8040">
      <c r="F8040" s="8" t="n"/>
      <c r="G8040" s="8">
        <f>IF(E8040="","",E8040*F8040)</f>
        <v/>
      </c>
      <c r="H8040" s="8">
        <f>IF(G8040="","",G8040-I8040)</f>
        <v/>
      </c>
      <c r="I8040" s="8">
        <f>IF(D8040="","",VLOOKUP(D8040, RECETTES!B:G, 6, FALSE)*E8040)</f>
        <v/>
      </c>
      <c r="J8040" s="8">
        <f>IF(G8040="","",G8040*0.20)</f>
        <v/>
      </c>
      <c r="K8040" s="8">
        <f>IF(G8040="","",G8040+J8040)</f>
        <v/>
      </c>
    </row>
    <row r="8041">
      <c r="F8041" s="8" t="n"/>
      <c r="G8041" s="8">
        <f>IF(E8041="","",E8041*F8041)</f>
        <v/>
      </c>
      <c r="H8041" s="8">
        <f>IF(G8041="","",G8041-I8041)</f>
        <v/>
      </c>
      <c r="I8041" s="8">
        <f>IF(D8041="","",VLOOKUP(D8041, RECETTES!B:G, 6, FALSE)*E8041)</f>
        <v/>
      </c>
      <c r="J8041" s="8">
        <f>IF(G8041="","",G8041*0.20)</f>
        <v/>
      </c>
      <c r="K8041" s="8">
        <f>IF(G8041="","",G8041+J8041)</f>
        <v/>
      </c>
    </row>
    <row r="8042">
      <c r="F8042" s="8" t="n"/>
      <c r="G8042" s="8">
        <f>IF(E8042="","",E8042*F8042)</f>
        <v/>
      </c>
      <c r="H8042" s="8">
        <f>IF(G8042="","",G8042-I8042)</f>
        <v/>
      </c>
      <c r="I8042" s="8">
        <f>IF(D8042="","",VLOOKUP(D8042, RECETTES!B:G, 6, FALSE)*E8042)</f>
        <v/>
      </c>
      <c r="J8042" s="8">
        <f>IF(G8042="","",G8042*0.20)</f>
        <v/>
      </c>
      <c r="K8042" s="8">
        <f>IF(G8042="","",G8042+J8042)</f>
        <v/>
      </c>
    </row>
    <row r="8043">
      <c r="F8043" s="8" t="n"/>
      <c r="G8043" s="8">
        <f>IF(E8043="","",E8043*F8043)</f>
        <v/>
      </c>
      <c r="H8043" s="8">
        <f>IF(G8043="","",G8043-I8043)</f>
        <v/>
      </c>
      <c r="I8043" s="8">
        <f>IF(D8043="","",VLOOKUP(D8043, RECETTES!B:G, 6, FALSE)*E8043)</f>
        <v/>
      </c>
      <c r="J8043" s="8">
        <f>IF(G8043="","",G8043*0.20)</f>
        <v/>
      </c>
      <c r="K8043" s="8">
        <f>IF(G8043="","",G8043+J8043)</f>
        <v/>
      </c>
    </row>
    <row r="8044">
      <c r="F8044" s="8" t="n"/>
      <c r="G8044" s="8">
        <f>IF(E8044="","",E8044*F8044)</f>
        <v/>
      </c>
      <c r="H8044" s="8">
        <f>IF(G8044="","",G8044-I8044)</f>
        <v/>
      </c>
      <c r="I8044" s="8">
        <f>IF(D8044="","",VLOOKUP(D8044, RECETTES!B:G, 6, FALSE)*E8044)</f>
        <v/>
      </c>
      <c r="J8044" s="8">
        <f>IF(G8044="","",G8044*0.20)</f>
        <v/>
      </c>
      <c r="K8044" s="8">
        <f>IF(G8044="","",G8044+J8044)</f>
        <v/>
      </c>
    </row>
    <row r="8045">
      <c r="F8045" s="8" t="n"/>
      <c r="G8045" s="8">
        <f>IF(E8045="","",E8045*F8045)</f>
        <v/>
      </c>
      <c r="H8045" s="8">
        <f>IF(G8045="","",G8045-I8045)</f>
        <v/>
      </c>
      <c r="I8045" s="8">
        <f>IF(D8045="","",VLOOKUP(D8045, RECETTES!B:G, 6, FALSE)*E8045)</f>
        <v/>
      </c>
      <c r="J8045" s="8">
        <f>IF(G8045="","",G8045*0.20)</f>
        <v/>
      </c>
      <c r="K8045" s="8">
        <f>IF(G8045="","",G8045+J8045)</f>
        <v/>
      </c>
    </row>
    <row r="8046">
      <c r="F8046" s="8" t="n"/>
      <c r="G8046" s="8">
        <f>IF(E8046="","",E8046*F8046)</f>
        <v/>
      </c>
      <c r="H8046" s="8">
        <f>IF(G8046="","",G8046-I8046)</f>
        <v/>
      </c>
      <c r="I8046" s="8">
        <f>IF(D8046="","",VLOOKUP(D8046, RECETTES!B:G, 6, FALSE)*E8046)</f>
        <v/>
      </c>
      <c r="J8046" s="8">
        <f>IF(G8046="","",G8046*0.20)</f>
        <v/>
      </c>
      <c r="K8046" s="8">
        <f>IF(G8046="","",G8046+J8046)</f>
        <v/>
      </c>
    </row>
    <row r="8047">
      <c r="F8047" s="8" t="n"/>
      <c r="G8047" s="8">
        <f>IF(E8047="","",E8047*F8047)</f>
        <v/>
      </c>
      <c r="H8047" s="8">
        <f>IF(G8047="","",G8047-I8047)</f>
        <v/>
      </c>
      <c r="I8047" s="8">
        <f>IF(D8047="","",VLOOKUP(D8047, RECETTES!B:G, 6, FALSE)*E8047)</f>
        <v/>
      </c>
      <c r="J8047" s="8">
        <f>IF(G8047="","",G8047*0.20)</f>
        <v/>
      </c>
      <c r="K8047" s="8">
        <f>IF(G8047="","",G8047+J8047)</f>
        <v/>
      </c>
    </row>
    <row r="8048">
      <c r="F8048" s="8" t="n"/>
      <c r="G8048" s="8">
        <f>IF(E8048="","",E8048*F8048)</f>
        <v/>
      </c>
      <c r="H8048" s="8">
        <f>IF(G8048="","",G8048-I8048)</f>
        <v/>
      </c>
      <c r="I8048" s="8">
        <f>IF(D8048="","",VLOOKUP(D8048, RECETTES!B:G, 6, FALSE)*E8048)</f>
        <v/>
      </c>
      <c r="J8048" s="8">
        <f>IF(G8048="","",G8048*0.20)</f>
        <v/>
      </c>
      <c r="K8048" s="8">
        <f>IF(G8048="","",G8048+J8048)</f>
        <v/>
      </c>
    </row>
    <row r="8049">
      <c r="F8049" s="8" t="n"/>
      <c r="G8049" s="8">
        <f>IF(E8049="","",E8049*F8049)</f>
        <v/>
      </c>
      <c r="H8049" s="8">
        <f>IF(G8049="","",G8049-I8049)</f>
        <v/>
      </c>
      <c r="I8049" s="8">
        <f>IF(D8049="","",VLOOKUP(D8049, RECETTES!B:G, 6, FALSE)*E8049)</f>
        <v/>
      </c>
      <c r="J8049" s="8">
        <f>IF(G8049="","",G8049*0.20)</f>
        <v/>
      </c>
      <c r="K8049" s="8">
        <f>IF(G8049="","",G8049+J8049)</f>
        <v/>
      </c>
    </row>
    <row r="8050">
      <c r="F8050" s="8" t="n"/>
      <c r="G8050" s="8">
        <f>IF(E8050="","",E8050*F8050)</f>
        <v/>
      </c>
      <c r="H8050" s="8">
        <f>IF(G8050="","",G8050-I8050)</f>
        <v/>
      </c>
      <c r="I8050" s="8">
        <f>IF(D8050="","",VLOOKUP(D8050, RECETTES!B:G, 6, FALSE)*E8050)</f>
        <v/>
      </c>
      <c r="J8050" s="8">
        <f>IF(G8050="","",G8050*0.20)</f>
        <v/>
      </c>
      <c r="K8050" s="8">
        <f>IF(G8050="","",G8050+J8050)</f>
        <v/>
      </c>
    </row>
    <row r="8051">
      <c r="F8051" s="8" t="n"/>
      <c r="G8051" s="8">
        <f>IF(E8051="","",E8051*F8051)</f>
        <v/>
      </c>
      <c r="H8051" s="8">
        <f>IF(G8051="","",G8051-I8051)</f>
        <v/>
      </c>
      <c r="I8051" s="8">
        <f>IF(D8051="","",VLOOKUP(D8051, RECETTES!B:G, 6, FALSE)*E8051)</f>
        <v/>
      </c>
      <c r="J8051" s="8">
        <f>IF(G8051="","",G8051*0.20)</f>
        <v/>
      </c>
      <c r="K8051" s="8">
        <f>IF(G8051="","",G8051+J8051)</f>
        <v/>
      </c>
    </row>
    <row r="8052">
      <c r="F8052" s="8" t="n"/>
      <c r="G8052" s="8">
        <f>IF(E8052="","",E8052*F8052)</f>
        <v/>
      </c>
      <c r="H8052" s="8">
        <f>IF(G8052="","",G8052-I8052)</f>
        <v/>
      </c>
      <c r="I8052" s="8">
        <f>IF(D8052="","",VLOOKUP(D8052, RECETTES!B:G, 6, FALSE)*E8052)</f>
        <v/>
      </c>
      <c r="J8052" s="8">
        <f>IF(G8052="","",G8052*0.20)</f>
        <v/>
      </c>
      <c r="K8052" s="8">
        <f>IF(G8052="","",G8052+J8052)</f>
        <v/>
      </c>
    </row>
    <row r="8053">
      <c r="F8053" s="8" t="n"/>
      <c r="G8053" s="8">
        <f>IF(E8053="","",E8053*F8053)</f>
        <v/>
      </c>
      <c r="H8053" s="8">
        <f>IF(G8053="","",G8053-I8053)</f>
        <v/>
      </c>
      <c r="I8053" s="8">
        <f>IF(D8053="","",VLOOKUP(D8053, RECETTES!B:G, 6, FALSE)*E8053)</f>
        <v/>
      </c>
      <c r="J8053" s="8">
        <f>IF(G8053="","",G8053*0.20)</f>
        <v/>
      </c>
      <c r="K8053" s="8">
        <f>IF(G8053="","",G8053+J8053)</f>
        <v/>
      </c>
    </row>
    <row r="8054">
      <c r="F8054" s="8" t="n"/>
      <c r="G8054" s="8">
        <f>IF(E8054="","",E8054*F8054)</f>
        <v/>
      </c>
      <c r="H8054" s="8">
        <f>IF(G8054="","",G8054-I8054)</f>
        <v/>
      </c>
      <c r="I8054" s="8">
        <f>IF(D8054="","",VLOOKUP(D8054, RECETTES!B:G, 6, FALSE)*E8054)</f>
        <v/>
      </c>
      <c r="J8054" s="8">
        <f>IF(G8054="","",G8054*0.20)</f>
        <v/>
      </c>
      <c r="K8054" s="8">
        <f>IF(G8054="","",G8054+J8054)</f>
        <v/>
      </c>
    </row>
    <row r="8055">
      <c r="F8055" s="8" t="n"/>
      <c r="G8055" s="8">
        <f>IF(E8055="","",E8055*F8055)</f>
        <v/>
      </c>
      <c r="H8055" s="8">
        <f>IF(G8055="","",G8055-I8055)</f>
        <v/>
      </c>
      <c r="I8055" s="8">
        <f>IF(D8055="","",VLOOKUP(D8055, RECETTES!B:G, 6, FALSE)*E8055)</f>
        <v/>
      </c>
      <c r="J8055" s="8">
        <f>IF(G8055="","",G8055*0.20)</f>
        <v/>
      </c>
      <c r="K8055" s="8">
        <f>IF(G8055="","",G8055+J8055)</f>
        <v/>
      </c>
    </row>
    <row r="8056">
      <c r="F8056" s="8" t="n"/>
      <c r="G8056" s="8">
        <f>IF(E8056="","",E8056*F8056)</f>
        <v/>
      </c>
      <c r="H8056" s="8">
        <f>IF(G8056="","",G8056-I8056)</f>
        <v/>
      </c>
      <c r="I8056" s="8">
        <f>IF(D8056="","",VLOOKUP(D8056, RECETTES!B:G, 6, FALSE)*E8056)</f>
        <v/>
      </c>
      <c r="J8056" s="8">
        <f>IF(G8056="","",G8056*0.20)</f>
        <v/>
      </c>
      <c r="K8056" s="8">
        <f>IF(G8056="","",G8056+J8056)</f>
        <v/>
      </c>
    </row>
    <row r="8057">
      <c r="F8057" s="8" t="n"/>
      <c r="G8057" s="8">
        <f>IF(E8057="","",E8057*F8057)</f>
        <v/>
      </c>
      <c r="H8057" s="8">
        <f>IF(G8057="","",G8057-I8057)</f>
        <v/>
      </c>
      <c r="I8057" s="8">
        <f>IF(D8057="","",VLOOKUP(D8057, RECETTES!B:G, 6, FALSE)*E8057)</f>
        <v/>
      </c>
      <c r="J8057" s="8">
        <f>IF(G8057="","",G8057*0.20)</f>
        <v/>
      </c>
      <c r="K8057" s="8">
        <f>IF(G8057="","",G8057+J8057)</f>
        <v/>
      </c>
    </row>
    <row r="8058">
      <c r="F8058" s="8" t="n"/>
      <c r="G8058" s="8">
        <f>IF(E8058="","",E8058*F8058)</f>
        <v/>
      </c>
      <c r="H8058" s="8">
        <f>IF(G8058="","",G8058-I8058)</f>
        <v/>
      </c>
      <c r="I8058" s="8">
        <f>IF(D8058="","",VLOOKUP(D8058, RECETTES!B:G, 6, FALSE)*E8058)</f>
        <v/>
      </c>
      <c r="J8058" s="8">
        <f>IF(G8058="","",G8058*0.20)</f>
        <v/>
      </c>
      <c r="K8058" s="8">
        <f>IF(G8058="","",G8058+J8058)</f>
        <v/>
      </c>
    </row>
    <row r="8059">
      <c r="F8059" s="8" t="n"/>
      <c r="G8059" s="8">
        <f>IF(E8059="","",E8059*F8059)</f>
        <v/>
      </c>
      <c r="H8059" s="8">
        <f>IF(G8059="","",G8059-I8059)</f>
        <v/>
      </c>
      <c r="I8059" s="8">
        <f>IF(D8059="","",VLOOKUP(D8059, RECETTES!B:G, 6, FALSE)*E8059)</f>
        <v/>
      </c>
      <c r="J8059" s="8">
        <f>IF(G8059="","",G8059*0.20)</f>
        <v/>
      </c>
      <c r="K8059" s="8">
        <f>IF(G8059="","",G8059+J8059)</f>
        <v/>
      </c>
    </row>
    <row r="8060">
      <c r="F8060" s="8" t="n"/>
      <c r="G8060" s="8">
        <f>IF(E8060="","",E8060*F8060)</f>
        <v/>
      </c>
      <c r="H8060" s="8">
        <f>IF(G8060="","",G8060-I8060)</f>
        <v/>
      </c>
      <c r="I8060" s="8">
        <f>IF(D8060="","",VLOOKUP(D8060, RECETTES!B:G, 6, FALSE)*E8060)</f>
        <v/>
      </c>
      <c r="J8060" s="8">
        <f>IF(G8060="","",G8060*0.20)</f>
        <v/>
      </c>
      <c r="K8060" s="8">
        <f>IF(G8060="","",G8060+J8060)</f>
        <v/>
      </c>
    </row>
    <row r="8061">
      <c r="F8061" s="8" t="n"/>
      <c r="G8061" s="8">
        <f>IF(E8061="","",E8061*F8061)</f>
        <v/>
      </c>
      <c r="H8061" s="8">
        <f>IF(G8061="","",G8061-I8061)</f>
        <v/>
      </c>
      <c r="I8061" s="8">
        <f>IF(D8061="","",VLOOKUP(D8061, RECETTES!B:G, 6, FALSE)*E8061)</f>
        <v/>
      </c>
      <c r="J8061" s="8">
        <f>IF(G8061="","",G8061*0.20)</f>
        <v/>
      </c>
      <c r="K8061" s="8">
        <f>IF(G8061="","",G8061+J8061)</f>
        <v/>
      </c>
    </row>
    <row r="8062">
      <c r="F8062" s="8" t="n"/>
      <c r="G8062" s="8">
        <f>IF(E8062="","",E8062*F8062)</f>
        <v/>
      </c>
      <c r="H8062" s="8">
        <f>IF(G8062="","",G8062-I8062)</f>
        <v/>
      </c>
      <c r="I8062" s="8">
        <f>IF(D8062="","",VLOOKUP(D8062, RECETTES!B:G, 6, FALSE)*E8062)</f>
        <v/>
      </c>
      <c r="J8062" s="8">
        <f>IF(G8062="","",G8062*0.20)</f>
        <v/>
      </c>
      <c r="K8062" s="8">
        <f>IF(G8062="","",G8062+J8062)</f>
        <v/>
      </c>
    </row>
    <row r="8063">
      <c r="F8063" s="8" t="n"/>
      <c r="G8063" s="8">
        <f>IF(E8063="","",E8063*F8063)</f>
        <v/>
      </c>
      <c r="H8063" s="8">
        <f>IF(G8063="","",G8063-I8063)</f>
        <v/>
      </c>
      <c r="I8063" s="8">
        <f>IF(D8063="","",VLOOKUP(D8063, RECETTES!B:G, 6, FALSE)*E8063)</f>
        <v/>
      </c>
      <c r="J8063" s="8">
        <f>IF(G8063="","",G8063*0.20)</f>
        <v/>
      </c>
      <c r="K8063" s="8">
        <f>IF(G8063="","",G8063+J8063)</f>
        <v/>
      </c>
    </row>
    <row r="8064">
      <c r="F8064" s="8" t="n"/>
      <c r="G8064" s="8">
        <f>IF(E8064="","",E8064*F8064)</f>
        <v/>
      </c>
      <c r="H8064" s="8">
        <f>IF(G8064="","",G8064-I8064)</f>
        <v/>
      </c>
      <c r="I8064" s="8">
        <f>IF(D8064="","",VLOOKUP(D8064, RECETTES!B:G, 6, FALSE)*E8064)</f>
        <v/>
      </c>
      <c r="J8064" s="8">
        <f>IF(G8064="","",G8064*0.20)</f>
        <v/>
      </c>
      <c r="K8064" s="8">
        <f>IF(G8064="","",G8064+J8064)</f>
        <v/>
      </c>
    </row>
    <row r="8065">
      <c r="F8065" s="8" t="n"/>
      <c r="G8065" s="8">
        <f>IF(E8065="","",E8065*F8065)</f>
        <v/>
      </c>
      <c r="H8065" s="8">
        <f>IF(G8065="","",G8065-I8065)</f>
        <v/>
      </c>
      <c r="I8065" s="8">
        <f>IF(D8065="","",VLOOKUP(D8065, RECETTES!B:G, 6, FALSE)*E8065)</f>
        <v/>
      </c>
      <c r="J8065" s="8">
        <f>IF(G8065="","",G8065*0.20)</f>
        <v/>
      </c>
      <c r="K8065" s="8">
        <f>IF(G8065="","",G8065+J8065)</f>
        <v/>
      </c>
    </row>
    <row r="8066">
      <c r="F8066" s="8" t="n"/>
      <c r="G8066" s="8">
        <f>IF(E8066="","",E8066*F8066)</f>
        <v/>
      </c>
      <c r="H8066" s="8">
        <f>IF(G8066="","",G8066-I8066)</f>
        <v/>
      </c>
      <c r="I8066" s="8">
        <f>IF(D8066="","",VLOOKUP(D8066, RECETTES!B:G, 6, FALSE)*E8066)</f>
        <v/>
      </c>
      <c r="J8066" s="8">
        <f>IF(G8066="","",G8066*0.20)</f>
        <v/>
      </c>
      <c r="K8066" s="8">
        <f>IF(G8066="","",G8066+J8066)</f>
        <v/>
      </c>
    </row>
    <row r="8067">
      <c r="F8067" s="8" t="n"/>
      <c r="G8067" s="8">
        <f>IF(E8067="","",E8067*F8067)</f>
        <v/>
      </c>
      <c r="H8067" s="8">
        <f>IF(G8067="","",G8067-I8067)</f>
        <v/>
      </c>
      <c r="I8067" s="8">
        <f>IF(D8067="","",VLOOKUP(D8067, RECETTES!B:G, 6, FALSE)*E8067)</f>
        <v/>
      </c>
      <c r="J8067" s="8">
        <f>IF(G8067="","",G8067*0.20)</f>
        <v/>
      </c>
      <c r="K8067" s="8">
        <f>IF(G8067="","",G8067+J8067)</f>
        <v/>
      </c>
    </row>
    <row r="8068">
      <c r="F8068" s="8" t="n"/>
      <c r="G8068" s="8">
        <f>IF(E8068="","",E8068*F8068)</f>
        <v/>
      </c>
      <c r="H8068" s="8">
        <f>IF(G8068="","",G8068-I8068)</f>
        <v/>
      </c>
      <c r="I8068" s="8">
        <f>IF(D8068="","",VLOOKUP(D8068, RECETTES!B:G, 6, FALSE)*E8068)</f>
        <v/>
      </c>
      <c r="J8068" s="8">
        <f>IF(G8068="","",G8068*0.20)</f>
        <v/>
      </c>
      <c r="K8068" s="8">
        <f>IF(G8068="","",G8068+J8068)</f>
        <v/>
      </c>
    </row>
    <row r="8069">
      <c r="F8069" s="8" t="n"/>
      <c r="G8069" s="8">
        <f>IF(E8069="","",E8069*F8069)</f>
        <v/>
      </c>
      <c r="H8069" s="8">
        <f>IF(G8069="","",G8069-I8069)</f>
        <v/>
      </c>
      <c r="I8069" s="8">
        <f>IF(D8069="","",VLOOKUP(D8069, RECETTES!B:G, 6, FALSE)*E8069)</f>
        <v/>
      </c>
      <c r="J8069" s="8">
        <f>IF(G8069="","",G8069*0.20)</f>
        <v/>
      </c>
      <c r="K8069" s="8">
        <f>IF(G8069="","",G8069+J8069)</f>
        <v/>
      </c>
    </row>
    <row r="8070">
      <c r="F8070" s="8" t="n"/>
      <c r="G8070" s="8">
        <f>IF(E8070="","",E8070*F8070)</f>
        <v/>
      </c>
      <c r="H8070" s="8">
        <f>IF(G8070="","",G8070-I8070)</f>
        <v/>
      </c>
      <c r="I8070" s="8">
        <f>IF(D8070="","",VLOOKUP(D8070, RECETTES!B:G, 6, FALSE)*E8070)</f>
        <v/>
      </c>
      <c r="J8070" s="8">
        <f>IF(G8070="","",G8070*0.20)</f>
        <v/>
      </c>
      <c r="K8070" s="8">
        <f>IF(G8070="","",G8070+J8070)</f>
        <v/>
      </c>
    </row>
    <row r="8071">
      <c r="F8071" s="8" t="n"/>
      <c r="G8071" s="8">
        <f>IF(E8071="","",E8071*F8071)</f>
        <v/>
      </c>
      <c r="H8071" s="8">
        <f>IF(G8071="","",G8071-I8071)</f>
        <v/>
      </c>
      <c r="I8071" s="8">
        <f>IF(D8071="","",VLOOKUP(D8071, RECETTES!B:G, 6, FALSE)*E8071)</f>
        <v/>
      </c>
      <c r="J8071" s="8">
        <f>IF(G8071="","",G8071*0.20)</f>
        <v/>
      </c>
      <c r="K8071" s="8">
        <f>IF(G8071="","",G8071+J8071)</f>
        <v/>
      </c>
    </row>
    <row r="8072">
      <c r="F8072" s="8" t="n"/>
      <c r="G8072" s="8">
        <f>IF(E8072="","",E8072*F8072)</f>
        <v/>
      </c>
      <c r="H8072" s="8">
        <f>IF(G8072="","",G8072-I8072)</f>
        <v/>
      </c>
      <c r="I8072" s="8">
        <f>IF(D8072="","",VLOOKUP(D8072, RECETTES!B:G, 6, FALSE)*E8072)</f>
        <v/>
      </c>
      <c r="J8072" s="8">
        <f>IF(G8072="","",G8072*0.20)</f>
        <v/>
      </c>
      <c r="K8072" s="8">
        <f>IF(G8072="","",G8072+J8072)</f>
        <v/>
      </c>
    </row>
    <row r="8073">
      <c r="F8073" s="8" t="n"/>
      <c r="G8073" s="8">
        <f>IF(E8073="","",E8073*F8073)</f>
        <v/>
      </c>
      <c r="H8073" s="8">
        <f>IF(G8073="","",G8073-I8073)</f>
        <v/>
      </c>
      <c r="I8073" s="8">
        <f>IF(D8073="","",VLOOKUP(D8073, RECETTES!B:G, 6, FALSE)*E8073)</f>
        <v/>
      </c>
      <c r="J8073" s="8">
        <f>IF(G8073="","",G8073*0.20)</f>
        <v/>
      </c>
      <c r="K8073" s="8">
        <f>IF(G8073="","",G8073+J8073)</f>
        <v/>
      </c>
    </row>
    <row r="8074">
      <c r="F8074" s="8" t="n"/>
      <c r="G8074" s="8">
        <f>IF(E8074="","",E8074*F8074)</f>
        <v/>
      </c>
      <c r="H8074" s="8">
        <f>IF(G8074="","",G8074-I8074)</f>
        <v/>
      </c>
      <c r="I8074" s="8">
        <f>IF(D8074="","",VLOOKUP(D8074, RECETTES!B:G, 6, FALSE)*E8074)</f>
        <v/>
      </c>
      <c r="J8074" s="8">
        <f>IF(G8074="","",G8074*0.20)</f>
        <v/>
      </c>
      <c r="K8074" s="8">
        <f>IF(G8074="","",G8074+J8074)</f>
        <v/>
      </c>
    </row>
    <row r="8075">
      <c r="F8075" s="8" t="n"/>
      <c r="G8075" s="8">
        <f>IF(E8075="","",E8075*F8075)</f>
        <v/>
      </c>
      <c r="H8075" s="8">
        <f>IF(G8075="","",G8075-I8075)</f>
        <v/>
      </c>
      <c r="I8075" s="8">
        <f>IF(D8075="","",VLOOKUP(D8075, RECETTES!B:G, 6, FALSE)*E8075)</f>
        <v/>
      </c>
      <c r="J8075" s="8">
        <f>IF(G8075="","",G8075*0.20)</f>
        <v/>
      </c>
      <c r="K8075" s="8">
        <f>IF(G8075="","",G8075+J8075)</f>
        <v/>
      </c>
    </row>
    <row r="8076">
      <c r="F8076" s="8" t="n"/>
      <c r="G8076" s="8">
        <f>IF(E8076="","",E8076*F8076)</f>
        <v/>
      </c>
      <c r="H8076" s="8">
        <f>IF(G8076="","",G8076-I8076)</f>
        <v/>
      </c>
      <c r="I8076" s="8">
        <f>IF(D8076="","",VLOOKUP(D8076, RECETTES!B:G, 6, FALSE)*E8076)</f>
        <v/>
      </c>
      <c r="J8076" s="8">
        <f>IF(G8076="","",G8076*0.20)</f>
        <v/>
      </c>
      <c r="K8076" s="8">
        <f>IF(G8076="","",G8076+J8076)</f>
        <v/>
      </c>
    </row>
    <row r="8077">
      <c r="F8077" s="8" t="n"/>
      <c r="G8077" s="8">
        <f>IF(E8077="","",E8077*F8077)</f>
        <v/>
      </c>
      <c r="H8077" s="8">
        <f>IF(G8077="","",G8077-I8077)</f>
        <v/>
      </c>
      <c r="I8077" s="8">
        <f>IF(D8077="","",VLOOKUP(D8077, RECETTES!B:G, 6, FALSE)*E8077)</f>
        <v/>
      </c>
      <c r="J8077" s="8">
        <f>IF(G8077="","",G8077*0.20)</f>
        <v/>
      </c>
      <c r="K8077" s="8">
        <f>IF(G8077="","",G8077+J8077)</f>
        <v/>
      </c>
    </row>
    <row r="8078">
      <c r="F8078" s="8" t="n"/>
      <c r="G8078" s="8">
        <f>IF(E8078="","",E8078*F8078)</f>
        <v/>
      </c>
      <c r="H8078" s="8">
        <f>IF(G8078="","",G8078-I8078)</f>
        <v/>
      </c>
      <c r="I8078" s="8">
        <f>IF(D8078="","",VLOOKUP(D8078, RECETTES!B:G, 6, FALSE)*E8078)</f>
        <v/>
      </c>
      <c r="J8078" s="8">
        <f>IF(G8078="","",G8078*0.20)</f>
        <v/>
      </c>
      <c r="K8078" s="8">
        <f>IF(G8078="","",G8078+J8078)</f>
        <v/>
      </c>
    </row>
    <row r="8079">
      <c r="F8079" s="8" t="n"/>
      <c r="G8079" s="8">
        <f>IF(E8079="","",E8079*F8079)</f>
        <v/>
      </c>
      <c r="H8079" s="8">
        <f>IF(G8079="","",G8079-I8079)</f>
        <v/>
      </c>
      <c r="I8079" s="8">
        <f>IF(D8079="","",VLOOKUP(D8079, RECETTES!B:G, 6, FALSE)*E8079)</f>
        <v/>
      </c>
      <c r="J8079" s="8">
        <f>IF(G8079="","",G8079*0.20)</f>
        <v/>
      </c>
      <c r="K8079" s="8">
        <f>IF(G8079="","",G8079+J8079)</f>
        <v/>
      </c>
    </row>
    <row r="8080">
      <c r="F8080" s="8" t="n"/>
      <c r="G8080" s="8">
        <f>IF(E8080="","",E8080*F8080)</f>
        <v/>
      </c>
      <c r="H8080" s="8">
        <f>IF(G8080="","",G8080-I8080)</f>
        <v/>
      </c>
      <c r="I8080" s="8">
        <f>IF(D8080="","",VLOOKUP(D8080, RECETTES!B:G, 6, FALSE)*E8080)</f>
        <v/>
      </c>
      <c r="J8080" s="8">
        <f>IF(G8080="","",G8080*0.20)</f>
        <v/>
      </c>
      <c r="K8080" s="8">
        <f>IF(G8080="","",G8080+J8080)</f>
        <v/>
      </c>
    </row>
    <row r="8081">
      <c r="F8081" s="8" t="n"/>
      <c r="G8081" s="8">
        <f>IF(E8081="","",E8081*F8081)</f>
        <v/>
      </c>
      <c r="H8081" s="8">
        <f>IF(G8081="","",G8081-I8081)</f>
        <v/>
      </c>
      <c r="I8081" s="8">
        <f>IF(D8081="","",VLOOKUP(D8081, RECETTES!B:G, 6, FALSE)*E8081)</f>
        <v/>
      </c>
      <c r="J8081" s="8">
        <f>IF(G8081="","",G8081*0.20)</f>
        <v/>
      </c>
      <c r="K8081" s="8">
        <f>IF(G8081="","",G8081+J8081)</f>
        <v/>
      </c>
    </row>
    <row r="8082">
      <c r="F8082" s="8" t="n"/>
      <c r="G8082" s="8">
        <f>IF(E8082="","",E8082*F8082)</f>
        <v/>
      </c>
      <c r="H8082" s="8">
        <f>IF(G8082="","",G8082-I8082)</f>
        <v/>
      </c>
      <c r="I8082" s="8">
        <f>IF(D8082="","",VLOOKUP(D8082, RECETTES!B:G, 6, FALSE)*E8082)</f>
        <v/>
      </c>
      <c r="J8082" s="8">
        <f>IF(G8082="","",G8082*0.20)</f>
        <v/>
      </c>
      <c r="K8082" s="8">
        <f>IF(G8082="","",G8082+J8082)</f>
        <v/>
      </c>
    </row>
    <row r="8083">
      <c r="F8083" s="8" t="n"/>
      <c r="G8083" s="8">
        <f>IF(E8083="","",E8083*F8083)</f>
        <v/>
      </c>
      <c r="H8083" s="8">
        <f>IF(G8083="","",G8083-I8083)</f>
        <v/>
      </c>
      <c r="I8083" s="8">
        <f>IF(D8083="","",VLOOKUP(D8083, RECETTES!B:G, 6, FALSE)*E8083)</f>
        <v/>
      </c>
      <c r="J8083" s="8">
        <f>IF(G8083="","",G8083*0.20)</f>
        <v/>
      </c>
      <c r="K8083" s="8">
        <f>IF(G8083="","",G8083+J8083)</f>
        <v/>
      </c>
    </row>
    <row r="8084">
      <c r="F8084" s="8" t="n"/>
      <c r="G8084" s="8">
        <f>IF(E8084="","",E8084*F8084)</f>
        <v/>
      </c>
      <c r="H8084" s="8">
        <f>IF(G8084="","",G8084-I8084)</f>
        <v/>
      </c>
      <c r="I8084" s="8">
        <f>IF(D8084="","",VLOOKUP(D8084, RECETTES!B:G, 6, FALSE)*E8084)</f>
        <v/>
      </c>
      <c r="J8084" s="8">
        <f>IF(G8084="","",G8084*0.20)</f>
        <v/>
      </c>
      <c r="K8084" s="8">
        <f>IF(G8084="","",G8084+J8084)</f>
        <v/>
      </c>
    </row>
    <row r="8085">
      <c r="F8085" s="8" t="n"/>
      <c r="G8085" s="8">
        <f>IF(E8085="","",E8085*F8085)</f>
        <v/>
      </c>
      <c r="H8085" s="8">
        <f>IF(G8085="","",G8085-I8085)</f>
        <v/>
      </c>
      <c r="I8085" s="8">
        <f>IF(D8085="","",VLOOKUP(D8085, RECETTES!B:G, 6, FALSE)*E8085)</f>
        <v/>
      </c>
      <c r="J8085" s="8">
        <f>IF(G8085="","",G8085*0.20)</f>
        <v/>
      </c>
      <c r="K8085" s="8">
        <f>IF(G8085="","",G8085+J8085)</f>
        <v/>
      </c>
    </row>
    <row r="8086">
      <c r="F8086" s="8" t="n"/>
      <c r="G8086" s="8">
        <f>IF(E8086="","",E8086*F8086)</f>
        <v/>
      </c>
      <c r="H8086" s="8">
        <f>IF(G8086="","",G8086-I8086)</f>
        <v/>
      </c>
      <c r="I8086" s="8">
        <f>IF(D8086="","",VLOOKUP(D8086, RECETTES!B:G, 6, FALSE)*E8086)</f>
        <v/>
      </c>
      <c r="J8086" s="8">
        <f>IF(G8086="","",G8086*0.20)</f>
        <v/>
      </c>
      <c r="K8086" s="8">
        <f>IF(G8086="","",G8086+J8086)</f>
        <v/>
      </c>
    </row>
    <row r="8087">
      <c r="F8087" s="8" t="n"/>
      <c r="G8087" s="8">
        <f>IF(E8087="","",E8087*F8087)</f>
        <v/>
      </c>
      <c r="H8087" s="8">
        <f>IF(G8087="","",G8087-I8087)</f>
        <v/>
      </c>
      <c r="I8087" s="8">
        <f>IF(D8087="","",VLOOKUP(D8087, RECETTES!B:G, 6, FALSE)*E8087)</f>
        <v/>
      </c>
      <c r="J8087" s="8">
        <f>IF(G8087="","",G8087*0.20)</f>
        <v/>
      </c>
      <c r="K8087" s="8">
        <f>IF(G8087="","",G8087+J8087)</f>
        <v/>
      </c>
    </row>
    <row r="8088">
      <c r="F8088" s="8" t="n"/>
      <c r="G8088" s="8">
        <f>IF(E8088="","",E8088*F8088)</f>
        <v/>
      </c>
      <c r="H8088" s="8">
        <f>IF(G8088="","",G8088-I8088)</f>
        <v/>
      </c>
      <c r="I8088" s="8">
        <f>IF(D8088="","",VLOOKUP(D8088, RECETTES!B:G, 6, FALSE)*E8088)</f>
        <v/>
      </c>
      <c r="J8088" s="8">
        <f>IF(G8088="","",G8088*0.20)</f>
        <v/>
      </c>
      <c r="K8088" s="8">
        <f>IF(G8088="","",G8088+J8088)</f>
        <v/>
      </c>
    </row>
    <row r="8089">
      <c r="F8089" s="8" t="n"/>
      <c r="G8089" s="8">
        <f>IF(E8089="","",E8089*F8089)</f>
        <v/>
      </c>
      <c r="H8089" s="8">
        <f>IF(G8089="","",G8089-I8089)</f>
        <v/>
      </c>
      <c r="I8089" s="8">
        <f>IF(D8089="","",VLOOKUP(D8089, RECETTES!B:G, 6, FALSE)*E8089)</f>
        <v/>
      </c>
      <c r="J8089" s="8">
        <f>IF(G8089="","",G8089*0.20)</f>
        <v/>
      </c>
      <c r="K8089" s="8">
        <f>IF(G8089="","",G8089+J8089)</f>
        <v/>
      </c>
    </row>
    <row r="8090">
      <c r="F8090" s="8" t="n"/>
      <c r="G8090" s="8">
        <f>IF(E8090="","",E8090*F8090)</f>
        <v/>
      </c>
      <c r="H8090" s="8">
        <f>IF(G8090="","",G8090-I8090)</f>
        <v/>
      </c>
      <c r="I8090" s="8">
        <f>IF(D8090="","",VLOOKUP(D8090, RECETTES!B:G, 6, FALSE)*E8090)</f>
        <v/>
      </c>
      <c r="J8090" s="8">
        <f>IF(G8090="","",G8090*0.20)</f>
        <v/>
      </c>
      <c r="K8090" s="8">
        <f>IF(G8090="","",G8090+J8090)</f>
        <v/>
      </c>
    </row>
    <row r="8091">
      <c r="F8091" s="8" t="n"/>
      <c r="G8091" s="8">
        <f>IF(E8091="","",E8091*F8091)</f>
        <v/>
      </c>
      <c r="H8091" s="8">
        <f>IF(G8091="","",G8091-I8091)</f>
        <v/>
      </c>
      <c r="I8091" s="8">
        <f>IF(D8091="","",VLOOKUP(D8091, RECETTES!B:G, 6, FALSE)*E8091)</f>
        <v/>
      </c>
      <c r="J8091" s="8">
        <f>IF(G8091="","",G8091*0.20)</f>
        <v/>
      </c>
      <c r="K8091" s="8">
        <f>IF(G8091="","",G8091+J8091)</f>
        <v/>
      </c>
    </row>
    <row r="8092">
      <c r="F8092" s="8" t="n"/>
      <c r="G8092" s="8">
        <f>IF(E8092="","",E8092*F8092)</f>
        <v/>
      </c>
      <c r="H8092" s="8">
        <f>IF(G8092="","",G8092-I8092)</f>
        <v/>
      </c>
      <c r="I8092" s="8">
        <f>IF(D8092="","",VLOOKUP(D8092, RECETTES!B:G, 6, FALSE)*E8092)</f>
        <v/>
      </c>
      <c r="J8092" s="8">
        <f>IF(G8092="","",G8092*0.20)</f>
        <v/>
      </c>
      <c r="K8092" s="8">
        <f>IF(G8092="","",G8092+J8092)</f>
        <v/>
      </c>
    </row>
    <row r="8093">
      <c r="F8093" s="8" t="n"/>
      <c r="G8093" s="8">
        <f>IF(E8093="","",E8093*F8093)</f>
        <v/>
      </c>
      <c r="H8093" s="8">
        <f>IF(G8093="","",G8093-I8093)</f>
        <v/>
      </c>
      <c r="I8093" s="8">
        <f>IF(D8093="","",VLOOKUP(D8093, RECETTES!B:G, 6, FALSE)*E8093)</f>
        <v/>
      </c>
      <c r="J8093" s="8">
        <f>IF(G8093="","",G8093*0.20)</f>
        <v/>
      </c>
      <c r="K8093" s="8">
        <f>IF(G8093="","",G8093+J8093)</f>
        <v/>
      </c>
    </row>
    <row r="8094">
      <c r="F8094" s="8" t="n"/>
      <c r="G8094" s="8">
        <f>IF(E8094="","",E8094*F8094)</f>
        <v/>
      </c>
      <c r="H8094" s="8">
        <f>IF(G8094="","",G8094-I8094)</f>
        <v/>
      </c>
      <c r="I8094" s="8">
        <f>IF(D8094="","",VLOOKUP(D8094, RECETTES!B:G, 6, FALSE)*E8094)</f>
        <v/>
      </c>
      <c r="J8094" s="8">
        <f>IF(G8094="","",G8094*0.20)</f>
        <v/>
      </c>
      <c r="K8094" s="8">
        <f>IF(G8094="","",G8094+J8094)</f>
        <v/>
      </c>
    </row>
    <row r="8095">
      <c r="F8095" s="8" t="n"/>
      <c r="G8095" s="8">
        <f>IF(E8095="","",E8095*F8095)</f>
        <v/>
      </c>
      <c r="H8095" s="8">
        <f>IF(G8095="","",G8095-I8095)</f>
        <v/>
      </c>
      <c r="I8095" s="8">
        <f>IF(D8095="","",VLOOKUP(D8095, RECETTES!B:G, 6, FALSE)*E8095)</f>
        <v/>
      </c>
      <c r="J8095" s="8">
        <f>IF(G8095="","",G8095*0.20)</f>
        <v/>
      </c>
      <c r="K8095" s="8">
        <f>IF(G8095="","",G8095+J8095)</f>
        <v/>
      </c>
    </row>
    <row r="8096">
      <c r="F8096" s="8" t="n"/>
      <c r="G8096" s="8">
        <f>IF(E8096="","",E8096*F8096)</f>
        <v/>
      </c>
      <c r="H8096" s="8">
        <f>IF(G8096="","",G8096-I8096)</f>
        <v/>
      </c>
      <c r="I8096" s="8">
        <f>IF(D8096="","",VLOOKUP(D8096, RECETTES!B:G, 6, FALSE)*E8096)</f>
        <v/>
      </c>
      <c r="J8096" s="8">
        <f>IF(G8096="","",G8096*0.20)</f>
        <v/>
      </c>
      <c r="K8096" s="8">
        <f>IF(G8096="","",G8096+J8096)</f>
        <v/>
      </c>
    </row>
    <row r="8097">
      <c r="F8097" s="8" t="n"/>
      <c r="G8097" s="8">
        <f>IF(E8097="","",E8097*F8097)</f>
        <v/>
      </c>
      <c r="H8097" s="8">
        <f>IF(G8097="","",G8097-I8097)</f>
        <v/>
      </c>
      <c r="I8097" s="8">
        <f>IF(D8097="","",VLOOKUP(D8097, RECETTES!B:G, 6, FALSE)*E8097)</f>
        <v/>
      </c>
      <c r="J8097" s="8">
        <f>IF(G8097="","",G8097*0.20)</f>
        <v/>
      </c>
      <c r="K8097" s="8">
        <f>IF(G8097="","",G8097+J8097)</f>
        <v/>
      </c>
    </row>
    <row r="8098">
      <c r="F8098" s="8" t="n"/>
      <c r="G8098" s="8">
        <f>IF(E8098="","",E8098*F8098)</f>
        <v/>
      </c>
      <c r="H8098" s="8">
        <f>IF(G8098="","",G8098-I8098)</f>
        <v/>
      </c>
      <c r="I8098" s="8">
        <f>IF(D8098="","",VLOOKUP(D8098, RECETTES!B:G, 6, FALSE)*E8098)</f>
        <v/>
      </c>
      <c r="J8098" s="8">
        <f>IF(G8098="","",G8098*0.20)</f>
        <v/>
      </c>
      <c r="K8098" s="8">
        <f>IF(G8098="","",G8098+J8098)</f>
        <v/>
      </c>
    </row>
    <row r="8099">
      <c r="F8099" s="8" t="n"/>
      <c r="G8099" s="8">
        <f>IF(E8099="","",E8099*F8099)</f>
        <v/>
      </c>
      <c r="H8099" s="8">
        <f>IF(G8099="","",G8099-I8099)</f>
        <v/>
      </c>
      <c r="I8099" s="8">
        <f>IF(D8099="","",VLOOKUP(D8099, RECETTES!B:G, 6, FALSE)*E8099)</f>
        <v/>
      </c>
      <c r="J8099" s="8">
        <f>IF(G8099="","",G8099*0.20)</f>
        <v/>
      </c>
      <c r="K8099" s="8">
        <f>IF(G8099="","",G8099+J8099)</f>
        <v/>
      </c>
    </row>
    <row r="8100">
      <c r="F8100" s="8" t="n"/>
      <c r="G8100" s="8">
        <f>IF(E8100="","",E8100*F8100)</f>
        <v/>
      </c>
      <c r="H8100" s="8">
        <f>IF(G8100="","",G8100-I8100)</f>
        <v/>
      </c>
      <c r="I8100" s="8">
        <f>IF(D8100="","",VLOOKUP(D8100, RECETTES!B:G, 6, FALSE)*E8100)</f>
        <v/>
      </c>
      <c r="J8100" s="8">
        <f>IF(G8100="","",G8100*0.20)</f>
        <v/>
      </c>
      <c r="K8100" s="8">
        <f>IF(G8100="","",G8100+J8100)</f>
        <v/>
      </c>
    </row>
    <row r="8101">
      <c r="F8101" s="8" t="n"/>
      <c r="G8101" s="8">
        <f>IF(E8101="","",E8101*F8101)</f>
        <v/>
      </c>
      <c r="H8101" s="8">
        <f>IF(G8101="","",G8101-I8101)</f>
        <v/>
      </c>
      <c r="I8101" s="8">
        <f>IF(D8101="","",VLOOKUP(D8101, RECETTES!B:G, 6, FALSE)*E8101)</f>
        <v/>
      </c>
      <c r="J8101" s="8">
        <f>IF(G8101="","",G8101*0.20)</f>
        <v/>
      </c>
      <c r="K8101" s="8">
        <f>IF(G8101="","",G8101+J8101)</f>
        <v/>
      </c>
    </row>
    <row r="8102">
      <c r="F8102" s="8" t="n"/>
      <c r="G8102" s="8">
        <f>IF(E8102="","",E8102*F8102)</f>
        <v/>
      </c>
      <c r="H8102" s="8">
        <f>IF(G8102="","",G8102-I8102)</f>
        <v/>
      </c>
      <c r="I8102" s="8">
        <f>IF(D8102="","",VLOOKUP(D8102, RECETTES!B:G, 6, FALSE)*E8102)</f>
        <v/>
      </c>
      <c r="J8102" s="8">
        <f>IF(G8102="","",G8102*0.20)</f>
        <v/>
      </c>
      <c r="K8102" s="8">
        <f>IF(G8102="","",G8102+J8102)</f>
        <v/>
      </c>
    </row>
    <row r="8103">
      <c r="F8103" s="8" t="n"/>
      <c r="G8103" s="8">
        <f>IF(E8103="","",E8103*F8103)</f>
        <v/>
      </c>
      <c r="H8103" s="8">
        <f>IF(G8103="","",G8103-I8103)</f>
        <v/>
      </c>
      <c r="I8103" s="8">
        <f>IF(D8103="","",VLOOKUP(D8103, RECETTES!B:G, 6, FALSE)*E8103)</f>
        <v/>
      </c>
      <c r="J8103" s="8">
        <f>IF(G8103="","",G8103*0.20)</f>
        <v/>
      </c>
      <c r="K8103" s="8">
        <f>IF(G8103="","",G8103+J8103)</f>
        <v/>
      </c>
    </row>
    <row r="8104">
      <c r="F8104" s="8" t="n"/>
      <c r="G8104" s="8">
        <f>IF(E8104="","",E8104*F8104)</f>
        <v/>
      </c>
      <c r="H8104" s="8">
        <f>IF(G8104="","",G8104-I8104)</f>
        <v/>
      </c>
      <c r="I8104" s="8">
        <f>IF(D8104="","",VLOOKUP(D8104, RECETTES!B:G, 6, FALSE)*E8104)</f>
        <v/>
      </c>
      <c r="J8104" s="8">
        <f>IF(G8104="","",G8104*0.20)</f>
        <v/>
      </c>
      <c r="K8104" s="8">
        <f>IF(G8104="","",G8104+J8104)</f>
        <v/>
      </c>
    </row>
    <row r="8105">
      <c r="F8105" s="8" t="n"/>
      <c r="G8105" s="8">
        <f>IF(E8105="","",E8105*F8105)</f>
        <v/>
      </c>
      <c r="H8105" s="8">
        <f>IF(G8105="","",G8105-I8105)</f>
        <v/>
      </c>
      <c r="I8105" s="8">
        <f>IF(D8105="","",VLOOKUP(D8105, RECETTES!B:G, 6, FALSE)*E8105)</f>
        <v/>
      </c>
      <c r="J8105" s="8">
        <f>IF(G8105="","",G8105*0.20)</f>
        <v/>
      </c>
      <c r="K8105" s="8">
        <f>IF(G8105="","",G8105+J8105)</f>
        <v/>
      </c>
    </row>
    <row r="8106">
      <c r="F8106" s="8" t="n"/>
      <c r="G8106" s="8">
        <f>IF(E8106="","",E8106*F8106)</f>
        <v/>
      </c>
      <c r="H8106" s="8">
        <f>IF(G8106="","",G8106-I8106)</f>
        <v/>
      </c>
      <c r="I8106" s="8">
        <f>IF(D8106="","",VLOOKUP(D8106, RECETTES!B:G, 6, FALSE)*E8106)</f>
        <v/>
      </c>
      <c r="J8106" s="8">
        <f>IF(G8106="","",G8106*0.20)</f>
        <v/>
      </c>
      <c r="K8106" s="8">
        <f>IF(G8106="","",G8106+J8106)</f>
        <v/>
      </c>
    </row>
    <row r="8107">
      <c r="F8107" s="8" t="n"/>
      <c r="G8107" s="8">
        <f>IF(E8107="","",E8107*F8107)</f>
        <v/>
      </c>
      <c r="H8107" s="8">
        <f>IF(G8107="","",G8107-I8107)</f>
        <v/>
      </c>
      <c r="I8107" s="8">
        <f>IF(D8107="","",VLOOKUP(D8107, RECETTES!B:G, 6, FALSE)*E8107)</f>
        <v/>
      </c>
      <c r="J8107" s="8">
        <f>IF(G8107="","",G8107*0.20)</f>
        <v/>
      </c>
      <c r="K8107" s="8">
        <f>IF(G8107="","",G8107+J8107)</f>
        <v/>
      </c>
    </row>
    <row r="8108">
      <c r="F8108" s="8" t="n"/>
      <c r="G8108" s="8">
        <f>IF(E8108="","",E8108*F8108)</f>
        <v/>
      </c>
      <c r="H8108" s="8">
        <f>IF(G8108="","",G8108-I8108)</f>
        <v/>
      </c>
      <c r="I8108" s="8">
        <f>IF(D8108="","",VLOOKUP(D8108, RECETTES!B:G, 6, FALSE)*E8108)</f>
        <v/>
      </c>
      <c r="J8108" s="8">
        <f>IF(G8108="","",G8108*0.20)</f>
        <v/>
      </c>
      <c r="K8108" s="8">
        <f>IF(G8108="","",G8108+J8108)</f>
        <v/>
      </c>
    </row>
    <row r="8109">
      <c r="F8109" s="8" t="n"/>
      <c r="G8109" s="8">
        <f>IF(E8109="","",E8109*F8109)</f>
        <v/>
      </c>
      <c r="H8109" s="8">
        <f>IF(G8109="","",G8109-I8109)</f>
        <v/>
      </c>
      <c r="I8109" s="8">
        <f>IF(D8109="","",VLOOKUP(D8109, RECETTES!B:G, 6, FALSE)*E8109)</f>
        <v/>
      </c>
      <c r="J8109" s="8">
        <f>IF(G8109="","",G8109*0.20)</f>
        <v/>
      </c>
      <c r="K8109" s="8">
        <f>IF(G8109="","",G8109+J8109)</f>
        <v/>
      </c>
    </row>
    <row r="8110">
      <c r="F8110" s="8" t="n"/>
      <c r="G8110" s="8">
        <f>IF(E8110="","",E8110*F8110)</f>
        <v/>
      </c>
      <c r="H8110" s="8">
        <f>IF(G8110="","",G8110-I8110)</f>
        <v/>
      </c>
      <c r="I8110" s="8">
        <f>IF(D8110="","",VLOOKUP(D8110, RECETTES!B:G, 6, FALSE)*E8110)</f>
        <v/>
      </c>
      <c r="J8110" s="8">
        <f>IF(G8110="","",G8110*0.20)</f>
        <v/>
      </c>
      <c r="K8110" s="8">
        <f>IF(G8110="","",G8110+J8110)</f>
        <v/>
      </c>
    </row>
    <row r="8111">
      <c r="F8111" s="8" t="n"/>
      <c r="G8111" s="8">
        <f>IF(E8111="","",E8111*F8111)</f>
        <v/>
      </c>
      <c r="H8111" s="8">
        <f>IF(G8111="","",G8111-I8111)</f>
        <v/>
      </c>
      <c r="I8111" s="8">
        <f>IF(D8111="","",VLOOKUP(D8111, RECETTES!B:G, 6, FALSE)*E8111)</f>
        <v/>
      </c>
      <c r="J8111" s="8">
        <f>IF(G8111="","",G8111*0.20)</f>
        <v/>
      </c>
      <c r="K8111" s="8">
        <f>IF(G8111="","",G8111+J8111)</f>
        <v/>
      </c>
    </row>
    <row r="8112">
      <c r="F8112" s="8" t="n"/>
      <c r="G8112" s="8">
        <f>IF(E8112="","",E8112*F8112)</f>
        <v/>
      </c>
      <c r="H8112" s="8">
        <f>IF(G8112="","",G8112-I8112)</f>
        <v/>
      </c>
      <c r="I8112" s="8">
        <f>IF(D8112="","",VLOOKUP(D8112, RECETTES!B:G, 6, FALSE)*E8112)</f>
        <v/>
      </c>
      <c r="J8112" s="8">
        <f>IF(G8112="","",G8112*0.20)</f>
        <v/>
      </c>
      <c r="K8112" s="8">
        <f>IF(G8112="","",G8112+J8112)</f>
        <v/>
      </c>
    </row>
    <row r="8113">
      <c r="F8113" s="8" t="n"/>
      <c r="G8113" s="8">
        <f>IF(E8113="","",E8113*F8113)</f>
        <v/>
      </c>
      <c r="H8113" s="8">
        <f>IF(G8113="","",G8113-I8113)</f>
        <v/>
      </c>
      <c r="I8113" s="8">
        <f>IF(D8113="","",VLOOKUP(D8113, RECETTES!B:G, 6, FALSE)*E8113)</f>
        <v/>
      </c>
      <c r="J8113" s="8">
        <f>IF(G8113="","",G8113*0.20)</f>
        <v/>
      </c>
      <c r="K8113" s="8">
        <f>IF(G8113="","",G8113+J8113)</f>
        <v/>
      </c>
    </row>
    <row r="8114">
      <c r="F8114" s="8" t="n"/>
      <c r="G8114" s="8">
        <f>IF(E8114="","",E8114*F8114)</f>
        <v/>
      </c>
      <c r="H8114" s="8">
        <f>IF(G8114="","",G8114-I8114)</f>
        <v/>
      </c>
      <c r="I8114" s="8">
        <f>IF(D8114="","",VLOOKUP(D8114, RECETTES!B:G, 6, FALSE)*E8114)</f>
        <v/>
      </c>
      <c r="J8114" s="8">
        <f>IF(G8114="","",G8114*0.20)</f>
        <v/>
      </c>
      <c r="K8114" s="8">
        <f>IF(G8114="","",G8114+J8114)</f>
        <v/>
      </c>
    </row>
    <row r="8115">
      <c r="F8115" s="8" t="n"/>
      <c r="G8115" s="8">
        <f>IF(E8115="","",E8115*F8115)</f>
        <v/>
      </c>
      <c r="H8115" s="8">
        <f>IF(G8115="","",G8115-I8115)</f>
        <v/>
      </c>
      <c r="I8115" s="8">
        <f>IF(D8115="","",VLOOKUP(D8115, RECETTES!B:G, 6, FALSE)*E8115)</f>
        <v/>
      </c>
      <c r="J8115" s="8">
        <f>IF(G8115="","",G8115*0.20)</f>
        <v/>
      </c>
      <c r="K8115" s="8">
        <f>IF(G8115="","",G8115+J8115)</f>
        <v/>
      </c>
    </row>
    <row r="8116">
      <c r="F8116" s="8" t="n"/>
      <c r="G8116" s="8">
        <f>IF(E8116="","",E8116*F8116)</f>
        <v/>
      </c>
      <c r="H8116" s="8">
        <f>IF(G8116="","",G8116-I8116)</f>
        <v/>
      </c>
      <c r="I8116" s="8">
        <f>IF(D8116="","",VLOOKUP(D8116, RECETTES!B:G, 6, FALSE)*E8116)</f>
        <v/>
      </c>
      <c r="J8116" s="8">
        <f>IF(G8116="","",G8116*0.20)</f>
        <v/>
      </c>
      <c r="K8116" s="8">
        <f>IF(G8116="","",G8116+J8116)</f>
        <v/>
      </c>
    </row>
    <row r="8117">
      <c r="F8117" s="8" t="n"/>
      <c r="G8117" s="8">
        <f>IF(E8117="","",E8117*F8117)</f>
        <v/>
      </c>
      <c r="H8117" s="8">
        <f>IF(G8117="","",G8117-I8117)</f>
        <v/>
      </c>
      <c r="I8117" s="8">
        <f>IF(D8117="","",VLOOKUP(D8117, RECETTES!B:G, 6, FALSE)*E8117)</f>
        <v/>
      </c>
      <c r="J8117" s="8">
        <f>IF(G8117="","",G8117*0.20)</f>
        <v/>
      </c>
      <c r="K8117" s="8">
        <f>IF(G8117="","",G8117+J8117)</f>
        <v/>
      </c>
    </row>
    <row r="8118">
      <c r="F8118" s="8" t="n"/>
      <c r="G8118" s="8">
        <f>IF(E8118="","",E8118*F8118)</f>
        <v/>
      </c>
      <c r="H8118" s="8">
        <f>IF(G8118="","",G8118-I8118)</f>
        <v/>
      </c>
      <c r="I8118" s="8">
        <f>IF(D8118="","",VLOOKUP(D8118, RECETTES!B:G, 6, FALSE)*E8118)</f>
        <v/>
      </c>
      <c r="J8118" s="8">
        <f>IF(G8118="","",G8118*0.20)</f>
        <v/>
      </c>
      <c r="K8118" s="8">
        <f>IF(G8118="","",G8118+J8118)</f>
        <v/>
      </c>
    </row>
    <row r="8119">
      <c r="F8119" s="8" t="n"/>
      <c r="G8119" s="8">
        <f>IF(E8119="","",E8119*F8119)</f>
        <v/>
      </c>
      <c r="H8119" s="8">
        <f>IF(G8119="","",G8119-I8119)</f>
        <v/>
      </c>
      <c r="I8119" s="8">
        <f>IF(D8119="","",VLOOKUP(D8119, RECETTES!B:G, 6, FALSE)*E8119)</f>
        <v/>
      </c>
      <c r="J8119" s="8">
        <f>IF(G8119="","",G8119*0.20)</f>
        <v/>
      </c>
      <c r="K8119" s="8">
        <f>IF(G8119="","",G8119+J8119)</f>
        <v/>
      </c>
    </row>
    <row r="8120">
      <c r="F8120" s="8" t="n"/>
      <c r="G8120" s="8">
        <f>IF(E8120="","",E8120*F8120)</f>
        <v/>
      </c>
      <c r="H8120" s="8">
        <f>IF(G8120="","",G8120-I8120)</f>
        <v/>
      </c>
      <c r="I8120" s="8">
        <f>IF(D8120="","",VLOOKUP(D8120, RECETTES!B:G, 6, FALSE)*E8120)</f>
        <v/>
      </c>
      <c r="J8120" s="8">
        <f>IF(G8120="","",G8120*0.20)</f>
        <v/>
      </c>
      <c r="K8120" s="8">
        <f>IF(G8120="","",G8120+J8120)</f>
        <v/>
      </c>
    </row>
    <row r="8121">
      <c r="F8121" s="8" t="n"/>
      <c r="G8121" s="8">
        <f>IF(E8121="","",E8121*F8121)</f>
        <v/>
      </c>
      <c r="H8121" s="8">
        <f>IF(G8121="","",G8121-I8121)</f>
        <v/>
      </c>
      <c r="I8121" s="8">
        <f>IF(D8121="","",VLOOKUP(D8121, RECETTES!B:G, 6, FALSE)*E8121)</f>
        <v/>
      </c>
      <c r="J8121" s="8">
        <f>IF(G8121="","",G8121*0.20)</f>
        <v/>
      </c>
      <c r="K8121" s="8">
        <f>IF(G8121="","",G8121+J8121)</f>
        <v/>
      </c>
    </row>
    <row r="8122">
      <c r="F8122" s="8" t="n"/>
      <c r="G8122" s="8">
        <f>IF(E8122="","",E8122*F8122)</f>
        <v/>
      </c>
      <c r="H8122" s="8">
        <f>IF(G8122="","",G8122-I8122)</f>
        <v/>
      </c>
      <c r="I8122" s="8">
        <f>IF(D8122="","",VLOOKUP(D8122, RECETTES!B:G, 6, FALSE)*E8122)</f>
        <v/>
      </c>
      <c r="J8122" s="8">
        <f>IF(G8122="","",G8122*0.20)</f>
        <v/>
      </c>
      <c r="K8122" s="8">
        <f>IF(G8122="","",G8122+J8122)</f>
        <v/>
      </c>
    </row>
    <row r="8123">
      <c r="F8123" s="8" t="n"/>
      <c r="G8123" s="8">
        <f>IF(E8123="","",E8123*F8123)</f>
        <v/>
      </c>
      <c r="H8123" s="8">
        <f>IF(G8123="","",G8123-I8123)</f>
        <v/>
      </c>
      <c r="I8123" s="8">
        <f>IF(D8123="","",VLOOKUP(D8123, RECETTES!B:G, 6, FALSE)*E8123)</f>
        <v/>
      </c>
      <c r="J8123" s="8">
        <f>IF(G8123="","",G8123*0.20)</f>
        <v/>
      </c>
      <c r="K8123" s="8">
        <f>IF(G8123="","",G8123+J8123)</f>
        <v/>
      </c>
    </row>
    <row r="8124">
      <c r="F8124" s="8" t="n"/>
      <c r="G8124" s="8">
        <f>IF(E8124="","",E8124*F8124)</f>
        <v/>
      </c>
      <c r="H8124" s="8">
        <f>IF(G8124="","",G8124-I8124)</f>
        <v/>
      </c>
      <c r="I8124" s="8">
        <f>IF(D8124="","",VLOOKUP(D8124, RECETTES!B:G, 6, FALSE)*E8124)</f>
        <v/>
      </c>
      <c r="J8124" s="8">
        <f>IF(G8124="","",G8124*0.20)</f>
        <v/>
      </c>
      <c r="K8124" s="8">
        <f>IF(G8124="","",G8124+J8124)</f>
        <v/>
      </c>
    </row>
    <row r="8125">
      <c r="F8125" s="8" t="n"/>
      <c r="G8125" s="8">
        <f>IF(E8125="","",E8125*F8125)</f>
        <v/>
      </c>
      <c r="H8125" s="8">
        <f>IF(G8125="","",G8125-I8125)</f>
        <v/>
      </c>
      <c r="I8125" s="8">
        <f>IF(D8125="","",VLOOKUP(D8125, RECETTES!B:G, 6, FALSE)*E8125)</f>
        <v/>
      </c>
      <c r="J8125" s="8">
        <f>IF(G8125="","",G8125*0.20)</f>
        <v/>
      </c>
      <c r="K8125" s="8">
        <f>IF(G8125="","",G8125+J8125)</f>
        <v/>
      </c>
    </row>
    <row r="8126">
      <c r="F8126" s="8" t="n"/>
      <c r="G8126" s="8">
        <f>IF(E8126="","",E8126*F8126)</f>
        <v/>
      </c>
      <c r="H8126" s="8">
        <f>IF(G8126="","",G8126-I8126)</f>
        <v/>
      </c>
      <c r="I8126" s="8">
        <f>IF(D8126="","",VLOOKUP(D8126, RECETTES!B:G, 6, FALSE)*E8126)</f>
        <v/>
      </c>
      <c r="J8126" s="8">
        <f>IF(G8126="","",G8126*0.20)</f>
        <v/>
      </c>
      <c r="K8126" s="8">
        <f>IF(G8126="","",G8126+J8126)</f>
        <v/>
      </c>
    </row>
    <row r="8127">
      <c r="F8127" s="8" t="n"/>
      <c r="G8127" s="8">
        <f>IF(E8127="","",E8127*F8127)</f>
        <v/>
      </c>
      <c r="H8127" s="8">
        <f>IF(G8127="","",G8127-I8127)</f>
        <v/>
      </c>
      <c r="I8127" s="8">
        <f>IF(D8127="","",VLOOKUP(D8127, RECETTES!B:G, 6, FALSE)*E8127)</f>
        <v/>
      </c>
      <c r="J8127" s="8">
        <f>IF(G8127="","",G8127*0.20)</f>
        <v/>
      </c>
      <c r="K8127" s="8">
        <f>IF(G8127="","",G8127+J8127)</f>
        <v/>
      </c>
    </row>
    <row r="8128">
      <c r="F8128" s="8" t="n"/>
      <c r="G8128" s="8">
        <f>IF(E8128="","",E8128*F8128)</f>
        <v/>
      </c>
      <c r="H8128" s="8">
        <f>IF(G8128="","",G8128-I8128)</f>
        <v/>
      </c>
      <c r="I8128" s="8">
        <f>IF(D8128="","",VLOOKUP(D8128, RECETTES!B:G, 6, FALSE)*E8128)</f>
        <v/>
      </c>
      <c r="J8128" s="8">
        <f>IF(G8128="","",G8128*0.20)</f>
        <v/>
      </c>
      <c r="K8128" s="8">
        <f>IF(G8128="","",G8128+J8128)</f>
        <v/>
      </c>
    </row>
    <row r="8129">
      <c r="F8129" s="8" t="n"/>
      <c r="G8129" s="8">
        <f>IF(E8129="","",E8129*F8129)</f>
        <v/>
      </c>
      <c r="H8129" s="8">
        <f>IF(G8129="","",G8129-I8129)</f>
        <v/>
      </c>
      <c r="I8129" s="8">
        <f>IF(D8129="","",VLOOKUP(D8129, RECETTES!B:G, 6, FALSE)*E8129)</f>
        <v/>
      </c>
      <c r="J8129" s="8">
        <f>IF(G8129="","",G8129*0.20)</f>
        <v/>
      </c>
      <c r="K8129" s="8">
        <f>IF(G8129="","",G8129+J8129)</f>
        <v/>
      </c>
    </row>
    <row r="8130">
      <c r="F8130" s="8" t="n"/>
      <c r="G8130" s="8">
        <f>IF(E8130="","",E8130*F8130)</f>
        <v/>
      </c>
      <c r="H8130" s="8">
        <f>IF(G8130="","",G8130-I8130)</f>
        <v/>
      </c>
      <c r="I8130" s="8">
        <f>IF(D8130="","",VLOOKUP(D8130, RECETTES!B:G, 6, FALSE)*E8130)</f>
        <v/>
      </c>
      <c r="J8130" s="8">
        <f>IF(G8130="","",G8130*0.20)</f>
        <v/>
      </c>
      <c r="K8130" s="8">
        <f>IF(G8130="","",G8130+J8130)</f>
        <v/>
      </c>
    </row>
    <row r="8131">
      <c r="F8131" s="8" t="n"/>
      <c r="G8131" s="8">
        <f>IF(E8131="","",E8131*F8131)</f>
        <v/>
      </c>
      <c r="H8131" s="8">
        <f>IF(G8131="","",G8131-I8131)</f>
        <v/>
      </c>
      <c r="I8131" s="8">
        <f>IF(D8131="","",VLOOKUP(D8131, RECETTES!B:G, 6, FALSE)*E8131)</f>
        <v/>
      </c>
      <c r="J8131" s="8">
        <f>IF(G8131="","",G8131*0.20)</f>
        <v/>
      </c>
      <c r="K8131" s="8">
        <f>IF(G8131="","",G8131+J8131)</f>
        <v/>
      </c>
    </row>
    <row r="8132">
      <c r="F8132" s="8" t="n"/>
      <c r="G8132" s="8">
        <f>IF(E8132="","",E8132*F8132)</f>
        <v/>
      </c>
      <c r="H8132" s="8">
        <f>IF(G8132="","",G8132-I8132)</f>
        <v/>
      </c>
      <c r="I8132" s="8">
        <f>IF(D8132="","",VLOOKUP(D8132, RECETTES!B:G, 6, FALSE)*E8132)</f>
        <v/>
      </c>
      <c r="J8132" s="8">
        <f>IF(G8132="","",G8132*0.20)</f>
        <v/>
      </c>
      <c r="K8132" s="8">
        <f>IF(G8132="","",G8132+J8132)</f>
        <v/>
      </c>
    </row>
    <row r="8133">
      <c r="F8133" s="8" t="n"/>
      <c r="G8133" s="8">
        <f>IF(E8133="","",E8133*F8133)</f>
        <v/>
      </c>
      <c r="H8133" s="8">
        <f>IF(G8133="","",G8133-I8133)</f>
        <v/>
      </c>
      <c r="I8133" s="8">
        <f>IF(D8133="","",VLOOKUP(D8133, RECETTES!B:G, 6, FALSE)*E8133)</f>
        <v/>
      </c>
      <c r="J8133" s="8">
        <f>IF(G8133="","",G8133*0.20)</f>
        <v/>
      </c>
      <c r="K8133" s="8">
        <f>IF(G8133="","",G8133+J8133)</f>
        <v/>
      </c>
    </row>
    <row r="8134">
      <c r="F8134" s="8" t="n"/>
      <c r="G8134" s="8">
        <f>IF(E8134="","",E8134*F8134)</f>
        <v/>
      </c>
      <c r="H8134" s="8">
        <f>IF(G8134="","",G8134-I8134)</f>
        <v/>
      </c>
      <c r="I8134" s="8">
        <f>IF(D8134="","",VLOOKUP(D8134, RECETTES!B:G, 6, FALSE)*E8134)</f>
        <v/>
      </c>
      <c r="J8134" s="8">
        <f>IF(G8134="","",G8134*0.20)</f>
        <v/>
      </c>
      <c r="K8134" s="8">
        <f>IF(G8134="","",G8134+J8134)</f>
        <v/>
      </c>
    </row>
    <row r="8135">
      <c r="F8135" s="8" t="n"/>
      <c r="G8135" s="8">
        <f>IF(E8135="","",E8135*F8135)</f>
        <v/>
      </c>
      <c r="H8135" s="8">
        <f>IF(G8135="","",G8135-I8135)</f>
        <v/>
      </c>
      <c r="I8135" s="8">
        <f>IF(D8135="","",VLOOKUP(D8135, RECETTES!B:G, 6, FALSE)*E8135)</f>
        <v/>
      </c>
      <c r="J8135" s="8">
        <f>IF(G8135="","",G8135*0.20)</f>
        <v/>
      </c>
      <c r="K8135" s="8">
        <f>IF(G8135="","",G8135+J8135)</f>
        <v/>
      </c>
    </row>
    <row r="8136">
      <c r="F8136" s="8" t="n"/>
      <c r="G8136" s="8">
        <f>IF(E8136="","",E8136*F8136)</f>
        <v/>
      </c>
      <c r="H8136" s="8">
        <f>IF(G8136="","",G8136-I8136)</f>
        <v/>
      </c>
      <c r="I8136" s="8">
        <f>IF(D8136="","",VLOOKUP(D8136, RECETTES!B:G, 6, FALSE)*E8136)</f>
        <v/>
      </c>
      <c r="J8136" s="8">
        <f>IF(G8136="","",G8136*0.20)</f>
        <v/>
      </c>
      <c r="K8136" s="8">
        <f>IF(G8136="","",G8136+J8136)</f>
        <v/>
      </c>
    </row>
    <row r="8137">
      <c r="F8137" s="8" t="n"/>
      <c r="G8137" s="8">
        <f>IF(E8137="","",E8137*F8137)</f>
        <v/>
      </c>
      <c r="H8137" s="8">
        <f>IF(G8137="","",G8137-I8137)</f>
        <v/>
      </c>
      <c r="I8137" s="8">
        <f>IF(D8137="","",VLOOKUP(D8137, RECETTES!B:G, 6, FALSE)*E8137)</f>
        <v/>
      </c>
      <c r="J8137" s="8">
        <f>IF(G8137="","",G8137*0.20)</f>
        <v/>
      </c>
      <c r="K8137" s="8">
        <f>IF(G8137="","",G8137+J8137)</f>
        <v/>
      </c>
    </row>
    <row r="8138">
      <c r="F8138" s="8" t="n"/>
      <c r="G8138" s="8">
        <f>IF(E8138="","",E8138*F8138)</f>
        <v/>
      </c>
      <c r="H8138" s="8">
        <f>IF(G8138="","",G8138-I8138)</f>
        <v/>
      </c>
      <c r="I8138" s="8">
        <f>IF(D8138="","",VLOOKUP(D8138, RECETTES!B:G, 6, FALSE)*E8138)</f>
        <v/>
      </c>
      <c r="J8138" s="8">
        <f>IF(G8138="","",G8138*0.20)</f>
        <v/>
      </c>
      <c r="K8138" s="8">
        <f>IF(G8138="","",G8138+J8138)</f>
        <v/>
      </c>
    </row>
    <row r="8139">
      <c r="F8139" s="8" t="n"/>
      <c r="G8139" s="8">
        <f>IF(E8139="","",E8139*F8139)</f>
        <v/>
      </c>
      <c r="H8139" s="8">
        <f>IF(G8139="","",G8139-I8139)</f>
        <v/>
      </c>
      <c r="I8139" s="8">
        <f>IF(D8139="","",VLOOKUP(D8139, RECETTES!B:G, 6, FALSE)*E8139)</f>
        <v/>
      </c>
      <c r="J8139" s="8">
        <f>IF(G8139="","",G8139*0.20)</f>
        <v/>
      </c>
      <c r="K8139" s="8">
        <f>IF(G8139="","",G8139+J8139)</f>
        <v/>
      </c>
    </row>
    <row r="8140">
      <c r="F8140" s="8" t="n"/>
      <c r="G8140" s="8">
        <f>IF(E8140="","",E8140*F8140)</f>
        <v/>
      </c>
      <c r="H8140" s="8">
        <f>IF(G8140="","",G8140-I8140)</f>
        <v/>
      </c>
      <c r="I8140" s="8">
        <f>IF(D8140="","",VLOOKUP(D8140, RECETTES!B:G, 6, FALSE)*E8140)</f>
        <v/>
      </c>
      <c r="J8140" s="8">
        <f>IF(G8140="","",G8140*0.20)</f>
        <v/>
      </c>
      <c r="K8140" s="8">
        <f>IF(G8140="","",G8140+J8140)</f>
        <v/>
      </c>
    </row>
    <row r="8141">
      <c r="F8141" s="8" t="n"/>
      <c r="G8141" s="8">
        <f>IF(E8141="","",E8141*F8141)</f>
        <v/>
      </c>
      <c r="H8141" s="8">
        <f>IF(G8141="","",G8141-I8141)</f>
        <v/>
      </c>
      <c r="I8141" s="8">
        <f>IF(D8141="","",VLOOKUP(D8141, RECETTES!B:G, 6, FALSE)*E8141)</f>
        <v/>
      </c>
      <c r="J8141" s="8">
        <f>IF(G8141="","",G8141*0.20)</f>
        <v/>
      </c>
      <c r="K8141" s="8">
        <f>IF(G8141="","",G8141+J8141)</f>
        <v/>
      </c>
    </row>
    <row r="8142">
      <c r="F8142" s="8" t="n"/>
      <c r="G8142" s="8">
        <f>IF(E8142="","",E8142*F8142)</f>
        <v/>
      </c>
      <c r="H8142" s="8">
        <f>IF(G8142="","",G8142-I8142)</f>
        <v/>
      </c>
      <c r="I8142" s="8">
        <f>IF(D8142="","",VLOOKUP(D8142, RECETTES!B:G, 6, FALSE)*E8142)</f>
        <v/>
      </c>
      <c r="J8142" s="8">
        <f>IF(G8142="","",G8142*0.20)</f>
        <v/>
      </c>
      <c r="K8142" s="8">
        <f>IF(G8142="","",G8142+J8142)</f>
        <v/>
      </c>
    </row>
    <row r="8143">
      <c r="F8143" s="8" t="n"/>
      <c r="G8143" s="8">
        <f>IF(E8143="","",E8143*F8143)</f>
        <v/>
      </c>
      <c r="H8143" s="8">
        <f>IF(G8143="","",G8143-I8143)</f>
        <v/>
      </c>
      <c r="I8143" s="8">
        <f>IF(D8143="","",VLOOKUP(D8143, RECETTES!B:G, 6, FALSE)*E8143)</f>
        <v/>
      </c>
      <c r="J8143" s="8">
        <f>IF(G8143="","",G8143*0.20)</f>
        <v/>
      </c>
      <c r="K8143" s="8">
        <f>IF(G8143="","",G8143+J8143)</f>
        <v/>
      </c>
    </row>
    <row r="8144">
      <c r="F8144" s="8" t="n"/>
      <c r="G8144" s="8">
        <f>IF(E8144="","",E8144*F8144)</f>
        <v/>
      </c>
      <c r="H8144" s="8">
        <f>IF(G8144="","",G8144-I8144)</f>
        <v/>
      </c>
      <c r="I8144" s="8">
        <f>IF(D8144="","",VLOOKUP(D8144, RECETTES!B:G, 6, FALSE)*E8144)</f>
        <v/>
      </c>
      <c r="J8144" s="8">
        <f>IF(G8144="","",G8144*0.20)</f>
        <v/>
      </c>
      <c r="K8144" s="8">
        <f>IF(G8144="","",G8144+J8144)</f>
        <v/>
      </c>
    </row>
    <row r="8145">
      <c r="F8145" s="8" t="n"/>
      <c r="G8145" s="8">
        <f>IF(E8145="","",E8145*F8145)</f>
        <v/>
      </c>
      <c r="H8145" s="8">
        <f>IF(G8145="","",G8145-I8145)</f>
        <v/>
      </c>
      <c r="I8145" s="8">
        <f>IF(D8145="","",VLOOKUP(D8145, RECETTES!B:G, 6, FALSE)*E8145)</f>
        <v/>
      </c>
      <c r="J8145" s="8">
        <f>IF(G8145="","",G8145*0.20)</f>
        <v/>
      </c>
      <c r="K8145" s="8">
        <f>IF(G8145="","",G8145+J8145)</f>
        <v/>
      </c>
    </row>
    <row r="8146">
      <c r="F8146" s="8" t="n"/>
      <c r="G8146" s="8">
        <f>IF(E8146="","",E8146*F8146)</f>
        <v/>
      </c>
      <c r="H8146" s="8">
        <f>IF(G8146="","",G8146-I8146)</f>
        <v/>
      </c>
      <c r="I8146" s="8">
        <f>IF(D8146="","",VLOOKUP(D8146, RECETTES!B:G, 6, FALSE)*E8146)</f>
        <v/>
      </c>
      <c r="J8146" s="8">
        <f>IF(G8146="","",G8146*0.20)</f>
        <v/>
      </c>
      <c r="K8146" s="8">
        <f>IF(G8146="","",G8146+J8146)</f>
        <v/>
      </c>
    </row>
    <row r="8147">
      <c r="F8147" s="8" t="n"/>
      <c r="G8147" s="8">
        <f>IF(E8147="","",E8147*F8147)</f>
        <v/>
      </c>
      <c r="H8147" s="8">
        <f>IF(G8147="","",G8147-I8147)</f>
        <v/>
      </c>
      <c r="I8147" s="8">
        <f>IF(D8147="","",VLOOKUP(D8147, RECETTES!B:G, 6, FALSE)*E8147)</f>
        <v/>
      </c>
      <c r="J8147" s="8">
        <f>IF(G8147="","",G8147*0.20)</f>
        <v/>
      </c>
      <c r="K8147" s="8">
        <f>IF(G8147="","",G8147+J8147)</f>
        <v/>
      </c>
    </row>
    <row r="8148">
      <c r="F8148" s="8" t="n"/>
      <c r="G8148" s="8">
        <f>IF(E8148="","",E8148*F8148)</f>
        <v/>
      </c>
      <c r="H8148" s="8">
        <f>IF(G8148="","",G8148-I8148)</f>
        <v/>
      </c>
      <c r="I8148" s="8">
        <f>IF(D8148="","",VLOOKUP(D8148, RECETTES!B:G, 6, FALSE)*E8148)</f>
        <v/>
      </c>
      <c r="J8148" s="8">
        <f>IF(G8148="","",G8148*0.20)</f>
        <v/>
      </c>
      <c r="K8148" s="8">
        <f>IF(G8148="","",G8148+J8148)</f>
        <v/>
      </c>
    </row>
    <row r="8149">
      <c r="F8149" s="8" t="n"/>
      <c r="G8149" s="8">
        <f>IF(E8149="","",E8149*F8149)</f>
        <v/>
      </c>
      <c r="H8149" s="8">
        <f>IF(G8149="","",G8149-I8149)</f>
        <v/>
      </c>
      <c r="I8149" s="8">
        <f>IF(D8149="","",VLOOKUP(D8149, RECETTES!B:G, 6, FALSE)*E8149)</f>
        <v/>
      </c>
      <c r="J8149" s="8">
        <f>IF(G8149="","",G8149*0.20)</f>
        <v/>
      </c>
      <c r="K8149" s="8">
        <f>IF(G8149="","",G8149+J8149)</f>
        <v/>
      </c>
    </row>
    <row r="8150">
      <c r="F8150" s="8" t="n"/>
      <c r="G8150" s="8">
        <f>IF(E8150="","",E8150*F8150)</f>
        <v/>
      </c>
      <c r="H8150" s="8">
        <f>IF(G8150="","",G8150-I8150)</f>
        <v/>
      </c>
      <c r="I8150" s="8">
        <f>IF(D8150="","",VLOOKUP(D8150, RECETTES!B:G, 6, FALSE)*E8150)</f>
        <v/>
      </c>
      <c r="J8150" s="8">
        <f>IF(G8150="","",G8150*0.20)</f>
        <v/>
      </c>
      <c r="K8150" s="8">
        <f>IF(G8150="","",G8150+J8150)</f>
        <v/>
      </c>
    </row>
    <row r="8151">
      <c r="F8151" s="8" t="n"/>
      <c r="G8151" s="8">
        <f>IF(E8151="","",E8151*F8151)</f>
        <v/>
      </c>
      <c r="H8151" s="8">
        <f>IF(G8151="","",G8151-I8151)</f>
        <v/>
      </c>
      <c r="I8151" s="8">
        <f>IF(D8151="","",VLOOKUP(D8151, RECETTES!B:G, 6, FALSE)*E8151)</f>
        <v/>
      </c>
      <c r="J8151" s="8">
        <f>IF(G8151="","",G8151*0.20)</f>
        <v/>
      </c>
      <c r="K8151" s="8">
        <f>IF(G8151="","",G8151+J8151)</f>
        <v/>
      </c>
    </row>
    <row r="8152">
      <c r="F8152" s="8" t="n"/>
      <c r="G8152" s="8">
        <f>IF(E8152="","",E8152*F8152)</f>
        <v/>
      </c>
      <c r="H8152" s="8">
        <f>IF(G8152="","",G8152-I8152)</f>
        <v/>
      </c>
      <c r="I8152" s="8">
        <f>IF(D8152="","",VLOOKUP(D8152, RECETTES!B:G, 6, FALSE)*E8152)</f>
        <v/>
      </c>
      <c r="J8152" s="8">
        <f>IF(G8152="","",G8152*0.20)</f>
        <v/>
      </c>
      <c r="K8152" s="8">
        <f>IF(G8152="","",G8152+J8152)</f>
        <v/>
      </c>
    </row>
    <row r="8153">
      <c r="F8153" s="8" t="n"/>
      <c r="G8153" s="8">
        <f>IF(E8153="","",E8153*F8153)</f>
        <v/>
      </c>
      <c r="H8153" s="8">
        <f>IF(G8153="","",G8153-I8153)</f>
        <v/>
      </c>
      <c r="I8153" s="8">
        <f>IF(D8153="","",VLOOKUP(D8153, RECETTES!B:G, 6, FALSE)*E8153)</f>
        <v/>
      </c>
      <c r="J8153" s="8">
        <f>IF(G8153="","",G8153*0.20)</f>
        <v/>
      </c>
      <c r="K8153" s="8">
        <f>IF(G8153="","",G8153+J8153)</f>
        <v/>
      </c>
    </row>
    <row r="8154">
      <c r="F8154" s="8" t="n"/>
      <c r="G8154" s="8">
        <f>IF(E8154="","",E8154*F8154)</f>
        <v/>
      </c>
      <c r="H8154" s="8">
        <f>IF(G8154="","",G8154-I8154)</f>
        <v/>
      </c>
      <c r="I8154" s="8">
        <f>IF(D8154="","",VLOOKUP(D8154, RECETTES!B:G, 6, FALSE)*E8154)</f>
        <v/>
      </c>
      <c r="J8154" s="8">
        <f>IF(G8154="","",G8154*0.20)</f>
        <v/>
      </c>
      <c r="K8154" s="8">
        <f>IF(G8154="","",G8154+J8154)</f>
        <v/>
      </c>
    </row>
    <row r="8155">
      <c r="F8155" s="8" t="n"/>
      <c r="G8155" s="8">
        <f>IF(E8155="","",E8155*F8155)</f>
        <v/>
      </c>
      <c r="H8155" s="8">
        <f>IF(G8155="","",G8155-I8155)</f>
        <v/>
      </c>
      <c r="I8155" s="8">
        <f>IF(D8155="","",VLOOKUP(D8155, RECETTES!B:G, 6, FALSE)*E8155)</f>
        <v/>
      </c>
      <c r="J8155" s="8">
        <f>IF(G8155="","",G8155*0.20)</f>
        <v/>
      </c>
      <c r="K8155" s="8">
        <f>IF(G8155="","",G8155+J8155)</f>
        <v/>
      </c>
    </row>
    <row r="8156">
      <c r="F8156" s="8" t="n"/>
      <c r="G8156" s="8">
        <f>IF(E8156="","",E8156*F8156)</f>
        <v/>
      </c>
      <c r="H8156" s="8">
        <f>IF(G8156="","",G8156-I8156)</f>
        <v/>
      </c>
      <c r="I8156" s="8">
        <f>IF(D8156="","",VLOOKUP(D8156, RECETTES!B:G, 6, FALSE)*E8156)</f>
        <v/>
      </c>
      <c r="J8156" s="8">
        <f>IF(G8156="","",G8156*0.20)</f>
        <v/>
      </c>
      <c r="K8156" s="8">
        <f>IF(G8156="","",G8156+J8156)</f>
        <v/>
      </c>
    </row>
    <row r="8157">
      <c r="F8157" s="8" t="n"/>
      <c r="G8157" s="8">
        <f>IF(E8157="","",E8157*F8157)</f>
        <v/>
      </c>
      <c r="H8157" s="8">
        <f>IF(G8157="","",G8157-I8157)</f>
        <v/>
      </c>
      <c r="I8157" s="8">
        <f>IF(D8157="","",VLOOKUP(D8157, RECETTES!B:G, 6, FALSE)*E8157)</f>
        <v/>
      </c>
      <c r="J8157" s="8">
        <f>IF(G8157="","",G8157*0.20)</f>
        <v/>
      </c>
      <c r="K8157" s="8">
        <f>IF(G8157="","",G8157+J8157)</f>
        <v/>
      </c>
    </row>
    <row r="8158">
      <c r="F8158" s="8" t="n"/>
      <c r="G8158" s="8">
        <f>IF(E8158="","",E8158*F8158)</f>
        <v/>
      </c>
      <c r="H8158" s="8">
        <f>IF(G8158="","",G8158-I8158)</f>
        <v/>
      </c>
      <c r="I8158" s="8">
        <f>IF(D8158="","",VLOOKUP(D8158, RECETTES!B:G, 6, FALSE)*E8158)</f>
        <v/>
      </c>
      <c r="J8158" s="8">
        <f>IF(G8158="","",G8158*0.20)</f>
        <v/>
      </c>
      <c r="K8158" s="8">
        <f>IF(G8158="","",G8158+J8158)</f>
        <v/>
      </c>
    </row>
    <row r="8159">
      <c r="F8159" s="8" t="n"/>
      <c r="G8159" s="8">
        <f>IF(E8159="","",E8159*F8159)</f>
        <v/>
      </c>
      <c r="H8159" s="8">
        <f>IF(G8159="","",G8159-I8159)</f>
        <v/>
      </c>
      <c r="I8159" s="8">
        <f>IF(D8159="","",VLOOKUP(D8159, RECETTES!B:G, 6, FALSE)*E8159)</f>
        <v/>
      </c>
      <c r="J8159" s="8">
        <f>IF(G8159="","",G8159*0.20)</f>
        <v/>
      </c>
      <c r="K8159" s="8">
        <f>IF(G8159="","",G8159+J8159)</f>
        <v/>
      </c>
    </row>
    <row r="8160">
      <c r="F8160" s="8" t="n"/>
      <c r="G8160" s="8">
        <f>IF(E8160="","",E8160*F8160)</f>
        <v/>
      </c>
      <c r="H8160" s="8">
        <f>IF(G8160="","",G8160-I8160)</f>
        <v/>
      </c>
      <c r="I8160" s="8">
        <f>IF(D8160="","",VLOOKUP(D8160, RECETTES!B:G, 6, FALSE)*E8160)</f>
        <v/>
      </c>
      <c r="J8160" s="8">
        <f>IF(G8160="","",G8160*0.20)</f>
        <v/>
      </c>
      <c r="K8160" s="8">
        <f>IF(G8160="","",G8160+J8160)</f>
        <v/>
      </c>
    </row>
    <row r="8161">
      <c r="F8161" s="8" t="n"/>
      <c r="G8161" s="8">
        <f>IF(E8161="","",E8161*F8161)</f>
        <v/>
      </c>
      <c r="H8161" s="8">
        <f>IF(G8161="","",G8161-I8161)</f>
        <v/>
      </c>
      <c r="I8161" s="8">
        <f>IF(D8161="","",VLOOKUP(D8161, RECETTES!B:G, 6, FALSE)*E8161)</f>
        <v/>
      </c>
      <c r="J8161" s="8">
        <f>IF(G8161="","",G8161*0.20)</f>
        <v/>
      </c>
      <c r="K8161" s="8">
        <f>IF(G8161="","",G8161+J8161)</f>
        <v/>
      </c>
    </row>
    <row r="8162">
      <c r="F8162" s="8" t="n"/>
      <c r="G8162" s="8">
        <f>IF(E8162="","",E8162*F8162)</f>
        <v/>
      </c>
      <c r="H8162" s="8">
        <f>IF(G8162="","",G8162-I8162)</f>
        <v/>
      </c>
      <c r="I8162" s="8">
        <f>IF(D8162="","",VLOOKUP(D8162, RECETTES!B:G, 6, FALSE)*E8162)</f>
        <v/>
      </c>
      <c r="J8162" s="8">
        <f>IF(G8162="","",G8162*0.20)</f>
        <v/>
      </c>
      <c r="K8162" s="8">
        <f>IF(G8162="","",G8162+J8162)</f>
        <v/>
      </c>
    </row>
    <row r="8163">
      <c r="F8163" s="8" t="n"/>
      <c r="G8163" s="8">
        <f>IF(E8163="","",E8163*F8163)</f>
        <v/>
      </c>
      <c r="H8163" s="8">
        <f>IF(G8163="","",G8163-I8163)</f>
        <v/>
      </c>
      <c r="I8163" s="8">
        <f>IF(D8163="","",VLOOKUP(D8163, RECETTES!B:G, 6, FALSE)*E8163)</f>
        <v/>
      </c>
      <c r="J8163" s="8">
        <f>IF(G8163="","",G8163*0.20)</f>
        <v/>
      </c>
      <c r="K8163" s="8">
        <f>IF(G8163="","",G8163+J8163)</f>
        <v/>
      </c>
    </row>
    <row r="8164">
      <c r="F8164" s="8" t="n"/>
      <c r="G8164" s="8">
        <f>IF(E8164="","",E8164*F8164)</f>
        <v/>
      </c>
      <c r="H8164" s="8">
        <f>IF(G8164="","",G8164-I8164)</f>
        <v/>
      </c>
      <c r="I8164" s="8">
        <f>IF(D8164="","",VLOOKUP(D8164, RECETTES!B:G, 6, FALSE)*E8164)</f>
        <v/>
      </c>
      <c r="J8164" s="8">
        <f>IF(G8164="","",G8164*0.20)</f>
        <v/>
      </c>
      <c r="K8164" s="8">
        <f>IF(G8164="","",G8164+J8164)</f>
        <v/>
      </c>
    </row>
    <row r="8165">
      <c r="F8165" s="8" t="n"/>
      <c r="G8165" s="8">
        <f>IF(E8165="","",E8165*F8165)</f>
        <v/>
      </c>
      <c r="H8165" s="8">
        <f>IF(G8165="","",G8165-I8165)</f>
        <v/>
      </c>
      <c r="I8165" s="8">
        <f>IF(D8165="","",VLOOKUP(D8165, RECETTES!B:G, 6, FALSE)*E8165)</f>
        <v/>
      </c>
      <c r="J8165" s="8">
        <f>IF(G8165="","",G8165*0.20)</f>
        <v/>
      </c>
      <c r="K8165" s="8">
        <f>IF(G8165="","",G8165+J8165)</f>
        <v/>
      </c>
    </row>
    <row r="8166">
      <c r="F8166" s="8" t="n"/>
      <c r="G8166" s="8">
        <f>IF(E8166="","",E8166*F8166)</f>
        <v/>
      </c>
      <c r="H8166" s="8">
        <f>IF(G8166="","",G8166-I8166)</f>
        <v/>
      </c>
      <c r="I8166" s="8">
        <f>IF(D8166="","",VLOOKUP(D8166, RECETTES!B:G, 6, FALSE)*E8166)</f>
        <v/>
      </c>
      <c r="J8166" s="8">
        <f>IF(G8166="","",G8166*0.20)</f>
        <v/>
      </c>
      <c r="K8166" s="8">
        <f>IF(G8166="","",G8166+J8166)</f>
        <v/>
      </c>
    </row>
    <row r="8167">
      <c r="F8167" s="8" t="n"/>
      <c r="G8167" s="8">
        <f>IF(E8167="","",E8167*F8167)</f>
        <v/>
      </c>
      <c r="H8167" s="8">
        <f>IF(G8167="","",G8167-I8167)</f>
        <v/>
      </c>
      <c r="I8167" s="8">
        <f>IF(D8167="","",VLOOKUP(D8167, RECETTES!B:G, 6, FALSE)*E8167)</f>
        <v/>
      </c>
      <c r="J8167" s="8">
        <f>IF(G8167="","",G8167*0.20)</f>
        <v/>
      </c>
      <c r="K8167" s="8">
        <f>IF(G8167="","",G8167+J8167)</f>
        <v/>
      </c>
    </row>
    <row r="8168">
      <c r="F8168" s="8" t="n"/>
      <c r="G8168" s="8">
        <f>IF(E8168="","",E8168*F8168)</f>
        <v/>
      </c>
      <c r="H8168" s="8">
        <f>IF(G8168="","",G8168-I8168)</f>
        <v/>
      </c>
      <c r="I8168" s="8">
        <f>IF(D8168="","",VLOOKUP(D8168, RECETTES!B:G, 6, FALSE)*E8168)</f>
        <v/>
      </c>
      <c r="J8168" s="8">
        <f>IF(G8168="","",G8168*0.20)</f>
        <v/>
      </c>
      <c r="K8168" s="8">
        <f>IF(G8168="","",G8168+J8168)</f>
        <v/>
      </c>
    </row>
    <row r="8169">
      <c r="F8169" s="8" t="n"/>
      <c r="G8169" s="8">
        <f>IF(E8169="","",E8169*F8169)</f>
        <v/>
      </c>
      <c r="H8169" s="8">
        <f>IF(G8169="","",G8169-I8169)</f>
        <v/>
      </c>
      <c r="I8169" s="8">
        <f>IF(D8169="","",VLOOKUP(D8169, RECETTES!B:G, 6, FALSE)*E8169)</f>
        <v/>
      </c>
      <c r="J8169" s="8">
        <f>IF(G8169="","",G8169*0.20)</f>
        <v/>
      </c>
      <c r="K8169" s="8">
        <f>IF(G8169="","",G8169+J8169)</f>
        <v/>
      </c>
    </row>
    <row r="8170">
      <c r="F8170" s="8" t="n"/>
      <c r="G8170" s="8">
        <f>IF(E8170="","",E8170*F8170)</f>
        <v/>
      </c>
      <c r="H8170" s="8">
        <f>IF(G8170="","",G8170-I8170)</f>
        <v/>
      </c>
      <c r="I8170" s="8">
        <f>IF(D8170="","",VLOOKUP(D8170, RECETTES!B:G, 6, FALSE)*E8170)</f>
        <v/>
      </c>
      <c r="J8170" s="8">
        <f>IF(G8170="","",G8170*0.20)</f>
        <v/>
      </c>
      <c r="K8170" s="8">
        <f>IF(G8170="","",G8170+J8170)</f>
        <v/>
      </c>
    </row>
    <row r="8171">
      <c r="F8171" s="8" t="n"/>
      <c r="G8171" s="8">
        <f>IF(E8171="","",E8171*F8171)</f>
        <v/>
      </c>
      <c r="H8171" s="8">
        <f>IF(G8171="","",G8171-I8171)</f>
        <v/>
      </c>
      <c r="I8171" s="8">
        <f>IF(D8171="","",VLOOKUP(D8171, RECETTES!B:G, 6, FALSE)*E8171)</f>
        <v/>
      </c>
      <c r="J8171" s="8">
        <f>IF(G8171="","",G8171*0.20)</f>
        <v/>
      </c>
      <c r="K8171" s="8">
        <f>IF(G8171="","",G8171+J8171)</f>
        <v/>
      </c>
    </row>
    <row r="8172">
      <c r="F8172" s="8" t="n"/>
      <c r="G8172" s="8">
        <f>IF(E8172="","",E8172*F8172)</f>
        <v/>
      </c>
      <c r="H8172" s="8">
        <f>IF(G8172="","",G8172-I8172)</f>
        <v/>
      </c>
      <c r="I8172" s="8">
        <f>IF(D8172="","",VLOOKUP(D8172, RECETTES!B:G, 6, FALSE)*E8172)</f>
        <v/>
      </c>
      <c r="J8172" s="8">
        <f>IF(G8172="","",G8172*0.20)</f>
        <v/>
      </c>
      <c r="K8172" s="8">
        <f>IF(G8172="","",G8172+J8172)</f>
        <v/>
      </c>
    </row>
    <row r="8173">
      <c r="F8173" s="8" t="n"/>
      <c r="G8173" s="8">
        <f>IF(E8173="","",E8173*F8173)</f>
        <v/>
      </c>
      <c r="H8173" s="8">
        <f>IF(G8173="","",G8173-I8173)</f>
        <v/>
      </c>
      <c r="I8173" s="8">
        <f>IF(D8173="","",VLOOKUP(D8173, RECETTES!B:G, 6, FALSE)*E8173)</f>
        <v/>
      </c>
      <c r="J8173" s="8">
        <f>IF(G8173="","",G8173*0.20)</f>
        <v/>
      </c>
      <c r="K8173" s="8">
        <f>IF(G8173="","",G8173+J8173)</f>
        <v/>
      </c>
    </row>
    <row r="8174">
      <c r="F8174" s="8" t="n"/>
      <c r="G8174" s="8">
        <f>IF(E8174="","",E8174*F8174)</f>
        <v/>
      </c>
      <c r="H8174" s="8">
        <f>IF(G8174="","",G8174-I8174)</f>
        <v/>
      </c>
      <c r="I8174" s="8">
        <f>IF(D8174="","",VLOOKUP(D8174, RECETTES!B:G, 6, FALSE)*E8174)</f>
        <v/>
      </c>
      <c r="J8174" s="8">
        <f>IF(G8174="","",G8174*0.20)</f>
        <v/>
      </c>
      <c r="K8174" s="8">
        <f>IF(G8174="","",G8174+J8174)</f>
        <v/>
      </c>
    </row>
    <row r="8175">
      <c r="F8175" s="8" t="n"/>
      <c r="G8175" s="8">
        <f>IF(E8175="","",E8175*F8175)</f>
        <v/>
      </c>
      <c r="H8175" s="8">
        <f>IF(G8175="","",G8175-I8175)</f>
        <v/>
      </c>
      <c r="I8175" s="8">
        <f>IF(D8175="","",VLOOKUP(D8175, RECETTES!B:G, 6, FALSE)*E8175)</f>
        <v/>
      </c>
      <c r="J8175" s="8">
        <f>IF(G8175="","",G8175*0.20)</f>
        <v/>
      </c>
      <c r="K8175" s="8">
        <f>IF(G8175="","",G8175+J8175)</f>
        <v/>
      </c>
    </row>
    <row r="8176">
      <c r="F8176" s="8" t="n"/>
      <c r="G8176" s="8">
        <f>IF(E8176="","",E8176*F8176)</f>
        <v/>
      </c>
      <c r="H8176" s="8">
        <f>IF(G8176="","",G8176-I8176)</f>
        <v/>
      </c>
      <c r="I8176" s="8">
        <f>IF(D8176="","",VLOOKUP(D8176, RECETTES!B:G, 6, FALSE)*E8176)</f>
        <v/>
      </c>
      <c r="J8176" s="8">
        <f>IF(G8176="","",G8176*0.20)</f>
        <v/>
      </c>
      <c r="K8176" s="8">
        <f>IF(G8176="","",G8176+J8176)</f>
        <v/>
      </c>
    </row>
    <row r="8177">
      <c r="F8177" s="8" t="n"/>
      <c r="G8177" s="8">
        <f>IF(E8177="","",E8177*F8177)</f>
        <v/>
      </c>
      <c r="H8177" s="8">
        <f>IF(G8177="","",G8177-I8177)</f>
        <v/>
      </c>
      <c r="I8177" s="8">
        <f>IF(D8177="","",VLOOKUP(D8177, RECETTES!B:G, 6, FALSE)*E8177)</f>
        <v/>
      </c>
      <c r="J8177" s="8">
        <f>IF(G8177="","",G8177*0.20)</f>
        <v/>
      </c>
      <c r="K8177" s="8">
        <f>IF(G8177="","",G8177+J8177)</f>
        <v/>
      </c>
    </row>
    <row r="8178">
      <c r="F8178" s="8" t="n"/>
      <c r="G8178" s="8">
        <f>IF(E8178="","",E8178*F8178)</f>
        <v/>
      </c>
      <c r="H8178" s="8">
        <f>IF(G8178="","",G8178-I8178)</f>
        <v/>
      </c>
      <c r="I8178" s="8">
        <f>IF(D8178="","",VLOOKUP(D8178, RECETTES!B:G, 6, FALSE)*E8178)</f>
        <v/>
      </c>
      <c r="J8178" s="8">
        <f>IF(G8178="","",G8178*0.20)</f>
        <v/>
      </c>
      <c r="K8178" s="8">
        <f>IF(G8178="","",G8178+J8178)</f>
        <v/>
      </c>
    </row>
    <row r="8179">
      <c r="F8179" s="8" t="n"/>
      <c r="G8179" s="8">
        <f>IF(E8179="","",E8179*F8179)</f>
        <v/>
      </c>
      <c r="H8179" s="8">
        <f>IF(G8179="","",G8179-I8179)</f>
        <v/>
      </c>
      <c r="I8179" s="8">
        <f>IF(D8179="","",VLOOKUP(D8179, RECETTES!B:G, 6, FALSE)*E8179)</f>
        <v/>
      </c>
      <c r="J8179" s="8">
        <f>IF(G8179="","",G8179*0.20)</f>
        <v/>
      </c>
      <c r="K8179" s="8">
        <f>IF(G8179="","",G8179+J8179)</f>
        <v/>
      </c>
    </row>
    <row r="8180">
      <c r="F8180" s="8" t="n"/>
      <c r="G8180" s="8">
        <f>IF(E8180="","",E8180*F8180)</f>
        <v/>
      </c>
      <c r="H8180" s="8">
        <f>IF(G8180="","",G8180-I8180)</f>
        <v/>
      </c>
      <c r="I8180" s="8">
        <f>IF(D8180="","",VLOOKUP(D8180, RECETTES!B:G, 6, FALSE)*E8180)</f>
        <v/>
      </c>
      <c r="J8180" s="8">
        <f>IF(G8180="","",G8180*0.20)</f>
        <v/>
      </c>
      <c r="K8180" s="8">
        <f>IF(G8180="","",G8180+J8180)</f>
        <v/>
      </c>
    </row>
    <row r="8181">
      <c r="F8181" s="8" t="n"/>
      <c r="G8181" s="8">
        <f>IF(E8181="","",E8181*F8181)</f>
        <v/>
      </c>
      <c r="H8181" s="8">
        <f>IF(G8181="","",G8181-I8181)</f>
        <v/>
      </c>
      <c r="I8181" s="8">
        <f>IF(D8181="","",VLOOKUP(D8181, RECETTES!B:G, 6, FALSE)*E8181)</f>
        <v/>
      </c>
      <c r="J8181" s="8">
        <f>IF(G8181="","",G8181*0.20)</f>
        <v/>
      </c>
      <c r="K8181" s="8">
        <f>IF(G8181="","",G8181+J8181)</f>
        <v/>
      </c>
    </row>
    <row r="8182">
      <c r="F8182" s="8" t="n"/>
      <c r="G8182" s="8">
        <f>IF(E8182="","",E8182*F8182)</f>
        <v/>
      </c>
      <c r="H8182" s="8">
        <f>IF(G8182="","",G8182-I8182)</f>
        <v/>
      </c>
      <c r="I8182" s="8">
        <f>IF(D8182="","",VLOOKUP(D8182, RECETTES!B:G, 6, FALSE)*E8182)</f>
        <v/>
      </c>
      <c r="J8182" s="8">
        <f>IF(G8182="","",G8182*0.20)</f>
        <v/>
      </c>
      <c r="K8182" s="8">
        <f>IF(G8182="","",G8182+J8182)</f>
        <v/>
      </c>
    </row>
    <row r="8183">
      <c r="F8183" s="8" t="n"/>
      <c r="G8183" s="8">
        <f>IF(E8183="","",E8183*F8183)</f>
        <v/>
      </c>
      <c r="H8183" s="8">
        <f>IF(G8183="","",G8183-I8183)</f>
        <v/>
      </c>
      <c r="I8183" s="8">
        <f>IF(D8183="","",VLOOKUP(D8183, RECETTES!B:G, 6, FALSE)*E8183)</f>
        <v/>
      </c>
      <c r="J8183" s="8">
        <f>IF(G8183="","",G8183*0.20)</f>
        <v/>
      </c>
      <c r="K8183" s="8">
        <f>IF(G8183="","",G8183+J8183)</f>
        <v/>
      </c>
    </row>
    <row r="8184">
      <c r="F8184" s="8" t="n"/>
      <c r="G8184" s="8">
        <f>IF(E8184="","",E8184*F8184)</f>
        <v/>
      </c>
      <c r="H8184" s="8">
        <f>IF(G8184="","",G8184-I8184)</f>
        <v/>
      </c>
      <c r="I8184" s="8">
        <f>IF(D8184="","",VLOOKUP(D8184, RECETTES!B:G, 6, FALSE)*E8184)</f>
        <v/>
      </c>
      <c r="J8184" s="8">
        <f>IF(G8184="","",G8184*0.20)</f>
        <v/>
      </c>
      <c r="K8184" s="8">
        <f>IF(G8184="","",G8184+J8184)</f>
        <v/>
      </c>
    </row>
    <row r="8185">
      <c r="F8185" s="8" t="n"/>
      <c r="G8185" s="8">
        <f>IF(E8185="","",E8185*F8185)</f>
        <v/>
      </c>
      <c r="H8185" s="8">
        <f>IF(G8185="","",G8185-I8185)</f>
        <v/>
      </c>
      <c r="I8185" s="8">
        <f>IF(D8185="","",VLOOKUP(D8185, RECETTES!B:G, 6, FALSE)*E8185)</f>
        <v/>
      </c>
      <c r="J8185" s="8">
        <f>IF(G8185="","",G8185*0.20)</f>
        <v/>
      </c>
      <c r="K8185" s="8">
        <f>IF(G8185="","",G8185+J8185)</f>
        <v/>
      </c>
    </row>
    <row r="8186">
      <c r="F8186" s="8" t="n"/>
      <c r="G8186" s="8">
        <f>IF(E8186="","",E8186*F8186)</f>
        <v/>
      </c>
      <c r="H8186" s="8">
        <f>IF(G8186="","",G8186-I8186)</f>
        <v/>
      </c>
      <c r="I8186" s="8">
        <f>IF(D8186="","",VLOOKUP(D8186, RECETTES!B:G, 6, FALSE)*E8186)</f>
        <v/>
      </c>
      <c r="J8186" s="8">
        <f>IF(G8186="","",G8186*0.20)</f>
        <v/>
      </c>
      <c r="K8186" s="8">
        <f>IF(G8186="","",G8186+J8186)</f>
        <v/>
      </c>
    </row>
    <row r="8187">
      <c r="F8187" s="8" t="n"/>
      <c r="G8187" s="8">
        <f>IF(E8187="","",E8187*F8187)</f>
        <v/>
      </c>
      <c r="H8187" s="8">
        <f>IF(G8187="","",G8187-I8187)</f>
        <v/>
      </c>
      <c r="I8187" s="8">
        <f>IF(D8187="","",VLOOKUP(D8187, RECETTES!B:G, 6, FALSE)*E8187)</f>
        <v/>
      </c>
      <c r="J8187" s="8">
        <f>IF(G8187="","",G8187*0.20)</f>
        <v/>
      </c>
      <c r="K8187" s="8">
        <f>IF(G8187="","",G8187+J8187)</f>
        <v/>
      </c>
    </row>
    <row r="8188">
      <c r="F8188" s="8" t="n"/>
      <c r="G8188" s="8">
        <f>IF(E8188="","",E8188*F8188)</f>
        <v/>
      </c>
      <c r="H8188" s="8">
        <f>IF(G8188="","",G8188-I8188)</f>
        <v/>
      </c>
      <c r="I8188" s="8">
        <f>IF(D8188="","",VLOOKUP(D8188, RECETTES!B:G, 6, FALSE)*E8188)</f>
        <v/>
      </c>
      <c r="J8188" s="8">
        <f>IF(G8188="","",G8188*0.20)</f>
        <v/>
      </c>
      <c r="K8188" s="8">
        <f>IF(G8188="","",G8188+J8188)</f>
        <v/>
      </c>
    </row>
    <row r="8189">
      <c r="F8189" s="8" t="n"/>
      <c r="G8189" s="8">
        <f>IF(E8189="","",E8189*F8189)</f>
        <v/>
      </c>
      <c r="H8189" s="8">
        <f>IF(G8189="","",G8189-I8189)</f>
        <v/>
      </c>
      <c r="I8189" s="8">
        <f>IF(D8189="","",VLOOKUP(D8189, RECETTES!B:G, 6, FALSE)*E8189)</f>
        <v/>
      </c>
      <c r="J8189" s="8">
        <f>IF(G8189="","",G8189*0.20)</f>
        <v/>
      </c>
      <c r="K8189" s="8">
        <f>IF(G8189="","",G8189+J8189)</f>
        <v/>
      </c>
    </row>
    <row r="8190">
      <c r="F8190" s="8" t="n"/>
      <c r="G8190" s="8">
        <f>IF(E8190="","",E8190*F8190)</f>
        <v/>
      </c>
      <c r="H8190" s="8">
        <f>IF(G8190="","",G8190-I8190)</f>
        <v/>
      </c>
      <c r="I8190" s="8">
        <f>IF(D8190="","",VLOOKUP(D8190, RECETTES!B:G, 6, FALSE)*E8190)</f>
        <v/>
      </c>
      <c r="J8190" s="8">
        <f>IF(G8190="","",G8190*0.20)</f>
        <v/>
      </c>
      <c r="K8190" s="8">
        <f>IF(G8190="","",G8190+J8190)</f>
        <v/>
      </c>
    </row>
    <row r="8191">
      <c r="F8191" s="8" t="n"/>
      <c r="G8191" s="8">
        <f>IF(E8191="","",E8191*F8191)</f>
        <v/>
      </c>
      <c r="H8191" s="8">
        <f>IF(G8191="","",G8191-I8191)</f>
        <v/>
      </c>
      <c r="I8191" s="8">
        <f>IF(D8191="","",VLOOKUP(D8191, RECETTES!B:G, 6, FALSE)*E8191)</f>
        <v/>
      </c>
      <c r="J8191" s="8">
        <f>IF(G8191="","",G8191*0.20)</f>
        <v/>
      </c>
      <c r="K8191" s="8">
        <f>IF(G8191="","",G8191+J8191)</f>
        <v/>
      </c>
    </row>
    <row r="8192">
      <c r="F8192" s="8" t="n"/>
      <c r="G8192" s="8">
        <f>IF(E8192="","",E8192*F8192)</f>
        <v/>
      </c>
      <c r="H8192" s="8">
        <f>IF(G8192="","",G8192-I8192)</f>
        <v/>
      </c>
      <c r="I8192" s="8">
        <f>IF(D8192="","",VLOOKUP(D8192, RECETTES!B:G, 6, FALSE)*E8192)</f>
        <v/>
      </c>
      <c r="J8192" s="8">
        <f>IF(G8192="","",G8192*0.20)</f>
        <v/>
      </c>
      <c r="K8192" s="8">
        <f>IF(G8192="","",G8192+J8192)</f>
        <v/>
      </c>
    </row>
    <row r="8193">
      <c r="F8193" s="8" t="n"/>
      <c r="G8193" s="8">
        <f>IF(E8193="","",E8193*F8193)</f>
        <v/>
      </c>
      <c r="H8193" s="8">
        <f>IF(G8193="","",G8193-I8193)</f>
        <v/>
      </c>
      <c r="I8193" s="8">
        <f>IF(D8193="","",VLOOKUP(D8193, RECETTES!B:G, 6, FALSE)*E8193)</f>
        <v/>
      </c>
      <c r="J8193" s="8">
        <f>IF(G8193="","",G8193*0.20)</f>
        <v/>
      </c>
      <c r="K8193" s="8">
        <f>IF(G8193="","",G8193+J8193)</f>
        <v/>
      </c>
    </row>
    <row r="8194">
      <c r="F8194" s="8" t="n"/>
      <c r="G8194" s="8">
        <f>IF(E8194="","",E8194*F8194)</f>
        <v/>
      </c>
      <c r="H8194" s="8">
        <f>IF(G8194="","",G8194-I8194)</f>
        <v/>
      </c>
      <c r="I8194" s="8">
        <f>IF(D8194="","",VLOOKUP(D8194, RECETTES!B:G, 6, FALSE)*E8194)</f>
        <v/>
      </c>
      <c r="J8194" s="8">
        <f>IF(G8194="","",G8194*0.20)</f>
        <v/>
      </c>
      <c r="K8194" s="8">
        <f>IF(G8194="","",G8194+J8194)</f>
        <v/>
      </c>
    </row>
    <row r="8195">
      <c r="F8195" s="8" t="n"/>
      <c r="G8195" s="8">
        <f>IF(E8195="","",E8195*F8195)</f>
        <v/>
      </c>
      <c r="H8195" s="8">
        <f>IF(G8195="","",G8195-I8195)</f>
        <v/>
      </c>
      <c r="I8195" s="8">
        <f>IF(D8195="","",VLOOKUP(D8195, RECETTES!B:G, 6, FALSE)*E8195)</f>
        <v/>
      </c>
      <c r="J8195" s="8">
        <f>IF(G8195="","",G8195*0.20)</f>
        <v/>
      </c>
      <c r="K8195" s="8">
        <f>IF(G8195="","",G8195+J8195)</f>
        <v/>
      </c>
    </row>
    <row r="8196">
      <c r="F8196" s="8" t="n"/>
      <c r="G8196" s="8">
        <f>IF(E8196="","",E8196*F8196)</f>
        <v/>
      </c>
      <c r="H8196" s="8">
        <f>IF(G8196="","",G8196-I8196)</f>
        <v/>
      </c>
      <c r="I8196" s="8">
        <f>IF(D8196="","",VLOOKUP(D8196, RECETTES!B:G, 6, FALSE)*E8196)</f>
        <v/>
      </c>
      <c r="J8196" s="8">
        <f>IF(G8196="","",G8196*0.20)</f>
        <v/>
      </c>
      <c r="K8196" s="8">
        <f>IF(G8196="","",G8196+J8196)</f>
        <v/>
      </c>
    </row>
    <row r="8197">
      <c r="F8197" s="8" t="n"/>
      <c r="G8197" s="8">
        <f>IF(E8197="","",E8197*F8197)</f>
        <v/>
      </c>
      <c r="H8197" s="8">
        <f>IF(G8197="","",G8197-I8197)</f>
        <v/>
      </c>
      <c r="I8197" s="8">
        <f>IF(D8197="","",VLOOKUP(D8197, RECETTES!B:G, 6, FALSE)*E8197)</f>
        <v/>
      </c>
      <c r="J8197" s="8">
        <f>IF(G8197="","",G8197*0.20)</f>
        <v/>
      </c>
      <c r="K8197" s="8">
        <f>IF(G8197="","",G8197+J8197)</f>
        <v/>
      </c>
    </row>
    <row r="8198">
      <c r="F8198" s="8" t="n"/>
      <c r="G8198" s="8">
        <f>IF(E8198="","",E8198*F8198)</f>
        <v/>
      </c>
      <c r="H8198" s="8">
        <f>IF(G8198="","",G8198-I8198)</f>
        <v/>
      </c>
      <c r="I8198" s="8">
        <f>IF(D8198="","",VLOOKUP(D8198, RECETTES!B:G, 6, FALSE)*E8198)</f>
        <v/>
      </c>
      <c r="J8198" s="8">
        <f>IF(G8198="","",G8198*0.20)</f>
        <v/>
      </c>
      <c r="K8198" s="8">
        <f>IF(G8198="","",G8198+J8198)</f>
        <v/>
      </c>
    </row>
    <row r="8199">
      <c r="F8199" s="8" t="n"/>
      <c r="G8199" s="8">
        <f>IF(E8199="","",E8199*F8199)</f>
        <v/>
      </c>
      <c r="H8199" s="8">
        <f>IF(G8199="","",G8199-I8199)</f>
        <v/>
      </c>
      <c r="I8199" s="8">
        <f>IF(D8199="","",VLOOKUP(D8199, RECETTES!B:G, 6, FALSE)*E8199)</f>
        <v/>
      </c>
      <c r="J8199" s="8">
        <f>IF(G8199="","",G8199*0.20)</f>
        <v/>
      </c>
      <c r="K8199" s="8">
        <f>IF(G8199="","",G8199+J8199)</f>
        <v/>
      </c>
    </row>
    <row r="8200">
      <c r="F8200" s="8" t="n"/>
      <c r="G8200" s="8">
        <f>IF(E8200="","",E8200*F8200)</f>
        <v/>
      </c>
      <c r="H8200" s="8">
        <f>IF(G8200="","",G8200-I8200)</f>
        <v/>
      </c>
      <c r="I8200" s="8">
        <f>IF(D8200="","",VLOOKUP(D8200, RECETTES!B:G, 6, FALSE)*E8200)</f>
        <v/>
      </c>
      <c r="J8200" s="8">
        <f>IF(G8200="","",G8200*0.20)</f>
        <v/>
      </c>
      <c r="K8200" s="8">
        <f>IF(G8200="","",G8200+J8200)</f>
        <v/>
      </c>
    </row>
    <row r="8201">
      <c r="F8201" s="8" t="n"/>
      <c r="G8201" s="8">
        <f>IF(E8201="","",E8201*F8201)</f>
        <v/>
      </c>
      <c r="H8201" s="8">
        <f>IF(G8201="","",G8201-I8201)</f>
        <v/>
      </c>
      <c r="I8201" s="8">
        <f>IF(D8201="","",VLOOKUP(D8201, RECETTES!B:G, 6, FALSE)*E8201)</f>
        <v/>
      </c>
      <c r="J8201" s="8">
        <f>IF(G8201="","",G8201*0.20)</f>
        <v/>
      </c>
      <c r="K8201" s="8">
        <f>IF(G8201="","",G8201+J8201)</f>
        <v/>
      </c>
    </row>
    <row r="8202">
      <c r="F8202" s="8" t="n"/>
      <c r="G8202" s="8">
        <f>IF(E8202="","",E8202*F8202)</f>
        <v/>
      </c>
      <c r="H8202" s="8">
        <f>IF(G8202="","",G8202-I8202)</f>
        <v/>
      </c>
      <c r="I8202" s="8">
        <f>IF(D8202="","",VLOOKUP(D8202, RECETTES!B:G, 6, FALSE)*E8202)</f>
        <v/>
      </c>
      <c r="J8202" s="8">
        <f>IF(G8202="","",G8202*0.20)</f>
        <v/>
      </c>
      <c r="K8202" s="8">
        <f>IF(G8202="","",G8202+J8202)</f>
        <v/>
      </c>
    </row>
    <row r="8203">
      <c r="F8203" s="8" t="n"/>
      <c r="G8203" s="8">
        <f>IF(E8203="","",E8203*F8203)</f>
        <v/>
      </c>
      <c r="H8203" s="8">
        <f>IF(G8203="","",G8203-I8203)</f>
        <v/>
      </c>
      <c r="I8203" s="8">
        <f>IF(D8203="","",VLOOKUP(D8203, RECETTES!B:G, 6, FALSE)*E8203)</f>
        <v/>
      </c>
      <c r="J8203" s="8">
        <f>IF(G8203="","",G8203*0.20)</f>
        <v/>
      </c>
      <c r="K8203" s="8">
        <f>IF(G8203="","",G8203+J8203)</f>
        <v/>
      </c>
    </row>
    <row r="8204">
      <c r="F8204" s="8" t="n"/>
      <c r="G8204" s="8">
        <f>IF(E8204="","",E8204*F8204)</f>
        <v/>
      </c>
      <c r="H8204" s="8">
        <f>IF(G8204="","",G8204-I8204)</f>
        <v/>
      </c>
      <c r="I8204" s="8">
        <f>IF(D8204="","",VLOOKUP(D8204, RECETTES!B:G, 6, FALSE)*E8204)</f>
        <v/>
      </c>
      <c r="J8204" s="8">
        <f>IF(G8204="","",G8204*0.20)</f>
        <v/>
      </c>
      <c r="K8204" s="8">
        <f>IF(G8204="","",G8204+J8204)</f>
        <v/>
      </c>
    </row>
    <row r="8205">
      <c r="F8205" s="8" t="n"/>
      <c r="G8205" s="8">
        <f>IF(E8205="","",E8205*F8205)</f>
        <v/>
      </c>
      <c r="H8205" s="8">
        <f>IF(G8205="","",G8205-I8205)</f>
        <v/>
      </c>
      <c r="I8205" s="8">
        <f>IF(D8205="","",VLOOKUP(D8205, RECETTES!B:G, 6, FALSE)*E8205)</f>
        <v/>
      </c>
      <c r="J8205" s="8">
        <f>IF(G8205="","",G8205*0.20)</f>
        <v/>
      </c>
      <c r="K8205" s="8">
        <f>IF(G8205="","",G8205+J8205)</f>
        <v/>
      </c>
    </row>
    <row r="8206">
      <c r="F8206" s="8" t="n"/>
      <c r="G8206" s="8">
        <f>IF(E8206="","",E8206*F8206)</f>
        <v/>
      </c>
      <c r="H8206" s="8">
        <f>IF(G8206="","",G8206-I8206)</f>
        <v/>
      </c>
      <c r="I8206" s="8">
        <f>IF(D8206="","",VLOOKUP(D8206, RECETTES!B:G, 6, FALSE)*E8206)</f>
        <v/>
      </c>
      <c r="J8206" s="8">
        <f>IF(G8206="","",G8206*0.20)</f>
        <v/>
      </c>
      <c r="K8206" s="8">
        <f>IF(G8206="","",G8206+J8206)</f>
        <v/>
      </c>
    </row>
    <row r="8207">
      <c r="F8207" s="8" t="n"/>
      <c r="G8207" s="8">
        <f>IF(E8207="","",E8207*F8207)</f>
        <v/>
      </c>
      <c r="H8207" s="8">
        <f>IF(G8207="","",G8207-I8207)</f>
        <v/>
      </c>
      <c r="I8207" s="8">
        <f>IF(D8207="","",VLOOKUP(D8207, RECETTES!B:G, 6, FALSE)*E8207)</f>
        <v/>
      </c>
      <c r="J8207" s="8">
        <f>IF(G8207="","",G8207*0.20)</f>
        <v/>
      </c>
      <c r="K8207" s="8">
        <f>IF(G8207="","",G8207+J8207)</f>
        <v/>
      </c>
    </row>
    <row r="8208">
      <c r="F8208" s="8" t="n"/>
      <c r="G8208" s="8">
        <f>IF(E8208="","",E8208*F8208)</f>
        <v/>
      </c>
      <c r="H8208" s="8">
        <f>IF(G8208="","",G8208-I8208)</f>
        <v/>
      </c>
      <c r="I8208" s="8">
        <f>IF(D8208="","",VLOOKUP(D8208, RECETTES!B:G, 6, FALSE)*E8208)</f>
        <v/>
      </c>
      <c r="J8208" s="8">
        <f>IF(G8208="","",G8208*0.20)</f>
        <v/>
      </c>
      <c r="K8208" s="8">
        <f>IF(G8208="","",G8208+J8208)</f>
        <v/>
      </c>
    </row>
    <row r="8209">
      <c r="F8209" s="8" t="n"/>
      <c r="G8209" s="8">
        <f>IF(E8209="","",E8209*F8209)</f>
        <v/>
      </c>
      <c r="H8209" s="8">
        <f>IF(G8209="","",G8209-I8209)</f>
        <v/>
      </c>
      <c r="I8209" s="8">
        <f>IF(D8209="","",VLOOKUP(D8209, RECETTES!B:G, 6, FALSE)*E8209)</f>
        <v/>
      </c>
      <c r="J8209" s="8">
        <f>IF(G8209="","",G8209*0.20)</f>
        <v/>
      </c>
      <c r="K8209" s="8">
        <f>IF(G8209="","",G8209+J8209)</f>
        <v/>
      </c>
    </row>
    <row r="8210">
      <c r="F8210" s="8" t="n"/>
      <c r="G8210" s="8">
        <f>IF(E8210="","",E8210*F8210)</f>
        <v/>
      </c>
      <c r="H8210" s="8">
        <f>IF(G8210="","",G8210-I8210)</f>
        <v/>
      </c>
      <c r="I8210" s="8">
        <f>IF(D8210="","",VLOOKUP(D8210, RECETTES!B:G, 6, FALSE)*E8210)</f>
        <v/>
      </c>
      <c r="J8210" s="8">
        <f>IF(G8210="","",G8210*0.20)</f>
        <v/>
      </c>
      <c r="K8210" s="8">
        <f>IF(G8210="","",G8210+J8210)</f>
        <v/>
      </c>
    </row>
    <row r="8211">
      <c r="F8211" s="8" t="n"/>
      <c r="G8211" s="8">
        <f>IF(E8211="","",E8211*F8211)</f>
        <v/>
      </c>
      <c r="H8211" s="8">
        <f>IF(G8211="","",G8211-I8211)</f>
        <v/>
      </c>
      <c r="I8211" s="8">
        <f>IF(D8211="","",VLOOKUP(D8211, RECETTES!B:G, 6, FALSE)*E8211)</f>
        <v/>
      </c>
      <c r="J8211" s="8">
        <f>IF(G8211="","",G8211*0.20)</f>
        <v/>
      </c>
      <c r="K8211" s="8">
        <f>IF(G8211="","",G8211+J8211)</f>
        <v/>
      </c>
    </row>
    <row r="8212">
      <c r="F8212" s="8" t="n"/>
      <c r="G8212" s="8">
        <f>IF(E8212="","",E8212*F8212)</f>
        <v/>
      </c>
      <c r="H8212" s="8">
        <f>IF(G8212="","",G8212-I8212)</f>
        <v/>
      </c>
      <c r="I8212" s="8">
        <f>IF(D8212="","",VLOOKUP(D8212, RECETTES!B:G, 6, FALSE)*E8212)</f>
        <v/>
      </c>
      <c r="J8212" s="8">
        <f>IF(G8212="","",G8212*0.20)</f>
        <v/>
      </c>
      <c r="K8212" s="8">
        <f>IF(G8212="","",G8212+J8212)</f>
        <v/>
      </c>
    </row>
    <row r="8213">
      <c r="F8213" s="8" t="n"/>
      <c r="G8213" s="8">
        <f>IF(E8213="","",E8213*F8213)</f>
        <v/>
      </c>
      <c r="H8213" s="8">
        <f>IF(G8213="","",G8213-I8213)</f>
        <v/>
      </c>
      <c r="I8213" s="8">
        <f>IF(D8213="","",VLOOKUP(D8213, RECETTES!B:G, 6, FALSE)*E8213)</f>
        <v/>
      </c>
      <c r="J8213" s="8">
        <f>IF(G8213="","",G8213*0.20)</f>
        <v/>
      </c>
      <c r="K8213" s="8">
        <f>IF(G8213="","",G8213+J8213)</f>
        <v/>
      </c>
    </row>
    <row r="8214">
      <c r="F8214" s="8" t="n"/>
      <c r="G8214" s="8">
        <f>IF(E8214="","",E8214*F8214)</f>
        <v/>
      </c>
      <c r="H8214" s="8">
        <f>IF(G8214="","",G8214-I8214)</f>
        <v/>
      </c>
      <c r="I8214" s="8">
        <f>IF(D8214="","",VLOOKUP(D8214, RECETTES!B:G, 6, FALSE)*E8214)</f>
        <v/>
      </c>
      <c r="J8214" s="8">
        <f>IF(G8214="","",G8214*0.20)</f>
        <v/>
      </c>
      <c r="K8214" s="8">
        <f>IF(G8214="","",G8214+J8214)</f>
        <v/>
      </c>
    </row>
    <row r="8215">
      <c r="F8215" s="8" t="n"/>
      <c r="G8215" s="8">
        <f>IF(E8215="","",E8215*F8215)</f>
        <v/>
      </c>
      <c r="H8215" s="8">
        <f>IF(G8215="","",G8215-I8215)</f>
        <v/>
      </c>
      <c r="I8215" s="8">
        <f>IF(D8215="","",VLOOKUP(D8215, RECETTES!B:G, 6, FALSE)*E8215)</f>
        <v/>
      </c>
      <c r="J8215" s="8">
        <f>IF(G8215="","",G8215*0.20)</f>
        <v/>
      </c>
      <c r="K8215" s="8">
        <f>IF(G8215="","",G8215+J8215)</f>
        <v/>
      </c>
    </row>
    <row r="8216">
      <c r="F8216" s="8" t="n"/>
      <c r="G8216" s="8">
        <f>IF(E8216="","",E8216*F8216)</f>
        <v/>
      </c>
      <c r="H8216" s="8">
        <f>IF(G8216="","",G8216-I8216)</f>
        <v/>
      </c>
      <c r="I8216" s="8">
        <f>IF(D8216="","",VLOOKUP(D8216, RECETTES!B:G, 6, FALSE)*E8216)</f>
        <v/>
      </c>
      <c r="J8216" s="8">
        <f>IF(G8216="","",G8216*0.20)</f>
        <v/>
      </c>
      <c r="K8216" s="8">
        <f>IF(G8216="","",G8216+J8216)</f>
        <v/>
      </c>
    </row>
    <row r="8217">
      <c r="F8217" s="8" t="n"/>
      <c r="G8217" s="8">
        <f>IF(E8217="","",E8217*F8217)</f>
        <v/>
      </c>
      <c r="H8217" s="8">
        <f>IF(G8217="","",G8217-I8217)</f>
        <v/>
      </c>
      <c r="I8217" s="8">
        <f>IF(D8217="","",VLOOKUP(D8217, RECETTES!B:G, 6, FALSE)*E8217)</f>
        <v/>
      </c>
      <c r="J8217" s="8">
        <f>IF(G8217="","",G8217*0.20)</f>
        <v/>
      </c>
      <c r="K8217" s="8">
        <f>IF(G8217="","",G8217+J8217)</f>
        <v/>
      </c>
    </row>
    <row r="8218">
      <c r="F8218" s="8" t="n"/>
      <c r="G8218" s="8">
        <f>IF(E8218="","",E8218*F8218)</f>
        <v/>
      </c>
      <c r="H8218" s="8">
        <f>IF(G8218="","",G8218-I8218)</f>
        <v/>
      </c>
      <c r="I8218" s="8">
        <f>IF(D8218="","",VLOOKUP(D8218, RECETTES!B:G, 6, FALSE)*E8218)</f>
        <v/>
      </c>
      <c r="J8218" s="8">
        <f>IF(G8218="","",G8218*0.20)</f>
        <v/>
      </c>
      <c r="K8218" s="8">
        <f>IF(G8218="","",G8218+J8218)</f>
        <v/>
      </c>
    </row>
    <row r="8219">
      <c r="F8219" s="8" t="n"/>
      <c r="G8219" s="8">
        <f>IF(E8219="","",E8219*F8219)</f>
        <v/>
      </c>
      <c r="H8219" s="8">
        <f>IF(G8219="","",G8219-I8219)</f>
        <v/>
      </c>
      <c r="I8219" s="8">
        <f>IF(D8219="","",VLOOKUP(D8219, RECETTES!B:G, 6, FALSE)*E8219)</f>
        <v/>
      </c>
      <c r="J8219" s="8">
        <f>IF(G8219="","",G8219*0.20)</f>
        <v/>
      </c>
      <c r="K8219" s="8">
        <f>IF(G8219="","",G8219+J8219)</f>
        <v/>
      </c>
    </row>
    <row r="8220">
      <c r="F8220" s="8" t="n"/>
      <c r="G8220" s="8">
        <f>IF(E8220="","",E8220*F8220)</f>
        <v/>
      </c>
      <c r="H8220" s="8">
        <f>IF(G8220="","",G8220-I8220)</f>
        <v/>
      </c>
      <c r="I8220" s="8">
        <f>IF(D8220="","",VLOOKUP(D8220, RECETTES!B:G, 6, FALSE)*E8220)</f>
        <v/>
      </c>
      <c r="J8220" s="8">
        <f>IF(G8220="","",G8220*0.20)</f>
        <v/>
      </c>
      <c r="K8220" s="8">
        <f>IF(G8220="","",G8220+J8220)</f>
        <v/>
      </c>
    </row>
    <row r="8221">
      <c r="F8221" s="8" t="n"/>
      <c r="G8221" s="8">
        <f>IF(E8221="","",E8221*F8221)</f>
        <v/>
      </c>
      <c r="H8221" s="8">
        <f>IF(G8221="","",G8221-I8221)</f>
        <v/>
      </c>
      <c r="I8221" s="8">
        <f>IF(D8221="","",VLOOKUP(D8221, RECETTES!B:G, 6, FALSE)*E8221)</f>
        <v/>
      </c>
      <c r="J8221" s="8">
        <f>IF(G8221="","",G8221*0.20)</f>
        <v/>
      </c>
      <c r="K8221" s="8">
        <f>IF(G8221="","",G8221+J8221)</f>
        <v/>
      </c>
    </row>
    <row r="8222">
      <c r="F8222" s="8" t="n"/>
      <c r="G8222" s="8">
        <f>IF(E8222="","",E8222*F8222)</f>
        <v/>
      </c>
      <c r="H8222" s="8">
        <f>IF(G8222="","",G8222-I8222)</f>
        <v/>
      </c>
      <c r="I8222" s="8">
        <f>IF(D8222="","",VLOOKUP(D8222, RECETTES!B:G, 6, FALSE)*E8222)</f>
        <v/>
      </c>
      <c r="J8222" s="8">
        <f>IF(G8222="","",G8222*0.20)</f>
        <v/>
      </c>
      <c r="K8222" s="8">
        <f>IF(G8222="","",G8222+J8222)</f>
        <v/>
      </c>
    </row>
    <row r="8223">
      <c r="F8223" s="8" t="n"/>
      <c r="G8223" s="8">
        <f>IF(E8223="","",E8223*F8223)</f>
        <v/>
      </c>
      <c r="H8223" s="8">
        <f>IF(G8223="","",G8223-I8223)</f>
        <v/>
      </c>
      <c r="I8223" s="8">
        <f>IF(D8223="","",VLOOKUP(D8223, RECETTES!B:G, 6, FALSE)*E8223)</f>
        <v/>
      </c>
      <c r="J8223" s="8">
        <f>IF(G8223="","",G8223*0.20)</f>
        <v/>
      </c>
      <c r="K8223" s="8">
        <f>IF(G8223="","",G8223+J8223)</f>
        <v/>
      </c>
    </row>
    <row r="8224">
      <c r="F8224" s="8" t="n"/>
      <c r="G8224" s="8">
        <f>IF(E8224="","",E8224*F8224)</f>
        <v/>
      </c>
      <c r="H8224" s="8">
        <f>IF(G8224="","",G8224-I8224)</f>
        <v/>
      </c>
      <c r="I8224" s="8">
        <f>IF(D8224="","",VLOOKUP(D8224, RECETTES!B:G, 6, FALSE)*E8224)</f>
        <v/>
      </c>
      <c r="J8224" s="8">
        <f>IF(G8224="","",G8224*0.20)</f>
        <v/>
      </c>
      <c r="K8224" s="8">
        <f>IF(G8224="","",G8224+J8224)</f>
        <v/>
      </c>
    </row>
    <row r="8225">
      <c r="F8225" s="8" t="n"/>
      <c r="G8225" s="8">
        <f>IF(E8225="","",E8225*F8225)</f>
        <v/>
      </c>
      <c r="H8225" s="8">
        <f>IF(G8225="","",G8225-I8225)</f>
        <v/>
      </c>
      <c r="I8225" s="8">
        <f>IF(D8225="","",VLOOKUP(D8225, RECETTES!B:G, 6, FALSE)*E8225)</f>
        <v/>
      </c>
      <c r="J8225" s="8">
        <f>IF(G8225="","",G8225*0.20)</f>
        <v/>
      </c>
      <c r="K8225" s="8">
        <f>IF(G8225="","",G8225+J8225)</f>
        <v/>
      </c>
    </row>
    <row r="8226">
      <c r="F8226" s="8" t="n"/>
      <c r="G8226" s="8">
        <f>IF(E8226="","",E8226*F8226)</f>
        <v/>
      </c>
      <c r="H8226" s="8">
        <f>IF(G8226="","",G8226-I8226)</f>
        <v/>
      </c>
      <c r="I8226" s="8">
        <f>IF(D8226="","",VLOOKUP(D8226, RECETTES!B:G, 6, FALSE)*E8226)</f>
        <v/>
      </c>
      <c r="J8226" s="8">
        <f>IF(G8226="","",G8226*0.20)</f>
        <v/>
      </c>
      <c r="K8226" s="8">
        <f>IF(G8226="","",G8226+J8226)</f>
        <v/>
      </c>
    </row>
    <row r="8227">
      <c r="F8227" s="8" t="n"/>
      <c r="G8227" s="8">
        <f>IF(E8227="","",E8227*F8227)</f>
        <v/>
      </c>
      <c r="H8227" s="8">
        <f>IF(G8227="","",G8227-I8227)</f>
        <v/>
      </c>
      <c r="I8227" s="8">
        <f>IF(D8227="","",VLOOKUP(D8227, RECETTES!B:G, 6, FALSE)*E8227)</f>
        <v/>
      </c>
      <c r="J8227" s="8">
        <f>IF(G8227="","",G8227*0.20)</f>
        <v/>
      </c>
      <c r="K8227" s="8">
        <f>IF(G8227="","",G8227+J8227)</f>
        <v/>
      </c>
    </row>
    <row r="8228">
      <c r="F8228" s="8" t="n"/>
      <c r="G8228" s="8">
        <f>IF(E8228="","",E8228*F8228)</f>
        <v/>
      </c>
      <c r="H8228" s="8">
        <f>IF(G8228="","",G8228-I8228)</f>
        <v/>
      </c>
      <c r="I8228" s="8">
        <f>IF(D8228="","",VLOOKUP(D8228, RECETTES!B:G, 6, FALSE)*E8228)</f>
        <v/>
      </c>
      <c r="J8228" s="8">
        <f>IF(G8228="","",G8228*0.20)</f>
        <v/>
      </c>
      <c r="K8228" s="8">
        <f>IF(G8228="","",G8228+J8228)</f>
        <v/>
      </c>
    </row>
    <row r="8229">
      <c r="F8229" s="8" t="n"/>
      <c r="G8229" s="8">
        <f>IF(E8229="","",E8229*F8229)</f>
        <v/>
      </c>
      <c r="H8229" s="8">
        <f>IF(G8229="","",G8229-I8229)</f>
        <v/>
      </c>
      <c r="I8229" s="8">
        <f>IF(D8229="","",VLOOKUP(D8229, RECETTES!B:G, 6, FALSE)*E8229)</f>
        <v/>
      </c>
      <c r="J8229" s="8">
        <f>IF(G8229="","",G8229*0.20)</f>
        <v/>
      </c>
      <c r="K8229" s="8">
        <f>IF(G8229="","",G8229+J8229)</f>
        <v/>
      </c>
    </row>
    <row r="8230">
      <c r="F8230" s="8" t="n"/>
      <c r="G8230" s="8">
        <f>IF(E8230="","",E8230*F8230)</f>
        <v/>
      </c>
      <c r="H8230" s="8">
        <f>IF(G8230="","",G8230-I8230)</f>
        <v/>
      </c>
      <c r="I8230" s="8">
        <f>IF(D8230="","",VLOOKUP(D8230, RECETTES!B:G, 6, FALSE)*E8230)</f>
        <v/>
      </c>
      <c r="J8230" s="8">
        <f>IF(G8230="","",G8230*0.20)</f>
        <v/>
      </c>
      <c r="K8230" s="8">
        <f>IF(G8230="","",G8230+J8230)</f>
        <v/>
      </c>
    </row>
    <row r="8231">
      <c r="F8231" s="8" t="n"/>
      <c r="G8231" s="8">
        <f>IF(E8231="","",E8231*F8231)</f>
        <v/>
      </c>
      <c r="H8231" s="8">
        <f>IF(G8231="","",G8231-I8231)</f>
        <v/>
      </c>
      <c r="I8231" s="8">
        <f>IF(D8231="","",VLOOKUP(D8231, RECETTES!B:G, 6, FALSE)*E8231)</f>
        <v/>
      </c>
      <c r="J8231" s="8">
        <f>IF(G8231="","",G8231*0.20)</f>
        <v/>
      </c>
      <c r="K8231" s="8">
        <f>IF(G8231="","",G8231+J8231)</f>
        <v/>
      </c>
    </row>
    <row r="8232">
      <c r="F8232" s="8" t="n"/>
      <c r="G8232" s="8">
        <f>IF(E8232="","",E8232*F8232)</f>
        <v/>
      </c>
      <c r="H8232" s="8">
        <f>IF(G8232="","",G8232-I8232)</f>
        <v/>
      </c>
      <c r="I8232" s="8">
        <f>IF(D8232="","",VLOOKUP(D8232, RECETTES!B:G, 6, FALSE)*E8232)</f>
        <v/>
      </c>
      <c r="J8232" s="8">
        <f>IF(G8232="","",G8232*0.20)</f>
        <v/>
      </c>
      <c r="K8232" s="8">
        <f>IF(G8232="","",G8232+J8232)</f>
        <v/>
      </c>
    </row>
    <row r="8233">
      <c r="F8233" s="8" t="n"/>
      <c r="G8233" s="8">
        <f>IF(E8233="","",E8233*F8233)</f>
        <v/>
      </c>
      <c r="H8233" s="8">
        <f>IF(G8233="","",G8233-I8233)</f>
        <v/>
      </c>
      <c r="I8233" s="8">
        <f>IF(D8233="","",VLOOKUP(D8233, RECETTES!B:G, 6, FALSE)*E8233)</f>
        <v/>
      </c>
      <c r="J8233" s="8">
        <f>IF(G8233="","",G8233*0.20)</f>
        <v/>
      </c>
      <c r="K8233" s="8">
        <f>IF(G8233="","",G8233+J8233)</f>
        <v/>
      </c>
    </row>
    <row r="8234">
      <c r="F8234" s="8" t="n"/>
      <c r="G8234" s="8">
        <f>IF(E8234="","",E8234*F8234)</f>
        <v/>
      </c>
      <c r="H8234" s="8">
        <f>IF(G8234="","",G8234-I8234)</f>
        <v/>
      </c>
      <c r="I8234" s="8">
        <f>IF(D8234="","",VLOOKUP(D8234, RECETTES!B:G, 6, FALSE)*E8234)</f>
        <v/>
      </c>
      <c r="J8234" s="8">
        <f>IF(G8234="","",G8234*0.20)</f>
        <v/>
      </c>
      <c r="K8234" s="8">
        <f>IF(G8234="","",G8234+J8234)</f>
        <v/>
      </c>
    </row>
    <row r="8235">
      <c r="F8235" s="8" t="n"/>
      <c r="G8235" s="8">
        <f>IF(E8235="","",E8235*F8235)</f>
        <v/>
      </c>
      <c r="H8235" s="8">
        <f>IF(G8235="","",G8235-I8235)</f>
        <v/>
      </c>
      <c r="I8235" s="8">
        <f>IF(D8235="","",VLOOKUP(D8235, RECETTES!B:G, 6, FALSE)*E8235)</f>
        <v/>
      </c>
      <c r="J8235" s="8">
        <f>IF(G8235="","",G8235*0.20)</f>
        <v/>
      </c>
      <c r="K8235" s="8">
        <f>IF(G8235="","",G8235+J8235)</f>
        <v/>
      </c>
    </row>
    <row r="8236">
      <c r="F8236" s="8" t="n"/>
      <c r="G8236" s="8">
        <f>IF(E8236="","",E8236*F8236)</f>
        <v/>
      </c>
      <c r="H8236" s="8">
        <f>IF(G8236="","",G8236-I8236)</f>
        <v/>
      </c>
      <c r="I8236" s="8">
        <f>IF(D8236="","",VLOOKUP(D8236, RECETTES!B:G, 6, FALSE)*E8236)</f>
        <v/>
      </c>
      <c r="J8236" s="8">
        <f>IF(G8236="","",G8236*0.20)</f>
        <v/>
      </c>
      <c r="K8236" s="8">
        <f>IF(G8236="","",G8236+J8236)</f>
        <v/>
      </c>
    </row>
    <row r="8237">
      <c r="F8237" s="8" t="n"/>
      <c r="G8237" s="8">
        <f>IF(E8237="","",E8237*F8237)</f>
        <v/>
      </c>
      <c r="H8237" s="8">
        <f>IF(G8237="","",G8237-I8237)</f>
        <v/>
      </c>
      <c r="I8237" s="8">
        <f>IF(D8237="","",VLOOKUP(D8237, RECETTES!B:G, 6, FALSE)*E8237)</f>
        <v/>
      </c>
      <c r="J8237" s="8">
        <f>IF(G8237="","",G8237*0.20)</f>
        <v/>
      </c>
      <c r="K8237" s="8">
        <f>IF(G8237="","",G8237+J8237)</f>
        <v/>
      </c>
    </row>
    <row r="8238">
      <c r="F8238" s="8" t="n"/>
      <c r="G8238" s="8">
        <f>IF(E8238="","",E8238*F8238)</f>
        <v/>
      </c>
      <c r="H8238" s="8">
        <f>IF(G8238="","",G8238-I8238)</f>
        <v/>
      </c>
      <c r="I8238" s="8">
        <f>IF(D8238="","",VLOOKUP(D8238, RECETTES!B:G, 6, FALSE)*E8238)</f>
        <v/>
      </c>
      <c r="J8238" s="8">
        <f>IF(G8238="","",G8238*0.20)</f>
        <v/>
      </c>
      <c r="K8238" s="8">
        <f>IF(G8238="","",G8238+J8238)</f>
        <v/>
      </c>
    </row>
    <row r="8239">
      <c r="F8239" s="8" t="n"/>
      <c r="G8239" s="8">
        <f>IF(E8239="","",E8239*F8239)</f>
        <v/>
      </c>
      <c r="H8239" s="8">
        <f>IF(G8239="","",G8239-I8239)</f>
        <v/>
      </c>
      <c r="I8239" s="8">
        <f>IF(D8239="","",VLOOKUP(D8239, RECETTES!B:G, 6, FALSE)*E8239)</f>
        <v/>
      </c>
      <c r="J8239" s="8">
        <f>IF(G8239="","",G8239*0.20)</f>
        <v/>
      </c>
      <c r="K8239" s="8">
        <f>IF(G8239="","",G8239+J8239)</f>
        <v/>
      </c>
    </row>
    <row r="8240">
      <c r="F8240" s="8" t="n"/>
      <c r="G8240" s="8">
        <f>IF(E8240="","",E8240*F8240)</f>
        <v/>
      </c>
      <c r="H8240" s="8">
        <f>IF(G8240="","",G8240-I8240)</f>
        <v/>
      </c>
      <c r="I8240" s="8">
        <f>IF(D8240="","",VLOOKUP(D8240, RECETTES!B:G, 6, FALSE)*E8240)</f>
        <v/>
      </c>
      <c r="J8240" s="8">
        <f>IF(G8240="","",G8240*0.20)</f>
        <v/>
      </c>
      <c r="K8240" s="8">
        <f>IF(G8240="","",G8240+J8240)</f>
        <v/>
      </c>
    </row>
    <row r="8241">
      <c r="F8241" s="8" t="n"/>
      <c r="G8241" s="8">
        <f>IF(E8241="","",E8241*F8241)</f>
        <v/>
      </c>
      <c r="H8241" s="8">
        <f>IF(G8241="","",G8241-I8241)</f>
        <v/>
      </c>
      <c r="I8241" s="8">
        <f>IF(D8241="","",VLOOKUP(D8241, RECETTES!B:G, 6, FALSE)*E8241)</f>
        <v/>
      </c>
      <c r="J8241" s="8">
        <f>IF(G8241="","",G8241*0.20)</f>
        <v/>
      </c>
      <c r="K8241" s="8">
        <f>IF(G8241="","",G8241+J8241)</f>
        <v/>
      </c>
    </row>
    <row r="8242">
      <c r="F8242" s="8" t="n"/>
      <c r="G8242" s="8">
        <f>IF(E8242="","",E8242*F8242)</f>
        <v/>
      </c>
      <c r="H8242" s="8">
        <f>IF(G8242="","",G8242-I8242)</f>
        <v/>
      </c>
      <c r="I8242" s="8">
        <f>IF(D8242="","",VLOOKUP(D8242, RECETTES!B:G, 6, FALSE)*E8242)</f>
        <v/>
      </c>
      <c r="J8242" s="8">
        <f>IF(G8242="","",G8242*0.20)</f>
        <v/>
      </c>
      <c r="K8242" s="8">
        <f>IF(G8242="","",G8242+J8242)</f>
        <v/>
      </c>
    </row>
    <row r="8243">
      <c r="F8243" s="8" t="n"/>
      <c r="G8243" s="8">
        <f>IF(E8243="","",E8243*F8243)</f>
        <v/>
      </c>
      <c r="H8243" s="8">
        <f>IF(G8243="","",G8243-I8243)</f>
        <v/>
      </c>
      <c r="I8243" s="8">
        <f>IF(D8243="","",VLOOKUP(D8243, RECETTES!B:G, 6, FALSE)*E8243)</f>
        <v/>
      </c>
      <c r="J8243" s="8">
        <f>IF(G8243="","",G8243*0.20)</f>
        <v/>
      </c>
      <c r="K8243" s="8">
        <f>IF(G8243="","",G8243+J8243)</f>
        <v/>
      </c>
    </row>
    <row r="8244">
      <c r="F8244" s="8" t="n"/>
      <c r="G8244" s="8">
        <f>IF(E8244="","",E8244*F8244)</f>
        <v/>
      </c>
      <c r="H8244" s="8">
        <f>IF(G8244="","",G8244-I8244)</f>
        <v/>
      </c>
      <c r="I8244" s="8">
        <f>IF(D8244="","",VLOOKUP(D8244, RECETTES!B:G, 6, FALSE)*E8244)</f>
        <v/>
      </c>
      <c r="J8244" s="8">
        <f>IF(G8244="","",G8244*0.20)</f>
        <v/>
      </c>
      <c r="K8244" s="8">
        <f>IF(G8244="","",G8244+J8244)</f>
        <v/>
      </c>
    </row>
    <row r="8245">
      <c r="F8245" s="8" t="n"/>
      <c r="G8245" s="8">
        <f>IF(E8245="","",E8245*F8245)</f>
        <v/>
      </c>
      <c r="H8245" s="8">
        <f>IF(G8245="","",G8245-I8245)</f>
        <v/>
      </c>
      <c r="I8245" s="8">
        <f>IF(D8245="","",VLOOKUP(D8245, RECETTES!B:G, 6, FALSE)*E8245)</f>
        <v/>
      </c>
      <c r="J8245" s="8">
        <f>IF(G8245="","",G8245*0.20)</f>
        <v/>
      </c>
      <c r="K8245" s="8">
        <f>IF(G8245="","",G8245+J8245)</f>
        <v/>
      </c>
    </row>
    <row r="8246">
      <c r="F8246" s="8" t="n"/>
      <c r="G8246" s="8">
        <f>IF(E8246="","",E8246*F8246)</f>
        <v/>
      </c>
      <c r="H8246" s="8">
        <f>IF(G8246="","",G8246-I8246)</f>
        <v/>
      </c>
      <c r="I8246" s="8">
        <f>IF(D8246="","",VLOOKUP(D8246, RECETTES!B:G, 6, FALSE)*E8246)</f>
        <v/>
      </c>
      <c r="J8246" s="8">
        <f>IF(G8246="","",G8246*0.20)</f>
        <v/>
      </c>
      <c r="K8246" s="8">
        <f>IF(G8246="","",G8246+J8246)</f>
        <v/>
      </c>
    </row>
    <row r="8247">
      <c r="F8247" s="8" t="n"/>
      <c r="G8247" s="8">
        <f>IF(E8247="","",E8247*F8247)</f>
        <v/>
      </c>
      <c r="H8247" s="8">
        <f>IF(G8247="","",G8247-I8247)</f>
        <v/>
      </c>
      <c r="I8247" s="8">
        <f>IF(D8247="","",VLOOKUP(D8247, RECETTES!B:G, 6, FALSE)*E8247)</f>
        <v/>
      </c>
      <c r="J8247" s="8">
        <f>IF(G8247="","",G8247*0.20)</f>
        <v/>
      </c>
      <c r="K8247" s="8">
        <f>IF(G8247="","",G8247+J8247)</f>
        <v/>
      </c>
    </row>
    <row r="8248">
      <c r="F8248" s="8" t="n"/>
      <c r="G8248" s="8">
        <f>IF(E8248="","",E8248*F8248)</f>
        <v/>
      </c>
      <c r="H8248" s="8">
        <f>IF(G8248="","",G8248-I8248)</f>
        <v/>
      </c>
      <c r="I8248" s="8">
        <f>IF(D8248="","",VLOOKUP(D8248, RECETTES!B:G, 6, FALSE)*E8248)</f>
        <v/>
      </c>
      <c r="J8248" s="8">
        <f>IF(G8248="","",G8248*0.20)</f>
        <v/>
      </c>
      <c r="K8248" s="8">
        <f>IF(G8248="","",G8248+J8248)</f>
        <v/>
      </c>
    </row>
    <row r="8249">
      <c r="F8249" s="8" t="n"/>
      <c r="G8249" s="8">
        <f>IF(E8249="","",E8249*F8249)</f>
        <v/>
      </c>
      <c r="H8249" s="8">
        <f>IF(G8249="","",G8249-I8249)</f>
        <v/>
      </c>
      <c r="I8249" s="8">
        <f>IF(D8249="","",VLOOKUP(D8249, RECETTES!B:G, 6, FALSE)*E8249)</f>
        <v/>
      </c>
      <c r="J8249" s="8">
        <f>IF(G8249="","",G8249*0.20)</f>
        <v/>
      </c>
      <c r="K8249" s="8">
        <f>IF(G8249="","",G8249+J8249)</f>
        <v/>
      </c>
    </row>
    <row r="8250">
      <c r="F8250" s="8" t="n"/>
      <c r="G8250" s="8">
        <f>IF(E8250="","",E8250*F8250)</f>
        <v/>
      </c>
      <c r="H8250" s="8">
        <f>IF(G8250="","",G8250-I8250)</f>
        <v/>
      </c>
      <c r="I8250" s="8">
        <f>IF(D8250="","",VLOOKUP(D8250, RECETTES!B:G, 6, FALSE)*E8250)</f>
        <v/>
      </c>
      <c r="J8250" s="8">
        <f>IF(G8250="","",G8250*0.20)</f>
        <v/>
      </c>
      <c r="K8250" s="8">
        <f>IF(G8250="","",G8250+J8250)</f>
        <v/>
      </c>
    </row>
    <row r="8251">
      <c r="F8251" s="8" t="n"/>
      <c r="G8251" s="8">
        <f>IF(E8251="","",E8251*F8251)</f>
        <v/>
      </c>
      <c r="H8251" s="8">
        <f>IF(G8251="","",G8251-I8251)</f>
        <v/>
      </c>
      <c r="I8251" s="8">
        <f>IF(D8251="","",VLOOKUP(D8251, RECETTES!B:G, 6, FALSE)*E8251)</f>
        <v/>
      </c>
      <c r="J8251" s="8">
        <f>IF(G8251="","",G8251*0.20)</f>
        <v/>
      </c>
      <c r="K8251" s="8">
        <f>IF(G8251="","",G8251+J8251)</f>
        <v/>
      </c>
    </row>
    <row r="8252">
      <c r="F8252" s="8" t="n"/>
      <c r="G8252" s="8">
        <f>IF(E8252="","",E8252*F8252)</f>
        <v/>
      </c>
      <c r="H8252" s="8">
        <f>IF(G8252="","",G8252-I8252)</f>
        <v/>
      </c>
      <c r="I8252" s="8">
        <f>IF(D8252="","",VLOOKUP(D8252, RECETTES!B:G, 6, FALSE)*E8252)</f>
        <v/>
      </c>
      <c r="J8252" s="8">
        <f>IF(G8252="","",G8252*0.20)</f>
        <v/>
      </c>
      <c r="K8252" s="8">
        <f>IF(G8252="","",G8252+J8252)</f>
        <v/>
      </c>
    </row>
    <row r="8253">
      <c r="F8253" s="8" t="n"/>
      <c r="G8253" s="8">
        <f>IF(E8253="","",E8253*F8253)</f>
        <v/>
      </c>
      <c r="H8253" s="8">
        <f>IF(G8253="","",G8253-I8253)</f>
        <v/>
      </c>
      <c r="I8253" s="8">
        <f>IF(D8253="","",VLOOKUP(D8253, RECETTES!B:G, 6, FALSE)*E8253)</f>
        <v/>
      </c>
      <c r="J8253" s="8">
        <f>IF(G8253="","",G8253*0.20)</f>
        <v/>
      </c>
      <c r="K8253" s="8">
        <f>IF(G8253="","",G8253+J8253)</f>
        <v/>
      </c>
    </row>
    <row r="8254">
      <c r="F8254" s="8" t="n"/>
      <c r="G8254" s="8">
        <f>IF(E8254="","",E8254*F8254)</f>
        <v/>
      </c>
      <c r="H8254" s="8">
        <f>IF(G8254="","",G8254-I8254)</f>
        <v/>
      </c>
      <c r="I8254" s="8">
        <f>IF(D8254="","",VLOOKUP(D8254, RECETTES!B:G, 6, FALSE)*E8254)</f>
        <v/>
      </c>
      <c r="J8254" s="8">
        <f>IF(G8254="","",G8254*0.20)</f>
        <v/>
      </c>
      <c r="K8254" s="8">
        <f>IF(G8254="","",G8254+J8254)</f>
        <v/>
      </c>
    </row>
    <row r="8255">
      <c r="F8255" s="8" t="n"/>
      <c r="G8255" s="8">
        <f>IF(E8255="","",E8255*F8255)</f>
        <v/>
      </c>
      <c r="H8255" s="8">
        <f>IF(G8255="","",G8255-I8255)</f>
        <v/>
      </c>
      <c r="I8255" s="8">
        <f>IF(D8255="","",VLOOKUP(D8255, RECETTES!B:G, 6, FALSE)*E8255)</f>
        <v/>
      </c>
      <c r="J8255" s="8">
        <f>IF(G8255="","",G8255*0.20)</f>
        <v/>
      </c>
      <c r="K8255" s="8">
        <f>IF(G8255="","",G8255+J8255)</f>
        <v/>
      </c>
    </row>
    <row r="8256">
      <c r="F8256" s="8" t="n"/>
      <c r="G8256" s="8">
        <f>IF(E8256="","",E8256*F8256)</f>
        <v/>
      </c>
      <c r="H8256" s="8">
        <f>IF(G8256="","",G8256-I8256)</f>
        <v/>
      </c>
      <c r="I8256" s="8">
        <f>IF(D8256="","",VLOOKUP(D8256, RECETTES!B:G, 6, FALSE)*E8256)</f>
        <v/>
      </c>
      <c r="J8256" s="8">
        <f>IF(G8256="","",G8256*0.20)</f>
        <v/>
      </c>
      <c r="K8256" s="8">
        <f>IF(G8256="","",G8256+J8256)</f>
        <v/>
      </c>
    </row>
    <row r="8257">
      <c r="F8257" s="8" t="n"/>
      <c r="G8257" s="8">
        <f>IF(E8257="","",E8257*F8257)</f>
        <v/>
      </c>
      <c r="H8257" s="8">
        <f>IF(G8257="","",G8257-I8257)</f>
        <v/>
      </c>
      <c r="I8257" s="8">
        <f>IF(D8257="","",VLOOKUP(D8257, RECETTES!B:G, 6, FALSE)*E8257)</f>
        <v/>
      </c>
      <c r="J8257" s="8">
        <f>IF(G8257="","",G8257*0.20)</f>
        <v/>
      </c>
      <c r="K8257" s="8">
        <f>IF(G8257="","",G8257+J8257)</f>
        <v/>
      </c>
    </row>
    <row r="8258">
      <c r="F8258" s="8" t="n"/>
      <c r="G8258" s="8">
        <f>IF(E8258="","",E8258*F8258)</f>
        <v/>
      </c>
      <c r="H8258" s="8">
        <f>IF(G8258="","",G8258-I8258)</f>
        <v/>
      </c>
      <c r="I8258" s="8">
        <f>IF(D8258="","",VLOOKUP(D8258, RECETTES!B:G, 6, FALSE)*E8258)</f>
        <v/>
      </c>
      <c r="J8258" s="8">
        <f>IF(G8258="","",G8258*0.20)</f>
        <v/>
      </c>
      <c r="K8258" s="8">
        <f>IF(G8258="","",G8258+J8258)</f>
        <v/>
      </c>
    </row>
    <row r="8259">
      <c r="F8259" s="8" t="n"/>
      <c r="G8259" s="8">
        <f>IF(E8259="","",E8259*F8259)</f>
        <v/>
      </c>
      <c r="H8259" s="8">
        <f>IF(G8259="","",G8259-I8259)</f>
        <v/>
      </c>
      <c r="I8259" s="8">
        <f>IF(D8259="","",VLOOKUP(D8259, RECETTES!B:G, 6, FALSE)*E8259)</f>
        <v/>
      </c>
      <c r="J8259" s="8">
        <f>IF(G8259="","",G8259*0.20)</f>
        <v/>
      </c>
      <c r="K8259" s="8">
        <f>IF(G8259="","",G8259+J8259)</f>
        <v/>
      </c>
    </row>
    <row r="8260">
      <c r="F8260" s="8" t="n"/>
      <c r="G8260" s="8">
        <f>IF(E8260="","",E8260*F8260)</f>
        <v/>
      </c>
      <c r="H8260" s="8">
        <f>IF(G8260="","",G8260-I8260)</f>
        <v/>
      </c>
      <c r="I8260" s="8">
        <f>IF(D8260="","",VLOOKUP(D8260, RECETTES!B:G, 6, FALSE)*E8260)</f>
        <v/>
      </c>
      <c r="J8260" s="8">
        <f>IF(G8260="","",G8260*0.20)</f>
        <v/>
      </c>
      <c r="K8260" s="8">
        <f>IF(G8260="","",G8260+J8260)</f>
        <v/>
      </c>
    </row>
    <row r="8261">
      <c r="F8261" s="8" t="n"/>
      <c r="G8261" s="8">
        <f>IF(E8261="","",E8261*F8261)</f>
        <v/>
      </c>
      <c r="H8261" s="8">
        <f>IF(G8261="","",G8261-I8261)</f>
        <v/>
      </c>
      <c r="I8261" s="8">
        <f>IF(D8261="","",VLOOKUP(D8261, RECETTES!B:G, 6, FALSE)*E8261)</f>
        <v/>
      </c>
      <c r="J8261" s="8">
        <f>IF(G8261="","",G8261*0.20)</f>
        <v/>
      </c>
      <c r="K8261" s="8">
        <f>IF(G8261="","",G8261+J8261)</f>
        <v/>
      </c>
    </row>
    <row r="8262">
      <c r="F8262" s="8" t="n"/>
      <c r="G8262" s="8">
        <f>IF(E8262="","",E8262*F8262)</f>
        <v/>
      </c>
      <c r="H8262" s="8">
        <f>IF(G8262="","",G8262-I8262)</f>
        <v/>
      </c>
      <c r="I8262" s="8">
        <f>IF(D8262="","",VLOOKUP(D8262, RECETTES!B:G, 6, FALSE)*E8262)</f>
        <v/>
      </c>
      <c r="J8262" s="8">
        <f>IF(G8262="","",G8262*0.20)</f>
        <v/>
      </c>
      <c r="K8262" s="8">
        <f>IF(G8262="","",G8262+J8262)</f>
        <v/>
      </c>
    </row>
    <row r="8263">
      <c r="F8263" s="8" t="n"/>
      <c r="G8263" s="8">
        <f>IF(E8263="","",E8263*F8263)</f>
        <v/>
      </c>
      <c r="H8263" s="8">
        <f>IF(G8263="","",G8263-I8263)</f>
        <v/>
      </c>
      <c r="I8263" s="8">
        <f>IF(D8263="","",VLOOKUP(D8263, RECETTES!B:G, 6, FALSE)*E8263)</f>
        <v/>
      </c>
      <c r="J8263" s="8">
        <f>IF(G8263="","",G8263*0.20)</f>
        <v/>
      </c>
      <c r="K8263" s="8">
        <f>IF(G8263="","",G8263+J8263)</f>
        <v/>
      </c>
    </row>
    <row r="8264">
      <c r="F8264" s="8" t="n"/>
      <c r="G8264" s="8">
        <f>IF(E8264="","",E8264*F8264)</f>
        <v/>
      </c>
      <c r="H8264" s="8">
        <f>IF(G8264="","",G8264-I8264)</f>
        <v/>
      </c>
      <c r="I8264" s="8">
        <f>IF(D8264="","",VLOOKUP(D8264, RECETTES!B:G, 6, FALSE)*E8264)</f>
        <v/>
      </c>
      <c r="J8264" s="8">
        <f>IF(G8264="","",G8264*0.20)</f>
        <v/>
      </c>
      <c r="K8264" s="8">
        <f>IF(G8264="","",G8264+J8264)</f>
        <v/>
      </c>
    </row>
    <row r="8265">
      <c r="F8265" s="8" t="n"/>
      <c r="G8265" s="8">
        <f>IF(E8265="","",E8265*F8265)</f>
        <v/>
      </c>
      <c r="H8265" s="8">
        <f>IF(G8265="","",G8265-I8265)</f>
        <v/>
      </c>
      <c r="I8265" s="8">
        <f>IF(D8265="","",VLOOKUP(D8265, RECETTES!B:G, 6, FALSE)*E8265)</f>
        <v/>
      </c>
      <c r="J8265" s="8">
        <f>IF(G8265="","",G8265*0.20)</f>
        <v/>
      </c>
      <c r="K8265" s="8">
        <f>IF(G8265="","",G8265+J8265)</f>
        <v/>
      </c>
    </row>
    <row r="8266">
      <c r="F8266" s="8" t="n"/>
      <c r="G8266" s="8">
        <f>IF(E8266="","",E8266*F8266)</f>
        <v/>
      </c>
      <c r="H8266" s="8">
        <f>IF(G8266="","",G8266-I8266)</f>
        <v/>
      </c>
      <c r="I8266" s="8">
        <f>IF(D8266="","",VLOOKUP(D8266, RECETTES!B:G, 6, FALSE)*E8266)</f>
        <v/>
      </c>
      <c r="J8266" s="8">
        <f>IF(G8266="","",G8266*0.20)</f>
        <v/>
      </c>
      <c r="K8266" s="8">
        <f>IF(G8266="","",G8266+J8266)</f>
        <v/>
      </c>
    </row>
    <row r="8267">
      <c r="F8267" s="8" t="n"/>
      <c r="G8267" s="8">
        <f>IF(E8267="","",E8267*F8267)</f>
        <v/>
      </c>
      <c r="H8267" s="8">
        <f>IF(G8267="","",G8267-I8267)</f>
        <v/>
      </c>
      <c r="I8267" s="8">
        <f>IF(D8267="","",VLOOKUP(D8267, RECETTES!B:G, 6, FALSE)*E8267)</f>
        <v/>
      </c>
      <c r="J8267" s="8">
        <f>IF(G8267="","",G8267*0.20)</f>
        <v/>
      </c>
      <c r="K8267" s="8">
        <f>IF(G8267="","",G8267+J8267)</f>
        <v/>
      </c>
    </row>
    <row r="8268">
      <c r="F8268" s="8" t="n"/>
      <c r="G8268" s="8">
        <f>IF(E8268="","",E8268*F8268)</f>
        <v/>
      </c>
      <c r="H8268" s="8">
        <f>IF(G8268="","",G8268-I8268)</f>
        <v/>
      </c>
      <c r="I8268" s="8">
        <f>IF(D8268="","",VLOOKUP(D8268, RECETTES!B:G, 6, FALSE)*E8268)</f>
        <v/>
      </c>
      <c r="J8268" s="8">
        <f>IF(G8268="","",G8268*0.20)</f>
        <v/>
      </c>
      <c r="K8268" s="8">
        <f>IF(G8268="","",G8268+J8268)</f>
        <v/>
      </c>
    </row>
    <row r="8269">
      <c r="F8269" s="8" t="n"/>
      <c r="G8269" s="8">
        <f>IF(E8269="","",E8269*F8269)</f>
        <v/>
      </c>
      <c r="H8269" s="8">
        <f>IF(G8269="","",G8269-I8269)</f>
        <v/>
      </c>
      <c r="I8269" s="8">
        <f>IF(D8269="","",VLOOKUP(D8269, RECETTES!B:G, 6, FALSE)*E8269)</f>
        <v/>
      </c>
      <c r="J8269" s="8">
        <f>IF(G8269="","",G8269*0.20)</f>
        <v/>
      </c>
      <c r="K8269" s="8">
        <f>IF(G8269="","",G8269+J8269)</f>
        <v/>
      </c>
    </row>
    <row r="8270">
      <c r="F8270" s="8" t="n"/>
      <c r="G8270" s="8">
        <f>IF(E8270="","",E8270*F8270)</f>
        <v/>
      </c>
      <c r="H8270" s="8">
        <f>IF(G8270="","",G8270-I8270)</f>
        <v/>
      </c>
      <c r="I8270" s="8">
        <f>IF(D8270="","",VLOOKUP(D8270, RECETTES!B:G, 6, FALSE)*E8270)</f>
        <v/>
      </c>
      <c r="J8270" s="8">
        <f>IF(G8270="","",G8270*0.20)</f>
        <v/>
      </c>
      <c r="K8270" s="8">
        <f>IF(G8270="","",G8270+J8270)</f>
        <v/>
      </c>
    </row>
    <row r="8271">
      <c r="F8271" s="8" t="n"/>
      <c r="G8271" s="8">
        <f>IF(E8271="","",E8271*F8271)</f>
        <v/>
      </c>
      <c r="H8271" s="8">
        <f>IF(G8271="","",G8271-I8271)</f>
        <v/>
      </c>
      <c r="I8271" s="8">
        <f>IF(D8271="","",VLOOKUP(D8271, RECETTES!B:G, 6, FALSE)*E8271)</f>
        <v/>
      </c>
      <c r="J8271" s="8">
        <f>IF(G8271="","",G8271*0.20)</f>
        <v/>
      </c>
      <c r="K8271" s="8">
        <f>IF(G8271="","",G8271+J8271)</f>
        <v/>
      </c>
    </row>
    <row r="8272">
      <c r="F8272" s="8" t="n"/>
      <c r="G8272" s="8">
        <f>IF(E8272="","",E8272*F8272)</f>
        <v/>
      </c>
      <c r="H8272" s="8">
        <f>IF(G8272="","",G8272-I8272)</f>
        <v/>
      </c>
      <c r="I8272" s="8">
        <f>IF(D8272="","",VLOOKUP(D8272, RECETTES!B:G, 6, FALSE)*E8272)</f>
        <v/>
      </c>
      <c r="J8272" s="8">
        <f>IF(G8272="","",G8272*0.20)</f>
        <v/>
      </c>
      <c r="K8272" s="8">
        <f>IF(G8272="","",G8272+J8272)</f>
        <v/>
      </c>
    </row>
    <row r="8273">
      <c r="F8273" s="8" t="n"/>
      <c r="G8273" s="8">
        <f>IF(E8273="","",E8273*F8273)</f>
        <v/>
      </c>
      <c r="H8273" s="8">
        <f>IF(G8273="","",G8273-I8273)</f>
        <v/>
      </c>
      <c r="I8273" s="8">
        <f>IF(D8273="","",VLOOKUP(D8273, RECETTES!B:G, 6, FALSE)*E8273)</f>
        <v/>
      </c>
      <c r="J8273" s="8">
        <f>IF(G8273="","",G8273*0.20)</f>
        <v/>
      </c>
      <c r="K8273" s="8">
        <f>IF(G8273="","",G8273+J8273)</f>
        <v/>
      </c>
    </row>
    <row r="8274">
      <c r="F8274" s="8" t="n"/>
      <c r="G8274" s="8">
        <f>IF(E8274="","",E8274*F8274)</f>
        <v/>
      </c>
      <c r="H8274" s="8">
        <f>IF(G8274="","",G8274-I8274)</f>
        <v/>
      </c>
      <c r="I8274" s="8">
        <f>IF(D8274="","",VLOOKUP(D8274, RECETTES!B:G, 6, FALSE)*E8274)</f>
        <v/>
      </c>
      <c r="J8274" s="8">
        <f>IF(G8274="","",G8274*0.20)</f>
        <v/>
      </c>
      <c r="K8274" s="8">
        <f>IF(G8274="","",G8274+J8274)</f>
        <v/>
      </c>
    </row>
    <row r="8275">
      <c r="F8275" s="8" t="n"/>
      <c r="G8275" s="8">
        <f>IF(E8275="","",E8275*F8275)</f>
        <v/>
      </c>
      <c r="H8275" s="8">
        <f>IF(G8275="","",G8275-I8275)</f>
        <v/>
      </c>
      <c r="I8275" s="8">
        <f>IF(D8275="","",VLOOKUP(D8275, RECETTES!B:G, 6, FALSE)*E8275)</f>
        <v/>
      </c>
      <c r="J8275" s="8">
        <f>IF(G8275="","",G8275*0.20)</f>
        <v/>
      </c>
      <c r="K8275" s="8">
        <f>IF(G8275="","",G8275+J8275)</f>
        <v/>
      </c>
    </row>
    <row r="8276">
      <c r="F8276" s="8" t="n"/>
      <c r="G8276" s="8">
        <f>IF(E8276="","",E8276*F8276)</f>
        <v/>
      </c>
      <c r="H8276" s="8">
        <f>IF(G8276="","",G8276-I8276)</f>
        <v/>
      </c>
      <c r="I8276" s="8">
        <f>IF(D8276="","",VLOOKUP(D8276, RECETTES!B:G, 6, FALSE)*E8276)</f>
        <v/>
      </c>
      <c r="J8276" s="8">
        <f>IF(G8276="","",G8276*0.20)</f>
        <v/>
      </c>
      <c r="K8276" s="8">
        <f>IF(G8276="","",G8276+J8276)</f>
        <v/>
      </c>
    </row>
    <row r="8277">
      <c r="F8277" s="8" t="n"/>
      <c r="G8277" s="8">
        <f>IF(E8277="","",E8277*F8277)</f>
        <v/>
      </c>
      <c r="H8277" s="8">
        <f>IF(G8277="","",G8277-I8277)</f>
        <v/>
      </c>
      <c r="I8277" s="8">
        <f>IF(D8277="","",VLOOKUP(D8277, RECETTES!B:G, 6, FALSE)*E8277)</f>
        <v/>
      </c>
      <c r="J8277" s="8">
        <f>IF(G8277="","",G8277*0.20)</f>
        <v/>
      </c>
      <c r="K8277" s="8">
        <f>IF(G8277="","",G8277+J8277)</f>
        <v/>
      </c>
    </row>
    <row r="8278">
      <c r="F8278" s="8" t="n"/>
      <c r="G8278" s="8">
        <f>IF(E8278="","",E8278*F8278)</f>
        <v/>
      </c>
      <c r="H8278" s="8">
        <f>IF(G8278="","",G8278-I8278)</f>
        <v/>
      </c>
      <c r="I8278" s="8">
        <f>IF(D8278="","",VLOOKUP(D8278, RECETTES!B:G, 6, FALSE)*E8278)</f>
        <v/>
      </c>
      <c r="J8278" s="8">
        <f>IF(G8278="","",G8278*0.20)</f>
        <v/>
      </c>
      <c r="K8278" s="8">
        <f>IF(G8278="","",G8278+J8278)</f>
        <v/>
      </c>
    </row>
    <row r="8279">
      <c r="F8279" s="8" t="n"/>
      <c r="G8279" s="8">
        <f>IF(E8279="","",E8279*F8279)</f>
        <v/>
      </c>
      <c r="H8279" s="8">
        <f>IF(G8279="","",G8279-I8279)</f>
        <v/>
      </c>
      <c r="I8279" s="8">
        <f>IF(D8279="","",VLOOKUP(D8279, RECETTES!B:G, 6, FALSE)*E8279)</f>
        <v/>
      </c>
      <c r="J8279" s="8">
        <f>IF(G8279="","",G8279*0.20)</f>
        <v/>
      </c>
      <c r="K8279" s="8">
        <f>IF(G8279="","",G8279+J8279)</f>
        <v/>
      </c>
    </row>
    <row r="8280">
      <c r="F8280" s="8" t="n"/>
      <c r="G8280" s="8">
        <f>IF(E8280="","",E8280*F8280)</f>
        <v/>
      </c>
      <c r="H8280" s="8">
        <f>IF(G8280="","",G8280-I8280)</f>
        <v/>
      </c>
      <c r="I8280" s="8">
        <f>IF(D8280="","",VLOOKUP(D8280, RECETTES!B:G, 6, FALSE)*E8280)</f>
        <v/>
      </c>
      <c r="J8280" s="8">
        <f>IF(G8280="","",G8280*0.20)</f>
        <v/>
      </c>
      <c r="K8280" s="8">
        <f>IF(G8280="","",G8280+J8280)</f>
        <v/>
      </c>
    </row>
    <row r="8281">
      <c r="F8281" s="8" t="n"/>
      <c r="G8281" s="8">
        <f>IF(E8281="","",E8281*F8281)</f>
        <v/>
      </c>
      <c r="H8281" s="8">
        <f>IF(G8281="","",G8281-I8281)</f>
        <v/>
      </c>
      <c r="I8281" s="8">
        <f>IF(D8281="","",VLOOKUP(D8281, RECETTES!B:G, 6, FALSE)*E8281)</f>
        <v/>
      </c>
      <c r="J8281" s="8">
        <f>IF(G8281="","",G8281*0.20)</f>
        <v/>
      </c>
      <c r="K8281" s="8">
        <f>IF(G8281="","",G8281+J8281)</f>
        <v/>
      </c>
    </row>
    <row r="8282">
      <c r="F8282" s="8" t="n"/>
      <c r="G8282" s="8">
        <f>IF(E8282="","",E8282*F8282)</f>
        <v/>
      </c>
      <c r="H8282" s="8">
        <f>IF(G8282="","",G8282-I8282)</f>
        <v/>
      </c>
      <c r="I8282" s="8">
        <f>IF(D8282="","",VLOOKUP(D8282, RECETTES!B:G, 6, FALSE)*E8282)</f>
        <v/>
      </c>
      <c r="J8282" s="8">
        <f>IF(G8282="","",G8282*0.20)</f>
        <v/>
      </c>
      <c r="K8282" s="8">
        <f>IF(G8282="","",G8282+J8282)</f>
        <v/>
      </c>
    </row>
    <row r="8283">
      <c r="F8283" s="8" t="n"/>
      <c r="G8283" s="8">
        <f>IF(E8283="","",E8283*F8283)</f>
        <v/>
      </c>
      <c r="H8283" s="8">
        <f>IF(G8283="","",G8283-I8283)</f>
        <v/>
      </c>
      <c r="I8283" s="8">
        <f>IF(D8283="","",VLOOKUP(D8283, RECETTES!B:G, 6, FALSE)*E8283)</f>
        <v/>
      </c>
      <c r="J8283" s="8">
        <f>IF(G8283="","",G8283*0.20)</f>
        <v/>
      </c>
      <c r="K8283" s="8">
        <f>IF(G8283="","",G8283+J8283)</f>
        <v/>
      </c>
    </row>
    <row r="8284">
      <c r="F8284" s="8" t="n"/>
      <c r="G8284" s="8">
        <f>IF(E8284="","",E8284*F8284)</f>
        <v/>
      </c>
      <c r="H8284" s="8">
        <f>IF(G8284="","",G8284-I8284)</f>
        <v/>
      </c>
      <c r="I8284" s="8">
        <f>IF(D8284="","",VLOOKUP(D8284, RECETTES!B:G, 6, FALSE)*E8284)</f>
        <v/>
      </c>
      <c r="J8284" s="8">
        <f>IF(G8284="","",G8284*0.20)</f>
        <v/>
      </c>
      <c r="K8284" s="8">
        <f>IF(G8284="","",G8284+J8284)</f>
        <v/>
      </c>
    </row>
    <row r="8285">
      <c r="F8285" s="8" t="n"/>
      <c r="G8285" s="8">
        <f>IF(E8285="","",E8285*F8285)</f>
        <v/>
      </c>
      <c r="H8285" s="8">
        <f>IF(G8285="","",G8285-I8285)</f>
        <v/>
      </c>
      <c r="I8285" s="8">
        <f>IF(D8285="","",VLOOKUP(D8285, RECETTES!B:G, 6, FALSE)*E8285)</f>
        <v/>
      </c>
      <c r="J8285" s="8">
        <f>IF(G8285="","",G8285*0.20)</f>
        <v/>
      </c>
      <c r="K8285" s="8">
        <f>IF(G8285="","",G8285+J8285)</f>
        <v/>
      </c>
    </row>
    <row r="8286">
      <c r="F8286" s="8" t="n"/>
      <c r="G8286" s="8">
        <f>IF(E8286="","",E8286*F8286)</f>
        <v/>
      </c>
      <c r="H8286" s="8">
        <f>IF(G8286="","",G8286-I8286)</f>
        <v/>
      </c>
      <c r="I8286" s="8">
        <f>IF(D8286="","",VLOOKUP(D8286, RECETTES!B:G, 6, FALSE)*E8286)</f>
        <v/>
      </c>
      <c r="J8286" s="8">
        <f>IF(G8286="","",G8286*0.20)</f>
        <v/>
      </c>
      <c r="K8286" s="8">
        <f>IF(G8286="","",G8286+J8286)</f>
        <v/>
      </c>
    </row>
    <row r="8287">
      <c r="F8287" s="8" t="n"/>
      <c r="G8287" s="8">
        <f>IF(E8287="","",E8287*F8287)</f>
        <v/>
      </c>
      <c r="H8287" s="8">
        <f>IF(G8287="","",G8287-I8287)</f>
        <v/>
      </c>
      <c r="I8287" s="8">
        <f>IF(D8287="","",VLOOKUP(D8287, RECETTES!B:G, 6, FALSE)*E8287)</f>
        <v/>
      </c>
      <c r="J8287" s="8">
        <f>IF(G8287="","",G8287*0.20)</f>
        <v/>
      </c>
      <c r="K8287" s="8">
        <f>IF(G8287="","",G8287+J8287)</f>
        <v/>
      </c>
    </row>
    <row r="8288">
      <c r="F8288" s="8" t="n"/>
      <c r="G8288" s="8">
        <f>IF(E8288="","",E8288*F8288)</f>
        <v/>
      </c>
      <c r="H8288" s="8">
        <f>IF(G8288="","",G8288-I8288)</f>
        <v/>
      </c>
      <c r="I8288" s="8">
        <f>IF(D8288="","",VLOOKUP(D8288, RECETTES!B:G, 6, FALSE)*E8288)</f>
        <v/>
      </c>
      <c r="J8288" s="8">
        <f>IF(G8288="","",G8288*0.20)</f>
        <v/>
      </c>
      <c r="K8288" s="8">
        <f>IF(G8288="","",G8288+J8288)</f>
        <v/>
      </c>
    </row>
    <row r="8289">
      <c r="F8289" s="8" t="n"/>
      <c r="G8289" s="8">
        <f>IF(E8289="","",E8289*F8289)</f>
        <v/>
      </c>
      <c r="H8289" s="8">
        <f>IF(G8289="","",G8289-I8289)</f>
        <v/>
      </c>
      <c r="I8289" s="8">
        <f>IF(D8289="","",VLOOKUP(D8289, RECETTES!B:G, 6, FALSE)*E8289)</f>
        <v/>
      </c>
      <c r="J8289" s="8">
        <f>IF(G8289="","",G8289*0.20)</f>
        <v/>
      </c>
      <c r="K8289" s="8">
        <f>IF(G8289="","",G8289+J8289)</f>
        <v/>
      </c>
    </row>
    <row r="8290">
      <c r="F8290" s="8" t="n"/>
      <c r="G8290" s="8">
        <f>IF(E8290="","",E8290*F8290)</f>
        <v/>
      </c>
      <c r="H8290" s="8">
        <f>IF(G8290="","",G8290-I8290)</f>
        <v/>
      </c>
      <c r="I8290" s="8">
        <f>IF(D8290="","",VLOOKUP(D8290, RECETTES!B:G, 6, FALSE)*E8290)</f>
        <v/>
      </c>
      <c r="J8290" s="8">
        <f>IF(G8290="","",G8290*0.20)</f>
        <v/>
      </c>
      <c r="K8290" s="8">
        <f>IF(G8290="","",G8290+J8290)</f>
        <v/>
      </c>
    </row>
    <row r="8291">
      <c r="F8291" s="8" t="n"/>
      <c r="G8291" s="8">
        <f>IF(E8291="","",E8291*F8291)</f>
        <v/>
      </c>
      <c r="H8291" s="8">
        <f>IF(G8291="","",G8291-I8291)</f>
        <v/>
      </c>
      <c r="I8291" s="8">
        <f>IF(D8291="","",VLOOKUP(D8291, RECETTES!B:G, 6, FALSE)*E8291)</f>
        <v/>
      </c>
      <c r="J8291" s="8">
        <f>IF(G8291="","",G8291*0.20)</f>
        <v/>
      </c>
      <c r="K8291" s="8">
        <f>IF(G8291="","",G8291+J8291)</f>
        <v/>
      </c>
    </row>
    <row r="8292">
      <c r="F8292" s="8" t="n"/>
      <c r="G8292" s="8">
        <f>IF(E8292="","",E8292*F8292)</f>
        <v/>
      </c>
      <c r="H8292" s="8">
        <f>IF(G8292="","",G8292-I8292)</f>
        <v/>
      </c>
      <c r="I8292" s="8">
        <f>IF(D8292="","",VLOOKUP(D8292, RECETTES!B:G, 6, FALSE)*E8292)</f>
        <v/>
      </c>
      <c r="J8292" s="8">
        <f>IF(G8292="","",G8292*0.20)</f>
        <v/>
      </c>
      <c r="K8292" s="8">
        <f>IF(G8292="","",G8292+J8292)</f>
        <v/>
      </c>
    </row>
    <row r="8293">
      <c r="F8293" s="8" t="n"/>
      <c r="G8293" s="8">
        <f>IF(E8293="","",E8293*F8293)</f>
        <v/>
      </c>
      <c r="H8293" s="8">
        <f>IF(G8293="","",G8293-I8293)</f>
        <v/>
      </c>
      <c r="I8293" s="8">
        <f>IF(D8293="","",VLOOKUP(D8293, RECETTES!B:G, 6, FALSE)*E8293)</f>
        <v/>
      </c>
      <c r="J8293" s="8">
        <f>IF(G8293="","",G8293*0.20)</f>
        <v/>
      </c>
      <c r="K8293" s="8">
        <f>IF(G8293="","",G8293+J8293)</f>
        <v/>
      </c>
    </row>
    <row r="8294">
      <c r="F8294" s="8" t="n"/>
      <c r="G8294" s="8">
        <f>IF(E8294="","",E8294*F8294)</f>
        <v/>
      </c>
      <c r="H8294" s="8">
        <f>IF(G8294="","",G8294-I8294)</f>
        <v/>
      </c>
      <c r="I8294" s="8">
        <f>IF(D8294="","",VLOOKUP(D8294, RECETTES!B:G, 6, FALSE)*E8294)</f>
        <v/>
      </c>
      <c r="J8294" s="8">
        <f>IF(G8294="","",G8294*0.20)</f>
        <v/>
      </c>
      <c r="K8294" s="8">
        <f>IF(G8294="","",G8294+J8294)</f>
        <v/>
      </c>
    </row>
    <row r="8295">
      <c r="F8295" s="8" t="n"/>
      <c r="G8295" s="8">
        <f>IF(E8295="","",E8295*F8295)</f>
        <v/>
      </c>
      <c r="H8295" s="8">
        <f>IF(G8295="","",G8295-I8295)</f>
        <v/>
      </c>
      <c r="I8295" s="8">
        <f>IF(D8295="","",VLOOKUP(D8295, RECETTES!B:G, 6, FALSE)*E8295)</f>
        <v/>
      </c>
      <c r="J8295" s="8">
        <f>IF(G8295="","",G8295*0.20)</f>
        <v/>
      </c>
      <c r="K8295" s="8">
        <f>IF(G8295="","",G8295+J8295)</f>
        <v/>
      </c>
    </row>
    <row r="8296">
      <c r="F8296" s="8" t="n"/>
      <c r="G8296" s="8">
        <f>IF(E8296="","",E8296*F8296)</f>
        <v/>
      </c>
      <c r="H8296" s="8">
        <f>IF(G8296="","",G8296-I8296)</f>
        <v/>
      </c>
      <c r="I8296" s="8">
        <f>IF(D8296="","",VLOOKUP(D8296, RECETTES!B:G, 6, FALSE)*E8296)</f>
        <v/>
      </c>
      <c r="J8296" s="8">
        <f>IF(G8296="","",G8296*0.20)</f>
        <v/>
      </c>
      <c r="K8296" s="8">
        <f>IF(G8296="","",G8296+J8296)</f>
        <v/>
      </c>
    </row>
    <row r="8297">
      <c r="F8297" s="8" t="n"/>
      <c r="G8297" s="8">
        <f>IF(E8297="","",E8297*F8297)</f>
        <v/>
      </c>
      <c r="H8297" s="8">
        <f>IF(G8297="","",G8297-I8297)</f>
        <v/>
      </c>
      <c r="I8297" s="8">
        <f>IF(D8297="","",VLOOKUP(D8297, RECETTES!B:G, 6, FALSE)*E8297)</f>
        <v/>
      </c>
      <c r="J8297" s="8">
        <f>IF(G8297="","",G8297*0.20)</f>
        <v/>
      </c>
      <c r="K8297" s="8">
        <f>IF(G8297="","",G8297+J8297)</f>
        <v/>
      </c>
    </row>
    <row r="8298">
      <c r="F8298" s="8" t="n"/>
      <c r="G8298" s="8">
        <f>IF(E8298="","",E8298*F8298)</f>
        <v/>
      </c>
      <c r="H8298" s="8">
        <f>IF(G8298="","",G8298-I8298)</f>
        <v/>
      </c>
      <c r="I8298" s="8">
        <f>IF(D8298="","",VLOOKUP(D8298, RECETTES!B:G, 6, FALSE)*E8298)</f>
        <v/>
      </c>
      <c r="J8298" s="8">
        <f>IF(G8298="","",G8298*0.20)</f>
        <v/>
      </c>
      <c r="K8298" s="8">
        <f>IF(G8298="","",G8298+J8298)</f>
        <v/>
      </c>
    </row>
    <row r="8299">
      <c r="F8299" s="8" t="n"/>
      <c r="G8299" s="8">
        <f>IF(E8299="","",E8299*F8299)</f>
        <v/>
      </c>
      <c r="H8299" s="8">
        <f>IF(G8299="","",G8299-I8299)</f>
        <v/>
      </c>
      <c r="I8299" s="8">
        <f>IF(D8299="","",VLOOKUP(D8299, RECETTES!B:G, 6, FALSE)*E8299)</f>
        <v/>
      </c>
      <c r="J8299" s="8">
        <f>IF(G8299="","",G8299*0.20)</f>
        <v/>
      </c>
      <c r="K8299" s="8">
        <f>IF(G8299="","",G8299+J8299)</f>
        <v/>
      </c>
    </row>
    <row r="8300">
      <c r="F8300" s="8" t="n"/>
      <c r="G8300" s="8">
        <f>IF(E8300="","",E8300*F8300)</f>
        <v/>
      </c>
      <c r="H8300" s="8">
        <f>IF(G8300="","",G8300-I8300)</f>
        <v/>
      </c>
      <c r="I8300" s="8">
        <f>IF(D8300="","",VLOOKUP(D8300, RECETTES!B:G, 6, FALSE)*E8300)</f>
        <v/>
      </c>
      <c r="J8300" s="8">
        <f>IF(G8300="","",G8300*0.20)</f>
        <v/>
      </c>
      <c r="K8300" s="8">
        <f>IF(G8300="","",G8300+J8300)</f>
        <v/>
      </c>
    </row>
    <row r="8301">
      <c r="F8301" s="8" t="n"/>
      <c r="G8301" s="8">
        <f>IF(E8301="","",E8301*F8301)</f>
        <v/>
      </c>
      <c r="H8301" s="8">
        <f>IF(G8301="","",G8301-I8301)</f>
        <v/>
      </c>
      <c r="I8301" s="8">
        <f>IF(D8301="","",VLOOKUP(D8301, RECETTES!B:G, 6, FALSE)*E8301)</f>
        <v/>
      </c>
      <c r="J8301" s="8">
        <f>IF(G8301="","",G8301*0.20)</f>
        <v/>
      </c>
      <c r="K8301" s="8">
        <f>IF(G8301="","",G8301+J8301)</f>
        <v/>
      </c>
    </row>
    <row r="8302">
      <c r="F8302" s="8" t="n"/>
      <c r="G8302" s="8">
        <f>IF(E8302="","",E8302*F8302)</f>
        <v/>
      </c>
      <c r="H8302" s="8">
        <f>IF(G8302="","",G8302-I8302)</f>
        <v/>
      </c>
      <c r="I8302" s="8">
        <f>IF(D8302="","",VLOOKUP(D8302, RECETTES!B:G, 6, FALSE)*E8302)</f>
        <v/>
      </c>
      <c r="J8302" s="8">
        <f>IF(G8302="","",G8302*0.20)</f>
        <v/>
      </c>
      <c r="K8302" s="8">
        <f>IF(G8302="","",G8302+J8302)</f>
        <v/>
      </c>
    </row>
    <row r="8303">
      <c r="F8303" s="8" t="n"/>
      <c r="G8303" s="8">
        <f>IF(E8303="","",E8303*F8303)</f>
        <v/>
      </c>
      <c r="H8303" s="8">
        <f>IF(G8303="","",G8303-I8303)</f>
        <v/>
      </c>
      <c r="I8303" s="8">
        <f>IF(D8303="","",VLOOKUP(D8303, RECETTES!B:G, 6, FALSE)*E8303)</f>
        <v/>
      </c>
      <c r="J8303" s="8">
        <f>IF(G8303="","",G8303*0.20)</f>
        <v/>
      </c>
      <c r="K8303" s="8">
        <f>IF(G8303="","",G8303+J8303)</f>
        <v/>
      </c>
    </row>
    <row r="8304">
      <c r="F8304" s="8" t="n"/>
      <c r="G8304" s="8">
        <f>IF(E8304="","",E8304*F8304)</f>
        <v/>
      </c>
      <c r="H8304" s="8">
        <f>IF(G8304="","",G8304-I8304)</f>
        <v/>
      </c>
      <c r="I8304" s="8">
        <f>IF(D8304="","",VLOOKUP(D8304, RECETTES!B:G, 6, FALSE)*E8304)</f>
        <v/>
      </c>
      <c r="J8304" s="8">
        <f>IF(G8304="","",G8304*0.20)</f>
        <v/>
      </c>
      <c r="K8304" s="8">
        <f>IF(G8304="","",G8304+J8304)</f>
        <v/>
      </c>
    </row>
    <row r="8305">
      <c r="F8305" s="8" t="n"/>
      <c r="G8305" s="8">
        <f>IF(E8305="","",E8305*F8305)</f>
        <v/>
      </c>
      <c r="H8305" s="8">
        <f>IF(G8305="","",G8305-I8305)</f>
        <v/>
      </c>
      <c r="I8305" s="8">
        <f>IF(D8305="","",VLOOKUP(D8305, RECETTES!B:G, 6, FALSE)*E8305)</f>
        <v/>
      </c>
      <c r="J8305" s="8">
        <f>IF(G8305="","",G8305*0.20)</f>
        <v/>
      </c>
      <c r="K8305" s="8">
        <f>IF(G8305="","",G8305+J8305)</f>
        <v/>
      </c>
    </row>
    <row r="8306">
      <c r="F8306" s="8" t="n"/>
      <c r="G8306" s="8">
        <f>IF(E8306="","",E8306*F8306)</f>
        <v/>
      </c>
      <c r="H8306" s="8">
        <f>IF(G8306="","",G8306-I8306)</f>
        <v/>
      </c>
      <c r="I8306" s="8">
        <f>IF(D8306="","",VLOOKUP(D8306, RECETTES!B:G, 6, FALSE)*E8306)</f>
        <v/>
      </c>
      <c r="J8306" s="8">
        <f>IF(G8306="","",G8306*0.20)</f>
        <v/>
      </c>
      <c r="K8306" s="8">
        <f>IF(G8306="","",G8306+J8306)</f>
        <v/>
      </c>
    </row>
    <row r="8307">
      <c r="F8307" s="8" t="n"/>
      <c r="G8307" s="8">
        <f>IF(E8307="","",E8307*F8307)</f>
        <v/>
      </c>
      <c r="H8307" s="8">
        <f>IF(G8307="","",G8307-I8307)</f>
        <v/>
      </c>
      <c r="I8307" s="8">
        <f>IF(D8307="","",VLOOKUP(D8307, RECETTES!B:G, 6, FALSE)*E8307)</f>
        <v/>
      </c>
      <c r="J8307" s="8">
        <f>IF(G8307="","",G8307*0.20)</f>
        <v/>
      </c>
      <c r="K8307" s="8">
        <f>IF(G8307="","",G8307+J8307)</f>
        <v/>
      </c>
    </row>
    <row r="8308">
      <c r="F8308" s="8" t="n"/>
      <c r="G8308" s="8">
        <f>IF(E8308="","",E8308*F8308)</f>
        <v/>
      </c>
      <c r="H8308" s="8">
        <f>IF(G8308="","",G8308-I8308)</f>
        <v/>
      </c>
      <c r="I8308" s="8">
        <f>IF(D8308="","",VLOOKUP(D8308, RECETTES!B:G, 6, FALSE)*E8308)</f>
        <v/>
      </c>
      <c r="J8308" s="8">
        <f>IF(G8308="","",G8308*0.20)</f>
        <v/>
      </c>
      <c r="K8308" s="8">
        <f>IF(G8308="","",G8308+J8308)</f>
        <v/>
      </c>
    </row>
    <row r="8309">
      <c r="F8309" s="8" t="n"/>
      <c r="G8309" s="8">
        <f>IF(E8309="","",E8309*F8309)</f>
        <v/>
      </c>
      <c r="H8309" s="8">
        <f>IF(G8309="","",G8309-I8309)</f>
        <v/>
      </c>
      <c r="I8309" s="8">
        <f>IF(D8309="","",VLOOKUP(D8309, RECETTES!B:G, 6, FALSE)*E8309)</f>
        <v/>
      </c>
      <c r="J8309" s="8">
        <f>IF(G8309="","",G8309*0.20)</f>
        <v/>
      </c>
      <c r="K8309" s="8">
        <f>IF(G8309="","",G8309+J8309)</f>
        <v/>
      </c>
    </row>
    <row r="8310">
      <c r="F8310" s="8" t="n"/>
      <c r="G8310" s="8">
        <f>IF(E8310="","",E8310*F8310)</f>
        <v/>
      </c>
      <c r="H8310" s="8">
        <f>IF(G8310="","",G8310-I8310)</f>
        <v/>
      </c>
      <c r="I8310" s="8">
        <f>IF(D8310="","",VLOOKUP(D8310, RECETTES!B:G, 6, FALSE)*E8310)</f>
        <v/>
      </c>
      <c r="J8310" s="8">
        <f>IF(G8310="","",G8310*0.20)</f>
        <v/>
      </c>
      <c r="K8310" s="8">
        <f>IF(G8310="","",G8310+J8310)</f>
        <v/>
      </c>
    </row>
    <row r="8311">
      <c r="F8311" s="8" t="n"/>
      <c r="G8311" s="8">
        <f>IF(E8311="","",E8311*F8311)</f>
        <v/>
      </c>
      <c r="H8311" s="8">
        <f>IF(G8311="","",G8311-I8311)</f>
        <v/>
      </c>
      <c r="I8311" s="8">
        <f>IF(D8311="","",VLOOKUP(D8311, RECETTES!B:G, 6, FALSE)*E8311)</f>
        <v/>
      </c>
      <c r="J8311" s="8">
        <f>IF(G8311="","",G8311*0.20)</f>
        <v/>
      </c>
      <c r="K8311" s="8">
        <f>IF(G8311="","",G8311+J8311)</f>
        <v/>
      </c>
    </row>
    <row r="8312">
      <c r="F8312" s="8" t="n"/>
      <c r="G8312" s="8">
        <f>IF(E8312="","",E8312*F8312)</f>
        <v/>
      </c>
      <c r="H8312" s="8">
        <f>IF(G8312="","",G8312-I8312)</f>
        <v/>
      </c>
      <c r="I8312" s="8">
        <f>IF(D8312="","",VLOOKUP(D8312, RECETTES!B:G, 6, FALSE)*E8312)</f>
        <v/>
      </c>
      <c r="J8312" s="8">
        <f>IF(G8312="","",G8312*0.20)</f>
        <v/>
      </c>
      <c r="K8312" s="8">
        <f>IF(G8312="","",G8312+J8312)</f>
        <v/>
      </c>
    </row>
    <row r="8313">
      <c r="F8313" s="8" t="n"/>
      <c r="G8313" s="8">
        <f>IF(E8313="","",E8313*F8313)</f>
        <v/>
      </c>
      <c r="H8313" s="8">
        <f>IF(G8313="","",G8313-I8313)</f>
        <v/>
      </c>
      <c r="I8313" s="8">
        <f>IF(D8313="","",VLOOKUP(D8313, RECETTES!B:G, 6, FALSE)*E8313)</f>
        <v/>
      </c>
      <c r="J8313" s="8">
        <f>IF(G8313="","",G8313*0.20)</f>
        <v/>
      </c>
      <c r="K8313" s="8">
        <f>IF(G8313="","",G8313+J8313)</f>
        <v/>
      </c>
    </row>
    <row r="8314">
      <c r="F8314" s="8" t="n"/>
      <c r="G8314" s="8">
        <f>IF(E8314="","",E8314*F8314)</f>
        <v/>
      </c>
      <c r="H8314" s="8">
        <f>IF(G8314="","",G8314-I8314)</f>
        <v/>
      </c>
      <c r="I8314" s="8">
        <f>IF(D8314="","",VLOOKUP(D8314, RECETTES!B:G, 6, FALSE)*E8314)</f>
        <v/>
      </c>
      <c r="J8314" s="8">
        <f>IF(G8314="","",G8314*0.20)</f>
        <v/>
      </c>
      <c r="K8314" s="8">
        <f>IF(G8314="","",G8314+J8314)</f>
        <v/>
      </c>
    </row>
    <row r="8315">
      <c r="F8315" s="8" t="n"/>
      <c r="G8315" s="8">
        <f>IF(E8315="","",E8315*F8315)</f>
        <v/>
      </c>
      <c r="H8315" s="8">
        <f>IF(G8315="","",G8315-I8315)</f>
        <v/>
      </c>
      <c r="I8315" s="8">
        <f>IF(D8315="","",VLOOKUP(D8315, RECETTES!B:G, 6, FALSE)*E8315)</f>
        <v/>
      </c>
      <c r="J8315" s="8">
        <f>IF(G8315="","",G8315*0.20)</f>
        <v/>
      </c>
      <c r="K8315" s="8">
        <f>IF(G8315="","",G8315+J8315)</f>
        <v/>
      </c>
    </row>
    <row r="8316">
      <c r="F8316" s="8" t="n"/>
      <c r="G8316" s="8">
        <f>IF(E8316="","",E8316*F8316)</f>
        <v/>
      </c>
      <c r="H8316" s="8">
        <f>IF(G8316="","",G8316-I8316)</f>
        <v/>
      </c>
      <c r="I8316" s="8">
        <f>IF(D8316="","",VLOOKUP(D8316, RECETTES!B:G, 6, FALSE)*E8316)</f>
        <v/>
      </c>
      <c r="J8316" s="8">
        <f>IF(G8316="","",G8316*0.20)</f>
        <v/>
      </c>
      <c r="K8316" s="8">
        <f>IF(G8316="","",G8316+J8316)</f>
        <v/>
      </c>
    </row>
    <row r="8317">
      <c r="F8317" s="8" t="n"/>
      <c r="G8317" s="8">
        <f>IF(E8317="","",E8317*F8317)</f>
        <v/>
      </c>
      <c r="H8317" s="8">
        <f>IF(G8317="","",G8317-I8317)</f>
        <v/>
      </c>
      <c r="I8317" s="8">
        <f>IF(D8317="","",VLOOKUP(D8317, RECETTES!B:G, 6, FALSE)*E8317)</f>
        <v/>
      </c>
      <c r="J8317" s="8">
        <f>IF(G8317="","",G8317*0.20)</f>
        <v/>
      </c>
      <c r="K8317" s="8">
        <f>IF(G8317="","",G8317+J8317)</f>
        <v/>
      </c>
    </row>
    <row r="8318">
      <c r="F8318" s="8" t="n"/>
      <c r="G8318" s="8">
        <f>IF(E8318="","",E8318*F8318)</f>
        <v/>
      </c>
      <c r="H8318" s="8">
        <f>IF(G8318="","",G8318-I8318)</f>
        <v/>
      </c>
      <c r="I8318" s="8">
        <f>IF(D8318="","",VLOOKUP(D8318, RECETTES!B:G, 6, FALSE)*E8318)</f>
        <v/>
      </c>
      <c r="J8318" s="8">
        <f>IF(G8318="","",G8318*0.20)</f>
        <v/>
      </c>
      <c r="K8318" s="8">
        <f>IF(G8318="","",G8318+J8318)</f>
        <v/>
      </c>
    </row>
    <row r="8319">
      <c r="F8319" s="8" t="n"/>
      <c r="G8319" s="8">
        <f>IF(E8319="","",E8319*F8319)</f>
        <v/>
      </c>
      <c r="H8319" s="8">
        <f>IF(G8319="","",G8319-I8319)</f>
        <v/>
      </c>
      <c r="I8319" s="8">
        <f>IF(D8319="","",VLOOKUP(D8319, RECETTES!B:G, 6, FALSE)*E8319)</f>
        <v/>
      </c>
      <c r="J8319" s="8">
        <f>IF(G8319="","",G8319*0.20)</f>
        <v/>
      </c>
      <c r="K8319" s="8">
        <f>IF(G8319="","",G8319+J8319)</f>
        <v/>
      </c>
    </row>
    <row r="8320">
      <c r="F8320" s="8" t="n"/>
      <c r="G8320" s="8">
        <f>IF(E8320="","",E8320*F8320)</f>
        <v/>
      </c>
      <c r="H8320" s="8">
        <f>IF(G8320="","",G8320-I8320)</f>
        <v/>
      </c>
      <c r="I8320" s="8">
        <f>IF(D8320="","",VLOOKUP(D8320, RECETTES!B:G, 6, FALSE)*E8320)</f>
        <v/>
      </c>
      <c r="J8320" s="8">
        <f>IF(G8320="","",G8320*0.20)</f>
        <v/>
      </c>
      <c r="K8320" s="8">
        <f>IF(G8320="","",G8320+J8320)</f>
        <v/>
      </c>
    </row>
    <row r="8321">
      <c r="F8321" s="8" t="n"/>
      <c r="G8321" s="8">
        <f>IF(E8321="","",E8321*F8321)</f>
        <v/>
      </c>
      <c r="H8321" s="8">
        <f>IF(G8321="","",G8321-I8321)</f>
        <v/>
      </c>
      <c r="I8321" s="8">
        <f>IF(D8321="","",VLOOKUP(D8321, RECETTES!B:G, 6, FALSE)*E8321)</f>
        <v/>
      </c>
      <c r="J8321" s="8">
        <f>IF(G8321="","",G8321*0.20)</f>
        <v/>
      </c>
      <c r="K8321" s="8">
        <f>IF(G8321="","",G8321+J8321)</f>
        <v/>
      </c>
    </row>
    <row r="8322">
      <c r="F8322" s="8" t="n"/>
      <c r="G8322" s="8">
        <f>IF(E8322="","",E8322*F8322)</f>
        <v/>
      </c>
      <c r="H8322" s="8">
        <f>IF(G8322="","",G8322-I8322)</f>
        <v/>
      </c>
      <c r="I8322" s="8">
        <f>IF(D8322="","",VLOOKUP(D8322, RECETTES!B:G, 6, FALSE)*E8322)</f>
        <v/>
      </c>
      <c r="J8322" s="8">
        <f>IF(G8322="","",G8322*0.20)</f>
        <v/>
      </c>
      <c r="K8322" s="8">
        <f>IF(G8322="","",G8322+J8322)</f>
        <v/>
      </c>
    </row>
    <row r="8323">
      <c r="F8323" s="8" t="n"/>
      <c r="G8323" s="8">
        <f>IF(E8323="","",E8323*F8323)</f>
        <v/>
      </c>
      <c r="H8323" s="8">
        <f>IF(G8323="","",G8323-I8323)</f>
        <v/>
      </c>
      <c r="I8323" s="8">
        <f>IF(D8323="","",VLOOKUP(D8323, RECETTES!B:G, 6, FALSE)*E8323)</f>
        <v/>
      </c>
      <c r="J8323" s="8">
        <f>IF(G8323="","",G8323*0.20)</f>
        <v/>
      </c>
      <c r="K8323" s="8">
        <f>IF(G8323="","",G8323+J8323)</f>
        <v/>
      </c>
    </row>
    <row r="8324">
      <c r="F8324" s="8" t="n"/>
      <c r="G8324" s="8">
        <f>IF(E8324="","",E8324*F8324)</f>
        <v/>
      </c>
      <c r="H8324" s="8">
        <f>IF(G8324="","",G8324-I8324)</f>
        <v/>
      </c>
      <c r="I8324" s="8">
        <f>IF(D8324="","",VLOOKUP(D8324, RECETTES!B:G, 6, FALSE)*E8324)</f>
        <v/>
      </c>
      <c r="J8324" s="8">
        <f>IF(G8324="","",G8324*0.20)</f>
        <v/>
      </c>
      <c r="K8324" s="8">
        <f>IF(G8324="","",G8324+J8324)</f>
        <v/>
      </c>
    </row>
    <row r="8325">
      <c r="F8325" s="8" t="n"/>
      <c r="G8325" s="8">
        <f>IF(E8325="","",E8325*F8325)</f>
        <v/>
      </c>
      <c r="H8325" s="8">
        <f>IF(G8325="","",G8325-I8325)</f>
        <v/>
      </c>
      <c r="I8325" s="8">
        <f>IF(D8325="","",VLOOKUP(D8325, RECETTES!B:G, 6, FALSE)*E8325)</f>
        <v/>
      </c>
      <c r="J8325" s="8">
        <f>IF(G8325="","",G8325*0.20)</f>
        <v/>
      </c>
      <c r="K8325" s="8">
        <f>IF(G8325="","",G8325+J8325)</f>
        <v/>
      </c>
    </row>
    <row r="8326">
      <c r="F8326" s="8" t="n"/>
      <c r="G8326" s="8">
        <f>IF(E8326="","",E8326*F8326)</f>
        <v/>
      </c>
      <c r="H8326" s="8">
        <f>IF(G8326="","",G8326-I8326)</f>
        <v/>
      </c>
      <c r="I8326" s="8">
        <f>IF(D8326="","",VLOOKUP(D8326, RECETTES!B:G, 6, FALSE)*E8326)</f>
        <v/>
      </c>
      <c r="J8326" s="8">
        <f>IF(G8326="","",G8326*0.20)</f>
        <v/>
      </c>
      <c r="K8326" s="8">
        <f>IF(G8326="","",G8326+J8326)</f>
        <v/>
      </c>
    </row>
    <row r="8327">
      <c r="F8327" s="8" t="n"/>
      <c r="G8327" s="8">
        <f>IF(E8327="","",E8327*F8327)</f>
        <v/>
      </c>
      <c r="H8327" s="8">
        <f>IF(G8327="","",G8327-I8327)</f>
        <v/>
      </c>
      <c r="I8327" s="8">
        <f>IF(D8327="","",VLOOKUP(D8327, RECETTES!B:G, 6, FALSE)*E8327)</f>
        <v/>
      </c>
      <c r="J8327" s="8">
        <f>IF(G8327="","",G8327*0.20)</f>
        <v/>
      </c>
      <c r="K8327" s="8">
        <f>IF(G8327="","",G8327+J8327)</f>
        <v/>
      </c>
    </row>
    <row r="8328">
      <c r="F8328" s="8" t="n"/>
      <c r="G8328" s="8">
        <f>IF(E8328="","",E8328*F8328)</f>
        <v/>
      </c>
      <c r="H8328" s="8">
        <f>IF(G8328="","",G8328-I8328)</f>
        <v/>
      </c>
      <c r="I8328" s="8">
        <f>IF(D8328="","",VLOOKUP(D8328, RECETTES!B:G, 6, FALSE)*E8328)</f>
        <v/>
      </c>
      <c r="J8328" s="8">
        <f>IF(G8328="","",G8328*0.20)</f>
        <v/>
      </c>
      <c r="K8328" s="8">
        <f>IF(G8328="","",G8328+J8328)</f>
        <v/>
      </c>
    </row>
    <row r="8329">
      <c r="F8329" s="8" t="n"/>
      <c r="G8329" s="8">
        <f>IF(E8329="","",E8329*F8329)</f>
        <v/>
      </c>
      <c r="H8329" s="8">
        <f>IF(G8329="","",G8329-I8329)</f>
        <v/>
      </c>
      <c r="I8329" s="8">
        <f>IF(D8329="","",VLOOKUP(D8329, RECETTES!B:G, 6, FALSE)*E8329)</f>
        <v/>
      </c>
      <c r="J8329" s="8">
        <f>IF(G8329="","",G8329*0.20)</f>
        <v/>
      </c>
      <c r="K8329" s="8">
        <f>IF(G8329="","",G8329+J8329)</f>
        <v/>
      </c>
    </row>
    <row r="8330">
      <c r="F8330" s="8" t="n"/>
      <c r="G8330" s="8">
        <f>IF(E8330="","",E8330*F8330)</f>
        <v/>
      </c>
      <c r="H8330" s="8">
        <f>IF(G8330="","",G8330-I8330)</f>
        <v/>
      </c>
      <c r="I8330" s="8">
        <f>IF(D8330="","",VLOOKUP(D8330, RECETTES!B:G, 6, FALSE)*E8330)</f>
        <v/>
      </c>
      <c r="J8330" s="8">
        <f>IF(G8330="","",G8330*0.20)</f>
        <v/>
      </c>
      <c r="K8330" s="8">
        <f>IF(G8330="","",G8330+J8330)</f>
        <v/>
      </c>
    </row>
    <row r="8331">
      <c r="F8331" s="8" t="n"/>
      <c r="G8331" s="8">
        <f>IF(E8331="","",E8331*F8331)</f>
        <v/>
      </c>
      <c r="H8331" s="8">
        <f>IF(G8331="","",G8331-I8331)</f>
        <v/>
      </c>
      <c r="I8331" s="8">
        <f>IF(D8331="","",VLOOKUP(D8331, RECETTES!B:G, 6, FALSE)*E8331)</f>
        <v/>
      </c>
      <c r="J8331" s="8">
        <f>IF(G8331="","",G8331*0.20)</f>
        <v/>
      </c>
      <c r="K8331" s="8">
        <f>IF(G8331="","",G8331+J8331)</f>
        <v/>
      </c>
    </row>
    <row r="8332">
      <c r="F8332" s="8" t="n"/>
      <c r="G8332" s="8">
        <f>IF(E8332="","",E8332*F8332)</f>
        <v/>
      </c>
      <c r="H8332" s="8">
        <f>IF(G8332="","",G8332-I8332)</f>
        <v/>
      </c>
      <c r="I8332" s="8">
        <f>IF(D8332="","",VLOOKUP(D8332, RECETTES!B:G, 6, FALSE)*E8332)</f>
        <v/>
      </c>
      <c r="J8332" s="8">
        <f>IF(G8332="","",G8332*0.20)</f>
        <v/>
      </c>
      <c r="K8332" s="8">
        <f>IF(G8332="","",G8332+J8332)</f>
        <v/>
      </c>
    </row>
    <row r="8333">
      <c r="F8333" s="8" t="n"/>
      <c r="G8333" s="8">
        <f>IF(E8333="","",E8333*F8333)</f>
        <v/>
      </c>
      <c r="H8333" s="8">
        <f>IF(G8333="","",G8333-I8333)</f>
        <v/>
      </c>
      <c r="I8333" s="8">
        <f>IF(D8333="","",VLOOKUP(D8333, RECETTES!B:G, 6, FALSE)*E8333)</f>
        <v/>
      </c>
      <c r="J8333" s="8">
        <f>IF(G8333="","",G8333*0.20)</f>
        <v/>
      </c>
      <c r="K8333" s="8">
        <f>IF(G8333="","",G8333+J8333)</f>
        <v/>
      </c>
    </row>
    <row r="8334">
      <c r="F8334" s="8" t="n"/>
      <c r="G8334" s="8">
        <f>IF(E8334="","",E8334*F8334)</f>
        <v/>
      </c>
      <c r="H8334" s="8">
        <f>IF(G8334="","",G8334-I8334)</f>
        <v/>
      </c>
      <c r="I8334" s="8">
        <f>IF(D8334="","",VLOOKUP(D8334, RECETTES!B:G, 6, FALSE)*E8334)</f>
        <v/>
      </c>
      <c r="J8334" s="8">
        <f>IF(G8334="","",G8334*0.20)</f>
        <v/>
      </c>
      <c r="K8334" s="8">
        <f>IF(G8334="","",G8334+J8334)</f>
        <v/>
      </c>
    </row>
    <row r="8335">
      <c r="F8335" s="8" t="n"/>
      <c r="G8335" s="8">
        <f>IF(E8335="","",E8335*F8335)</f>
        <v/>
      </c>
      <c r="H8335" s="8">
        <f>IF(G8335="","",G8335-I8335)</f>
        <v/>
      </c>
      <c r="I8335" s="8">
        <f>IF(D8335="","",VLOOKUP(D8335, RECETTES!B:G, 6, FALSE)*E8335)</f>
        <v/>
      </c>
      <c r="J8335" s="8">
        <f>IF(G8335="","",G8335*0.20)</f>
        <v/>
      </c>
      <c r="K8335" s="8">
        <f>IF(G8335="","",G8335+J8335)</f>
        <v/>
      </c>
    </row>
    <row r="8336">
      <c r="F8336" s="8" t="n"/>
      <c r="G8336" s="8">
        <f>IF(E8336="","",E8336*F8336)</f>
        <v/>
      </c>
      <c r="H8336" s="8">
        <f>IF(G8336="","",G8336-I8336)</f>
        <v/>
      </c>
      <c r="I8336" s="8">
        <f>IF(D8336="","",VLOOKUP(D8336, RECETTES!B:G, 6, FALSE)*E8336)</f>
        <v/>
      </c>
      <c r="J8336" s="8">
        <f>IF(G8336="","",G8336*0.20)</f>
        <v/>
      </c>
      <c r="K8336" s="8">
        <f>IF(G8336="","",G8336+J8336)</f>
        <v/>
      </c>
    </row>
    <row r="8337">
      <c r="F8337" s="8" t="n"/>
      <c r="G8337" s="8">
        <f>IF(E8337="","",E8337*F8337)</f>
        <v/>
      </c>
      <c r="H8337" s="8">
        <f>IF(G8337="","",G8337-I8337)</f>
        <v/>
      </c>
      <c r="I8337" s="8">
        <f>IF(D8337="","",VLOOKUP(D8337, RECETTES!B:G, 6, FALSE)*E8337)</f>
        <v/>
      </c>
      <c r="J8337" s="8">
        <f>IF(G8337="","",G8337*0.20)</f>
        <v/>
      </c>
      <c r="K8337" s="8">
        <f>IF(G8337="","",G8337+J8337)</f>
        <v/>
      </c>
    </row>
    <row r="8338">
      <c r="F8338" s="8" t="n"/>
      <c r="G8338" s="8">
        <f>IF(E8338="","",E8338*F8338)</f>
        <v/>
      </c>
      <c r="H8338" s="8">
        <f>IF(G8338="","",G8338-I8338)</f>
        <v/>
      </c>
      <c r="I8338" s="8">
        <f>IF(D8338="","",VLOOKUP(D8338, RECETTES!B:G, 6, FALSE)*E8338)</f>
        <v/>
      </c>
      <c r="J8338" s="8">
        <f>IF(G8338="","",G8338*0.20)</f>
        <v/>
      </c>
      <c r="K8338" s="8">
        <f>IF(G8338="","",G8338+J8338)</f>
        <v/>
      </c>
    </row>
    <row r="8339">
      <c r="F8339" s="8" t="n"/>
      <c r="G8339" s="8">
        <f>IF(E8339="","",E8339*F8339)</f>
        <v/>
      </c>
      <c r="H8339" s="8">
        <f>IF(G8339="","",G8339-I8339)</f>
        <v/>
      </c>
      <c r="I8339" s="8">
        <f>IF(D8339="","",VLOOKUP(D8339, RECETTES!B:G, 6, FALSE)*E8339)</f>
        <v/>
      </c>
      <c r="J8339" s="8">
        <f>IF(G8339="","",G8339*0.20)</f>
        <v/>
      </c>
      <c r="K8339" s="8">
        <f>IF(G8339="","",G8339+J8339)</f>
        <v/>
      </c>
    </row>
    <row r="8340">
      <c r="F8340" s="8" t="n"/>
      <c r="G8340" s="8">
        <f>IF(E8340="","",E8340*F8340)</f>
        <v/>
      </c>
      <c r="H8340" s="8">
        <f>IF(G8340="","",G8340-I8340)</f>
        <v/>
      </c>
      <c r="I8340" s="8">
        <f>IF(D8340="","",VLOOKUP(D8340, RECETTES!B:G, 6, FALSE)*E8340)</f>
        <v/>
      </c>
      <c r="J8340" s="8">
        <f>IF(G8340="","",G8340*0.20)</f>
        <v/>
      </c>
      <c r="K8340" s="8">
        <f>IF(G8340="","",G8340+J8340)</f>
        <v/>
      </c>
    </row>
    <row r="8341">
      <c r="F8341" s="8" t="n"/>
      <c r="G8341" s="8">
        <f>IF(E8341="","",E8341*F8341)</f>
        <v/>
      </c>
      <c r="H8341" s="8">
        <f>IF(G8341="","",G8341-I8341)</f>
        <v/>
      </c>
      <c r="I8341" s="8">
        <f>IF(D8341="","",VLOOKUP(D8341, RECETTES!B:G, 6, FALSE)*E8341)</f>
        <v/>
      </c>
      <c r="J8341" s="8">
        <f>IF(G8341="","",G8341*0.20)</f>
        <v/>
      </c>
      <c r="K8341" s="8">
        <f>IF(G8341="","",G8341+J8341)</f>
        <v/>
      </c>
    </row>
    <row r="8342">
      <c r="F8342" s="8" t="n"/>
      <c r="G8342" s="8">
        <f>IF(E8342="","",E8342*F8342)</f>
        <v/>
      </c>
      <c r="H8342" s="8">
        <f>IF(G8342="","",G8342-I8342)</f>
        <v/>
      </c>
      <c r="I8342" s="8">
        <f>IF(D8342="","",VLOOKUP(D8342, RECETTES!B:G, 6, FALSE)*E8342)</f>
        <v/>
      </c>
      <c r="J8342" s="8">
        <f>IF(G8342="","",G8342*0.20)</f>
        <v/>
      </c>
      <c r="K8342" s="8">
        <f>IF(G8342="","",G8342+J8342)</f>
        <v/>
      </c>
    </row>
    <row r="8343">
      <c r="F8343" s="8" t="n"/>
      <c r="G8343" s="8">
        <f>IF(E8343="","",E8343*F8343)</f>
        <v/>
      </c>
      <c r="H8343" s="8">
        <f>IF(G8343="","",G8343-I8343)</f>
        <v/>
      </c>
      <c r="I8343" s="8">
        <f>IF(D8343="","",VLOOKUP(D8343, RECETTES!B:G, 6, FALSE)*E8343)</f>
        <v/>
      </c>
      <c r="J8343" s="8">
        <f>IF(G8343="","",G8343*0.20)</f>
        <v/>
      </c>
      <c r="K8343" s="8">
        <f>IF(G8343="","",G8343+J8343)</f>
        <v/>
      </c>
    </row>
    <row r="8344">
      <c r="F8344" s="8" t="n"/>
      <c r="G8344" s="8">
        <f>IF(E8344="","",E8344*F8344)</f>
        <v/>
      </c>
      <c r="H8344" s="8">
        <f>IF(G8344="","",G8344-I8344)</f>
        <v/>
      </c>
      <c r="I8344" s="8">
        <f>IF(D8344="","",VLOOKUP(D8344, RECETTES!B:G, 6, FALSE)*E8344)</f>
        <v/>
      </c>
      <c r="J8344" s="8">
        <f>IF(G8344="","",G8344*0.20)</f>
        <v/>
      </c>
      <c r="K8344" s="8">
        <f>IF(G8344="","",G8344+J8344)</f>
        <v/>
      </c>
    </row>
    <row r="8345">
      <c r="F8345" s="8" t="n"/>
      <c r="G8345" s="8">
        <f>IF(E8345="","",E8345*F8345)</f>
        <v/>
      </c>
      <c r="H8345" s="8">
        <f>IF(G8345="","",G8345-I8345)</f>
        <v/>
      </c>
      <c r="I8345" s="8">
        <f>IF(D8345="","",VLOOKUP(D8345, RECETTES!B:G, 6, FALSE)*E8345)</f>
        <v/>
      </c>
      <c r="J8345" s="8">
        <f>IF(G8345="","",G8345*0.20)</f>
        <v/>
      </c>
      <c r="K8345" s="8">
        <f>IF(G8345="","",G8345+J8345)</f>
        <v/>
      </c>
    </row>
    <row r="8346">
      <c r="F8346" s="8" t="n"/>
      <c r="G8346" s="8">
        <f>IF(E8346="","",E8346*F8346)</f>
        <v/>
      </c>
      <c r="H8346" s="8">
        <f>IF(G8346="","",G8346-I8346)</f>
        <v/>
      </c>
      <c r="I8346" s="8">
        <f>IF(D8346="","",VLOOKUP(D8346, RECETTES!B:G, 6, FALSE)*E8346)</f>
        <v/>
      </c>
      <c r="J8346" s="8">
        <f>IF(G8346="","",G8346*0.20)</f>
        <v/>
      </c>
      <c r="K8346" s="8">
        <f>IF(G8346="","",G8346+J8346)</f>
        <v/>
      </c>
    </row>
    <row r="8347">
      <c r="F8347" s="8" t="n"/>
      <c r="G8347" s="8">
        <f>IF(E8347="","",E8347*F8347)</f>
        <v/>
      </c>
      <c r="H8347" s="8">
        <f>IF(G8347="","",G8347-I8347)</f>
        <v/>
      </c>
      <c r="I8347" s="8">
        <f>IF(D8347="","",VLOOKUP(D8347, RECETTES!B:G, 6, FALSE)*E8347)</f>
        <v/>
      </c>
      <c r="J8347" s="8">
        <f>IF(G8347="","",G8347*0.20)</f>
        <v/>
      </c>
      <c r="K8347" s="8">
        <f>IF(G8347="","",G8347+J8347)</f>
        <v/>
      </c>
    </row>
    <row r="8348">
      <c r="F8348" s="8" t="n"/>
      <c r="G8348" s="8">
        <f>IF(E8348="","",E8348*F8348)</f>
        <v/>
      </c>
      <c r="H8348" s="8">
        <f>IF(G8348="","",G8348-I8348)</f>
        <v/>
      </c>
      <c r="I8348" s="8">
        <f>IF(D8348="","",VLOOKUP(D8348, RECETTES!B:G, 6, FALSE)*E8348)</f>
        <v/>
      </c>
      <c r="J8348" s="8">
        <f>IF(G8348="","",G8348*0.20)</f>
        <v/>
      </c>
      <c r="K8348" s="8">
        <f>IF(G8348="","",G8348+J8348)</f>
        <v/>
      </c>
    </row>
    <row r="8349">
      <c r="F8349" s="8" t="n"/>
      <c r="G8349" s="8">
        <f>IF(E8349="","",E8349*F8349)</f>
        <v/>
      </c>
      <c r="H8349" s="8">
        <f>IF(G8349="","",G8349-I8349)</f>
        <v/>
      </c>
      <c r="I8349" s="8">
        <f>IF(D8349="","",VLOOKUP(D8349, RECETTES!B:G, 6, FALSE)*E8349)</f>
        <v/>
      </c>
      <c r="J8349" s="8">
        <f>IF(G8349="","",G8349*0.20)</f>
        <v/>
      </c>
      <c r="K8349" s="8">
        <f>IF(G8349="","",G8349+J8349)</f>
        <v/>
      </c>
    </row>
    <row r="8350">
      <c r="F8350" s="8" t="n"/>
      <c r="G8350" s="8">
        <f>IF(E8350="","",E8350*F8350)</f>
        <v/>
      </c>
      <c r="H8350" s="8">
        <f>IF(G8350="","",G8350-I8350)</f>
        <v/>
      </c>
      <c r="I8350" s="8">
        <f>IF(D8350="","",VLOOKUP(D8350, RECETTES!B:G, 6, FALSE)*E8350)</f>
        <v/>
      </c>
      <c r="J8350" s="8">
        <f>IF(G8350="","",G8350*0.20)</f>
        <v/>
      </c>
      <c r="K8350" s="8">
        <f>IF(G8350="","",G8350+J8350)</f>
        <v/>
      </c>
    </row>
    <row r="8351">
      <c r="F8351" s="8" t="n"/>
      <c r="G8351" s="8">
        <f>IF(E8351="","",E8351*F8351)</f>
        <v/>
      </c>
      <c r="H8351" s="8">
        <f>IF(G8351="","",G8351-I8351)</f>
        <v/>
      </c>
      <c r="I8351" s="8">
        <f>IF(D8351="","",VLOOKUP(D8351, RECETTES!B:G, 6, FALSE)*E8351)</f>
        <v/>
      </c>
      <c r="J8351" s="8">
        <f>IF(G8351="","",G8351*0.20)</f>
        <v/>
      </c>
      <c r="K8351" s="8">
        <f>IF(G8351="","",G8351+J8351)</f>
        <v/>
      </c>
    </row>
    <row r="8352">
      <c r="F8352" s="8" t="n"/>
      <c r="G8352" s="8">
        <f>IF(E8352="","",E8352*F8352)</f>
        <v/>
      </c>
      <c r="H8352" s="8">
        <f>IF(G8352="","",G8352-I8352)</f>
        <v/>
      </c>
      <c r="I8352" s="8">
        <f>IF(D8352="","",VLOOKUP(D8352, RECETTES!B:G, 6, FALSE)*E8352)</f>
        <v/>
      </c>
      <c r="J8352" s="8">
        <f>IF(G8352="","",G8352*0.20)</f>
        <v/>
      </c>
      <c r="K8352" s="8">
        <f>IF(G8352="","",G8352+J8352)</f>
        <v/>
      </c>
    </row>
    <row r="8353">
      <c r="F8353" s="8" t="n"/>
      <c r="G8353" s="8">
        <f>IF(E8353="","",E8353*F8353)</f>
        <v/>
      </c>
      <c r="H8353" s="8">
        <f>IF(G8353="","",G8353-I8353)</f>
        <v/>
      </c>
      <c r="I8353" s="8">
        <f>IF(D8353="","",VLOOKUP(D8353, RECETTES!B:G, 6, FALSE)*E8353)</f>
        <v/>
      </c>
      <c r="J8353" s="8">
        <f>IF(G8353="","",G8353*0.20)</f>
        <v/>
      </c>
      <c r="K8353" s="8">
        <f>IF(G8353="","",G8353+J8353)</f>
        <v/>
      </c>
    </row>
    <row r="8354">
      <c r="F8354" s="8" t="n"/>
      <c r="G8354" s="8">
        <f>IF(E8354="","",E8354*F8354)</f>
        <v/>
      </c>
      <c r="H8354" s="8">
        <f>IF(G8354="","",G8354-I8354)</f>
        <v/>
      </c>
      <c r="I8354" s="8">
        <f>IF(D8354="","",VLOOKUP(D8354, RECETTES!B:G, 6, FALSE)*E8354)</f>
        <v/>
      </c>
      <c r="J8354" s="8">
        <f>IF(G8354="","",G8354*0.20)</f>
        <v/>
      </c>
      <c r="K8354" s="8">
        <f>IF(G8354="","",G8354+J8354)</f>
        <v/>
      </c>
    </row>
    <row r="8355">
      <c r="F8355" s="8" t="n"/>
      <c r="G8355" s="8">
        <f>IF(E8355="","",E8355*F8355)</f>
        <v/>
      </c>
      <c r="H8355" s="8">
        <f>IF(G8355="","",G8355-I8355)</f>
        <v/>
      </c>
      <c r="I8355" s="8">
        <f>IF(D8355="","",VLOOKUP(D8355, RECETTES!B:G, 6, FALSE)*E8355)</f>
        <v/>
      </c>
      <c r="J8355" s="8">
        <f>IF(G8355="","",G8355*0.20)</f>
        <v/>
      </c>
      <c r="K8355" s="8">
        <f>IF(G8355="","",G8355+J8355)</f>
        <v/>
      </c>
    </row>
    <row r="8356">
      <c r="F8356" s="8" t="n"/>
      <c r="G8356" s="8">
        <f>IF(E8356="","",E8356*F8356)</f>
        <v/>
      </c>
      <c r="H8356" s="8">
        <f>IF(G8356="","",G8356-I8356)</f>
        <v/>
      </c>
      <c r="I8356" s="8">
        <f>IF(D8356="","",VLOOKUP(D8356, RECETTES!B:G, 6, FALSE)*E8356)</f>
        <v/>
      </c>
      <c r="J8356" s="8">
        <f>IF(G8356="","",G8356*0.20)</f>
        <v/>
      </c>
      <c r="K8356" s="8">
        <f>IF(G8356="","",G8356+J8356)</f>
        <v/>
      </c>
    </row>
    <row r="8357">
      <c r="F8357" s="8" t="n"/>
      <c r="G8357" s="8">
        <f>IF(E8357="","",E8357*F8357)</f>
        <v/>
      </c>
      <c r="H8357" s="8">
        <f>IF(G8357="","",G8357-I8357)</f>
        <v/>
      </c>
      <c r="I8357" s="8">
        <f>IF(D8357="","",VLOOKUP(D8357, RECETTES!B:G, 6, FALSE)*E8357)</f>
        <v/>
      </c>
      <c r="J8357" s="8">
        <f>IF(G8357="","",G8357*0.20)</f>
        <v/>
      </c>
      <c r="K8357" s="8">
        <f>IF(G8357="","",G8357+J8357)</f>
        <v/>
      </c>
    </row>
    <row r="8358">
      <c r="F8358" s="8" t="n"/>
      <c r="G8358" s="8">
        <f>IF(E8358="","",E8358*F8358)</f>
        <v/>
      </c>
      <c r="H8358" s="8">
        <f>IF(G8358="","",G8358-I8358)</f>
        <v/>
      </c>
      <c r="I8358" s="8">
        <f>IF(D8358="","",VLOOKUP(D8358, RECETTES!B:G, 6, FALSE)*E8358)</f>
        <v/>
      </c>
      <c r="J8358" s="8">
        <f>IF(G8358="","",G8358*0.20)</f>
        <v/>
      </c>
      <c r="K8358" s="8">
        <f>IF(G8358="","",G8358+J8358)</f>
        <v/>
      </c>
    </row>
    <row r="8359">
      <c r="F8359" s="8" t="n"/>
      <c r="G8359" s="8">
        <f>IF(E8359="","",E8359*F8359)</f>
        <v/>
      </c>
      <c r="H8359" s="8">
        <f>IF(G8359="","",G8359-I8359)</f>
        <v/>
      </c>
      <c r="I8359" s="8">
        <f>IF(D8359="","",VLOOKUP(D8359, RECETTES!B:G, 6, FALSE)*E8359)</f>
        <v/>
      </c>
      <c r="J8359" s="8">
        <f>IF(G8359="","",G8359*0.20)</f>
        <v/>
      </c>
      <c r="K8359" s="8">
        <f>IF(G8359="","",G8359+J8359)</f>
        <v/>
      </c>
    </row>
    <row r="8360">
      <c r="F8360" s="8" t="n"/>
      <c r="G8360" s="8">
        <f>IF(E8360="","",E8360*F8360)</f>
        <v/>
      </c>
      <c r="H8360" s="8">
        <f>IF(G8360="","",G8360-I8360)</f>
        <v/>
      </c>
      <c r="I8360" s="8">
        <f>IF(D8360="","",VLOOKUP(D8360, RECETTES!B:G, 6, FALSE)*E8360)</f>
        <v/>
      </c>
      <c r="J8360" s="8">
        <f>IF(G8360="","",G8360*0.20)</f>
        <v/>
      </c>
      <c r="K8360" s="8">
        <f>IF(G8360="","",G8360+J8360)</f>
        <v/>
      </c>
    </row>
    <row r="8361">
      <c r="F8361" s="8" t="n"/>
      <c r="G8361" s="8">
        <f>IF(E8361="","",E8361*F8361)</f>
        <v/>
      </c>
      <c r="H8361" s="8">
        <f>IF(G8361="","",G8361-I8361)</f>
        <v/>
      </c>
      <c r="I8361" s="8">
        <f>IF(D8361="","",VLOOKUP(D8361, RECETTES!B:G, 6, FALSE)*E8361)</f>
        <v/>
      </c>
      <c r="J8361" s="8">
        <f>IF(G8361="","",G8361*0.20)</f>
        <v/>
      </c>
      <c r="K8361" s="8">
        <f>IF(G8361="","",G8361+J8361)</f>
        <v/>
      </c>
    </row>
    <row r="8362">
      <c r="F8362" s="8" t="n"/>
      <c r="G8362" s="8">
        <f>IF(E8362="","",E8362*F8362)</f>
        <v/>
      </c>
      <c r="H8362" s="8">
        <f>IF(G8362="","",G8362-I8362)</f>
        <v/>
      </c>
      <c r="I8362" s="8">
        <f>IF(D8362="","",VLOOKUP(D8362, RECETTES!B:G, 6, FALSE)*E8362)</f>
        <v/>
      </c>
      <c r="J8362" s="8">
        <f>IF(G8362="","",G8362*0.20)</f>
        <v/>
      </c>
      <c r="K8362" s="8">
        <f>IF(G8362="","",G8362+J8362)</f>
        <v/>
      </c>
    </row>
    <row r="8363">
      <c r="F8363" s="8" t="n"/>
      <c r="G8363" s="8">
        <f>IF(E8363="","",E8363*F8363)</f>
        <v/>
      </c>
      <c r="H8363" s="8">
        <f>IF(G8363="","",G8363-I8363)</f>
        <v/>
      </c>
      <c r="I8363" s="8">
        <f>IF(D8363="","",VLOOKUP(D8363, RECETTES!B:G, 6, FALSE)*E8363)</f>
        <v/>
      </c>
      <c r="J8363" s="8">
        <f>IF(G8363="","",G8363*0.20)</f>
        <v/>
      </c>
      <c r="K8363" s="8">
        <f>IF(G8363="","",G8363+J8363)</f>
        <v/>
      </c>
    </row>
    <row r="8364">
      <c r="F8364" s="8" t="n"/>
      <c r="G8364" s="8">
        <f>IF(E8364="","",E8364*F8364)</f>
        <v/>
      </c>
      <c r="H8364" s="8">
        <f>IF(G8364="","",G8364-I8364)</f>
        <v/>
      </c>
      <c r="I8364" s="8">
        <f>IF(D8364="","",VLOOKUP(D8364, RECETTES!B:G, 6, FALSE)*E8364)</f>
        <v/>
      </c>
      <c r="J8364" s="8">
        <f>IF(G8364="","",G8364*0.20)</f>
        <v/>
      </c>
      <c r="K8364" s="8">
        <f>IF(G8364="","",G8364+J8364)</f>
        <v/>
      </c>
    </row>
    <row r="8365">
      <c r="F8365" s="8" t="n"/>
      <c r="G8365" s="8">
        <f>IF(E8365="","",E8365*F8365)</f>
        <v/>
      </c>
      <c r="H8365" s="8">
        <f>IF(G8365="","",G8365-I8365)</f>
        <v/>
      </c>
      <c r="I8365" s="8">
        <f>IF(D8365="","",VLOOKUP(D8365, RECETTES!B:G, 6, FALSE)*E8365)</f>
        <v/>
      </c>
      <c r="J8365" s="8">
        <f>IF(G8365="","",G8365*0.20)</f>
        <v/>
      </c>
      <c r="K8365" s="8">
        <f>IF(G8365="","",G8365+J8365)</f>
        <v/>
      </c>
    </row>
    <row r="8366">
      <c r="F8366" s="8" t="n"/>
      <c r="G8366" s="8">
        <f>IF(E8366="","",E8366*F8366)</f>
        <v/>
      </c>
      <c r="H8366" s="8">
        <f>IF(G8366="","",G8366-I8366)</f>
        <v/>
      </c>
      <c r="I8366" s="8">
        <f>IF(D8366="","",VLOOKUP(D8366, RECETTES!B:G, 6, FALSE)*E8366)</f>
        <v/>
      </c>
      <c r="J8366" s="8">
        <f>IF(G8366="","",G8366*0.20)</f>
        <v/>
      </c>
      <c r="K8366" s="8">
        <f>IF(G8366="","",G8366+J8366)</f>
        <v/>
      </c>
    </row>
    <row r="8367">
      <c r="F8367" s="8" t="n"/>
      <c r="G8367" s="8">
        <f>IF(E8367="","",E8367*F8367)</f>
        <v/>
      </c>
      <c r="H8367" s="8">
        <f>IF(G8367="","",G8367-I8367)</f>
        <v/>
      </c>
      <c r="I8367" s="8">
        <f>IF(D8367="","",VLOOKUP(D8367, RECETTES!B:G, 6, FALSE)*E8367)</f>
        <v/>
      </c>
      <c r="J8367" s="8">
        <f>IF(G8367="","",G8367*0.20)</f>
        <v/>
      </c>
      <c r="K8367" s="8">
        <f>IF(G8367="","",G8367+J8367)</f>
        <v/>
      </c>
    </row>
    <row r="8368">
      <c r="F8368" s="8" t="n"/>
      <c r="G8368" s="8">
        <f>IF(E8368="","",E8368*F8368)</f>
        <v/>
      </c>
      <c r="H8368" s="8">
        <f>IF(G8368="","",G8368-I8368)</f>
        <v/>
      </c>
      <c r="I8368" s="8">
        <f>IF(D8368="","",VLOOKUP(D8368, RECETTES!B:G, 6, FALSE)*E8368)</f>
        <v/>
      </c>
      <c r="J8368" s="8">
        <f>IF(G8368="","",G8368*0.20)</f>
        <v/>
      </c>
      <c r="K8368" s="8">
        <f>IF(G8368="","",G8368+J8368)</f>
        <v/>
      </c>
    </row>
    <row r="8369">
      <c r="F8369" s="8" t="n"/>
      <c r="G8369" s="8">
        <f>IF(E8369="","",E8369*F8369)</f>
        <v/>
      </c>
      <c r="H8369" s="8">
        <f>IF(G8369="","",G8369-I8369)</f>
        <v/>
      </c>
      <c r="I8369" s="8">
        <f>IF(D8369="","",VLOOKUP(D8369, RECETTES!B:G, 6, FALSE)*E8369)</f>
        <v/>
      </c>
      <c r="J8369" s="8">
        <f>IF(G8369="","",G8369*0.20)</f>
        <v/>
      </c>
      <c r="K8369" s="8">
        <f>IF(G8369="","",G8369+J8369)</f>
        <v/>
      </c>
    </row>
    <row r="8370">
      <c r="F8370" s="8" t="n"/>
      <c r="G8370" s="8">
        <f>IF(E8370="","",E8370*F8370)</f>
        <v/>
      </c>
      <c r="H8370" s="8">
        <f>IF(G8370="","",G8370-I8370)</f>
        <v/>
      </c>
      <c r="I8370" s="8">
        <f>IF(D8370="","",VLOOKUP(D8370, RECETTES!B:G, 6, FALSE)*E8370)</f>
        <v/>
      </c>
      <c r="J8370" s="8">
        <f>IF(G8370="","",G8370*0.20)</f>
        <v/>
      </c>
      <c r="K8370" s="8">
        <f>IF(G8370="","",G8370+J8370)</f>
        <v/>
      </c>
    </row>
    <row r="8371">
      <c r="F8371" s="8" t="n"/>
      <c r="G8371" s="8">
        <f>IF(E8371="","",E8371*F8371)</f>
        <v/>
      </c>
      <c r="H8371" s="8">
        <f>IF(G8371="","",G8371-I8371)</f>
        <v/>
      </c>
      <c r="I8371" s="8">
        <f>IF(D8371="","",VLOOKUP(D8371, RECETTES!B:G, 6, FALSE)*E8371)</f>
        <v/>
      </c>
      <c r="J8371" s="8">
        <f>IF(G8371="","",G8371*0.20)</f>
        <v/>
      </c>
      <c r="K8371" s="8">
        <f>IF(G8371="","",G8371+J8371)</f>
        <v/>
      </c>
    </row>
    <row r="8372">
      <c r="F8372" s="8" t="n"/>
      <c r="G8372" s="8">
        <f>IF(E8372="","",E8372*F8372)</f>
        <v/>
      </c>
      <c r="H8372" s="8">
        <f>IF(G8372="","",G8372-I8372)</f>
        <v/>
      </c>
      <c r="I8372" s="8">
        <f>IF(D8372="","",VLOOKUP(D8372, RECETTES!B:G, 6, FALSE)*E8372)</f>
        <v/>
      </c>
      <c r="J8372" s="8">
        <f>IF(G8372="","",G8372*0.20)</f>
        <v/>
      </c>
      <c r="K8372" s="8">
        <f>IF(G8372="","",G8372+J8372)</f>
        <v/>
      </c>
    </row>
    <row r="8373">
      <c r="F8373" s="8" t="n"/>
      <c r="G8373" s="8">
        <f>IF(E8373="","",E8373*F8373)</f>
        <v/>
      </c>
      <c r="H8373" s="8">
        <f>IF(G8373="","",G8373-I8373)</f>
        <v/>
      </c>
      <c r="I8373" s="8">
        <f>IF(D8373="","",VLOOKUP(D8373, RECETTES!B:G, 6, FALSE)*E8373)</f>
        <v/>
      </c>
      <c r="J8373" s="8">
        <f>IF(G8373="","",G8373*0.20)</f>
        <v/>
      </c>
      <c r="K8373" s="8">
        <f>IF(G8373="","",G8373+J8373)</f>
        <v/>
      </c>
    </row>
    <row r="8374">
      <c r="F8374" s="8" t="n"/>
      <c r="G8374" s="8">
        <f>IF(E8374="","",E8374*F8374)</f>
        <v/>
      </c>
      <c r="H8374" s="8">
        <f>IF(G8374="","",G8374-I8374)</f>
        <v/>
      </c>
      <c r="I8374" s="8">
        <f>IF(D8374="","",VLOOKUP(D8374, RECETTES!B:G, 6, FALSE)*E8374)</f>
        <v/>
      </c>
      <c r="J8374" s="8">
        <f>IF(G8374="","",G8374*0.20)</f>
        <v/>
      </c>
      <c r="K8374" s="8">
        <f>IF(G8374="","",G8374+J8374)</f>
        <v/>
      </c>
    </row>
    <row r="8375">
      <c r="F8375" s="8" t="n"/>
      <c r="G8375" s="8">
        <f>IF(E8375="","",E8375*F8375)</f>
        <v/>
      </c>
      <c r="H8375" s="8">
        <f>IF(G8375="","",G8375-I8375)</f>
        <v/>
      </c>
      <c r="I8375" s="8">
        <f>IF(D8375="","",VLOOKUP(D8375, RECETTES!B:G, 6, FALSE)*E8375)</f>
        <v/>
      </c>
      <c r="J8375" s="8">
        <f>IF(G8375="","",G8375*0.20)</f>
        <v/>
      </c>
      <c r="K8375" s="8">
        <f>IF(G8375="","",G8375+J8375)</f>
        <v/>
      </c>
    </row>
    <row r="8376">
      <c r="F8376" s="8" t="n"/>
      <c r="G8376" s="8">
        <f>IF(E8376="","",E8376*F8376)</f>
        <v/>
      </c>
      <c r="H8376" s="8">
        <f>IF(G8376="","",G8376-I8376)</f>
        <v/>
      </c>
      <c r="I8376" s="8">
        <f>IF(D8376="","",VLOOKUP(D8376, RECETTES!B:G, 6, FALSE)*E8376)</f>
        <v/>
      </c>
      <c r="J8376" s="8">
        <f>IF(G8376="","",G8376*0.20)</f>
        <v/>
      </c>
      <c r="K8376" s="8">
        <f>IF(G8376="","",G8376+J8376)</f>
        <v/>
      </c>
    </row>
    <row r="8377">
      <c r="F8377" s="8" t="n"/>
      <c r="G8377" s="8">
        <f>IF(E8377="","",E8377*F8377)</f>
        <v/>
      </c>
      <c r="H8377" s="8">
        <f>IF(G8377="","",G8377-I8377)</f>
        <v/>
      </c>
      <c r="I8377" s="8">
        <f>IF(D8377="","",VLOOKUP(D8377, RECETTES!B:G, 6, FALSE)*E8377)</f>
        <v/>
      </c>
      <c r="J8377" s="8">
        <f>IF(G8377="","",G8377*0.20)</f>
        <v/>
      </c>
      <c r="K8377" s="8">
        <f>IF(G8377="","",G8377+J8377)</f>
        <v/>
      </c>
    </row>
    <row r="8378">
      <c r="F8378" s="8" t="n"/>
      <c r="G8378" s="8">
        <f>IF(E8378="","",E8378*F8378)</f>
        <v/>
      </c>
      <c r="H8378" s="8">
        <f>IF(G8378="","",G8378-I8378)</f>
        <v/>
      </c>
      <c r="I8378" s="8">
        <f>IF(D8378="","",VLOOKUP(D8378, RECETTES!B:G, 6, FALSE)*E8378)</f>
        <v/>
      </c>
      <c r="J8378" s="8">
        <f>IF(G8378="","",G8378*0.20)</f>
        <v/>
      </c>
      <c r="K8378" s="8">
        <f>IF(G8378="","",G8378+J8378)</f>
        <v/>
      </c>
    </row>
    <row r="8379">
      <c r="F8379" s="8" t="n"/>
      <c r="G8379" s="8">
        <f>IF(E8379="","",E8379*F8379)</f>
        <v/>
      </c>
      <c r="H8379" s="8">
        <f>IF(G8379="","",G8379-I8379)</f>
        <v/>
      </c>
      <c r="I8379" s="8">
        <f>IF(D8379="","",VLOOKUP(D8379, RECETTES!B:G, 6, FALSE)*E8379)</f>
        <v/>
      </c>
      <c r="J8379" s="8">
        <f>IF(G8379="","",G8379*0.20)</f>
        <v/>
      </c>
      <c r="K8379" s="8">
        <f>IF(G8379="","",G8379+J8379)</f>
        <v/>
      </c>
    </row>
    <row r="8380">
      <c r="F8380" s="8" t="n"/>
      <c r="G8380" s="8">
        <f>IF(E8380="","",E8380*F8380)</f>
        <v/>
      </c>
      <c r="H8380" s="8">
        <f>IF(G8380="","",G8380-I8380)</f>
        <v/>
      </c>
      <c r="I8380" s="8">
        <f>IF(D8380="","",VLOOKUP(D8380, RECETTES!B:G, 6, FALSE)*E8380)</f>
        <v/>
      </c>
      <c r="J8380" s="8">
        <f>IF(G8380="","",G8380*0.20)</f>
        <v/>
      </c>
      <c r="K8380" s="8">
        <f>IF(G8380="","",G8380+J8380)</f>
        <v/>
      </c>
    </row>
    <row r="8381">
      <c r="F8381" s="8" t="n"/>
      <c r="G8381" s="8">
        <f>IF(E8381="","",E8381*F8381)</f>
        <v/>
      </c>
      <c r="H8381" s="8">
        <f>IF(G8381="","",G8381-I8381)</f>
        <v/>
      </c>
      <c r="I8381" s="8">
        <f>IF(D8381="","",VLOOKUP(D8381, RECETTES!B:G, 6, FALSE)*E8381)</f>
        <v/>
      </c>
      <c r="J8381" s="8">
        <f>IF(G8381="","",G8381*0.20)</f>
        <v/>
      </c>
      <c r="K8381" s="8">
        <f>IF(G8381="","",G8381+J8381)</f>
        <v/>
      </c>
    </row>
    <row r="8382">
      <c r="F8382" s="8" t="n"/>
      <c r="G8382" s="8">
        <f>IF(E8382="","",E8382*F8382)</f>
        <v/>
      </c>
      <c r="H8382" s="8">
        <f>IF(G8382="","",G8382-I8382)</f>
        <v/>
      </c>
      <c r="I8382" s="8">
        <f>IF(D8382="","",VLOOKUP(D8382, RECETTES!B:G, 6, FALSE)*E8382)</f>
        <v/>
      </c>
      <c r="J8382" s="8">
        <f>IF(G8382="","",G8382*0.20)</f>
        <v/>
      </c>
      <c r="K8382" s="8">
        <f>IF(G8382="","",G8382+J8382)</f>
        <v/>
      </c>
    </row>
    <row r="8383">
      <c r="F8383" s="8" t="n"/>
      <c r="G8383" s="8">
        <f>IF(E8383="","",E8383*F8383)</f>
        <v/>
      </c>
      <c r="H8383" s="8">
        <f>IF(G8383="","",G8383-I8383)</f>
        <v/>
      </c>
      <c r="I8383" s="8">
        <f>IF(D8383="","",VLOOKUP(D8383, RECETTES!B:G, 6, FALSE)*E8383)</f>
        <v/>
      </c>
      <c r="J8383" s="8">
        <f>IF(G8383="","",G8383*0.20)</f>
        <v/>
      </c>
      <c r="K8383" s="8">
        <f>IF(G8383="","",G8383+J8383)</f>
        <v/>
      </c>
    </row>
    <row r="8384">
      <c r="F8384" s="8" t="n"/>
      <c r="G8384" s="8">
        <f>IF(E8384="","",E8384*F8384)</f>
        <v/>
      </c>
      <c r="H8384" s="8">
        <f>IF(G8384="","",G8384-I8384)</f>
        <v/>
      </c>
      <c r="I8384" s="8">
        <f>IF(D8384="","",VLOOKUP(D8384, RECETTES!B:G, 6, FALSE)*E8384)</f>
        <v/>
      </c>
      <c r="J8384" s="8">
        <f>IF(G8384="","",G8384*0.20)</f>
        <v/>
      </c>
      <c r="K8384" s="8">
        <f>IF(G8384="","",G8384+J8384)</f>
        <v/>
      </c>
    </row>
    <row r="8385">
      <c r="F8385" s="8" t="n"/>
      <c r="G8385" s="8">
        <f>IF(E8385="","",E8385*F8385)</f>
        <v/>
      </c>
      <c r="H8385" s="8">
        <f>IF(G8385="","",G8385-I8385)</f>
        <v/>
      </c>
      <c r="I8385" s="8">
        <f>IF(D8385="","",VLOOKUP(D8385, RECETTES!B:G, 6, FALSE)*E8385)</f>
        <v/>
      </c>
      <c r="J8385" s="8">
        <f>IF(G8385="","",G8385*0.20)</f>
        <v/>
      </c>
      <c r="K8385" s="8">
        <f>IF(G8385="","",G8385+J8385)</f>
        <v/>
      </c>
    </row>
    <row r="8386">
      <c r="F8386" s="8" t="n"/>
      <c r="G8386" s="8">
        <f>IF(E8386="","",E8386*F8386)</f>
        <v/>
      </c>
      <c r="H8386" s="8">
        <f>IF(G8386="","",G8386-I8386)</f>
        <v/>
      </c>
      <c r="I8386" s="8">
        <f>IF(D8386="","",VLOOKUP(D8386, RECETTES!B:G, 6, FALSE)*E8386)</f>
        <v/>
      </c>
      <c r="J8386" s="8">
        <f>IF(G8386="","",G8386*0.20)</f>
        <v/>
      </c>
      <c r="K8386" s="8">
        <f>IF(G8386="","",G8386+J8386)</f>
        <v/>
      </c>
    </row>
    <row r="8387">
      <c r="F8387" s="8" t="n"/>
      <c r="G8387" s="8">
        <f>IF(E8387="","",E8387*F8387)</f>
        <v/>
      </c>
      <c r="H8387" s="8">
        <f>IF(G8387="","",G8387-I8387)</f>
        <v/>
      </c>
      <c r="I8387" s="8">
        <f>IF(D8387="","",VLOOKUP(D8387, RECETTES!B:G, 6, FALSE)*E8387)</f>
        <v/>
      </c>
      <c r="J8387" s="8">
        <f>IF(G8387="","",G8387*0.20)</f>
        <v/>
      </c>
      <c r="K8387" s="8">
        <f>IF(G8387="","",G8387+J8387)</f>
        <v/>
      </c>
    </row>
    <row r="8388">
      <c r="F8388" s="8" t="n"/>
      <c r="G8388" s="8">
        <f>IF(E8388="","",E8388*F8388)</f>
        <v/>
      </c>
      <c r="H8388" s="8">
        <f>IF(G8388="","",G8388-I8388)</f>
        <v/>
      </c>
      <c r="I8388" s="8">
        <f>IF(D8388="","",VLOOKUP(D8388, RECETTES!B:G, 6, FALSE)*E8388)</f>
        <v/>
      </c>
      <c r="J8388" s="8">
        <f>IF(G8388="","",G8388*0.20)</f>
        <v/>
      </c>
      <c r="K8388" s="8">
        <f>IF(G8388="","",G8388+J8388)</f>
        <v/>
      </c>
    </row>
    <row r="8389">
      <c r="F8389" s="8" t="n"/>
      <c r="G8389" s="8">
        <f>IF(E8389="","",E8389*F8389)</f>
        <v/>
      </c>
      <c r="H8389" s="8">
        <f>IF(G8389="","",G8389-I8389)</f>
        <v/>
      </c>
      <c r="I8389" s="8">
        <f>IF(D8389="","",VLOOKUP(D8389, RECETTES!B:G, 6, FALSE)*E8389)</f>
        <v/>
      </c>
      <c r="J8389" s="8">
        <f>IF(G8389="","",G8389*0.20)</f>
        <v/>
      </c>
      <c r="K8389" s="8">
        <f>IF(G8389="","",G8389+J8389)</f>
        <v/>
      </c>
    </row>
    <row r="8390">
      <c r="F8390" s="8" t="n"/>
      <c r="G8390" s="8">
        <f>IF(E8390="","",E8390*F8390)</f>
        <v/>
      </c>
      <c r="H8390" s="8">
        <f>IF(G8390="","",G8390-I8390)</f>
        <v/>
      </c>
      <c r="I8390" s="8">
        <f>IF(D8390="","",VLOOKUP(D8390, RECETTES!B:G, 6, FALSE)*E8390)</f>
        <v/>
      </c>
      <c r="J8390" s="8">
        <f>IF(G8390="","",G8390*0.20)</f>
        <v/>
      </c>
      <c r="K8390" s="8">
        <f>IF(G8390="","",G8390+J8390)</f>
        <v/>
      </c>
    </row>
    <row r="8391">
      <c r="F8391" s="8" t="n"/>
      <c r="G8391" s="8">
        <f>IF(E8391="","",E8391*F8391)</f>
        <v/>
      </c>
      <c r="H8391" s="8">
        <f>IF(G8391="","",G8391-I8391)</f>
        <v/>
      </c>
      <c r="I8391" s="8">
        <f>IF(D8391="","",VLOOKUP(D8391, RECETTES!B:G, 6, FALSE)*E8391)</f>
        <v/>
      </c>
      <c r="J8391" s="8">
        <f>IF(G8391="","",G8391*0.20)</f>
        <v/>
      </c>
      <c r="K8391" s="8">
        <f>IF(G8391="","",G8391+J8391)</f>
        <v/>
      </c>
    </row>
    <row r="8392">
      <c r="F8392" s="8" t="n"/>
      <c r="G8392" s="8">
        <f>IF(E8392="","",E8392*F8392)</f>
        <v/>
      </c>
      <c r="H8392" s="8">
        <f>IF(G8392="","",G8392-I8392)</f>
        <v/>
      </c>
      <c r="I8392" s="8">
        <f>IF(D8392="","",VLOOKUP(D8392, RECETTES!B:G, 6, FALSE)*E8392)</f>
        <v/>
      </c>
      <c r="J8392" s="8">
        <f>IF(G8392="","",G8392*0.20)</f>
        <v/>
      </c>
      <c r="K8392" s="8">
        <f>IF(G8392="","",G8392+J8392)</f>
        <v/>
      </c>
    </row>
    <row r="8393">
      <c r="F8393" s="8" t="n"/>
      <c r="G8393" s="8">
        <f>IF(E8393="","",E8393*F8393)</f>
        <v/>
      </c>
      <c r="H8393" s="8">
        <f>IF(G8393="","",G8393-I8393)</f>
        <v/>
      </c>
      <c r="I8393" s="8">
        <f>IF(D8393="","",VLOOKUP(D8393, RECETTES!B:G, 6, FALSE)*E8393)</f>
        <v/>
      </c>
      <c r="J8393" s="8">
        <f>IF(G8393="","",G8393*0.20)</f>
        <v/>
      </c>
      <c r="K8393" s="8">
        <f>IF(G8393="","",G8393+J8393)</f>
        <v/>
      </c>
    </row>
    <row r="8394">
      <c r="F8394" s="8" t="n"/>
      <c r="G8394" s="8">
        <f>IF(E8394="","",E8394*F8394)</f>
        <v/>
      </c>
      <c r="H8394" s="8">
        <f>IF(G8394="","",G8394-I8394)</f>
        <v/>
      </c>
      <c r="I8394" s="8">
        <f>IF(D8394="","",VLOOKUP(D8394, RECETTES!B:G, 6, FALSE)*E8394)</f>
        <v/>
      </c>
      <c r="J8394" s="8">
        <f>IF(G8394="","",G8394*0.20)</f>
        <v/>
      </c>
      <c r="K8394" s="8">
        <f>IF(G8394="","",G8394+J8394)</f>
        <v/>
      </c>
    </row>
    <row r="8395">
      <c r="F8395" s="8" t="n"/>
      <c r="G8395" s="8">
        <f>IF(E8395="","",E8395*F8395)</f>
        <v/>
      </c>
      <c r="H8395" s="8">
        <f>IF(G8395="","",G8395-I8395)</f>
        <v/>
      </c>
      <c r="I8395" s="8">
        <f>IF(D8395="","",VLOOKUP(D8395, RECETTES!B:G, 6, FALSE)*E8395)</f>
        <v/>
      </c>
      <c r="J8395" s="8">
        <f>IF(G8395="","",G8395*0.20)</f>
        <v/>
      </c>
      <c r="K8395" s="8">
        <f>IF(G8395="","",G8395+J8395)</f>
        <v/>
      </c>
    </row>
    <row r="8396">
      <c r="F8396" s="8" t="n"/>
      <c r="G8396" s="8">
        <f>IF(E8396="","",E8396*F8396)</f>
        <v/>
      </c>
      <c r="H8396" s="8">
        <f>IF(G8396="","",G8396-I8396)</f>
        <v/>
      </c>
      <c r="I8396" s="8">
        <f>IF(D8396="","",VLOOKUP(D8396, RECETTES!B:G, 6, FALSE)*E8396)</f>
        <v/>
      </c>
      <c r="J8396" s="8">
        <f>IF(G8396="","",G8396*0.20)</f>
        <v/>
      </c>
      <c r="K8396" s="8">
        <f>IF(G8396="","",G8396+J8396)</f>
        <v/>
      </c>
    </row>
    <row r="8397">
      <c r="F8397" s="8" t="n"/>
      <c r="G8397" s="8">
        <f>IF(E8397="","",E8397*F8397)</f>
        <v/>
      </c>
      <c r="H8397" s="8">
        <f>IF(G8397="","",G8397-I8397)</f>
        <v/>
      </c>
      <c r="I8397" s="8">
        <f>IF(D8397="","",VLOOKUP(D8397, RECETTES!B:G, 6, FALSE)*E8397)</f>
        <v/>
      </c>
      <c r="J8397" s="8">
        <f>IF(G8397="","",G8397*0.20)</f>
        <v/>
      </c>
      <c r="K8397" s="8">
        <f>IF(G8397="","",G8397+J8397)</f>
        <v/>
      </c>
    </row>
    <row r="8398">
      <c r="F8398" s="8" t="n"/>
      <c r="G8398" s="8">
        <f>IF(E8398="","",E8398*F8398)</f>
        <v/>
      </c>
      <c r="H8398" s="8">
        <f>IF(G8398="","",G8398-I8398)</f>
        <v/>
      </c>
      <c r="I8398" s="8">
        <f>IF(D8398="","",VLOOKUP(D8398, RECETTES!B:G, 6, FALSE)*E8398)</f>
        <v/>
      </c>
      <c r="J8398" s="8">
        <f>IF(G8398="","",G8398*0.20)</f>
        <v/>
      </c>
      <c r="K8398" s="8">
        <f>IF(G8398="","",G8398+J8398)</f>
        <v/>
      </c>
    </row>
    <row r="8399">
      <c r="F8399" s="8" t="n"/>
      <c r="G8399" s="8">
        <f>IF(E8399="","",E8399*F8399)</f>
        <v/>
      </c>
      <c r="H8399" s="8">
        <f>IF(G8399="","",G8399-I8399)</f>
        <v/>
      </c>
      <c r="I8399" s="8">
        <f>IF(D8399="","",VLOOKUP(D8399, RECETTES!B:G, 6, FALSE)*E8399)</f>
        <v/>
      </c>
      <c r="J8399" s="8">
        <f>IF(G8399="","",G8399*0.20)</f>
        <v/>
      </c>
      <c r="K8399" s="8">
        <f>IF(G8399="","",G8399+J8399)</f>
        <v/>
      </c>
    </row>
    <row r="8400">
      <c r="F8400" s="8" t="n"/>
      <c r="G8400" s="8">
        <f>IF(E8400="","",E8400*F8400)</f>
        <v/>
      </c>
      <c r="H8400" s="8">
        <f>IF(G8400="","",G8400-I8400)</f>
        <v/>
      </c>
      <c r="I8400" s="8">
        <f>IF(D8400="","",VLOOKUP(D8400, RECETTES!B:G, 6, FALSE)*E8400)</f>
        <v/>
      </c>
      <c r="J8400" s="8">
        <f>IF(G8400="","",G8400*0.20)</f>
        <v/>
      </c>
      <c r="K8400" s="8">
        <f>IF(G8400="","",G8400+J8400)</f>
        <v/>
      </c>
    </row>
    <row r="8401">
      <c r="F8401" s="8" t="n"/>
      <c r="G8401" s="8">
        <f>IF(E8401="","",E8401*F8401)</f>
        <v/>
      </c>
      <c r="H8401" s="8">
        <f>IF(G8401="","",G8401-I8401)</f>
        <v/>
      </c>
      <c r="I8401" s="8">
        <f>IF(D8401="","",VLOOKUP(D8401, RECETTES!B:G, 6, FALSE)*E8401)</f>
        <v/>
      </c>
      <c r="J8401" s="8">
        <f>IF(G8401="","",G8401*0.20)</f>
        <v/>
      </c>
      <c r="K8401" s="8">
        <f>IF(G8401="","",G8401+J8401)</f>
        <v/>
      </c>
    </row>
    <row r="8402">
      <c r="F8402" s="8" t="n"/>
      <c r="G8402" s="8">
        <f>IF(E8402="","",E8402*F8402)</f>
        <v/>
      </c>
      <c r="H8402" s="8">
        <f>IF(G8402="","",G8402-I8402)</f>
        <v/>
      </c>
      <c r="I8402" s="8">
        <f>IF(D8402="","",VLOOKUP(D8402, RECETTES!B:G, 6, FALSE)*E8402)</f>
        <v/>
      </c>
      <c r="J8402" s="8">
        <f>IF(G8402="","",G8402*0.20)</f>
        <v/>
      </c>
      <c r="K8402" s="8">
        <f>IF(G8402="","",G8402+J8402)</f>
        <v/>
      </c>
    </row>
    <row r="8403">
      <c r="F8403" s="8" t="n"/>
      <c r="G8403" s="8">
        <f>IF(E8403="","",E8403*F8403)</f>
        <v/>
      </c>
      <c r="H8403" s="8">
        <f>IF(G8403="","",G8403-I8403)</f>
        <v/>
      </c>
      <c r="I8403" s="8">
        <f>IF(D8403="","",VLOOKUP(D8403, RECETTES!B:G, 6, FALSE)*E8403)</f>
        <v/>
      </c>
      <c r="J8403" s="8">
        <f>IF(G8403="","",G8403*0.20)</f>
        <v/>
      </c>
      <c r="K8403" s="8">
        <f>IF(G8403="","",G8403+J8403)</f>
        <v/>
      </c>
    </row>
    <row r="8404">
      <c r="F8404" s="8" t="n"/>
      <c r="G8404" s="8">
        <f>IF(E8404="","",E8404*F8404)</f>
        <v/>
      </c>
      <c r="H8404" s="8">
        <f>IF(G8404="","",G8404-I8404)</f>
        <v/>
      </c>
      <c r="I8404" s="8">
        <f>IF(D8404="","",VLOOKUP(D8404, RECETTES!B:G, 6, FALSE)*E8404)</f>
        <v/>
      </c>
      <c r="J8404" s="8">
        <f>IF(G8404="","",G8404*0.20)</f>
        <v/>
      </c>
      <c r="K8404" s="8">
        <f>IF(G8404="","",G8404+J8404)</f>
        <v/>
      </c>
    </row>
    <row r="8405">
      <c r="F8405" s="8" t="n"/>
      <c r="G8405" s="8">
        <f>IF(E8405="","",E8405*F8405)</f>
        <v/>
      </c>
      <c r="H8405" s="8">
        <f>IF(G8405="","",G8405-I8405)</f>
        <v/>
      </c>
      <c r="I8405" s="8">
        <f>IF(D8405="","",VLOOKUP(D8405, RECETTES!B:G, 6, FALSE)*E8405)</f>
        <v/>
      </c>
      <c r="J8405" s="8">
        <f>IF(G8405="","",G8405*0.20)</f>
        <v/>
      </c>
      <c r="K8405" s="8">
        <f>IF(G8405="","",G8405+J8405)</f>
        <v/>
      </c>
    </row>
    <row r="8406">
      <c r="F8406" s="8" t="n"/>
      <c r="G8406" s="8">
        <f>IF(E8406="","",E8406*F8406)</f>
        <v/>
      </c>
      <c r="H8406" s="8">
        <f>IF(G8406="","",G8406-I8406)</f>
        <v/>
      </c>
      <c r="I8406" s="8">
        <f>IF(D8406="","",VLOOKUP(D8406, RECETTES!B:G, 6, FALSE)*E8406)</f>
        <v/>
      </c>
      <c r="J8406" s="8">
        <f>IF(G8406="","",G8406*0.20)</f>
        <v/>
      </c>
      <c r="K8406" s="8">
        <f>IF(G8406="","",G8406+J8406)</f>
        <v/>
      </c>
    </row>
    <row r="8407">
      <c r="F8407" s="8" t="n"/>
      <c r="G8407" s="8">
        <f>IF(E8407="","",E8407*F8407)</f>
        <v/>
      </c>
      <c r="H8407" s="8">
        <f>IF(G8407="","",G8407-I8407)</f>
        <v/>
      </c>
      <c r="I8407" s="8">
        <f>IF(D8407="","",VLOOKUP(D8407, RECETTES!B:G, 6, FALSE)*E8407)</f>
        <v/>
      </c>
      <c r="J8407" s="8">
        <f>IF(G8407="","",G8407*0.20)</f>
        <v/>
      </c>
      <c r="K8407" s="8">
        <f>IF(G8407="","",G8407+J8407)</f>
        <v/>
      </c>
    </row>
    <row r="8408">
      <c r="F8408" s="8" t="n"/>
      <c r="G8408" s="8">
        <f>IF(E8408="","",E8408*F8408)</f>
        <v/>
      </c>
      <c r="H8408" s="8">
        <f>IF(G8408="","",G8408-I8408)</f>
        <v/>
      </c>
      <c r="I8408" s="8">
        <f>IF(D8408="","",VLOOKUP(D8408, RECETTES!B:G, 6, FALSE)*E8408)</f>
        <v/>
      </c>
      <c r="J8408" s="8">
        <f>IF(G8408="","",G8408*0.20)</f>
        <v/>
      </c>
      <c r="K8408" s="8">
        <f>IF(G8408="","",G8408+J8408)</f>
        <v/>
      </c>
    </row>
    <row r="8409">
      <c r="F8409" s="8" t="n"/>
      <c r="G8409" s="8">
        <f>IF(E8409="","",E8409*F8409)</f>
        <v/>
      </c>
      <c r="H8409" s="8">
        <f>IF(G8409="","",G8409-I8409)</f>
        <v/>
      </c>
      <c r="I8409" s="8">
        <f>IF(D8409="","",VLOOKUP(D8409, RECETTES!B:G, 6, FALSE)*E8409)</f>
        <v/>
      </c>
      <c r="J8409" s="8">
        <f>IF(G8409="","",G8409*0.20)</f>
        <v/>
      </c>
      <c r="K8409" s="8">
        <f>IF(G8409="","",G8409+J8409)</f>
        <v/>
      </c>
    </row>
    <row r="8410">
      <c r="F8410" s="8" t="n"/>
      <c r="G8410" s="8">
        <f>IF(E8410="","",E8410*F8410)</f>
        <v/>
      </c>
      <c r="H8410" s="8">
        <f>IF(G8410="","",G8410-I8410)</f>
        <v/>
      </c>
      <c r="I8410" s="8">
        <f>IF(D8410="","",VLOOKUP(D8410, RECETTES!B:G, 6, FALSE)*E8410)</f>
        <v/>
      </c>
      <c r="J8410" s="8">
        <f>IF(G8410="","",G8410*0.20)</f>
        <v/>
      </c>
      <c r="K8410" s="8">
        <f>IF(G8410="","",G8410+J8410)</f>
        <v/>
      </c>
    </row>
    <row r="8411">
      <c r="F8411" s="8" t="n"/>
      <c r="G8411" s="8">
        <f>IF(E8411="","",E8411*F8411)</f>
        <v/>
      </c>
      <c r="H8411" s="8">
        <f>IF(G8411="","",G8411-I8411)</f>
        <v/>
      </c>
      <c r="I8411" s="8">
        <f>IF(D8411="","",VLOOKUP(D8411, RECETTES!B:G, 6, FALSE)*E8411)</f>
        <v/>
      </c>
      <c r="J8411" s="8">
        <f>IF(G8411="","",G8411*0.20)</f>
        <v/>
      </c>
      <c r="K8411" s="8">
        <f>IF(G8411="","",G8411+J8411)</f>
        <v/>
      </c>
    </row>
    <row r="8412">
      <c r="F8412" s="8" t="n"/>
      <c r="G8412" s="8">
        <f>IF(E8412="","",E8412*F8412)</f>
        <v/>
      </c>
      <c r="H8412" s="8">
        <f>IF(G8412="","",G8412-I8412)</f>
        <v/>
      </c>
      <c r="I8412" s="8">
        <f>IF(D8412="","",VLOOKUP(D8412, RECETTES!B:G, 6, FALSE)*E8412)</f>
        <v/>
      </c>
      <c r="J8412" s="8">
        <f>IF(G8412="","",G8412*0.20)</f>
        <v/>
      </c>
      <c r="K8412" s="8">
        <f>IF(G8412="","",G8412+J8412)</f>
        <v/>
      </c>
    </row>
    <row r="8413">
      <c r="F8413" s="8" t="n"/>
      <c r="G8413" s="8">
        <f>IF(E8413="","",E8413*F8413)</f>
        <v/>
      </c>
      <c r="H8413" s="8">
        <f>IF(G8413="","",G8413-I8413)</f>
        <v/>
      </c>
      <c r="I8413" s="8">
        <f>IF(D8413="","",VLOOKUP(D8413, RECETTES!B:G, 6, FALSE)*E8413)</f>
        <v/>
      </c>
      <c r="J8413" s="8">
        <f>IF(G8413="","",G8413*0.20)</f>
        <v/>
      </c>
      <c r="K8413" s="8">
        <f>IF(G8413="","",G8413+J8413)</f>
        <v/>
      </c>
    </row>
    <row r="8414">
      <c r="F8414" s="8" t="n"/>
      <c r="G8414" s="8">
        <f>IF(E8414="","",E8414*F8414)</f>
        <v/>
      </c>
      <c r="H8414" s="8">
        <f>IF(G8414="","",G8414-I8414)</f>
        <v/>
      </c>
      <c r="I8414" s="8">
        <f>IF(D8414="","",VLOOKUP(D8414, RECETTES!B:G, 6, FALSE)*E8414)</f>
        <v/>
      </c>
      <c r="J8414" s="8">
        <f>IF(G8414="","",G8414*0.20)</f>
        <v/>
      </c>
      <c r="K8414" s="8">
        <f>IF(G8414="","",G8414+J8414)</f>
        <v/>
      </c>
    </row>
    <row r="8415">
      <c r="F8415" s="8" t="n"/>
      <c r="G8415" s="8">
        <f>IF(E8415="","",E8415*F8415)</f>
        <v/>
      </c>
      <c r="H8415" s="8">
        <f>IF(G8415="","",G8415-I8415)</f>
        <v/>
      </c>
      <c r="I8415" s="8">
        <f>IF(D8415="","",VLOOKUP(D8415, RECETTES!B:G, 6, FALSE)*E8415)</f>
        <v/>
      </c>
      <c r="J8415" s="8">
        <f>IF(G8415="","",G8415*0.20)</f>
        <v/>
      </c>
      <c r="K8415" s="8">
        <f>IF(G8415="","",G8415+J8415)</f>
        <v/>
      </c>
    </row>
    <row r="8416">
      <c r="F8416" s="8" t="n"/>
      <c r="G8416" s="8">
        <f>IF(E8416="","",E8416*F8416)</f>
        <v/>
      </c>
      <c r="H8416" s="8">
        <f>IF(G8416="","",G8416-I8416)</f>
        <v/>
      </c>
      <c r="I8416" s="8">
        <f>IF(D8416="","",VLOOKUP(D8416, RECETTES!B:G, 6, FALSE)*E8416)</f>
        <v/>
      </c>
      <c r="J8416" s="8">
        <f>IF(G8416="","",G8416*0.20)</f>
        <v/>
      </c>
      <c r="K8416" s="8">
        <f>IF(G8416="","",G8416+J8416)</f>
        <v/>
      </c>
    </row>
    <row r="8417">
      <c r="F8417" s="8" t="n"/>
      <c r="G8417" s="8">
        <f>IF(E8417="","",E8417*F8417)</f>
        <v/>
      </c>
      <c r="H8417" s="8">
        <f>IF(G8417="","",G8417-I8417)</f>
        <v/>
      </c>
      <c r="I8417" s="8">
        <f>IF(D8417="","",VLOOKUP(D8417, RECETTES!B:G, 6, FALSE)*E8417)</f>
        <v/>
      </c>
      <c r="J8417" s="8">
        <f>IF(G8417="","",G8417*0.20)</f>
        <v/>
      </c>
      <c r="K8417" s="8">
        <f>IF(G8417="","",G8417+J8417)</f>
        <v/>
      </c>
    </row>
    <row r="8418">
      <c r="F8418" s="8" t="n"/>
      <c r="G8418" s="8">
        <f>IF(E8418="","",E8418*F8418)</f>
        <v/>
      </c>
      <c r="H8418" s="8">
        <f>IF(G8418="","",G8418-I8418)</f>
        <v/>
      </c>
      <c r="I8418" s="8">
        <f>IF(D8418="","",VLOOKUP(D8418, RECETTES!B:G, 6, FALSE)*E8418)</f>
        <v/>
      </c>
      <c r="J8418" s="8">
        <f>IF(G8418="","",G8418*0.20)</f>
        <v/>
      </c>
      <c r="K8418" s="8">
        <f>IF(G8418="","",G8418+J8418)</f>
        <v/>
      </c>
    </row>
    <row r="8419">
      <c r="F8419" s="8" t="n"/>
      <c r="G8419" s="8">
        <f>IF(E8419="","",E8419*F8419)</f>
        <v/>
      </c>
      <c r="H8419" s="8">
        <f>IF(G8419="","",G8419-I8419)</f>
        <v/>
      </c>
      <c r="I8419" s="8">
        <f>IF(D8419="","",VLOOKUP(D8419, RECETTES!B:G, 6, FALSE)*E8419)</f>
        <v/>
      </c>
      <c r="J8419" s="8">
        <f>IF(G8419="","",G8419*0.20)</f>
        <v/>
      </c>
      <c r="K8419" s="8">
        <f>IF(G8419="","",G8419+J8419)</f>
        <v/>
      </c>
    </row>
    <row r="8420">
      <c r="F8420" s="8" t="n"/>
      <c r="G8420" s="8">
        <f>IF(E8420="","",E8420*F8420)</f>
        <v/>
      </c>
      <c r="H8420" s="8">
        <f>IF(G8420="","",G8420-I8420)</f>
        <v/>
      </c>
      <c r="I8420" s="8">
        <f>IF(D8420="","",VLOOKUP(D8420, RECETTES!B:G, 6, FALSE)*E8420)</f>
        <v/>
      </c>
      <c r="J8420" s="8">
        <f>IF(G8420="","",G8420*0.20)</f>
        <v/>
      </c>
      <c r="K8420" s="8">
        <f>IF(G8420="","",G8420+J8420)</f>
        <v/>
      </c>
    </row>
    <row r="8421">
      <c r="F8421" s="8" t="n"/>
      <c r="G8421" s="8">
        <f>IF(E8421="","",E8421*F8421)</f>
        <v/>
      </c>
      <c r="H8421" s="8">
        <f>IF(G8421="","",G8421-I8421)</f>
        <v/>
      </c>
      <c r="I8421" s="8">
        <f>IF(D8421="","",VLOOKUP(D8421, RECETTES!B:G, 6, FALSE)*E8421)</f>
        <v/>
      </c>
      <c r="J8421" s="8">
        <f>IF(G8421="","",G8421*0.20)</f>
        <v/>
      </c>
      <c r="K8421" s="8">
        <f>IF(G8421="","",G8421+J8421)</f>
        <v/>
      </c>
    </row>
    <row r="8422">
      <c r="F8422" s="8" t="n"/>
      <c r="G8422" s="8">
        <f>IF(E8422="","",E8422*F8422)</f>
        <v/>
      </c>
      <c r="H8422" s="8">
        <f>IF(G8422="","",G8422-I8422)</f>
        <v/>
      </c>
      <c r="I8422" s="8">
        <f>IF(D8422="","",VLOOKUP(D8422, RECETTES!B:G, 6, FALSE)*E8422)</f>
        <v/>
      </c>
      <c r="J8422" s="8">
        <f>IF(G8422="","",G8422*0.20)</f>
        <v/>
      </c>
      <c r="K8422" s="8">
        <f>IF(G8422="","",G8422+J8422)</f>
        <v/>
      </c>
    </row>
    <row r="8423">
      <c r="F8423" s="8" t="n"/>
      <c r="G8423" s="8">
        <f>IF(E8423="","",E8423*F8423)</f>
        <v/>
      </c>
      <c r="H8423" s="8">
        <f>IF(G8423="","",G8423-I8423)</f>
        <v/>
      </c>
      <c r="I8423" s="8">
        <f>IF(D8423="","",VLOOKUP(D8423, RECETTES!B:G, 6, FALSE)*E8423)</f>
        <v/>
      </c>
      <c r="J8423" s="8">
        <f>IF(G8423="","",G8423*0.20)</f>
        <v/>
      </c>
      <c r="K8423" s="8">
        <f>IF(G8423="","",G8423+J8423)</f>
        <v/>
      </c>
    </row>
    <row r="8424">
      <c r="F8424" s="8" t="n"/>
      <c r="G8424" s="8">
        <f>IF(E8424="","",E8424*F8424)</f>
        <v/>
      </c>
      <c r="H8424" s="8">
        <f>IF(G8424="","",G8424-I8424)</f>
        <v/>
      </c>
      <c r="I8424" s="8">
        <f>IF(D8424="","",VLOOKUP(D8424, RECETTES!B:G, 6, FALSE)*E8424)</f>
        <v/>
      </c>
      <c r="J8424" s="8">
        <f>IF(G8424="","",G8424*0.20)</f>
        <v/>
      </c>
      <c r="K8424" s="8">
        <f>IF(G8424="","",G8424+J8424)</f>
        <v/>
      </c>
    </row>
    <row r="8425">
      <c r="F8425" s="8" t="n"/>
      <c r="G8425" s="8">
        <f>IF(E8425="","",E8425*F8425)</f>
        <v/>
      </c>
      <c r="H8425" s="8">
        <f>IF(G8425="","",G8425-I8425)</f>
        <v/>
      </c>
      <c r="I8425" s="8">
        <f>IF(D8425="","",VLOOKUP(D8425, RECETTES!B:G, 6, FALSE)*E8425)</f>
        <v/>
      </c>
      <c r="J8425" s="8">
        <f>IF(G8425="","",G8425*0.20)</f>
        <v/>
      </c>
      <c r="K8425" s="8">
        <f>IF(G8425="","",G8425+J8425)</f>
        <v/>
      </c>
    </row>
    <row r="8426">
      <c r="F8426" s="8" t="n"/>
      <c r="G8426" s="8">
        <f>IF(E8426="","",E8426*F8426)</f>
        <v/>
      </c>
      <c r="H8426" s="8">
        <f>IF(G8426="","",G8426-I8426)</f>
        <v/>
      </c>
      <c r="I8426" s="8">
        <f>IF(D8426="","",VLOOKUP(D8426, RECETTES!B:G, 6, FALSE)*E8426)</f>
        <v/>
      </c>
      <c r="J8426" s="8">
        <f>IF(G8426="","",G8426*0.20)</f>
        <v/>
      </c>
      <c r="K8426" s="8">
        <f>IF(G8426="","",G8426+J8426)</f>
        <v/>
      </c>
    </row>
    <row r="8427">
      <c r="F8427" s="8" t="n"/>
      <c r="G8427" s="8">
        <f>IF(E8427="","",E8427*F8427)</f>
        <v/>
      </c>
      <c r="H8427" s="8">
        <f>IF(G8427="","",G8427-I8427)</f>
        <v/>
      </c>
      <c r="I8427" s="8">
        <f>IF(D8427="","",VLOOKUP(D8427, RECETTES!B:G, 6, FALSE)*E8427)</f>
        <v/>
      </c>
      <c r="J8427" s="8">
        <f>IF(G8427="","",G8427*0.20)</f>
        <v/>
      </c>
      <c r="K8427" s="8">
        <f>IF(G8427="","",G8427+J8427)</f>
        <v/>
      </c>
    </row>
    <row r="8428">
      <c r="F8428" s="8" t="n"/>
      <c r="G8428" s="8">
        <f>IF(E8428="","",E8428*F8428)</f>
        <v/>
      </c>
      <c r="H8428" s="8">
        <f>IF(G8428="","",G8428-I8428)</f>
        <v/>
      </c>
      <c r="I8428" s="8">
        <f>IF(D8428="","",VLOOKUP(D8428, RECETTES!B:G, 6, FALSE)*E8428)</f>
        <v/>
      </c>
      <c r="J8428" s="8">
        <f>IF(G8428="","",G8428*0.20)</f>
        <v/>
      </c>
      <c r="K8428" s="8">
        <f>IF(G8428="","",G8428+J8428)</f>
        <v/>
      </c>
    </row>
    <row r="8429">
      <c r="F8429" s="8" t="n"/>
      <c r="G8429" s="8">
        <f>IF(E8429="","",E8429*F8429)</f>
        <v/>
      </c>
      <c r="H8429" s="8">
        <f>IF(G8429="","",G8429-I8429)</f>
        <v/>
      </c>
      <c r="I8429" s="8">
        <f>IF(D8429="","",VLOOKUP(D8429, RECETTES!B:G, 6, FALSE)*E8429)</f>
        <v/>
      </c>
      <c r="J8429" s="8">
        <f>IF(G8429="","",G8429*0.20)</f>
        <v/>
      </c>
      <c r="K8429" s="8">
        <f>IF(G8429="","",G8429+J8429)</f>
        <v/>
      </c>
    </row>
    <row r="8430">
      <c r="F8430" s="8" t="n"/>
      <c r="G8430" s="8">
        <f>IF(E8430="","",E8430*F8430)</f>
        <v/>
      </c>
      <c r="H8430" s="8">
        <f>IF(G8430="","",G8430-I8430)</f>
        <v/>
      </c>
      <c r="I8430" s="8">
        <f>IF(D8430="","",VLOOKUP(D8430, RECETTES!B:G, 6, FALSE)*E8430)</f>
        <v/>
      </c>
      <c r="J8430" s="8">
        <f>IF(G8430="","",G8430*0.20)</f>
        <v/>
      </c>
      <c r="K8430" s="8">
        <f>IF(G8430="","",G8430+J8430)</f>
        <v/>
      </c>
    </row>
    <row r="8431">
      <c r="F8431" s="8" t="n"/>
      <c r="G8431" s="8">
        <f>IF(E8431="","",E8431*F8431)</f>
        <v/>
      </c>
      <c r="H8431" s="8">
        <f>IF(G8431="","",G8431-I8431)</f>
        <v/>
      </c>
      <c r="I8431" s="8">
        <f>IF(D8431="","",VLOOKUP(D8431, RECETTES!B:G, 6, FALSE)*E8431)</f>
        <v/>
      </c>
      <c r="J8431" s="8">
        <f>IF(G8431="","",G8431*0.20)</f>
        <v/>
      </c>
      <c r="K8431" s="8">
        <f>IF(G8431="","",G8431+J8431)</f>
        <v/>
      </c>
    </row>
    <row r="8432">
      <c r="F8432" s="8" t="n"/>
      <c r="G8432" s="8">
        <f>IF(E8432="","",E8432*F8432)</f>
        <v/>
      </c>
      <c r="H8432" s="8">
        <f>IF(G8432="","",G8432-I8432)</f>
        <v/>
      </c>
      <c r="I8432" s="8">
        <f>IF(D8432="","",VLOOKUP(D8432, RECETTES!B:G, 6, FALSE)*E8432)</f>
        <v/>
      </c>
      <c r="J8432" s="8">
        <f>IF(G8432="","",G8432*0.20)</f>
        <v/>
      </c>
      <c r="K8432" s="8">
        <f>IF(G8432="","",G8432+J8432)</f>
        <v/>
      </c>
    </row>
    <row r="8433">
      <c r="F8433" s="8" t="n"/>
      <c r="G8433" s="8">
        <f>IF(E8433="","",E8433*F8433)</f>
        <v/>
      </c>
      <c r="H8433" s="8">
        <f>IF(G8433="","",G8433-I8433)</f>
        <v/>
      </c>
      <c r="I8433" s="8">
        <f>IF(D8433="","",VLOOKUP(D8433, RECETTES!B:G, 6, FALSE)*E8433)</f>
        <v/>
      </c>
      <c r="J8433" s="8">
        <f>IF(G8433="","",G8433*0.20)</f>
        <v/>
      </c>
      <c r="K8433" s="8">
        <f>IF(G8433="","",G8433+J8433)</f>
        <v/>
      </c>
    </row>
    <row r="8434">
      <c r="F8434" s="8" t="n"/>
      <c r="G8434" s="8">
        <f>IF(E8434="","",E8434*F8434)</f>
        <v/>
      </c>
      <c r="H8434" s="8">
        <f>IF(G8434="","",G8434-I8434)</f>
        <v/>
      </c>
      <c r="I8434" s="8">
        <f>IF(D8434="","",VLOOKUP(D8434, RECETTES!B:G, 6, FALSE)*E8434)</f>
        <v/>
      </c>
      <c r="J8434" s="8">
        <f>IF(G8434="","",G8434*0.20)</f>
        <v/>
      </c>
      <c r="K8434" s="8">
        <f>IF(G8434="","",G8434+J8434)</f>
        <v/>
      </c>
    </row>
    <row r="8435">
      <c r="F8435" s="8" t="n"/>
      <c r="G8435" s="8">
        <f>IF(E8435="","",E8435*F8435)</f>
        <v/>
      </c>
      <c r="H8435" s="8">
        <f>IF(G8435="","",G8435-I8435)</f>
        <v/>
      </c>
      <c r="I8435" s="8">
        <f>IF(D8435="","",VLOOKUP(D8435, RECETTES!B:G, 6, FALSE)*E8435)</f>
        <v/>
      </c>
      <c r="J8435" s="8">
        <f>IF(G8435="","",G8435*0.20)</f>
        <v/>
      </c>
      <c r="K8435" s="8">
        <f>IF(G8435="","",G8435+J8435)</f>
        <v/>
      </c>
    </row>
    <row r="8436">
      <c r="F8436" s="8" t="n"/>
      <c r="G8436" s="8">
        <f>IF(E8436="","",E8436*F8436)</f>
        <v/>
      </c>
      <c r="H8436" s="8">
        <f>IF(G8436="","",G8436-I8436)</f>
        <v/>
      </c>
      <c r="I8436" s="8">
        <f>IF(D8436="","",VLOOKUP(D8436, RECETTES!B:G, 6, FALSE)*E8436)</f>
        <v/>
      </c>
      <c r="J8436" s="8">
        <f>IF(G8436="","",G8436*0.20)</f>
        <v/>
      </c>
      <c r="K8436" s="8">
        <f>IF(G8436="","",G8436+J8436)</f>
        <v/>
      </c>
    </row>
    <row r="8437">
      <c r="F8437" s="8" t="n"/>
      <c r="G8437" s="8">
        <f>IF(E8437="","",E8437*F8437)</f>
        <v/>
      </c>
      <c r="H8437" s="8">
        <f>IF(G8437="","",G8437-I8437)</f>
        <v/>
      </c>
      <c r="I8437" s="8">
        <f>IF(D8437="","",VLOOKUP(D8437, RECETTES!B:G, 6, FALSE)*E8437)</f>
        <v/>
      </c>
      <c r="J8437" s="8">
        <f>IF(G8437="","",G8437*0.20)</f>
        <v/>
      </c>
      <c r="K8437" s="8">
        <f>IF(G8437="","",G8437+J8437)</f>
        <v/>
      </c>
    </row>
    <row r="8438">
      <c r="F8438" s="8" t="n"/>
      <c r="G8438" s="8">
        <f>IF(E8438="","",E8438*F8438)</f>
        <v/>
      </c>
      <c r="H8438" s="8">
        <f>IF(G8438="","",G8438-I8438)</f>
        <v/>
      </c>
      <c r="I8438" s="8">
        <f>IF(D8438="","",VLOOKUP(D8438, RECETTES!B:G, 6, FALSE)*E8438)</f>
        <v/>
      </c>
      <c r="J8438" s="8">
        <f>IF(G8438="","",G8438*0.20)</f>
        <v/>
      </c>
      <c r="K8438" s="8">
        <f>IF(G8438="","",G8438+J8438)</f>
        <v/>
      </c>
    </row>
    <row r="8439">
      <c r="F8439" s="8" t="n"/>
      <c r="G8439" s="8">
        <f>IF(E8439="","",E8439*F8439)</f>
        <v/>
      </c>
      <c r="H8439" s="8">
        <f>IF(G8439="","",G8439-I8439)</f>
        <v/>
      </c>
      <c r="I8439" s="8">
        <f>IF(D8439="","",VLOOKUP(D8439, RECETTES!B:G, 6, FALSE)*E8439)</f>
        <v/>
      </c>
      <c r="J8439" s="8">
        <f>IF(G8439="","",G8439*0.20)</f>
        <v/>
      </c>
      <c r="K8439" s="8">
        <f>IF(G8439="","",G8439+J8439)</f>
        <v/>
      </c>
    </row>
    <row r="8440">
      <c r="F8440" s="8" t="n"/>
      <c r="G8440" s="8">
        <f>IF(E8440="","",E8440*F8440)</f>
        <v/>
      </c>
      <c r="H8440" s="8">
        <f>IF(G8440="","",G8440-I8440)</f>
        <v/>
      </c>
      <c r="I8440" s="8">
        <f>IF(D8440="","",VLOOKUP(D8440, RECETTES!B:G, 6, FALSE)*E8440)</f>
        <v/>
      </c>
      <c r="J8440" s="8">
        <f>IF(G8440="","",G8440*0.20)</f>
        <v/>
      </c>
      <c r="K8440" s="8">
        <f>IF(G8440="","",G8440+J8440)</f>
        <v/>
      </c>
    </row>
    <row r="8441">
      <c r="F8441" s="8" t="n"/>
      <c r="G8441" s="8">
        <f>IF(E8441="","",E8441*F8441)</f>
        <v/>
      </c>
      <c r="H8441" s="8">
        <f>IF(G8441="","",G8441-I8441)</f>
        <v/>
      </c>
      <c r="I8441" s="8">
        <f>IF(D8441="","",VLOOKUP(D8441, RECETTES!B:G, 6, FALSE)*E8441)</f>
        <v/>
      </c>
      <c r="J8441" s="8">
        <f>IF(G8441="","",G8441*0.20)</f>
        <v/>
      </c>
      <c r="K8441" s="8">
        <f>IF(G8441="","",G8441+J8441)</f>
        <v/>
      </c>
    </row>
    <row r="8442">
      <c r="F8442" s="8" t="n"/>
      <c r="G8442" s="8">
        <f>IF(E8442="","",E8442*F8442)</f>
        <v/>
      </c>
      <c r="H8442" s="8">
        <f>IF(G8442="","",G8442-I8442)</f>
        <v/>
      </c>
      <c r="I8442" s="8">
        <f>IF(D8442="","",VLOOKUP(D8442, RECETTES!B:G, 6, FALSE)*E8442)</f>
        <v/>
      </c>
      <c r="J8442" s="8">
        <f>IF(G8442="","",G8442*0.20)</f>
        <v/>
      </c>
      <c r="K8442" s="8">
        <f>IF(G8442="","",G8442+J8442)</f>
        <v/>
      </c>
    </row>
    <row r="8443">
      <c r="F8443" s="8" t="n"/>
      <c r="G8443" s="8">
        <f>IF(E8443="","",E8443*F8443)</f>
        <v/>
      </c>
      <c r="H8443" s="8">
        <f>IF(G8443="","",G8443-I8443)</f>
        <v/>
      </c>
      <c r="I8443" s="8">
        <f>IF(D8443="","",VLOOKUP(D8443, RECETTES!B:G, 6, FALSE)*E8443)</f>
        <v/>
      </c>
      <c r="J8443" s="8">
        <f>IF(G8443="","",G8443*0.20)</f>
        <v/>
      </c>
      <c r="K8443" s="8">
        <f>IF(G8443="","",G8443+J8443)</f>
        <v/>
      </c>
    </row>
    <row r="8444">
      <c r="F8444" s="8" t="n"/>
      <c r="G8444" s="8">
        <f>IF(E8444="","",E8444*F8444)</f>
        <v/>
      </c>
      <c r="H8444" s="8">
        <f>IF(G8444="","",G8444-I8444)</f>
        <v/>
      </c>
      <c r="I8444" s="8">
        <f>IF(D8444="","",VLOOKUP(D8444, RECETTES!B:G, 6, FALSE)*E8444)</f>
        <v/>
      </c>
      <c r="J8444" s="8">
        <f>IF(G8444="","",G8444*0.20)</f>
        <v/>
      </c>
      <c r="K8444" s="8">
        <f>IF(G8444="","",G8444+J8444)</f>
        <v/>
      </c>
    </row>
    <row r="8445">
      <c r="F8445" s="8" t="n"/>
      <c r="G8445" s="8">
        <f>IF(E8445="","",E8445*F8445)</f>
        <v/>
      </c>
      <c r="H8445" s="8">
        <f>IF(G8445="","",G8445-I8445)</f>
        <v/>
      </c>
      <c r="I8445" s="8">
        <f>IF(D8445="","",VLOOKUP(D8445, RECETTES!B:G, 6, FALSE)*E8445)</f>
        <v/>
      </c>
      <c r="J8445" s="8">
        <f>IF(G8445="","",G8445*0.20)</f>
        <v/>
      </c>
      <c r="K8445" s="8">
        <f>IF(G8445="","",G8445+J8445)</f>
        <v/>
      </c>
    </row>
    <row r="8446">
      <c r="F8446" s="8" t="n"/>
      <c r="G8446" s="8">
        <f>IF(E8446="","",E8446*F8446)</f>
        <v/>
      </c>
      <c r="H8446" s="8">
        <f>IF(G8446="","",G8446-I8446)</f>
        <v/>
      </c>
      <c r="I8446" s="8">
        <f>IF(D8446="","",VLOOKUP(D8446, RECETTES!B:G, 6, FALSE)*E8446)</f>
        <v/>
      </c>
      <c r="J8446" s="8">
        <f>IF(G8446="","",G8446*0.20)</f>
        <v/>
      </c>
      <c r="K8446" s="8">
        <f>IF(G8446="","",G8446+J8446)</f>
        <v/>
      </c>
    </row>
    <row r="8447">
      <c r="F8447" s="8" t="n"/>
      <c r="G8447" s="8">
        <f>IF(E8447="","",E8447*F8447)</f>
        <v/>
      </c>
      <c r="H8447" s="8">
        <f>IF(G8447="","",G8447-I8447)</f>
        <v/>
      </c>
      <c r="I8447" s="8">
        <f>IF(D8447="","",VLOOKUP(D8447, RECETTES!B:G, 6, FALSE)*E8447)</f>
        <v/>
      </c>
      <c r="J8447" s="8">
        <f>IF(G8447="","",G8447*0.20)</f>
        <v/>
      </c>
      <c r="K8447" s="8">
        <f>IF(G8447="","",G8447+J8447)</f>
        <v/>
      </c>
    </row>
    <row r="8448">
      <c r="F8448" s="8" t="n"/>
      <c r="G8448" s="8">
        <f>IF(E8448="","",E8448*F8448)</f>
        <v/>
      </c>
      <c r="H8448" s="8">
        <f>IF(G8448="","",G8448-I8448)</f>
        <v/>
      </c>
      <c r="I8448" s="8">
        <f>IF(D8448="","",VLOOKUP(D8448, RECETTES!B:G, 6, FALSE)*E8448)</f>
        <v/>
      </c>
      <c r="J8448" s="8">
        <f>IF(G8448="","",G8448*0.20)</f>
        <v/>
      </c>
      <c r="K8448" s="8">
        <f>IF(G8448="","",G8448+J8448)</f>
        <v/>
      </c>
    </row>
    <row r="8449">
      <c r="F8449" s="8" t="n"/>
      <c r="G8449" s="8">
        <f>IF(E8449="","",E8449*F8449)</f>
        <v/>
      </c>
      <c r="H8449" s="8">
        <f>IF(G8449="","",G8449-I8449)</f>
        <v/>
      </c>
      <c r="I8449" s="8">
        <f>IF(D8449="","",VLOOKUP(D8449, RECETTES!B:G, 6, FALSE)*E8449)</f>
        <v/>
      </c>
      <c r="J8449" s="8">
        <f>IF(G8449="","",G8449*0.20)</f>
        <v/>
      </c>
      <c r="K8449" s="8">
        <f>IF(G8449="","",G8449+J8449)</f>
        <v/>
      </c>
    </row>
    <row r="8450">
      <c r="F8450" s="8" t="n"/>
      <c r="G8450" s="8">
        <f>IF(E8450="","",E8450*F8450)</f>
        <v/>
      </c>
      <c r="H8450" s="8">
        <f>IF(G8450="","",G8450-I8450)</f>
        <v/>
      </c>
      <c r="I8450" s="8">
        <f>IF(D8450="","",VLOOKUP(D8450, RECETTES!B:G, 6, FALSE)*E8450)</f>
        <v/>
      </c>
      <c r="J8450" s="8">
        <f>IF(G8450="","",G8450*0.20)</f>
        <v/>
      </c>
      <c r="K8450" s="8">
        <f>IF(G8450="","",G8450+J8450)</f>
        <v/>
      </c>
    </row>
    <row r="8451">
      <c r="F8451" s="8" t="n"/>
      <c r="G8451" s="8">
        <f>IF(E8451="","",E8451*F8451)</f>
        <v/>
      </c>
      <c r="H8451" s="8">
        <f>IF(G8451="","",G8451-I8451)</f>
        <v/>
      </c>
      <c r="I8451" s="8">
        <f>IF(D8451="","",VLOOKUP(D8451, RECETTES!B:G, 6, FALSE)*E8451)</f>
        <v/>
      </c>
      <c r="J8451" s="8">
        <f>IF(G8451="","",G8451*0.20)</f>
        <v/>
      </c>
      <c r="K8451" s="8">
        <f>IF(G8451="","",G8451+J8451)</f>
        <v/>
      </c>
    </row>
    <row r="8452">
      <c r="F8452" s="8" t="n"/>
      <c r="G8452" s="8">
        <f>IF(E8452="","",E8452*F8452)</f>
        <v/>
      </c>
      <c r="H8452" s="8">
        <f>IF(G8452="","",G8452-I8452)</f>
        <v/>
      </c>
      <c r="I8452" s="8">
        <f>IF(D8452="","",VLOOKUP(D8452, RECETTES!B:G, 6, FALSE)*E8452)</f>
        <v/>
      </c>
      <c r="J8452" s="8">
        <f>IF(G8452="","",G8452*0.20)</f>
        <v/>
      </c>
      <c r="K8452" s="8">
        <f>IF(G8452="","",G8452+J8452)</f>
        <v/>
      </c>
    </row>
    <row r="8453">
      <c r="F8453" s="8" t="n"/>
      <c r="G8453" s="8">
        <f>IF(E8453="","",E8453*F8453)</f>
        <v/>
      </c>
      <c r="H8453" s="8">
        <f>IF(G8453="","",G8453-I8453)</f>
        <v/>
      </c>
      <c r="I8453" s="8">
        <f>IF(D8453="","",VLOOKUP(D8453, RECETTES!B:G, 6, FALSE)*E8453)</f>
        <v/>
      </c>
      <c r="J8453" s="8">
        <f>IF(G8453="","",G8453*0.20)</f>
        <v/>
      </c>
      <c r="K8453" s="8">
        <f>IF(G8453="","",G8453+J8453)</f>
        <v/>
      </c>
    </row>
    <row r="8454">
      <c r="F8454" s="8" t="n"/>
      <c r="G8454" s="8">
        <f>IF(E8454="","",E8454*F8454)</f>
        <v/>
      </c>
      <c r="H8454" s="8">
        <f>IF(G8454="","",G8454-I8454)</f>
        <v/>
      </c>
      <c r="I8454" s="8">
        <f>IF(D8454="","",VLOOKUP(D8454, RECETTES!B:G, 6, FALSE)*E8454)</f>
        <v/>
      </c>
      <c r="J8454" s="8">
        <f>IF(G8454="","",G8454*0.20)</f>
        <v/>
      </c>
      <c r="K8454" s="8">
        <f>IF(G8454="","",G8454+J8454)</f>
        <v/>
      </c>
    </row>
    <row r="8455">
      <c r="F8455" s="8" t="n"/>
      <c r="G8455" s="8">
        <f>IF(E8455="","",E8455*F8455)</f>
        <v/>
      </c>
      <c r="H8455" s="8">
        <f>IF(G8455="","",G8455-I8455)</f>
        <v/>
      </c>
      <c r="I8455" s="8">
        <f>IF(D8455="","",VLOOKUP(D8455, RECETTES!B:G, 6, FALSE)*E8455)</f>
        <v/>
      </c>
      <c r="J8455" s="8">
        <f>IF(G8455="","",G8455*0.20)</f>
        <v/>
      </c>
      <c r="K8455" s="8">
        <f>IF(G8455="","",G8455+J8455)</f>
        <v/>
      </c>
    </row>
    <row r="8456">
      <c r="F8456" s="8" t="n"/>
      <c r="G8456" s="8">
        <f>IF(E8456="","",E8456*F8456)</f>
        <v/>
      </c>
      <c r="H8456" s="8">
        <f>IF(G8456="","",G8456-I8456)</f>
        <v/>
      </c>
      <c r="I8456" s="8">
        <f>IF(D8456="","",VLOOKUP(D8456, RECETTES!B:G, 6, FALSE)*E8456)</f>
        <v/>
      </c>
      <c r="J8456" s="8">
        <f>IF(G8456="","",G8456*0.20)</f>
        <v/>
      </c>
      <c r="K8456" s="8">
        <f>IF(G8456="","",G8456+J8456)</f>
        <v/>
      </c>
    </row>
    <row r="8457">
      <c r="F8457" s="8" t="n"/>
      <c r="G8457" s="8">
        <f>IF(E8457="","",E8457*F8457)</f>
        <v/>
      </c>
      <c r="H8457" s="8">
        <f>IF(G8457="","",G8457-I8457)</f>
        <v/>
      </c>
      <c r="I8457" s="8">
        <f>IF(D8457="","",VLOOKUP(D8457, RECETTES!B:G, 6, FALSE)*E8457)</f>
        <v/>
      </c>
      <c r="J8457" s="8">
        <f>IF(G8457="","",G8457*0.20)</f>
        <v/>
      </c>
      <c r="K8457" s="8">
        <f>IF(G8457="","",G8457+J8457)</f>
        <v/>
      </c>
    </row>
    <row r="8458">
      <c r="F8458" s="8" t="n"/>
      <c r="G8458" s="8">
        <f>IF(E8458="","",E8458*F8458)</f>
        <v/>
      </c>
      <c r="H8458" s="8">
        <f>IF(G8458="","",G8458-I8458)</f>
        <v/>
      </c>
      <c r="I8458" s="8">
        <f>IF(D8458="","",VLOOKUP(D8458, RECETTES!B:G, 6, FALSE)*E8458)</f>
        <v/>
      </c>
      <c r="J8458" s="8">
        <f>IF(G8458="","",G8458*0.20)</f>
        <v/>
      </c>
      <c r="K8458" s="8">
        <f>IF(G8458="","",G8458+J8458)</f>
        <v/>
      </c>
    </row>
    <row r="8459">
      <c r="F8459" s="8" t="n"/>
      <c r="G8459" s="8">
        <f>IF(E8459="","",E8459*F8459)</f>
        <v/>
      </c>
      <c r="H8459" s="8">
        <f>IF(G8459="","",G8459-I8459)</f>
        <v/>
      </c>
      <c r="I8459" s="8">
        <f>IF(D8459="","",VLOOKUP(D8459, RECETTES!B:G, 6, FALSE)*E8459)</f>
        <v/>
      </c>
      <c r="J8459" s="8">
        <f>IF(G8459="","",G8459*0.20)</f>
        <v/>
      </c>
      <c r="K8459" s="8">
        <f>IF(G8459="","",G8459+J8459)</f>
        <v/>
      </c>
    </row>
    <row r="8460">
      <c r="F8460" s="8" t="n"/>
      <c r="G8460" s="8">
        <f>IF(E8460="","",E8460*F8460)</f>
        <v/>
      </c>
      <c r="H8460" s="8">
        <f>IF(G8460="","",G8460-I8460)</f>
        <v/>
      </c>
      <c r="I8460" s="8">
        <f>IF(D8460="","",VLOOKUP(D8460, RECETTES!B:G, 6, FALSE)*E8460)</f>
        <v/>
      </c>
      <c r="J8460" s="8">
        <f>IF(G8460="","",G8460*0.20)</f>
        <v/>
      </c>
      <c r="K8460" s="8">
        <f>IF(G8460="","",G8460+J8460)</f>
        <v/>
      </c>
    </row>
    <row r="8461">
      <c r="F8461" s="8" t="n"/>
      <c r="G8461" s="8">
        <f>IF(E8461="","",E8461*F8461)</f>
        <v/>
      </c>
      <c r="H8461" s="8">
        <f>IF(G8461="","",G8461-I8461)</f>
        <v/>
      </c>
      <c r="I8461" s="8">
        <f>IF(D8461="","",VLOOKUP(D8461, RECETTES!B:G, 6, FALSE)*E8461)</f>
        <v/>
      </c>
      <c r="J8461" s="8">
        <f>IF(G8461="","",G8461*0.20)</f>
        <v/>
      </c>
      <c r="K8461" s="8">
        <f>IF(G8461="","",G8461+J8461)</f>
        <v/>
      </c>
    </row>
    <row r="8462">
      <c r="F8462" s="8" t="n"/>
      <c r="G8462" s="8">
        <f>IF(E8462="","",E8462*F8462)</f>
        <v/>
      </c>
      <c r="H8462" s="8">
        <f>IF(G8462="","",G8462-I8462)</f>
        <v/>
      </c>
      <c r="I8462" s="8">
        <f>IF(D8462="","",VLOOKUP(D8462, RECETTES!B:G, 6, FALSE)*E8462)</f>
        <v/>
      </c>
      <c r="J8462" s="8">
        <f>IF(G8462="","",G8462*0.20)</f>
        <v/>
      </c>
      <c r="K8462" s="8">
        <f>IF(G8462="","",G8462+J8462)</f>
        <v/>
      </c>
    </row>
    <row r="8463">
      <c r="F8463" s="8" t="n"/>
      <c r="G8463" s="8">
        <f>IF(E8463="","",E8463*F8463)</f>
        <v/>
      </c>
      <c r="H8463" s="8">
        <f>IF(G8463="","",G8463-I8463)</f>
        <v/>
      </c>
      <c r="I8463" s="8">
        <f>IF(D8463="","",VLOOKUP(D8463, RECETTES!B:G, 6, FALSE)*E8463)</f>
        <v/>
      </c>
      <c r="J8463" s="8">
        <f>IF(G8463="","",G8463*0.20)</f>
        <v/>
      </c>
      <c r="K8463" s="8">
        <f>IF(G8463="","",G8463+J8463)</f>
        <v/>
      </c>
    </row>
    <row r="8464">
      <c r="F8464" s="8" t="n"/>
      <c r="G8464" s="8">
        <f>IF(E8464="","",E8464*F8464)</f>
        <v/>
      </c>
      <c r="H8464" s="8">
        <f>IF(G8464="","",G8464-I8464)</f>
        <v/>
      </c>
      <c r="I8464" s="8">
        <f>IF(D8464="","",VLOOKUP(D8464, RECETTES!B:G, 6, FALSE)*E8464)</f>
        <v/>
      </c>
      <c r="J8464" s="8">
        <f>IF(G8464="","",G8464*0.20)</f>
        <v/>
      </c>
      <c r="K8464" s="8">
        <f>IF(G8464="","",G8464+J8464)</f>
        <v/>
      </c>
    </row>
    <row r="8465">
      <c r="F8465" s="8" t="n"/>
      <c r="G8465" s="8">
        <f>IF(E8465="","",E8465*F8465)</f>
        <v/>
      </c>
      <c r="H8465" s="8">
        <f>IF(G8465="","",G8465-I8465)</f>
        <v/>
      </c>
      <c r="I8465" s="8">
        <f>IF(D8465="","",VLOOKUP(D8465, RECETTES!B:G, 6, FALSE)*E8465)</f>
        <v/>
      </c>
      <c r="J8465" s="8">
        <f>IF(G8465="","",G8465*0.20)</f>
        <v/>
      </c>
      <c r="K8465" s="8">
        <f>IF(G8465="","",G8465+J8465)</f>
        <v/>
      </c>
    </row>
    <row r="8466">
      <c r="F8466" s="8" t="n"/>
      <c r="G8466" s="8">
        <f>IF(E8466="","",E8466*F8466)</f>
        <v/>
      </c>
      <c r="H8466" s="8">
        <f>IF(G8466="","",G8466-I8466)</f>
        <v/>
      </c>
      <c r="I8466" s="8">
        <f>IF(D8466="","",VLOOKUP(D8466, RECETTES!B:G, 6, FALSE)*E8466)</f>
        <v/>
      </c>
      <c r="J8466" s="8">
        <f>IF(G8466="","",G8466*0.20)</f>
        <v/>
      </c>
      <c r="K8466" s="8">
        <f>IF(G8466="","",G8466+J8466)</f>
        <v/>
      </c>
    </row>
    <row r="8467">
      <c r="F8467" s="8" t="n"/>
      <c r="G8467" s="8">
        <f>IF(E8467="","",E8467*F8467)</f>
        <v/>
      </c>
      <c r="H8467" s="8">
        <f>IF(G8467="","",G8467-I8467)</f>
        <v/>
      </c>
      <c r="I8467" s="8">
        <f>IF(D8467="","",VLOOKUP(D8467, RECETTES!B:G, 6, FALSE)*E8467)</f>
        <v/>
      </c>
      <c r="J8467" s="8">
        <f>IF(G8467="","",G8467*0.20)</f>
        <v/>
      </c>
      <c r="K8467" s="8">
        <f>IF(G8467="","",G8467+J8467)</f>
        <v/>
      </c>
    </row>
    <row r="8468">
      <c r="F8468" s="8" t="n"/>
      <c r="G8468" s="8">
        <f>IF(E8468="","",E8468*F8468)</f>
        <v/>
      </c>
      <c r="H8468" s="8">
        <f>IF(G8468="","",G8468-I8468)</f>
        <v/>
      </c>
      <c r="I8468" s="8">
        <f>IF(D8468="","",VLOOKUP(D8468, RECETTES!B:G, 6, FALSE)*E8468)</f>
        <v/>
      </c>
      <c r="J8468" s="8">
        <f>IF(G8468="","",G8468*0.20)</f>
        <v/>
      </c>
      <c r="K8468" s="8">
        <f>IF(G8468="","",G8468+J8468)</f>
        <v/>
      </c>
    </row>
    <row r="8469">
      <c r="F8469" s="8" t="n"/>
      <c r="G8469" s="8">
        <f>IF(E8469="","",E8469*F8469)</f>
        <v/>
      </c>
      <c r="H8469" s="8">
        <f>IF(G8469="","",G8469-I8469)</f>
        <v/>
      </c>
      <c r="I8469" s="8">
        <f>IF(D8469="","",VLOOKUP(D8469, RECETTES!B:G, 6, FALSE)*E8469)</f>
        <v/>
      </c>
      <c r="J8469" s="8">
        <f>IF(G8469="","",G8469*0.20)</f>
        <v/>
      </c>
      <c r="K8469" s="8">
        <f>IF(G8469="","",G8469+J8469)</f>
        <v/>
      </c>
    </row>
    <row r="8470">
      <c r="F8470" s="8" t="n"/>
      <c r="G8470" s="8">
        <f>IF(E8470="","",E8470*F8470)</f>
        <v/>
      </c>
      <c r="H8470" s="8">
        <f>IF(G8470="","",G8470-I8470)</f>
        <v/>
      </c>
      <c r="I8470" s="8">
        <f>IF(D8470="","",VLOOKUP(D8470, RECETTES!B:G, 6, FALSE)*E8470)</f>
        <v/>
      </c>
      <c r="J8470" s="8">
        <f>IF(G8470="","",G8470*0.20)</f>
        <v/>
      </c>
      <c r="K8470" s="8">
        <f>IF(G8470="","",G8470+J8470)</f>
        <v/>
      </c>
    </row>
    <row r="8471">
      <c r="F8471" s="8" t="n"/>
      <c r="G8471" s="8">
        <f>IF(E8471="","",E8471*F8471)</f>
        <v/>
      </c>
      <c r="H8471" s="8">
        <f>IF(G8471="","",G8471-I8471)</f>
        <v/>
      </c>
      <c r="I8471" s="8">
        <f>IF(D8471="","",VLOOKUP(D8471, RECETTES!B:G, 6, FALSE)*E8471)</f>
        <v/>
      </c>
      <c r="J8471" s="8">
        <f>IF(G8471="","",G8471*0.20)</f>
        <v/>
      </c>
      <c r="K8471" s="8">
        <f>IF(G8471="","",G8471+J8471)</f>
        <v/>
      </c>
    </row>
    <row r="8472">
      <c r="F8472" s="8" t="n"/>
      <c r="G8472" s="8">
        <f>IF(E8472="","",E8472*F8472)</f>
        <v/>
      </c>
      <c r="H8472" s="8">
        <f>IF(G8472="","",G8472-I8472)</f>
        <v/>
      </c>
      <c r="I8472" s="8">
        <f>IF(D8472="","",VLOOKUP(D8472, RECETTES!B:G, 6, FALSE)*E8472)</f>
        <v/>
      </c>
      <c r="J8472" s="8">
        <f>IF(G8472="","",G8472*0.20)</f>
        <v/>
      </c>
      <c r="K8472" s="8">
        <f>IF(G8472="","",G8472+J8472)</f>
        <v/>
      </c>
    </row>
    <row r="8473">
      <c r="F8473" s="8" t="n"/>
      <c r="G8473" s="8">
        <f>IF(E8473="","",E8473*F8473)</f>
        <v/>
      </c>
      <c r="H8473" s="8">
        <f>IF(G8473="","",G8473-I8473)</f>
        <v/>
      </c>
      <c r="I8473" s="8">
        <f>IF(D8473="","",VLOOKUP(D8473, RECETTES!B:G, 6, FALSE)*E8473)</f>
        <v/>
      </c>
      <c r="J8473" s="8">
        <f>IF(G8473="","",G8473*0.20)</f>
        <v/>
      </c>
      <c r="K8473" s="8">
        <f>IF(G8473="","",G8473+J8473)</f>
        <v/>
      </c>
    </row>
    <row r="8474">
      <c r="F8474" s="8" t="n"/>
      <c r="G8474" s="8">
        <f>IF(E8474="","",E8474*F8474)</f>
        <v/>
      </c>
      <c r="H8474" s="8">
        <f>IF(G8474="","",G8474-I8474)</f>
        <v/>
      </c>
      <c r="I8474" s="8">
        <f>IF(D8474="","",VLOOKUP(D8474, RECETTES!B:G, 6, FALSE)*E8474)</f>
        <v/>
      </c>
      <c r="J8474" s="8">
        <f>IF(G8474="","",G8474*0.20)</f>
        <v/>
      </c>
      <c r="K8474" s="8">
        <f>IF(G8474="","",G8474+J8474)</f>
        <v/>
      </c>
    </row>
    <row r="8475">
      <c r="F8475" s="8" t="n"/>
      <c r="G8475" s="8">
        <f>IF(E8475="","",E8475*F8475)</f>
        <v/>
      </c>
      <c r="H8475" s="8">
        <f>IF(G8475="","",G8475-I8475)</f>
        <v/>
      </c>
      <c r="I8475" s="8">
        <f>IF(D8475="","",VLOOKUP(D8475, RECETTES!B:G, 6, FALSE)*E8475)</f>
        <v/>
      </c>
      <c r="J8475" s="8">
        <f>IF(G8475="","",G8475*0.20)</f>
        <v/>
      </c>
      <c r="K8475" s="8">
        <f>IF(G8475="","",G8475+J8475)</f>
        <v/>
      </c>
    </row>
    <row r="8476">
      <c r="F8476" s="8" t="n"/>
      <c r="G8476" s="8">
        <f>IF(E8476="","",E8476*F8476)</f>
        <v/>
      </c>
      <c r="H8476" s="8">
        <f>IF(G8476="","",G8476-I8476)</f>
        <v/>
      </c>
      <c r="I8476" s="8">
        <f>IF(D8476="","",VLOOKUP(D8476, RECETTES!B:G, 6, FALSE)*E8476)</f>
        <v/>
      </c>
      <c r="J8476" s="8">
        <f>IF(G8476="","",G8476*0.20)</f>
        <v/>
      </c>
      <c r="K8476" s="8">
        <f>IF(G8476="","",G8476+J8476)</f>
        <v/>
      </c>
    </row>
    <row r="8477">
      <c r="F8477" s="8" t="n"/>
      <c r="G8477" s="8">
        <f>IF(E8477="","",E8477*F8477)</f>
        <v/>
      </c>
      <c r="H8477" s="8">
        <f>IF(G8477="","",G8477-I8477)</f>
        <v/>
      </c>
      <c r="I8477" s="8">
        <f>IF(D8477="","",VLOOKUP(D8477, RECETTES!B:G, 6, FALSE)*E8477)</f>
        <v/>
      </c>
      <c r="J8477" s="8">
        <f>IF(G8477="","",G8477*0.20)</f>
        <v/>
      </c>
      <c r="K8477" s="8">
        <f>IF(G8477="","",G8477+J8477)</f>
        <v/>
      </c>
    </row>
    <row r="8478">
      <c r="F8478" s="8" t="n"/>
      <c r="G8478" s="8">
        <f>IF(E8478="","",E8478*F8478)</f>
        <v/>
      </c>
      <c r="H8478" s="8">
        <f>IF(G8478="","",G8478-I8478)</f>
        <v/>
      </c>
      <c r="I8478" s="8">
        <f>IF(D8478="","",VLOOKUP(D8478, RECETTES!B:G, 6, FALSE)*E8478)</f>
        <v/>
      </c>
      <c r="J8478" s="8">
        <f>IF(G8478="","",G8478*0.20)</f>
        <v/>
      </c>
      <c r="K8478" s="8">
        <f>IF(G8478="","",G8478+J8478)</f>
        <v/>
      </c>
    </row>
    <row r="8479">
      <c r="F8479" s="8" t="n"/>
      <c r="G8479" s="8">
        <f>IF(E8479="","",E8479*F8479)</f>
        <v/>
      </c>
      <c r="H8479" s="8">
        <f>IF(G8479="","",G8479-I8479)</f>
        <v/>
      </c>
      <c r="I8479" s="8">
        <f>IF(D8479="","",VLOOKUP(D8479, RECETTES!B:G, 6, FALSE)*E8479)</f>
        <v/>
      </c>
      <c r="J8479" s="8">
        <f>IF(G8479="","",G8479*0.20)</f>
        <v/>
      </c>
      <c r="K8479" s="8">
        <f>IF(G8479="","",G8479+J8479)</f>
        <v/>
      </c>
    </row>
    <row r="8480">
      <c r="F8480" s="8" t="n"/>
      <c r="G8480" s="8">
        <f>IF(E8480="","",E8480*F8480)</f>
        <v/>
      </c>
      <c r="H8480" s="8">
        <f>IF(G8480="","",G8480-I8480)</f>
        <v/>
      </c>
      <c r="I8480" s="8">
        <f>IF(D8480="","",VLOOKUP(D8480, RECETTES!B:G, 6, FALSE)*E8480)</f>
        <v/>
      </c>
      <c r="J8480" s="8">
        <f>IF(G8480="","",G8480*0.20)</f>
        <v/>
      </c>
      <c r="K8480" s="8">
        <f>IF(G8480="","",G8480+J8480)</f>
        <v/>
      </c>
    </row>
    <row r="8481">
      <c r="F8481" s="8" t="n"/>
      <c r="G8481" s="8">
        <f>IF(E8481="","",E8481*F8481)</f>
        <v/>
      </c>
      <c r="H8481" s="8">
        <f>IF(G8481="","",G8481-I8481)</f>
        <v/>
      </c>
      <c r="I8481" s="8">
        <f>IF(D8481="","",VLOOKUP(D8481, RECETTES!B:G, 6, FALSE)*E8481)</f>
        <v/>
      </c>
      <c r="J8481" s="8">
        <f>IF(G8481="","",G8481*0.20)</f>
        <v/>
      </c>
      <c r="K8481" s="8">
        <f>IF(G8481="","",G8481+J8481)</f>
        <v/>
      </c>
    </row>
    <row r="8482">
      <c r="F8482" s="8" t="n"/>
      <c r="G8482" s="8">
        <f>IF(E8482="","",E8482*F8482)</f>
        <v/>
      </c>
      <c r="H8482" s="8">
        <f>IF(G8482="","",G8482-I8482)</f>
        <v/>
      </c>
      <c r="I8482" s="8">
        <f>IF(D8482="","",VLOOKUP(D8482, RECETTES!B:G, 6, FALSE)*E8482)</f>
        <v/>
      </c>
      <c r="J8482" s="8">
        <f>IF(G8482="","",G8482*0.20)</f>
        <v/>
      </c>
      <c r="K8482" s="8">
        <f>IF(G8482="","",G8482+J8482)</f>
        <v/>
      </c>
    </row>
    <row r="8483">
      <c r="F8483" s="8" t="n"/>
      <c r="G8483" s="8">
        <f>IF(E8483="","",E8483*F8483)</f>
        <v/>
      </c>
      <c r="H8483" s="8">
        <f>IF(G8483="","",G8483-I8483)</f>
        <v/>
      </c>
      <c r="I8483" s="8">
        <f>IF(D8483="","",VLOOKUP(D8483, RECETTES!B:G, 6, FALSE)*E8483)</f>
        <v/>
      </c>
      <c r="J8483" s="8">
        <f>IF(G8483="","",G8483*0.20)</f>
        <v/>
      </c>
      <c r="K8483" s="8">
        <f>IF(G8483="","",G8483+J8483)</f>
        <v/>
      </c>
    </row>
    <row r="8484">
      <c r="F8484" s="8" t="n"/>
      <c r="G8484" s="8">
        <f>IF(E8484="","",E8484*F8484)</f>
        <v/>
      </c>
      <c r="H8484" s="8">
        <f>IF(G8484="","",G8484-I8484)</f>
        <v/>
      </c>
      <c r="I8484" s="8">
        <f>IF(D8484="","",VLOOKUP(D8484, RECETTES!B:G, 6, FALSE)*E8484)</f>
        <v/>
      </c>
      <c r="J8484" s="8">
        <f>IF(G8484="","",G8484*0.20)</f>
        <v/>
      </c>
      <c r="K8484" s="8">
        <f>IF(G8484="","",G8484+J8484)</f>
        <v/>
      </c>
    </row>
    <row r="8485">
      <c r="F8485" s="8" t="n"/>
      <c r="G8485" s="8">
        <f>IF(E8485="","",E8485*F8485)</f>
        <v/>
      </c>
      <c r="H8485" s="8">
        <f>IF(G8485="","",G8485-I8485)</f>
        <v/>
      </c>
      <c r="I8485" s="8">
        <f>IF(D8485="","",VLOOKUP(D8485, RECETTES!B:G, 6, FALSE)*E8485)</f>
        <v/>
      </c>
      <c r="J8485" s="8">
        <f>IF(G8485="","",G8485*0.20)</f>
        <v/>
      </c>
      <c r="K8485" s="8">
        <f>IF(G8485="","",G8485+J8485)</f>
        <v/>
      </c>
    </row>
    <row r="8486">
      <c r="F8486" s="8" t="n"/>
      <c r="G8486" s="8">
        <f>IF(E8486="","",E8486*F8486)</f>
        <v/>
      </c>
      <c r="H8486" s="8">
        <f>IF(G8486="","",G8486-I8486)</f>
        <v/>
      </c>
      <c r="I8486" s="8">
        <f>IF(D8486="","",VLOOKUP(D8486, RECETTES!B:G, 6, FALSE)*E8486)</f>
        <v/>
      </c>
      <c r="J8486" s="8">
        <f>IF(G8486="","",G8486*0.20)</f>
        <v/>
      </c>
      <c r="K8486" s="8">
        <f>IF(G8486="","",G8486+J8486)</f>
        <v/>
      </c>
    </row>
    <row r="8487">
      <c r="F8487" s="8" t="n"/>
      <c r="G8487" s="8">
        <f>IF(E8487="","",E8487*F8487)</f>
        <v/>
      </c>
      <c r="H8487" s="8">
        <f>IF(G8487="","",G8487-I8487)</f>
        <v/>
      </c>
      <c r="I8487" s="8">
        <f>IF(D8487="","",VLOOKUP(D8487, RECETTES!B:G, 6, FALSE)*E8487)</f>
        <v/>
      </c>
      <c r="J8487" s="8">
        <f>IF(G8487="","",G8487*0.20)</f>
        <v/>
      </c>
      <c r="K8487" s="8">
        <f>IF(G8487="","",G8487+J8487)</f>
        <v/>
      </c>
    </row>
    <row r="8488">
      <c r="F8488" s="8" t="n"/>
      <c r="G8488" s="8">
        <f>IF(E8488="","",E8488*F8488)</f>
        <v/>
      </c>
      <c r="H8488" s="8">
        <f>IF(G8488="","",G8488-I8488)</f>
        <v/>
      </c>
      <c r="I8488" s="8">
        <f>IF(D8488="","",VLOOKUP(D8488, RECETTES!B:G, 6, FALSE)*E8488)</f>
        <v/>
      </c>
      <c r="J8488" s="8">
        <f>IF(G8488="","",G8488*0.20)</f>
        <v/>
      </c>
      <c r="K8488" s="8">
        <f>IF(G8488="","",G8488+J8488)</f>
        <v/>
      </c>
    </row>
    <row r="8489">
      <c r="F8489" s="8" t="n"/>
      <c r="G8489" s="8">
        <f>IF(E8489="","",E8489*F8489)</f>
        <v/>
      </c>
      <c r="H8489" s="8">
        <f>IF(G8489="","",G8489-I8489)</f>
        <v/>
      </c>
      <c r="I8489" s="8">
        <f>IF(D8489="","",VLOOKUP(D8489, RECETTES!B:G, 6, FALSE)*E8489)</f>
        <v/>
      </c>
      <c r="J8489" s="8">
        <f>IF(G8489="","",G8489*0.20)</f>
        <v/>
      </c>
      <c r="K8489" s="8">
        <f>IF(G8489="","",G8489+J8489)</f>
        <v/>
      </c>
    </row>
    <row r="8490">
      <c r="F8490" s="8" t="n"/>
      <c r="G8490" s="8">
        <f>IF(E8490="","",E8490*F8490)</f>
        <v/>
      </c>
      <c r="H8490" s="8">
        <f>IF(G8490="","",G8490-I8490)</f>
        <v/>
      </c>
      <c r="I8490" s="8">
        <f>IF(D8490="","",VLOOKUP(D8490, RECETTES!B:G, 6, FALSE)*E8490)</f>
        <v/>
      </c>
      <c r="J8490" s="8">
        <f>IF(G8490="","",G8490*0.20)</f>
        <v/>
      </c>
      <c r="K8490" s="8">
        <f>IF(G8490="","",G8490+J8490)</f>
        <v/>
      </c>
    </row>
    <row r="8491">
      <c r="F8491" s="8" t="n"/>
      <c r="G8491" s="8">
        <f>IF(E8491="","",E8491*F8491)</f>
        <v/>
      </c>
      <c r="H8491" s="8">
        <f>IF(G8491="","",G8491-I8491)</f>
        <v/>
      </c>
      <c r="I8491" s="8">
        <f>IF(D8491="","",VLOOKUP(D8491, RECETTES!B:G, 6, FALSE)*E8491)</f>
        <v/>
      </c>
      <c r="J8491" s="8">
        <f>IF(G8491="","",G8491*0.20)</f>
        <v/>
      </c>
      <c r="K8491" s="8">
        <f>IF(G8491="","",G8491+J8491)</f>
        <v/>
      </c>
    </row>
    <row r="8492">
      <c r="F8492" s="8" t="n"/>
      <c r="G8492" s="8">
        <f>IF(E8492="","",E8492*F8492)</f>
        <v/>
      </c>
      <c r="H8492" s="8">
        <f>IF(G8492="","",G8492-I8492)</f>
        <v/>
      </c>
      <c r="I8492" s="8">
        <f>IF(D8492="","",VLOOKUP(D8492, RECETTES!B:G, 6, FALSE)*E8492)</f>
        <v/>
      </c>
      <c r="J8492" s="8">
        <f>IF(G8492="","",G8492*0.20)</f>
        <v/>
      </c>
      <c r="K8492" s="8">
        <f>IF(G8492="","",G8492+J8492)</f>
        <v/>
      </c>
    </row>
    <row r="8493">
      <c r="F8493" s="8" t="n"/>
      <c r="G8493" s="8">
        <f>IF(E8493="","",E8493*F8493)</f>
        <v/>
      </c>
      <c r="H8493" s="8">
        <f>IF(G8493="","",G8493-I8493)</f>
        <v/>
      </c>
      <c r="I8493" s="8">
        <f>IF(D8493="","",VLOOKUP(D8493, RECETTES!B:G, 6, FALSE)*E8493)</f>
        <v/>
      </c>
      <c r="J8493" s="8">
        <f>IF(G8493="","",G8493*0.20)</f>
        <v/>
      </c>
      <c r="K8493" s="8">
        <f>IF(G8493="","",G8493+J8493)</f>
        <v/>
      </c>
    </row>
    <row r="8494">
      <c r="F8494" s="8" t="n"/>
      <c r="G8494" s="8">
        <f>IF(E8494="","",E8494*F8494)</f>
        <v/>
      </c>
      <c r="H8494" s="8">
        <f>IF(G8494="","",G8494-I8494)</f>
        <v/>
      </c>
      <c r="I8494" s="8">
        <f>IF(D8494="","",VLOOKUP(D8494, RECETTES!B:G, 6, FALSE)*E8494)</f>
        <v/>
      </c>
      <c r="J8494" s="8">
        <f>IF(G8494="","",G8494*0.20)</f>
        <v/>
      </c>
      <c r="K8494" s="8">
        <f>IF(G8494="","",G8494+J8494)</f>
        <v/>
      </c>
    </row>
    <row r="8495">
      <c r="F8495" s="8" t="n"/>
      <c r="G8495" s="8">
        <f>IF(E8495="","",E8495*F8495)</f>
        <v/>
      </c>
      <c r="H8495" s="8">
        <f>IF(G8495="","",G8495-I8495)</f>
        <v/>
      </c>
      <c r="I8495" s="8">
        <f>IF(D8495="","",VLOOKUP(D8495, RECETTES!B:G, 6, FALSE)*E8495)</f>
        <v/>
      </c>
      <c r="J8495" s="8">
        <f>IF(G8495="","",G8495*0.20)</f>
        <v/>
      </c>
      <c r="K8495" s="8">
        <f>IF(G8495="","",G8495+J8495)</f>
        <v/>
      </c>
    </row>
    <row r="8496">
      <c r="F8496" s="8" t="n"/>
      <c r="G8496" s="8">
        <f>IF(E8496="","",E8496*F8496)</f>
        <v/>
      </c>
      <c r="H8496" s="8">
        <f>IF(G8496="","",G8496-I8496)</f>
        <v/>
      </c>
      <c r="I8496" s="8">
        <f>IF(D8496="","",VLOOKUP(D8496, RECETTES!B:G, 6, FALSE)*E8496)</f>
        <v/>
      </c>
      <c r="J8496" s="8">
        <f>IF(G8496="","",G8496*0.20)</f>
        <v/>
      </c>
      <c r="K8496" s="8">
        <f>IF(G8496="","",G8496+J8496)</f>
        <v/>
      </c>
    </row>
    <row r="8497">
      <c r="F8497" s="8" t="n"/>
      <c r="G8497" s="8">
        <f>IF(E8497="","",E8497*F8497)</f>
        <v/>
      </c>
      <c r="H8497" s="8">
        <f>IF(G8497="","",G8497-I8497)</f>
        <v/>
      </c>
      <c r="I8497" s="8">
        <f>IF(D8497="","",VLOOKUP(D8497, RECETTES!B:G, 6, FALSE)*E8497)</f>
        <v/>
      </c>
      <c r="J8497" s="8">
        <f>IF(G8497="","",G8497*0.20)</f>
        <v/>
      </c>
      <c r="K8497" s="8">
        <f>IF(G8497="","",G8497+J8497)</f>
        <v/>
      </c>
    </row>
    <row r="8498">
      <c r="F8498" s="8" t="n"/>
      <c r="G8498" s="8">
        <f>IF(E8498="","",E8498*F8498)</f>
        <v/>
      </c>
      <c r="H8498" s="8">
        <f>IF(G8498="","",G8498-I8498)</f>
        <v/>
      </c>
      <c r="I8498" s="8">
        <f>IF(D8498="","",VLOOKUP(D8498, RECETTES!B:G, 6, FALSE)*E8498)</f>
        <v/>
      </c>
      <c r="J8498" s="8">
        <f>IF(G8498="","",G8498*0.20)</f>
        <v/>
      </c>
      <c r="K8498" s="8">
        <f>IF(G8498="","",G8498+J8498)</f>
        <v/>
      </c>
    </row>
    <row r="8499">
      <c r="F8499" s="8" t="n"/>
      <c r="G8499" s="8">
        <f>IF(E8499="","",E8499*F8499)</f>
        <v/>
      </c>
      <c r="H8499" s="8">
        <f>IF(G8499="","",G8499-I8499)</f>
        <v/>
      </c>
      <c r="I8499" s="8">
        <f>IF(D8499="","",VLOOKUP(D8499, RECETTES!B:G, 6, FALSE)*E8499)</f>
        <v/>
      </c>
      <c r="J8499" s="8">
        <f>IF(G8499="","",G8499*0.20)</f>
        <v/>
      </c>
      <c r="K8499" s="8">
        <f>IF(G8499="","",G8499+J8499)</f>
        <v/>
      </c>
    </row>
    <row r="8500">
      <c r="F8500" s="8" t="n"/>
      <c r="G8500" s="8">
        <f>IF(E8500="","",E8500*F8500)</f>
        <v/>
      </c>
      <c r="H8500" s="8">
        <f>IF(G8500="","",G8500-I8500)</f>
        <v/>
      </c>
      <c r="I8500" s="8">
        <f>IF(D8500="","",VLOOKUP(D8500, RECETTES!B:G, 6, FALSE)*E8500)</f>
        <v/>
      </c>
      <c r="J8500" s="8">
        <f>IF(G8500="","",G8500*0.20)</f>
        <v/>
      </c>
      <c r="K8500" s="8">
        <f>IF(G8500="","",G8500+J8500)</f>
        <v/>
      </c>
    </row>
    <row r="8501">
      <c r="F8501" s="8" t="n"/>
      <c r="G8501" s="8">
        <f>IF(E8501="","",E8501*F8501)</f>
        <v/>
      </c>
      <c r="H8501" s="8">
        <f>IF(G8501="","",G8501-I8501)</f>
        <v/>
      </c>
      <c r="I8501" s="8">
        <f>IF(D8501="","",VLOOKUP(D8501, RECETTES!B:G, 6, FALSE)*E8501)</f>
        <v/>
      </c>
      <c r="J8501" s="8">
        <f>IF(G8501="","",G8501*0.20)</f>
        <v/>
      </c>
      <c r="K8501" s="8">
        <f>IF(G8501="","",G8501+J8501)</f>
        <v/>
      </c>
    </row>
    <row r="8502">
      <c r="F8502" s="8" t="n"/>
      <c r="G8502" s="8">
        <f>IF(E8502="","",E8502*F8502)</f>
        <v/>
      </c>
      <c r="H8502" s="8">
        <f>IF(G8502="","",G8502-I8502)</f>
        <v/>
      </c>
      <c r="I8502" s="8">
        <f>IF(D8502="","",VLOOKUP(D8502, RECETTES!B:G, 6, FALSE)*E8502)</f>
        <v/>
      </c>
      <c r="J8502" s="8">
        <f>IF(G8502="","",G8502*0.20)</f>
        <v/>
      </c>
      <c r="K8502" s="8">
        <f>IF(G8502="","",G8502+J8502)</f>
        <v/>
      </c>
    </row>
    <row r="8503">
      <c r="F8503" s="8" t="n"/>
      <c r="G8503" s="8">
        <f>IF(E8503="","",E8503*F8503)</f>
        <v/>
      </c>
      <c r="H8503" s="8">
        <f>IF(G8503="","",G8503-I8503)</f>
        <v/>
      </c>
      <c r="I8503" s="8">
        <f>IF(D8503="","",VLOOKUP(D8503, RECETTES!B:G, 6, FALSE)*E8503)</f>
        <v/>
      </c>
      <c r="J8503" s="8">
        <f>IF(G8503="","",G8503*0.20)</f>
        <v/>
      </c>
      <c r="K8503" s="8">
        <f>IF(G8503="","",G8503+J8503)</f>
        <v/>
      </c>
    </row>
    <row r="8504">
      <c r="F8504" s="8" t="n"/>
      <c r="G8504" s="8">
        <f>IF(E8504="","",E8504*F8504)</f>
        <v/>
      </c>
      <c r="H8504" s="8">
        <f>IF(G8504="","",G8504-I8504)</f>
        <v/>
      </c>
      <c r="I8504" s="8">
        <f>IF(D8504="","",VLOOKUP(D8504, RECETTES!B:G, 6, FALSE)*E8504)</f>
        <v/>
      </c>
      <c r="J8504" s="8">
        <f>IF(G8504="","",G8504*0.20)</f>
        <v/>
      </c>
      <c r="K8504" s="8">
        <f>IF(G8504="","",G8504+J8504)</f>
        <v/>
      </c>
    </row>
    <row r="8505">
      <c r="F8505" s="8" t="n"/>
      <c r="G8505" s="8">
        <f>IF(E8505="","",E8505*F8505)</f>
        <v/>
      </c>
      <c r="H8505" s="8">
        <f>IF(G8505="","",G8505-I8505)</f>
        <v/>
      </c>
      <c r="I8505" s="8">
        <f>IF(D8505="","",VLOOKUP(D8505, RECETTES!B:G, 6, FALSE)*E8505)</f>
        <v/>
      </c>
      <c r="J8505" s="8">
        <f>IF(G8505="","",G8505*0.20)</f>
        <v/>
      </c>
      <c r="K8505" s="8">
        <f>IF(G8505="","",G8505+J8505)</f>
        <v/>
      </c>
    </row>
    <row r="8506">
      <c r="F8506" s="8" t="n"/>
      <c r="G8506" s="8">
        <f>IF(E8506="","",E8506*F8506)</f>
        <v/>
      </c>
      <c r="H8506" s="8">
        <f>IF(G8506="","",G8506-I8506)</f>
        <v/>
      </c>
      <c r="I8506" s="8">
        <f>IF(D8506="","",VLOOKUP(D8506, RECETTES!B:G, 6, FALSE)*E8506)</f>
        <v/>
      </c>
      <c r="J8506" s="8">
        <f>IF(G8506="","",G8506*0.20)</f>
        <v/>
      </c>
      <c r="K8506" s="8">
        <f>IF(G8506="","",G8506+J8506)</f>
        <v/>
      </c>
    </row>
    <row r="8507">
      <c r="F8507" s="8" t="n"/>
      <c r="G8507" s="8">
        <f>IF(E8507="","",E8507*F8507)</f>
        <v/>
      </c>
      <c r="H8507" s="8">
        <f>IF(G8507="","",G8507-I8507)</f>
        <v/>
      </c>
      <c r="I8507" s="8">
        <f>IF(D8507="","",VLOOKUP(D8507, RECETTES!B:G, 6, FALSE)*E8507)</f>
        <v/>
      </c>
      <c r="J8507" s="8">
        <f>IF(G8507="","",G8507*0.20)</f>
        <v/>
      </c>
      <c r="K8507" s="8">
        <f>IF(G8507="","",G8507+J8507)</f>
        <v/>
      </c>
    </row>
    <row r="8508">
      <c r="F8508" s="8" t="n"/>
      <c r="G8508" s="8">
        <f>IF(E8508="","",E8508*F8508)</f>
        <v/>
      </c>
      <c r="H8508" s="8">
        <f>IF(G8508="","",G8508-I8508)</f>
        <v/>
      </c>
      <c r="I8508" s="8">
        <f>IF(D8508="","",VLOOKUP(D8508, RECETTES!B:G, 6, FALSE)*E8508)</f>
        <v/>
      </c>
      <c r="J8508" s="8">
        <f>IF(G8508="","",G8508*0.20)</f>
        <v/>
      </c>
      <c r="K8508" s="8">
        <f>IF(G8508="","",G8508+J8508)</f>
        <v/>
      </c>
    </row>
    <row r="8509">
      <c r="F8509" s="8" t="n"/>
      <c r="G8509" s="8">
        <f>IF(E8509="","",E8509*F8509)</f>
        <v/>
      </c>
      <c r="H8509" s="8">
        <f>IF(G8509="","",G8509-I8509)</f>
        <v/>
      </c>
      <c r="I8509" s="8">
        <f>IF(D8509="","",VLOOKUP(D8509, RECETTES!B:G, 6, FALSE)*E8509)</f>
        <v/>
      </c>
      <c r="J8509" s="8">
        <f>IF(G8509="","",G8509*0.20)</f>
        <v/>
      </c>
      <c r="K8509" s="8">
        <f>IF(G8509="","",G8509+J8509)</f>
        <v/>
      </c>
    </row>
    <row r="8510">
      <c r="F8510" s="8" t="n"/>
      <c r="G8510" s="8">
        <f>IF(E8510="","",E8510*F8510)</f>
        <v/>
      </c>
      <c r="H8510" s="8">
        <f>IF(G8510="","",G8510-I8510)</f>
        <v/>
      </c>
      <c r="I8510" s="8">
        <f>IF(D8510="","",VLOOKUP(D8510, RECETTES!B:G, 6, FALSE)*E8510)</f>
        <v/>
      </c>
      <c r="J8510" s="8">
        <f>IF(G8510="","",G8510*0.20)</f>
        <v/>
      </c>
      <c r="K8510" s="8">
        <f>IF(G8510="","",G8510+J8510)</f>
        <v/>
      </c>
    </row>
    <row r="8511">
      <c r="F8511" s="8" t="n"/>
      <c r="G8511" s="8">
        <f>IF(E8511="","",E8511*F8511)</f>
        <v/>
      </c>
      <c r="H8511" s="8">
        <f>IF(G8511="","",G8511-I8511)</f>
        <v/>
      </c>
      <c r="I8511" s="8">
        <f>IF(D8511="","",VLOOKUP(D8511, RECETTES!B:G, 6, FALSE)*E8511)</f>
        <v/>
      </c>
      <c r="J8511" s="8">
        <f>IF(G8511="","",G8511*0.20)</f>
        <v/>
      </c>
      <c r="K8511" s="8">
        <f>IF(G8511="","",G8511+J8511)</f>
        <v/>
      </c>
    </row>
    <row r="8512">
      <c r="F8512" s="8" t="n"/>
      <c r="G8512" s="8">
        <f>IF(E8512="","",E8512*F8512)</f>
        <v/>
      </c>
      <c r="H8512" s="8">
        <f>IF(G8512="","",G8512-I8512)</f>
        <v/>
      </c>
      <c r="I8512" s="8">
        <f>IF(D8512="","",VLOOKUP(D8512, RECETTES!B:G, 6, FALSE)*E8512)</f>
        <v/>
      </c>
      <c r="J8512" s="8">
        <f>IF(G8512="","",G8512*0.20)</f>
        <v/>
      </c>
      <c r="K8512" s="8">
        <f>IF(G8512="","",G8512+J8512)</f>
        <v/>
      </c>
    </row>
    <row r="8513">
      <c r="F8513" s="8" t="n"/>
      <c r="G8513" s="8">
        <f>IF(E8513="","",E8513*F8513)</f>
        <v/>
      </c>
      <c r="H8513" s="8">
        <f>IF(G8513="","",G8513-I8513)</f>
        <v/>
      </c>
      <c r="I8513" s="8">
        <f>IF(D8513="","",VLOOKUP(D8513, RECETTES!B:G, 6, FALSE)*E8513)</f>
        <v/>
      </c>
      <c r="J8513" s="8">
        <f>IF(G8513="","",G8513*0.20)</f>
        <v/>
      </c>
      <c r="K8513" s="8">
        <f>IF(G8513="","",G8513+J8513)</f>
        <v/>
      </c>
    </row>
    <row r="8514">
      <c r="F8514" s="8" t="n"/>
      <c r="G8514" s="8">
        <f>IF(E8514="","",E8514*F8514)</f>
        <v/>
      </c>
      <c r="H8514" s="8">
        <f>IF(G8514="","",G8514-I8514)</f>
        <v/>
      </c>
      <c r="I8514" s="8">
        <f>IF(D8514="","",VLOOKUP(D8514, RECETTES!B:G, 6, FALSE)*E8514)</f>
        <v/>
      </c>
      <c r="J8514" s="8">
        <f>IF(G8514="","",G8514*0.20)</f>
        <v/>
      </c>
      <c r="K8514" s="8">
        <f>IF(G8514="","",G8514+J8514)</f>
        <v/>
      </c>
    </row>
    <row r="8515">
      <c r="F8515" s="8" t="n"/>
      <c r="G8515" s="8">
        <f>IF(E8515="","",E8515*F8515)</f>
        <v/>
      </c>
      <c r="H8515" s="8">
        <f>IF(G8515="","",G8515-I8515)</f>
        <v/>
      </c>
      <c r="I8515" s="8">
        <f>IF(D8515="","",VLOOKUP(D8515, RECETTES!B:G, 6, FALSE)*E8515)</f>
        <v/>
      </c>
      <c r="J8515" s="8">
        <f>IF(G8515="","",G8515*0.20)</f>
        <v/>
      </c>
      <c r="K8515" s="8">
        <f>IF(G8515="","",G8515+J8515)</f>
        <v/>
      </c>
    </row>
    <row r="8516">
      <c r="F8516" s="8" t="n"/>
      <c r="G8516" s="8">
        <f>IF(E8516="","",E8516*F8516)</f>
        <v/>
      </c>
      <c r="H8516" s="8">
        <f>IF(G8516="","",G8516-I8516)</f>
        <v/>
      </c>
      <c r="I8516" s="8">
        <f>IF(D8516="","",VLOOKUP(D8516, RECETTES!B:G, 6, FALSE)*E8516)</f>
        <v/>
      </c>
      <c r="J8516" s="8">
        <f>IF(G8516="","",G8516*0.20)</f>
        <v/>
      </c>
      <c r="K8516" s="8">
        <f>IF(G8516="","",G8516+J8516)</f>
        <v/>
      </c>
    </row>
    <row r="8517">
      <c r="F8517" s="8" t="n"/>
      <c r="G8517" s="8">
        <f>IF(E8517="","",E8517*F8517)</f>
        <v/>
      </c>
      <c r="H8517" s="8">
        <f>IF(G8517="","",G8517-I8517)</f>
        <v/>
      </c>
      <c r="I8517" s="8">
        <f>IF(D8517="","",VLOOKUP(D8517, RECETTES!B:G, 6, FALSE)*E8517)</f>
        <v/>
      </c>
      <c r="J8517" s="8">
        <f>IF(G8517="","",G8517*0.20)</f>
        <v/>
      </c>
      <c r="K8517" s="8">
        <f>IF(G8517="","",G8517+J8517)</f>
        <v/>
      </c>
    </row>
    <row r="8518">
      <c r="F8518" s="8" t="n"/>
      <c r="G8518" s="8">
        <f>IF(E8518="","",E8518*F8518)</f>
        <v/>
      </c>
      <c r="H8518" s="8">
        <f>IF(G8518="","",G8518-I8518)</f>
        <v/>
      </c>
      <c r="I8518" s="8">
        <f>IF(D8518="","",VLOOKUP(D8518, RECETTES!B:G, 6, FALSE)*E8518)</f>
        <v/>
      </c>
      <c r="J8518" s="8">
        <f>IF(G8518="","",G8518*0.20)</f>
        <v/>
      </c>
      <c r="K8518" s="8">
        <f>IF(G8518="","",G8518+J8518)</f>
        <v/>
      </c>
    </row>
    <row r="8519">
      <c r="F8519" s="8" t="n"/>
      <c r="G8519" s="8">
        <f>IF(E8519="","",E8519*F8519)</f>
        <v/>
      </c>
      <c r="H8519" s="8">
        <f>IF(G8519="","",G8519-I8519)</f>
        <v/>
      </c>
      <c r="I8519" s="8">
        <f>IF(D8519="","",VLOOKUP(D8519, RECETTES!B:G, 6, FALSE)*E8519)</f>
        <v/>
      </c>
      <c r="J8519" s="8">
        <f>IF(G8519="","",G8519*0.20)</f>
        <v/>
      </c>
      <c r="K8519" s="8">
        <f>IF(G8519="","",G8519+J8519)</f>
        <v/>
      </c>
    </row>
    <row r="8520">
      <c r="F8520" s="8" t="n"/>
      <c r="G8520" s="8">
        <f>IF(E8520="","",E8520*F8520)</f>
        <v/>
      </c>
      <c r="H8520" s="8">
        <f>IF(G8520="","",G8520-I8520)</f>
        <v/>
      </c>
      <c r="I8520" s="8">
        <f>IF(D8520="","",VLOOKUP(D8520, RECETTES!B:G, 6, FALSE)*E8520)</f>
        <v/>
      </c>
      <c r="J8520" s="8">
        <f>IF(G8520="","",G8520*0.20)</f>
        <v/>
      </c>
      <c r="K8520" s="8">
        <f>IF(G8520="","",G8520+J8520)</f>
        <v/>
      </c>
    </row>
    <row r="8521">
      <c r="F8521" s="8" t="n"/>
      <c r="G8521" s="8">
        <f>IF(E8521="","",E8521*F8521)</f>
        <v/>
      </c>
      <c r="H8521" s="8">
        <f>IF(G8521="","",G8521-I8521)</f>
        <v/>
      </c>
      <c r="I8521" s="8">
        <f>IF(D8521="","",VLOOKUP(D8521, RECETTES!B:G, 6, FALSE)*E8521)</f>
        <v/>
      </c>
      <c r="J8521" s="8">
        <f>IF(G8521="","",G8521*0.20)</f>
        <v/>
      </c>
      <c r="K8521" s="8">
        <f>IF(G8521="","",G8521+J8521)</f>
        <v/>
      </c>
    </row>
    <row r="8522">
      <c r="F8522" s="8" t="n"/>
      <c r="G8522" s="8">
        <f>IF(E8522="","",E8522*F8522)</f>
        <v/>
      </c>
      <c r="H8522" s="8">
        <f>IF(G8522="","",G8522-I8522)</f>
        <v/>
      </c>
      <c r="I8522" s="8">
        <f>IF(D8522="","",VLOOKUP(D8522, RECETTES!B:G, 6, FALSE)*E8522)</f>
        <v/>
      </c>
      <c r="J8522" s="8">
        <f>IF(G8522="","",G8522*0.20)</f>
        <v/>
      </c>
      <c r="K8522" s="8">
        <f>IF(G8522="","",G8522+J8522)</f>
        <v/>
      </c>
    </row>
    <row r="8523">
      <c r="F8523" s="8" t="n"/>
      <c r="G8523" s="8">
        <f>IF(E8523="","",E8523*F8523)</f>
        <v/>
      </c>
      <c r="H8523" s="8">
        <f>IF(G8523="","",G8523-I8523)</f>
        <v/>
      </c>
      <c r="I8523" s="8">
        <f>IF(D8523="","",VLOOKUP(D8523, RECETTES!B:G, 6, FALSE)*E8523)</f>
        <v/>
      </c>
      <c r="J8523" s="8">
        <f>IF(G8523="","",G8523*0.20)</f>
        <v/>
      </c>
      <c r="K8523" s="8">
        <f>IF(G8523="","",G8523+J8523)</f>
        <v/>
      </c>
    </row>
    <row r="8524">
      <c r="F8524" s="8" t="n"/>
      <c r="G8524" s="8">
        <f>IF(E8524="","",E8524*F8524)</f>
        <v/>
      </c>
      <c r="H8524" s="8">
        <f>IF(G8524="","",G8524-I8524)</f>
        <v/>
      </c>
      <c r="I8524" s="8">
        <f>IF(D8524="","",VLOOKUP(D8524, RECETTES!B:G, 6, FALSE)*E8524)</f>
        <v/>
      </c>
      <c r="J8524" s="8">
        <f>IF(G8524="","",G8524*0.20)</f>
        <v/>
      </c>
      <c r="K8524" s="8">
        <f>IF(G8524="","",G8524+J8524)</f>
        <v/>
      </c>
    </row>
    <row r="8525">
      <c r="F8525" s="8" t="n"/>
      <c r="G8525" s="8">
        <f>IF(E8525="","",E8525*F8525)</f>
        <v/>
      </c>
      <c r="H8525" s="8">
        <f>IF(G8525="","",G8525-I8525)</f>
        <v/>
      </c>
      <c r="I8525" s="8">
        <f>IF(D8525="","",VLOOKUP(D8525, RECETTES!B:G, 6, FALSE)*E8525)</f>
        <v/>
      </c>
      <c r="J8525" s="8">
        <f>IF(G8525="","",G8525*0.20)</f>
        <v/>
      </c>
      <c r="K8525" s="8">
        <f>IF(G8525="","",G8525+J8525)</f>
        <v/>
      </c>
    </row>
    <row r="8526">
      <c r="F8526" s="8" t="n"/>
      <c r="G8526" s="8">
        <f>IF(E8526="","",E8526*F8526)</f>
        <v/>
      </c>
      <c r="H8526" s="8">
        <f>IF(G8526="","",G8526-I8526)</f>
        <v/>
      </c>
      <c r="I8526" s="8">
        <f>IF(D8526="","",VLOOKUP(D8526, RECETTES!B:G, 6, FALSE)*E8526)</f>
        <v/>
      </c>
      <c r="J8526" s="8">
        <f>IF(G8526="","",G8526*0.20)</f>
        <v/>
      </c>
      <c r="K8526" s="8">
        <f>IF(G8526="","",G8526+J8526)</f>
        <v/>
      </c>
    </row>
    <row r="8527">
      <c r="F8527" s="8" t="n"/>
      <c r="G8527" s="8">
        <f>IF(E8527="","",E8527*F8527)</f>
        <v/>
      </c>
      <c r="H8527" s="8">
        <f>IF(G8527="","",G8527-I8527)</f>
        <v/>
      </c>
      <c r="I8527" s="8">
        <f>IF(D8527="","",VLOOKUP(D8527, RECETTES!B:G, 6, FALSE)*E8527)</f>
        <v/>
      </c>
      <c r="J8527" s="8">
        <f>IF(G8527="","",G8527*0.20)</f>
        <v/>
      </c>
      <c r="K8527" s="8">
        <f>IF(G8527="","",G8527+J8527)</f>
        <v/>
      </c>
    </row>
    <row r="8528">
      <c r="F8528" s="8" t="n"/>
      <c r="G8528" s="8">
        <f>IF(E8528="","",E8528*F8528)</f>
        <v/>
      </c>
      <c r="H8528" s="8">
        <f>IF(G8528="","",G8528-I8528)</f>
        <v/>
      </c>
      <c r="I8528" s="8">
        <f>IF(D8528="","",VLOOKUP(D8528, RECETTES!B:G, 6, FALSE)*E8528)</f>
        <v/>
      </c>
      <c r="J8528" s="8">
        <f>IF(G8528="","",G8528*0.20)</f>
        <v/>
      </c>
      <c r="K8528" s="8">
        <f>IF(G8528="","",G8528+J8528)</f>
        <v/>
      </c>
    </row>
    <row r="8529">
      <c r="F8529" s="8" t="n"/>
      <c r="G8529" s="8">
        <f>IF(E8529="","",E8529*F8529)</f>
        <v/>
      </c>
      <c r="H8529" s="8">
        <f>IF(G8529="","",G8529-I8529)</f>
        <v/>
      </c>
      <c r="I8529" s="8">
        <f>IF(D8529="","",VLOOKUP(D8529, RECETTES!B:G, 6, FALSE)*E8529)</f>
        <v/>
      </c>
      <c r="J8529" s="8">
        <f>IF(G8529="","",G8529*0.20)</f>
        <v/>
      </c>
      <c r="K8529" s="8">
        <f>IF(G8529="","",G8529+J8529)</f>
        <v/>
      </c>
    </row>
    <row r="8530">
      <c r="F8530" s="8" t="n"/>
      <c r="G8530" s="8">
        <f>IF(E8530="","",E8530*F8530)</f>
        <v/>
      </c>
      <c r="H8530" s="8">
        <f>IF(G8530="","",G8530-I8530)</f>
        <v/>
      </c>
      <c r="I8530" s="8">
        <f>IF(D8530="","",VLOOKUP(D8530, RECETTES!B:G, 6, FALSE)*E8530)</f>
        <v/>
      </c>
      <c r="J8530" s="8">
        <f>IF(G8530="","",G8530*0.20)</f>
        <v/>
      </c>
      <c r="K8530" s="8">
        <f>IF(G8530="","",G8530+J8530)</f>
        <v/>
      </c>
    </row>
    <row r="8531">
      <c r="F8531" s="8" t="n"/>
      <c r="G8531" s="8">
        <f>IF(E8531="","",E8531*F8531)</f>
        <v/>
      </c>
      <c r="H8531" s="8">
        <f>IF(G8531="","",G8531-I8531)</f>
        <v/>
      </c>
      <c r="I8531" s="8">
        <f>IF(D8531="","",VLOOKUP(D8531, RECETTES!B:G, 6, FALSE)*E8531)</f>
        <v/>
      </c>
      <c r="J8531" s="8">
        <f>IF(G8531="","",G8531*0.20)</f>
        <v/>
      </c>
      <c r="K8531" s="8">
        <f>IF(G8531="","",G8531+J8531)</f>
        <v/>
      </c>
    </row>
    <row r="8532">
      <c r="F8532" s="8" t="n"/>
      <c r="G8532" s="8">
        <f>IF(E8532="","",E8532*F8532)</f>
        <v/>
      </c>
      <c r="H8532" s="8">
        <f>IF(G8532="","",G8532-I8532)</f>
        <v/>
      </c>
      <c r="I8532" s="8">
        <f>IF(D8532="","",VLOOKUP(D8532, RECETTES!B:G, 6, FALSE)*E8532)</f>
        <v/>
      </c>
      <c r="J8532" s="8">
        <f>IF(G8532="","",G8532*0.20)</f>
        <v/>
      </c>
      <c r="K8532" s="8">
        <f>IF(G8532="","",G8532+J8532)</f>
        <v/>
      </c>
    </row>
    <row r="8533">
      <c r="F8533" s="8" t="n"/>
      <c r="G8533" s="8">
        <f>IF(E8533="","",E8533*F8533)</f>
        <v/>
      </c>
      <c r="H8533" s="8">
        <f>IF(G8533="","",G8533-I8533)</f>
        <v/>
      </c>
      <c r="I8533" s="8">
        <f>IF(D8533="","",VLOOKUP(D8533, RECETTES!B:G, 6, FALSE)*E8533)</f>
        <v/>
      </c>
      <c r="J8533" s="8">
        <f>IF(G8533="","",G8533*0.20)</f>
        <v/>
      </c>
      <c r="K8533" s="8">
        <f>IF(G8533="","",G8533+J8533)</f>
        <v/>
      </c>
    </row>
    <row r="8534">
      <c r="F8534" s="8" t="n"/>
      <c r="G8534" s="8">
        <f>IF(E8534="","",E8534*F8534)</f>
        <v/>
      </c>
      <c r="H8534" s="8">
        <f>IF(G8534="","",G8534-I8534)</f>
        <v/>
      </c>
      <c r="I8534" s="8">
        <f>IF(D8534="","",VLOOKUP(D8534, RECETTES!B:G, 6, FALSE)*E8534)</f>
        <v/>
      </c>
      <c r="J8534" s="8">
        <f>IF(G8534="","",G8534*0.20)</f>
        <v/>
      </c>
      <c r="K8534" s="8">
        <f>IF(G8534="","",G8534+J8534)</f>
        <v/>
      </c>
    </row>
    <row r="8535">
      <c r="F8535" s="8" t="n"/>
      <c r="G8535" s="8">
        <f>IF(E8535="","",E8535*F8535)</f>
        <v/>
      </c>
      <c r="H8535" s="8">
        <f>IF(G8535="","",G8535-I8535)</f>
        <v/>
      </c>
      <c r="I8535" s="8">
        <f>IF(D8535="","",VLOOKUP(D8535, RECETTES!B:G, 6, FALSE)*E8535)</f>
        <v/>
      </c>
      <c r="J8535" s="8">
        <f>IF(G8535="","",G8535*0.20)</f>
        <v/>
      </c>
      <c r="K8535" s="8">
        <f>IF(G8535="","",G8535+J8535)</f>
        <v/>
      </c>
    </row>
    <row r="8536">
      <c r="F8536" s="8" t="n"/>
      <c r="G8536" s="8">
        <f>IF(E8536="","",E8536*F8536)</f>
        <v/>
      </c>
      <c r="H8536" s="8">
        <f>IF(G8536="","",G8536-I8536)</f>
        <v/>
      </c>
      <c r="I8536" s="8">
        <f>IF(D8536="","",VLOOKUP(D8536, RECETTES!B:G, 6, FALSE)*E8536)</f>
        <v/>
      </c>
      <c r="J8536" s="8">
        <f>IF(G8536="","",G8536*0.20)</f>
        <v/>
      </c>
      <c r="K8536" s="8">
        <f>IF(G8536="","",G8536+J8536)</f>
        <v/>
      </c>
    </row>
    <row r="8537">
      <c r="F8537" s="8" t="n"/>
      <c r="G8537" s="8">
        <f>IF(E8537="","",E8537*F8537)</f>
        <v/>
      </c>
      <c r="H8537" s="8">
        <f>IF(G8537="","",G8537-I8537)</f>
        <v/>
      </c>
      <c r="I8537" s="8">
        <f>IF(D8537="","",VLOOKUP(D8537, RECETTES!B:G, 6, FALSE)*E8537)</f>
        <v/>
      </c>
      <c r="J8537" s="8">
        <f>IF(G8537="","",G8537*0.20)</f>
        <v/>
      </c>
      <c r="K8537" s="8">
        <f>IF(G8537="","",G8537+J8537)</f>
        <v/>
      </c>
    </row>
    <row r="8538">
      <c r="F8538" s="8" t="n"/>
      <c r="G8538" s="8">
        <f>IF(E8538="","",E8538*F8538)</f>
        <v/>
      </c>
      <c r="H8538" s="8">
        <f>IF(G8538="","",G8538-I8538)</f>
        <v/>
      </c>
      <c r="I8538" s="8">
        <f>IF(D8538="","",VLOOKUP(D8538, RECETTES!B:G, 6, FALSE)*E8538)</f>
        <v/>
      </c>
      <c r="J8538" s="8">
        <f>IF(G8538="","",G8538*0.20)</f>
        <v/>
      </c>
      <c r="K8538" s="8">
        <f>IF(G8538="","",G8538+J8538)</f>
        <v/>
      </c>
    </row>
    <row r="8539">
      <c r="F8539" s="8" t="n"/>
      <c r="G8539" s="8">
        <f>IF(E8539="","",E8539*F8539)</f>
        <v/>
      </c>
      <c r="H8539" s="8">
        <f>IF(G8539="","",G8539-I8539)</f>
        <v/>
      </c>
      <c r="I8539" s="8">
        <f>IF(D8539="","",VLOOKUP(D8539, RECETTES!B:G, 6, FALSE)*E8539)</f>
        <v/>
      </c>
      <c r="J8539" s="8">
        <f>IF(G8539="","",G8539*0.20)</f>
        <v/>
      </c>
      <c r="K8539" s="8">
        <f>IF(G8539="","",G8539+J8539)</f>
        <v/>
      </c>
    </row>
    <row r="8540">
      <c r="F8540" s="8" t="n"/>
      <c r="G8540" s="8">
        <f>IF(E8540="","",E8540*F8540)</f>
        <v/>
      </c>
      <c r="H8540" s="8">
        <f>IF(G8540="","",G8540-I8540)</f>
        <v/>
      </c>
      <c r="I8540" s="8">
        <f>IF(D8540="","",VLOOKUP(D8540, RECETTES!B:G, 6, FALSE)*E8540)</f>
        <v/>
      </c>
      <c r="J8540" s="8">
        <f>IF(G8540="","",G8540*0.20)</f>
        <v/>
      </c>
      <c r="K8540" s="8">
        <f>IF(G8540="","",G8540+J8540)</f>
        <v/>
      </c>
    </row>
    <row r="8541">
      <c r="F8541" s="8" t="n"/>
      <c r="G8541" s="8">
        <f>IF(E8541="","",E8541*F8541)</f>
        <v/>
      </c>
      <c r="H8541" s="8">
        <f>IF(G8541="","",G8541-I8541)</f>
        <v/>
      </c>
      <c r="I8541" s="8">
        <f>IF(D8541="","",VLOOKUP(D8541, RECETTES!B:G, 6, FALSE)*E8541)</f>
        <v/>
      </c>
      <c r="J8541" s="8">
        <f>IF(G8541="","",G8541*0.20)</f>
        <v/>
      </c>
      <c r="K8541" s="8">
        <f>IF(G8541="","",G8541+J8541)</f>
        <v/>
      </c>
    </row>
    <row r="8542">
      <c r="F8542" s="8" t="n"/>
      <c r="G8542" s="8">
        <f>IF(E8542="","",E8542*F8542)</f>
        <v/>
      </c>
      <c r="H8542" s="8">
        <f>IF(G8542="","",G8542-I8542)</f>
        <v/>
      </c>
      <c r="I8542" s="8">
        <f>IF(D8542="","",VLOOKUP(D8542, RECETTES!B:G, 6, FALSE)*E8542)</f>
        <v/>
      </c>
      <c r="J8542" s="8">
        <f>IF(G8542="","",G8542*0.20)</f>
        <v/>
      </c>
      <c r="K8542" s="8">
        <f>IF(G8542="","",G8542+J8542)</f>
        <v/>
      </c>
    </row>
    <row r="8543">
      <c r="F8543" s="8" t="n"/>
      <c r="G8543" s="8">
        <f>IF(E8543="","",E8543*F8543)</f>
        <v/>
      </c>
      <c r="H8543" s="8">
        <f>IF(G8543="","",G8543-I8543)</f>
        <v/>
      </c>
      <c r="I8543" s="8">
        <f>IF(D8543="","",VLOOKUP(D8543, RECETTES!B:G, 6, FALSE)*E8543)</f>
        <v/>
      </c>
      <c r="J8543" s="8">
        <f>IF(G8543="","",G8543*0.20)</f>
        <v/>
      </c>
      <c r="K8543" s="8">
        <f>IF(G8543="","",G8543+J8543)</f>
        <v/>
      </c>
    </row>
    <row r="8544">
      <c r="F8544" s="8" t="n"/>
      <c r="G8544" s="8">
        <f>IF(E8544="","",E8544*F8544)</f>
        <v/>
      </c>
      <c r="H8544" s="8">
        <f>IF(G8544="","",G8544-I8544)</f>
        <v/>
      </c>
      <c r="I8544" s="8">
        <f>IF(D8544="","",VLOOKUP(D8544, RECETTES!B:G, 6, FALSE)*E8544)</f>
        <v/>
      </c>
      <c r="J8544" s="8">
        <f>IF(G8544="","",G8544*0.20)</f>
        <v/>
      </c>
      <c r="K8544" s="8">
        <f>IF(G8544="","",G8544+J8544)</f>
        <v/>
      </c>
    </row>
    <row r="8545">
      <c r="F8545" s="8" t="n"/>
      <c r="G8545" s="8">
        <f>IF(E8545="","",E8545*F8545)</f>
        <v/>
      </c>
      <c r="H8545" s="8">
        <f>IF(G8545="","",G8545-I8545)</f>
        <v/>
      </c>
      <c r="I8545" s="8">
        <f>IF(D8545="","",VLOOKUP(D8545, RECETTES!B:G, 6, FALSE)*E8545)</f>
        <v/>
      </c>
      <c r="J8545" s="8">
        <f>IF(G8545="","",G8545*0.20)</f>
        <v/>
      </c>
      <c r="K8545" s="8">
        <f>IF(G8545="","",G8545+J8545)</f>
        <v/>
      </c>
    </row>
    <row r="8546">
      <c r="F8546" s="8" t="n"/>
      <c r="G8546" s="8">
        <f>IF(E8546="","",E8546*F8546)</f>
        <v/>
      </c>
      <c r="H8546" s="8">
        <f>IF(G8546="","",G8546-I8546)</f>
        <v/>
      </c>
      <c r="I8546" s="8">
        <f>IF(D8546="","",VLOOKUP(D8546, RECETTES!B:G, 6, FALSE)*E8546)</f>
        <v/>
      </c>
      <c r="J8546" s="8">
        <f>IF(G8546="","",G8546*0.20)</f>
        <v/>
      </c>
      <c r="K8546" s="8">
        <f>IF(G8546="","",G8546+J8546)</f>
        <v/>
      </c>
    </row>
    <row r="8547">
      <c r="F8547" s="8" t="n"/>
      <c r="G8547" s="8">
        <f>IF(E8547="","",E8547*F8547)</f>
        <v/>
      </c>
      <c r="H8547" s="8">
        <f>IF(G8547="","",G8547-I8547)</f>
        <v/>
      </c>
      <c r="I8547" s="8">
        <f>IF(D8547="","",VLOOKUP(D8547, RECETTES!B:G, 6, FALSE)*E8547)</f>
        <v/>
      </c>
      <c r="J8547" s="8">
        <f>IF(G8547="","",G8547*0.20)</f>
        <v/>
      </c>
      <c r="K8547" s="8">
        <f>IF(G8547="","",G8547+J8547)</f>
        <v/>
      </c>
    </row>
    <row r="8548">
      <c r="F8548" s="8" t="n"/>
      <c r="G8548" s="8">
        <f>IF(E8548="","",E8548*F8548)</f>
        <v/>
      </c>
      <c r="H8548" s="8">
        <f>IF(G8548="","",G8548-I8548)</f>
        <v/>
      </c>
      <c r="I8548" s="8">
        <f>IF(D8548="","",VLOOKUP(D8548, RECETTES!B:G, 6, FALSE)*E8548)</f>
        <v/>
      </c>
      <c r="J8548" s="8">
        <f>IF(G8548="","",G8548*0.20)</f>
        <v/>
      </c>
      <c r="K8548" s="8">
        <f>IF(G8548="","",G8548+J8548)</f>
        <v/>
      </c>
    </row>
    <row r="8549">
      <c r="F8549" s="8" t="n"/>
      <c r="G8549" s="8">
        <f>IF(E8549="","",E8549*F8549)</f>
        <v/>
      </c>
      <c r="H8549" s="8">
        <f>IF(G8549="","",G8549-I8549)</f>
        <v/>
      </c>
      <c r="I8549" s="8">
        <f>IF(D8549="","",VLOOKUP(D8549, RECETTES!B:G, 6, FALSE)*E8549)</f>
        <v/>
      </c>
      <c r="J8549" s="8">
        <f>IF(G8549="","",G8549*0.20)</f>
        <v/>
      </c>
      <c r="K8549" s="8">
        <f>IF(G8549="","",G8549+J8549)</f>
        <v/>
      </c>
    </row>
    <row r="8550">
      <c r="F8550" s="8" t="n"/>
      <c r="G8550" s="8">
        <f>IF(E8550="","",E8550*F8550)</f>
        <v/>
      </c>
      <c r="H8550" s="8">
        <f>IF(G8550="","",G8550-I8550)</f>
        <v/>
      </c>
      <c r="I8550" s="8">
        <f>IF(D8550="","",VLOOKUP(D8550, RECETTES!B:G, 6, FALSE)*E8550)</f>
        <v/>
      </c>
      <c r="J8550" s="8">
        <f>IF(G8550="","",G8550*0.20)</f>
        <v/>
      </c>
      <c r="K8550" s="8">
        <f>IF(G8550="","",G8550+J8550)</f>
        <v/>
      </c>
    </row>
    <row r="8551">
      <c r="F8551" s="8" t="n"/>
      <c r="G8551" s="8">
        <f>IF(E8551="","",E8551*F8551)</f>
        <v/>
      </c>
      <c r="H8551" s="8">
        <f>IF(G8551="","",G8551-I8551)</f>
        <v/>
      </c>
      <c r="I8551" s="8">
        <f>IF(D8551="","",VLOOKUP(D8551, RECETTES!B:G, 6, FALSE)*E8551)</f>
        <v/>
      </c>
      <c r="J8551" s="8">
        <f>IF(G8551="","",G8551*0.20)</f>
        <v/>
      </c>
      <c r="K8551" s="8">
        <f>IF(G8551="","",G8551+J8551)</f>
        <v/>
      </c>
    </row>
    <row r="8552">
      <c r="F8552" s="8" t="n"/>
      <c r="G8552" s="8">
        <f>IF(E8552="","",E8552*F8552)</f>
        <v/>
      </c>
      <c r="H8552" s="8">
        <f>IF(G8552="","",G8552-I8552)</f>
        <v/>
      </c>
      <c r="I8552" s="8">
        <f>IF(D8552="","",VLOOKUP(D8552, RECETTES!B:G, 6, FALSE)*E8552)</f>
        <v/>
      </c>
      <c r="J8552" s="8">
        <f>IF(G8552="","",G8552*0.20)</f>
        <v/>
      </c>
      <c r="K8552" s="8">
        <f>IF(G8552="","",G8552+J8552)</f>
        <v/>
      </c>
    </row>
    <row r="8553">
      <c r="F8553" s="8" t="n"/>
      <c r="G8553" s="8">
        <f>IF(E8553="","",E8553*F8553)</f>
        <v/>
      </c>
      <c r="H8553" s="8">
        <f>IF(G8553="","",G8553-I8553)</f>
        <v/>
      </c>
      <c r="I8553" s="8">
        <f>IF(D8553="","",VLOOKUP(D8553, RECETTES!B:G, 6, FALSE)*E8553)</f>
        <v/>
      </c>
      <c r="J8553" s="8">
        <f>IF(G8553="","",G8553*0.20)</f>
        <v/>
      </c>
      <c r="K8553" s="8">
        <f>IF(G8553="","",G8553+J8553)</f>
        <v/>
      </c>
    </row>
    <row r="8554">
      <c r="F8554" s="8" t="n"/>
      <c r="G8554" s="8">
        <f>IF(E8554="","",E8554*F8554)</f>
        <v/>
      </c>
      <c r="H8554" s="8">
        <f>IF(G8554="","",G8554-I8554)</f>
        <v/>
      </c>
      <c r="I8554" s="8">
        <f>IF(D8554="","",VLOOKUP(D8554, RECETTES!B:G, 6, FALSE)*E8554)</f>
        <v/>
      </c>
      <c r="J8554" s="8">
        <f>IF(G8554="","",G8554*0.20)</f>
        <v/>
      </c>
      <c r="K8554" s="8">
        <f>IF(G8554="","",G8554+J8554)</f>
        <v/>
      </c>
    </row>
    <row r="8555">
      <c r="F8555" s="8" t="n"/>
      <c r="G8555" s="8">
        <f>IF(E8555="","",E8555*F8555)</f>
        <v/>
      </c>
      <c r="H8555" s="8">
        <f>IF(G8555="","",G8555-I8555)</f>
        <v/>
      </c>
      <c r="I8555" s="8">
        <f>IF(D8555="","",VLOOKUP(D8555, RECETTES!B:G, 6, FALSE)*E8555)</f>
        <v/>
      </c>
      <c r="J8555" s="8">
        <f>IF(G8555="","",G8555*0.20)</f>
        <v/>
      </c>
      <c r="K8555" s="8">
        <f>IF(G8555="","",G8555+J8555)</f>
        <v/>
      </c>
    </row>
    <row r="8556">
      <c r="F8556" s="8" t="n"/>
      <c r="G8556" s="8">
        <f>IF(E8556="","",E8556*F8556)</f>
        <v/>
      </c>
      <c r="H8556" s="8">
        <f>IF(G8556="","",G8556-I8556)</f>
        <v/>
      </c>
      <c r="I8556" s="8">
        <f>IF(D8556="","",VLOOKUP(D8556, RECETTES!B:G, 6, FALSE)*E8556)</f>
        <v/>
      </c>
      <c r="J8556" s="8">
        <f>IF(G8556="","",G8556*0.20)</f>
        <v/>
      </c>
      <c r="K8556" s="8">
        <f>IF(G8556="","",G8556+J8556)</f>
        <v/>
      </c>
    </row>
    <row r="8557">
      <c r="F8557" s="8" t="n"/>
      <c r="G8557" s="8">
        <f>IF(E8557="","",E8557*F8557)</f>
        <v/>
      </c>
      <c r="H8557" s="8">
        <f>IF(G8557="","",G8557-I8557)</f>
        <v/>
      </c>
      <c r="I8557" s="8">
        <f>IF(D8557="","",VLOOKUP(D8557, RECETTES!B:G, 6, FALSE)*E8557)</f>
        <v/>
      </c>
      <c r="J8557" s="8">
        <f>IF(G8557="","",G8557*0.20)</f>
        <v/>
      </c>
      <c r="K8557" s="8">
        <f>IF(G8557="","",G8557+J8557)</f>
        <v/>
      </c>
    </row>
    <row r="8558">
      <c r="F8558" s="8" t="n"/>
      <c r="G8558" s="8">
        <f>IF(E8558="","",E8558*F8558)</f>
        <v/>
      </c>
      <c r="H8558" s="8">
        <f>IF(G8558="","",G8558-I8558)</f>
        <v/>
      </c>
      <c r="I8558" s="8">
        <f>IF(D8558="","",VLOOKUP(D8558, RECETTES!B:G, 6, FALSE)*E8558)</f>
        <v/>
      </c>
      <c r="J8558" s="8">
        <f>IF(G8558="","",G8558*0.20)</f>
        <v/>
      </c>
      <c r="K8558" s="8">
        <f>IF(G8558="","",G8558+J8558)</f>
        <v/>
      </c>
    </row>
    <row r="8559">
      <c r="F8559" s="8" t="n"/>
      <c r="G8559" s="8">
        <f>IF(E8559="","",E8559*F8559)</f>
        <v/>
      </c>
      <c r="H8559" s="8">
        <f>IF(G8559="","",G8559-I8559)</f>
        <v/>
      </c>
      <c r="I8559" s="8">
        <f>IF(D8559="","",VLOOKUP(D8559, RECETTES!B:G, 6, FALSE)*E8559)</f>
        <v/>
      </c>
      <c r="J8559" s="8">
        <f>IF(G8559="","",G8559*0.20)</f>
        <v/>
      </c>
      <c r="K8559" s="8">
        <f>IF(G8559="","",G8559+J8559)</f>
        <v/>
      </c>
    </row>
    <row r="8560">
      <c r="F8560" s="8" t="n"/>
      <c r="G8560" s="8">
        <f>IF(E8560="","",E8560*F8560)</f>
        <v/>
      </c>
      <c r="H8560" s="8">
        <f>IF(G8560="","",G8560-I8560)</f>
        <v/>
      </c>
      <c r="I8560" s="8">
        <f>IF(D8560="","",VLOOKUP(D8560, RECETTES!B:G, 6, FALSE)*E8560)</f>
        <v/>
      </c>
      <c r="J8560" s="8">
        <f>IF(G8560="","",G8560*0.20)</f>
        <v/>
      </c>
      <c r="K8560" s="8">
        <f>IF(G8560="","",G8560+J8560)</f>
        <v/>
      </c>
    </row>
    <row r="8561">
      <c r="F8561" s="8" t="n"/>
      <c r="G8561" s="8">
        <f>IF(E8561="","",E8561*F8561)</f>
        <v/>
      </c>
      <c r="H8561" s="8">
        <f>IF(G8561="","",G8561-I8561)</f>
        <v/>
      </c>
      <c r="I8561" s="8">
        <f>IF(D8561="","",VLOOKUP(D8561, RECETTES!B:G, 6, FALSE)*E8561)</f>
        <v/>
      </c>
      <c r="J8561" s="8">
        <f>IF(G8561="","",G8561*0.20)</f>
        <v/>
      </c>
      <c r="K8561" s="8">
        <f>IF(G8561="","",G8561+J8561)</f>
        <v/>
      </c>
    </row>
    <row r="8562">
      <c r="F8562" s="8" t="n"/>
      <c r="G8562" s="8">
        <f>IF(E8562="","",E8562*F8562)</f>
        <v/>
      </c>
      <c r="H8562" s="8">
        <f>IF(G8562="","",G8562-I8562)</f>
        <v/>
      </c>
      <c r="I8562" s="8">
        <f>IF(D8562="","",VLOOKUP(D8562, RECETTES!B:G, 6, FALSE)*E8562)</f>
        <v/>
      </c>
      <c r="J8562" s="8">
        <f>IF(G8562="","",G8562*0.20)</f>
        <v/>
      </c>
      <c r="K8562" s="8">
        <f>IF(G8562="","",G8562+J8562)</f>
        <v/>
      </c>
    </row>
    <row r="8563">
      <c r="F8563" s="8" t="n"/>
      <c r="G8563" s="8">
        <f>IF(E8563="","",E8563*F8563)</f>
        <v/>
      </c>
      <c r="H8563" s="8">
        <f>IF(G8563="","",G8563-I8563)</f>
        <v/>
      </c>
      <c r="I8563" s="8">
        <f>IF(D8563="","",VLOOKUP(D8563, RECETTES!B:G, 6, FALSE)*E8563)</f>
        <v/>
      </c>
      <c r="J8563" s="8">
        <f>IF(G8563="","",G8563*0.20)</f>
        <v/>
      </c>
      <c r="K8563" s="8">
        <f>IF(G8563="","",G8563+J8563)</f>
        <v/>
      </c>
    </row>
    <row r="8564">
      <c r="F8564" s="8" t="n"/>
      <c r="G8564" s="8">
        <f>IF(E8564="","",E8564*F8564)</f>
        <v/>
      </c>
      <c r="H8564" s="8">
        <f>IF(G8564="","",G8564-I8564)</f>
        <v/>
      </c>
      <c r="I8564" s="8">
        <f>IF(D8564="","",VLOOKUP(D8564, RECETTES!B:G, 6, FALSE)*E8564)</f>
        <v/>
      </c>
      <c r="J8564" s="8">
        <f>IF(G8564="","",G8564*0.20)</f>
        <v/>
      </c>
      <c r="K8564" s="8">
        <f>IF(G8564="","",G8564+J8564)</f>
        <v/>
      </c>
    </row>
    <row r="8565">
      <c r="F8565" s="8" t="n"/>
      <c r="G8565" s="8">
        <f>IF(E8565="","",E8565*F8565)</f>
        <v/>
      </c>
      <c r="H8565" s="8">
        <f>IF(G8565="","",G8565-I8565)</f>
        <v/>
      </c>
      <c r="I8565" s="8">
        <f>IF(D8565="","",VLOOKUP(D8565, RECETTES!B:G, 6, FALSE)*E8565)</f>
        <v/>
      </c>
      <c r="J8565" s="8">
        <f>IF(G8565="","",G8565*0.20)</f>
        <v/>
      </c>
      <c r="K8565" s="8">
        <f>IF(G8565="","",G8565+J8565)</f>
        <v/>
      </c>
    </row>
    <row r="8566">
      <c r="F8566" s="8" t="n"/>
      <c r="G8566" s="8">
        <f>IF(E8566="","",E8566*F8566)</f>
        <v/>
      </c>
      <c r="H8566" s="8">
        <f>IF(G8566="","",G8566-I8566)</f>
        <v/>
      </c>
      <c r="I8566" s="8">
        <f>IF(D8566="","",VLOOKUP(D8566, RECETTES!B:G, 6, FALSE)*E8566)</f>
        <v/>
      </c>
      <c r="J8566" s="8">
        <f>IF(G8566="","",G8566*0.20)</f>
        <v/>
      </c>
      <c r="K8566" s="8">
        <f>IF(G8566="","",G8566+J8566)</f>
        <v/>
      </c>
    </row>
    <row r="8567">
      <c r="F8567" s="8" t="n"/>
      <c r="G8567" s="8">
        <f>IF(E8567="","",E8567*F8567)</f>
        <v/>
      </c>
      <c r="H8567" s="8">
        <f>IF(G8567="","",G8567-I8567)</f>
        <v/>
      </c>
      <c r="I8567" s="8">
        <f>IF(D8567="","",VLOOKUP(D8567, RECETTES!B:G, 6, FALSE)*E8567)</f>
        <v/>
      </c>
      <c r="J8567" s="8">
        <f>IF(G8567="","",G8567*0.20)</f>
        <v/>
      </c>
      <c r="K8567" s="8">
        <f>IF(G8567="","",G8567+J8567)</f>
        <v/>
      </c>
    </row>
    <row r="8568">
      <c r="F8568" s="8" t="n"/>
      <c r="G8568" s="8">
        <f>IF(E8568="","",E8568*F8568)</f>
        <v/>
      </c>
      <c r="H8568" s="8">
        <f>IF(G8568="","",G8568-I8568)</f>
        <v/>
      </c>
      <c r="I8568" s="8">
        <f>IF(D8568="","",VLOOKUP(D8568, RECETTES!B:G, 6, FALSE)*E8568)</f>
        <v/>
      </c>
      <c r="J8568" s="8">
        <f>IF(G8568="","",G8568*0.20)</f>
        <v/>
      </c>
      <c r="K8568" s="8">
        <f>IF(G8568="","",G8568+J8568)</f>
        <v/>
      </c>
    </row>
    <row r="8569">
      <c r="F8569" s="8" t="n"/>
      <c r="G8569" s="8">
        <f>IF(E8569="","",E8569*F8569)</f>
        <v/>
      </c>
      <c r="H8569" s="8">
        <f>IF(G8569="","",G8569-I8569)</f>
        <v/>
      </c>
      <c r="I8569" s="8">
        <f>IF(D8569="","",VLOOKUP(D8569, RECETTES!B:G, 6, FALSE)*E8569)</f>
        <v/>
      </c>
      <c r="J8569" s="8">
        <f>IF(G8569="","",G8569*0.20)</f>
        <v/>
      </c>
      <c r="K8569" s="8">
        <f>IF(G8569="","",G8569+J8569)</f>
        <v/>
      </c>
    </row>
    <row r="8570">
      <c r="F8570" s="8" t="n"/>
      <c r="G8570" s="8">
        <f>IF(E8570="","",E8570*F8570)</f>
        <v/>
      </c>
      <c r="H8570" s="8">
        <f>IF(G8570="","",G8570-I8570)</f>
        <v/>
      </c>
      <c r="I8570" s="8">
        <f>IF(D8570="","",VLOOKUP(D8570, RECETTES!B:G, 6, FALSE)*E8570)</f>
        <v/>
      </c>
      <c r="J8570" s="8">
        <f>IF(G8570="","",G8570*0.20)</f>
        <v/>
      </c>
      <c r="K8570" s="8">
        <f>IF(G8570="","",G8570+J8570)</f>
        <v/>
      </c>
    </row>
    <row r="8571">
      <c r="F8571" s="8" t="n"/>
      <c r="G8571" s="8">
        <f>IF(E8571="","",E8571*F8571)</f>
        <v/>
      </c>
      <c r="H8571" s="8">
        <f>IF(G8571="","",G8571-I8571)</f>
        <v/>
      </c>
      <c r="I8571" s="8">
        <f>IF(D8571="","",VLOOKUP(D8571, RECETTES!B:G, 6, FALSE)*E8571)</f>
        <v/>
      </c>
      <c r="J8571" s="8">
        <f>IF(G8571="","",G8571*0.20)</f>
        <v/>
      </c>
      <c r="K8571" s="8">
        <f>IF(G8571="","",G8571+J8571)</f>
        <v/>
      </c>
    </row>
    <row r="8572">
      <c r="F8572" s="8" t="n"/>
      <c r="G8572" s="8">
        <f>IF(E8572="","",E8572*F8572)</f>
        <v/>
      </c>
      <c r="H8572" s="8">
        <f>IF(G8572="","",G8572-I8572)</f>
        <v/>
      </c>
      <c r="I8572" s="8">
        <f>IF(D8572="","",VLOOKUP(D8572, RECETTES!B:G, 6, FALSE)*E8572)</f>
        <v/>
      </c>
      <c r="J8572" s="8">
        <f>IF(G8572="","",G8572*0.20)</f>
        <v/>
      </c>
      <c r="K8572" s="8">
        <f>IF(G8572="","",G8572+J8572)</f>
        <v/>
      </c>
    </row>
    <row r="8573">
      <c r="F8573" s="8" t="n"/>
      <c r="G8573" s="8">
        <f>IF(E8573="","",E8573*F8573)</f>
        <v/>
      </c>
      <c r="H8573" s="8">
        <f>IF(G8573="","",G8573-I8573)</f>
        <v/>
      </c>
      <c r="I8573" s="8">
        <f>IF(D8573="","",VLOOKUP(D8573, RECETTES!B:G, 6, FALSE)*E8573)</f>
        <v/>
      </c>
      <c r="J8573" s="8">
        <f>IF(G8573="","",G8573*0.20)</f>
        <v/>
      </c>
      <c r="K8573" s="8">
        <f>IF(G8573="","",G8573+J8573)</f>
        <v/>
      </c>
    </row>
    <row r="8574">
      <c r="F8574" s="8" t="n"/>
      <c r="G8574" s="8">
        <f>IF(E8574="","",E8574*F8574)</f>
        <v/>
      </c>
      <c r="H8574" s="8">
        <f>IF(G8574="","",G8574-I8574)</f>
        <v/>
      </c>
      <c r="I8574" s="8">
        <f>IF(D8574="","",VLOOKUP(D8574, RECETTES!B:G, 6, FALSE)*E8574)</f>
        <v/>
      </c>
      <c r="J8574" s="8">
        <f>IF(G8574="","",G8574*0.20)</f>
        <v/>
      </c>
      <c r="K8574" s="8">
        <f>IF(G8574="","",G8574+J8574)</f>
        <v/>
      </c>
    </row>
    <row r="8575">
      <c r="F8575" s="8" t="n"/>
      <c r="G8575" s="8">
        <f>IF(E8575="","",E8575*F8575)</f>
        <v/>
      </c>
      <c r="H8575" s="8">
        <f>IF(G8575="","",G8575-I8575)</f>
        <v/>
      </c>
      <c r="I8575" s="8">
        <f>IF(D8575="","",VLOOKUP(D8575, RECETTES!B:G, 6, FALSE)*E8575)</f>
        <v/>
      </c>
      <c r="J8575" s="8">
        <f>IF(G8575="","",G8575*0.20)</f>
        <v/>
      </c>
      <c r="K8575" s="8">
        <f>IF(G8575="","",G8575+J8575)</f>
        <v/>
      </c>
    </row>
    <row r="8576">
      <c r="F8576" s="8" t="n"/>
      <c r="G8576" s="8">
        <f>IF(E8576="","",E8576*F8576)</f>
        <v/>
      </c>
      <c r="H8576" s="8">
        <f>IF(G8576="","",G8576-I8576)</f>
        <v/>
      </c>
      <c r="I8576" s="8">
        <f>IF(D8576="","",VLOOKUP(D8576, RECETTES!B:G, 6, FALSE)*E8576)</f>
        <v/>
      </c>
      <c r="J8576" s="8">
        <f>IF(G8576="","",G8576*0.20)</f>
        <v/>
      </c>
      <c r="K8576" s="8">
        <f>IF(G8576="","",G8576+J8576)</f>
        <v/>
      </c>
    </row>
    <row r="8577">
      <c r="F8577" s="8" t="n"/>
      <c r="G8577" s="8">
        <f>IF(E8577="","",E8577*F8577)</f>
        <v/>
      </c>
      <c r="H8577" s="8">
        <f>IF(G8577="","",G8577-I8577)</f>
        <v/>
      </c>
      <c r="I8577" s="8">
        <f>IF(D8577="","",VLOOKUP(D8577, RECETTES!B:G, 6, FALSE)*E8577)</f>
        <v/>
      </c>
      <c r="J8577" s="8">
        <f>IF(G8577="","",G8577*0.20)</f>
        <v/>
      </c>
      <c r="K8577" s="8">
        <f>IF(G8577="","",G8577+J8577)</f>
        <v/>
      </c>
    </row>
    <row r="8578">
      <c r="F8578" s="8" t="n"/>
      <c r="G8578" s="8">
        <f>IF(E8578="","",E8578*F8578)</f>
        <v/>
      </c>
      <c r="H8578" s="8">
        <f>IF(G8578="","",G8578-I8578)</f>
        <v/>
      </c>
      <c r="I8578" s="8">
        <f>IF(D8578="","",VLOOKUP(D8578, RECETTES!B:G, 6, FALSE)*E8578)</f>
        <v/>
      </c>
      <c r="J8578" s="8">
        <f>IF(G8578="","",G8578*0.20)</f>
        <v/>
      </c>
      <c r="K8578" s="8">
        <f>IF(G8578="","",G8578+J8578)</f>
        <v/>
      </c>
    </row>
    <row r="8579">
      <c r="F8579" s="8" t="n"/>
      <c r="G8579" s="8">
        <f>IF(E8579="","",E8579*F8579)</f>
        <v/>
      </c>
      <c r="H8579" s="8">
        <f>IF(G8579="","",G8579-I8579)</f>
        <v/>
      </c>
      <c r="I8579" s="8">
        <f>IF(D8579="","",VLOOKUP(D8579, RECETTES!B:G, 6, FALSE)*E8579)</f>
        <v/>
      </c>
      <c r="J8579" s="8">
        <f>IF(G8579="","",G8579*0.20)</f>
        <v/>
      </c>
      <c r="K8579" s="8">
        <f>IF(G8579="","",G8579+J8579)</f>
        <v/>
      </c>
    </row>
    <row r="8580">
      <c r="F8580" s="8" t="n"/>
      <c r="G8580" s="8">
        <f>IF(E8580="","",E8580*F8580)</f>
        <v/>
      </c>
      <c r="H8580" s="8">
        <f>IF(G8580="","",G8580-I8580)</f>
        <v/>
      </c>
      <c r="I8580" s="8">
        <f>IF(D8580="","",VLOOKUP(D8580, RECETTES!B:G, 6, FALSE)*E8580)</f>
        <v/>
      </c>
      <c r="J8580" s="8">
        <f>IF(G8580="","",G8580*0.20)</f>
        <v/>
      </c>
      <c r="K8580" s="8">
        <f>IF(G8580="","",G8580+J8580)</f>
        <v/>
      </c>
    </row>
    <row r="8581">
      <c r="F8581" s="8" t="n"/>
      <c r="G8581" s="8">
        <f>IF(E8581="","",E8581*F8581)</f>
        <v/>
      </c>
      <c r="H8581" s="8">
        <f>IF(G8581="","",G8581-I8581)</f>
        <v/>
      </c>
      <c r="I8581" s="8">
        <f>IF(D8581="","",VLOOKUP(D8581, RECETTES!B:G, 6, FALSE)*E8581)</f>
        <v/>
      </c>
      <c r="J8581" s="8">
        <f>IF(G8581="","",G8581*0.20)</f>
        <v/>
      </c>
      <c r="K8581" s="8">
        <f>IF(G8581="","",G8581+J8581)</f>
        <v/>
      </c>
    </row>
    <row r="8582">
      <c r="F8582" s="8" t="n"/>
      <c r="G8582" s="8">
        <f>IF(E8582="","",E8582*F8582)</f>
        <v/>
      </c>
      <c r="H8582" s="8">
        <f>IF(G8582="","",G8582-I8582)</f>
        <v/>
      </c>
      <c r="I8582" s="8">
        <f>IF(D8582="","",VLOOKUP(D8582, RECETTES!B:G, 6, FALSE)*E8582)</f>
        <v/>
      </c>
      <c r="J8582" s="8">
        <f>IF(G8582="","",G8582*0.20)</f>
        <v/>
      </c>
      <c r="K8582" s="8">
        <f>IF(G8582="","",G8582+J8582)</f>
        <v/>
      </c>
    </row>
    <row r="8583">
      <c r="F8583" s="8" t="n"/>
      <c r="G8583" s="8">
        <f>IF(E8583="","",E8583*F8583)</f>
        <v/>
      </c>
      <c r="H8583" s="8">
        <f>IF(G8583="","",G8583-I8583)</f>
        <v/>
      </c>
      <c r="I8583" s="8">
        <f>IF(D8583="","",VLOOKUP(D8583, RECETTES!B:G, 6, FALSE)*E8583)</f>
        <v/>
      </c>
      <c r="J8583" s="8">
        <f>IF(G8583="","",G8583*0.20)</f>
        <v/>
      </c>
      <c r="K8583" s="8">
        <f>IF(G8583="","",G8583+J8583)</f>
        <v/>
      </c>
    </row>
    <row r="8584">
      <c r="F8584" s="8" t="n"/>
      <c r="G8584" s="8">
        <f>IF(E8584="","",E8584*F8584)</f>
        <v/>
      </c>
      <c r="H8584" s="8">
        <f>IF(G8584="","",G8584-I8584)</f>
        <v/>
      </c>
      <c r="I8584" s="8">
        <f>IF(D8584="","",VLOOKUP(D8584, RECETTES!B:G, 6, FALSE)*E8584)</f>
        <v/>
      </c>
      <c r="J8584" s="8">
        <f>IF(G8584="","",G8584*0.20)</f>
        <v/>
      </c>
      <c r="K8584" s="8">
        <f>IF(G8584="","",G8584+J8584)</f>
        <v/>
      </c>
    </row>
    <row r="8585">
      <c r="F8585" s="8" t="n"/>
      <c r="G8585" s="8">
        <f>IF(E8585="","",E8585*F8585)</f>
        <v/>
      </c>
      <c r="H8585" s="8">
        <f>IF(G8585="","",G8585-I8585)</f>
        <v/>
      </c>
      <c r="I8585" s="8">
        <f>IF(D8585="","",VLOOKUP(D8585, RECETTES!B:G, 6, FALSE)*E8585)</f>
        <v/>
      </c>
      <c r="J8585" s="8">
        <f>IF(G8585="","",G8585*0.20)</f>
        <v/>
      </c>
      <c r="K8585" s="8">
        <f>IF(G8585="","",G8585+J8585)</f>
        <v/>
      </c>
    </row>
    <row r="8586">
      <c r="F8586" s="8" t="n"/>
      <c r="G8586" s="8">
        <f>IF(E8586="","",E8586*F8586)</f>
        <v/>
      </c>
      <c r="H8586" s="8">
        <f>IF(G8586="","",G8586-I8586)</f>
        <v/>
      </c>
      <c r="I8586" s="8">
        <f>IF(D8586="","",VLOOKUP(D8586, RECETTES!B:G, 6, FALSE)*E8586)</f>
        <v/>
      </c>
      <c r="J8586" s="8">
        <f>IF(G8586="","",G8586*0.20)</f>
        <v/>
      </c>
      <c r="K8586" s="8">
        <f>IF(G8586="","",G8586+J8586)</f>
        <v/>
      </c>
    </row>
    <row r="8587">
      <c r="F8587" s="8" t="n"/>
      <c r="G8587" s="8">
        <f>IF(E8587="","",E8587*F8587)</f>
        <v/>
      </c>
      <c r="H8587" s="8">
        <f>IF(G8587="","",G8587-I8587)</f>
        <v/>
      </c>
      <c r="I8587" s="8">
        <f>IF(D8587="","",VLOOKUP(D8587, RECETTES!B:G, 6, FALSE)*E8587)</f>
        <v/>
      </c>
      <c r="J8587" s="8">
        <f>IF(G8587="","",G8587*0.20)</f>
        <v/>
      </c>
      <c r="K8587" s="8">
        <f>IF(G8587="","",G8587+J8587)</f>
        <v/>
      </c>
    </row>
    <row r="8588">
      <c r="F8588" s="8" t="n"/>
      <c r="G8588" s="8">
        <f>IF(E8588="","",E8588*F8588)</f>
        <v/>
      </c>
      <c r="H8588" s="8">
        <f>IF(G8588="","",G8588-I8588)</f>
        <v/>
      </c>
      <c r="I8588" s="8">
        <f>IF(D8588="","",VLOOKUP(D8588, RECETTES!B:G, 6, FALSE)*E8588)</f>
        <v/>
      </c>
      <c r="J8588" s="8">
        <f>IF(G8588="","",G8588*0.20)</f>
        <v/>
      </c>
      <c r="K8588" s="8">
        <f>IF(G8588="","",G8588+J8588)</f>
        <v/>
      </c>
    </row>
    <row r="8589">
      <c r="F8589" s="8" t="n"/>
      <c r="G8589" s="8">
        <f>IF(E8589="","",E8589*F8589)</f>
        <v/>
      </c>
      <c r="H8589" s="8">
        <f>IF(G8589="","",G8589-I8589)</f>
        <v/>
      </c>
      <c r="I8589" s="8">
        <f>IF(D8589="","",VLOOKUP(D8589, RECETTES!B:G, 6, FALSE)*E8589)</f>
        <v/>
      </c>
      <c r="J8589" s="8">
        <f>IF(G8589="","",G8589*0.20)</f>
        <v/>
      </c>
      <c r="K8589" s="8">
        <f>IF(G8589="","",G8589+J8589)</f>
        <v/>
      </c>
    </row>
    <row r="8590">
      <c r="F8590" s="8" t="n"/>
      <c r="G8590" s="8">
        <f>IF(E8590="","",E8590*F8590)</f>
        <v/>
      </c>
      <c r="H8590" s="8">
        <f>IF(G8590="","",G8590-I8590)</f>
        <v/>
      </c>
      <c r="I8590" s="8">
        <f>IF(D8590="","",VLOOKUP(D8590, RECETTES!B:G, 6, FALSE)*E8590)</f>
        <v/>
      </c>
      <c r="J8590" s="8">
        <f>IF(G8590="","",G8590*0.20)</f>
        <v/>
      </c>
      <c r="K8590" s="8">
        <f>IF(G8590="","",G8590+J8590)</f>
        <v/>
      </c>
    </row>
    <row r="8591">
      <c r="F8591" s="8" t="n"/>
      <c r="G8591" s="8">
        <f>IF(E8591="","",E8591*F8591)</f>
        <v/>
      </c>
      <c r="H8591" s="8">
        <f>IF(G8591="","",G8591-I8591)</f>
        <v/>
      </c>
      <c r="I8591" s="8">
        <f>IF(D8591="","",VLOOKUP(D8591, RECETTES!B:G, 6, FALSE)*E8591)</f>
        <v/>
      </c>
      <c r="J8591" s="8">
        <f>IF(G8591="","",G8591*0.20)</f>
        <v/>
      </c>
      <c r="K8591" s="8">
        <f>IF(G8591="","",G8591+J8591)</f>
        <v/>
      </c>
    </row>
    <row r="8592">
      <c r="F8592" s="8" t="n"/>
      <c r="G8592" s="8">
        <f>IF(E8592="","",E8592*F8592)</f>
        <v/>
      </c>
      <c r="H8592" s="8">
        <f>IF(G8592="","",G8592-I8592)</f>
        <v/>
      </c>
      <c r="I8592" s="8">
        <f>IF(D8592="","",VLOOKUP(D8592, RECETTES!B:G, 6, FALSE)*E8592)</f>
        <v/>
      </c>
      <c r="J8592" s="8">
        <f>IF(G8592="","",G8592*0.20)</f>
        <v/>
      </c>
      <c r="K8592" s="8">
        <f>IF(G8592="","",G8592+J8592)</f>
        <v/>
      </c>
    </row>
    <row r="8593">
      <c r="F8593" s="8" t="n"/>
      <c r="G8593" s="8">
        <f>IF(E8593="","",E8593*F8593)</f>
        <v/>
      </c>
      <c r="H8593" s="8">
        <f>IF(G8593="","",G8593-I8593)</f>
        <v/>
      </c>
      <c r="I8593" s="8">
        <f>IF(D8593="","",VLOOKUP(D8593, RECETTES!B:G, 6, FALSE)*E8593)</f>
        <v/>
      </c>
      <c r="J8593" s="8">
        <f>IF(G8593="","",G8593*0.20)</f>
        <v/>
      </c>
      <c r="K8593" s="8">
        <f>IF(G8593="","",G8593+J8593)</f>
        <v/>
      </c>
    </row>
    <row r="8594">
      <c r="F8594" s="8" t="n"/>
      <c r="G8594" s="8">
        <f>IF(E8594="","",E8594*F8594)</f>
        <v/>
      </c>
      <c r="H8594" s="8">
        <f>IF(G8594="","",G8594-I8594)</f>
        <v/>
      </c>
      <c r="I8594" s="8">
        <f>IF(D8594="","",VLOOKUP(D8594, RECETTES!B:G, 6, FALSE)*E8594)</f>
        <v/>
      </c>
      <c r="J8594" s="8">
        <f>IF(G8594="","",G8594*0.20)</f>
        <v/>
      </c>
      <c r="K8594" s="8">
        <f>IF(G8594="","",G8594+J8594)</f>
        <v/>
      </c>
    </row>
    <row r="8595">
      <c r="F8595" s="8" t="n"/>
      <c r="G8595" s="8">
        <f>IF(E8595="","",E8595*F8595)</f>
        <v/>
      </c>
      <c r="H8595" s="8">
        <f>IF(G8595="","",G8595-I8595)</f>
        <v/>
      </c>
      <c r="I8595" s="8">
        <f>IF(D8595="","",VLOOKUP(D8595, RECETTES!B:G, 6, FALSE)*E8595)</f>
        <v/>
      </c>
      <c r="J8595" s="8">
        <f>IF(G8595="","",G8595*0.20)</f>
        <v/>
      </c>
      <c r="K8595" s="8">
        <f>IF(G8595="","",G8595+J8595)</f>
        <v/>
      </c>
    </row>
    <row r="8596">
      <c r="F8596" s="8" t="n"/>
      <c r="G8596" s="8">
        <f>IF(E8596="","",E8596*F8596)</f>
        <v/>
      </c>
      <c r="H8596" s="8">
        <f>IF(G8596="","",G8596-I8596)</f>
        <v/>
      </c>
      <c r="I8596" s="8">
        <f>IF(D8596="","",VLOOKUP(D8596, RECETTES!B:G, 6, FALSE)*E8596)</f>
        <v/>
      </c>
      <c r="J8596" s="8">
        <f>IF(G8596="","",G8596*0.20)</f>
        <v/>
      </c>
      <c r="K8596" s="8">
        <f>IF(G8596="","",G8596+J8596)</f>
        <v/>
      </c>
    </row>
    <row r="8597">
      <c r="F8597" s="8" t="n"/>
      <c r="G8597" s="8">
        <f>IF(E8597="","",E8597*F8597)</f>
        <v/>
      </c>
      <c r="H8597" s="8">
        <f>IF(G8597="","",G8597-I8597)</f>
        <v/>
      </c>
      <c r="I8597" s="8">
        <f>IF(D8597="","",VLOOKUP(D8597, RECETTES!B:G, 6, FALSE)*E8597)</f>
        <v/>
      </c>
      <c r="J8597" s="8">
        <f>IF(G8597="","",G8597*0.20)</f>
        <v/>
      </c>
      <c r="K8597" s="8">
        <f>IF(G8597="","",G8597+J8597)</f>
        <v/>
      </c>
    </row>
    <row r="8598">
      <c r="F8598" s="8" t="n"/>
      <c r="G8598" s="8">
        <f>IF(E8598="","",E8598*F8598)</f>
        <v/>
      </c>
      <c r="H8598" s="8">
        <f>IF(G8598="","",G8598-I8598)</f>
        <v/>
      </c>
      <c r="I8598" s="8">
        <f>IF(D8598="","",VLOOKUP(D8598, RECETTES!B:G, 6, FALSE)*E8598)</f>
        <v/>
      </c>
      <c r="J8598" s="8">
        <f>IF(G8598="","",G8598*0.20)</f>
        <v/>
      </c>
      <c r="K8598" s="8">
        <f>IF(G8598="","",G8598+J8598)</f>
        <v/>
      </c>
    </row>
    <row r="8599">
      <c r="F8599" s="8" t="n"/>
      <c r="G8599" s="8">
        <f>IF(E8599="","",E8599*F8599)</f>
        <v/>
      </c>
      <c r="H8599" s="8">
        <f>IF(G8599="","",G8599-I8599)</f>
        <v/>
      </c>
      <c r="I8599" s="8">
        <f>IF(D8599="","",VLOOKUP(D8599, RECETTES!B:G, 6, FALSE)*E8599)</f>
        <v/>
      </c>
      <c r="J8599" s="8">
        <f>IF(G8599="","",G8599*0.20)</f>
        <v/>
      </c>
      <c r="K8599" s="8">
        <f>IF(G8599="","",G8599+J8599)</f>
        <v/>
      </c>
    </row>
    <row r="8600">
      <c r="F8600" s="8" t="n"/>
      <c r="G8600" s="8">
        <f>IF(E8600="","",E8600*F8600)</f>
        <v/>
      </c>
      <c r="H8600" s="8">
        <f>IF(G8600="","",G8600-I8600)</f>
        <v/>
      </c>
      <c r="I8600" s="8">
        <f>IF(D8600="","",VLOOKUP(D8600, RECETTES!B:G, 6, FALSE)*E8600)</f>
        <v/>
      </c>
      <c r="J8600" s="8">
        <f>IF(G8600="","",G8600*0.20)</f>
        <v/>
      </c>
      <c r="K8600" s="8">
        <f>IF(G8600="","",G8600+J8600)</f>
        <v/>
      </c>
    </row>
    <row r="8601">
      <c r="F8601" s="8" t="n"/>
      <c r="G8601" s="8">
        <f>IF(E8601="","",E8601*F8601)</f>
        <v/>
      </c>
      <c r="H8601" s="8">
        <f>IF(G8601="","",G8601-I8601)</f>
        <v/>
      </c>
      <c r="I8601" s="8">
        <f>IF(D8601="","",VLOOKUP(D8601, RECETTES!B:G, 6, FALSE)*E8601)</f>
        <v/>
      </c>
      <c r="J8601" s="8">
        <f>IF(G8601="","",G8601*0.20)</f>
        <v/>
      </c>
      <c r="K8601" s="8">
        <f>IF(G8601="","",G8601+J8601)</f>
        <v/>
      </c>
    </row>
    <row r="8602">
      <c r="F8602" s="8" t="n"/>
      <c r="G8602" s="8">
        <f>IF(E8602="","",E8602*F8602)</f>
        <v/>
      </c>
      <c r="H8602" s="8">
        <f>IF(G8602="","",G8602-I8602)</f>
        <v/>
      </c>
      <c r="I8602" s="8">
        <f>IF(D8602="","",VLOOKUP(D8602, RECETTES!B:G, 6, FALSE)*E8602)</f>
        <v/>
      </c>
      <c r="J8602" s="8">
        <f>IF(G8602="","",G8602*0.20)</f>
        <v/>
      </c>
      <c r="K8602" s="8">
        <f>IF(G8602="","",G8602+J8602)</f>
        <v/>
      </c>
    </row>
    <row r="8603">
      <c r="F8603" s="8" t="n"/>
      <c r="G8603" s="8">
        <f>IF(E8603="","",E8603*F8603)</f>
        <v/>
      </c>
      <c r="H8603" s="8">
        <f>IF(G8603="","",G8603-I8603)</f>
        <v/>
      </c>
      <c r="I8603" s="8">
        <f>IF(D8603="","",VLOOKUP(D8603, RECETTES!B:G, 6, FALSE)*E8603)</f>
        <v/>
      </c>
      <c r="J8603" s="8">
        <f>IF(G8603="","",G8603*0.20)</f>
        <v/>
      </c>
      <c r="K8603" s="8">
        <f>IF(G8603="","",G8603+J8603)</f>
        <v/>
      </c>
    </row>
    <row r="8604">
      <c r="F8604" s="8" t="n"/>
      <c r="G8604" s="8">
        <f>IF(E8604="","",E8604*F8604)</f>
        <v/>
      </c>
      <c r="H8604" s="8">
        <f>IF(G8604="","",G8604-I8604)</f>
        <v/>
      </c>
      <c r="I8604" s="8">
        <f>IF(D8604="","",VLOOKUP(D8604, RECETTES!B:G, 6, FALSE)*E8604)</f>
        <v/>
      </c>
      <c r="J8604" s="8">
        <f>IF(G8604="","",G8604*0.20)</f>
        <v/>
      </c>
      <c r="K8604" s="8">
        <f>IF(G8604="","",G8604+J8604)</f>
        <v/>
      </c>
    </row>
    <row r="8605">
      <c r="F8605" s="8" t="n"/>
      <c r="G8605" s="8">
        <f>IF(E8605="","",E8605*F8605)</f>
        <v/>
      </c>
      <c r="H8605" s="8">
        <f>IF(G8605="","",G8605-I8605)</f>
        <v/>
      </c>
      <c r="I8605" s="8">
        <f>IF(D8605="","",VLOOKUP(D8605, RECETTES!B:G, 6, FALSE)*E8605)</f>
        <v/>
      </c>
      <c r="J8605" s="8">
        <f>IF(G8605="","",G8605*0.20)</f>
        <v/>
      </c>
      <c r="K8605" s="8">
        <f>IF(G8605="","",G8605+J8605)</f>
        <v/>
      </c>
    </row>
    <row r="8606">
      <c r="F8606" s="8" t="n"/>
      <c r="G8606" s="8">
        <f>IF(E8606="","",E8606*F8606)</f>
        <v/>
      </c>
      <c r="H8606" s="8">
        <f>IF(G8606="","",G8606-I8606)</f>
        <v/>
      </c>
      <c r="I8606" s="8">
        <f>IF(D8606="","",VLOOKUP(D8606, RECETTES!B:G, 6, FALSE)*E8606)</f>
        <v/>
      </c>
      <c r="J8606" s="8">
        <f>IF(G8606="","",G8606*0.20)</f>
        <v/>
      </c>
      <c r="K8606" s="8">
        <f>IF(G8606="","",G8606+J8606)</f>
        <v/>
      </c>
    </row>
    <row r="8607">
      <c r="F8607" s="8" t="n"/>
      <c r="G8607" s="8">
        <f>IF(E8607="","",E8607*F8607)</f>
        <v/>
      </c>
      <c r="H8607" s="8">
        <f>IF(G8607="","",G8607-I8607)</f>
        <v/>
      </c>
      <c r="I8607" s="8">
        <f>IF(D8607="","",VLOOKUP(D8607, RECETTES!B:G, 6, FALSE)*E8607)</f>
        <v/>
      </c>
      <c r="J8607" s="8">
        <f>IF(G8607="","",G8607*0.20)</f>
        <v/>
      </c>
      <c r="K8607" s="8">
        <f>IF(G8607="","",G8607+J8607)</f>
        <v/>
      </c>
    </row>
    <row r="8608">
      <c r="F8608" s="8" t="n"/>
      <c r="G8608" s="8">
        <f>IF(E8608="","",E8608*F8608)</f>
        <v/>
      </c>
      <c r="H8608" s="8">
        <f>IF(G8608="","",G8608-I8608)</f>
        <v/>
      </c>
      <c r="I8608" s="8">
        <f>IF(D8608="","",VLOOKUP(D8608, RECETTES!B:G, 6, FALSE)*E8608)</f>
        <v/>
      </c>
      <c r="J8608" s="8">
        <f>IF(G8608="","",G8608*0.20)</f>
        <v/>
      </c>
      <c r="K8608" s="8">
        <f>IF(G8608="","",G8608+J8608)</f>
        <v/>
      </c>
    </row>
    <row r="8609">
      <c r="F8609" s="8" t="n"/>
      <c r="G8609" s="8">
        <f>IF(E8609="","",E8609*F8609)</f>
        <v/>
      </c>
      <c r="H8609" s="8">
        <f>IF(G8609="","",G8609-I8609)</f>
        <v/>
      </c>
      <c r="I8609" s="8">
        <f>IF(D8609="","",VLOOKUP(D8609, RECETTES!B:G, 6, FALSE)*E8609)</f>
        <v/>
      </c>
      <c r="J8609" s="8">
        <f>IF(G8609="","",G8609*0.20)</f>
        <v/>
      </c>
      <c r="K8609" s="8">
        <f>IF(G8609="","",G8609+J8609)</f>
        <v/>
      </c>
    </row>
    <row r="8610">
      <c r="F8610" s="8" t="n"/>
      <c r="G8610" s="8">
        <f>IF(E8610="","",E8610*F8610)</f>
        <v/>
      </c>
      <c r="H8610" s="8">
        <f>IF(G8610="","",G8610-I8610)</f>
        <v/>
      </c>
      <c r="I8610" s="8">
        <f>IF(D8610="","",VLOOKUP(D8610, RECETTES!B:G, 6, FALSE)*E8610)</f>
        <v/>
      </c>
      <c r="J8610" s="8">
        <f>IF(G8610="","",G8610*0.20)</f>
        <v/>
      </c>
      <c r="K8610" s="8">
        <f>IF(G8610="","",G8610+J8610)</f>
        <v/>
      </c>
    </row>
    <row r="8611">
      <c r="F8611" s="8" t="n"/>
      <c r="G8611" s="8">
        <f>IF(E8611="","",E8611*F8611)</f>
        <v/>
      </c>
      <c r="H8611" s="8">
        <f>IF(G8611="","",G8611-I8611)</f>
        <v/>
      </c>
      <c r="I8611" s="8">
        <f>IF(D8611="","",VLOOKUP(D8611, RECETTES!B:G, 6, FALSE)*E8611)</f>
        <v/>
      </c>
      <c r="J8611" s="8">
        <f>IF(G8611="","",G8611*0.20)</f>
        <v/>
      </c>
      <c r="K8611" s="8">
        <f>IF(G8611="","",G8611+J8611)</f>
        <v/>
      </c>
    </row>
    <row r="8612">
      <c r="F8612" s="8" t="n"/>
      <c r="G8612" s="8">
        <f>IF(E8612="","",E8612*F8612)</f>
        <v/>
      </c>
      <c r="H8612" s="8">
        <f>IF(G8612="","",G8612-I8612)</f>
        <v/>
      </c>
      <c r="I8612" s="8">
        <f>IF(D8612="","",VLOOKUP(D8612, RECETTES!B:G, 6, FALSE)*E8612)</f>
        <v/>
      </c>
      <c r="J8612" s="8">
        <f>IF(G8612="","",G8612*0.20)</f>
        <v/>
      </c>
      <c r="K8612" s="8">
        <f>IF(G8612="","",G8612+J8612)</f>
        <v/>
      </c>
    </row>
    <row r="8613">
      <c r="F8613" s="8" t="n"/>
      <c r="G8613" s="8">
        <f>IF(E8613="","",E8613*F8613)</f>
        <v/>
      </c>
      <c r="H8613" s="8">
        <f>IF(G8613="","",G8613-I8613)</f>
        <v/>
      </c>
      <c r="I8613" s="8">
        <f>IF(D8613="","",VLOOKUP(D8613, RECETTES!B:G, 6, FALSE)*E8613)</f>
        <v/>
      </c>
      <c r="J8613" s="8">
        <f>IF(G8613="","",G8613*0.20)</f>
        <v/>
      </c>
      <c r="K8613" s="8">
        <f>IF(G8613="","",G8613+J8613)</f>
        <v/>
      </c>
    </row>
    <row r="8614">
      <c r="F8614" s="8" t="n"/>
      <c r="G8614" s="8">
        <f>IF(E8614="","",E8614*F8614)</f>
        <v/>
      </c>
      <c r="H8614" s="8">
        <f>IF(G8614="","",G8614-I8614)</f>
        <v/>
      </c>
      <c r="I8614" s="8">
        <f>IF(D8614="","",VLOOKUP(D8614, RECETTES!B:G, 6, FALSE)*E8614)</f>
        <v/>
      </c>
      <c r="J8614" s="8">
        <f>IF(G8614="","",G8614*0.20)</f>
        <v/>
      </c>
      <c r="K8614" s="8">
        <f>IF(G8614="","",G8614+J8614)</f>
        <v/>
      </c>
    </row>
    <row r="8615">
      <c r="F8615" s="8" t="n"/>
      <c r="G8615" s="8">
        <f>IF(E8615="","",E8615*F8615)</f>
        <v/>
      </c>
      <c r="H8615" s="8">
        <f>IF(G8615="","",G8615-I8615)</f>
        <v/>
      </c>
      <c r="I8615" s="8">
        <f>IF(D8615="","",VLOOKUP(D8615, RECETTES!B:G, 6, FALSE)*E8615)</f>
        <v/>
      </c>
      <c r="J8615" s="8">
        <f>IF(G8615="","",G8615*0.20)</f>
        <v/>
      </c>
      <c r="K8615" s="8">
        <f>IF(G8615="","",G8615+J8615)</f>
        <v/>
      </c>
    </row>
    <row r="8616">
      <c r="F8616" s="8" t="n"/>
      <c r="G8616" s="8">
        <f>IF(E8616="","",E8616*F8616)</f>
        <v/>
      </c>
      <c r="H8616" s="8">
        <f>IF(G8616="","",G8616-I8616)</f>
        <v/>
      </c>
      <c r="I8616" s="8">
        <f>IF(D8616="","",VLOOKUP(D8616, RECETTES!B:G, 6, FALSE)*E8616)</f>
        <v/>
      </c>
      <c r="J8616" s="8">
        <f>IF(G8616="","",G8616*0.20)</f>
        <v/>
      </c>
      <c r="K8616" s="8">
        <f>IF(G8616="","",G8616+J8616)</f>
        <v/>
      </c>
    </row>
    <row r="8617">
      <c r="F8617" s="8" t="n"/>
      <c r="G8617" s="8">
        <f>IF(E8617="","",E8617*F8617)</f>
        <v/>
      </c>
      <c r="H8617" s="8">
        <f>IF(G8617="","",G8617-I8617)</f>
        <v/>
      </c>
      <c r="I8617" s="8">
        <f>IF(D8617="","",VLOOKUP(D8617, RECETTES!B:G, 6, FALSE)*E8617)</f>
        <v/>
      </c>
      <c r="J8617" s="8">
        <f>IF(G8617="","",G8617*0.20)</f>
        <v/>
      </c>
      <c r="K8617" s="8">
        <f>IF(G8617="","",G8617+J8617)</f>
        <v/>
      </c>
    </row>
    <row r="8618">
      <c r="F8618" s="8" t="n"/>
      <c r="G8618" s="8">
        <f>IF(E8618="","",E8618*F8618)</f>
        <v/>
      </c>
      <c r="H8618" s="8">
        <f>IF(G8618="","",G8618-I8618)</f>
        <v/>
      </c>
      <c r="I8618" s="8">
        <f>IF(D8618="","",VLOOKUP(D8618, RECETTES!B:G, 6, FALSE)*E8618)</f>
        <v/>
      </c>
      <c r="J8618" s="8">
        <f>IF(G8618="","",G8618*0.20)</f>
        <v/>
      </c>
      <c r="K8618" s="8">
        <f>IF(G8618="","",G8618+J8618)</f>
        <v/>
      </c>
    </row>
    <row r="8619">
      <c r="F8619" s="8" t="n"/>
      <c r="G8619" s="8">
        <f>IF(E8619="","",E8619*F8619)</f>
        <v/>
      </c>
      <c r="H8619" s="8">
        <f>IF(G8619="","",G8619-I8619)</f>
        <v/>
      </c>
      <c r="I8619" s="8">
        <f>IF(D8619="","",VLOOKUP(D8619, RECETTES!B:G, 6, FALSE)*E8619)</f>
        <v/>
      </c>
      <c r="J8619" s="8">
        <f>IF(G8619="","",G8619*0.20)</f>
        <v/>
      </c>
      <c r="K8619" s="8">
        <f>IF(G8619="","",G8619+J8619)</f>
        <v/>
      </c>
    </row>
    <row r="8620">
      <c r="F8620" s="8" t="n"/>
      <c r="G8620" s="8">
        <f>IF(E8620="","",E8620*F8620)</f>
        <v/>
      </c>
      <c r="H8620" s="8">
        <f>IF(G8620="","",G8620-I8620)</f>
        <v/>
      </c>
      <c r="I8620" s="8">
        <f>IF(D8620="","",VLOOKUP(D8620, RECETTES!B:G, 6, FALSE)*E8620)</f>
        <v/>
      </c>
      <c r="J8620" s="8">
        <f>IF(G8620="","",G8620*0.20)</f>
        <v/>
      </c>
      <c r="K8620" s="8">
        <f>IF(G8620="","",G8620+J8620)</f>
        <v/>
      </c>
    </row>
    <row r="8621">
      <c r="F8621" s="8" t="n"/>
      <c r="G8621" s="8">
        <f>IF(E8621="","",E8621*F8621)</f>
        <v/>
      </c>
      <c r="H8621" s="8">
        <f>IF(G8621="","",G8621-I8621)</f>
        <v/>
      </c>
      <c r="I8621" s="8">
        <f>IF(D8621="","",VLOOKUP(D8621, RECETTES!B:G, 6, FALSE)*E8621)</f>
        <v/>
      </c>
      <c r="J8621" s="8">
        <f>IF(G8621="","",G8621*0.20)</f>
        <v/>
      </c>
      <c r="K8621" s="8">
        <f>IF(G8621="","",G8621+J8621)</f>
        <v/>
      </c>
    </row>
    <row r="8622">
      <c r="F8622" s="8" t="n"/>
      <c r="G8622" s="8">
        <f>IF(E8622="","",E8622*F8622)</f>
        <v/>
      </c>
      <c r="H8622" s="8">
        <f>IF(G8622="","",G8622-I8622)</f>
        <v/>
      </c>
      <c r="I8622" s="8">
        <f>IF(D8622="","",VLOOKUP(D8622, RECETTES!B:G, 6, FALSE)*E8622)</f>
        <v/>
      </c>
      <c r="J8622" s="8">
        <f>IF(G8622="","",G8622*0.20)</f>
        <v/>
      </c>
      <c r="K8622" s="8">
        <f>IF(G8622="","",G8622+J8622)</f>
        <v/>
      </c>
    </row>
    <row r="8623">
      <c r="F8623" s="8" t="n"/>
      <c r="G8623" s="8">
        <f>IF(E8623="","",E8623*F8623)</f>
        <v/>
      </c>
      <c r="H8623" s="8">
        <f>IF(G8623="","",G8623-I8623)</f>
        <v/>
      </c>
      <c r="I8623" s="8">
        <f>IF(D8623="","",VLOOKUP(D8623, RECETTES!B:G, 6, FALSE)*E8623)</f>
        <v/>
      </c>
      <c r="J8623" s="8">
        <f>IF(G8623="","",G8623*0.20)</f>
        <v/>
      </c>
      <c r="K8623" s="8">
        <f>IF(G8623="","",G8623+J8623)</f>
        <v/>
      </c>
    </row>
    <row r="8624">
      <c r="F8624" s="8" t="n"/>
      <c r="G8624" s="8">
        <f>IF(E8624="","",E8624*F8624)</f>
        <v/>
      </c>
      <c r="H8624" s="8">
        <f>IF(G8624="","",G8624-I8624)</f>
        <v/>
      </c>
      <c r="I8624" s="8">
        <f>IF(D8624="","",VLOOKUP(D8624, RECETTES!B:G, 6, FALSE)*E8624)</f>
        <v/>
      </c>
      <c r="J8624" s="8">
        <f>IF(G8624="","",G8624*0.20)</f>
        <v/>
      </c>
      <c r="K8624" s="8">
        <f>IF(G8624="","",G8624+J8624)</f>
        <v/>
      </c>
    </row>
    <row r="8625">
      <c r="F8625" s="8" t="n"/>
      <c r="G8625" s="8">
        <f>IF(E8625="","",E8625*F8625)</f>
        <v/>
      </c>
      <c r="H8625" s="8">
        <f>IF(G8625="","",G8625-I8625)</f>
        <v/>
      </c>
      <c r="I8625" s="8">
        <f>IF(D8625="","",VLOOKUP(D8625, RECETTES!B:G, 6, FALSE)*E8625)</f>
        <v/>
      </c>
      <c r="J8625" s="8">
        <f>IF(G8625="","",G8625*0.20)</f>
        <v/>
      </c>
      <c r="K8625" s="8">
        <f>IF(G8625="","",G8625+J8625)</f>
        <v/>
      </c>
    </row>
    <row r="8626">
      <c r="F8626" s="8" t="n"/>
      <c r="G8626" s="8">
        <f>IF(E8626="","",E8626*F8626)</f>
        <v/>
      </c>
      <c r="H8626" s="8">
        <f>IF(G8626="","",G8626-I8626)</f>
        <v/>
      </c>
      <c r="I8626" s="8">
        <f>IF(D8626="","",VLOOKUP(D8626, RECETTES!B:G, 6, FALSE)*E8626)</f>
        <v/>
      </c>
      <c r="J8626" s="8">
        <f>IF(G8626="","",G8626*0.20)</f>
        <v/>
      </c>
      <c r="K8626" s="8">
        <f>IF(G8626="","",G8626+J8626)</f>
        <v/>
      </c>
    </row>
    <row r="8627">
      <c r="F8627" s="8" t="n"/>
      <c r="G8627" s="8">
        <f>IF(E8627="","",E8627*F8627)</f>
        <v/>
      </c>
      <c r="H8627" s="8">
        <f>IF(G8627="","",G8627-I8627)</f>
        <v/>
      </c>
      <c r="I8627" s="8">
        <f>IF(D8627="","",VLOOKUP(D8627, RECETTES!B:G, 6, FALSE)*E8627)</f>
        <v/>
      </c>
      <c r="J8627" s="8">
        <f>IF(G8627="","",G8627*0.20)</f>
        <v/>
      </c>
      <c r="K8627" s="8">
        <f>IF(G8627="","",G8627+J8627)</f>
        <v/>
      </c>
    </row>
    <row r="8628">
      <c r="F8628" s="8" t="n"/>
      <c r="G8628" s="8">
        <f>IF(E8628="","",E8628*F8628)</f>
        <v/>
      </c>
      <c r="H8628" s="8">
        <f>IF(G8628="","",G8628-I8628)</f>
        <v/>
      </c>
      <c r="I8628" s="8">
        <f>IF(D8628="","",VLOOKUP(D8628, RECETTES!B:G, 6, FALSE)*E8628)</f>
        <v/>
      </c>
      <c r="J8628" s="8">
        <f>IF(G8628="","",G8628*0.20)</f>
        <v/>
      </c>
      <c r="K8628" s="8">
        <f>IF(G8628="","",G8628+J8628)</f>
        <v/>
      </c>
    </row>
    <row r="8629">
      <c r="F8629" s="8" t="n"/>
      <c r="G8629" s="8">
        <f>IF(E8629="","",E8629*F8629)</f>
        <v/>
      </c>
      <c r="H8629" s="8">
        <f>IF(G8629="","",G8629-I8629)</f>
        <v/>
      </c>
      <c r="I8629" s="8">
        <f>IF(D8629="","",VLOOKUP(D8629, RECETTES!B:G, 6, FALSE)*E8629)</f>
        <v/>
      </c>
      <c r="J8629" s="8">
        <f>IF(G8629="","",G8629*0.20)</f>
        <v/>
      </c>
      <c r="K8629" s="8">
        <f>IF(G8629="","",G8629+J8629)</f>
        <v/>
      </c>
    </row>
    <row r="8630">
      <c r="F8630" s="8" t="n"/>
      <c r="G8630" s="8">
        <f>IF(E8630="","",E8630*F8630)</f>
        <v/>
      </c>
      <c r="H8630" s="8">
        <f>IF(G8630="","",G8630-I8630)</f>
        <v/>
      </c>
      <c r="I8630" s="8">
        <f>IF(D8630="","",VLOOKUP(D8630, RECETTES!B:G, 6, FALSE)*E8630)</f>
        <v/>
      </c>
      <c r="J8630" s="8">
        <f>IF(G8630="","",G8630*0.20)</f>
        <v/>
      </c>
      <c r="K8630" s="8">
        <f>IF(G8630="","",G8630+J8630)</f>
        <v/>
      </c>
    </row>
    <row r="8631">
      <c r="F8631" s="8" t="n"/>
      <c r="G8631" s="8">
        <f>IF(E8631="","",E8631*F8631)</f>
        <v/>
      </c>
      <c r="H8631" s="8">
        <f>IF(G8631="","",G8631-I8631)</f>
        <v/>
      </c>
      <c r="I8631" s="8">
        <f>IF(D8631="","",VLOOKUP(D8631, RECETTES!B:G, 6, FALSE)*E8631)</f>
        <v/>
      </c>
      <c r="J8631" s="8">
        <f>IF(G8631="","",G8631*0.20)</f>
        <v/>
      </c>
      <c r="K8631" s="8">
        <f>IF(G8631="","",G8631+J8631)</f>
        <v/>
      </c>
    </row>
    <row r="8632">
      <c r="F8632" s="8" t="n"/>
      <c r="G8632" s="8">
        <f>IF(E8632="","",E8632*F8632)</f>
        <v/>
      </c>
      <c r="H8632" s="8">
        <f>IF(G8632="","",G8632-I8632)</f>
        <v/>
      </c>
      <c r="I8632" s="8">
        <f>IF(D8632="","",VLOOKUP(D8632, RECETTES!B:G, 6, FALSE)*E8632)</f>
        <v/>
      </c>
      <c r="J8632" s="8">
        <f>IF(G8632="","",G8632*0.20)</f>
        <v/>
      </c>
      <c r="K8632" s="8">
        <f>IF(G8632="","",G8632+J8632)</f>
        <v/>
      </c>
    </row>
    <row r="8633">
      <c r="F8633" s="8" t="n"/>
      <c r="G8633" s="8">
        <f>IF(E8633="","",E8633*F8633)</f>
        <v/>
      </c>
      <c r="H8633" s="8">
        <f>IF(G8633="","",G8633-I8633)</f>
        <v/>
      </c>
      <c r="I8633" s="8">
        <f>IF(D8633="","",VLOOKUP(D8633, RECETTES!B:G, 6, FALSE)*E8633)</f>
        <v/>
      </c>
      <c r="J8633" s="8">
        <f>IF(G8633="","",G8633*0.20)</f>
        <v/>
      </c>
      <c r="K8633" s="8">
        <f>IF(G8633="","",G8633+J8633)</f>
        <v/>
      </c>
    </row>
    <row r="8634">
      <c r="F8634" s="8" t="n"/>
      <c r="G8634" s="8">
        <f>IF(E8634="","",E8634*F8634)</f>
        <v/>
      </c>
      <c r="H8634" s="8">
        <f>IF(G8634="","",G8634-I8634)</f>
        <v/>
      </c>
      <c r="I8634" s="8">
        <f>IF(D8634="","",VLOOKUP(D8634, RECETTES!B:G, 6, FALSE)*E8634)</f>
        <v/>
      </c>
      <c r="J8634" s="8">
        <f>IF(G8634="","",G8634*0.20)</f>
        <v/>
      </c>
      <c r="K8634" s="8">
        <f>IF(G8634="","",G8634+J8634)</f>
        <v/>
      </c>
    </row>
    <row r="8635">
      <c r="F8635" s="8" t="n"/>
      <c r="G8635" s="8">
        <f>IF(E8635="","",E8635*F8635)</f>
        <v/>
      </c>
      <c r="H8635" s="8">
        <f>IF(G8635="","",G8635-I8635)</f>
        <v/>
      </c>
      <c r="I8635" s="8">
        <f>IF(D8635="","",VLOOKUP(D8635, RECETTES!B:G, 6, FALSE)*E8635)</f>
        <v/>
      </c>
      <c r="J8635" s="8">
        <f>IF(G8635="","",G8635*0.20)</f>
        <v/>
      </c>
      <c r="K8635" s="8">
        <f>IF(G8635="","",G8635+J8635)</f>
        <v/>
      </c>
    </row>
    <row r="8636">
      <c r="F8636" s="8" t="n"/>
      <c r="G8636" s="8">
        <f>IF(E8636="","",E8636*F8636)</f>
        <v/>
      </c>
      <c r="H8636" s="8">
        <f>IF(G8636="","",G8636-I8636)</f>
        <v/>
      </c>
      <c r="I8636" s="8">
        <f>IF(D8636="","",VLOOKUP(D8636, RECETTES!B:G, 6, FALSE)*E8636)</f>
        <v/>
      </c>
      <c r="J8636" s="8">
        <f>IF(G8636="","",G8636*0.20)</f>
        <v/>
      </c>
      <c r="K8636" s="8">
        <f>IF(G8636="","",G8636+J8636)</f>
        <v/>
      </c>
    </row>
    <row r="8637">
      <c r="F8637" s="8" t="n"/>
      <c r="G8637" s="8">
        <f>IF(E8637="","",E8637*F8637)</f>
        <v/>
      </c>
      <c r="H8637" s="8">
        <f>IF(G8637="","",G8637-I8637)</f>
        <v/>
      </c>
      <c r="I8637" s="8">
        <f>IF(D8637="","",VLOOKUP(D8637, RECETTES!B:G, 6, FALSE)*E8637)</f>
        <v/>
      </c>
      <c r="J8637" s="8">
        <f>IF(G8637="","",G8637*0.20)</f>
        <v/>
      </c>
      <c r="K8637" s="8">
        <f>IF(G8637="","",G8637+J8637)</f>
        <v/>
      </c>
    </row>
    <row r="8638">
      <c r="F8638" s="8" t="n"/>
      <c r="G8638" s="8">
        <f>IF(E8638="","",E8638*F8638)</f>
        <v/>
      </c>
      <c r="H8638" s="8">
        <f>IF(G8638="","",G8638-I8638)</f>
        <v/>
      </c>
      <c r="I8638" s="8">
        <f>IF(D8638="","",VLOOKUP(D8638, RECETTES!B:G, 6, FALSE)*E8638)</f>
        <v/>
      </c>
      <c r="J8638" s="8">
        <f>IF(G8638="","",G8638*0.20)</f>
        <v/>
      </c>
      <c r="K8638" s="8">
        <f>IF(G8638="","",G8638+J8638)</f>
        <v/>
      </c>
    </row>
    <row r="8639">
      <c r="F8639" s="8" t="n"/>
      <c r="G8639" s="8">
        <f>IF(E8639="","",E8639*F8639)</f>
        <v/>
      </c>
      <c r="H8639" s="8">
        <f>IF(G8639="","",G8639-I8639)</f>
        <v/>
      </c>
      <c r="I8639" s="8">
        <f>IF(D8639="","",VLOOKUP(D8639, RECETTES!B:G, 6, FALSE)*E8639)</f>
        <v/>
      </c>
      <c r="J8639" s="8">
        <f>IF(G8639="","",G8639*0.20)</f>
        <v/>
      </c>
      <c r="K8639" s="8">
        <f>IF(G8639="","",G8639+J8639)</f>
        <v/>
      </c>
    </row>
    <row r="8640">
      <c r="F8640" s="8" t="n"/>
      <c r="G8640" s="8">
        <f>IF(E8640="","",E8640*F8640)</f>
        <v/>
      </c>
      <c r="H8640" s="8">
        <f>IF(G8640="","",G8640-I8640)</f>
        <v/>
      </c>
      <c r="I8640" s="8">
        <f>IF(D8640="","",VLOOKUP(D8640, RECETTES!B:G, 6, FALSE)*E8640)</f>
        <v/>
      </c>
      <c r="J8640" s="8">
        <f>IF(G8640="","",G8640*0.20)</f>
        <v/>
      </c>
      <c r="K8640" s="8">
        <f>IF(G8640="","",G8640+J8640)</f>
        <v/>
      </c>
    </row>
    <row r="8641">
      <c r="F8641" s="8" t="n"/>
      <c r="G8641" s="8">
        <f>IF(E8641="","",E8641*F8641)</f>
        <v/>
      </c>
      <c r="H8641" s="8">
        <f>IF(G8641="","",G8641-I8641)</f>
        <v/>
      </c>
      <c r="I8641" s="8">
        <f>IF(D8641="","",VLOOKUP(D8641, RECETTES!B:G, 6, FALSE)*E8641)</f>
        <v/>
      </c>
      <c r="J8641" s="8">
        <f>IF(G8641="","",G8641*0.20)</f>
        <v/>
      </c>
      <c r="K8641" s="8">
        <f>IF(G8641="","",G8641+J8641)</f>
        <v/>
      </c>
    </row>
    <row r="8642">
      <c r="F8642" s="8" t="n"/>
      <c r="G8642" s="8">
        <f>IF(E8642="","",E8642*F8642)</f>
        <v/>
      </c>
      <c r="H8642" s="8">
        <f>IF(G8642="","",G8642-I8642)</f>
        <v/>
      </c>
      <c r="I8642" s="8">
        <f>IF(D8642="","",VLOOKUP(D8642, RECETTES!B:G, 6, FALSE)*E8642)</f>
        <v/>
      </c>
      <c r="J8642" s="8">
        <f>IF(G8642="","",G8642*0.20)</f>
        <v/>
      </c>
      <c r="K8642" s="8">
        <f>IF(G8642="","",G8642+J8642)</f>
        <v/>
      </c>
    </row>
    <row r="8643">
      <c r="F8643" s="8" t="n"/>
      <c r="G8643" s="8">
        <f>IF(E8643="","",E8643*F8643)</f>
        <v/>
      </c>
      <c r="H8643" s="8">
        <f>IF(G8643="","",G8643-I8643)</f>
        <v/>
      </c>
      <c r="I8643" s="8">
        <f>IF(D8643="","",VLOOKUP(D8643, RECETTES!B:G, 6, FALSE)*E8643)</f>
        <v/>
      </c>
      <c r="J8643" s="8">
        <f>IF(G8643="","",G8643*0.20)</f>
        <v/>
      </c>
      <c r="K8643" s="8">
        <f>IF(G8643="","",G8643+J8643)</f>
        <v/>
      </c>
    </row>
    <row r="8644">
      <c r="F8644" s="8" t="n"/>
      <c r="G8644" s="8">
        <f>IF(E8644="","",E8644*F8644)</f>
        <v/>
      </c>
      <c r="H8644" s="8">
        <f>IF(G8644="","",G8644-I8644)</f>
        <v/>
      </c>
      <c r="I8644" s="8">
        <f>IF(D8644="","",VLOOKUP(D8644, RECETTES!B:G, 6, FALSE)*E8644)</f>
        <v/>
      </c>
      <c r="J8644" s="8">
        <f>IF(G8644="","",G8644*0.20)</f>
        <v/>
      </c>
      <c r="K8644" s="8">
        <f>IF(G8644="","",G8644+J8644)</f>
        <v/>
      </c>
    </row>
    <row r="8645">
      <c r="F8645" s="8" t="n"/>
      <c r="G8645" s="8">
        <f>IF(E8645="","",E8645*F8645)</f>
        <v/>
      </c>
      <c r="H8645" s="8">
        <f>IF(G8645="","",G8645-I8645)</f>
        <v/>
      </c>
      <c r="I8645" s="8">
        <f>IF(D8645="","",VLOOKUP(D8645, RECETTES!B:G, 6, FALSE)*E8645)</f>
        <v/>
      </c>
      <c r="J8645" s="8">
        <f>IF(G8645="","",G8645*0.20)</f>
        <v/>
      </c>
      <c r="K8645" s="8">
        <f>IF(G8645="","",G8645+J8645)</f>
        <v/>
      </c>
    </row>
    <row r="8646">
      <c r="F8646" s="8" t="n"/>
      <c r="G8646" s="8">
        <f>IF(E8646="","",E8646*F8646)</f>
        <v/>
      </c>
      <c r="H8646" s="8">
        <f>IF(G8646="","",G8646-I8646)</f>
        <v/>
      </c>
      <c r="I8646" s="8">
        <f>IF(D8646="","",VLOOKUP(D8646, RECETTES!B:G, 6, FALSE)*E8646)</f>
        <v/>
      </c>
      <c r="J8646" s="8">
        <f>IF(G8646="","",G8646*0.20)</f>
        <v/>
      </c>
      <c r="K8646" s="8">
        <f>IF(G8646="","",G8646+J8646)</f>
        <v/>
      </c>
    </row>
    <row r="8647">
      <c r="F8647" s="8" t="n"/>
      <c r="G8647" s="8">
        <f>IF(E8647="","",E8647*F8647)</f>
        <v/>
      </c>
      <c r="H8647" s="8">
        <f>IF(G8647="","",G8647-I8647)</f>
        <v/>
      </c>
      <c r="I8647" s="8">
        <f>IF(D8647="","",VLOOKUP(D8647, RECETTES!B:G, 6, FALSE)*E8647)</f>
        <v/>
      </c>
      <c r="J8647" s="8">
        <f>IF(G8647="","",G8647*0.20)</f>
        <v/>
      </c>
      <c r="K8647" s="8">
        <f>IF(G8647="","",G8647+J8647)</f>
        <v/>
      </c>
    </row>
    <row r="8648">
      <c r="F8648" s="8" t="n"/>
      <c r="G8648" s="8">
        <f>IF(E8648="","",E8648*F8648)</f>
        <v/>
      </c>
      <c r="H8648" s="8">
        <f>IF(G8648="","",G8648-I8648)</f>
        <v/>
      </c>
      <c r="I8648" s="8">
        <f>IF(D8648="","",VLOOKUP(D8648, RECETTES!B:G, 6, FALSE)*E8648)</f>
        <v/>
      </c>
      <c r="J8648" s="8">
        <f>IF(G8648="","",G8648*0.20)</f>
        <v/>
      </c>
      <c r="K8648" s="8">
        <f>IF(G8648="","",G8648+J8648)</f>
        <v/>
      </c>
    </row>
    <row r="8649">
      <c r="F8649" s="8" t="n"/>
      <c r="G8649" s="8">
        <f>IF(E8649="","",E8649*F8649)</f>
        <v/>
      </c>
      <c r="H8649" s="8">
        <f>IF(G8649="","",G8649-I8649)</f>
        <v/>
      </c>
      <c r="I8649" s="8">
        <f>IF(D8649="","",VLOOKUP(D8649, RECETTES!B:G, 6, FALSE)*E8649)</f>
        <v/>
      </c>
      <c r="J8649" s="8">
        <f>IF(G8649="","",G8649*0.20)</f>
        <v/>
      </c>
      <c r="K8649" s="8">
        <f>IF(G8649="","",G8649+J8649)</f>
        <v/>
      </c>
    </row>
    <row r="8650">
      <c r="F8650" s="8" t="n"/>
      <c r="G8650" s="8">
        <f>IF(E8650="","",E8650*F8650)</f>
        <v/>
      </c>
      <c r="H8650" s="8">
        <f>IF(G8650="","",G8650-I8650)</f>
        <v/>
      </c>
      <c r="I8650" s="8">
        <f>IF(D8650="","",VLOOKUP(D8650, RECETTES!B:G, 6, FALSE)*E8650)</f>
        <v/>
      </c>
      <c r="J8650" s="8">
        <f>IF(G8650="","",G8650*0.20)</f>
        <v/>
      </c>
      <c r="K8650" s="8">
        <f>IF(G8650="","",G8650+J8650)</f>
        <v/>
      </c>
    </row>
    <row r="8651">
      <c r="F8651" s="8" t="n"/>
      <c r="G8651" s="8">
        <f>IF(E8651="","",E8651*F8651)</f>
        <v/>
      </c>
      <c r="H8651" s="8">
        <f>IF(G8651="","",G8651-I8651)</f>
        <v/>
      </c>
      <c r="I8651" s="8">
        <f>IF(D8651="","",VLOOKUP(D8651, RECETTES!B:G, 6, FALSE)*E8651)</f>
        <v/>
      </c>
      <c r="J8651" s="8">
        <f>IF(G8651="","",G8651*0.20)</f>
        <v/>
      </c>
      <c r="K8651" s="8">
        <f>IF(G8651="","",G8651+J8651)</f>
        <v/>
      </c>
    </row>
    <row r="8652">
      <c r="F8652" s="8" t="n"/>
      <c r="G8652" s="8">
        <f>IF(E8652="","",E8652*F8652)</f>
        <v/>
      </c>
      <c r="H8652" s="8">
        <f>IF(G8652="","",G8652-I8652)</f>
        <v/>
      </c>
      <c r="I8652" s="8">
        <f>IF(D8652="","",VLOOKUP(D8652, RECETTES!B:G, 6, FALSE)*E8652)</f>
        <v/>
      </c>
      <c r="J8652" s="8">
        <f>IF(G8652="","",G8652*0.20)</f>
        <v/>
      </c>
      <c r="K8652" s="8">
        <f>IF(G8652="","",G8652+J8652)</f>
        <v/>
      </c>
    </row>
    <row r="8653">
      <c r="F8653" s="8" t="n"/>
      <c r="G8653" s="8">
        <f>IF(E8653="","",E8653*F8653)</f>
        <v/>
      </c>
      <c r="H8653" s="8">
        <f>IF(G8653="","",G8653-I8653)</f>
        <v/>
      </c>
      <c r="I8653" s="8">
        <f>IF(D8653="","",VLOOKUP(D8653, RECETTES!B:G, 6, FALSE)*E8653)</f>
        <v/>
      </c>
      <c r="J8653" s="8">
        <f>IF(G8653="","",G8653*0.20)</f>
        <v/>
      </c>
      <c r="K8653" s="8">
        <f>IF(G8653="","",G8653+J8653)</f>
        <v/>
      </c>
    </row>
    <row r="8654">
      <c r="F8654" s="8" t="n"/>
      <c r="G8654" s="8">
        <f>IF(E8654="","",E8654*F8654)</f>
        <v/>
      </c>
      <c r="H8654" s="8">
        <f>IF(G8654="","",G8654-I8654)</f>
        <v/>
      </c>
      <c r="I8654" s="8">
        <f>IF(D8654="","",VLOOKUP(D8654, RECETTES!B:G, 6, FALSE)*E8654)</f>
        <v/>
      </c>
      <c r="J8654" s="8">
        <f>IF(G8654="","",G8654*0.20)</f>
        <v/>
      </c>
      <c r="K8654" s="8">
        <f>IF(G8654="","",G8654+J8654)</f>
        <v/>
      </c>
    </row>
    <row r="8655">
      <c r="F8655" s="8" t="n"/>
      <c r="G8655" s="8">
        <f>IF(E8655="","",E8655*F8655)</f>
        <v/>
      </c>
      <c r="H8655" s="8">
        <f>IF(G8655="","",G8655-I8655)</f>
        <v/>
      </c>
      <c r="I8655" s="8">
        <f>IF(D8655="","",VLOOKUP(D8655, RECETTES!B:G, 6, FALSE)*E8655)</f>
        <v/>
      </c>
      <c r="J8655" s="8">
        <f>IF(G8655="","",G8655*0.20)</f>
        <v/>
      </c>
      <c r="K8655" s="8">
        <f>IF(G8655="","",G8655+J8655)</f>
        <v/>
      </c>
    </row>
    <row r="8656">
      <c r="F8656" s="8" t="n"/>
      <c r="G8656" s="8">
        <f>IF(E8656="","",E8656*F8656)</f>
        <v/>
      </c>
      <c r="H8656" s="8">
        <f>IF(G8656="","",G8656-I8656)</f>
        <v/>
      </c>
      <c r="I8656" s="8">
        <f>IF(D8656="","",VLOOKUP(D8656, RECETTES!B:G, 6, FALSE)*E8656)</f>
        <v/>
      </c>
      <c r="J8656" s="8">
        <f>IF(G8656="","",G8656*0.20)</f>
        <v/>
      </c>
      <c r="K8656" s="8">
        <f>IF(G8656="","",G8656+J8656)</f>
        <v/>
      </c>
    </row>
    <row r="8657">
      <c r="F8657" s="8" t="n"/>
      <c r="G8657" s="8">
        <f>IF(E8657="","",E8657*F8657)</f>
        <v/>
      </c>
      <c r="H8657" s="8">
        <f>IF(G8657="","",G8657-I8657)</f>
        <v/>
      </c>
      <c r="I8657" s="8">
        <f>IF(D8657="","",VLOOKUP(D8657, RECETTES!B:G, 6, FALSE)*E8657)</f>
        <v/>
      </c>
      <c r="J8657" s="8">
        <f>IF(G8657="","",G8657*0.20)</f>
        <v/>
      </c>
      <c r="K8657" s="8">
        <f>IF(G8657="","",G8657+J8657)</f>
        <v/>
      </c>
    </row>
    <row r="8658">
      <c r="F8658" s="8" t="n"/>
      <c r="G8658" s="8">
        <f>IF(E8658="","",E8658*F8658)</f>
        <v/>
      </c>
      <c r="H8658" s="8">
        <f>IF(G8658="","",G8658-I8658)</f>
        <v/>
      </c>
      <c r="I8658" s="8">
        <f>IF(D8658="","",VLOOKUP(D8658, RECETTES!B:G, 6, FALSE)*E8658)</f>
        <v/>
      </c>
      <c r="J8658" s="8">
        <f>IF(G8658="","",G8658*0.20)</f>
        <v/>
      </c>
      <c r="K8658" s="8">
        <f>IF(G8658="","",G8658+J8658)</f>
        <v/>
      </c>
    </row>
    <row r="8659">
      <c r="F8659" s="8" t="n"/>
      <c r="G8659" s="8">
        <f>IF(E8659="","",E8659*F8659)</f>
        <v/>
      </c>
      <c r="H8659" s="8">
        <f>IF(G8659="","",G8659-I8659)</f>
        <v/>
      </c>
      <c r="I8659" s="8">
        <f>IF(D8659="","",VLOOKUP(D8659, RECETTES!B:G, 6, FALSE)*E8659)</f>
        <v/>
      </c>
      <c r="J8659" s="8">
        <f>IF(G8659="","",G8659*0.20)</f>
        <v/>
      </c>
      <c r="K8659" s="8">
        <f>IF(G8659="","",G8659+J8659)</f>
        <v/>
      </c>
    </row>
    <row r="8660">
      <c r="F8660" s="8" t="n"/>
      <c r="G8660" s="8">
        <f>IF(E8660="","",E8660*F8660)</f>
        <v/>
      </c>
      <c r="H8660" s="8">
        <f>IF(G8660="","",G8660-I8660)</f>
        <v/>
      </c>
      <c r="I8660" s="8">
        <f>IF(D8660="","",VLOOKUP(D8660, RECETTES!B:G, 6, FALSE)*E8660)</f>
        <v/>
      </c>
      <c r="J8660" s="8">
        <f>IF(G8660="","",G8660*0.20)</f>
        <v/>
      </c>
      <c r="K8660" s="8">
        <f>IF(G8660="","",G8660+J8660)</f>
        <v/>
      </c>
    </row>
    <row r="8661">
      <c r="F8661" s="8" t="n"/>
      <c r="G8661" s="8">
        <f>IF(E8661="","",E8661*F8661)</f>
        <v/>
      </c>
      <c r="H8661" s="8">
        <f>IF(G8661="","",G8661-I8661)</f>
        <v/>
      </c>
      <c r="I8661" s="8">
        <f>IF(D8661="","",VLOOKUP(D8661, RECETTES!B:G, 6, FALSE)*E8661)</f>
        <v/>
      </c>
      <c r="J8661" s="8">
        <f>IF(G8661="","",G8661*0.20)</f>
        <v/>
      </c>
      <c r="K8661" s="8">
        <f>IF(G8661="","",G8661+J8661)</f>
        <v/>
      </c>
    </row>
    <row r="8662">
      <c r="F8662" s="8" t="n"/>
      <c r="G8662" s="8">
        <f>IF(E8662="","",E8662*F8662)</f>
        <v/>
      </c>
      <c r="H8662" s="8">
        <f>IF(G8662="","",G8662-I8662)</f>
        <v/>
      </c>
      <c r="I8662" s="8">
        <f>IF(D8662="","",VLOOKUP(D8662, RECETTES!B:G, 6, FALSE)*E8662)</f>
        <v/>
      </c>
      <c r="J8662" s="8">
        <f>IF(G8662="","",G8662*0.20)</f>
        <v/>
      </c>
      <c r="K8662" s="8">
        <f>IF(G8662="","",G8662+J8662)</f>
        <v/>
      </c>
    </row>
    <row r="8663">
      <c r="F8663" s="8" t="n"/>
      <c r="G8663" s="8">
        <f>IF(E8663="","",E8663*F8663)</f>
        <v/>
      </c>
      <c r="H8663" s="8">
        <f>IF(G8663="","",G8663-I8663)</f>
        <v/>
      </c>
      <c r="I8663" s="8">
        <f>IF(D8663="","",VLOOKUP(D8663, RECETTES!B:G, 6, FALSE)*E8663)</f>
        <v/>
      </c>
      <c r="J8663" s="8">
        <f>IF(G8663="","",G8663*0.20)</f>
        <v/>
      </c>
      <c r="K8663" s="8">
        <f>IF(G8663="","",G8663+J8663)</f>
        <v/>
      </c>
    </row>
    <row r="8664">
      <c r="F8664" s="8" t="n"/>
      <c r="G8664" s="8">
        <f>IF(E8664="","",E8664*F8664)</f>
        <v/>
      </c>
      <c r="H8664" s="8">
        <f>IF(G8664="","",G8664-I8664)</f>
        <v/>
      </c>
      <c r="I8664" s="8">
        <f>IF(D8664="","",VLOOKUP(D8664, RECETTES!B:G, 6, FALSE)*E8664)</f>
        <v/>
      </c>
      <c r="J8664" s="8">
        <f>IF(G8664="","",G8664*0.20)</f>
        <v/>
      </c>
      <c r="K8664" s="8">
        <f>IF(G8664="","",G8664+J8664)</f>
        <v/>
      </c>
    </row>
    <row r="8665">
      <c r="F8665" s="8" t="n"/>
      <c r="G8665" s="8">
        <f>IF(E8665="","",E8665*F8665)</f>
        <v/>
      </c>
      <c r="H8665" s="8">
        <f>IF(G8665="","",G8665-I8665)</f>
        <v/>
      </c>
      <c r="I8665" s="8">
        <f>IF(D8665="","",VLOOKUP(D8665, RECETTES!B:G, 6, FALSE)*E8665)</f>
        <v/>
      </c>
      <c r="J8665" s="8">
        <f>IF(G8665="","",G8665*0.20)</f>
        <v/>
      </c>
      <c r="K8665" s="8">
        <f>IF(G8665="","",G8665+J8665)</f>
        <v/>
      </c>
    </row>
    <row r="8666">
      <c r="F8666" s="8" t="n"/>
      <c r="G8666" s="8">
        <f>IF(E8666="","",E8666*F8666)</f>
        <v/>
      </c>
      <c r="H8666" s="8">
        <f>IF(G8666="","",G8666-I8666)</f>
        <v/>
      </c>
      <c r="I8666" s="8">
        <f>IF(D8666="","",VLOOKUP(D8666, RECETTES!B:G, 6, FALSE)*E8666)</f>
        <v/>
      </c>
      <c r="J8666" s="8">
        <f>IF(G8666="","",G8666*0.20)</f>
        <v/>
      </c>
      <c r="K8666" s="8">
        <f>IF(G8666="","",G8666+J8666)</f>
        <v/>
      </c>
    </row>
    <row r="8667">
      <c r="F8667" s="8" t="n"/>
      <c r="G8667" s="8">
        <f>IF(E8667="","",E8667*F8667)</f>
        <v/>
      </c>
      <c r="H8667" s="8">
        <f>IF(G8667="","",G8667-I8667)</f>
        <v/>
      </c>
      <c r="I8667" s="8">
        <f>IF(D8667="","",VLOOKUP(D8667, RECETTES!B:G, 6, FALSE)*E8667)</f>
        <v/>
      </c>
      <c r="J8667" s="8">
        <f>IF(G8667="","",G8667*0.20)</f>
        <v/>
      </c>
      <c r="K8667" s="8">
        <f>IF(G8667="","",G8667+J8667)</f>
        <v/>
      </c>
    </row>
    <row r="8668">
      <c r="F8668" s="8" t="n"/>
      <c r="G8668" s="8">
        <f>IF(E8668="","",E8668*F8668)</f>
        <v/>
      </c>
      <c r="H8668" s="8">
        <f>IF(G8668="","",G8668-I8668)</f>
        <v/>
      </c>
      <c r="I8668" s="8">
        <f>IF(D8668="","",VLOOKUP(D8668, RECETTES!B:G, 6, FALSE)*E8668)</f>
        <v/>
      </c>
      <c r="J8668" s="8">
        <f>IF(G8668="","",G8668*0.20)</f>
        <v/>
      </c>
      <c r="K8668" s="8">
        <f>IF(G8668="","",G8668+J8668)</f>
        <v/>
      </c>
    </row>
    <row r="8669">
      <c r="F8669" s="8" t="n"/>
      <c r="G8669" s="8">
        <f>IF(E8669="","",E8669*F8669)</f>
        <v/>
      </c>
      <c r="H8669" s="8">
        <f>IF(G8669="","",G8669-I8669)</f>
        <v/>
      </c>
      <c r="I8669" s="8">
        <f>IF(D8669="","",VLOOKUP(D8669, RECETTES!B:G, 6, FALSE)*E8669)</f>
        <v/>
      </c>
      <c r="J8669" s="8">
        <f>IF(G8669="","",G8669*0.20)</f>
        <v/>
      </c>
      <c r="K8669" s="8">
        <f>IF(G8669="","",G8669+J8669)</f>
        <v/>
      </c>
    </row>
    <row r="8670">
      <c r="F8670" s="8" t="n"/>
      <c r="G8670" s="8">
        <f>IF(E8670="","",E8670*F8670)</f>
        <v/>
      </c>
      <c r="H8670" s="8">
        <f>IF(G8670="","",G8670-I8670)</f>
        <v/>
      </c>
      <c r="I8670" s="8">
        <f>IF(D8670="","",VLOOKUP(D8670, RECETTES!B:G, 6, FALSE)*E8670)</f>
        <v/>
      </c>
      <c r="J8670" s="8">
        <f>IF(G8670="","",G8670*0.20)</f>
        <v/>
      </c>
      <c r="K8670" s="8">
        <f>IF(G8670="","",G8670+J8670)</f>
        <v/>
      </c>
    </row>
    <row r="8671">
      <c r="F8671" s="8" t="n"/>
      <c r="G8671" s="8">
        <f>IF(E8671="","",E8671*F8671)</f>
        <v/>
      </c>
      <c r="H8671" s="8">
        <f>IF(G8671="","",G8671-I8671)</f>
        <v/>
      </c>
      <c r="I8671" s="8">
        <f>IF(D8671="","",VLOOKUP(D8671, RECETTES!B:G, 6, FALSE)*E8671)</f>
        <v/>
      </c>
      <c r="J8671" s="8">
        <f>IF(G8671="","",G8671*0.20)</f>
        <v/>
      </c>
      <c r="K8671" s="8">
        <f>IF(G8671="","",G8671+J8671)</f>
        <v/>
      </c>
    </row>
    <row r="8672">
      <c r="F8672" s="8" t="n"/>
      <c r="G8672" s="8">
        <f>IF(E8672="","",E8672*F8672)</f>
        <v/>
      </c>
      <c r="H8672" s="8">
        <f>IF(G8672="","",G8672-I8672)</f>
        <v/>
      </c>
      <c r="I8672" s="8">
        <f>IF(D8672="","",VLOOKUP(D8672, RECETTES!B:G, 6, FALSE)*E8672)</f>
        <v/>
      </c>
      <c r="J8672" s="8">
        <f>IF(G8672="","",G8672*0.20)</f>
        <v/>
      </c>
      <c r="K8672" s="8">
        <f>IF(G8672="","",G8672+J8672)</f>
        <v/>
      </c>
    </row>
    <row r="8673">
      <c r="F8673" s="8" t="n"/>
      <c r="G8673" s="8">
        <f>IF(E8673="","",E8673*F8673)</f>
        <v/>
      </c>
      <c r="H8673" s="8">
        <f>IF(G8673="","",G8673-I8673)</f>
        <v/>
      </c>
      <c r="I8673" s="8">
        <f>IF(D8673="","",VLOOKUP(D8673, RECETTES!B:G, 6, FALSE)*E8673)</f>
        <v/>
      </c>
      <c r="J8673" s="8">
        <f>IF(G8673="","",G8673*0.20)</f>
        <v/>
      </c>
      <c r="K8673" s="8">
        <f>IF(G8673="","",G8673+J8673)</f>
        <v/>
      </c>
    </row>
    <row r="8674">
      <c r="F8674" s="8" t="n"/>
      <c r="G8674" s="8">
        <f>IF(E8674="","",E8674*F8674)</f>
        <v/>
      </c>
      <c r="H8674" s="8">
        <f>IF(G8674="","",G8674-I8674)</f>
        <v/>
      </c>
      <c r="I8674" s="8">
        <f>IF(D8674="","",VLOOKUP(D8674, RECETTES!B:G, 6, FALSE)*E8674)</f>
        <v/>
      </c>
      <c r="J8674" s="8">
        <f>IF(G8674="","",G8674*0.20)</f>
        <v/>
      </c>
      <c r="K8674" s="8">
        <f>IF(G8674="","",G8674+J8674)</f>
        <v/>
      </c>
    </row>
    <row r="8675">
      <c r="F8675" s="8" t="n"/>
      <c r="G8675" s="8">
        <f>IF(E8675="","",E8675*F8675)</f>
        <v/>
      </c>
      <c r="H8675" s="8">
        <f>IF(G8675="","",G8675-I8675)</f>
        <v/>
      </c>
      <c r="I8675" s="8">
        <f>IF(D8675="","",VLOOKUP(D8675, RECETTES!B:G, 6, FALSE)*E8675)</f>
        <v/>
      </c>
      <c r="J8675" s="8">
        <f>IF(G8675="","",G8675*0.20)</f>
        <v/>
      </c>
      <c r="K8675" s="8">
        <f>IF(G8675="","",G8675+J8675)</f>
        <v/>
      </c>
    </row>
    <row r="8676">
      <c r="F8676" s="8" t="n"/>
      <c r="G8676" s="8">
        <f>IF(E8676="","",E8676*F8676)</f>
        <v/>
      </c>
      <c r="H8676" s="8">
        <f>IF(G8676="","",G8676-I8676)</f>
        <v/>
      </c>
      <c r="I8676" s="8">
        <f>IF(D8676="","",VLOOKUP(D8676, RECETTES!B:G, 6, FALSE)*E8676)</f>
        <v/>
      </c>
      <c r="J8676" s="8">
        <f>IF(G8676="","",G8676*0.20)</f>
        <v/>
      </c>
      <c r="K8676" s="8">
        <f>IF(G8676="","",G8676+J8676)</f>
        <v/>
      </c>
    </row>
    <row r="8677">
      <c r="F8677" s="8" t="n"/>
      <c r="G8677" s="8">
        <f>IF(E8677="","",E8677*F8677)</f>
        <v/>
      </c>
      <c r="H8677" s="8">
        <f>IF(G8677="","",G8677-I8677)</f>
        <v/>
      </c>
      <c r="I8677" s="8">
        <f>IF(D8677="","",VLOOKUP(D8677, RECETTES!B:G, 6, FALSE)*E8677)</f>
        <v/>
      </c>
      <c r="J8677" s="8">
        <f>IF(G8677="","",G8677*0.20)</f>
        <v/>
      </c>
      <c r="K8677" s="8">
        <f>IF(G8677="","",G8677+J8677)</f>
        <v/>
      </c>
    </row>
    <row r="8678">
      <c r="F8678" s="8" t="n"/>
      <c r="G8678" s="8">
        <f>IF(E8678="","",E8678*F8678)</f>
        <v/>
      </c>
      <c r="H8678" s="8">
        <f>IF(G8678="","",G8678-I8678)</f>
        <v/>
      </c>
      <c r="I8678" s="8">
        <f>IF(D8678="","",VLOOKUP(D8678, RECETTES!B:G, 6, FALSE)*E8678)</f>
        <v/>
      </c>
      <c r="J8678" s="8">
        <f>IF(G8678="","",G8678*0.20)</f>
        <v/>
      </c>
      <c r="K8678" s="8">
        <f>IF(G8678="","",G8678+J8678)</f>
        <v/>
      </c>
    </row>
    <row r="8679">
      <c r="F8679" s="8" t="n"/>
      <c r="G8679" s="8">
        <f>IF(E8679="","",E8679*F8679)</f>
        <v/>
      </c>
      <c r="H8679" s="8">
        <f>IF(G8679="","",G8679-I8679)</f>
        <v/>
      </c>
      <c r="I8679" s="8">
        <f>IF(D8679="","",VLOOKUP(D8679, RECETTES!B:G, 6, FALSE)*E8679)</f>
        <v/>
      </c>
      <c r="J8679" s="8">
        <f>IF(G8679="","",G8679*0.20)</f>
        <v/>
      </c>
      <c r="K8679" s="8">
        <f>IF(G8679="","",G8679+J8679)</f>
        <v/>
      </c>
    </row>
    <row r="8680">
      <c r="F8680" s="8" t="n"/>
      <c r="G8680" s="8">
        <f>IF(E8680="","",E8680*F8680)</f>
        <v/>
      </c>
      <c r="H8680" s="8">
        <f>IF(G8680="","",G8680-I8680)</f>
        <v/>
      </c>
      <c r="I8680" s="8">
        <f>IF(D8680="","",VLOOKUP(D8680, RECETTES!B:G, 6, FALSE)*E8680)</f>
        <v/>
      </c>
      <c r="J8680" s="8">
        <f>IF(G8680="","",G8680*0.20)</f>
        <v/>
      </c>
      <c r="K8680" s="8">
        <f>IF(G8680="","",G8680+J8680)</f>
        <v/>
      </c>
    </row>
    <row r="8681">
      <c r="F8681" s="8" t="n"/>
      <c r="G8681" s="8">
        <f>IF(E8681="","",E8681*F8681)</f>
        <v/>
      </c>
      <c r="H8681" s="8">
        <f>IF(G8681="","",G8681-I8681)</f>
        <v/>
      </c>
      <c r="I8681" s="8">
        <f>IF(D8681="","",VLOOKUP(D8681, RECETTES!B:G, 6, FALSE)*E8681)</f>
        <v/>
      </c>
      <c r="J8681" s="8">
        <f>IF(G8681="","",G8681*0.20)</f>
        <v/>
      </c>
      <c r="K8681" s="8">
        <f>IF(G8681="","",G8681+J8681)</f>
        <v/>
      </c>
    </row>
    <row r="8682">
      <c r="F8682" s="8" t="n"/>
      <c r="G8682" s="8">
        <f>IF(E8682="","",E8682*F8682)</f>
        <v/>
      </c>
      <c r="H8682" s="8">
        <f>IF(G8682="","",G8682-I8682)</f>
        <v/>
      </c>
      <c r="I8682" s="8">
        <f>IF(D8682="","",VLOOKUP(D8682, RECETTES!B:G, 6, FALSE)*E8682)</f>
        <v/>
      </c>
      <c r="J8682" s="8">
        <f>IF(G8682="","",G8682*0.20)</f>
        <v/>
      </c>
      <c r="K8682" s="8">
        <f>IF(G8682="","",G8682+J8682)</f>
        <v/>
      </c>
    </row>
    <row r="8683">
      <c r="F8683" s="8" t="n"/>
      <c r="G8683" s="8">
        <f>IF(E8683="","",E8683*F8683)</f>
        <v/>
      </c>
      <c r="H8683" s="8">
        <f>IF(G8683="","",G8683-I8683)</f>
        <v/>
      </c>
      <c r="I8683" s="8">
        <f>IF(D8683="","",VLOOKUP(D8683, RECETTES!B:G, 6, FALSE)*E8683)</f>
        <v/>
      </c>
      <c r="J8683" s="8">
        <f>IF(G8683="","",G8683*0.20)</f>
        <v/>
      </c>
      <c r="K8683" s="8">
        <f>IF(G8683="","",G8683+J8683)</f>
        <v/>
      </c>
    </row>
    <row r="8684">
      <c r="F8684" s="8" t="n"/>
      <c r="G8684" s="8">
        <f>IF(E8684="","",E8684*F8684)</f>
        <v/>
      </c>
      <c r="H8684" s="8">
        <f>IF(G8684="","",G8684-I8684)</f>
        <v/>
      </c>
      <c r="I8684" s="8">
        <f>IF(D8684="","",VLOOKUP(D8684, RECETTES!B:G, 6, FALSE)*E8684)</f>
        <v/>
      </c>
      <c r="J8684" s="8">
        <f>IF(G8684="","",G8684*0.20)</f>
        <v/>
      </c>
      <c r="K8684" s="8">
        <f>IF(G8684="","",G8684+J8684)</f>
        <v/>
      </c>
    </row>
    <row r="8685">
      <c r="F8685" s="8" t="n"/>
      <c r="G8685" s="8">
        <f>IF(E8685="","",E8685*F8685)</f>
        <v/>
      </c>
      <c r="H8685" s="8">
        <f>IF(G8685="","",G8685-I8685)</f>
        <v/>
      </c>
      <c r="I8685" s="8">
        <f>IF(D8685="","",VLOOKUP(D8685, RECETTES!B:G, 6, FALSE)*E8685)</f>
        <v/>
      </c>
      <c r="J8685" s="8">
        <f>IF(G8685="","",G8685*0.20)</f>
        <v/>
      </c>
      <c r="K8685" s="8">
        <f>IF(G8685="","",G8685+J8685)</f>
        <v/>
      </c>
    </row>
    <row r="8686">
      <c r="F8686" s="8" t="n"/>
      <c r="G8686" s="8">
        <f>IF(E8686="","",E8686*F8686)</f>
        <v/>
      </c>
      <c r="H8686" s="8">
        <f>IF(G8686="","",G8686-I8686)</f>
        <v/>
      </c>
      <c r="I8686" s="8">
        <f>IF(D8686="","",VLOOKUP(D8686, RECETTES!B:G, 6, FALSE)*E8686)</f>
        <v/>
      </c>
      <c r="J8686" s="8">
        <f>IF(G8686="","",G8686*0.20)</f>
        <v/>
      </c>
      <c r="K8686" s="8">
        <f>IF(G8686="","",G8686+J8686)</f>
        <v/>
      </c>
    </row>
    <row r="8687">
      <c r="F8687" s="8" t="n"/>
      <c r="G8687" s="8">
        <f>IF(E8687="","",E8687*F8687)</f>
        <v/>
      </c>
      <c r="H8687" s="8">
        <f>IF(G8687="","",G8687-I8687)</f>
        <v/>
      </c>
      <c r="I8687" s="8">
        <f>IF(D8687="","",VLOOKUP(D8687, RECETTES!B:G, 6, FALSE)*E8687)</f>
        <v/>
      </c>
      <c r="J8687" s="8">
        <f>IF(G8687="","",G8687*0.20)</f>
        <v/>
      </c>
      <c r="K8687" s="8">
        <f>IF(G8687="","",G8687+J8687)</f>
        <v/>
      </c>
    </row>
    <row r="8688">
      <c r="F8688" s="8" t="n"/>
      <c r="G8688" s="8">
        <f>IF(E8688="","",E8688*F8688)</f>
        <v/>
      </c>
      <c r="H8688" s="8">
        <f>IF(G8688="","",G8688-I8688)</f>
        <v/>
      </c>
      <c r="I8688" s="8">
        <f>IF(D8688="","",VLOOKUP(D8688, RECETTES!B:G, 6, FALSE)*E8688)</f>
        <v/>
      </c>
      <c r="J8688" s="8">
        <f>IF(G8688="","",G8688*0.20)</f>
        <v/>
      </c>
      <c r="K8688" s="8">
        <f>IF(G8688="","",G8688+J8688)</f>
        <v/>
      </c>
    </row>
    <row r="8689">
      <c r="F8689" s="8" t="n"/>
      <c r="G8689" s="8">
        <f>IF(E8689="","",E8689*F8689)</f>
        <v/>
      </c>
      <c r="H8689" s="8">
        <f>IF(G8689="","",G8689-I8689)</f>
        <v/>
      </c>
      <c r="I8689" s="8">
        <f>IF(D8689="","",VLOOKUP(D8689, RECETTES!B:G, 6, FALSE)*E8689)</f>
        <v/>
      </c>
      <c r="J8689" s="8">
        <f>IF(G8689="","",G8689*0.20)</f>
        <v/>
      </c>
      <c r="K8689" s="8">
        <f>IF(G8689="","",G8689+J8689)</f>
        <v/>
      </c>
    </row>
    <row r="8690">
      <c r="F8690" s="8" t="n"/>
      <c r="G8690" s="8">
        <f>IF(E8690="","",E8690*F8690)</f>
        <v/>
      </c>
      <c r="H8690" s="8">
        <f>IF(G8690="","",G8690-I8690)</f>
        <v/>
      </c>
      <c r="I8690" s="8">
        <f>IF(D8690="","",VLOOKUP(D8690, RECETTES!B:G, 6, FALSE)*E8690)</f>
        <v/>
      </c>
      <c r="J8690" s="8">
        <f>IF(G8690="","",G8690*0.20)</f>
        <v/>
      </c>
      <c r="K8690" s="8">
        <f>IF(G8690="","",G8690+J8690)</f>
        <v/>
      </c>
    </row>
    <row r="8691">
      <c r="F8691" s="8" t="n"/>
      <c r="G8691" s="8">
        <f>IF(E8691="","",E8691*F8691)</f>
        <v/>
      </c>
      <c r="H8691" s="8">
        <f>IF(G8691="","",G8691-I8691)</f>
        <v/>
      </c>
      <c r="I8691" s="8">
        <f>IF(D8691="","",VLOOKUP(D8691, RECETTES!B:G, 6, FALSE)*E8691)</f>
        <v/>
      </c>
      <c r="J8691" s="8">
        <f>IF(G8691="","",G8691*0.20)</f>
        <v/>
      </c>
      <c r="K8691" s="8">
        <f>IF(G8691="","",G8691+J8691)</f>
        <v/>
      </c>
    </row>
    <row r="8692">
      <c r="F8692" s="8" t="n"/>
      <c r="G8692" s="8">
        <f>IF(E8692="","",E8692*F8692)</f>
        <v/>
      </c>
      <c r="H8692" s="8">
        <f>IF(G8692="","",G8692-I8692)</f>
        <v/>
      </c>
      <c r="I8692" s="8">
        <f>IF(D8692="","",VLOOKUP(D8692, RECETTES!B:G, 6, FALSE)*E8692)</f>
        <v/>
      </c>
      <c r="J8692" s="8">
        <f>IF(G8692="","",G8692*0.20)</f>
        <v/>
      </c>
      <c r="K8692" s="8">
        <f>IF(G8692="","",G8692+J8692)</f>
        <v/>
      </c>
    </row>
    <row r="8693">
      <c r="F8693" s="8" t="n"/>
      <c r="G8693" s="8">
        <f>IF(E8693="","",E8693*F8693)</f>
        <v/>
      </c>
      <c r="H8693" s="8">
        <f>IF(G8693="","",G8693-I8693)</f>
        <v/>
      </c>
      <c r="I8693" s="8">
        <f>IF(D8693="","",VLOOKUP(D8693, RECETTES!B:G, 6, FALSE)*E8693)</f>
        <v/>
      </c>
      <c r="J8693" s="8">
        <f>IF(G8693="","",G8693*0.20)</f>
        <v/>
      </c>
      <c r="K8693" s="8">
        <f>IF(G8693="","",G8693+J8693)</f>
        <v/>
      </c>
    </row>
    <row r="8694">
      <c r="F8694" s="8" t="n"/>
      <c r="G8694" s="8">
        <f>IF(E8694="","",E8694*F8694)</f>
        <v/>
      </c>
      <c r="H8694" s="8">
        <f>IF(G8694="","",G8694-I8694)</f>
        <v/>
      </c>
      <c r="I8694" s="8">
        <f>IF(D8694="","",VLOOKUP(D8694, RECETTES!B:G, 6, FALSE)*E8694)</f>
        <v/>
      </c>
      <c r="J8694" s="8">
        <f>IF(G8694="","",G8694*0.20)</f>
        <v/>
      </c>
      <c r="K8694" s="8">
        <f>IF(G8694="","",G8694+J8694)</f>
        <v/>
      </c>
    </row>
    <row r="8695">
      <c r="F8695" s="8" t="n"/>
      <c r="G8695" s="8">
        <f>IF(E8695="","",E8695*F8695)</f>
        <v/>
      </c>
      <c r="H8695" s="8">
        <f>IF(G8695="","",G8695-I8695)</f>
        <v/>
      </c>
      <c r="I8695" s="8">
        <f>IF(D8695="","",VLOOKUP(D8695, RECETTES!B:G, 6, FALSE)*E8695)</f>
        <v/>
      </c>
      <c r="J8695" s="8">
        <f>IF(G8695="","",G8695*0.20)</f>
        <v/>
      </c>
      <c r="K8695" s="8">
        <f>IF(G8695="","",G8695+J8695)</f>
        <v/>
      </c>
    </row>
    <row r="8696">
      <c r="F8696" s="8" t="n"/>
      <c r="G8696" s="8">
        <f>IF(E8696="","",E8696*F8696)</f>
        <v/>
      </c>
      <c r="H8696" s="8">
        <f>IF(G8696="","",G8696-I8696)</f>
        <v/>
      </c>
      <c r="I8696" s="8">
        <f>IF(D8696="","",VLOOKUP(D8696, RECETTES!B:G, 6, FALSE)*E8696)</f>
        <v/>
      </c>
      <c r="J8696" s="8">
        <f>IF(G8696="","",G8696*0.20)</f>
        <v/>
      </c>
      <c r="K8696" s="8">
        <f>IF(G8696="","",G8696+J8696)</f>
        <v/>
      </c>
    </row>
    <row r="8697">
      <c r="F8697" s="8" t="n"/>
      <c r="G8697" s="8">
        <f>IF(E8697="","",E8697*F8697)</f>
        <v/>
      </c>
      <c r="H8697" s="8">
        <f>IF(G8697="","",G8697-I8697)</f>
        <v/>
      </c>
      <c r="I8697" s="8">
        <f>IF(D8697="","",VLOOKUP(D8697, RECETTES!B:G, 6, FALSE)*E8697)</f>
        <v/>
      </c>
      <c r="J8697" s="8">
        <f>IF(G8697="","",G8697*0.20)</f>
        <v/>
      </c>
      <c r="K8697" s="8">
        <f>IF(G8697="","",G8697+J8697)</f>
        <v/>
      </c>
    </row>
    <row r="8698">
      <c r="F8698" s="8" t="n"/>
      <c r="G8698" s="8">
        <f>IF(E8698="","",E8698*F8698)</f>
        <v/>
      </c>
      <c r="H8698" s="8">
        <f>IF(G8698="","",G8698-I8698)</f>
        <v/>
      </c>
      <c r="I8698" s="8">
        <f>IF(D8698="","",VLOOKUP(D8698, RECETTES!B:G, 6, FALSE)*E8698)</f>
        <v/>
      </c>
      <c r="J8698" s="8">
        <f>IF(G8698="","",G8698*0.20)</f>
        <v/>
      </c>
      <c r="K8698" s="8">
        <f>IF(G8698="","",G8698+J8698)</f>
        <v/>
      </c>
    </row>
    <row r="8699">
      <c r="F8699" s="8" t="n"/>
      <c r="G8699" s="8">
        <f>IF(E8699="","",E8699*F8699)</f>
        <v/>
      </c>
      <c r="H8699" s="8">
        <f>IF(G8699="","",G8699-I8699)</f>
        <v/>
      </c>
      <c r="I8699" s="8">
        <f>IF(D8699="","",VLOOKUP(D8699, RECETTES!B:G, 6, FALSE)*E8699)</f>
        <v/>
      </c>
      <c r="J8699" s="8">
        <f>IF(G8699="","",G8699*0.20)</f>
        <v/>
      </c>
      <c r="K8699" s="8">
        <f>IF(G8699="","",G8699+J8699)</f>
        <v/>
      </c>
    </row>
    <row r="8700">
      <c r="F8700" s="8" t="n"/>
      <c r="G8700" s="8">
        <f>IF(E8700="","",E8700*F8700)</f>
        <v/>
      </c>
      <c r="H8700" s="8">
        <f>IF(G8700="","",G8700-I8700)</f>
        <v/>
      </c>
      <c r="I8700" s="8">
        <f>IF(D8700="","",VLOOKUP(D8700, RECETTES!B:G, 6, FALSE)*E8700)</f>
        <v/>
      </c>
      <c r="J8700" s="8">
        <f>IF(G8700="","",G8700*0.20)</f>
        <v/>
      </c>
      <c r="K8700" s="8">
        <f>IF(G8700="","",G8700+J8700)</f>
        <v/>
      </c>
    </row>
    <row r="8701">
      <c r="F8701" s="8" t="n"/>
      <c r="G8701" s="8">
        <f>IF(E8701="","",E8701*F8701)</f>
        <v/>
      </c>
      <c r="H8701" s="8">
        <f>IF(G8701="","",G8701-I8701)</f>
        <v/>
      </c>
      <c r="I8701" s="8">
        <f>IF(D8701="","",VLOOKUP(D8701, RECETTES!B:G, 6, FALSE)*E8701)</f>
        <v/>
      </c>
      <c r="J8701" s="8">
        <f>IF(G8701="","",G8701*0.20)</f>
        <v/>
      </c>
      <c r="K8701" s="8">
        <f>IF(G8701="","",G8701+J8701)</f>
        <v/>
      </c>
    </row>
    <row r="8702">
      <c r="F8702" s="8" t="n"/>
      <c r="G8702" s="8">
        <f>IF(E8702="","",E8702*F8702)</f>
        <v/>
      </c>
      <c r="H8702" s="8">
        <f>IF(G8702="","",G8702-I8702)</f>
        <v/>
      </c>
      <c r="I8702" s="8">
        <f>IF(D8702="","",VLOOKUP(D8702, RECETTES!B:G, 6, FALSE)*E8702)</f>
        <v/>
      </c>
      <c r="J8702" s="8">
        <f>IF(G8702="","",G8702*0.20)</f>
        <v/>
      </c>
      <c r="K8702" s="8">
        <f>IF(G8702="","",G8702+J8702)</f>
        <v/>
      </c>
    </row>
    <row r="8703">
      <c r="F8703" s="8" t="n"/>
      <c r="G8703" s="8">
        <f>IF(E8703="","",E8703*F8703)</f>
        <v/>
      </c>
      <c r="H8703" s="8">
        <f>IF(G8703="","",G8703-I8703)</f>
        <v/>
      </c>
      <c r="I8703" s="8">
        <f>IF(D8703="","",VLOOKUP(D8703, RECETTES!B:G, 6, FALSE)*E8703)</f>
        <v/>
      </c>
      <c r="J8703" s="8">
        <f>IF(G8703="","",G8703*0.20)</f>
        <v/>
      </c>
      <c r="K8703" s="8">
        <f>IF(G8703="","",G8703+J8703)</f>
        <v/>
      </c>
    </row>
    <row r="8704">
      <c r="F8704" s="8" t="n"/>
      <c r="G8704" s="8">
        <f>IF(E8704="","",E8704*F8704)</f>
        <v/>
      </c>
      <c r="H8704" s="8">
        <f>IF(G8704="","",G8704-I8704)</f>
        <v/>
      </c>
      <c r="I8704" s="8">
        <f>IF(D8704="","",VLOOKUP(D8704, RECETTES!B:G, 6, FALSE)*E8704)</f>
        <v/>
      </c>
      <c r="J8704" s="8">
        <f>IF(G8704="","",G8704*0.20)</f>
        <v/>
      </c>
      <c r="K8704" s="8">
        <f>IF(G8704="","",G8704+J8704)</f>
        <v/>
      </c>
    </row>
    <row r="8705">
      <c r="F8705" s="8" t="n"/>
      <c r="G8705" s="8">
        <f>IF(E8705="","",E8705*F8705)</f>
        <v/>
      </c>
      <c r="H8705" s="8">
        <f>IF(G8705="","",G8705-I8705)</f>
        <v/>
      </c>
      <c r="I8705" s="8">
        <f>IF(D8705="","",VLOOKUP(D8705, RECETTES!B:G, 6, FALSE)*E8705)</f>
        <v/>
      </c>
      <c r="J8705" s="8">
        <f>IF(G8705="","",G8705*0.20)</f>
        <v/>
      </c>
      <c r="K8705" s="8">
        <f>IF(G8705="","",G8705+J8705)</f>
        <v/>
      </c>
    </row>
    <row r="8706">
      <c r="F8706" s="8" t="n"/>
      <c r="G8706" s="8">
        <f>IF(E8706="","",E8706*F8706)</f>
        <v/>
      </c>
      <c r="H8706" s="8">
        <f>IF(G8706="","",G8706-I8706)</f>
        <v/>
      </c>
      <c r="I8706" s="8">
        <f>IF(D8706="","",VLOOKUP(D8706, RECETTES!B:G, 6, FALSE)*E8706)</f>
        <v/>
      </c>
      <c r="J8706" s="8">
        <f>IF(G8706="","",G8706*0.20)</f>
        <v/>
      </c>
      <c r="K8706" s="8">
        <f>IF(G8706="","",G8706+J8706)</f>
        <v/>
      </c>
    </row>
    <row r="8707">
      <c r="F8707" s="8" t="n"/>
      <c r="G8707" s="8">
        <f>IF(E8707="","",E8707*F8707)</f>
        <v/>
      </c>
      <c r="H8707" s="8">
        <f>IF(G8707="","",G8707-I8707)</f>
        <v/>
      </c>
      <c r="I8707" s="8">
        <f>IF(D8707="","",VLOOKUP(D8707, RECETTES!B:G, 6, FALSE)*E8707)</f>
        <v/>
      </c>
      <c r="J8707" s="8">
        <f>IF(G8707="","",G8707*0.20)</f>
        <v/>
      </c>
      <c r="K8707" s="8">
        <f>IF(G8707="","",G8707+J8707)</f>
        <v/>
      </c>
    </row>
    <row r="8708">
      <c r="F8708" s="8" t="n"/>
      <c r="G8708" s="8">
        <f>IF(E8708="","",E8708*F8708)</f>
        <v/>
      </c>
      <c r="H8708" s="8">
        <f>IF(G8708="","",G8708-I8708)</f>
        <v/>
      </c>
      <c r="I8708" s="8">
        <f>IF(D8708="","",VLOOKUP(D8708, RECETTES!B:G, 6, FALSE)*E8708)</f>
        <v/>
      </c>
      <c r="J8708" s="8">
        <f>IF(G8708="","",G8708*0.20)</f>
        <v/>
      </c>
      <c r="K8708" s="8">
        <f>IF(G8708="","",G8708+J8708)</f>
        <v/>
      </c>
    </row>
    <row r="8709">
      <c r="F8709" s="8" t="n"/>
      <c r="G8709" s="8">
        <f>IF(E8709="","",E8709*F8709)</f>
        <v/>
      </c>
      <c r="H8709" s="8">
        <f>IF(G8709="","",G8709-I8709)</f>
        <v/>
      </c>
      <c r="I8709" s="8">
        <f>IF(D8709="","",VLOOKUP(D8709, RECETTES!B:G, 6, FALSE)*E8709)</f>
        <v/>
      </c>
      <c r="J8709" s="8">
        <f>IF(G8709="","",G8709*0.20)</f>
        <v/>
      </c>
      <c r="K8709" s="8">
        <f>IF(G8709="","",G8709+J8709)</f>
        <v/>
      </c>
    </row>
    <row r="8710">
      <c r="F8710" s="8" t="n"/>
      <c r="G8710" s="8">
        <f>IF(E8710="","",E8710*F8710)</f>
        <v/>
      </c>
      <c r="H8710" s="8">
        <f>IF(G8710="","",G8710-I8710)</f>
        <v/>
      </c>
      <c r="I8710" s="8">
        <f>IF(D8710="","",VLOOKUP(D8710, RECETTES!B:G, 6, FALSE)*E8710)</f>
        <v/>
      </c>
      <c r="J8710" s="8">
        <f>IF(G8710="","",G8710*0.20)</f>
        <v/>
      </c>
      <c r="K8710" s="8">
        <f>IF(G8710="","",G8710+J8710)</f>
        <v/>
      </c>
    </row>
    <row r="8711">
      <c r="F8711" s="8" t="n"/>
      <c r="G8711" s="8">
        <f>IF(E8711="","",E8711*F8711)</f>
        <v/>
      </c>
      <c r="H8711" s="8">
        <f>IF(G8711="","",G8711-I8711)</f>
        <v/>
      </c>
      <c r="I8711" s="8">
        <f>IF(D8711="","",VLOOKUP(D8711, RECETTES!B:G, 6, FALSE)*E8711)</f>
        <v/>
      </c>
      <c r="J8711" s="8">
        <f>IF(G8711="","",G8711*0.20)</f>
        <v/>
      </c>
      <c r="K8711" s="8">
        <f>IF(G8711="","",G8711+J8711)</f>
        <v/>
      </c>
    </row>
    <row r="8712">
      <c r="F8712" s="8" t="n"/>
      <c r="G8712" s="8">
        <f>IF(E8712="","",E8712*F8712)</f>
        <v/>
      </c>
      <c r="H8712" s="8">
        <f>IF(G8712="","",G8712-I8712)</f>
        <v/>
      </c>
      <c r="I8712" s="8">
        <f>IF(D8712="","",VLOOKUP(D8712, RECETTES!B:G, 6, FALSE)*E8712)</f>
        <v/>
      </c>
      <c r="J8712" s="8">
        <f>IF(G8712="","",G8712*0.20)</f>
        <v/>
      </c>
      <c r="K8712" s="8">
        <f>IF(G8712="","",G8712+J8712)</f>
        <v/>
      </c>
    </row>
    <row r="8713">
      <c r="F8713" s="8" t="n"/>
      <c r="G8713" s="8">
        <f>IF(E8713="","",E8713*F8713)</f>
        <v/>
      </c>
      <c r="H8713" s="8">
        <f>IF(G8713="","",G8713-I8713)</f>
        <v/>
      </c>
      <c r="I8713" s="8">
        <f>IF(D8713="","",VLOOKUP(D8713, RECETTES!B:G, 6, FALSE)*E8713)</f>
        <v/>
      </c>
      <c r="J8713" s="8">
        <f>IF(G8713="","",G8713*0.20)</f>
        <v/>
      </c>
      <c r="K8713" s="8">
        <f>IF(G8713="","",G8713+J8713)</f>
        <v/>
      </c>
    </row>
    <row r="8714">
      <c r="F8714" s="8" t="n"/>
      <c r="G8714" s="8">
        <f>IF(E8714="","",E8714*F8714)</f>
        <v/>
      </c>
      <c r="H8714" s="8">
        <f>IF(G8714="","",G8714-I8714)</f>
        <v/>
      </c>
      <c r="I8714" s="8">
        <f>IF(D8714="","",VLOOKUP(D8714, RECETTES!B:G, 6, FALSE)*E8714)</f>
        <v/>
      </c>
      <c r="J8714" s="8">
        <f>IF(G8714="","",G8714*0.20)</f>
        <v/>
      </c>
      <c r="K8714" s="8">
        <f>IF(G8714="","",G8714+J8714)</f>
        <v/>
      </c>
    </row>
    <row r="8715">
      <c r="F8715" s="8" t="n"/>
      <c r="G8715" s="8">
        <f>IF(E8715="","",E8715*F8715)</f>
        <v/>
      </c>
      <c r="H8715" s="8">
        <f>IF(G8715="","",G8715-I8715)</f>
        <v/>
      </c>
      <c r="I8715" s="8">
        <f>IF(D8715="","",VLOOKUP(D8715, RECETTES!B:G, 6, FALSE)*E8715)</f>
        <v/>
      </c>
      <c r="J8715" s="8">
        <f>IF(G8715="","",G8715*0.20)</f>
        <v/>
      </c>
      <c r="K8715" s="8">
        <f>IF(G8715="","",G8715+J8715)</f>
        <v/>
      </c>
    </row>
    <row r="8716">
      <c r="F8716" s="8" t="n"/>
      <c r="G8716" s="8">
        <f>IF(E8716="","",E8716*F8716)</f>
        <v/>
      </c>
      <c r="H8716" s="8">
        <f>IF(G8716="","",G8716-I8716)</f>
        <v/>
      </c>
      <c r="I8716" s="8">
        <f>IF(D8716="","",VLOOKUP(D8716, RECETTES!B:G, 6, FALSE)*E8716)</f>
        <v/>
      </c>
      <c r="J8716" s="8">
        <f>IF(G8716="","",G8716*0.20)</f>
        <v/>
      </c>
      <c r="K8716" s="8">
        <f>IF(G8716="","",G8716+J8716)</f>
        <v/>
      </c>
    </row>
    <row r="8717">
      <c r="F8717" s="8" t="n"/>
      <c r="G8717" s="8">
        <f>IF(E8717="","",E8717*F8717)</f>
        <v/>
      </c>
      <c r="H8717" s="8">
        <f>IF(G8717="","",G8717-I8717)</f>
        <v/>
      </c>
      <c r="I8717" s="8">
        <f>IF(D8717="","",VLOOKUP(D8717, RECETTES!B:G, 6, FALSE)*E8717)</f>
        <v/>
      </c>
      <c r="J8717" s="8">
        <f>IF(G8717="","",G8717*0.20)</f>
        <v/>
      </c>
      <c r="K8717" s="8">
        <f>IF(G8717="","",G8717+J8717)</f>
        <v/>
      </c>
    </row>
    <row r="8718">
      <c r="F8718" s="8" t="n"/>
      <c r="G8718" s="8">
        <f>IF(E8718="","",E8718*F8718)</f>
        <v/>
      </c>
      <c r="H8718" s="8">
        <f>IF(G8718="","",G8718-I8718)</f>
        <v/>
      </c>
      <c r="I8718" s="8">
        <f>IF(D8718="","",VLOOKUP(D8718, RECETTES!B:G, 6, FALSE)*E8718)</f>
        <v/>
      </c>
      <c r="J8718" s="8">
        <f>IF(G8718="","",G8718*0.20)</f>
        <v/>
      </c>
      <c r="K8718" s="8">
        <f>IF(G8718="","",G8718+J8718)</f>
        <v/>
      </c>
    </row>
    <row r="8719">
      <c r="F8719" s="8" t="n"/>
      <c r="G8719" s="8">
        <f>IF(E8719="","",E8719*F8719)</f>
        <v/>
      </c>
      <c r="H8719" s="8">
        <f>IF(G8719="","",G8719-I8719)</f>
        <v/>
      </c>
      <c r="I8719" s="8">
        <f>IF(D8719="","",VLOOKUP(D8719, RECETTES!B:G, 6, FALSE)*E8719)</f>
        <v/>
      </c>
      <c r="J8719" s="8">
        <f>IF(G8719="","",G8719*0.20)</f>
        <v/>
      </c>
      <c r="K8719" s="8">
        <f>IF(G8719="","",G8719+J8719)</f>
        <v/>
      </c>
    </row>
    <row r="8720">
      <c r="F8720" s="8" t="n"/>
      <c r="G8720" s="8">
        <f>IF(E8720="","",E8720*F8720)</f>
        <v/>
      </c>
      <c r="H8720" s="8">
        <f>IF(G8720="","",G8720-I8720)</f>
        <v/>
      </c>
      <c r="I8720" s="8">
        <f>IF(D8720="","",VLOOKUP(D8720, RECETTES!B:G, 6, FALSE)*E8720)</f>
        <v/>
      </c>
      <c r="J8720" s="8">
        <f>IF(G8720="","",G8720*0.20)</f>
        <v/>
      </c>
      <c r="K8720" s="8">
        <f>IF(G8720="","",G8720+J8720)</f>
        <v/>
      </c>
    </row>
    <row r="8721">
      <c r="F8721" s="8" t="n"/>
      <c r="G8721" s="8">
        <f>IF(E8721="","",E8721*F8721)</f>
        <v/>
      </c>
      <c r="H8721" s="8">
        <f>IF(G8721="","",G8721-I8721)</f>
        <v/>
      </c>
      <c r="I8721" s="8">
        <f>IF(D8721="","",VLOOKUP(D8721, RECETTES!B:G, 6, FALSE)*E8721)</f>
        <v/>
      </c>
      <c r="J8721" s="8">
        <f>IF(G8721="","",G8721*0.20)</f>
        <v/>
      </c>
      <c r="K8721" s="8">
        <f>IF(G8721="","",G8721+J8721)</f>
        <v/>
      </c>
    </row>
    <row r="8722">
      <c r="F8722" s="8" t="n"/>
      <c r="G8722" s="8">
        <f>IF(E8722="","",E8722*F8722)</f>
        <v/>
      </c>
      <c r="H8722" s="8">
        <f>IF(G8722="","",G8722-I8722)</f>
        <v/>
      </c>
      <c r="I8722" s="8">
        <f>IF(D8722="","",VLOOKUP(D8722, RECETTES!B:G, 6, FALSE)*E8722)</f>
        <v/>
      </c>
      <c r="J8722" s="8">
        <f>IF(G8722="","",G8722*0.20)</f>
        <v/>
      </c>
      <c r="K8722" s="8">
        <f>IF(G8722="","",G8722+J8722)</f>
        <v/>
      </c>
    </row>
    <row r="8723">
      <c r="F8723" s="8" t="n"/>
      <c r="G8723" s="8">
        <f>IF(E8723="","",E8723*F8723)</f>
        <v/>
      </c>
      <c r="H8723" s="8">
        <f>IF(G8723="","",G8723-I8723)</f>
        <v/>
      </c>
      <c r="I8723" s="8">
        <f>IF(D8723="","",VLOOKUP(D8723, RECETTES!B:G, 6, FALSE)*E8723)</f>
        <v/>
      </c>
      <c r="J8723" s="8">
        <f>IF(G8723="","",G8723*0.20)</f>
        <v/>
      </c>
      <c r="K8723" s="8">
        <f>IF(G8723="","",G8723+J8723)</f>
        <v/>
      </c>
    </row>
    <row r="8724">
      <c r="F8724" s="8" t="n"/>
      <c r="G8724" s="8">
        <f>IF(E8724="","",E8724*F8724)</f>
        <v/>
      </c>
      <c r="H8724" s="8">
        <f>IF(G8724="","",G8724-I8724)</f>
        <v/>
      </c>
      <c r="I8724" s="8">
        <f>IF(D8724="","",VLOOKUP(D8724, RECETTES!B:G, 6, FALSE)*E8724)</f>
        <v/>
      </c>
      <c r="J8724" s="8">
        <f>IF(G8724="","",G8724*0.20)</f>
        <v/>
      </c>
      <c r="K8724" s="8">
        <f>IF(G8724="","",G8724+J8724)</f>
        <v/>
      </c>
    </row>
    <row r="8725">
      <c r="F8725" s="8" t="n"/>
      <c r="G8725" s="8">
        <f>IF(E8725="","",E8725*F8725)</f>
        <v/>
      </c>
      <c r="H8725" s="8">
        <f>IF(G8725="","",G8725-I8725)</f>
        <v/>
      </c>
      <c r="I8725" s="8">
        <f>IF(D8725="","",VLOOKUP(D8725, RECETTES!B:G, 6, FALSE)*E8725)</f>
        <v/>
      </c>
      <c r="J8725" s="8">
        <f>IF(G8725="","",G8725*0.20)</f>
        <v/>
      </c>
      <c r="K8725" s="8">
        <f>IF(G8725="","",G8725+J8725)</f>
        <v/>
      </c>
    </row>
    <row r="8726">
      <c r="F8726" s="8" t="n"/>
      <c r="G8726" s="8">
        <f>IF(E8726="","",E8726*F8726)</f>
        <v/>
      </c>
      <c r="H8726" s="8">
        <f>IF(G8726="","",G8726-I8726)</f>
        <v/>
      </c>
      <c r="I8726" s="8">
        <f>IF(D8726="","",VLOOKUP(D8726, RECETTES!B:G, 6, FALSE)*E8726)</f>
        <v/>
      </c>
      <c r="J8726" s="8">
        <f>IF(G8726="","",G8726*0.20)</f>
        <v/>
      </c>
      <c r="K8726" s="8">
        <f>IF(G8726="","",G8726+J8726)</f>
        <v/>
      </c>
    </row>
    <row r="8727">
      <c r="F8727" s="8" t="n"/>
      <c r="G8727" s="8">
        <f>IF(E8727="","",E8727*F8727)</f>
        <v/>
      </c>
      <c r="H8727" s="8">
        <f>IF(G8727="","",G8727-I8727)</f>
        <v/>
      </c>
      <c r="I8727" s="8">
        <f>IF(D8727="","",VLOOKUP(D8727, RECETTES!B:G, 6, FALSE)*E8727)</f>
        <v/>
      </c>
      <c r="J8727" s="8">
        <f>IF(G8727="","",G8727*0.20)</f>
        <v/>
      </c>
      <c r="K8727" s="8">
        <f>IF(G8727="","",G8727+J8727)</f>
        <v/>
      </c>
    </row>
    <row r="8728">
      <c r="F8728" s="8" t="n"/>
      <c r="G8728" s="8">
        <f>IF(E8728="","",E8728*F8728)</f>
        <v/>
      </c>
      <c r="H8728" s="8">
        <f>IF(G8728="","",G8728-I8728)</f>
        <v/>
      </c>
      <c r="I8728" s="8">
        <f>IF(D8728="","",VLOOKUP(D8728, RECETTES!B:G, 6, FALSE)*E8728)</f>
        <v/>
      </c>
      <c r="J8728" s="8">
        <f>IF(G8728="","",G8728*0.20)</f>
        <v/>
      </c>
      <c r="K8728" s="8">
        <f>IF(G8728="","",G8728+J8728)</f>
        <v/>
      </c>
    </row>
    <row r="8729">
      <c r="F8729" s="8" t="n"/>
      <c r="G8729" s="8">
        <f>IF(E8729="","",E8729*F8729)</f>
        <v/>
      </c>
      <c r="H8729" s="8">
        <f>IF(G8729="","",G8729-I8729)</f>
        <v/>
      </c>
      <c r="I8729" s="8">
        <f>IF(D8729="","",VLOOKUP(D8729, RECETTES!B:G, 6, FALSE)*E8729)</f>
        <v/>
      </c>
      <c r="J8729" s="8">
        <f>IF(G8729="","",G8729*0.20)</f>
        <v/>
      </c>
      <c r="K8729" s="8">
        <f>IF(G8729="","",G8729+J8729)</f>
        <v/>
      </c>
    </row>
    <row r="8730">
      <c r="F8730" s="8" t="n"/>
      <c r="G8730" s="8">
        <f>IF(E8730="","",E8730*F8730)</f>
        <v/>
      </c>
      <c r="H8730" s="8">
        <f>IF(G8730="","",G8730-I8730)</f>
        <v/>
      </c>
      <c r="I8730" s="8">
        <f>IF(D8730="","",VLOOKUP(D8730, RECETTES!B:G, 6, FALSE)*E8730)</f>
        <v/>
      </c>
      <c r="J8730" s="8">
        <f>IF(G8730="","",G8730*0.20)</f>
        <v/>
      </c>
      <c r="K8730" s="8">
        <f>IF(G8730="","",G8730+J8730)</f>
        <v/>
      </c>
    </row>
    <row r="8731">
      <c r="F8731" s="8" t="n"/>
      <c r="G8731" s="8">
        <f>IF(E8731="","",E8731*F8731)</f>
        <v/>
      </c>
      <c r="H8731" s="8">
        <f>IF(G8731="","",G8731-I8731)</f>
        <v/>
      </c>
      <c r="I8731" s="8">
        <f>IF(D8731="","",VLOOKUP(D8731, RECETTES!B:G, 6, FALSE)*E8731)</f>
        <v/>
      </c>
      <c r="J8731" s="8">
        <f>IF(G8731="","",G8731*0.20)</f>
        <v/>
      </c>
      <c r="K8731" s="8">
        <f>IF(G8731="","",G8731+J8731)</f>
        <v/>
      </c>
    </row>
    <row r="8732">
      <c r="F8732" s="8" t="n"/>
      <c r="G8732" s="8">
        <f>IF(E8732="","",E8732*F8732)</f>
        <v/>
      </c>
      <c r="H8732" s="8">
        <f>IF(G8732="","",G8732-I8732)</f>
        <v/>
      </c>
      <c r="I8732" s="8">
        <f>IF(D8732="","",VLOOKUP(D8732, RECETTES!B:G, 6, FALSE)*E8732)</f>
        <v/>
      </c>
      <c r="J8732" s="8">
        <f>IF(G8732="","",G8732*0.20)</f>
        <v/>
      </c>
      <c r="K8732" s="8">
        <f>IF(G8732="","",G8732+J8732)</f>
        <v/>
      </c>
    </row>
    <row r="8733">
      <c r="F8733" s="8" t="n"/>
      <c r="G8733" s="8">
        <f>IF(E8733="","",E8733*F8733)</f>
        <v/>
      </c>
      <c r="H8733" s="8">
        <f>IF(G8733="","",G8733-I8733)</f>
        <v/>
      </c>
      <c r="I8733" s="8">
        <f>IF(D8733="","",VLOOKUP(D8733, RECETTES!B:G, 6, FALSE)*E8733)</f>
        <v/>
      </c>
      <c r="J8733" s="8">
        <f>IF(G8733="","",G8733*0.20)</f>
        <v/>
      </c>
      <c r="K8733" s="8">
        <f>IF(G8733="","",G8733+J8733)</f>
        <v/>
      </c>
    </row>
    <row r="8734">
      <c r="F8734" s="8" t="n"/>
      <c r="G8734" s="8">
        <f>IF(E8734="","",E8734*F8734)</f>
        <v/>
      </c>
      <c r="H8734" s="8">
        <f>IF(G8734="","",G8734-I8734)</f>
        <v/>
      </c>
      <c r="I8734" s="8">
        <f>IF(D8734="","",VLOOKUP(D8734, RECETTES!B:G, 6, FALSE)*E8734)</f>
        <v/>
      </c>
      <c r="J8734" s="8">
        <f>IF(G8734="","",G8734*0.20)</f>
        <v/>
      </c>
      <c r="K8734" s="8">
        <f>IF(G8734="","",G8734+J8734)</f>
        <v/>
      </c>
    </row>
    <row r="8735">
      <c r="F8735" s="8" t="n"/>
      <c r="G8735" s="8">
        <f>IF(E8735="","",E8735*F8735)</f>
        <v/>
      </c>
      <c r="H8735" s="8">
        <f>IF(G8735="","",G8735-I8735)</f>
        <v/>
      </c>
      <c r="I8735" s="8">
        <f>IF(D8735="","",VLOOKUP(D8735, RECETTES!B:G, 6, FALSE)*E8735)</f>
        <v/>
      </c>
      <c r="J8735" s="8">
        <f>IF(G8735="","",G8735*0.20)</f>
        <v/>
      </c>
      <c r="K8735" s="8">
        <f>IF(G8735="","",G8735+J8735)</f>
        <v/>
      </c>
    </row>
    <row r="8736">
      <c r="F8736" s="8" t="n"/>
      <c r="G8736" s="8">
        <f>IF(E8736="","",E8736*F8736)</f>
        <v/>
      </c>
      <c r="H8736" s="8">
        <f>IF(G8736="","",G8736-I8736)</f>
        <v/>
      </c>
      <c r="I8736" s="8">
        <f>IF(D8736="","",VLOOKUP(D8736, RECETTES!B:G, 6, FALSE)*E8736)</f>
        <v/>
      </c>
      <c r="J8736" s="8">
        <f>IF(G8736="","",G8736*0.20)</f>
        <v/>
      </c>
      <c r="K8736" s="8">
        <f>IF(G8736="","",G8736+J8736)</f>
        <v/>
      </c>
    </row>
    <row r="8737">
      <c r="F8737" s="8" t="n"/>
      <c r="G8737" s="8">
        <f>IF(E8737="","",E8737*F8737)</f>
        <v/>
      </c>
      <c r="H8737" s="8">
        <f>IF(G8737="","",G8737-I8737)</f>
        <v/>
      </c>
      <c r="I8737" s="8">
        <f>IF(D8737="","",VLOOKUP(D8737, RECETTES!B:G, 6, FALSE)*E8737)</f>
        <v/>
      </c>
      <c r="J8737" s="8">
        <f>IF(G8737="","",G8737*0.20)</f>
        <v/>
      </c>
      <c r="K8737" s="8">
        <f>IF(G8737="","",G8737+J8737)</f>
        <v/>
      </c>
    </row>
    <row r="8738">
      <c r="F8738" s="8" t="n"/>
      <c r="G8738" s="8">
        <f>IF(E8738="","",E8738*F8738)</f>
        <v/>
      </c>
      <c r="H8738" s="8">
        <f>IF(G8738="","",G8738-I8738)</f>
        <v/>
      </c>
      <c r="I8738" s="8">
        <f>IF(D8738="","",VLOOKUP(D8738, RECETTES!B:G, 6, FALSE)*E8738)</f>
        <v/>
      </c>
      <c r="J8738" s="8">
        <f>IF(G8738="","",G8738*0.20)</f>
        <v/>
      </c>
      <c r="K8738" s="8">
        <f>IF(G8738="","",G8738+J8738)</f>
        <v/>
      </c>
    </row>
    <row r="8739">
      <c r="F8739" s="8" t="n"/>
      <c r="G8739" s="8">
        <f>IF(E8739="","",E8739*F8739)</f>
        <v/>
      </c>
      <c r="H8739" s="8">
        <f>IF(G8739="","",G8739-I8739)</f>
        <v/>
      </c>
      <c r="I8739" s="8">
        <f>IF(D8739="","",VLOOKUP(D8739, RECETTES!B:G, 6, FALSE)*E8739)</f>
        <v/>
      </c>
      <c r="J8739" s="8">
        <f>IF(G8739="","",G8739*0.20)</f>
        <v/>
      </c>
      <c r="K8739" s="8">
        <f>IF(G8739="","",G8739+J8739)</f>
        <v/>
      </c>
    </row>
    <row r="8740">
      <c r="F8740" s="8" t="n"/>
      <c r="G8740" s="8">
        <f>IF(E8740="","",E8740*F8740)</f>
        <v/>
      </c>
      <c r="H8740" s="8">
        <f>IF(G8740="","",G8740-I8740)</f>
        <v/>
      </c>
      <c r="I8740" s="8">
        <f>IF(D8740="","",VLOOKUP(D8740, RECETTES!B:G, 6, FALSE)*E8740)</f>
        <v/>
      </c>
      <c r="J8740" s="8">
        <f>IF(G8740="","",G8740*0.20)</f>
        <v/>
      </c>
      <c r="K8740" s="8">
        <f>IF(G8740="","",G8740+J8740)</f>
        <v/>
      </c>
    </row>
    <row r="8741">
      <c r="F8741" s="8" t="n"/>
      <c r="G8741" s="8">
        <f>IF(E8741="","",E8741*F8741)</f>
        <v/>
      </c>
      <c r="H8741" s="8">
        <f>IF(G8741="","",G8741-I8741)</f>
        <v/>
      </c>
      <c r="I8741" s="8">
        <f>IF(D8741="","",VLOOKUP(D8741, RECETTES!B:G, 6, FALSE)*E8741)</f>
        <v/>
      </c>
      <c r="J8741" s="8">
        <f>IF(G8741="","",G8741*0.20)</f>
        <v/>
      </c>
      <c r="K8741" s="8">
        <f>IF(G8741="","",G8741+J8741)</f>
        <v/>
      </c>
    </row>
    <row r="8742">
      <c r="F8742" s="8" t="n"/>
      <c r="G8742" s="8">
        <f>IF(E8742="","",E8742*F8742)</f>
        <v/>
      </c>
      <c r="H8742" s="8">
        <f>IF(G8742="","",G8742-I8742)</f>
        <v/>
      </c>
      <c r="I8742" s="8">
        <f>IF(D8742="","",VLOOKUP(D8742, RECETTES!B:G, 6, FALSE)*E8742)</f>
        <v/>
      </c>
      <c r="J8742" s="8">
        <f>IF(G8742="","",G8742*0.20)</f>
        <v/>
      </c>
      <c r="K8742" s="8">
        <f>IF(G8742="","",G8742+J8742)</f>
        <v/>
      </c>
    </row>
    <row r="8743">
      <c r="F8743" s="8" t="n"/>
      <c r="G8743" s="8">
        <f>IF(E8743="","",E8743*F8743)</f>
        <v/>
      </c>
      <c r="H8743" s="8">
        <f>IF(G8743="","",G8743-I8743)</f>
        <v/>
      </c>
      <c r="I8743" s="8">
        <f>IF(D8743="","",VLOOKUP(D8743, RECETTES!B:G, 6, FALSE)*E8743)</f>
        <v/>
      </c>
      <c r="J8743" s="8">
        <f>IF(G8743="","",G8743*0.20)</f>
        <v/>
      </c>
      <c r="K8743" s="8">
        <f>IF(G8743="","",G8743+J8743)</f>
        <v/>
      </c>
    </row>
    <row r="8744">
      <c r="F8744" s="8" t="n"/>
      <c r="G8744" s="8">
        <f>IF(E8744="","",E8744*F8744)</f>
        <v/>
      </c>
      <c r="H8744" s="8">
        <f>IF(G8744="","",G8744-I8744)</f>
        <v/>
      </c>
      <c r="I8744" s="8">
        <f>IF(D8744="","",VLOOKUP(D8744, RECETTES!B:G, 6, FALSE)*E8744)</f>
        <v/>
      </c>
      <c r="J8744" s="8">
        <f>IF(G8744="","",G8744*0.20)</f>
        <v/>
      </c>
      <c r="K8744" s="8">
        <f>IF(G8744="","",G8744+J8744)</f>
        <v/>
      </c>
    </row>
    <row r="8745">
      <c r="F8745" s="8" t="n"/>
      <c r="G8745" s="8">
        <f>IF(E8745="","",E8745*F8745)</f>
        <v/>
      </c>
      <c r="H8745" s="8">
        <f>IF(G8745="","",G8745-I8745)</f>
        <v/>
      </c>
      <c r="I8745" s="8">
        <f>IF(D8745="","",VLOOKUP(D8745, RECETTES!B:G, 6, FALSE)*E8745)</f>
        <v/>
      </c>
      <c r="J8745" s="8">
        <f>IF(G8745="","",G8745*0.20)</f>
        <v/>
      </c>
      <c r="K8745" s="8">
        <f>IF(G8745="","",G8745+J8745)</f>
        <v/>
      </c>
    </row>
    <row r="8746">
      <c r="F8746" s="8" t="n"/>
      <c r="G8746" s="8">
        <f>IF(E8746="","",E8746*F8746)</f>
        <v/>
      </c>
      <c r="H8746" s="8">
        <f>IF(G8746="","",G8746-I8746)</f>
        <v/>
      </c>
      <c r="I8746" s="8">
        <f>IF(D8746="","",VLOOKUP(D8746, RECETTES!B:G, 6, FALSE)*E8746)</f>
        <v/>
      </c>
      <c r="J8746" s="8">
        <f>IF(G8746="","",G8746*0.20)</f>
        <v/>
      </c>
      <c r="K8746" s="8">
        <f>IF(G8746="","",G8746+J8746)</f>
        <v/>
      </c>
    </row>
    <row r="8747">
      <c r="F8747" s="8" t="n"/>
      <c r="G8747" s="8">
        <f>IF(E8747="","",E8747*F8747)</f>
        <v/>
      </c>
      <c r="H8747" s="8">
        <f>IF(G8747="","",G8747-I8747)</f>
        <v/>
      </c>
      <c r="I8747" s="8">
        <f>IF(D8747="","",VLOOKUP(D8747, RECETTES!B:G, 6, FALSE)*E8747)</f>
        <v/>
      </c>
      <c r="J8747" s="8">
        <f>IF(G8747="","",G8747*0.20)</f>
        <v/>
      </c>
      <c r="K8747" s="8">
        <f>IF(G8747="","",G8747+J8747)</f>
        <v/>
      </c>
    </row>
    <row r="8748">
      <c r="F8748" s="8" t="n"/>
      <c r="G8748" s="8">
        <f>IF(E8748="","",E8748*F8748)</f>
        <v/>
      </c>
      <c r="H8748" s="8">
        <f>IF(G8748="","",G8748-I8748)</f>
        <v/>
      </c>
      <c r="I8748" s="8">
        <f>IF(D8748="","",VLOOKUP(D8748, RECETTES!B:G, 6, FALSE)*E8748)</f>
        <v/>
      </c>
      <c r="J8748" s="8">
        <f>IF(G8748="","",G8748*0.20)</f>
        <v/>
      </c>
      <c r="K8748" s="8">
        <f>IF(G8748="","",G8748+J8748)</f>
        <v/>
      </c>
    </row>
    <row r="8749">
      <c r="F8749" s="8" t="n"/>
      <c r="G8749" s="8">
        <f>IF(E8749="","",E8749*F8749)</f>
        <v/>
      </c>
      <c r="H8749" s="8">
        <f>IF(G8749="","",G8749-I8749)</f>
        <v/>
      </c>
      <c r="I8749" s="8">
        <f>IF(D8749="","",VLOOKUP(D8749, RECETTES!B:G, 6, FALSE)*E8749)</f>
        <v/>
      </c>
      <c r="J8749" s="8">
        <f>IF(G8749="","",G8749*0.20)</f>
        <v/>
      </c>
      <c r="K8749" s="8">
        <f>IF(G8749="","",G8749+J8749)</f>
        <v/>
      </c>
    </row>
    <row r="8750">
      <c r="F8750" s="8" t="n"/>
      <c r="G8750" s="8">
        <f>IF(E8750="","",E8750*F8750)</f>
        <v/>
      </c>
      <c r="H8750" s="8">
        <f>IF(G8750="","",G8750-I8750)</f>
        <v/>
      </c>
      <c r="I8750" s="8">
        <f>IF(D8750="","",VLOOKUP(D8750, RECETTES!B:G, 6, FALSE)*E8750)</f>
        <v/>
      </c>
      <c r="J8750" s="8">
        <f>IF(G8750="","",G8750*0.20)</f>
        <v/>
      </c>
      <c r="K8750" s="8">
        <f>IF(G8750="","",G8750+J8750)</f>
        <v/>
      </c>
    </row>
    <row r="8751">
      <c r="F8751" s="8" t="n"/>
      <c r="G8751" s="8">
        <f>IF(E8751="","",E8751*F8751)</f>
        <v/>
      </c>
      <c r="H8751" s="8">
        <f>IF(G8751="","",G8751-I8751)</f>
        <v/>
      </c>
      <c r="I8751" s="8">
        <f>IF(D8751="","",VLOOKUP(D8751, RECETTES!B:G, 6, FALSE)*E8751)</f>
        <v/>
      </c>
      <c r="J8751" s="8">
        <f>IF(G8751="","",G8751*0.20)</f>
        <v/>
      </c>
      <c r="K8751" s="8">
        <f>IF(G8751="","",G8751+J8751)</f>
        <v/>
      </c>
    </row>
    <row r="8752">
      <c r="F8752" s="8" t="n"/>
      <c r="G8752" s="8">
        <f>IF(E8752="","",E8752*F8752)</f>
        <v/>
      </c>
      <c r="H8752" s="8">
        <f>IF(G8752="","",G8752-I8752)</f>
        <v/>
      </c>
      <c r="I8752" s="8">
        <f>IF(D8752="","",VLOOKUP(D8752, RECETTES!B:G, 6, FALSE)*E8752)</f>
        <v/>
      </c>
      <c r="J8752" s="8">
        <f>IF(G8752="","",G8752*0.20)</f>
        <v/>
      </c>
      <c r="K8752" s="8">
        <f>IF(G8752="","",G8752+J8752)</f>
        <v/>
      </c>
    </row>
    <row r="8753">
      <c r="F8753" s="8" t="n"/>
      <c r="G8753" s="8">
        <f>IF(E8753="","",E8753*F8753)</f>
        <v/>
      </c>
      <c r="H8753" s="8">
        <f>IF(G8753="","",G8753-I8753)</f>
        <v/>
      </c>
      <c r="I8753" s="8">
        <f>IF(D8753="","",VLOOKUP(D8753, RECETTES!B:G, 6, FALSE)*E8753)</f>
        <v/>
      </c>
      <c r="J8753" s="8">
        <f>IF(G8753="","",G8753*0.20)</f>
        <v/>
      </c>
      <c r="K8753" s="8">
        <f>IF(G8753="","",G8753+J8753)</f>
        <v/>
      </c>
    </row>
    <row r="8754">
      <c r="F8754" s="8" t="n"/>
      <c r="G8754" s="8">
        <f>IF(E8754="","",E8754*F8754)</f>
        <v/>
      </c>
      <c r="H8754" s="8">
        <f>IF(G8754="","",G8754-I8754)</f>
        <v/>
      </c>
      <c r="I8754" s="8">
        <f>IF(D8754="","",VLOOKUP(D8754, RECETTES!B:G, 6, FALSE)*E8754)</f>
        <v/>
      </c>
      <c r="J8754" s="8">
        <f>IF(G8754="","",G8754*0.20)</f>
        <v/>
      </c>
      <c r="K8754" s="8">
        <f>IF(G8754="","",G8754+J8754)</f>
        <v/>
      </c>
    </row>
    <row r="8755">
      <c r="F8755" s="8" t="n"/>
      <c r="G8755" s="8">
        <f>IF(E8755="","",E8755*F8755)</f>
        <v/>
      </c>
      <c r="H8755" s="8">
        <f>IF(G8755="","",G8755-I8755)</f>
        <v/>
      </c>
      <c r="I8755" s="8">
        <f>IF(D8755="","",VLOOKUP(D8755, RECETTES!B:G, 6, FALSE)*E8755)</f>
        <v/>
      </c>
      <c r="J8755" s="8">
        <f>IF(G8755="","",G8755*0.20)</f>
        <v/>
      </c>
      <c r="K8755" s="8">
        <f>IF(G8755="","",G8755+J8755)</f>
        <v/>
      </c>
    </row>
    <row r="8756">
      <c r="F8756" s="8" t="n"/>
      <c r="G8756" s="8">
        <f>IF(E8756="","",E8756*F8756)</f>
        <v/>
      </c>
      <c r="H8756" s="8">
        <f>IF(G8756="","",G8756-I8756)</f>
        <v/>
      </c>
      <c r="I8756" s="8">
        <f>IF(D8756="","",VLOOKUP(D8756, RECETTES!B:G, 6, FALSE)*E8756)</f>
        <v/>
      </c>
      <c r="J8756" s="8">
        <f>IF(G8756="","",G8756*0.20)</f>
        <v/>
      </c>
      <c r="K8756" s="8">
        <f>IF(G8756="","",G8756+J8756)</f>
        <v/>
      </c>
    </row>
    <row r="8757">
      <c r="F8757" s="8" t="n"/>
      <c r="G8757" s="8">
        <f>IF(E8757="","",E8757*F8757)</f>
        <v/>
      </c>
      <c r="H8757" s="8">
        <f>IF(G8757="","",G8757-I8757)</f>
        <v/>
      </c>
      <c r="I8757" s="8">
        <f>IF(D8757="","",VLOOKUP(D8757, RECETTES!B:G, 6, FALSE)*E8757)</f>
        <v/>
      </c>
      <c r="J8757" s="8">
        <f>IF(G8757="","",G8757*0.20)</f>
        <v/>
      </c>
      <c r="K8757" s="8">
        <f>IF(G8757="","",G8757+J8757)</f>
        <v/>
      </c>
    </row>
    <row r="8758">
      <c r="F8758" s="8" t="n"/>
      <c r="G8758" s="8">
        <f>IF(E8758="","",E8758*F8758)</f>
        <v/>
      </c>
      <c r="H8758" s="8">
        <f>IF(G8758="","",G8758-I8758)</f>
        <v/>
      </c>
      <c r="I8758" s="8">
        <f>IF(D8758="","",VLOOKUP(D8758, RECETTES!B:G, 6, FALSE)*E8758)</f>
        <v/>
      </c>
      <c r="J8758" s="8">
        <f>IF(G8758="","",G8758*0.20)</f>
        <v/>
      </c>
      <c r="K8758" s="8">
        <f>IF(G8758="","",G8758+J8758)</f>
        <v/>
      </c>
    </row>
    <row r="8759">
      <c r="F8759" s="8" t="n"/>
      <c r="G8759" s="8">
        <f>IF(E8759="","",E8759*F8759)</f>
        <v/>
      </c>
      <c r="H8759" s="8">
        <f>IF(G8759="","",G8759-I8759)</f>
        <v/>
      </c>
      <c r="I8759" s="8">
        <f>IF(D8759="","",VLOOKUP(D8759, RECETTES!B:G, 6, FALSE)*E8759)</f>
        <v/>
      </c>
      <c r="J8759" s="8">
        <f>IF(G8759="","",G8759*0.20)</f>
        <v/>
      </c>
      <c r="K8759" s="8">
        <f>IF(G8759="","",G8759+J8759)</f>
        <v/>
      </c>
    </row>
    <row r="8760">
      <c r="F8760" s="8" t="n"/>
      <c r="G8760" s="8">
        <f>IF(E8760="","",E8760*F8760)</f>
        <v/>
      </c>
      <c r="H8760" s="8">
        <f>IF(G8760="","",G8760-I8760)</f>
        <v/>
      </c>
      <c r="I8760" s="8">
        <f>IF(D8760="","",VLOOKUP(D8760, RECETTES!B:G, 6, FALSE)*E8760)</f>
        <v/>
      </c>
      <c r="J8760" s="8">
        <f>IF(G8760="","",G8760*0.20)</f>
        <v/>
      </c>
      <c r="K8760" s="8">
        <f>IF(G8760="","",G8760+J8760)</f>
        <v/>
      </c>
    </row>
    <row r="8761">
      <c r="F8761" s="8" t="n"/>
      <c r="G8761" s="8">
        <f>IF(E8761="","",E8761*F8761)</f>
        <v/>
      </c>
      <c r="H8761" s="8">
        <f>IF(G8761="","",G8761-I8761)</f>
        <v/>
      </c>
      <c r="I8761" s="8">
        <f>IF(D8761="","",VLOOKUP(D8761, RECETTES!B:G, 6, FALSE)*E8761)</f>
        <v/>
      </c>
      <c r="J8761" s="8">
        <f>IF(G8761="","",G8761*0.20)</f>
        <v/>
      </c>
      <c r="K8761" s="8">
        <f>IF(G8761="","",G8761+J8761)</f>
        <v/>
      </c>
    </row>
    <row r="8762">
      <c r="F8762" s="8" t="n"/>
      <c r="G8762" s="8">
        <f>IF(E8762="","",E8762*F8762)</f>
        <v/>
      </c>
      <c r="H8762" s="8">
        <f>IF(G8762="","",G8762-I8762)</f>
        <v/>
      </c>
      <c r="I8762" s="8">
        <f>IF(D8762="","",VLOOKUP(D8762, RECETTES!B:G, 6, FALSE)*E8762)</f>
        <v/>
      </c>
      <c r="J8762" s="8">
        <f>IF(G8762="","",G8762*0.20)</f>
        <v/>
      </c>
      <c r="K8762" s="8">
        <f>IF(G8762="","",G8762+J8762)</f>
        <v/>
      </c>
    </row>
    <row r="8763">
      <c r="F8763" s="8" t="n"/>
      <c r="G8763" s="8">
        <f>IF(E8763="","",E8763*F8763)</f>
        <v/>
      </c>
      <c r="H8763" s="8">
        <f>IF(G8763="","",G8763-I8763)</f>
        <v/>
      </c>
      <c r="I8763" s="8">
        <f>IF(D8763="","",VLOOKUP(D8763, RECETTES!B:G, 6, FALSE)*E8763)</f>
        <v/>
      </c>
      <c r="J8763" s="8">
        <f>IF(G8763="","",G8763*0.20)</f>
        <v/>
      </c>
      <c r="K8763" s="8">
        <f>IF(G8763="","",G8763+J8763)</f>
        <v/>
      </c>
    </row>
    <row r="8764">
      <c r="F8764" s="8" t="n"/>
      <c r="G8764" s="8">
        <f>IF(E8764="","",E8764*F8764)</f>
        <v/>
      </c>
      <c r="H8764" s="8">
        <f>IF(G8764="","",G8764-I8764)</f>
        <v/>
      </c>
      <c r="I8764" s="8">
        <f>IF(D8764="","",VLOOKUP(D8764, RECETTES!B:G, 6, FALSE)*E8764)</f>
        <v/>
      </c>
      <c r="J8764" s="8">
        <f>IF(G8764="","",G8764*0.20)</f>
        <v/>
      </c>
      <c r="K8764" s="8">
        <f>IF(G8764="","",G8764+J8764)</f>
        <v/>
      </c>
    </row>
    <row r="8765">
      <c r="F8765" s="8" t="n"/>
      <c r="G8765" s="8">
        <f>IF(E8765="","",E8765*F8765)</f>
        <v/>
      </c>
      <c r="H8765" s="8">
        <f>IF(G8765="","",G8765-I8765)</f>
        <v/>
      </c>
      <c r="I8765" s="8">
        <f>IF(D8765="","",VLOOKUP(D8765, RECETTES!B:G, 6, FALSE)*E8765)</f>
        <v/>
      </c>
      <c r="J8765" s="8">
        <f>IF(G8765="","",G8765*0.20)</f>
        <v/>
      </c>
      <c r="K8765" s="8">
        <f>IF(G8765="","",G8765+J8765)</f>
        <v/>
      </c>
    </row>
    <row r="8766">
      <c r="F8766" s="8" t="n"/>
      <c r="G8766" s="8">
        <f>IF(E8766="","",E8766*F8766)</f>
        <v/>
      </c>
      <c r="H8766" s="8">
        <f>IF(G8766="","",G8766-I8766)</f>
        <v/>
      </c>
      <c r="I8766" s="8">
        <f>IF(D8766="","",VLOOKUP(D8766, RECETTES!B:G, 6, FALSE)*E8766)</f>
        <v/>
      </c>
      <c r="J8766" s="8">
        <f>IF(G8766="","",G8766*0.20)</f>
        <v/>
      </c>
      <c r="K8766" s="8">
        <f>IF(G8766="","",G8766+J8766)</f>
        <v/>
      </c>
    </row>
    <row r="8767">
      <c r="F8767" s="8" t="n"/>
      <c r="G8767" s="8">
        <f>IF(E8767="","",E8767*F8767)</f>
        <v/>
      </c>
      <c r="H8767" s="8">
        <f>IF(G8767="","",G8767-I8767)</f>
        <v/>
      </c>
      <c r="I8767" s="8">
        <f>IF(D8767="","",VLOOKUP(D8767, RECETTES!B:G, 6, FALSE)*E8767)</f>
        <v/>
      </c>
      <c r="J8767" s="8">
        <f>IF(G8767="","",G8767*0.20)</f>
        <v/>
      </c>
      <c r="K8767" s="8">
        <f>IF(G8767="","",G8767+J8767)</f>
        <v/>
      </c>
    </row>
    <row r="8768">
      <c r="F8768" s="8" t="n"/>
      <c r="G8768" s="8">
        <f>IF(E8768="","",E8768*F8768)</f>
        <v/>
      </c>
      <c r="H8768" s="8">
        <f>IF(G8768="","",G8768-I8768)</f>
        <v/>
      </c>
      <c r="I8768" s="8">
        <f>IF(D8768="","",VLOOKUP(D8768, RECETTES!B:G, 6, FALSE)*E8768)</f>
        <v/>
      </c>
      <c r="J8768" s="8">
        <f>IF(G8768="","",G8768*0.20)</f>
        <v/>
      </c>
      <c r="K8768" s="8">
        <f>IF(G8768="","",G8768+J8768)</f>
        <v/>
      </c>
    </row>
    <row r="8769">
      <c r="F8769" s="8" t="n"/>
      <c r="G8769" s="8">
        <f>IF(E8769="","",E8769*F8769)</f>
        <v/>
      </c>
      <c r="H8769" s="8">
        <f>IF(G8769="","",G8769-I8769)</f>
        <v/>
      </c>
      <c r="I8769" s="8">
        <f>IF(D8769="","",VLOOKUP(D8769, RECETTES!B:G, 6, FALSE)*E8769)</f>
        <v/>
      </c>
      <c r="J8769" s="8">
        <f>IF(G8769="","",G8769*0.20)</f>
        <v/>
      </c>
      <c r="K8769" s="8">
        <f>IF(G8769="","",G8769+J8769)</f>
        <v/>
      </c>
    </row>
    <row r="8770">
      <c r="F8770" s="8" t="n"/>
      <c r="G8770" s="8">
        <f>IF(E8770="","",E8770*F8770)</f>
        <v/>
      </c>
      <c r="H8770" s="8">
        <f>IF(G8770="","",G8770-I8770)</f>
        <v/>
      </c>
      <c r="I8770" s="8">
        <f>IF(D8770="","",VLOOKUP(D8770, RECETTES!B:G, 6, FALSE)*E8770)</f>
        <v/>
      </c>
      <c r="J8770" s="8">
        <f>IF(G8770="","",G8770*0.20)</f>
        <v/>
      </c>
      <c r="K8770" s="8">
        <f>IF(G8770="","",G8770+J8770)</f>
        <v/>
      </c>
    </row>
    <row r="8771">
      <c r="F8771" s="8" t="n"/>
      <c r="G8771" s="8">
        <f>IF(E8771="","",E8771*F8771)</f>
        <v/>
      </c>
      <c r="H8771" s="8">
        <f>IF(G8771="","",G8771-I8771)</f>
        <v/>
      </c>
      <c r="I8771" s="8">
        <f>IF(D8771="","",VLOOKUP(D8771, RECETTES!B:G, 6, FALSE)*E8771)</f>
        <v/>
      </c>
      <c r="J8771" s="8">
        <f>IF(G8771="","",G8771*0.20)</f>
        <v/>
      </c>
      <c r="K8771" s="8">
        <f>IF(G8771="","",G8771+J8771)</f>
        <v/>
      </c>
    </row>
    <row r="8772">
      <c r="F8772" s="8" t="n"/>
      <c r="G8772" s="8">
        <f>IF(E8772="","",E8772*F8772)</f>
        <v/>
      </c>
      <c r="H8772" s="8">
        <f>IF(G8772="","",G8772-I8772)</f>
        <v/>
      </c>
      <c r="I8772" s="8">
        <f>IF(D8772="","",VLOOKUP(D8772, RECETTES!B:G, 6, FALSE)*E8772)</f>
        <v/>
      </c>
      <c r="J8772" s="8">
        <f>IF(G8772="","",G8772*0.20)</f>
        <v/>
      </c>
      <c r="K8772" s="8">
        <f>IF(G8772="","",G8772+J8772)</f>
        <v/>
      </c>
    </row>
    <row r="8773">
      <c r="F8773" s="8" t="n"/>
      <c r="G8773" s="8">
        <f>IF(E8773="","",E8773*F8773)</f>
        <v/>
      </c>
      <c r="H8773" s="8">
        <f>IF(G8773="","",G8773-I8773)</f>
        <v/>
      </c>
      <c r="I8773" s="8">
        <f>IF(D8773="","",VLOOKUP(D8773, RECETTES!B:G, 6, FALSE)*E8773)</f>
        <v/>
      </c>
      <c r="J8773" s="8">
        <f>IF(G8773="","",G8773*0.20)</f>
        <v/>
      </c>
      <c r="K8773" s="8">
        <f>IF(G8773="","",G8773+J8773)</f>
        <v/>
      </c>
    </row>
    <row r="8774">
      <c r="F8774" s="8" t="n"/>
      <c r="G8774" s="8">
        <f>IF(E8774="","",E8774*F8774)</f>
        <v/>
      </c>
      <c r="H8774" s="8">
        <f>IF(G8774="","",G8774-I8774)</f>
        <v/>
      </c>
      <c r="I8774" s="8">
        <f>IF(D8774="","",VLOOKUP(D8774, RECETTES!B:G, 6, FALSE)*E8774)</f>
        <v/>
      </c>
      <c r="J8774" s="8">
        <f>IF(G8774="","",G8774*0.20)</f>
        <v/>
      </c>
      <c r="K8774" s="8">
        <f>IF(G8774="","",G8774+J8774)</f>
        <v/>
      </c>
    </row>
    <row r="8775">
      <c r="F8775" s="8" t="n"/>
      <c r="G8775" s="8">
        <f>IF(E8775="","",E8775*F8775)</f>
        <v/>
      </c>
      <c r="H8775" s="8">
        <f>IF(G8775="","",G8775-I8775)</f>
        <v/>
      </c>
      <c r="I8775" s="8">
        <f>IF(D8775="","",VLOOKUP(D8775, RECETTES!B:G, 6, FALSE)*E8775)</f>
        <v/>
      </c>
      <c r="J8775" s="8">
        <f>IF(G8775="","",G8775*0.20)</f>
        <v/>
      </c>
      <c r="K8775" s="8">
        <f>IF(G8775="","",G8775+J8775)</f>
        <v/>
      </c>
    </row>
    <row r="8776">
      <c r="F8776" s="8" t="n"/>
      <c r="G8776" s="8">
        <f>IF(E8776="","",E8776*F8776)</f>
        <v/>
      </c>
      <c r="H8776" s="8">
        <f>IF(G8776="","",G8776-I8776)</f>
        <v/>
      </c>
      <c r="I8776" s="8">
        <f>IF(D8776="","",VLOOKUP(D8776, RECETTES!B:G, 6, FALSE)*E8776)</f>
        <v/>
      </c>
      <c r="J8776" s="8">
        <f>IF(G8776="","",G8776*0.20)</f>
        <v/>
      </c>
      <c r="K8776" s="8">
        <f>IF(G8776="","",G8776+J8776)</f>
        <v/>
      </c>
    </row>
    <row r="8777">
      <c r="F8777" s="8" t="n"/>
      <c r="G8777" s="8">
        <f>IF(E8777="","",E8777*F8777)</f>
        <v/>
      </c>
      <c r="H8777" s="8">
        <f>IF(G8777="","",G8777-I8777)</f>
        <v/>
      </c>
      <c r="I8777" s="8">
        <f>IF(D8777="","",VLOOKUP(D8777, RECETTES!B:G, 6, FALSE)*E8777)</f>
        <v/>
      </c>
      <c r="J8777" s="8">
        <f>IF(G8777="","",G8777*0.20)</f>
        <v/>
      </c>
      <c r="K8777" s="8">
        <f>IF(G8777="","",G8777+J8777)</f>
        <v/>
      </c>
    </row>
    <row r="8778">
      <c r="F8778" s="8" t="n"/>
      <c r="G8778" s="8">
        <f>IF(E8778="","",E8778*F8778)</f>
        <v/>
      </c>
      <c r="H8778" s="8">
        <f>IF(G8778="","",G8778-I8778)</f>
        <v/>
      </c>
      <c r="I8778" s="8">
        <f>IF(D8778="","",VLOOKUP(D8778, RECETTES!B:G, 6, FALSE)*E8778)</f>
        <v/>
      </c>
      <c r="J8778" s="8">
        <f>IF(G8778="","",G8778*0.20)</f>
        <v/>
      </c>
      <c r="K8778" s="8">
        <f>IF(G8778="","",G8778+J8778)</f>
        <v/>
      </c>
    </row>
    <row r="8779">
      <c r="F8779" s="8" t="n"/>
      <c r="G8779" s="8">
        <f>IF(E8779="","",E8779*F8779)</f>
        <v/>
      </c>
      <c r="H8779" s="8">
        <f>IF(G8779="","",G8779-I8779)</f>
        <v/>
      </c>
      <c r="I8779" s="8">
        <f>IF(D8779="","",VLOOKUP(D8779, RECETTES!B:G, 6, FALSE)*E8779)</f>
        <v/>
      </c>
      <c r="J8779" s="8">
        <f>IF(G8779="","",G8779*0.20)</f>
        <v/>
      </c>
      <c r="K8779" s="8">
        <f>IF(G8779="","",G8779+J8779)</f>
        <v/>
      </c>
    </row>
    <row r="8780">
      <c r="F8780" s="8" t="n"/>
      <c r="G8780" s="8">
        <f>IF(E8780="","",E8780*F8780)</f>
        <v/>
      </c>
      <c r="H8780" s="8">
        <f>IF(G8780="","",G8780-I8780)</f>
        <v/>
      </c>
      <c r="I8780" s="8">
        <f>IF(D8780="","",VLOOKUP(D8780, RECETTES!B:G, 6, FALSE)*E8780)</f>
        <v/>
      </c>
      <c r="J8780" s="8">
        <f>IF(G8780="","",G8780*0.20)</f>
        <v/>
      </c>
      <c r="K8780" s="8">
        <f>IF(G8780="","",G8780+J8780)</f>
        <v/>
      </c>
    </row>
    <row r="8781">
      <c r="F8781" s="8" t="n"/>
      <c r="G8781" s="8">
        <f>IF(E8781="","",E8781*F8781)</f>
        <v/>
      </c>
      <c r="H8781" s="8">
        <f>IF(G8781="","",G8781-I8781)</f>
        <v/>
      </c>
      <c r="I8781" s="8">
        <f>IF(D8781="","",VLOOKUP(D8781, RECETTES!B:G, 6, FALSE)*E8781)</f>
        <v/>
      </c>
      <c r="J8781" s="8">
        <f>IF(G8781="","",G8781*0.20)</f>
        <v/>
      </c>
      <c r="K8781" s="8">
        <f>IF(G8781="","",G8781+J8781)</f>
        <v/>
      </c>
    </row>
    <row r="8782">
      <c r="F8782" s="8" t="n"/>
      <c r="G8782" s="8">
        <f>IF(E8782="","",E8782*F8782)</f>
        <v/>
      </c>
      <c r="H8782" s="8">
        <f>IF(G8782="","",G8782-I8782)</f>
        <v/>
      </c>
      <c r="I8782" s="8">
        <f>IF(D8782="","",VLOOKUP(D8782, RECETTES!B:G, 6, FALSE)*E8782)</f>
        <v/>
      </c>
      <c r="J8782" s="8">
        <f>IF(G8782="","",G8782*0.20)</f>
        <v/>
      </c>
      <c r="K8782" s="8">
        <f>IF(G8782="","",G8782+J8782)</f>
        <v/>
      </c>
    </row>
    <row r="8783">
      <c r="F8783" s="8" t="n"/>
      <c r="G8783" s="8">
        <f>IF(E8783="","",E8783*F8783)</f>
        <v/>
      </c>
      <c r="H8783" s="8">
        <f>IF(G8783="","",G8783-I8783)</f>
        <v/>
      </c>
      <c r="I8783" s="8">
        <f>IF(D8783="","",VLOOKUP(D8783, RECETTES!B:G, 6, FALSE)*E8783)</f>
        <v/>
      </c>
      <c r="J8783" s="8">
        <f>IF(G8783="","",G8783*0.20)</f>
        <v/>
      </c>
      <c r="K8783" s="8">
        <f>IF(G8783="","",G8783+J8783)</f>
        <v/>
      </c>
    </row>
    <row r="8784">
      <c r="F8784" s="8" t="n"/>
      <c r="G8784" s="8">
        <f>IF(E8784="","",E8784*F8784)</f>
        <v/>
      </c>
      <c r="H8784" s="8">
        <f>IF(G8784="","",G8784-I8784)</f>
        <v/>
      </c>
      <c r="I8784" s="8">
        <f>IF(D8784="","",VLOOKUP(D8784, RECETTES!B:G, 6, FALSE)*E8784)</f>
        <v/>
      </c>
      <c r="J8784" s="8">
        <f>IF(G8784="","",G8784*0.20)</f>
        <v/>
      </c>
      <c r="K8784" s="8">
        <f>IF(G8784="","",G8784+J8784)</f>
        <v/>
      </c>
    </row>
    <row r="8785">
      <c r="F8785" s="8" t="n"/>
      <c r="G8785" s="8">
        <f>IF(E8785="","",E8785*F8785)</f>
        <v/>
      </c>
      <c r="H8785" s="8">
        <f>IF(G8785="","",G8785-I8785)</f>
        <v/>
      </c>
      <c r="I8785" s="8">
        <f>IF(D8785="","",VLOOKUP(D8785, RECETTES!B:G, 6, FALSE)*E8785)</f>
        <v/>
      </c>
      <c r="J8785" s="8">
        <f>IF(G8785="","",G8785*0.20)</f>
        <v/>
      </c>
      <c r="K8785" s="8">
        <f>IF(G8785="","",G8785+J8785)</f>
        <v/>
      </c>
    </row>
    <row r="8786">
      <c r="F8786" s="8" t="n"/>
      <c r="G8786" s="8">
        <f>IF(E8786="","",E8786*F8786)</f>
        <v/>
      </c>
      <c r="H8786" s="8">
        <f>IF(G8786="","",G8786-I8786)</f>
        <v/>
      </c>
      <c r="I8786" s="8">
        <f>IF(D8786="","",VLOOKUP(D8786, RECETTES!B:G, 6, FALSE)*E8786)</f>
        <v/>
      </c>
      <c r="J8786" s="8">
        <f>IF(G8786="","",G8786*0.20)</f>
        <v/>
      </c>
      <c r="K8786" s="8">
        <f>IF(G8786="","",G8786+J8786)</f>
        <v/>
      </c>
    </row>
    <row r="8787">
      <c r="F8787" s="8" t="n"/>
      <c r="G8787" s="8">
        <f>IF(E8787="","",E8787*F8787)</f>
        <v/>
      </c>
      <c r="H8787" s="8">
        <f>IF(G8787="","",G8787-I8787)</f>
        <v/>
      </c>
      <c r="I8787" s="8">
        <f>IF(D8787="","",VLOOKUP(D8787, RECETTES!B:G, 6, FALSE)*E8787)</f>
        <v/>
      </c>
      <c r="J8787" s="8">
        <f>IF(G8787="","",G8787*0.20)</f>
        <v/>
      </c>
      <c r="K8787" s="8">
        <f>IF(G8787="","",G8787+J8787)</f>
        <v/>
      </c>
    </row>
    <row r="8788">
      <c r="F8788" s="8" t="n"/>
      <c r="G8788" s="8">
        <f>IF(E8788="","",E8788*F8788)</f>
        <v/>
      </c>
      <c r="H8788" s="8">
        <f>IF(G8788="","",G8788-I8788)</f>
        <v/>
      </c>
      <c r="I8788" s="8">
        <f>IF(D8788="","",VLOOKUP(D8788, RECETTES!B:G, 6, FALSE)*E8788)</f>
        <v/>
      </c>
      <c r="J8788" s="8">
        <f>IF(G8788="","",G8788*0.20)</f>
        <v/>
      </c>
      <c r="K8788" s="8">
        <f>IF(G8788="","",G8788+J8788)</f>
        <v/>
      </c>
    </row>
    <row r="8789">
      <c r="F8789" s="8" t="n"/>
      <c r="G8789" s="8">
        <f>IF(E8789="","",E8789*F8789)</f>
        <v/>
      </c>
      <c r="H8789" s="8">
        <f>IF(G8789="","",G8789-I8789)</f>
        <v/>
      </c>
      <c r="I8789" s="8">
        <f>IF(D8789="","",VLOOKUP(D8789, RECETTES!B:G, 6, FALSE)*E8789)</f>
        <v/>
      </c>
      <c r="J8789" s="8">
        <f>IF(G8789="","",G8789*0.20)</f>
        <v/>
      </c>
      <c r="K8789" s="8">
        <f>IF(G8789="","",G8789+J8789)</f>
        <v/>
      </c>
    </row>
    <row r="8790">
      <c r="F8790" s="8" t="n"/>
      <c r="G8790" s="8">
        <f>IF(E8790="","",E8790*F8790)</f>
        <v/>
      </c>
      <c r="H8790" s="8">
        <f>IF(G8790="","",G8790-I8790)</f>
        <v/>
      </c>
      <c r="I8790" s="8">
        <f>IF(D8790="","",VLOOKUP(D8790, RECETTES!B:G, 6, FALSE)*E8790)</f>
        <v/>
      </c>
      <c r="J8790" s="8">
        <f>IF(G8790="","",G8790*0.20)</f>
        <v/>
      </c>
      <c r="K8790" s="8">
        <f>IF(G8790="","",G8790+J8790)</f>
        <v/>
      </c>
    </row>
    <row r="8791">
      <c r="F8791" s="8" t="n"/>
      <c r="G8791" s="8">
        <f>IF(E8791="","",E8791*F8791)</f>
        <v/>
      </c>
      <c r="H8791" s="8">
        <f>IF(G8791="","",G8791-I8791)</f>
        <v/>
      </c>
      <c r="I8791" s="8">
        <f>IF(D8791="","",VLOOKUP(D8791, RECETTES!B:G, 6, FALSE)*E8791)</f>
        <v/>
      </c>
      <c r="J8791" s="8">
        <f>IF(G8791="","",G8791*0.20)</f>
        <v/>
      </c>
      <c r="K8791" s="8">
        <f>IF(G8791="","",G8791+J8791)</f>
        <v/>
      </c>
    </row>
    <row r="8792">
      <c r="F8792" s="8" t="n"/>
      <c r="G8792" s="8">
        <f>IF(E8792="","",E8792*F8792)</f>
        <v/>
      </c>
      <c r="H8792" s="8">
        <f>IF(G8792="","",G8792-I8792)</f>
        <v/>
      </c>
      <c r="I8792" s="8">
        <f>IF(D8792="","",VLOOKUP(D8792, RECETTES!B:G, 6, FALSE)*E8792)</f>
        <v/>
      </c>
      <c r="J8792" s="8">
        <f>IF(G8792="","",G8792*0.20)</f>
        <v/>
      </c>
      <c r="K8792" s="8">
        <f>IF(G8792="","",G8792+J8792)</f>
        <v/>
      </c>
    </row>
    <row r="8793">
      <c r="F8793" s="8" t="n"/>
      <c r="G8793" s="8">
        <f>IF(E8793="","",E8793*F8793)</f>
        <v/>
      </c>
      <c r="H8793" s="8">
        <f>IF(G8793="","",G8793-I8793)</f>
        <v/>
      </c>
      <c r="I8793" s="8">
        <f>IF(D8793="","",VLOOKUP(D8793, RECETTES!B:G, 6, FALSE)*E8793)</f>
        <v/>
      </c>
      <c r="J8793" s="8">
        <f>IF(G8793="","",G8793*0.20)</f>
        <v/>
      </c>
      <c r="K8793" s="8">
        <f>IF(G8793="","",G8793+J8793)</f>
        <v/>
      </c>
    </row>
    <row r="8794">
      <c r="F8794" s="8" t="n"/>
      <c r="G8794" s="8">
        <f>IF(E8794="","",E8794*F8794)</f>
        <v/>
      </c>
      <c r="H8794" s="8">
        <f>IF(G8794="","",G8794-I8794)</f>
        <v/>
      </c>
      <c r="I8794" s="8">
        <f>IF(D8794="","",VLOOKUP(D8794, RECETTES!B:G, 6, FALSE)*E8794)</f>
        <v/>
      </c>
      <c r="J8794" s="8">
        <f>IF(G8794="","",G8794*0.20)</f>
        <v/>
      </c>
      <c r="K8794" s="8">
        <f>IF(G8794="","",G8794+J8794)</f>
        <v/>
      </c>
    </row>
    <row r="8795">
      <c r="F8795" s="8" t="n"/>
      <c r="G8795" s="8">
        <f>IF(E8795="","",E8795*F8795)</f>
        <v/>
      </c>
      <c r="H8795" s="8">
        <f>IF(G8795="","",G8795-I8795)</f>
        <v/>
      </c>
      <c r="I8795" s="8">
        <f>IF(D8795="","",VLOOKUP(D8795, RECETTES!B:G, 6, FALSE)*E8795)</f>
        <v/>
      </c>
      <c r="J8795" s="8">
        <f>IF(G8795="","",G8795*0.20)</f>
        <v/>
      </c>
      <c r="K8795" s="8">
        <f>IF(G8795="","",G8795+J8795)</f>
        <v/>
      </c>
    </row>
    <row r="8796">
      <c r="F8796" s="8" t="n"/>
      <c r="G8796" s="8">
        <f>IF(E8796="","",E8796*F8796)</f>
        <v/>
      </c>
      <c r="H8796" s="8">
        <f>IF(G8796="","",G8796-I8796)</f>
        <v/>
      </c>
      <c r="I8796" s="8">
        <f>IF(D8796="","",VLOOKUP(D8796, RECETTES!B:G, 6, FALSE)*E8796)</f>
        <v/>
      </c>
      <c r="J8796" s="8">
        <f>IF(G8796="","",G8796*0.20)</f>
        <v/>
      </c>
      <c r="K8796" s="8">
        <f>IF(G8796="","",G8796+J8796)</f>
        <v/>
      </c>
    </row>
    <row r="8797">
      <c r="F8797" s="8" t="n"/>
      <c r="G8797" s="8">
        <f>IF(E8797="","",E8797*F8797)</f>
        <v/>
      </c>
      <c r="H8797" s="8">
        <f>IF(G8797="","",G8797-I8797)</f>
        <v/>
      </c>
      <c r="I8797" s="8">
        <f>IF(D8797="","",VLOOKUP(D8797, RECETTES!B:G, 6, FALSE)*E8797)</f>
        <v/>
      </c>
      <c r="J8797" s="8">
        <f>IF(G8797="","",G8797*0.20)</f>
        <v/>
      </c>
      <c r="K8797" s="8">
        <f>IF(G8797="","",G8797+J8797)</f>
        <v/>
      </c>
    </row>
    <row r="8798">
      <c r="F8798" s="8" t="n"/>
      <c r="G8798" s="8">
        <f>IF(E8798="","",E8798*F8798)</f>
        <v/>
      </c>
      <c r="H8798" s="8">
        <f>IF(G8798="","",G8798-I8798)</f>
        <v/>
      </c>
      <c r="I8798" s="8">
        <f>IF(D8798="","",VLOOKUP(D8798, RECETTES!B:G, 6, FALSE)*E8798)</f>
        <v/>
      </c>
      <c r="J8798" s="8">
        <f>IF(G8798="","",G8798*0.20)</f>
        <v/>
      </c>
      <c r="K8798" s="8">
        <f>IF(G8798="","",G8798+J8798)</f>
        <v/>
      </c>
    </row>
    <row r="8799">
      <c r="F8799" s="8" t="n"/>
      <c r="G8799" s="8">
        <f>IF(E8799="","",E8799*F8799)</f>
        <v/>
      </c>
      <c r="H8799" s="8">
        <f>IF(G8799="","",G8799-I8799)</f>
        <v/>
      </c>
      <c r="I8799" s="8">
        <f>IF(D8799="","",VLOOKUP(D8799, RECETTES!B:G, 6, FALSE)*E8799)</f>
        <v/>
      </c>
      <c r="J8799" s="8">
        <f>IF(G8799="","",G8799*0.20)</f>
        <v/>
      </c>
      <c r="K8799" s="8">
        <f>IF(G8799="","",G8799+J8799)</f>
        <v/>
      </c>
    </row>
    <row r="8800">
      <c r="F8800" s="8" t="n"/>
      <c r="G8800" s="8">
        <f>IF(E8800="","",E8800*F8800)</f>
        <v/>
      </c>
      <c r="H8800" s="8">
        <f>IF(G8800="","",G8800-I8800)</f>
        <v/>
      </c>
      <c r="I8800" s="8">
        <f>IF(D8800="","",VLOOKUP(D8800, RECETTES!B:G, 6, FALSE)*E8800)</f>
        <v/>
      </c>
      <c r="J8800" s="8">
        <f>IF(G8800="","",G8800*0.20)</f>
        <v/>
      </c>
      <c r="K8800" s="8">
        <f>IF(G8800="","",G8800+J8800)</f>
        <v/>
      </c>
    </row>
    <row r="8801">
      <c r="F8801" s="8" t="n"/>
      <c r="G8801" s="8">
        <f>IF(E8801="","",E8801*F8801)</f>
        <v/>
      </c>
      <c r="H8801" s="8">
        <f>IF(G8801="","",G8801-I8801)</f>
        <v/>
      </c>
      <c r="I8801" s="8">
        <f>IF(D8801="","",VLOOKUP(D8801, RECETTES!B:G, 6, FALSE)*E8801)</f>
        <v/>
      </c>
      <c r="J8801" s="8">
        <f>IF(G8801="","",G8801*0.20)</f>
        <v/>
      </c>
      <c r="K8801" s="8">
        <f>IF(G8801="","",G8801+J8801)</f>
        <v/>
      </c>
    </row>
    <row r="8802">
      <c r="F8802" s="8" t="n"/>
      <c r="G8802" s="8">
        <f>IF(E8802="","",E8802*F8802)</f>
        <v/>
      </c>
      <c r="H8802" s="8">
        <f>IF(G8802="","",G8802-I8802)</f>
        <v/>
      </c>
      <c r="I8802" s="8">
        <f>IF(D8802="","",VLOOKUP(D8802, RECETTES!B:G, 6, FALSE)*E8802)</f>
        <v/>
      </c>
      <c r="J8802" s="8">
        <f>IF(G8802="","",G8802*0.20)</f>
        <v/>
      </c>
      <c r="K8802" s="8">
        <f>IF(G8802="","",G8802+J8802)</f>
        <v/>
      </c>
    </row>
    <row r="8803">
      <c r="F8803" s="8" t="n"/>
      <c r="G8803" s="8">
        <f>IF(E8803="","",E8803*F8803)</f>
        <v/>
      </c>
      <c r="H8803" s="8">
        <f>IF(G8803="","",G8803-I8803)</f>
        <v/>
      </c>
      <c r="I8803" s="8">
        <f>IF(D8803="","",VLOOKUP(D8803, RECETTES!B:G, 6, FALSE)*E8803)</f>
        <v/>
      </c>
      <c r="J8803" s="8">
        <f>IF(G8803="","",G8803*0.20)</f>
        <v/>
      </c>
      <c r="K8803" s="8">
        <f>IF(G8803="","",G8803+J8803)</f>
        <v/>
      </c>
    </row>
    <row r="8804">
      <c r="F8804" s="8" t="n"/>
      <c r="G8804" s="8">
        <f>IF(E8804="","",E8804*F8804)</f>
        <v/>
      </c>
      <c r="H8804" s="8">
        <f>IF(G8804="","",G8804-I8804)</f>
        <v/>
      </c>
      <c r="I8804" s="8">
        <f>IF(D8804="","",VLOOKUP(D8804, RECETTES!B:G, 6, FALSE)*E8804)</f>
        <v/>
      </c>
      <c r="J8804" s="8">
        <f>IF(G8804="","",G8804*0.20)</f>
        <v/>
      </c>
      <c r="K8804" s="8">
        <f>IF(G8804="","",G8804+J8804)</f>
        <v/>
      </c>
    </row>
    <row r="8805">
      <c r="F8805" s="8" t="n"/>
      <c r="G8805" s="8">
        <f>IF(E8805="","",E8805*F8805)</f>
        <v/>
      </c>
      <c r="H8805" s="8">
        <f>IF(G8805="","",G8805-I8805)</f>
        <v/>
      </c>
      <c r="I8805" s="8">
        <f>IF(D8805="","",VLOOKUP(D8805, RECETTES!B:G, 6, FALSE)*E8805)</f>
        <v/>
      </c>
      <c r="J8805" s="8">
        <f>IF(G8805="","",G8805*0.20)</f>
        <v/>
      </c>
      <c r="K8805" s="8">
        <f>IF(G8805="","",G8805+J8805)</f>
        <v/>
      </c>
    </row>
    <row r="8806">
      <c r="F8806" s="8" t="n"/>
      <c r="G8806" s="8">
        <f>IF(E8806="","",E8806*F8806)</f>
        <v/>
      </c>
      <c r="H8806" s="8">
        <f>IF(G8806="","",G8806-I8806)</f>
        <v/>
      </c>
      <c r="I8806" s="8">
        <f>IF(D8806="","",VLOOKUP(D8806, RECETTES!B:G, 6, FALSE)*E8806)</f>
        <v/>
      </c>
      <c r="J8806" s="8">
        <f>IF(G8806="","",G8806*0.20)</f>
        <v/>
      </c>
      <c r="K8806" s="8">
        <f>IF(G8806="","",G8806+J8806)</f>
        <v/>
      </c>
    </row>
    <row r="8807">
      <c r="F8807" s="8" t="n"/>
      <c r="G8807" s="8">
        <f>IF(E8807="","",E8807*F8807)</f>
        <v/>
      </c>
      <c r="H8807" s="8">
        <f>IF(G8807="","",G8807-I8807)</f>
        <v/>
      </c>
      <c r="I8807" s="8">
        <f>IF(D8807="","",VLOOKUP(D8807, RECETTES!B:G, 6, FALSE)*E8807)</f>
        <v/>
      </c>
      <c r="J8807" s="8">
        <f>IF(G8807="","",G8807*0.20)</f>
        <v/>
      </c>
      <c r="K8807" s="8">
        <f>IF(G8807="","",G8807+J8807)</f>
        <v/>
      </c>
    </row>
    <row r="8808">
      <c r="F8808" s="8" t="n"/>
      <c r="G8808" s="8">
        <f>IF(E8808="","",E8808*F8808)</f>
        <v/>
      </c>
      <c r="H8808" s="8">
        <f>IF(G8808="","",G8808-I8808)</f>
        <v/>
      </c>
      <c r="I8808" s="8">
        <f>IF(D8808="","",VLOOKUP(D8808, RECETTES!B:G, 6, FALSE)*E8808)</f>
        <v/>
      </c>
      <c r="J8808" s="8">
        <f>IF(G8808="","",G8808*0.20)</f>
        <v/>
      </c>
      <c r="K8808" s="8">
        <f>IF(G8808="","",G8808+J8808)</f>
        <v/>
      </c>
    </row>
    <row r="8809">
      <c r="F8809" s="8" t="n"/>
      <c r="G8809" s="8">
        <f>IF(E8809="","",E8809*F8809)</f>
        <v/>
      </c>
      <c r="H8809" s="8">
        <f>IF(G8809="","",G8809-I8809)</f>
        <v/>
      </c>
      <c r="I8809" s="8">
        <f>IF(D8809="","",VLOOKUP(D8809, RECETTES!B:G, 6, FALSE)*E8809)</f>
        <v/>
      </c>
      <c r="J8809" s="8">
        <f>IF(G8809="","",G8809*0.20)</f>
        <v/>
      </c>
      <c r="K8809" s="8">
        <f>IF(G8809="","",G8809+J8809)</f>
        <v/>
      </c>
    </row>
    <row r="8810">
      <c r="F8810" s="8" t="n"/>
      <c r="G8810" s="8">
        <f>IF(E8810="","",E8810*F8810)</f>
        <v/>
      </c>
      <c r="H8810" s="8">
        <f>IF(G8810="","",G8810-I8810)</f>
        <v/>
      </c>
      <c r="I8810" s="8">
        <f>IF(D8810="","",VLOOKUP(D8810, RECETTES!B:G, 6, FALSE)*E8810)</f>
        <v/>
      </c>
      <c r="J8810" s="8">
        <f>IF(G8810="","",G8810*0.20)</f>
        <v/>
      </c>
      <c r="K8810" s="8">
        <f>IF(G8810="","",G8810+J8810)</f>
        <v/>
      </c>
    </row>
    <row r="8811">
      <c r="F8811" s="8" t="n"/>
      <c r="G8811" s="8">
        <f>IF(E8811="","",E8811*F8811)</f>
        <v/>
      </c>
      <c r="H8811" s="8">
        <f>IF(G8811="","",G8811-I8811)</f>
        <v/>
      </c>
      <c r="I8811" s="8">
        <f>IF(D8811="","",VLOOKUP(D8811, RECETTES!B:G, 6, FALSE)*E8811)</f>
        <v/>
      </c>
      <c r="J8811" s="8">
        <f>IF(G8811="","",G8811*0.20)</f>
        <v/>
      </c>
      <c r="K8811" s="8">
        <f>IF(G8811="","",G8811+J8811)</f>
        <v/>
      </c>
    </row>
    <row r="8812">
      <c r="F8812" s="8" t="n"/>
      <c r="G8812" s="8">
        <f>IF(E8812="","",E8812*F8812)</f>
        <v/>
      </c>
      <c r="H8812" s="8">
        <f>IF(G8812="","",G8812-I8812)</f>
        <v/>
      </c>
      <c r="I8812" s="8">
        <f>IF(D8812="","",VLOOKUP(D8812, RECETTES!B:G, 6, FALSE)*E8812)</f>
        <v/>
      </c>
      <c r="J8812" s="8">
        <f>IF(G8812="","",G8812*0.20)</f>
        <v/>
      </c>
      <c r="K8812" s="8">
        <f>IF(G8812="","",G8812+J8812)</f>
        <v/>
      </c>
    </row>
    <row r="8813">
      <c r="F8813" s="8" t="n"/>
      <c r="G8813" s="8">
        <f>IF(E8813="","",E8813*F8813)</f>
        <v/>
      </c>
      <c r="H8813" s="8">
        <f>IF(G8813="","",G8813-I8813)</f>
        <v/>
      </c>
      <c r="I8813" s="8">
        <f>IF(D8813="","",VLOOKUP(D8813, RECETTES!B:G, 6, FALSE)*E8813)</f>
        <v/>
      </c>
      <c r="J8813" s="8">
        <f>IF(G8813="","",G8813*0.20)</f>
        <v/>
      </c>
      <c r="K8813" s="8">
        <f>IF(G8813="","",G8813+J8813)</f>
        <v/>
      </c>
    </row>
    <row r="8814">
      <c r="F8814" s="8" t="n"/>
      <c r="G8814" s="8">
        <f>IF(E8814="","",E8814*F8814)</f>
        <v/>
      </c>
      <c r="H8814" s="8">
        <f>IF(G8814="","",G8814-I8814)</f>
        <v/>
      </c>
      <c r="I8814" s="8">
        <f>IF(D8814="","",VLOOKUP(D8814, RECETTES!B:G, 6, FALSE)*E8814)</f>
        <v/>
      </c>
      <c r="J8814" s="8">
        <f>IF(G8814="","",G8814*0.20)</f>
        <v/>
      </c>
      <c r="K8814" s="8">
        <f>IF(G8814="","",G8814+J8814)</f>
        <v/>
      </c>
    </row>
    <row r="8815">
      <c r="F8815" s="8" t="n"/>
      <c r="G8815" s="8">
        <f>IF(E8815="","",E8815*F8815)</f>
        <v/>
      </c>
      <c r="H8815" s="8">
        <f>IF(G8815="","",G8815-I8815)</f>
        <v/>
      </c>
      <c r="I8815" s="8">
        <f>IF(D8815="","",VLOOKUP(D8815, RECETTES!B:G, 6, FALSE)*E8815)</f>
        <v/>
      </c>
      <c r="J8815" s="8">
        <f>IF(G8815="","",G8815*0.20)</f>
        <v/>
      </c>
      <c r="K8815" s="8">
        <f>IF(G8815="","",G8815+J8815)</f>
        <v/>
      </c>
    </row>
    <row r="8816">
      <c r="F8816" s="8" t="n"/>
      <c r="G8816" s="8">
        <f>IF(E8816="","",E8816*F8816)</f>
        <v/>
      </c>
      <c r="H8816" s="8">
        <f>IF(G8816="","",G8816-I8816)</f>
        <v/>
      </c>
      <c r="I8816" s="8">
        <f>IF(D8816="","",VLOOKUP(D8816, RECETTES!B:G, 6, FALSE)*E8816)</f>
        <v/>
      </c>
      <c r="J8816" s="8">
        <f>IF(G8816="","",G8816*0.20)</f>
        <v/>
      </c>
      <c r="K8816" s="8">
        <f>IF(G8816="","",G8816+J8816)</f>
        <v/>
      </c>
    </row>
    <row r="8817">
      <c r="F8817" s="8" t="n"/>
      <c r="G8817" s="8">
        <f>IF(E8817="","",E8817*F8817)</f>
        <v/>
      </c>
      <c r="H8817" s="8">
        <f>IF(G8817="","",G8817-I8817)</f>
        <v/>
      </c>
      <c r="I8817" s="8">
        <f>IF(D8817="","",VLOOKUP(D8817, RECETTES!B:G, 6, FALSE)*E8817)</f>
        <v/>
      </c>
      <c r="J8817" s="8">
        <f>IF(G8817="","",G8817*0.20)</f>
        <v/>
      </c>
      <c r="K8817" s="8">
        <f>IF(G8817="","",G8817+J8817)</f>
        <v/>
      </c>
    </row>
    <row r="8818">
      <c r="F8818" s="8" t="n"/>
      <c r="G8818" s="8">
        <f>IF(E8818="","",E8818*F8818)</f>
        <v/>
      </c>
      <c r="H8818" s="8">
        <f>IF(G8818="","",G8818-I8818)</f>
        <v/>
      </c>
      <c r="I8818" s="8">
        <f>IF(D8818="","",VLOOKUP(D8818, RECETTES!B:G, 6, FALSE)*E8818)</f>
        <v/>
      </c>
      <c r="J8818" s="8">
        <f>IF(G8818="","",G8818*0.20)</f>
        <v/>
      </c>
      <c r="K8818" s="8">
        <f>IF(G8818="","",G8818+J8818)</f>
        <v/>
      </c>
    </row>
    <row r="8819">
      <c r="F8819" s="8" t="n"/>
      <c r="G8819" s="8">
        <f>IF(E8819="","",E8819*F8819)</f>
        <v/>
      </c>
      <c r="H8819" s="8">
        <f>IF(G8819="","",G8819-I8819)</f>
        <v/>
      </c>
      <c r="I8819" s="8">
        <f>IF(D8819="","",VLOOKUP(D8819, RECETTES!B:G, 6, FALSE)*E8819)</f>
        <v/>
      </c>
      <c r="J8819" s="8">
        <f>IF(G8819="","",G8819*0.20)</f>
        <v/>
      </c>
      <c r="K8819" s="8">
        <f>IF(G8819="","",G8819+J8819)</f>
        <v/>
      </c>
    </row>
    <row r="8820">
      <c r="F8820" s="8" t="n"/>
      <c r="G8820" s="8">
        <f>IF(E8820="","",E8820*F8820)</f>
        <v/>
      </c>
      <c r="H8820" s="8">
        <f>IF(G8820="","",G8820-I8820)</f>
        <v/>
      </c>
      <c r="I8820" s="8">
        <f>IF(D8820="","",VLOOKUP(D8820, RECETTES!B:G, 6, FALSE)*E8820)</f>
        <v/>
      </c>
      <c r="J8820" s="8">
        <f>IF(G8820="","",G8820*0.20)</f>
        <v/>
      </c>
      <c r="K8820" s="8">
        <f>IF(G8820="","",G8820+J8820)</f>
        <v/>
      </c>
    </row>
    <row r="8821">
      <c r="F8821" s="8" t="n"/>
      <c r="G8821" s="8">
        <f>IF(E8821="","",E8821*F8821)</f>
        <v/>
      </c>
      <c r="H8821" s="8">
        <f>IF(G8821="","",G8821-I8821)</f>
        <v/>
      </c>
      <c r="I8821" s="8">
        <f>IF(D8821="","",VLOOKUP(D8821, RECETTES!B:G, 6, FALSE)*E8821)</f>
        <v/>
      </c>
      <c r="J8821" s="8">
        <f>IF(G8821="","",G8821*0.20)</f>
        <v/>
      </c>
      <c r="K8821" s="8">
        <f>IF(G8821="","",G8821+J8821)</f>
        <v/>
      </c>
    </row>
    <row r="8822">
      <c r="F8822" s="8" t="n"/>
      <c r="G8822" s="8">
        <f>IF(E8822="","",E8822*F8822)</f>
        <v/>
      </c>
      <c r="H8822" s="8">
        <f>IF(G8822="","",G8822-I8822)</f>
        <v/>
      </c>
      <c r="I8822" s="8">
        <f>IF(D8822="","",VLOOKUP(D8822, RECETTES!B:G, 6, FALSE)*E8822)</f>
        <v/>
      </c>
      <c r="J8822" s="8">
        <f>IF(G8822="","",G8822*0.20)</f>
        <v/>
      </c>
      <c r="K8822" s="8">
        <f>IF(G8822="","",G8822+J8822)</f>
        <v/>
      </c>
    </row>
    <row r="8823">
      <c r="F8823" s="8" t="n"/>
      <c r="G8823" s="8">
        <f>IF(E8823="","",E8823*F8823)</f>
        <v/>
      </c>
      <c r="H8823" s="8">
        <f>IF(G8823="","",G8823-I8823)</f>
        <v/>
      </c>
      <c r="I8823" s="8">
        <f>IF(D8823="","",VLOOKUP(D8823, RECETTES!B:G, 6, FALSE)*E8823)</f>
        <v/>
      </c>
      <c r="J8823" s="8">
        <f>IF(G8823="","",G8823*0.20)</f>
        <v/>
      </c>
      <c r="K8823" s="8">
        <f>IF(G8823="","",G8823+J8823)</f>
        <v/>
      </c>
    </row>
    <row r="8824">
      <c r="F8824" s="8" t="n"/>
      <c r="G8824" s="8">
        <f>IF(E8824="","",E8824*F8824)</f>
        <v/>
      </c>
      <c r="H8824" s="8">
        <f>IF(G8824="","",G8824-I8824)</f>
        <v/>
      </c>
      <c r="I8824" s="8">
        <f>IF(D8824="","",VLOOKUP(D8824, RECETTES!B:G, 6, FALSE)*E8824)</f>
        <v/>
      </c>
      <c r="J8824" s="8">
        <f>IF(G8824="","",G8824*0.20)</f>
        <v/>
      </c>
      <c r="K8824" s="8">
        <f>IF(G8824="","",G8824+J8824)</f>
        <v/>
      </c>
    </row>
    <row r="8825">
      <c r="F8825" s="8" t="n"/>
      <c r="G8825" s="8">
        <f>IF(E8825="","",E8825*F8825)</f>
        <v/>
      </c>
      <c r="H8825" s="8">
        <f>IF(G8825="","",G8825-I8825)</f>
        <v/>
      </c>
      <c r="I8825" s="8">
        <f>IF(D8825="","",VLOOKUP(D8825, RECETTES!B:G, 6, FALSE)*E8825)</f>
        <v/>
      </c>
      <c r="J8825" s="8">
        <f>IF(G8825="","",G8825*0.20)</f>
        <v/>
      </c>
      <c r="K8825" s="8">
        <f>IF(G8825="","",G8825+J8825)</f>
        <v/>
      </c>
    </row>
    <row r="8826">
      <c r="F8826" s="8" t="n"/>
      <c r="G8826" s="8">
        <f>IF(E8826="","",E8826*F8826)</f>
        <v/>
      </c>
      <c r="H8826" s="8">
        <f>IF(G8826="","",G8826-I8826)</f>
        <v/>
      </c>
      <c r="I8826" s="8">
        <f>IF(D8826="","",VLOOKUP(D8826, RECETTES!B:G, 6, FALSE)*E8826)</f>
        <v/>
      </c>
      <c r="J8826" s="8">
        <f>IF(G8826="","",G8826*0.20)</f>
        <v/>
      </c>
      <c r="K8826" s="8">
        <f>IF(G8826="","",G8826+J8826)</f>
        <v/>
      </c>
    </row>
    <row r="8827">
      <c r="F8827" s="8" t="n"/>
      <c r="G8827" s="8">
        <f>IF(E8827="","",E8827*F8827)</f>
        <v/>
      </c>
      <c r="H8827" s="8">
        <f>IF(G8827="","",G8827-I8827)</f>
        <v/>
      </c>
      <c r="I8827" s="8">
        <f>IF(D8827="","",VLOOKUP(D8827, RECETTES!B:G, 6, FALSE)*E8827)</f>
        <v/>
      </c>
      <c r="J8827" s="8">
        <f>IF(G8827="","",G8827*0.20)</f>
        <v/>
      </c>
      <c r="K8827" s="8">
        <f>IF(G8827="","",G8827+J8827)</f>
        <v/>
      </c>
    </row>
    <row r="8828">
      <c r="F8828" s="8" t="n"/>
      <c r="G8828" s="8">
        <f>IF(E8828="","",E8828*F8828)</f>
        <v/>
      </c>
      <c r="H8828" s="8">
        <f>IF(G8828="","",G8828-I8828)</f>
        <v/>
      </c>
      <c r="I8828" s="8">
        <f>IF(D8828="","",VLOOKUP(D8828, RECETTES!B:G, 6, FALSE)*E8828)</f>
        <v/>
      </c>
      <c r="J8828" s="8">
        <f>IF(G8828="","",G8828*0.20)</f>
        <v/>
      </c>
      <c r="K8828" s="8">
        <f>IF(G8828="","",G8828+J8828)</f>
        <v/>
      </c>
    </row>
    <row r="8829">
      <c r="F8829" s="8" t="n"/>
      <c r="G8829" s="8">
        <f>IF(E8829="","",E8829*F8829)</f>
        <v/>
      </c>
      <c r="H8829" s="8">
        <f>IF(G8829="","",G8829-I8829)</f>
        <v/>
      </c>
      <c r="I8829" s="8">
        <f>IF(D8829="","",VLOOKUP(D8829, RECETTES!B:G, 6, FALSE)*E8829)</f>
        <v/>
      </c>
      <c r="J8829" s="8">
        <f>IF(G8829="","",G8829*0.20)</f>
        <v/>
      </c>
      <c r="K8829" s="8">
        <f>IF(G8829="","",G8829+J8829)</f>
        <v/>
      </c>
    </row>
    <row r="8830">
      <c r="F8830" s="8" t="n"/>
      <c r="G8830" s="8">
        <f>IF(E8830="","",E8830*F8830)</f>
        <v/>
      </c>
      <c r="H8830" s="8">
        <f>IF(G8830="","",G8830-I8830)</f>
        <v/>
      </c>
      <c r="I8830" s="8">
        <f>IF(D8830="","",VLOOKUP(D8830, RECETTES!B:G, 6, FALSE)*E8830)</f>
        <v/>
      </c>
      <c r="J8830" s="8">
        <f>IF(G8830="","",G8830*0.20)</f>
        <v/>
      </c>
      <c r="K8830" s="8">
        <f>IF(G8830="","",G8830+J8830)</f>
        <v/>
      </c>
    </row>
    <row r="8831">
      <c r="F8831" s="8" t="n"/>
      <c r="G8831" s="8">
        <f>IF(E8831="","",E8831*F8831)</f>
        <v/>
      </c>
      <c r="H8831" s="8">
        <f>IF(G8831="","",G8831-I8831)</f>
        <v/>
      </c>
      <c r="I8831" s="8">
        <f>IF(D8831="","",VLOOKUP(D8831, RECETTES!B:G, 6, FALSE)*E8831)</f>
        <v/>
      </c>
      <c r="J8831" s="8">
        <f>IF(G8831="","",G8831*0.20)</f>
        <v/>
      </c>
      <c r="K8831" s="8">
        <f>IF(G8831="","",G8831+J8831)</f>
        <v/>
      </c>
    </row>
    <row r="8832">
      <c r="F8832" s="8" t="n"/>
      <c r="G8832" s="8">
        <f>IF(E8832="","",E8832*F8832)</f>
        <v/>
      </c>
      <c r="H8832" s="8">
        <f>IF(G8832="","",G8832-I8832)</f>
        <v/>
      </c>
      <c r="I8832" s="8">
        <f>IF(D8832="","",VLOOKUP(D8832, RECETTES!B:G, 6, FALSE)*E8832)</f>
        <v/>
      </c>
      <c r="J8832" s="8">
        <f>IF(G8832="","",G8832*0.20)</f>
        <v/>
      </c>
      <c r="K8832" s="8">
        <f>IF(G8832="","",G8832+J8832)</f>
        <v/>
      </c>
    </row>
    <row r="8833">
      <c r="F8833" s="8" t="n"/>
      <c r="G8833" s="8">
        <f>IF(E8833="","",E8833*F8833)</f>
        <v/>
      </c>
      <c r="H8833" s="8">
        <f>IF(G8833="","",G8833-I8833)</f>
        <v/>
      </c>
      <c r="I8833" s="8">
        <f>IF(D8833="","",VLOOKUP(D8833, RECETTES!B:G, 6, FALSE)*E8833)</f>
        <v/>
      </c>
      <c r="J8833" s="8">
        <f>IF(G8833="","",G8833*0.20)</f>
        <v/>
      </c>
      <c r="K8833" s="8">
        <f>IF(G8833="","",G8833+J8833)</f>
        <v/>
      </c>
    </row>
    <row r="8834">
      <c r="F8834" s="8" t="n"/>
      <c r="G8834" s="8">
        <f>IF(E8834="","",E8834*F8834)</f>
        <v/>
      </c>
      <c r="H8834" s="8">
        <f>IF(G8834="","",G8834-I8834)</f>
        <v/>
      </c>
      <c r="I8834" s="8">
        <f>IF(D8834="","",VLOOKUP(D8834, RECETTES!B:G, 6, FALSE)*E8834)</f>
        <v/>
      </c>
      <c r="J8834" s="8">
        <f>IF(G8834="","",G8834*0.20)</f>
        <v/>
      </c>
      <c r="K8834" s="8">
        <f>IF(G8834="","",G8834+J8834)</f>
        <v/>
      </c>
    </row>
    <row r="8835">
      <c r="F8835" s="8" t="n"/>
      <c r="G8835" s="8">
        <f>IF(E8835="","",E8835*F8835)</f>
        <v/>
      </c>
      <c r="H8835" s="8">
        <f>IF(G8835="","",G8835-I8835)</f>
        <v/>
      </c>
      <c r="I8835" s="8">
        <f>IF(D8835="","",VLOOKUP(D8835, RECETTES!B:G, 6, FALSE)*E8835)</f>
        <v/>
      </c>
      <c r="J8835" s="8">
        <f>IF(G8835="","",G8835*0.20)</f>
        <v/>
      </c>
      <c r="K8835" s="8">
        <f>IF(G8835="","",G8835+J8835)</f>
        <v/>
      </c>
    </row>
    <row r="8836">
      <c r="F8836" s="8" t="n"/>
      <c r="G8836" s="8">
        <f>IF(E8836="","",E8836*F8836)</f>
        <v/>
      </c>
      <c r="H8836" s="8">
        <f>IF(G8836="","",G8836-I8836)</f>
        <v/>
      </c>
      <c r="I8836" s="8">
        <f>IF(D8836="","",VLOOKUP(D8836, RECETTES!B:G, 6, FALSE)*E8836)</f>
        <v/>
      </c>
      <c r="J8836" s="8">
        <f>IF(G8836="","",G8836*0.20)</f>
        <v/>
      </c>
      <c r="K8836" s="8">
        <f>IF(G8836="","",G8836+J8836)</f>
        <v/>
      </c>
    </row>
    <row r="8837">
      <c r="F8837" s="8" t="n"/>
      <c r="G8837" s="8">
        <f>IF(E8837="","",E8837*F8837)</f>
        <v/>
      </c>
      <c r="H8837" s="8">
        <f>IF(G8837="","",G8837-I8837)</f>
        <v/>
      </c>
      <c r="I8837" s="8">
        <f>IF(D8837="","",VLOOKUP(D8837, RECETTES!B:G, 6, FALSE)*E8837)</f>
        <v/>
      </c>
      <c r="J8837" s="8">
        <f>IF(G8837="","",G8837*0.20)</f>
        <v/>
      </c>
      <c r="K8837" s="8">
        <f>IF(G8837="","",G8837+J8837)</f>
        <v/>
      </c>
    </row>
    <row r="8838">
      <c r="F8838" s="8" t="n"/>
      <c r="G8838" s="8">
        <f>IF(E8838="","",E8838*F8838)</f>
        <v/>
      </c>
      <c r="H8838" s="8">
        <f>IF(G8838="","",G8838-I8838)</f>
        <v/>
      </c>
      <c r="I8838" s="8">
        <f>IF(D8838="","",VLOOKUP(D8838, RECETTES!B:G, 6, FALSE)*E8838)</f>
        <v/>
      </c>
      <c r="J8838" s="8">
        <f>IF(G8838="","",G8838*0.20)</f>
        <v/>
      </c>
      <c r="K8838" s="8">
        <f>IF(G8838="","",G8838+J8838)</f>
        <v/>
      </c>
    </row>
    <row r="8839">
      <c r="F8839" s="8" t="n"/>
      <c r="G8839" s="8">
        <f>IF(E8839="","",E8839*F8839)</f>
        <v/>
      </c>
      <c r="H8839" s="8">
        <f>IF(G8839="","",G8839-I8839)</f>
        <v/>
      </c>
      <c r="I8839" s="8">
        <f>IF(D8839="","",VLOOKUP(D8839, RECETTES!B:G, 6, FALSE)*E8839)</f>
        <v/>
      </c>
      <c r="J8839" s="8">
        <f>IF(G8839="","",G8839*0.20)</f>
        <v/>
      </c>
      <c r="K8839" s="8">
        <f>IF(G8839="","",G8839+J8839)</f>
        <v/>
      </c>
    </row>
    <row r="8840">
      <c r="F8840" s="8" t="n"/>
      <c r="G8840" s="8">
        <f>IF(E8840="","",E8840*F8840)</f>
        <v/>
      </c>
      <c r="H8840" s="8">
        <f>IF(G8840="","",G8840-I8840)</f>
        <v/>
      </c>
      <c r="I8840" s="8">
        <f>IF(D8840="","",VLOOKUP(D8840, RECETTES!B:G, 6, FALSE)*E8840)</f>
        <v/>
      </c>
      <c r="J8840" s="8">
        <f>IF(G8840="","",G8840*0.20)</f>
        <v/>
      </c>
      <c r="K8840" s="8">
        <f>IF(G8840="","",G8840+J8840)</f>
        <v/>
      </c>
    </row>
    <row r="8841">
      <c r="F8841" s="8" t="n"/>
      <c r="G8841" s="8">
        <f>IF(E8841="","",E8841*F8841)</f>
        <v/>
      </c>
      <c r="H8841" s="8">
        <f>IF(G8841="","",G8841-I8841)</f>
        <v/>
      </c>
      <c r="I8841" s="8">
        <f>IF(D8841="","",VLOOKUP(D8841, RECETTES!B:G, 6, FALSE)*E8841)</f>
        <v/>
      </c>
      <c r="J8841" s="8">
        <f>IF(G8841="","",G8841*0.20)</f>
        <v/>
      </c>
      <c r="K8841" s="8">
        <f>IF(G8841="","",G8841+J8841)</f>
        <v/>
      </c>
    </row>
    <row r="8842">
      <c r="F8842" s="8" t="n"/>
      <c r="G8842" s="8">
        <f>IF(E8842="","",E8842*F8842)</f>
        <v/>
      </c>
      <c r="H8842" s="8">
        <f>IF(G8842="","",G8842-I8842)</f>
        <v/>
      </c>
      <c r="I8842" s="8">
        <f>IF(D8842="","",VLOOKUP(D8842, RECETTES!B:G, 6, FALSE)*E8842)</f>
        <v/>
      </c>
      <c r="J8842" s="8">
        <f>IF(G8842="","",G8842*0.20)</f>
        <v/>
      </c>
      <c r="K8842" s="8">
        <f>IF(G8842="","",G8842+J8842)</f>
        <v/>
      </c>
    </row>
    <row r="8843">
      <c r="F8843" s="8" t="n"/>
      <c r="G8843" s="8">
        <f>IF(E8843="","",E8843*F8843)</f>
        <v/>
      </c>
      <c r="H8843" s="8">
        <f>IF(G8843="","",G8843-I8843)</f>
        <v/>
      </c>
      <c r="I8843" s="8">
        <f>IF(D8843="","",VLOOKUP(D8843, RECETTES!B:G, 6, FALSE)*E8843)</f>
        <v/>
      </c>
      <c r="J8843" s="8">
        <f>IF(G8843="","",G8843*0.20)</f>
        <v/>
      </c>
      <c r="K8843" s="8">
        <f>IF(G8843="","",G8843+J8843)</f>
        <v/>
      </c>
    </row>
    <row r="8844">
      <c r="F8844" s="8" t="n"/>
      <c r="G8844" s="8">
        <f>IF(E8844="","",E8844*F8844)</f>
        <v/>
      </c>
      <c r="H8844" s="8">
        <f>IF(G8844="","",G8844-I8844)</f>
        <v/>
      </c>
      <c r="I8844" s="8">
        <f>IF(D8844="","",VLOOKUP(D8844, RECETTES!B:G, 6, FALSE)*E8844)</f>
        <v/>
      </c>
      <c r="J8844" s="8">
        <f>IF(G8844="","",G8844*0.20)</f>
        <v/>
      </c>
      <c r="K8844" s="8">
        <f>IF(G8844="","",G8844+J8844)</f>
        <v/>
      </c>
    </row>
    <row r="8845">
      <c r="F8845" s="8" t="n"/>
      <c r="G8845" s="8">
        <f>IF(E8845="","",E8845*F8845)</f>
        <v/>
      </c>
      <c r="H8845" s="8">
        <f>IF(G8845="","",G8845-I8845)</f>
        <v/>
      </c>
      <c r="I8845" s="8">
        <f>IF(D8845="","",VLOOKUP(D8845, RECETTES!B:G, 6, FALSE)*E8845)</f>
        <v/>
      </c>
      <c r="J8845" s="8">
        <f>IF(G8845="","",G8845*0.20)</f>
        <v/>
      </c>
      <c r="K8845" s="8">
        <f>IF(G8845="","",G8845+J8845)</f>
        <v/>
      </c>
    </row>
    <row r="8846">
      <c r="F8846" s="8" t="n"/>
      <c r="G8846" s="8">
        <f>IF(E8846="","",E8846*F8846)</f>
        <v/>
      </c>
      <c r="H8846" s="8">
        <f>IF(G8846="","",G8846-I8846)</f>
        <v/>
      </c>
      <c r="I8846" s="8">
        <f>IF(D8846="","",VLOOKUP(D8846, RECETTES!B:G, 6, FALSE)*E8846)</f>
        <v/>
      </c>
      <c r="J8846" s="8">
        <f>IF(G8846="","",G8846*0.20)</f>
        <v/>
      </c>
      <c r="K8846" s="8">
        <f>IF(G8846="","",G8846+J8846)</f>
        <v/>
      </c>
    </row>
    <row r="8847">
      <c r="F8847" s="8" t="n"/>
      <c r="G8847" s="8">
        <f>IF(E8847="","",E8847*F8847)</f>
        <v/>
      </c>
      <c r="H8847" s="8">
        <f>IF(G8847="","",G8847-I8847)</f>
        <v/>
      </c>
      <c r="I8847" s="8">
        <f>IF(D8847="","",VLOOKUP(D8847, RECETTES!B:G, 6, FALSE)*E8847)</f>
        <v/>
      </c>
      <c r="J8847" s="8">
        <f>IF(G8847="","",G8847*0.20)</f>
        <v/>
      </c>
      <c r="K8847" s="8">
        <f>IF(G8847="","",G8847+J8847)</f>
        <v/>
      </c>
    </row>
    <row r="8848">
      <c r="F8848" s="8" t="n"/>
      <c r="G8848" s="8">
        <f>IF(E8848="","",E8848*F8848)</f>
        <v/>
      </c>
      <c r="H8848" s="8">
        <f>IF(G8848="","",G8848-I8848)</f>
        <v/>
      </c>
      <c r="I8848" s="8">
        <f>IF(D8848="","",VLOOKUP(D8848, RECETTES!B:G, 6, FALSE)*E8848)</f>
        <v/>
      </c>
      <c r="J8848" s="8">
        <f>IF(G8848="","",G8848*0.20)</f>
        <v/>
      </c>
      <c r="K8848" s="8">
        <f>IF(G8848="","",G8848+J8848)</f>
        <v/>
      </c>
    </row>
    <row r="8849">
      <c r="F8849" s="8" t="n"/>
      <c r="G8849" s="8">
        <f>IF(E8849="","",E8849*F8849)</f>
        <v/>
      </c>
      <c r="H8849" s="8">
        <f>IF(G8849="","",G8849-I8849)</f>
        <v/>
      </c>
      <c r="I8849" s="8">
        <f>IF(D8849="","",VLOOKUP(D8849, RECETTES!B:G, 6, FALSE)*E8849)</f>
        <v/>
      </c>
      <c r="J8849" s="8">
        <f>IF(G8849="","",G8849*0.20)</f>
        <v/>
      </c>
      <c r="K8849" s="8">
        <f>IF(G8849="","",G8849+J8849)</f>
        <v/>
      </c>
    </row>
    <row r="8850">
      <c r="F8850" s="8" t="n"/>
      <c r="G8850" s="8">
        <f>IF(E8850="","",E8850*F8850)</f>
        <v/>
      </c>
      <c r="H8850" s="8">
        <f>IF(G8850="","",G8850-I8850)</f>
        <v/>
      </c>
      <c r="I8850" s="8">
        <f>IF(D8850="","",VLOOKUP(D8850, RECETTES!B:G, 6, FALSE)*E8850)</f>
        <v/>
      </c>
      <c r="J8850" s="8">
        <f>IF(G8850="","",G8850*0.20)</f>
        <v/>
      </c>
      <c r="K8850" s="8">
        <f>IF(G8850="","",G8850+J8850)</f>
        <v/>
      </c>
    </row>
    <row r="8851">
      <c r="F8851" s="8" t="n"/>
      <c r="G8851" s="8">
        <f>IF(E8851="","",E8851*F8851)</f>
        <v/>
      </c>
      <c r="H8851" s="8">
        <f>IF(G8851="","",G8851-I8851)</f>
        <v/>
      </c>
      <c r="I8851" s="8">
        <f>IF(D8851="","",VLOOKUP(D8851, RECETTES!B:G, 6, FALSE)*E8851)</f>
        <v/>
      </c>
      <c r="J8851" s="8">
        <f>IF(G8851="","",G8851*0.20)</f>
        <v/>
      </c>
      <c r="K8851" s="8">
        <f>IF(G8851="","",G8851+J8851)</f>
        <v/>
      </c>
    </row>
    <row r="8852">
      <c r="F8852" s="8" t="n"/>
      <c r="G8852" s="8">
        <f>IF(E8852="","",E8852*F8852)</f>
        <v/>
      </c>
      <c r="H8852" s="8">
        <f>IF(G8852="","",G8852-I8852)</f>
        <v/>
      </c>
      <c r="I8852" s="8">
        <f>IF(D8852="","",VLOOKUP(D8852, RECETTES!B:G, 6, FALSE)*E8852)</f>
        <v/>
      </c>
      <c r="J8852" s="8">
        <f>IF(G8852="","",G8852*0.20)</f>
        <v/>
      </c>
      <c r="K8852" s="8">
        <f>IF(G8852="","",G8852+J8852)</f>
        <v/>
      </c>
    </row>
    <row r="8853">
      <c r="F8853" s="8" t="n"/>
      <c r="G8853" s="8">
        <f>IF(E8853="","",E8853*F8853)</f>
        <v/>
      </c>
      <c r="H8853" s="8">
        <f>IF(G8853="","",G8853-I8853)</f>
        <v/>
      </c>
      <c r="I8853" s="8">
        <f>IF(D8853="","",VLOOKUP(D8853, RECETTES!B:G, 6, FALSE)*E8853)</f>
        <v/>
      </c>
      <c r="J8853" s="8">
        <f>IF(G8853="","",G8853*0.20)</f>
        <v/>
      </c>
      <c r="K8853" s="8">
        <f>IF(G8853="","",G8853+J8853)</f>
        <v/>
      </c>
    </row>
    <row r="8854">
      <c r="F8854" s="8" t="n"/>
      <c r="G8854" s="8">
        <f>IF(E8854="","",E8854*F8854)</f>
        <v/>
      </c>
      <c r="H8854" s="8">
        <f>IF(G8854="","",G8854-I8854)</f>
        <v/>
      </c>
      <c r="I8854" s="8">
        <f>IF(D8854="","",VLOOKUP(D8854, RECETTES!B:G, 6, FALSE)*E8854)</f>
        <v/>
      </c>
      <c r="J8854" s="8">
        <f>IF(G8854="","",G8854*0.20)</f>
        <v/>
      </c>
      <c r="K8854" s="8">
        <f>IF(G8854="","",G8854+J8854)</f>
        <v/>
      </c>
    </row>
    <row r="8855">
      <c r="F8855" s="8" t="n"/>
      <c r="G8855" s="8">
        <f>IF(E8855="","",E8855*F8855)</f>
        <v/>
      </c>
      <c r="H8855" s="8">
        <f>IF(G8855="","",G8855-I8855)</f>
        <v/>
      </c>
      <c r="I8855" s="8">
        <f>IF(D8855="","",VLOOKUP(D8855, RECETTES!B:G, 6, FALSE)*E8855)</f>
        <v/>
      </c>
      <c r="J8855" s="8">
        <f>IF(G8855="","",G8855*0.20)</f>
        <v/>
      </c>
      <c r="K8855" s="8">
        <f>IF(G8855="","",G8855+J8855)</f>
        <v/>
      </c>
    </row>
    <row r="8856">
      <c r="F8856" s="8" t="n"/>
      <c r="G8856" s="8">
        <f>IF(E8856="","",E8856*F8856)</f>
        <v/>
      </c>
      <c r="H8856" s="8">
        <f>IF(G8856="","",G8856-I8856)</f>
        <v/>
      </c>
      <c r="I8856" s="8">
        <f>IF(D8856="","",VLOOKUP(D8856, RECETTES!B:G, 6, FALSE)*E8856)</f>
        <v/>
      </c>
      <c r="J8856" s="8">
        <f>IF(G8856="","",G8856*0.20)</f>
        <v/>
      </c>
      <c r="K8856" s="8">
        <f>IF(G8856="","",G8856+J8856)</f>
        <v/>
      </c>
    </row>
    <row r="8857">
      <c r="F8857" s="8" t="n"/>
      <c r="G8857" s="8">
        <f>IF(E8857="","",E8857*F8857)</f>
        <v/>
      </c>
      <c r="H8857" s="8">
        <f>IF(G8857="","",G8857-I8857)</f>
        <v/>
      </c>
      <c r="I8857" s="8">
        <f>IF(D8857="","",VLOOKUP(D8857, RECETTES!B:G, 6, FALSE)*E8857)</f>
        <v/>
      </c>
      <c r="J8857" s="8">
        <f>IF(G8857="","",G8857*0.20)</f>
        <v/>
      </c>
      <c r="K8857" s="8">
        <f>IF(G8857="","",G8857+J8857)</f>
        <v/>
      </c>
    </row>
    <row r="8858">
      <c r="F8858" s="8" t="n"/>
      <c r="G8858" s="8">
        <f>IF(E8858="","",E8858*F8858)</f>
        <v/>
      </c>
      <c r="H8858" s="8">
        <f>IF(G8858="","",G8858-I8858)</f>
        <v/>
      </c>
      <c r="I8858" s="8">
        <f>IF(D8858="","",VLOOKUP(D8858, RECETTES!B:G, 6, FALSE)*E8858)</f>
        <v/>
      </c>
      <c r="J8858" s="8">
        <f>IF(G8858="","",G8858*0.20)</f>
        <v/>
      </c>
      <c r="K8858" s="8">
        <f>IF(G8858="","",G8858+J8858)</f>
        <v/>
      </c>
    </row>
    <row r="8859">
      <c r="F8859" s="8" t="n"/>
      <c r="G8859" s="8">
        <f>IF(E8859="","",E8859*F8859)</f>
        <v/>
      </c>
      <c r="H8859" s="8">
        <f>IF(G8859="","",G8859-I8859)</f>
        <v/>
      </c>
      <c r="I8859" s="8">
        <f>IF(D8859="","",VLOOKUP(D8859, RECETTES!B:G, 6, FALSE)*E8859)</f>
        <v/>
      </c>
      <c r="J8859" s="8">
        <f>IF(G8859="","",G8859*0.20)</f>
        <v/>
      </c>
      <c r="K8859" s="8">
        <f>IF(G8859="","",G8859+J8859)</f>
        <v/>
      </c>
    </row>
    <row r="8860">
      <c r="F8860" s="8" t="n"/>
      <c r="G8860" s="8">
        <f>IF(E8860="","",E8860*F8860)</f>
        <v/>
      </c>
      <c r="H8860" s="8">
        <f>IF(G8860="","",G8860-I8860)</f>
        <v/>
      </c>
      <c r="I8860" s="8">
        <f>IF(D8860="","",VLOOKUP(D8860, RECETTES!B:G, 6, FALSE)*E8860)</f>
        <v/>
      </c>
      <c r="J8860" s="8">
        <f>IF(G8860="","",G8860*0.20)</f>
        <v/>
      </c>
      <c r="K8860" s="8">
        <f>IF(G8860="","",G8860+J8860)</f>
        <v/>
      </c>
    </row>
    <row r="8861">
      <c r="F8861" s="8" t="n"/>
      <c r="G8861" s="8">
        <f>IF(E8861="","",E8861*F8861)</f>
        <v/>
      </c>
      <c r="H8861" s="8">
        <f>IF(G8861="","",G8861-I8861)</f>
        <v/>
      </c>
      <c r="I8861" s="8">
        <f>IF(D8861="","",VLOOKUP(D8861, RECETTES!B:G, 6, FALSE)*E8861)</f>
        <v/>
      </c>
      <c r="J8861" s="8">
        <f>IF(G8861="","",G8861*0.20)</f>
        <v/>
      </c>
      <c r="K8861" s="8">
        <f>IF(G8861="","",G8861+J8861)</f>
        <v/>
      </c>
    </row>
    <row r="8862">
      <c r="F8862" s="8" t="n"/>
      <c r="G8862" s="8">
        <f>IF(E8862="","",E8862*F8862)</f>
        <v/>
      </c>
      <c r="H8862" s="8">
        <f>IF(G8862="","",G8862-I8862)</f>
        <v/>
      </c>
      <c r="I8862" s="8">
        <f>IF(D8862="","",VLOOKUP(D8862, RECETTES!B:G, 6, FALSE)*E8862)</f>
        <v/>
      </c>
      <c r="J8862" s="8">
        <f>IF(G8862="","",G8862*0.20)</f>
        <v/>
      </c>
      <c r="K8862" s="8">
        <f>IF(G8862="","",G8862+J8862)</f>
        <v/>
      </c>
    </row>
    <row r="8863">
      <c r="F8863" s="8" t="n"/>
      <c r="G8863" s="8">
        <f>IF(E8863="","",E8863*F8863)</f>
        <v/>
      </c>
      <c r="H8863" s="8">
        <f>IF(G8863="","",G8863-I8863)</f>
        <v/>
      </c>
      <c r="I8863" s="8">
        <f>IF(D8863="","",VLOOKUP(D8863, RECETTES!B:G, 6, FALSE)*E8863)</f>
        <v/>
      </c>
      <c r="J8863" s="8">
        <f>IF(G8863="","",G8863*0.20)</f>
        <v/>
      </c>
      <c r="K8863" s="8">
        <f>IF(G8863="","",G8863+J8863)</f>
        <v/>
      </c>
    </row>
    <row r="8864">
      <c r="F8864" s="8" t="n"/>
      <c r="G8864" s="8">
        <f>IF(E8864="","",E8864*F8864)</f>
        <v/>
      </c>
      <c r="H8864" s="8">
        <f>IF(G8864="","",G8864-I8864)</f>
        <v/>
      </c>
      <c r="I8864" s="8">
        <f>IF(D8864="","",VLOOKUP(D8864, RECETTES!B:G, 6, FALSE)*E8864)</f>
        <v/>
      </c>
      <c r="J8864" s="8">
        <f>IF(G8864="","",G8864*0.20)</f>
        <v/>
      </c>
      <c r="K8864" s="8">
        <f>IF(G8864="","",G8864+J8864)</f>
        <v/>
      </c>
    </row>
    <row r="8865">
      <c r="F8865" s="8" t="n"/>
      <c r="G8865" s="8">
        <f>IF(E8865="","",E8865*F8865)</f>
        <v/>
      </c>
      <c r="H8865" s="8">
        <f>IF(G8865="","",G8865-I8865)</f>
        <v/>
      </c>
      <c r="I8865" s="8">
        <f>IF(D8865="","",VLOOKUP(D8865, RECETTES!B:G, 6, FALSE)*E8865)</f>
        <v/>
      </c>
      <c r="J8865" s="8">
        <f>IF(G8865="","",G8865*0.20)</f>
        <v/>
      </c>
      <c r="K8865" s="8">
        <f>IF(G8865="","",G8865+J8865)</f>
        <v/>
      </c>
    </row>
    <row r="8866">
      <c r="F8866" s="8" t="n"/>
      <c r="G8866" s="8">
        <f>IF(E8866="","",E8866*F8866)</f>
        <v/>
      </c>
      <c r="H8866" s="8">
        <f>IF(G8866="","",G8866-I8866)</f>
        <v/>
      </c>
      <c r="I8866" s="8">
        <f>IF(D8866="","",VLOOKUP(D8866, RECETTES!B:G, 6, FALSE)*E8866)</f>
        <v/>
      </c>
      <c r="J8866" s="8">
        <f>IF(G8866="","",G8866*0.20)</f>
        <v/>
      </c>
      <c r="K8866" s="8">
        <f>IF(G8866="","",G8866+J8866)</f>
        <v/>
      </c>
    </row>
    <row r="8867">
      <c r="F8867" s="8" t="n"/>
      <c r="G8867" s="8">
        <f>IF(E8867="","",E8867*F8867)</f>
        <v/>
      </c>
      <c r="H8867" s="8">
        <f>IF(G8867="","",G8867-I8867)</f>
        <v/>
      </c>
      <c r="I8867" s="8">
        <f>IF(D8867="","",VLOOKUP(D8867, RECETTES!B:G, 6, FALSE)*E8867)</f>
        <v/>
      </c>
      <c r="J8867" s="8">
        <f>IF(G8867="","",G8867*0.20)</f>
        <v/>
      </c>
      <c r="K8867" s="8">
        <f>IF(G8867="","",G8867+J8867)</f>
        <v/>
      </c>
    </row>
    <row r="8868">
      <c r="F8868" s="8" t="n"/>
      <c r="G8868" s="8">
        <f>IF(E8868="","",E8868*F8868)</f>
        <v/>
      </c>
      <c r="H8868" s="8">
        <f>IF(G8868="","",G8868-I8868)</f>
        <v/>
      </c>
      <c r="I8868" s="8">
        <f>IF(D8868="","",VLOOKUP(D8868, RECETTES!B:G, 6, FALSE)*E8868)</f>
        <v/>
      </c>
      <c r="J8868" s="8">
        <f>IF(G8868="","",G8868*0.20)</f>
        <v/>
      </c>
      <c r="K8868" s="8">
        <f>IF(G8868="","",G8868+J8868)</f>
        <v/>
      </c>
    </row>
    <row r="8869">
      <c r="F8869" s="8" t="n"/>
      <c r="G8869" s="8">
        <f>IF(E8869="","",E8869*F8869)</f>
        <v/>
      </c>
      <c r="H8869" s="8">
        <f>IF(G8869="","",G8869-I8869)</f>
        <v/>
      </c>
      <c r="I8869" s="8">
        <f>IF(D8869="","",VLOOKUP(D8869, RECETTES!B:G, 6, FALSE)*E8869)</f>
        <v/>
      </c>
      <c r="J8869" s="8">
        <f>IF(G8869="","",G8869*0.20)</f>
        <v/>
      </c>
      <c r="K8869" s="8">
        <f>IF(G8869="","",G8869+J8869)</f>
        <v/>
      </c>
    </row>
    <row r="8870">
      <c r="F8870" s="8" t="n"/>
      <c r="G8870" s="8">
        <f>IF(E8870="","",E8870*F8870)</f>
        <v/>
      </c>
      <c r="H8870" s="8">
        <f>IF(G8870="","",G8870-I8870)</f>
        <v/>
      </c>
      <c r="I8870" s="8">
        <f>IF(D8870="","",VLOOKUP(D8870, RECETTES!B:G, 6, FALSE)*E8870)</f>
        <v/>
      </c>
      <c r="J8870" s="8">
        <f>IF(G8870="","",G8870*0.20)</f>
        <v/>
      </c>
      <c r="K8870" s="8">
        <f>IF(G8870="","",G8870+J8870)</f>
        <v/>
      </c>
    </row>
    <row r="8871">
      <c r="F8871" s="8" t="n"/>
      <c r="G8871" s="8">
        <f>IF(E8871="","",E8871*F8871)</f>
        <v/>
      </c>
      <c r="H8871" s="8">
        <f>IF(G8871="","",G8871-I8871)</f>
        <v/>
      </c>
      <c r="I8871" s="8">
        <f>IF(D8871="","",VLOOKUP(D8871, RECETTES!B:G, 6, FALSE)*E8871)</f>
        <v/>
      </c>
      <c r="J8871" s="8">
        <f>IF(G8871="","",G8871*0.20)</f>
        <v/>
      </c>
      <c r="K8871" s="8">
        <f>IF(G8871="","",G8871+J8871)</f>
        <v/>
      </c>
    </row>
    <row r="8872">
      <c r="F8872" s="8" t="n"/>
      <c r="G8872" s="8">
        <f>IF(E8872="","",E8872*F8872)</f>
        <v/>
      </c>
      <c r="H8872" s="8">
        <f>IF(G8872="","",G8872-I8872)</f>
        <v/>
      </c>
      <c r="I8872" s="8">
        <f>IF(D8872="","",VLOOKUP(D8872, RECETTES!B:G, 6, FALSE)*E8872)</f>
        <v/>
      </c>
      <c r="J8872" s="8">
        <f>IF(G8872="","",G8872*0.20)</f>
        <v/>
      </c>
      <c r="K8872" s="8">
        <f>IF(G8872="","",G8872+J8872)</f>
        <v/>
      </c>
    </row>
    <row r="8873">
      <c r="F8873" s="8" t="n"/>
      <c r="G8873" s="8">
        <f>IF(E8873="","",E8873*F8873)</f>
        <v/>
      </c>
      <c r="H8873" s="8">
        <f>IF(G8873="","",G8873-I8873)</f>
        <v/>
      </c>
      <c r="I8873" s="8">
        <f>IF(D8873="","",VLOOKUP(D8873, RECETTES!B:G, 6, FALSE)*E8873)</f>
        <v/>
      </c>
      <c r="J8873" s="8">
        <f>IF(G8873="","",G8873*0.20)</f>
        <v/>
      </c>
      <c r="K8873" s="8">
        <f>IF(G8873="","",G8873+J8873)</f>
        <v/>
      </c>
    </row>
    <row r="8874">
      <c r="F8874" s="8" t="n"/>
      <c r="G8874" s="8">
        <f>IF(E8874="","",E8874*F8874)</f>
        <v/>
      </c>
      <c r="H8874" s="8">
        <f>IF(G8874="","",G8874-I8874)</f>
        <v/>
      </c>
      <c r="I8874" s="8">
        <f>IF(D8874="","",VLOOKUP(D8874, RECETTES!B:G, 6, FALSE)*E8874)</f>
        <v/>
      </c>
      <c r="J8874" s="8">
        <f>IF(G8874="","",G8874*0.20)</f>
        <v/>
      </c>
      <c r="K8874" s="8">
        <f>IF(G8874="","",G8874+J8874)</f>
        <v/>
      </c>
    </row>
    <row r="8875">
      <c r="F8875" s="8" t="n"/>
      <c r="G8875" s="8">
        <f>IF(E8875="","",E8875*F8875)</f>
        <v/>
      </c>
      <c r="H8875" s="8">
        <f>IF(G8875="","",G8875-I8875)</f>
        <v/>
      </c>
      <c r="I8875" s="8">
        <f>IF(D8875="","",VLOOKUP(D8875, RECETTES!B:G, 6, FALSE)*E8875)</f>
        <v/>
      </c>
      <c r="J8875" s="8">
        <f>IF(G8875="","",G8875*0.20)</f>
        <v/>
      </c>
      <c r="K8875" s="8">
        <f>IF(G8875="","",G8875+J8875)</f>
        <v/>
      </c>
    </row>
    <row r="8876">
      <c r="F8876" s="8" t="n"/>
      <c r="G8876" s="8">
        <f>IF(E8876="","",E8876*F8876)</f>
        <v/>
      </c>
      <c r="H8876" s="8">
        <f>IF(G8876="","",G8876-I8876)</f>
        <v/>
      </c>
      <c r="I8876" s="8">
        <f>IF(D8876="","",VLOOKUP(D8876, RECETTES!B:G, 6, FALSE)*E8876)</f>
        <v/>
      </c>
      <c r="J8876" s="8">
        <f>IF(G8876="","",G8876*0.20)</f>
        <v/>
      </c>
      <c r="K8876" s="8">
        <f>IF(G8876="","",G8876+J8876)</f>
        <v/>
      </c>
    </row>
    <row r="8877">
      <c r="F8877" s="8" t="n"/>
      <c r="G8877" s="8">
        <f>IF(E8877="","",E8877*F8877)</f>
        <v/>
      </c>
      <c r="H8877" s="8">
        <f>IF(G8877="","",G8877-I8877)</f>
        <v/>
      </c>
      <c r="I8877" s="8">
        <f>IF(D8877="","",VLOOKUP(D8877, RECETTES!B:G, 6, FALSE)*E8877)</f>
        <v/>
      </c>
      <c r="J8877" s="8">
        <f>IF(G8877="","",G8877*0.20)</f>
        <v/>
      </c>
      <c r="K8877" s="8">
        <f>IF(G8877="","",G8877+J8877)</f>
        <v/>
      </c>
    </row>
    <row r="8878">
      <c r="F8878" s="8" t="n"/>
      <c r="G8878" s="8">
        <f>IF(E8878="","",E8878*F8878)</f>
        <v/>
      </c>
      <c r="H8878" s="8">
        <f>IF(G8878="","",G8878-I8878)</f>
        <v/>
      </c>
      <c r="I8878" s="8">
        <f>IF(D8878="","",VLOOKUP(D8878, RECETTES!B:G, 6, FALSE)*E8878)</f>
        <v/>
      </c>
      <c r="J8878" s="8">
        <f>IF(G8878="","",G8878*0.20)</f>
        <v/>
      </c>
      <c r="K8878" s="8">
        <f>IF(G8878="","",G8878+J8878)</f>
        <v/>
      </c>
    </row>
    <row r="8879">
      <c r="F8879" s="8" t="n"/>
      <c r="G8879" s="8">
        <f>IF(E8879="","",E8879*F8879)</f>
        <v/>
      </c>
      <c r="H8879" s="8">
        <f>IF(G8879="","",G8879-I8879)</f>
        <v/>
      </c>
      <c r="I8879" s="8">
        <f>IF(D8879="","",VLOOKUP(D8879, RECETTES!B:G, 6, FALSE)*E8879)</f>
        <v/>
      </c>
      <c r="J8879" s="8">
        <f>IF(G8879="","",G8879*0.20)</f>
        <v/>
      </c>
      <c r="K8879" s="8">
        <f>IF(G8879="","",G8879+J8879)</f>
        <v/>
      </c>
    </row>
    <row r="8880">
      <c r="F8880" s="8" t="n"/>
      <c r="G8880" s="8">
        <f>IF(E8880="","",E8880*F8880)</f>
        <v/>
      </c>
      <c r="H8880" s="8">
        <f>IF(G8880="","",G8880-I8880)</f>
        <v/>
      </c>
      <c r="I8880" s="8">
        <f>IF(D8880="","",VLOOKUP(D8880, RECETTES!B:G, 6, FALSE)*E8880)</f>
        <v/>
      </c>
      <c r="J8880" s="8">
        <f>IF(G8880="","",G8880*0.20)</f>
        <v/>
      </c>
      <c r="K8880" s="8">
        <f>IF(G8880="","",G8880+J8880)</f>
        <v/>
      </c>
    </row>
    <row r="8881">
      <c r="F8881" s="8" t="n"/>
      <c r="G8881" s="8">
        <f>IF(E8881="","",E8881*F8881)</f>
        <v/>
      </c>
      <c r="H8881" s="8">
        <f>IF(G8881="","",G8881-I8881)</f>
        <v/>
      </c>
      <c r="I8881" s="8">
        <f>IF(D8881="","",VLOOKUP(D8881, RECETTES!B:G, 6, FALSE)*E8881)</f>
        <v/>
      </c>
      <c r="J8881" s="8">
        <f>IF(G8881="","",G8881*0.20)</f>
        <v/>
      </c>
      <c r="K8881" s="8">
        <f>IF(G8881="","",G8881+J8881)</f>
        <v/>
      </c>
    </row>
    <row r="8882">
      <c r="F8882" s="8" t="n"/>
      <c r="G8882" s="8">
        <f>IF(E8882="","",E8882*F8882)</f>
        <v/>
      </c>
      <c r="H8882" s="8">
        <f>IF(G8882="","",G8882-I8882)</f>
        <v/>
      </c>
      <c r="I8882" s="8">
        <f>IF(D8882="","",VLOOKUP(D8882, RECETTES!B:G, 6, FALSE)*E8882)</f>
        <v/>
      </c>
      <c r="J8882" s="8">
        <f>IF(G8882="","",G8882*0.20)</f>
        <v/>
      </c>
      <c r="K8882" s="8">
        <f>IF(G8882="","",G8882+J8882)</f>
        <v/>
      </c>
    </row>
    <row r="8883">
      <c r="F8883" s="8" t="n"/>
      <c r="G8883" s="8">
        <f>IF(E8883="","",E8883*F8883)</f>
        <v/>
      </c>
      <c r="H8883" s="8">
        <f>IF(G8883="","",G8883-I8883)</f>
        <v/>
      </c>
      <c r="I8883" s="8">
        <f>IF(D8883="","",VLOOKUP(D8883, RECETTES!B:G, 6, FALSE)*E8883)</f>
        <v/>
      </c>
      <c r="J8883" s="8">
        <f>IF(G8883="","",G8883*0.20)</f>
        <v/>
      </c>
      <c r="K8883" s="8">
        <f>IF(G8883="","",G8883+J8883)</f>
        <v/>
      </c>
    </row>
    <row r="8884">
      <c r="F8884" s="8" t="n"/>
      <c r="G8884" s="8">
        <f>IF(E8884="","",E8884*F8884)</f>
        <v/>
      </c>
      <c r="H8884" s="8">
        <f>IF(G8884="","",G8884-I8884)</f>
        <v/>
      </c>
      <c r="I8884" s="8">
        <f>IF(D8884="","",VLOOKUP(D8884, RECETTES!B:G, 6, FALSE)*E8884)</f>
        <v/>
      </c>
      <c r="J8884" s="8">
        <f>IF(G8884="","",G8884*0.20)</f>
        <v/>
      </c>
      <c r="K8884" s="8">
        <f>IF(G8884="","",G8884+J8884)</f>
        <v/>
      </c>
    </row>
    <row r="8885">
      <c r="F8885" s="8" t="n"/>
      <c r="G8885" s="8">
        <f>IF(E8885="","",E8885*F8885)</f>
        <v/>
      </c>
      <c r="H8885" s="8">
        <f>IF(G8885="","",G8885-I8885)</f>
        <v/>
      </c>
      <c r="I8885" s="8">
        <f>IF(D8885="","",VLOOKUP(D8885, RECETTES!B:G, 6, FALSE)*E8885)</f>
        <v/>
      </c>
      <c r="J8885" s="8">
        <f>IF(G8885="","",G8885*0.20)</f>
        <v/>
      </c>
      <c r="K8885" s="8">
        <f>IF(G8885="","",G8885+J8885)</f>
        <v/>
      </c>
    </row>
    <row r="8886">
      <c r="F8886" s="8" t="n"/>
      <c r="G8886" s="8">
        <f>IF(E8886="","",E8886*F8886)</f>
        <v/>
      </c>
      <c r="H8886" s="8">
        <f>IF(G8886="","",G8886-I8886)</f>
        <v/>
      </c>
      <c r="I8886" s="8">
        <f>IF(D8886="","",VLOOKUP(D8886, RECETTES!B:G, 6, FALSE)*E8886)</f>
        <v/>
      </c>
      <c r="J8886" s="8">
        <f>IF(G8886="","",G8886*0.20)</f>
        <v/>
      </c>
      <c r="K8886" s="8">
        <f>IF(G8886="","",G8886+J8886)</f>
        <v/>
      </c>
    </row>
    <row r="8887">
      <c r="F8887" s="8" t="n"/>
      <c r="G8887" s="8">
        <f>IF(E8887="","",E8887*F8887)</f>
        <v/>
      </c>
      <c r="H8887" s="8">
        <f>IF(G8887="","",G8887-I8887)</f>
        <v/>
      </c>
      <c r="I8887" s="8">
        <f>IF(D8887="","",VLOOKUP(D8887, RECETTES!B:G, 6, FALSE)*E8887)</f>
        <v/>
      </c>
      <c r="J8887" s="8">
        <f>IF(G8887="","",G8887*0.20)</f>
        <v/>
      </c>
      <c r="K8887" s="8">
        <f>IF(G8887="","",G8887+J8887)</f>
        <v/>
      </c>
    </row>
    <row r="8888">
      <c r="F8888" s="8" t="n"/>
      <c r="G8888" s="8">
        <f>IF(E8888="","",E8888*F8888)</f>
        <v/>
      </c>
      <c r="H8888" s="8">
        <f>IF(G8888="","",G8888-I8888)</f>
        <v/>
      </c>
      <c r="I8888" s="8">
        <f>IF(D8888="","",VLOOKUP(D8888, RECETTES!B:G, 6, FALSE)*E8888)</f>
        <v/>
      </c>
      <c r="J8888" s="8">
        <f>IF(G8888="","",G8888*0.20)</f>
        <v/>
      </c>
      <c r="K8888" s="8">
        <f>IF(G8888="","",G8888+J8888)</f>
        <v/>
      </c>
    </row>
    <row r="8889">
      <c r="F8889" s="8" t="n"/>
      <c r="G8889" s="8">
        <f>IF(E8889="","",E8889*F8889)</f>
        <v/>
      </c>
      <c r="H8889" s="8">
        <f>IF(G8889="","",G8889-I8889)</f>
        <v/>
      </c>
      <c r="I8889" s="8">
        <f>IF(D8889="","",VLOOKUP(D8889, RECETTES!B:G, 6, FALSE)*E8889)</f>
        <v/>
      </c>
      <c r="J8889" s="8">
        <f>IF(G8889="","",G8889*0.20)</f>
        <v/>
      </c>
      <c r="K8889" s="8">
        <f>IF(G8889="","",G8889+J8889)</f>
        <v/>
      </c>
    </row>
    <row r="8890">
      <c r="F8890" s="8" t="n"/>
      <c r="G8890" s="8">
        <f>IF(E8890="","",E8890*F8890)</f>
        <v/>
      </c>
      <c r="H8890" s="8">
        <f>IF(G8890="","",G8890-I8890)</f>
        <v/>
      </c>
      <c r="I8890" s="8">
        <f>IF(D8890="","",VLOOKUP(D8890, RECETTES!B:G, 6, FALSE)*E8890)</f>
        <v/>
      </c>
      <c r="J8890" s="8">
        <f>IF(G8890="","",G8890*0.20)</f>
        <v/>
      </c>
      <c r="K8890" s="8">
        <f>IF(G8890="","",G8890+J8890)</f>
        <v/>
      </c>
    </row>
    <row r="8891">
      <c r="F8891" s="8" t="n"/>
      <c r="G8891" s="8">
        <f>IF(E8891="","",E8891*F8891)</f>
        <v/>
      </c>
      <c r="H8891" s="8">
        <f>IF(G8891="","",G8891-I8891)</f>
        <v/>
      </c>
      <c r="I8891" s="8">
        <f>IF(D8891="","",VLOOKUP(D8891, RECETTES!B:G, 6, FALSE)*E8891)</f>
        <v/>
      </c>
      <c r="J8891" s="8">
        <f>IF(G8891="","",G8891*0.20)</f>
        <v/>
      </c>
      <c r="K8891" s="8">
        <f>IF(G8891="","",G8891+J8891)</f>
        <v/>
      </c>
    </row>
    <row r="8892">
      <c r="F8892" s="8" t="n"/>
      <c r="G8892" s="8">
        <f>IF(E8892="","",E8892*F8892)</f>
        <v/>
      </c>
      <c r="H8892" s="8">
        <f>IF(G8892="","",G8892-I8892)</f>
        <v/>
      </c>
      <c r="I8892" s="8">
        <f>IF(D8892="","",VLOOKUP(D8892, RECETTES!B:G, 6, FALSE)*E8892)</f>
        <v/>
      </c>
      <c r="J8892" s="8">
        <f>IF(G8892="","",G8892*0.20)</f>
        <v/>
      </c>
      <c r="K8892" s="8">
        <f>IF(G8892="","",G8892+J8892)</f>
        <v/>
      </c>
    </row>
    <row r="8893">
      <c r="F8893" s="8" t="n"/>
      <c r="G8893" s="8">
        <f>IF(E8893="","",E8893*F8893)</f>
        <v/>
      </c>
      <c r="H8893" s="8">
        <f>IF(G8893="","",G8893-I8893)</f>
        <v/>
      </c>
      <c r="I8893" s="8">
        <f>IF(D8893="","",VLOOKUP(D8893, RECETTES!B:G, 6, FALSE)*E8893)</f>
        <v/>
      </c>
      <c r="J8893" s="8">
        <f>IF(G8893="","",G8893*0.20)</f>
        <v/>
      </c>
      <c r="K8893" s="8">
        <f>IF(G8893="","",G8893+J8893)</f>
        <v/>
      </c>
    </row>
    <row r="8894">
      <c r="F8894" s="8" t="n"/>
      <c r="G8894" s="8">
        <f>IF(E8894="","",E8894*F8894)</f>
        <v/>
      </c>
      <c r="H8894" s="8">
        <f>IF(G8894="","",G8894-I8894)</f>
        <v/>
      </c>
      <c r="I8894" s="8">
        <f>IF(D8894="","",VLOOKUP(D8894, RECETTES!B:G, 6, FALSE)*E8894)</f>
        <v/>
      </c>
      <c r="J8894" s="8">
        <f>IF(G8894="","",G8894*0.20)</f>
        <v/>
      </c>
      <c r="K8894" s="8">
        <f>IF(G8894="","",G8894+J8894)</f>
        <v/>
      </c>
    </row>
    <row r="8895">
      <c r="F8895" s="8" t="n"/>
      <c r="G8895" s="8">
        <f>IF(E8895="","",E8895*F8895)</f>
        <v/>
      </c>
      <c r="H8895" s="8">
        <f>IF(G8895="","",G8895-I8895)</f>
        <v/>
      </c>
      <c r="I8895" s="8">
        <f>IF(D8895="","",VLOOKUP(D8895, RECETTES!B:G, 6, FALSE)*E8895)</f>
        <v/>
      </c>
      <c r="J8895" s="8">
        <f>IF(G8895="","",G8895*0.20)</f>
        <v/>
      </c>
      <c r="K8895" s="8">
        <f>IF(G8895="","",G8895+J8895)</f>
        <v/>
      </c>
    </row>
    <row r="8896">
      <c r="F8896" s="8" t="n"/>
      <c r="G8896" s="8">
        <f>IF(E8896="","",E8896*F8896)</f>
        <v/>
      </c>
      <c r="H8896" s="8">
        <f>IF(G8896="","",G8896-I8896)</f>
        <v/>
      </c>
      <c r="I8896" s="8">
        <f>IF(D8896="","",VLOOKUP(D8896, RECETTES!B:G, 6, FALSE)*E8896)</f>
        <v/>
      </c>
      <c r="J8896" s="8">
        <f>IF(G8896="","",G8896*0.20)</f>
        <v/>
      </c>
      <c r="K8896" s="8">
        <f>IF(G8896="","",G8896+J8896)</f>
        <v/>
      </c>
    </row>
    <row r="8897">
      <c r="F8897" s="8" t="n"/>
      <c r="G8897" s="8">
        <f>IF(E8897="","",E8897*F8897)</f>
        <v/>
      </c>
      <c r="H8897" s="8">
        <f>IF(G8897="","",G8897-I8897)</f>
        <v/>
      </c>
      <c r="I8897" s="8">
        <f>IF(D8897="","",VLOOKUP(D8897, RECETTES!B:G, 6, FALSE)*E8897)</f>
        <v/>
      </c>
      <c r="J8897" s="8">
        <f>IF(G8897="","",G8897*0.20)</f>
        <v/>
      </c>
      <c r="K8897" s="8">
        <f>IF(G8897="","",G8897+J8897)</f>
        <v/>
      </c>
    </row>
    <row r="8898">
      <c r="F8898" s="8" t="n"/>
      <c r="G8898" s="8">
        <f>IF(E8898="","",E8898*F8898)</f>
        <v/>
      </c>
      <c r="H8898" s="8">
        <f>IF(G8898="","",G8898-I8898)</f>
        <v/>
      </c>
      <c r="I8898" s="8">
        <f>IF(D8898="","",VLOOKUP(D8898, RECETTES!B:G, 6, FALSE)*E8898)</f>
        <v/>
      </c>
      <c r="J8898" s="8">
        <f>IF(G8898="","",G8898*0.20)</f>
        <v/>
      </c>
      <c r="K8898" s="8">
        <f>IF(G8898="","",G8898+J8898)</f>
        <v/>
      </c>
    </row>
    <row r="8899">
      <c r="F8899" s="8" t="n"/>
      <c r="G8899" s="8">
        <f>IF(E8899="","",E8899*F8899)</f>
        <v/>
      </c>
      <c r="H8899" s="8">
        <f>IF(G8899="","",G8899-I8899)</f>
        <v/>
      </c>
      <c r="I8899" s="8">
        <f>IF(D8899="","",VLOOKUP(D8899, RECETTES!B:G, 6, FALSE)*E8899)</f>
        <v/>
      </c>
      <c r="J8899" s="8">
        <f>IF(G8899="","",G8899*0.20)</f>
        <v/>
      </c>
      <c r="K8899" s="8">
        <f>IF(G8899="","",G8899+J8899)</f>
        <v/>
      </c>
    </row>
    <row r="8900">
      <c r="F8900" s="8" t="n"/>
      <c r="G8900" s="8">
        <f>IF(E8900="","",E8900*F8900)</f>
        <v/>
      </c>
      <c r="H8900" s="8">
        <f>IF(G8900="","",G8900-I8900)</f>
        <v/>
      </c>
      <c r="I8900" s="8">
        <f>IF(D8900="","",VLOOKUP(D8900, RECETTES!B:G, 6, FALSE)*E8900)</f>
        <v/>
      </c>
      <c r="J8900" s="8">
        <f>IF(G8900="","",G8900*0.20)</f>
        <v/>
      </c>
      <c r="K8900" s="8">
        <f>IF(G8900="","",G8900+J8900)</f>
        <v/>
      </c>
    </row>
    <row r="8901">
      <c r="F8901" s="8" t="n"/>
      <c r="G8901" s="8">
        <f>IF(E8901="","",E8901*F8901)</f>
        <v/>
      </c>
      <c r="H8901" s="8">
        <f>IF(G8901="","",G8901-I8901)</f>
        <v/>
      </c>
      <c r="I8901" s="8">
        <f>IF(D8901="","",VLOOKUP(D8901, RECETTES!B:G, 6, FALSE)*E8901)</f>
        <v/>
      </c>
      <c r="J8901" s="8">
        <f>IF(G8901="","",G8901*0.20)</f>
        <v/>
      </c>
      <c r="K8901" s="8">
        <f>IF(G8901="","",G8901+J8901)</f>
        <v/>
      </c>
    </row>
    <row r="8902">
      <c r="F8902" s="8" t="n"/>
      <c r="G8902" s="8">
        <f>IF(E8902="","",E8902*F8902)</f>
        <v/>
      </c>
      <c r="H8902" s="8">
        <f>IF(G8902="","",G8902-I8902)</f>
        <v/>
      </c>
      <c r="I8902" s="8">
        <f>IF(D8902="","",VLOOKUP(D8902, RECETTES!B:G, 6, FALSE)*E8902)</f>
        <v/>
      </c>
      <c r="J8902" s="8">
        <f>IF(G8902="","",G8902*0.20)</f>
        <v/>
      </c>
      <c r="K8902" s="8">
        <f>IF(G8902="","",G8902+J8902)</f>
        <v/>
      </c>
    </row>
    <row r="8903">
      <c r="F8903" s="8" t="n"/>
      <c r="G8903" s="8">
        <f>IF(E8903="","",E8903*F8903)</f>
        <v/>
      </c>
      <c r="H8903" s="8">
        <f>IF(G8903="","",G8903-I8903)</f>
        <v/>
      </c>
      <c r="I8903" s="8">
        <f>IF(D8903="","",VLOOKUP(D8903, RECETTES!B:G, 6, FALSE)*E8903)</f>
        <v/>
      </c>
      <c r="J8903" s="8">
        <f>IF(G8903="","",G8903*0.20)</f>
        <v/>
      </c>
      <c r="K8903" s="8">
        <f>IF(G8903="","",G8903+J8903)</f>
        <v/>
      </c>
    </row>
    <row r="8904">
      <c r="F8904" s="8" t="n"/>
      <c r="G8904" s="8">
        <f>IF(E8904="","",E8904*F8904)</f>
        <v/>
      </c>
      <c r="H8904" s="8">
        <f>IF(G8904="","",G8904-I8904)</f>
        <v/>
      </c>
      <c r="I8904" s="8">
        <f>IF(D8904="","",VLOOKUP(D8904, RECETTES!B:G, 6, FALSE)*E8904)</f>
        <v/>
      </c>
      <c r="J8904" s="8">
        <f>IF(G8904="","",G8904*0.20)</f>
        <v/>
      </c>
      <c r="K8904" s="8">
        <f>IF(G8904="","",G8904+J8904)</f>
        <v/>
      </c>
    </row>
    <row r="8905">
      <c r="F8905" s="8" t="n"/>
      <c r="G8905" s="8">
        <f>IF(E8905="","",E8905*F8905)</f>
        <v/>
      </c>
      <c r="H8905" s="8">
        <f>IF(G8905="","",G8905-I8905)</f>
        <v/>
      </c>
      <c r="I8905" s="8">
        <f>IF(D8905="","",VLOOKUP(D8905, RECETTES!B:G, 6, FALSE)*E8905)</f>
        <v/>
      </c>
      <c r="J8905" s="8">
        <f>IF(G8905="","",G8905*0.20)</f>
        <v/>
      </c>
      <c r="K8905" s="8">
        <f>IF(G8905="","",G8905+J8905)</f>
        <v/>
      </c>
    </row>
    <row r="8906">
      <c r="F8906" s="8" t="n"/>
      <c r="G8906" s="8">
        <f>IF(E8906="","",E8906*F8906)</f>
        <v/>
      </c>
      <c r="H8906" s="8">
        <f>IF(G8906="","",G8906-I8906)</f>
        <v/>
      </c>
      <c r="I8906" s="8">
        <f>IF(D8906="","",VLOOKUP(D8906, RECETTES!B:G, 6, FALSE)*E8906)</f>
        <v/>
      </c>
      <c r="J8906" s="8">
        <f>IF(G8906="","",G8906*0.20)</f>
        <v/>
      </c>
      <c r="K8906" s="8">
        <f>IF(G8906="","",G8906+J8906)</f>
        <v/>
      </c>
    </row>
    <row r="8907">
      <c r="F8907" s="8" t="n"/>
      <c r="G8907" s="8">
        <f>IF(E8907="","",E8907*F8907)</f>
        <v/>
      </c>
      <c r="H8907" s="8">
        <f>IF(G8907="","",G8907-I8907)</f>
        <v/>
      </c>
      <c r="I8907" s="8">
        <f>IF(D8907="","",VLOOKUP(D8907, RECETTES!B:G, 6, FALSE)*E8907)</f>
        <v/>
      </c>
      <c r="J8907" s="8">
        <f>IF(G8907="","",G8907*0.20)</f>
        <v/>
      </c>
      <c r="K8907" s="8">
        <f>IF(G8907="","",G8907+J8907)</f>
        <v/>
      </c>
    </row>
    <row r="8908">
      <c r="F8908" s="8" t="n"/>
      <c r="G8908" s="8">
        <f>IF(E8908="","",E8908*F8908)</f>
        <v/>
      </c>
      <c r="H8908" s="8">
        <f>IF(G8908="","",G8908-I8908)</f>
        <v/>
      </c>
      <c r="I8908" s="8">
        <f>IF(D8908="","",VLOOKUP(D8908, RECETTES!B:G, 6, FALSE)*E8908)</f>
        <v/>
      </c>
      <c r="J8908" s="8">
        <f>IF(G8908="","",G8908*0.20)</f>
        <v/>
      </c>
      <c r="K8908" s="8">
        <f>IF(G8908="","",G8908+J8908)</f>
        <v/>
      </c>
    </row>
    <row r="8909">
      <c r="F8909" s="8" t="n"/>
      <c r="G8909" s="8">
        <f>IF(E8909="","",E8909*F8909)</f>
        <v/>
      </c>
      <c r="H8909" s="8">
        <f>IF(G8909="","",G8909-I8909)</f>
        <v/>
      </c>
      <c r="I8909" s="8">
        <f>IF(D8909="","",VLOOKUP(D8909, RECETTES!B:G, 6, FALSE)*E8909)</f>
        <v/>
      </c>
      <c r="J8909" s="8">
        <f>IF(G8909="","",G8909*0.20)</f>
        <v/>
      </c>
      <c r="K8909" s="8">
        <f>IF(G8909="","",G8909+J8909)</f>
        <v/>
      </c>
    </row>
    <row r="8910">
      <c r="F8910" s="8" t="n"/>
      <c r="G8910" s="8">
        <f>IF(E8910="","",E8910*F8910)</f>
        <v/>
      </c>
      <c r="H8910" s="8">
        <f>IF(G8910="","",G8910-I8910)</f>
        <v/>
      </c>
      <c r="I8910" s="8">
        <f>IF(D8910="","",VLOOKUP(D8910, RECETTES!B:G, 6, FALSE)*E8910)</f>
        <v/>
      </c>
      <c r="J8910" s="8">
        <f>IF(G8910="","",G8910*0.20)</f>
        <v/>
      </c>
      <c r="K8910" s="8">
        <f>IF(G8910="","",G8910+J8910)</f>
        <v/>
      </c>
    </row>
    <row r="8911">
      <c r="F8911" s="8" t="n"/>
      <c r="G8911" s="8">
        <f>IF(E8911="","",E8911*F8911)</f>
        <v/>
      </c>
      <c r="H8911" s="8">
        <f>IF(G8911="","",G8911-I8911)</f>
        <v/>
      </c>
      <c r="I8911" s="8">
        <f>IF(D8911="","",VLOOKUP(D8911, RECETTES!B:G, 6, FALSE)*E8911)</f>
        <v/>
      </c>
      <c r="J8911" s="8">
        <f>IF(G8911="","",G8911*0.20)</f>
        <v/>
      </c>
      <c r="K8911" s="8">
        <f>IF(G8911="","",G8911+J8911)</f>
        <v/>
      </c>
    </row>
    <row r="8912">
      <c r="F8912" s="8" t="n"/>
      <c r="G8912" s="8">
        <f>IF(E8912="","",E8912*F8912)</f>
        <v/>
      </c>
      <c r="H8912" s="8">
        <f>IF(G8912="","",G8912-I8912)</f>
        <v/>
      </c>
      <c r="I8912" s="8">
        <f>IF(D8912="","",VLOOKUP(D8912, RECETTES!B:G, 6, FALSE)*E8912)</f>
        <v/>
      </c>
      <c r="J8912" s="8">
        <f>IF(G8912="","",G8912*0.20)</f>
        <v/>
      </c>
      <c r="K8912" s="8">
        <f>IF(G8912="","",G8912+J8912)</f>
        <v/>
      </c>
    </row>
    <row r="8913">
      <c r="F8913" s="8" t="n"/>
      <c r="G8913" s="8">
        <f>IF(E8913="","",E8913*F8913)</f>
        <v/>
      </c>
      <c r="H8913" s="8">
        <f>IF(G8913="","",G8913-I8913)</f>
        <v/>
      </c>
      <c r="I8913" s="8">
        <f>IF(D8913="","",VLOOKUP(D8913, RECETTES!B:G, 6, FALSE)*E8913)</f>
        <v/>
      </c>
      <c r="J8913" s="8">
        <f>IF(G8913="","",G8913*0.20)</f>
        <v/>
      </c>
      <c r="K8913" s="8">
        <f>IF(G8913="","",G8913+J8913)</f>
        <v/>
      </c>
    </row>
    <row r="8914">
      <c r="F8914" s="8" t="n"/>
      <c r="G8914" s="8">
        <f>IF(E8914="","",E8914*F8914)</f>
        <v/>
      </c>
      <c r="H8914" s="8">
        <f>IF(G8914="","",G8914-I8914)</f>
        <v/>
      </c>
      <c r="I8914" s="8">
        <f>IF(D8914="","",VLOOKUP(D8914, RECETTES!B:G, 6, FALSE)*E8914)</f>
        <v/>
      </c>
      <c r="J8914" s="8">
        <f>IF(G8914="","",G8914*0.20)</f>
        <v/>
      </c>
      <c r="K8914" s="8">
        <f>IF(G8914="","",G8914+J8914)</f>
        <v/>
      </c>
    </row>
    <row r="8915">
      <c r="F8915" s="8" t="n"/>
      <c r="G8915" s="8">
        <f>IF(E8915="","",E8915*F8915)</f>
        <v/>
      </c>
      <c r="H8915" s="8">
        <f>IF(G8915="","",G8915-I8915)</f>
        <v/>
      </c>
      <c r="I8915" s="8">
        <f>IF(D8915="","",VLOOKUP(D8915, RECETTES!B:G, 6, FALSE)*E8915)</f>
        <v/>
      </c>
      <c r="J8915" s="8">
        <f>IF(G8915="","",G8915*0.20)</f>
        <v/>
      </c>
      <c r="K8915" s="8">
        <f>IF(G8915="","",G8915+J8915)</f>
        <v/>
      </c>
    </row>
    <row r="8916">
      <c r="F8916" s="8" t="n"/>
      <c r="G8916" s="8">
        <f>IF(E8916="","",E8916*F8916)</f>
        <v/>
      </c>
      <c r="H8916" s="8">
        <f>IF(G8916="","",G8916-I8916)</f>
        <v/>
      </c>
      <c r="I8916" s="8">
        <f>IF(D8916="","",VLOOKUP(D8916, RECETTES!B:G, 6, FALSE)*E8916)</f>
        <v/>
      </c>
      <c r="J8916" s="8">
        <f>IF(G8916="","",G8916*0.20)</f>
        <v/>
      </c>
      <c r="K8916" s="8">
        <f>IF(G8916="","",G8916+J8916)</f>
        <v/>
      </c>
    </row>
    <row r="8917">
      <c r="F8917" s="8" t="n"/>
      <c r="G8917" s="8">
        <f>IF(E8917="","",E8917*F8917)</f>
        <v/>
      </c>
      <c r="H8917" s="8">
        <f>IF(G8917="","",G8917-I8917)</f>
        <v/>
      </c>
      <c r="I8917" s="8">
        <f>IF(D8917="","",VLOOKUP(D8917, RECETTES!B:G, 6, FALSE)*E8917)</f>
        <v/>
      </c>
      <c r="J8917" s="8">
        <f>IF(G8917="","",G8917*0.20)</f>
        <v/>
      </c>
      <c r="K8917" s="8">
        <f>IF(G8917="","",G8917+J8917)</f>
        <v/>
      </c>
    </row>
    <row r="8918">
      <c r="F8918" s="8" t="n"/>
      <c r="G8918" s="8">
        <f>IF(E8918="","",E8918*F8918)</f>
        <v/>
      </c>
      <c r="H8918" s="8">
        <f>IF(G8918="","",G8918-I8918)</f>
        <v/>
      </c>
      <c r="I8918" s="8">
        <f>IF(D8918="","",VLOOKUP(D8918, RECETTES!B:G, 6, FALSE)*E8918)</f>
        <v/>
      </c>
      <c r="J8918" s="8">
        <f>IF(G8918="","",G8918*0.20)</f>
        <v/>
      </c>
      <c r="K8918" s="8">
        <f>IF(G8918="","",G8918+J8918)</f>
        <v/>
      </c>
    </row>
    <row r="8919">
      <c r="F8919" s="8" t="n"/>
      <c r="G8919" s="8">
        <f>IF(E8919="","",E8919*F8919)</f>
        <v/>
      </c>
      <c r="H8919" s="8">
        <f>IF(G8919="","",G8919-I8919)</f>
        <v/>
      </c>
      <c r="I8919" s="8">
        <f>IF(D8919="","",VLOOKUP(D8919, RECETTES!B:G, 6, FALSE)*E8919)</f>
        <v/>
      </c>
      <c r="J8919" s="8">
        <f>IF(G8919="","",G8919*0.20)</f>
        <v/>
      </c>
      <c r="K8919" s="8">
        <f>IF(G8919="","",G8919+J8919)</f>
        <v/>
      </c>
    </row>
    <row r="8920">
      <c r="F8920" s="8" t="n"/>
      <c r="G8920" s="8">
        <f>IF(E8920="","",E8920*F8920)</f>
        <v/>
      </c>
      <c r="H8920" s="8">
        <f>IF(G8920="","",G8920-I8920)</f>
        <v/>
      </c>
      <c r="I8920" s="8">
        <f>IF(D8920="","",VLOOKUP(D8920, RECETTES!B:G, 6, FALSE)*E8920)</f>
        <v/>
      </c>
      <c r="J8920" s="8">
        <f>IF(G8920="","",G8920*0.20)</f>
        <v/>
      </c>
      <c r="K8920" s="8">
        <f>IF(G8920="","",G8920+J8920)</f>
        <v/>
      </c>
    </row>
    <row r="8921">
      <c r="F8921" s="8" t="n"/>
      <c r="G8921" s="8">
        <f>IF(E8921="","",E8921*F8921)</f>
        <v/>
      </c>
      <c r="H8921" s="8">
        <f>IF(G8921="","",G8921-I8921)</f>
        <v/>
      </c>
      <c r="I8921" s="8">
        <f>IF(D8921="","",VLOOKUP(D8921, RECETTES!B:G, 6, FALSE)*E8921)</f>
        <v/>
      </c>
      <c r="J8921" s="8">
        <f>IF(G8921="","",G8921*0.20)</f>
        <v/>
      </c>
      <c r="K8921" s="8">
        <f>IF(G8921="","",G8921+J8921)</f>
        <v/>
      </c>
    </row>
    <row r="8922">
      <c r="F8922" s="8" t="n"/>
      <c r="G8922" s="8">
        <f>IF(E8922="","",E8922*F8922)</f>
        <v/>
      </c>
      <c r="H8922" s="8">
        <f>IF(G8922="","",G8922-I8922)</f>
        <v/>
      </c>
      <c r="I8922" s="8">
        <f>IF(D8922="","",VLOOKUP(D8922, RECETTES!B:G, 6, FALSE)*E8922)</f>
        <v/>
      </c>
      <c r="J8922" s="8">
        <f>IF(G8922="","",G8922*0.20)</f>
        <v/>
      </c>
      <c r="K8922" s="8">
        <f>IF(G8922="","",G8922+J8922)</f>
        <v/>
      </c>
    </row>
    <row r="8923">
      <c r="F8923" s="8" t="n"/>
      <c r="G8923" s="8">
        <f>IF(E8923="","",E8923*F8923)</f>
        <v/>
      </c>
      <c r="H8923" s="8">
        <f>IF(G8923="","",G8923-I8923)</f>
        <v/>
      </c>
      <c r="I8923" s="8">
        <f>IF(D8923="","",VLOOKUP(D8923, RECETTES!B:G, 6, FALSE)*E8923)</f>
        <v/>
      </c>
      <c r="J8923" s="8">
        <f>IF(G8923="","",G8923*0.20)</f>
        <v/>
      </c>
      <c r="K8923" s="8">
        <f>IF(G8923="","",G8923+J8923)</f>
        <v/>
      </c>
    </row>
    <row r="8924">
      <c r="F8924" s="8" t="n"/>
      <c r="G8924" s="8">
        <f>IF(E8924="","",E8924*F8924)</f>
        <v/>
      </c>
      <c r="H8924" s="8">
        <f>IF(G8924="","",G8924-I8924)</f>
        <v/>
      </c>
      <c r="I8924" s="8">
        <f>IF(D8924="","",VLOOKUP(D8924, RECETTES!B:G, 6, FALSE)*E8924)</f>
        <v/>
      </c>
      <c r="J8924" s="8">
        <f>IF(G8924="","",G8924*0.20)</f>
        <v/>
      </c>
      <c r="K8924" s="8">
        <f>IF(G8924="","",G8924+J8924)</f>
        <v/>
      </c>
    </row>
    <row r="8925">
      <c r="F8925" s="8" t="n"/>
      <c r="G8925" s="8">
        <f>IF(E8925="","",E8925*F8925)</f>
        <v/>
      </c>
      <c r="H8925" s="8">
        <f>IF(G8925="","",G8925-I8925)</f>
        <v/>
      </c>
      <c r="I8925" s="8">
        <f>IF(D8925="","",VLOOKUP(D8925, RECETTES!B:G, 6, FALSE)*E8925)</f>
        <v/>
      </c>
      <c r="J8925" s="8">
        <f>IF(G8925="","",G8925*0.20)</f>
        <v/>
      </c>
      <c r="K8925" s="8">
        <f>IF(G8925="","",G8925+J8925)</f>
        <v/>
      </c>
    </row>
    <row r="8926">
      <c r="F8926" s="8" t="n"/>
      <c r="G8926" s="8">
        <f>IF(E8926="","",E8926*F8926)</f>
        <v/>
      </c>
      <c r="H8926" s="8">
        <f>IF(G8926="","",G8926-I8926)</f>
        <v/>
      </c>
      <c r="I8926" s="8">
        <f>IF(D8926="","",VLOOKUP(D8926, RECETTES!B:G, 6, FALSE)*E8926)</f>
        <v/>
      </c>
      <c r="J8926" s="8">
        <f>IF(G8926="","",G8926*0.20)</f>
        <v/>
      </c>
      <c r="K8926" s="8">
        <f>IF(G8926="","",G8926+J8926)</f>
        <v/>
      </c>
    </row>
    <row r="8927">
      <c r="F8927" s="8" t="n"/>
      <c r="G8927" s="8">
        <f>IF(E8927="","",E8927*F8927)</f>
        <v/>
      </c>
      <c r="H8927" s="8">
        <f>IF(G8927="","",G8927-I8927)</f>
        <v/>
      </c>
      <c r="I8927" s="8">
        <f>IF(D8927="","",VLOOKUP(D8927, RECETTES!B:G, 6, FALSE)*E8927)</f>
        <v/>
      </c>
      <c r="J8927" s="8">
        <f>IF(G8927="","",G8927*0.20)</f>
        <v/>
      </c>
      <c r="K8927" s="8">
        <f>IF(G8927="","",G8927+J8927)</f>
        <v/>
      </c>
    </row>
    <row r="8928">
      <c r="F8928" s="8" t="n"/>
      <c r="G8928" s="8">
        <f>IF(E8928="","",E8928*F8928)</f>
        <v/>
      </c>
      <c r="H8928" s="8">
        <f>IF(G8928="","",G8928-I8928)</f>
        <v/>
      </c>
      <c r="I8928" s="8">
        <f>IF(D8928="","",VLOOKUP(D8928, RECETTES!B:G, 6, FALSE)*E8928)</f>
        <v/>
      </c>
      <c r="J8928" s="8">
        <f>IF(G8928="","",G8928*0.20)</f>
        <v/>
      </c>
      <c r="K8928" s="8">
        <f>IF(G8928="","",G8928+J8928)</f>
        <v/>
      </c>
    </row>
    <row r="8929">
      <c r="F8929" s="8" t="n"/>
      <c r="G8929" s="8">
        <f>IF(E8929="","",E8929*F8929)</f>
        <v/>
      </c>
      <c r="H8929" s="8">
        <f>IF(G8929="","",G8929-I8929)</f>
        <v/>
      </c>
      <c r="I8929" s="8">
        <f>IF(D8929="","",VLOOKUP(D8929, RECETTES!B:G, 6, FALSE)*E8929)</f>
        <v/>
      </c>
      <c r="J8929" s="8">
        <f>IF(G8929="","",G8929*0.20)</f>
        <v/>
      </c>
      <c r="K8929" s="8">
        <f>IF(G8929="","",G8929+J8929)</f>
        <v/>
      </c>
    </row>
    <row r="8930">
      <c r="F8930" s="8" t="n"/>
      <c r="G8930" s="8">
        <f>IF(E8930="","",E8930*F8930)</f>
        <v/>
      </c>
      <c r="H8930" s="8">
        <f>IF(G8930="","",G8930-I8930)</f>
        <v/>
      </c>
      <c r="I8930" s="8">
        <f>IF(D8930="","",VLOOKUP(D8930, RECETTES!B:G, 6, FALSE)*E8930)</f>
        <v/>
      </c>
      <c r="J8930" s="8">
        <f>IF(G8930="","",G8930*0.20)</f>
        <v/>
      </c>
      <c r="K8930" s="8">
        <f>IF(G8930="","",G8930+J8930)</f>
        <v/>
      </c>
    </row>
    <row r="8931">
      <c r="F8931" s="8" t="n"/>
      <c r="G8931" s="8">
        <f>IF(E8931="","",E8931*F8931)</f>
        <v/>
      </c>
      <c r="H8931" s="8">
        <f>IF(G8931="","",G8931-I8931)</f>
        <v/>
      </c>
      <c r="I8931" s="8">
        <f>IF(D8931="","",VLOOKUP(D8931, RECETTES!B:G, 6, FALSE)*E8931)</f>
        <v/>
      </c>
      <c r="J8931" s="8">
        <f>IF(G8931="","",G8931*0.20)</f>
        <v/>
      </c>
      <c r="K8931" s="8">
        <f>IF(G8931="","",G8931+J8931)</f>
        <v/>
      </c>
    </row>
    <row r="8932">
      <c r="F8932" s="8" t="n"/>
      <c r="G8932" s="8">
        <f>IF(E8932="","",E8932*F8932)</f>
        <v/>
      </c>
      <c r="H8932" s="8">
        <f>IF(G8932="","",G8932-I8932)</f>
        <v/>
      </c>
      <c r="I8932" s="8">
        <f>IF(D8932="","",VLOOKUP(D8932, RECETTES!B:G, 6, FALSE)*E8932)</f>
        <v/>
      </c>
      <c r="J8932" s="8">
        <f>IF(G8932="","",G8932*0.20)</f>
        <v/>
      </c>
      <c r="K8932" s="8">
        <f>IF(G8932="","",G8932+J8932)</f>
        <v/>
      </c>
    </row>
    <row r="8933">
      <c r="F8933" s="8" t="n"/>
      <c r="G8933" s="8">
        <f>IF(E8933="","",E8933*F8933)</f>
        <v/>
      </c>
      <c r="H8933" s="8">
        <f>IF(G8933="","",G8933-I8933)</f>
        <v/>
      </c>
      <c r="I8933" s="8">
        <f>IF(D8933="","",VLOOKUP(D8933, RECETTES!B:G, 6, FALSE)*E8933)</f>
        <v/>
      </c>
      <c r="J8933" s="8">
        <f>IF(G8933="","",G8933*0.20)</f>
        <v/>
      </c>
      <c r="K8933" s="8">
        <f>IF(G8933="","",G8933+J8933)</f>
        <v/>
      </c>
    </row>
    <row r="8934">
      <c r="F8934" s="8" t="n"/>
      <c r="G8934" s="8">
        <f>IF(E8934="","",E8934*F8934)</f>
        <v/>
      </c>
      <c r="H8934" s="8">
        <f>IF(G8934="","",G8934-I8934)</f>
        <v/>
      </c>
      <c r="I8934" s="8">
        <f>IF(D8934="","",VLOOKUP(D8934, RECETTES!B:G, 6, FALSE)*E8934)</f>
        <v/>
      </c>
      <c r="J8934" s="8">
        <f>IF(G8934="","",G8934*0.20)</f>
        <v/>
      </c>
      <c r="K8934" s="8">
        <f>IF(G8934="","",G8934+J8934)</f>
        <v/>
      </c>
    </row>
    <row r="8935">
      <c r="F8935" s="8" t="n"/>
      <c r="G8935" s="8">
        <f>IF(E8935="","",E8935*F8935)</f>
        <v/>
      </c>
      <c r="H8935" s="8">
        <f>IF(G8935="","",G8935-I8935)</f>
        <v/>
      </c>
      <c r="I8935" s="8">
        <f>IF(D8935="","",VLOOKUP(D8935, RECETTES!B:G, 6, FALSE)*E8935)</f>
        <v/>
      </c>
      <c r="J8935" s="8">
        <f>IF(G8935="","",G8935*0.20)</f>
        <v/>
      </c>
      <c r="K8935" s="8">
        <f>IF(G8935="","",G8935+J8935)</f>
        <v/>
      </c>
    </row>
    <row r="8936">
      <c r="F8936" s="8" t="n"/>
      <c r="G8936" s="8">
        <f>IF(E8936="","",E8936*F8936)</f>
        <v/>
      </c>
      <c r="H8936" s="8">
        <f>IF(G8936="","",G8936-I8936)</f>
        <v/>
      </c>
      <c r="I8936" s="8">
        <f>IF(D8936="","",VLOOKUP(D8936, RECETTES!B:G, 6, FALSE)*E8936)</f>
        <v/>
      </c>
      <c r="J8936" s="8">
        <f>IF(G8936="","",G8936*0.20)</f>
        <v/>
      </c>
      <c r="K8936" s="8">
        <f>IF(G8936="","",G8936+J8936)</f>
        <v/>
      </c>
    </row>
    <row r="8937">
      <c r="F8937" s="8" t="n"/>
      <c r="G8937" s="8">
        <f>IF(E8937="","",E8937*F8937)</f>
        <v/>
      </c>
      <c r="H8937" s="8">
        <f>IF(G8937="","",G8937-I8937)</f>
        <v/>
      </c>
      <c r="I8937" s="8">
        <f>IF(D8937="","",VLOOKUP(D8937, RECETTES!B:G, 6, FALSE)*E8937)</f>
        <v/>
      </c>
      <c r="J8937" s="8">
        <f>IF(G8937="","",G8937*0.20)</f>
        <v/>
      </c>
      <c r="K8937" s="8">
        <f>IF(G8937="","",G8937+J8937)</f>
        <v/>
      </c>
    </row>
    <row r="8938">
      <c r="F8938" s="8" t="n"/>
      <c r="G8938" s="8">
        <f>IF(E8938="","",E8938*F8938)</f>
        <v/>
      </c>
      <c r="H8938" s="8">
        <f>IF(G8938="","",G8938-I8938)</f>
        <v/>
      </c>
      <c r="I8938" s="8">
        <f>IF(D8938="","",VLOOKUP(D8938, RECETTES!B:G, 6, FALSE)*E8938)</f>
        <v/>
      </c>
      <c r="J8938" s="8">
        <f>IF(G8938="","",G8938*0.20)</f>
        <v/>
      </c>
      <c r="K8938" s="8">
        <f>IF(G8938="","",G8938+J8938)</f>
        <v/>
      </c>
    </row>
    <row r="8939">
      <c r="F8939" s="8" t="n"/>
      <c r="G8939" s="8">
        <f>IF(E8939="","",E8939*F8939)</f>
        <v/>
      </c>
      <c r="H8939" s="8">
        <f>IF(G8939="","",G8939-I8939)</f>
        <v/>
      </c>
      <c r="I8939" s="8">
        <f>IF(D8939="","",VLOOKUP(D8939, RECETTES!B:G, 6, FALSE)*E8939)</f>
        <v/>
      </c>
      <c r="J8939" s="8">
        <f>IF(G8939="","",G8939*0.20)</f>
        <v/>
      </c>
      <c r="K8939" s="8">
        <f>IF(G8939="","",G8939+J8939)</f>
        <v/>
      </c>
    </row>
    <row r="8940">
      <c r="F8940" s="8" t="n"/>
      <c r="G8940" s="8">
        <f>IF(E8940="","",E8940*F8940)</f>
        <v/>
      </c>
      <c r="H8940" s="8">
        <f>IF(G8940="","",G8940-I8940)</f>
        <v/>
      </c>
      <c r="I8940" s="8">
        <f>IF(D8940="","",VLOOKUP(D8940, RECETTES!B:G, 6, FALSE)*E8940)</f>
        <v/>
      </c>
      <c r="J8940" s="8">
        <f>IF(G8940="","",G8940*0.20)</f>
        <v/>
      </c>
      <c r="K8940" s="8">
        <f>IF(G8940="","",G8940+J8940)</f>
        <v/>
      </c>
    </row>
    <row r="8941">
      <c r="F8941" s="8" t="n"/>
      <c r="G8941" s="8">
        <f>IF(E8941="","",E8941*F8941)</f>
        <v/>
      </c>
      <c r="H8941" s="8">
        <f>IF(G8941="","",G8941-I8941)</f>
        <v/>
      </c>
      <c r="I8941" s="8">
        <f>IF(D8941="","",VLOOKUP(D8941, RECETTES!B:G, 6, FALSE)*E8941)</f>
        <v/>
      </c>
      <c r="J8941" s="8">
        <f>IF(G8941="","",G8941*0.20)</f>
        <v/>
      </c>
      <c r="K8941" s="8">
        <f>IF(G8941="","",G8941+J8941)</f>
        <v/>
      </c>
    </row>
    <row r="8942">
      <c r="F8942" s="8" t="n"/>
      <c r="G8942" s="8">
        <f>IF(E8942="","",E8942*F8942)</f>
        <v/>
      </c>
      <c r="H8942" s="8">
        <f>IF(G8942="","",G8942-I8942)</f>
        <v/>
      </c>
      <c r="I8942" s="8">
        <f>IF(D8942="","",VLOOKUP(D8942, RECETTES!B:G, 6, FALSE)*E8942)</f>
        <v/>
      </c>
      <c r="J8942" s="8">
        <f>IF(G8942="","",G8942*0.20)</f>
        <v/>
      </c>
      <c r="K8942" s="8">
        <f>IF(G8942="","",G8942+J8942)</f>
        <v/>
      </c>
    </row>
    <row r="8943">
      <c r="F8943" s="8" t="n"/>
      <c r="G8943" s="8">
        <f>IF(E8943="","",E8943*F8943)</f>
        <v/>
      </c>
      <c r="H8943" s="8">
        <f>IF(G8943="","",G8943-I8943)</f>
        <v/>
      </c>
      <c r="I8943" s="8">
        <f>IF(D8943="","",VLOOKUP(D8943, RECETTES!B:G, 6, FALSE)*E8943)</f>
        <v/>
      </c>
      <c r="J8943" s="8">
        <f>IF(G8943="","",G8943*0.20)</f>
        <v/>
      </c>
      <c r="K8943" s="8">
        <f>IF(G8943="","",G8943+J8943)</f>
        <v/>
      </c>
    </row>
    <row r="8944">
      <c r="F8944" s="8" t="n"/>
      <c r="G8944" s="8">
        <f>IF(E8944="","",E8944*F8944)</f>
        <v/>
      </c>
      <c r="H8944" s="8">
        <f>IF(G8944="","",G8944-I8944)</f>
        <v/>
      </c>
      <c r="I8944" s="8">
        <f>IF(D8944="","",VLOOKUP(D8944, RECETTES!B:G, 6, FALSE)*E8944)</f>
        <v/>
      </c>
      <c r="J8944" s="8">
        <f>IF(G8944="","",G8944*0.20)</f>
        <v/>
      </c>
      <c r="K8944" s="8">
        <f>IF(G8944="","",G8944+J8944)</f>
        <v/>
      </c>
    </row>
    <row r="8945">
      <c r="F8945" s="8" t="n"/>
      <c r="G8945" s="8">
        <f>IF(E8945="","",E8945*F8945)</f>
        <v/>
      </c>
      <c r="H8945" s="8">
        <f>IF(G8945="","",G8945-I8945)</f>
        <v/>
      </c>
      <c r="I8945" s="8">
        <f>IF(D8945="","",VLOOKUP(D8945, RECETTES!B:G, 6, FALSE)*E8945)</f>
        <v/>
      </c>
      <c r="J8945" s="8">
        <f>IF(G8945="","",G8945*0.20)</f>
        <v/>
      </c>
      <c r="K8945" s="8">
        <f>IF(G8945="","",G8945+J8945)</f>
        <v/>
      </c>
    </row>
    <row r="8946">
      <c r="F8946" s="8" t="n"/>
      <c r="G8946" s="8">
        <f>IF(E8946="","",E8946*F8946)</f>
        <v/>
      </c>
      <c r="H8946" s="8">
        <f>IF(G8946="","",G8946-I8946)</f>
        <v/>
      </c>
      <c r="I8946" s="8">
        <f>IF(D8946="","",VLOOKUP(D8946, RECETTES!B:G, 6, FALSE)*E8946)</f>
        <v/>
      </c>
      <c r="J8946" s="8">
        <f>IF(G8946="","",G8946*0.20)</f>
        <v/>
      </c>
      <c r="K8946" s="8">
        <f>IF(G8946="","",G8946+J8946)</f>
        <v/>
      </c>
    </row>
    <row r="8947">
      <c r="F8947" s="8" t="n"/>
      <c r="G8947" s="8">
        <f>IF(E8947="","",E8947*F8947)</f>
        <v/>
      </c>
      <c r="H8947" s="8">
        <f>IF(G8947="","",G8947-I8947)</f>
        <v/>
      </c>
      <c r="I8947" s="8">
        <f>IF(D8947="","",VLOOKUP(D8947, RECETTES!B:G, 6, FALSE)*E8947)</f>
        <v/>
      </c>
      <c r="J8947" s="8">
        <f>IF(G8947="","",G8947*0.20)</f>
        <v/>
      </c>
      <c r="K8947" s="8">
        <f>IF(G8947="","",G8947+J8947)</f>
        <v/>
      </c>
    </row>
    <row r="8948">
      <c r="F8948" s="8" t="n"/>
      <c r="G8948" s="8">
        <f>IF(E8948="","",E8948*F8948)</f>
        <v/>
      </c>
      <c r="H8948" s="8">
        <f>IF(G8948="","",G8948-I8948)</f>
        <v/>
      </c>
      <c r="I8948" s="8">
        <f>IF(D8948="","",VLOOKUP(D8948, RECETTES!B:G, 6, FALSE)*E8948)</f>
        <v/>
      </c>
      <c r="J8948" s="8">
        <f>IF(G8948="","",G8948*0.20)</f>
        <v/>
      </c>
      <c r="K8948" s="8">
        <f>IF(G8948="","",G8948+J8948)</f>
        <v/>
      </c>
    </row>
    <row r="8949">
      <c r="F8949" s="8" t="n"/>
      <c r="G8949" s="8">
        <f>IF(E8949="","",E8949*F8949)</f>
        <v/>
      </c>
      <c r="H8949" s="8">
        <f>IF(G8949="","",G8949-I8949)</f>
        <v/>
      </c>
      <c r="I8949" s="8">
        <f>IF(D8949="","",VLOOKUP(D8949, RECETTES!B:G, 6, FALSE)*E8949)</f>
        <v/>
      </c>
      <c r="J8949" s="8">
        <f>IF(G8949="","",G8949*0.20)</f>
        <v/>
      </c>
      <c r="K8949" s="8">
        <f>IF(G8949="","",G8949+J8949)</f>
        <v/>
      </c>
    </row>
    <row r="8950">
      <c r="F8950" s="8" t="n"/>
      <c r="G8950" s="8">
        <f>IF(E8950="","",E8950*F8950)</f>
        <v/>
      </c>
      <c r="H8950" s="8">
        <f>IF(G8950="","",G8950-I8950)</f>
        <v/>
      </c>
      <c r="I8950" s="8">
        <f>IF(D8950="","",VLOOKUP(D8950, RECETTES!B:G, 6, FALSE)*E8950)</f>
        <v/>
      </c>
      <c r="J8950" s="8">
        <f>IF(G8950="","",G8950*0.20)</f>
        <v/>
      </c>
      <c r="K8950" s="8">
        <f>IF(G8950="","",G8950+J8950)</f>
        <v/>
      </c>
    </row>
    <row r="8951">
      <c r="F8951" s="8" t="n"/>
      <c r="G8951" s="8">
        <f>IF(E8951="","",E8951*F8951)</f>
        <v/>
      </c>
      <c r="H8951" s="8">
        <f>IF(G8951="","",G8951-I8951)</f>
        <v/>
      </c>
      <c r="I8951" s="8">
        <f>IF(D8951="","",VLOOKUP(D8951, RECETTES!B:G, 6, FALSE)*E8951)</f>
        <v/>
      </c>
      <c r="J8951" s="8">
        <f>IF(G8951="","",G8951*0.20)</f>
        <v/>
      </c>
      <c r="K8951" s="8">
        <f>IF(G8951="","",G8951+J8951)</f>
        <v/>
      </c>
    </row>
    <row r="8952">
      <c r="F8952" s="8" t="n"/>
      <c r="G8952" s="8">
        <f>IF(E8952="","",E8952*F8952)</f>
        <v/>
      </c>
      <c r="H8952" s="8">
        <f>IF(G8952="","",G8952-I8952)</f>
        <v/>
      </c>
      <c r="I8952" s="8">
        <f>IF(D8952="","",VLOOKUP(D8952, RECETTES!B:G, 6, FALSE)*E8952)</f>
        <v/>
      </c>
      <c r="J8952" s="8">
        <f>IF(G8952="","",G8952*0.20)</f>
        <v/>
      </c>
      <c r="K8952" s="8">
        <f>IF(G8952="","",G8952+J8952)</f>
        <v/>
      </c>
    </row>
    <row r="8953">
      <c r="F8953" s="8" t="n"/>
      <c r="G8953" s="8">
        <f>IF(E8953="","",E8953*F8953)</f>
        <v/>
      </c>
      <c r="H8953" s="8">
        <f>IF(G8953="","",G8953-I8953)</f>
        <v/>
      </c>
      <c r="I8953" s="8">
        <f>IF(D8953="","",VLOOKUP(D8953, RECETTES!B:G, 6, FALSE)*E8953)</f>
        <v/>
      </c>
      <c r="J8953" s="8">
        <f>IF(G8953="","",G8953*0.20)</f>
        <v/>
      </c>
      <c r="K8953" s="8">
        <f>IF(G8953="","",G8953+J8953)</f>
        <v/>
      </c>
    </row>
    <row r="8954">
      <c r="F8954" s="8" t="n"/>
      <c r="G8954" s="8">
        <f>IF(E8954="","",E8954*F8954)</f>
        <v/>
      </c>
      <c r="H8954" s="8">
        <f>IF(G8954="","",G8954-I8954)</f>
        <v/>
      </c>
      <c r="I8954" s="8">
        <f>IF(D8954="","",VLOOKUP(D8954, RECETTES!B:G, 6, FALSE)*E8954)</f>
        <v/>
      </c>
      <c r="J8954" s="8">
        <f>IF(G8954="","",G8954*0.20)</f>
        <v/>
      </c>
      <c r="K8954" s="8">
        <f>IF(G8954="","",G8954+J8954)</f>
        <v/>
      </c>
    </row>
    <row r="8955">
      <c r="F8955" s="8" t="n"/>
      <c r="G8955" s="8">
        <f>IF(E8955="","",E8955*F8955)</f>
        <v/>
      </c>
      <c r="H8955" s="8">
        <f>IF(G8955="","",G8955-I8955)</f>
        <v/>
      </c>
      <c r="I8955" s="8">
        <f>IF(D8955="","",VLOOKUP(D8955, RECETTES!B:G, 6, FALSE)*E8955)</f>
        <v/>
      </c>
      <c r="J8955" s="8">
        <f>IF(G8955="","",G8955*0.20)</f>
        <v/>
      </c>
      <c r="K8955" s="8">
        <f>IF(G8955="","",G8955+J8955)</f>
        <v/>
      </c>
    </row>
    <row r="8956">
      <c r="F8956" s="8" t="n"/>
      <c r="G8956" s="8">
        <f>IF(E8956="","",E8956*F8956)</f>
        <v/>
      </c>
      <c r="H8956" s="8">
        <f>IF(G8956="","",G8956-I8956)</f>
        <v/>
      </c>
      <c r="I8956" s="8">
        <f>IF(D8956="","",VLOOKUP(D8956, RECETTES!B:G, 6, FALSE)*E8956)</f>
        <v/>
      </c>
      <c r="J8956" s="8">
        <f>IF(G8956="","",G8956*0.20)</f>
        <v/>
      </c>
      <c r="K8956" s="8">
        <f>IF(G8956="","",G8956+J8956)</f>
        <v/>
      </c>
    </row>
    <row r="8957">
      <c r="F8957" s="8" t="n"/>
      <c r="G8957" s="8">
        <f>IF(E8957="","",E8957*F8957)</f>
        <v/>
      </c>
      <c r="H8957" s="8">
        <f>IF(G8957="","",G8957-I8957)</f>
        <v/>
      </c>
      <c r="I8957" s="8">
        <f>IF(D8957="","",VLOOKUP(D8957, RECETTES!B:G, 6, FALSE)*E8957)</f>
        <v/>
      </c>
      <c r="J8957" s="8">
        <f>IF(G8957="","",G8957*0.20)</f>
        <v/>
      </c>
      <c r="K8957" s="8">
        <f>IF(G8957="","",G8957+J8957)</f>
        <v/>
      </c>
    </row>
    <row r="8958">
      <c r="F8958" s="8" t="n"/>
      <c r="G8958" s="8">
        <f>IF(E8958="","",E8958*F8958)</f>
        <v/>
      </c>
      <c r="H8958" s="8">
        <f>IF(G8958="","",G8958-I8958)</f>
        <v/>
      </c>
      <c r="I8958" s="8">
        <f>IF(D8958="","",VLOOKUP(D8958, RECETTES!B:G, 6, FALSE)*E8958)</f>
        <v/>
      </c>
      <c r="J8958" s="8">
        <f>IF(G8958="","",G8958*0.20)</f>
        <v/>
      </c>
      <c r="K8958" s="8">
        <f>IF(G8958="","",G8958+J8958)</f>
        <v/>
      </c>
    </row>
    <row r="8959">
      <c r="F8959" s="8" t="n"/>
      <c r="G8959" s="8">
        <f>IF(E8959="","",E8959*F8959)</f>
        <v/>
      </c>
      <c r="H8959" s="8">
        <f>IF(G8959="","",G8959-I8959)</f>
        <v/>
      </c>
      <c r="I8959" s="8">
        <f>IF(D8959="","",VLOOKUP(D8959, RECETTES!B:G, 6, FALSE)*E8959)</f>
        <v/>
      </c>
      <c r="J8959" s="8">
        <f>IF(G8959="","",G8959*0.20)</f>
        <v/>
      </c>
      <c r="K8959" s="8">
        <f>IF(G8959="","",G8959+J8959)</f>
        <v/>
      </c>
    </row>
    <row r="8960">
      <c r="F8960" s="8" t="n"/>
      <c r="G8960" s="8">
        <f>IF(E8960="","",E8960*F8960)</f>
        <v/>
      </c>
      <c r="H8960" s="8">
        <f>IF(G8960="","",G8960-I8960)</f>
        <v/>
      </c>
      <c r="I8960" s="8">
        <f>IF(D8960="","",VLOOKUP(D8960, RECETTES!B:G, 6, FALSE)*E8960)</f>
        <v/>
      </c>
      <c r="J8960" s="8">
        <f>IF(G8960="","",G8960*0.20)</f>
        <v/>
      </c>
      <c r="K8960" s="8">
        <f>IF(G8960="","",G8960+J8960)</f>
        <v/>
      </c>
    </row>
    <row r="8961">
      <c r="F8961" s="8" t="n"/>
      <c r="G8961" s="8">
        <f>IF(E8961="","",E8961*F8961)</f>
        <v/>
      </c>
      <c r="H8961" s="8">
        <f>IF(G8961="","",G8961-I8961)</f>
        <v/>
      </c>
      <c r="I8961" s="8">
        <f>IF(D8961="","",VLOOKUP(D8961, RECETTES!B:G, 6, FALSE)*E8961)</f>
        <v/>
      </c>
      <c r="J8961" s="8">
        <f>IF(G8961="","",G8961*0.20)</f>
        <v/>
      </c>
      <c r="K8961" s="8">
        <f>IF(G8961="","",G8961+J8961)</f>
        <v/>
      </c>
    </row>
    <row r="8962">
      <c r="F8962" s="8" t="n"/>
      <c r="G8962" s="8">
        <f>IF(E8962="","",E8962*F8962)</f>
        <v/>
      </c>
      <c r="H8962" s="8">
        <f>IF(G8962="","",G8962-I8962)</f>
        <v/>
      </c>
      <c r="I8962" s="8">
        <f>IF(D8962="","",VLOOKUP(D8962, RECETTES!B:G, 6, FALSE)*E8962)</f>
        <v/>
      </c>
      <c r="J8962" s="8">
        <f>IF(G8962="","",G8962*0.20)</f>
        <v/>
      </c>
      <c r="K8962" s="8">
        <f>IF(G8962="","",G8962+J8962)</f>
        <v/>
      </c>
    </row>
    <row r="8963">
      <c r="F8963" s="8" t="n"/>
      <c r="G8963" s="8">
        <f>IF(E8963="","",E8963*F8963)</f>
        <v/>
      </c>
      <c r="H8963" s="8">
        <f>IF(G8963="","",G8963-I8963)</f>
        <v/>
      </c>
      <c r="I8963" s="8">
        <f>IF(D8963="","",VLOOKUP(D8963, RECETTES!B:G, 6, FALSE)*E8963)</f>
        <v/>
      </c>
      <c r="J8963" s="8">
        <f>IF(G8963="","",G8963*0.20)</f>
        <v/>
      </c>
      <c r="K8963" s="8">
        <f>IF(G8963="","",G8963+J8963)</f>
        <v/>
      </c>
    </row>
    <row r="8964">
      <c r="F8964" s="8" t="n"/>
      <c r="G8964" s="8">
        <f>IF(E8964="","",E8964*F8964)</f>
        <v/>
      </c>
      <c r="H8964" s="8">
        <f>IF(G8964="","",G8964-I8964)</f>
        <v/>
      </c>
      <c r="I8964" s="8">
        <f>IF(D8964="","",VLOOKUP(D8964, RECETTES!B:G, 6, FALSE)*E8964)</f>
        <v/>
      </c>
      <c r="J8964" s="8">
        <f>IF(G8964="","",G8964*0.20)</f>
        <v/>
      </c>
      <c r="K8964" s="8">
        <f>IF(G8964="","",G8964+J8964)</f>
        <v/>
      </c>
    </row>
    <row r="8965">
      <c r="F8965" s="8" t="n"/>
      <c r="G8965" s="8">
        <f>IF(E8965="","",E8965*F8965)</f>
        <v/>
      </c>
      <c r="H8965" s="8">
        <f>IF(G8965="","",G8965-I8965)</f>
        <v/>
      </c>
      <c r="I8965" s="8">
        <f>IF(D8965="","",VLOOKUP(D8965, RECETTES!B:G, 6, FALSE)*E8965)</f>
        <v/>
      </c>
      <c r="J8965" s="8">
        <f>IF(G8965="","",G8965*0.20)</f>
        <v/>
      </c>
      <c r="K8965" s="8">
        <f>IF(G8965="","",G8965+J8965)</f>
        <v/>
      </c>
    </row>
    <row r="8966">
      <c r="F8966" s="8" t="n"/>
      <c r="G8966" s="8">
        <f>IF(E8966="","",E8966*F8966)</f>
        <v/>
      </c>
      <c r="H8966" s="8">
        <f>IF(G8966="","",G8966-I8966)</f>
        <v/>
      </c>
      <c r="I8966" s="8">
        <f>IF(D8966="","",VLOOKUP(D8966, RECETTES!B:G, 6, FALSE)*E8966)</f>
        <v/>
      </c>
      <c r="J8966" s="8">
        <f>IF(G8966="","",G8966*0.20)</f>
        <v/>
      </c>
      <c r="K8966" s="8">
        <f>IF(G8966="","",G8966+J8966)</f>
        <v/>
      </c>
    </row>
    <row r="8967">
      <c r="F8967" s="8" t="n"/>
      <c r="G8967" s="8">
        <f>IF(E8967="","",E8967*F8967)</f>
        <v/>
      </c>
      <c r="H8967" s="8">
        <f>IF(G8967="","",G8967-I8967)</f>
        <v/>
      </c>
      <c r="I8967" s="8">
        <f>IF(D8967="","",VLOOKUP(D8967, RECETTES!B:G, 6, FALSE)*E8967)</f>
        <v/>
      </c>
      <c r="J8967" s="8">
        <f>IF(G8967="","",G8967*0.20)</f>
        <v/>
      </c>
      <c r="K8967" s="8">
        <f>IF(G8967="","",G8967+J8967)</f>
        <v/>
      </c>
    </row>
    <row r="8968">
      <c r="F8968" s="8" t="n"/>
      <c r="G8968" s="8">
        <f>IF(E8968="","",E8968*F8968)</f>
        <v/>
      </c>
      <c r="H8968" s="8">
        <f>IF(G8968="","",G8968-I8968)</f>
        <v/>
      </c>
      <c r="I8968" s="8">
        <f>IF(D8968="","",VLOOKUP(D8968, RECETTES!B:G, 6, FALSE)*E8968)</f>
        <v/>
      </c>
      <c r="J8968" s="8">
        <f>IF(G8968="","",G8968*0.20)</f>
        <v/>
      </c>
      <c r="K8968" s="8">
        <f>IF(G8968="","",G8968+J8968)</f>
        <v/>
      </c>
    </row>
    <row r="8969">
      <c r="F8969" s="8" t="n"/>
      <c r="G8969" s="8">
        <f>IF(E8969="","",E8969*F8969)</f>
        <v/>
      </c>
      <c r="H8969" s="8">
        <f>IF(G8969="","",G8969-I8969)</f>
        <v/>
      </c>
      <c r="I8969" s="8">
        <f>IF(D8969="","",VLOOKUP(D8969, RECETTES!B:G, 6, FALSE)*E8969)</f>
        <v/>
      </c>
      <c r="J8969" s="8">
        <f>IF(G8969="","",G8969*0.20)</f>
        <v/>
      </c>
      <c r="K8969" s="8">
        <f>IF(G8969="","",G8969+J8969)</f>
        <v/>
      </c>
    </row>
    <row r="8970">
      <c r="F8970" s="8" t="n"/>
      <c r="G8970" s="8">
        <f>IF(E8970="","",E8970*F8970)</f>
        <v/>
      </c>
      <c r="H8970" s="8">
        <f>IF(G8970="","",G8970-I8970)</f>
        <v/>
      </c>
      <c r="I8970" s="8">
        <f>IF(D8970="","",VLOOKUP(D8970, RECETTES!B:G, 6, FALSE)*E8970)</f>
        <v/>
      </c>
      <c r="J8970" s="8">
        <f>IF(G8970="","",G8970*0.20)</f>
        <v/>
      </c>
      <c r="K8970" s="8">
        <f>IF(G8970="","",G8970+J8970)</f>
        <v/>
      </c>
    </row>
    <row r="8971">
      <c r="F8971" s="8" t="n"/>
      <c r="G8971" s="8">
        <f>IF(E8971="","",E8971*F8971)</f>
        <v/>
      </c>
      <c r="H8971" s="8">
        <f>IF(G8971="","",G8971-I8971)</f>
        <v/>
      </c>
      <c r="I8971" s="8">
        <f>IF(D8971="","",VLOOKUP(D8971, RECETTES!B:G, 6, FALSE)*E8971)</f>
        <v/>
      </c>
      <c r="J8971" s="8">
        <f>IF(G8971="","",G8971*0.20)</f>
        <v/>
      </c>
      <c r="K8971" s="8">
        <f>IF(G8971="","",G8971+J8971)</f>
        <v/>
      </c>
    </row>
    <row r="8972">
      <c r="F8972" s="8" t="n"/>
      <c r="G8972" s="8">
        <f>IF(E8972="","",E8972*F8972)</f>
        <v/>
      </c>
      <c r="H8972" s="8">
        <f>IF(G8972="","",G8972-I8972)</f>
        <v/>
      </c>
      <c r="I8972" s="8">
        <f>IF(D8972="","",VLOOKUP(D8972, RECETTES!B:G, 6, FALSE)*E8972)</f>
        <v/>
      </c>
      <c r="J8972" s="8">
        <f>IF(G8972="","",G8972*0.20)</f>
        <v/>
      </c>
      <c r="K8972" s="8">
        <f>IF(G8972="","",G8972+J8972)</f>
        <v/>
      </c>
    </row>
    <row r="8973">
      <c r="F8973" s="8" t="n"/>
      <c r="G8973" s="8">
        <f>IF(E8973="","",E8973*F8973)</f>
        <v/>
      </c>
      <c r="H8973" s="8">
        <f>IF(G8973="","",G8973-I8973)</f>
        <v/>
      </c>
      <c r="I8973" s="8">
        <f>IF(D8973="","",VLOOKUP(D8973, RECETTES!B:G, 6, FALSE)*E8973)</f>
        <v/>
      </c>
      <c r="J8973" s="8">
        <f>IF(G8973="","",G8973*0.20)</f>
        <v/>
      </c>
      <c r="K8973" s="8">
        <f>IF(G8973="","",G8973+J8973)</f>
        <v/>
      </c>
    </row>
    <row r="8974">
      <c r="F8974" s="8" t="n"/>
      <c r="G8974" s="8">
        <f>IF(E8974="","",E8974*F8974)</f>
        <v/>
      </c>
      <c r="H8974" s="8">
        <f>IF(G8974="","",G8974-I8974)</f>
        <v/>
      </c>
      <c r="I8974" s="8">
        <f>IF(D8974="","",VLOOKUP(D8974, RECETTES!B:G, 6, FALSE)*E8974)</f>
        <v/>
      </c>
      <c r="J8974" s="8">
        <f>IF(G8974="","",G8974*0.20)</f>
        <v/>
      </c>
      <c r="K8974" s="8">
        <f>IF(G8974="","",G8974+J8974)</f>
        <v/>
      </c>
    </row>
    <row r="8975">
      <c r="F8975" s="8" t="n"/>
      <c r="G8975" s="8">
        <f>IF(E8975="","",E8975*F8975)</f>
        <v/>
      </c>
      <c r="H8975" s="8">
        <f>IF(G8975="","",G8975-I8975)</f>
        <v/>
      </c>
      <c r="I8975" s="8">
        <f>IF(D8975="","",VLOOKUP(D8975, RECETTES!B:G, 6, FALSE)*E8975)</f>
        <v/>
      </c>
      <c r="J8975" s="8">
        <f>IF(G8975="","",G8975*0.20)</f>
        <v/>
      </c>
      <c r="K8975" s="8">
        <f>IF(G8975="","",G8975+J8975)</f>
        <v/>
      </c>
    </row>
    <row r="8976">
      <c r="F8976" s="8" t="n"/>
      <c r="G8976" s="8">
        <f>IF(E8976="","",E8976*F8976)</f>
        <v/>
      </c>
      <c r="H8976" s="8">
        <f>IF(G8976="","",G8976-I8976)</f>
        <v/>
      </c>
      <c r="I8976" s="8">
        <f>IF(D8976="","",VLOOKUP(D8976, RECETTES!B:G, 6, FALSE)*E8976)</f>
        <v/>
      </c>
      <c r="J8976" s="8">
        <f>IF(G8976="","",G8976*0.20)</f>
        <v/>
      </c>
      <c r="K8976" s="8">
        <f>IF(G8976="","",G8976+J8976)</f>
        <v/>
      </c>
    </row>
    <row r="8977">
      <c r="F8977" s="8" t="n"/>
      <c r="G8977" s="8">
        <f>IF(E8977="","",E8977*F8977)</f>
        <v/>
      </c>
      <c r="H8977" s="8">
        <f>IF(G8977="","",G8977-I8977)</f>
        <v/>
      </c>
      <c r="I8977" s="8">
        <f>IF(D8977="","",VLOOKUP(D8977, RECETTES!B:G, 6, FALSE)*E8977)</f>
        <v/>
      </c>
      <c r="J8977" s="8">
        <f>IF(G8977="","",G8977*0.20)</f>
        <v/>
      </c>
      <c r="K8977" s="8">
        <f>IF(G8977="","",G8977+J8977)</f>
        <v/>
      </c>
    </row>
    <row r="8978">
      <c r="F8978" s="8" t="n"/>
      <c r="G8978" s="8">
        <f>IF(E8978="","",E8978*F8978)</f>
        <v/>
      </c>
      <c r="H8978" s="8">
        <f>IF(G8978="","",G8978-I8978)</f>
        <v/>
      </c>
      <c r="I8978" s="8">
        <f>IF(D8978="","",VLOOKUP(D8978, RECETTES!B:G, 6, FALSE)*E8978)</f>
        <v/>
      </c>
      <c r="J8978" s="8">
        <f>IF(G8978="","",G8978*0.20)</f>
        <v/>
      </c>
      <c r="K8978" s="8">
        <f>IF(G8978="","",G8978+J8978)</f>
        <v/>
      </c>
    </row>
    <row r="8979">
      <c r="F8979" s="8" t="n"/>
      <c r="G8979" s="8">
        <f>IF(E8979="","",E8979*F8979)</f>
        <v/>
      </c>
      <c r="H8979" s="8">
        <f>IF(G8979="","",G8979-I8979)</f>
        <v/>
      </c>
      <c r="I8979" s="8">
        <f>IF(D8979="","",VLOOKUP(D8979, RECETTES!B:G, 6, FALSE)*E8979)</f>
        <v/>
      </c>
      <c r="J8979" s="8">
        <f>IF(G8979="","",G8979*0.20)</f>
        <v/>
      </c>
      <c r="K8979" s="8">
        <f>IF(G8979="","",G8979+J8979)</f>
        <v/>
      </c>
    </row>
    <row r="8980">
      <c r="F8980" s="8" t="n"/>
      <c r="G8980" s="8">
        <f>IF(E8980="","",E8980*F8980)</f>
        <v/>
      </c>
      <c r="H8980" s="8">
        <f>IF(G8980="","",G8980-I8980)</f>
        <v/>
      </c>
      <c r="I8980" s="8">
        <f>IF(D8980="","",VLOOKUP(D8980, RECETTES!B:G, 6, FALSE)*E8980)</f>
        <v/>
      </c>
      <c r="J8980" s="8">
        <f>IF(G8980="","",G8980*0.20)</f>
        <v/>
      </c>
      <c r="K8980" s="8">
        <f>IF(G8980="","",G8980+J8980)</f>
        <v/>
      </c>
    </row>
    <row r="8981">
      <c r="F8981" s="8" t="n"/>
      <c r="G8981" s="8">
        <f>IF(E8981="","",E8981*F8981)</f>
        <v/>
      </c>
      <c r="H8981" s="8">
        <f>IF(G8981="","",G8981-I8981)</f>
        <v/>
      </c>
      <c r="I8981" s="8">
        <f>IF(D8981="","",VLOOKUP(D8981, RECETTES!B:G, 6, FALSE)*E8981)</f>
        <v/>
      </c>
      <c r="J8981" s="8">
        <f>IF(G8981="","",G8981*0.20)</f>
        <v/>
      </c>
      <c r="K8981" s="8">
        <f>IF(G8981="","",G8981+J8981)</f>
        <v/>
      </c>
    </row>
    <row r="8982">
      <c r="F8982" s="8" t="n"/>
      <c r="G8982" s="8">
        <f>IF(E8982="","",E8982*F8982)</f>
        <v/>
      </c>
      <c r="H8982" s="8">
        <f>IF(G8982="","",G8982-I8982)</f>
        <v/>
      </c>
      <c r="I8982" s="8">
        <f>IF(D8982="","",VLOOKUP(D8982, RECETTES!B:G, 6, FALSE)*E8982)</f>
        <v/>
      </c>
      <c r="J8982" s="8">
        <f>IF(G8982="","",G8982*0.20)</f>
        <v/>
      </c>
      <c r="K8982" s="8">
        <f>IF(G8982="","",G8982+J8982)</f>
        <v/>
      </c>
    </row>
    <row r="8983">
      <c r="F8983" s="8" t="n"/>
      <c r="G8983" s="8">
        <f>IF(E8983="","",E8983*F8983)</f>
        <v/>
      </c>
      <c r="H8983" s="8">
        <f>IF(G8983="","",G8983-I8983)</f>
        <v/>
      </c>
      <c r="I8983" s="8">
        <f>IF(D8983="","",VLOOKUP(D8983, RECETTES!B:G, 6, FALSE)*E8983)</f>
        <v/>
      </c>
      <c r="J8983" s="8">
        <f>IF(G8983="","",G8983*0.20)</f>
        <v/>
      </c>
      <c r="K8983" s="8">
        <f>IF(G8983="","",G8983+J8983)</f>
        <v/>
      </c>
    </row>
    <row r="8984">
      <c r="F8984" s="8" t="n"/>
      <c r="G8984" s="8">
        <f>IF(E8984="","",E8984*F8984)</f>
        <v/>
      </c>
      <c r="H8984" s="8">
        <f>IF(G8984="","",G8984-I8984)</f>
        <v/>
      </c>
      <c r="I8984" s="8">
        <f>IF(D8984="","",VLOOKUP(D8984, RECETTES!B:G, 6, FALSE)*E8984)</f>
        <v/>
      </c>
      <c r="J8984" s="8">
        <f>IF(G8984="","",G8984*0.20)</f>
        <v/>
      </c>
      <c r="K8984" s="8">
        <f>IF(G8984="","",G8984+J8984)</f>
        <v/>
      </c>
    </row>
    <row r="8985">
      <c r="F8985" s="8" t="n"/>
      <c r="G8985" s="8">
        <f>IF(E8985="","",E8985*F8985)</f>
        <v/>
      </c>
      <c r="H8985" s="8">
        <f>IF(G8985="","",G8985-I8985)</f>
        <v/>
      </c>
      <c r="I8985" s="8">
        <f>IF(D8985="","",VLOOKUP(D8985, RECETTES!B:G, 6, FALSE)*E8985)</f>
        <v/>
      </c>
      <c r="J8985" s="8">
        <f>IF(G8985="","",G8985*0.20)</f>
        <v/>
      </c>
      <c r="K8985" s="8">
        <f>IF(G8985="","",G8985+J8985)</f>
        <v/>
      </c>
    </row>
    <row r="8986">
      <c r="F8986" s="8" t="n"/>
      <c r="G8986" s="8">
        <f>IF(E8986="","",E8986*F8986)</f>
        <v/>
      </c>
      <c r="H8986" s="8">
        <f>IF(G8986="","",G8986-I8986)</f>
        <v/>
      </c>
      <c r="I8986" s="8">
        <f>IF(D8986="","",VLOOKUP(D8986, RECETTES!B:G, 6, FALSE)*E8986)</f>
        <v/>
      </c>
      <c r="J8986" s="8">
        <f>IF(G8986="","",G8986*0.20)</f>
        <v/>
      </c>
      <c r="K8986" s="8">
        <f>IF(G8986="","",G8986+J8986)</f>
        <v/>
      </c>
    </row>
    <row r="8987">
      <c r="F8987" s="8" t="n"/>
      <c r="G8987" s="8">
        <f>IF(E8987="","",E8987*F8987)</f>
        <v/>
      </c>
      <c r="H8987" s="8">
        <f>IF(G8987="","",G8987-I8987)</f>
        <v/>
      </c>
      <c r="I8987" s="8">
        <f>IF(D8987="","",VLOOKUP(D8987, RECETTES!B:G, 6, FALSE)*E8987)</f>
        <v/>
      </c>
      <c r="J8987" s="8">
        <f>IF(G8987="","",G8987*0.20)</f>
        <v/>
      </c>
      <c r="K8987" s="8">
        <f>IF(G8987="","",G8987+J8987)</f>
        <v/>
      </c>
    </row>
    <row r="8988">
      <c r="F8988" s="8" t="n"/>
      <c r="G8988" s="8">
        <f>IF(E8988="","",E8988*F8988)</f>
        <v/>
      </c>
      <c r="H8988" s="8">
        <f>IF(G8988="","",G8988-I8988)</f>
        <v/>
      </c>
      <c r="I8988" s="8">
        <f>IF(D8988="","",VLOOKUP(D8988, RECETTES!B:G, 6, FALSE)*E8988)</f>
        <v/>
      </c>
      <c r="J8988" s="8">
        <f>IF(G8988="","",G8988*0.20)</f>
        <v/>
      </c>
      <c r="K8988" s="8">
        <f>IF(G8988="","",G8988+J8988)</f>
        <v/>
      </c>
    </row>
    <row r="8989">
      <c r="F8989" s="8" t="n"/>
      <c r="G8989" s="8">
        <f>IF(E8989="","",E8989*F8989)</f>
        <v/>
      </c>
      <c r="H8989" s="8">
        <f>IF(G8989="","",G8989-I8989)</f>
        <v/>
      </c>
      <c r="I8989" s="8">
        <f>IF(D8989="","",VLOOKUP(D8989, RECETTES!B:G, 6, FALSE)*E8989)</f>
        <v/>
      </c>
      <c r="J8989" s="8">
        <f>IF(G8989="","",G8989*0.20)</f>
        <v/>
      </c>
      <c r="K8989" s="8">
        <f>IF(G8989="","",G8989+J8989)</f>
        <v/>
      </c>
    </row>
    <row r="8990">
      <c r="F8990" s="8" t="n"/>
      <c r="G8990" s="8">
        <f>IF(E8990="","",E8990*F8990)</f>
        <v/>
      </c>
      <c r="H8990" s="8">
        <f>IF(G8990="","",G8990-I8990)</f>
        <v/>
      </c>
      <c r="I8990" s="8">
        <f>IF(D8990="","",VLOOKUP(D8990, RECETTES!B:G, 6, FALSE)*E8990)</f>
        <v/>
      </c>
      <c r="J8990" s="8">
        <f>IF(G8990="","",G8990*0.20)</f>
        <v/>
      </c>
      <c r="K8990" s="8">
        <f>IF(G8990="","",G8990+J8990)</f>
        <v/>
      </c>
    </row>
    <row r="8991">
      <c r="F8991" s="8" t="n"/>
      <c r="G8991" s="8">
        <f>IF(E8991="","",E8991*F8991)</f>
        <v/>
      </c>
      <c r="H8991" s="8">
        <f>IF(G8991="","",G8991-I8991)</f>
        <v/>
      </c>
      <c r="I8991" s="8">
        <f>IF(D8991="","",VLOOKUP(D8991, RECETTES!B:G, 6, FALSE)*E8991)</f>
        <v/>
      </c>
      <c r="J8991" s="8">
        <f>IF(G8991="","",G8991*0.20)</f>
        <v/>
      </c>
      <c r="K8991" s="8">
        <f>IF(G8991="","",G8991+J8991)</f>
        <v/>
      </c>
    </row>
    <row r="8992">
      <c r="F8992" s="8" t="n"/>
      <c r="G8992" s="8">
        <f>IF(E8992="","",E8992*F8992)</f>
        <v/>
      </c>
      <c r="H8992" s="8">
        <f>IF(G8992="","",G8992-I8992)</f>
        <v/>
      </c>
      <c r="I8992" s="8">
        <f>IF(D8992="","",VLOOKUP(D8992, RECETTES!B:G, 6, FALSE)*E8992)</f>
        <v/>
      </c>
      <c r="J8992" s="8">
        <f>IF(G8992="","",G8992*0.20)</f>
        <v/>
      </c>
      <c r="K8992" s="8">
        <f>IF(G8992="","",G8992+J8992)</f>
        <v/>
      </c>
    </row>
    <row r="8993">
      <c r="F8993" s="8" t="n"/>
      <c r="G8993" s="8">
        <f>IF(E8993="","",E8993*F8993)</f>
        <v/>
      </c>
      <c r="H8993" s="8">
        <f>IF(G8993="","",G8993-I8993)</f>
        <v/>
      </c>
      <c r="I8993" s="8">
        <f>IF(D8993="","",VLOOKUP(D8993, RECETTES!B:G, 6, FALSE)*E8993)</f>
        <v/>
      </c>
      <c r="J8993" s="8">
        <f>IF(G8993="","",G8993*0.20)</f>
        <v/>
      </c>
      <c r="K8993" s="8">
        <f>IF(G8993="","",G8993+J8993)</f>
        <v/>
      </c>
    </row>
    <row r="8994">
      <c r="F8994" s="8" t="n"/>
      <c r="G8994" s="8">
        <f>IF(E8994="","",E8994*F8994)</f>
        <v/>
      </c>
      <c r="H8994" s="8">
        <f>IF(G8994="","",G8994-I8994)</f>
        <v/>
      </c>
      <c r="I8994" s="8">
        <f>IF(D8994="","",VLOOKUP(D8994, RECETTES!B:G, 6, FALSE)*E8994)</f>
        <v/>
      </c>
      <c r="J8994" s="8">
        <f>IF(G8994="","",G8994*0.20)</f>
        <v/>
      </c>
      <c r="K8994" s="8">
        <f>IF(G8994="","",G8994+J8994)</f>
        <v/>
      </c>
    </row>
    <row r="8995">
      <c r="F8995" s="8" t="n"/>
      <c r="G8995" s="8">
        <f>IF(E8995="","",E8995*F8995)</f>
        <v/>
      </c>
      <c r="H8995" s="8">
        <f>IF(G8995="","",G8995-I8995)</f>
        <v/>
      </c>
      <c r="I8995" s="8">
        <f>IF(D8995="","",VLOOKUP(D8995, RECETTES!B:G, 6, FALSE)*E8995)</f>
        <v/>
      </c>
      <c r="J8995" s="8">
        <f>IF(G8995="","",G8995*0.20)</f>
        <v/>
      </c>
      <c r="K8995" s="8">
        <f>IF(G8995="","",G8995+J8995)</f>
        <v/>
      </c>
    </row>
    <row r="8996">
      <c r="F8996" s="8" t="n"/>
      <c r="G8996" s="8">
        <f>IF(E8996="","",E8996*F8996)</f>
        <v/>
      </c>
      <c r="H8996" s="8">
        <f>IF(G8996="","",G8996-I8996)</f>
        <v/>
      </c>
      <c r="I8996" s="8">
        <f>IF(D8996="","",VLOOKUP(D8996, RECETTES!B:G, 6, FALSE)*E8996)</f>
        <v/>
      </c>
      <c r="J8996" s="8">
        <f>IF(G8996="","",G8996*0.20)</f>
        <v/>
      </c>
      <c r="K8996" s="8">
        <f>IF(G8996="","",G8996+J8996)</f>
        <v/>
      </c>
    </row>
    <row r="8997">
      <c r="F8997" s="8" t="n"/>
      <c r="G8997" s="8">
        <f>IF(E8997="","",E8997*F8997)</f>
        <v/>
      </c>
      <c r="H8997" s="8">
        <f>IF(G8997="","",G8997-I8997)</f>
        <v/>
      </c>
      <c r="I8997" s="8">
        <f>IF(D8997="","",VLOOKUP(D8997, RECETTES!B:G, 6, FALSE)*E8997)</f>
        <v/>
      </c>
      <c r="J8997" s="8">
        <f>IF(G8997="","",G8997*0.20)</f>
        <v/>
      </c>
      <c r="K8997" s="8">
        <f>IF(G8997="","",G8997+J8997)</f>
        <v/>
      </c>
    </row>
    <row r="8998">
      <c r="F8998" s="8" t="n"/>
      <c r="G8998" s="8">
        <f>IF(E8998="","",E8998*F8998)</f>
        <v/>
      </c>
      <c r="H8998" s="8">
        <f>IF(G8998="","",G8998-I8998)</f>
        <v/>
      </c>
      <c r="I8998" s="8">
        <f>IF(D8998="","",VLOOKUP(D8998, RECETTES!B:G, 6, FALSE)*E8998)</f>
        <v/>
      </c>
      <c r="J8998" s="8">
        <f>IF(G8998="","",G8998*0.20)</f>
        <v/>
      </c>
      <c r="K8998" s="8">
        <f>IF(G8998="","",G8998+J8998)</f>
        <v/>
      </c>
    </row>
    <row r="8999">
      <c r="F8999" s="8" t="n"/>
      <c r="G8999" s="8">
        <f>IF(E8999="","",E8999*F8999)</f>
        <v/>
      </c>
      <c r="H8999" s="8">
        <f>IF(G8999="","",G8999-I8999)</f>
        <v/>
      </c>
      <c r="I8999" s="8">
        <f>IF(D8999="","",VLOOKUP(D8999, RECETTES!B:G, 6, FALSE)*E8999)</f>
        <v/>
      </c>
      <c r="J8999" s="8">
        <f>IF(G8999="","",G8999*0.20)</f>
        <v/>
      </c>
      <c r="K8999" s="8">
        <f>IF(G8999="","",G8999+J8999)</f>
        <v/>
      </c>
    </row>
    <row r="9000">
      <c r="F9000" s="8" t="n"/>
      <c r="G9000" s="8">
        <f>IF(E9000="","",E9000*F9000)</f>
        <v/>
      </c>
      <c r="H9000" s="8">
        <f>IF(G9000="","",G9000-I9000)</f>
        <v/>
      </c>
      <c r="I9000" s="8">
        <f>IF(D9000="","",VLOOKUP(D9000, RECETTES!B:G, 6, FALSE)*E9000)</f>
        <v/>
      </c>
      <c r="J9000" s="8">
        <f>IF(G9000="","",G9000*0.20)</f>
        <v/>
      </c>
      <c r="K9000" s="8">
        <f>IF(G9000="","",G9000+J9000)</f>
        <v/>
      </c>
    </row>
    <row r="9001">
      <c r="F9001" s="8" t="n"/>
      <c r="G9001" s="8">
        <f>IF(E9001="","",E9001*F9001)</f>
        <v/>
      </c>
      <c r="H9001" s="8">
        <f>IF(G9001="","",G9001-I9001)</f>
        <v/>
      </c>
      <c r="I9001" s="8">
        <f>IF(D9001="","",VLOOKUP(D9001, RECETTES!B:G, 6, FALSE)*E9001)</f>
        <v/>
      </c>
      <c r="J9001" s="8">
        <f>IF(G9001="","",G9001*0.20)</f>
        <v/>
      </c>
      <c r="K9001" s="8">
        <f>IF(G9001="","",G9001+J9001)</f>
        <v/>
      </c>
    </row>
    <row r="9002">
      <c r="F9002" s="8" t="n"/>
      <c r="G9002" s="8">
        <f>IF(E9002="","",E9002*F9002)</f>
        <v/>
      </c>
      <c r="H9002" s="8">
        <f>IF(G9002="","",G9002-I9002)</f>
        <v/>
      </c>
      <c r="I9002" s="8">
        <f>IF(D9002="","",VLOOKUP(D9002, RECETTES!B:G, 6, FALSE)*E9002)</f>
        <v/>
      </c>
      <c r="J9002" s="8">
        <f>IF(G9002="","",G9002*0.20)</f>
        <v/>
      </c>
      <c r="K9002" s="8">
        <f>IF(G9002="","",G9002+J9002)</f>
        <v/>
      </c>
    </row>
    <row r="9003">
      <c r="F9003" s="8" t="n"/>
      <c r="G9003" s="8">
        <f>IF(E9003="","",E9003*F9003)</f>
        <v/>
      </c>
      <c r="H9003" s="8">
        <f>IF(G9003="","",G9003-I9003)</f>
        <v/>
      </c>
      <c r="I9003" s="8">
        <f>IF(D9003="","",VLOOKUP(D9003, RECETTES!B:G, 6, FALSE)*E9003)</f>
        <v/>
      </c>
      <c r="J9003" s="8">
        <f>IF(G9003="","",G9003*0.20)</f>
        <v/>
      </c>
      <c r="K9003" s="8">
        <f>IF(G9003="","",G9003+J9003)</f>
        <v/>
      </c>
    </row>
    <row r="9004">
      <c r="F9004" s="8" t="n"/>
      <c r="G9004" s="8">
        <f>IF(E9004="","",E9004*F9004)</f>
        <v/>
      </c>
      <c r="H9004" s="8">
        <f>IF(G9004="","",G9004-I9004)</f>
        <v/>
      </c>
      <c r="I9004" s="8">
        <f>IF(D9004="","",VLOOKUP(D9004, RECETTES!B:G, 6, FALSE)*E9004)</f>
        <v/>
      </c>
      <c r="J9004" s="8">
        <f>IF(G9004="","",G9004*0.20)</f>
        <v/>
      </c>
      <c r="K9004" s="8">
        <f>IF(G9004="","",G9004+J9004)</f>
        <v/>
      </c>
    </row>
    <row r="9005">
      <c r="F9005" s="8" t="n"/>
      <c r="G9005" s="8">
        <f>IF(E9005="","",E9005*F9005)</f>
        <v/>
      </c>
      <c r="H9005" s="8">
        <f>IF(G9005="","",G9005-I9005)</f>
        <v/>
      </c>
      <c r="I9005" s="8">
        <f>IF(D9005="","",VLOOKUP(D9005, RECETTES!B:G, 6, FALSE)*E9005)</f>
        <v/>
      </c>
      <c r="J9005" s="8">
        <f>IF(G9005="","",G9005*0.20)</f>
        <v/>
      </c>
      <c r="K9005" s="8">
        <f>IF(G9005="","",G9005+J9005)</f>
        <v/>
      </c>
    </row>
    <row r="9006">
      <c r="F9006" s="8" t="n"/>
      <c r="G9006" s="8">
        <f>IF(E9006="","",E9006*F9006)</f>
        <v/>
      </c>
      <c r="H9006" s="8">
        <f>IF(G9006="","",G9006-I9006)</f>
        <v/>
      </c>
      <c r="I9006" s="8">
        <f>IF(D9006="","",VLOOKUP(D9006, RECETTES!B:G, 6, FALSE)*E9006)</f>
        <v/>
      </c>
      <c r="J9006" s="8">
        <f>IF(G9006="","",G9006*0.20)</f>
        <v/>
      </c>
      <c r="K9006" s="8">
        <f>IF(G9006="","",G9006+J9006)</f>
        <v/>
      </c>
    </row>
    <row r="9007">
      <c r="F9007" s="8" t="n"/>
      <c r="G9007" s="8">
        <f>IF(E9007="","",E9007*F9007)</f>
        <v/>
      </c>
      <c r="H9007" s="8">
        <f>IF(G9007="","",G9007-I9007)</f>
        <v/>
      </c>
      <c r="I9007" s="8">
        <f>IF(D9007="","",VLOOKUP(D9007, RECETTES!B:G, 6, FALSE)*E9007)</f>
        <v/>
      </c>
      <c r="J9007" s="8">
        <f>IF(G9007="","",G9007*0.20)</f>
        <v/>
      </c>
      <c r="K9007" s="8">
        <f>IF(G9007="","",G9007+J9007)</f>
        <v/>
      </c>
    </row>
    <row r="9008">
      <c r="F9008" s="8" t="n"/>
      <c r="G9008" s="8">
        <f>IF(E9008="","",E9008*F9008)</f>
        <v/>
      </c>
      <c r="H9008" s="8">
        <f>IF(G9008="","",G9008-I9008)</f>
        <v/>
      </c>
      <c r="I9008" s="8">
        <f>IF(D9008="","",VLOOKUP(D9008, RECETTES!B:G, 6, FALSE)*E9008)</f>
        <v/>
      </c>
      <c r="J9008" s="8">
        <f>IF(G9008="","",G9008*0.20)</f>
        <v/>
      </c>
      <c r="K9008" s="8">
        <f>IF(G9008="","",G9008+J9008)</f>
        <v/>
      </c>
    </row>
    <row r="9009">
      <c r="F9009" s="8" t="n"/>
      <c r="G9009" s="8">
        <f>IF(E9009="","",E9009*F9009)</f>
        <v/>
      </c>
      <c r="H9009" s="8">
        <f>IF(G9009="","",G9009-I9009)</f>
        <v/>
      </c>
      <c r="I9009" s="8">
        <f>IF(D9009="","",VLOOKUP(D9009, RECETTES!B:G, 6, FALSE)*E9009)</f>
        <v/>
      </c>
      <c r="J9009" s="8">
        <f>IF(G9009="","",G9009*0.20)</f>
        <v/>
      </c>
      <c r="K9009" s="8">
        <f>IF(G9009="","",G9009+J9009)</f>
        <v/>
      </c>
    </row>
    <row r="9010">
      <c r="F9010" s="8" t="n"/>
      <c r="G9010" s="8">
        <f>IF(E9010="","",E9010*F9010)</f>
        <v/>
      </c>
      <c r="H9010" s="8">
        <f>IF(G9010="","",G9010-I9010)</f>
        <v/>
      </c>
      <c r="I9010" s="8">
        <f>IF(D9010="","",VLOOKUP(D9010, RECETTES!B:G, 6, FALSE)*E9010)</f>
        <v/>
      </c>
      <c r="J9010" s="8">
        <f>IF(G9010="","",G9010*0.20)</f>
        <v/>
      </c>
      <c r="K9010" s="8">
        <f>IF(G9010="","",G9010+J9010)</f>
        <v/>
      </c>
    </row>
    <row r="9011">
      <c r="F9011" s="8" t="n"/>
      <c r="G9011" s="8">
        <f>IF(E9011="","",E9011*F9011)</f>
        <v/>
      </c>
      <c r="H9011" s="8">
        <f>IF(G9011="","",G9011-I9011)</f>
        <v/>
      </c>
      <c r="I9011" s="8">
        <f>IF(D9011="","",VLOOKUP(D9011, RECETTES!B:G, 6, FALSE)*E9011)</f>
        <v/>
      </c>
      <c r="J9011" s="8">
        <f>IF(G9011="","",G9011*0.20)</f>
        <v/>
      </c>
      <c r="K9011" s="8">
        <f>IF(G9011="","",G9011+J9011)</f>
        <v/>
      </c>
    </row>
    <row r="9012">
      <c r="F9012" s="8" t="n"/>
      <c r="G9012" s="8">
        <f>IF(E9012="","",E9012*F9012)</f>
        <v/>
      </c>
      <c r="H9012" s="8">
        <f>IF(G9012="","",G9012-I9012)</f>
        <v/>
      </c>
      <c r="I9012" s="8">
        <f>IF(D9012="","",VLOOKUP(D9012, RECETTES!B:G, 6, FALSE)*E9012)</f>
        <v/>
      </c>
      <c r="J9012" s="8">
        <f>IF(G9012="","",G9012*0.20)</f>
        <v/>
      </c>
      <c r="K9012" s="8">
        <f>IF(G9012="","",G9012+J9012)</f>
        <v/>
      </c>
    </row>
    <row r="9013">
      <c r="F9013" s="8" t="n"/>
      <c r="G9013" s="8">
        <f>IF(E9013="","",E9013*F9013)</f>
        <v/>
      </c>
      <c r="H9013" s="8">
        <f>IF(G9013="","",G9013-I9013)</f>
        <v/>
      </c>
      <c r="I9013" s="8">
        <f>IF(D9013="","",VLOOKUP(D9013, RECETTES!B:G, 6, FALSE)*E9013)</f>
        <v/>
      </c>
      <c r="J9013" s="8">
        <f>IF(G9013="","",G9013*0.20)</f>
        <v/>
      </c>
      <c r="K9013" s="8">
        <f>IF(G9013="","",G9013+J9013)</f>
        <v/>
      </c>
    </row>
    <row r="9014">
      <c r="F9014" s="8" t="n"/>
      <c r="G9014" s="8">
        <f>IF(E9014="","",E9014*F9014)</f>
        <v/>
      </c>
      <c r="H9014" s="8">
        <f>IF(G9014="","",G9014-I9014)</f>
        <v/>
      </c>
      <c r="I9014" s="8">
        <f>IF(D9014="","",VLOOKUP(D9014, RECETTES!B:G, 6, FALSE)*E9014)</f>
        <v/>
      </c>
      <c r="J9014" s="8">
        <f>IF(G9014="","",G9014*0.20)</f>
        <v/>
      </c>
      <c r="K9014" s="8">
        <f>IF(G9014="","",G9014+J9014)</f>
        <v/>
      </c>
    </row>
    <row r="9015">
      <c r="F9015" s="8" t="n"/>
      <c r="G9015" s="8">
        <f>IF(E9015="","",E9015*F9015)</f>
        <v/>
      </c>
      <c r="H9015" s="8">
        <f>IF(G9015="","",G9015-I9015)</f>
        <v/>
      </c>
      <c r="I9015" s="8">
        <f>IF(D9015="","",VLOOKUP(D9015, RECETTES!B:G, 6, FALSE)*E9015)</f>
        <v/>
      </c>
      <c r="J9015" s="8">
        <f>IF(G9015="","",G9015*0.20)</f>
        <v/>
      </c>
      <c r="K9015" s="8">
        <f>IF(G9015="","",G9015+J9015)</f>
        <v/>
      </c>
    </row>
    <row r="9016">
      <c r="F9016" s="8" t="n"/>
      <c r="G9016" s="8">
        <f>IF(E9016="","",E9016*F9016)</f>
        <v/>
      </c>
      <c r="H9016" s="8">
        <f>IF(G9016="","",G9016-I9016)</f>
        <v/>
      </c>
      <c r="I9016" s="8">
        <f>IF(D9016="","",VLOOKUP(D9016, RECETTES!B:G, 6, FALSE)*E9016)</f>
        <v/>
      </c>
      <c r="J9016" s="8">
        <f>IF(G9016="","",G9016*0.20)</f>
        <v/>
      </c>
      <c r="K9016" s="8">
        <f>IF(G9016="","",G9016+J9016)</f>
        <v/>
      </c>
    </row>
    <row r="9017">
      <c r="F9017" s="8" t="n"/>
      <c r="G9017" s="8">
        <f>IF(E9017="","",E9017*F9017)</f>
        <v/>
      </c>
      <c r="H9017" s="8">
        <f>IF(G9017="","",G9017-I9017)</f>
        <v/>
      </c>
      <c r="I9017" s="8">
        <f>IF(D9017="","",VLOOKUP(D9017, RECETTES!B:G, 6, FALSE)*E9017)</f>
        <v/>
      </c>
      <c r="J9017" s="8">
        <f>IF(G9017="","",G9017*0.20)</f>
        <v/>
      </c>
      <c r="K9017" s="8">
        <f>IF(G9017="","",G9017+J9017)</f>
        <v/>
      </c>
    </row>
    <row r="9018">
      <c r="F9018" s="8" t="n"/>
      <c r="G9018" s="8">
        <f>IF(E9018="","",E9018*F9018)</f>
        <v/>
      </c>
      <c r="H9018" s="8">
        <f>IF(G9018="","",G9018-I9018)</f>
        <v/>
      </c>
      <c r="I9018" s="8">
        <f>IF(D9018="","",VLOOKUP(D9018, RECETTES!B:G, 6, FALSE)*E9018)</f>
        <v/>
      </c>
      <c r="J9018" s="8">
        <f>IF(G9018="","",G9018*0.20)</f>
        <v/>
      </c>
      <c r="K9018" s="8">
        <f>IF(G9018="","",G9018+J9018)</f>
        <v/>
      </c>
    </row>
    <row r="9019">
      <c r="F9019" s="8" t="n"/>
      <c r="G9019" s="8">
        <f>IF(E9019="","",E9019*F9019)</f>
        <v/>
      </c>
      <c r="H9019" s="8">
        <f>IF(G9019="","",G9019-I9019)</f>
        <v/>
      </c>
      <c r="I9019" s="8">
        <f>IF(D9019="","",VLOOKUP(D9019, RECETTES!B:G, 6, FALSE)*E9019)</f>
        <v/>
      </c>
      <c r="J9019" s="8">
        <f>IF(G9019="","",G9019*0.20)</f>
        <v/>
      </c>
      <c r="K9019" s="8">
        <f>IF(G9019="","",G9019+J9019)</f>
        <v/>
      </c>
    </row>
    <row r="9020">
      <c r="F9020" s="8" t="n"/>
      <c r="G9020" s="8">
        <f>IF(E9020="","",E9020*F9020)</f>
        <v/>
      </c>
      <c r="H9020" s="8">
        <f>IF(G9020="","",G9020-I9020)</f>
        <v/>
      </c>
      <c r="I9020" s="8">
        <f>IF(D9020="","",VLOOKUP(D9020, RECETTES!B:G, 6, FALSE)*E9020)</f>
        <v/>
      </c>
      <c r="J9020" s="8">
        <f>IF(G9020="","",G9020*0.20)</f>
        <v/>
      </c>
      <c r="K9020" s="8">
        <f>IF(G9020="","",G9020+J9020)</f>
        <v/>
      </c>
    </row>
    <row r="9021">
      <c r="F9021" s="8" t="n"/>
      <c r="G9021" s="8">
        <f>IF(E9021="","",E9021*F9021)</f>
        <v/>
      </c>
      <c r="H9021" s="8">
        <f>IF(G9021="","",G9021-I9021)</f>
        <v/>
      </c>
      <c r="I9021" s="8">
        <f>IF(D9021="","",VLOOKUP(D9021, RECETTES!B:G, 6, FALSE)*E9021)</f>
        <v/>
      </c>
      <c r="J9021" s="8">
        <f>IF(G9021="","",G9021*0.20)</f>
        <v/>
      </c>
      <c r="K9021" s="8">
        <f>IF(G9021="","",G9021+J9021)</f>
        <v/>
      </c>
    </row>
    <row r="9022">
      <c r="F9022" s="8" t="n"/>
      <c r="G9022" s="8">
        <f>IF(E9022="","",E9022*F9022)</f>
        <v/>
      </c>
      <c r="H9022" s="8">
        <f>IF(G9022="","",G9022-I9022)</f>
        <v/>
      </c>
      <c r="I9022" s="8">
        <f>IF(D9022="","",VLOOKUP(D9022, RECETTES!B:G, 6, FALSE)*E9022)</f>
        <v/>
      </c>
      <c r="J9022" s="8">
        <f>IF(G9022="","",G9022*0.20)</f>
        <v/>
      </c>
      <c r="K9022" s="8">
        <f>IF(G9022="","",G9022+J9022)</f>
        <v/>
      </c>
    </row>
    <row r="9023">
      <c r="F9023" s="8" t="n"/>
      <c r="G9023" s="8">
        <f>IF(E9023="","",E9023*F9023)</f>
        <v/>
      </c>
      <c r="H9023" s="8">
        <f>IF(G9023="","",G9023-I9023)</f>
        <v/>
      </c>
      <c r="I9023" s="8">
        <f>IF(D9023="","",VLOOKUP(D9023, RECETTES!B:G, 6, FALSE)*E9023)</f>
        <v/>
      </c>
      <c r="J9023" s="8">
        <f>IF(G9023="","",G9023*0.20)</f>
        <v/>
      </c>
      <c r="K9023" s="8">
        <f>IF(G9023="","",G9023+J9023)</f>
        <v/>
      </c>
    </row>
    <row r="9024">
      <c r="F9024" s="8" t="n"/>
      <c r="G9024" s="8">
        <f>IF(E9024="","",E9024*F9024)</f>
        <v/>
      </c>
      <c r="H9024" s="8">
        <f>IF(G9024="","",G9024-I9024)</f>
        <v/>
      </c>
      <c r="I9024" s="8">
        <f>IF(D9024="","",VLOOKUP(D9024, RECETTES!B:G, 6, FALSE)*E9024)</f>
        <v/>
      </c>
      <c r="J9024" s="8">
        <f>IF(G9024="","",G9024*0.20)</f>
        <v/>
      </c>
      <c r="K9024" s="8">
        <f>IF(G9024="","",G9024+J9024)</f>
        <v/>
      </c>
    </row>
    <row r="9025">
      <c r="F9025" s="8" t="n"/>
      <c r="G9025" s="8">
        <f>IF(E9025="","",E9025*F9025)</f>
        <v/>
      </c>
      <c r="H9025" s="8">
        <f>IF(G9025="","",G9025-I9025)</f>
        <v/>
      </c>
      <c r="I9025" s="8">
        <f>IF(D9025="","",VLOOKUP(D9025, RECETTES!B:G, 6, FALSE)*E9025)</f>
        <v/>
      </c>
      <c r="J9025" s="8">
        <f>IF(G9025="","",G9025*0.20)</f>
        <v/>
      </c>
      <c r="K9025" s="8">
        <f>IF(G9025="","",G9025+J9025)</f>
        <v/>
      </c>
    </row>
    <row r="9026">
      <c r="F9026" s="8" t="n"/>
      <c r="G9026" s="8">
        <f>IF(E9026="","",E9026*F9026)</f>
        <v/>
      </c>
      <c r="H9026" s="8">
        <f>IF(G9026="","",G9026-I9026)</f>
        <v/>
      </c>
      <c r="I9026" s="8">
        <f>IF(D9026="","",VLOOKUP(D9026, RECETTES!B:G, 6, FALSE)*E9026)</f>
        <v/>
      </c>
      <c r="J9026" s="8">
        <f>IF(G9026="","",G9026*0.20)</f>
        <v/>
      </c>
      <c r="K9026" s="8">
        <f>IF(G9026="","",G9026+J9026)</f>
        <v/>
      </c>
    </row>
    <row r="9027">
      <c r="F9027" s="8" t="n"/>
      <c r="G9027" s="8">
        <f>IF(E9027="","",E9027*F9027)</f>
        <v/>
      </c>
      <c r="H9027" s="8">
        <f>IF(G9027="","",G9027-I9027)</f>
        <v/>
      </c>
      <c r="I9027" s="8">
        <f>IF(D9027="","",VLOOKUP(D9027, RECETTES!B:G, 6, FALSE)*E9027)</f>
        <v/>
      </c>
      <c r="J9027" s="8">
        <f>IF(G9027="","",G9027*0.20)</f>
        <v/>
      </c>
      <c r="K9027" s="8">
        <f>IF(G9027="","",G9027+J9027)</f>
        <v/>
      </c>
    </row>
    <row r="9028">
      <c r="F9028" s="8" t="n"/>
      <c r="G9028" s="8">
        <f>IF(E9028="","",E9028*F9028)</f>
        <v/>
      </c>
      <c r="H9028" s="8">
        <f>IF(G9028="","",G9028-I9028)</f>
        <v/>
      </c>
      <c r="I9028" s="8">
        <f>IF(D9028="","",VLOOKUP(D9028, RECETTES!B:G, 6, FALSE)*E9028)</f>
        <v/>
      </c>
      <c r="J9028" s="8">
        <f>IF(G9028="","",G9028*0.20)</f>
        <v/>
      </c>
      <c r="K9028" s="8">
        <f>IF(G9028="","",G9028+J9028)</f>
        <v/>
      </c>
    </row>
    <row r="9029">
      <c r="F9029" s="8" t="n"/>
      <c r="G9029" s="8">
        <f>IF(E9029="","",E9029*F9029)</f>
        <v/>
      </c>
      <c r="H9029" s="8">
        <f>IF(G9029="","",G9029-I9029)</f>
        <v/>
      </c>
      <c r="I9029" s="8">
        <f>IF(D9029="","",VLOOKUP(D9029, RECETTES!B:G, 6, FALSE)*E9029)</f>
        <v/>
      </c>
      <c r="J9029" s="8">
        <f>IF(G9029="","",G9029*0.20)</f>
        <v/>
      </c>
      <c r="K9029" s="8">
        <f>IF(G9029="","",G9029+J9029)</f>
        <v/>
      </c>
    </row>
    <row r="9030">
      <c r="F9030" s="8" t="n"/>
      <c r="G9030" s="8">
        <f>IF(E9030="","",E9030*F9030)</f>
        <v/>
      </c>
      <c r="H9030" s="8">
        <f>IF(G9030="","",G9030-I9030)</f>
        <v/>
      </c>
      <c r="I9030" s="8">
        <f>IF(D9030="","",VLOOKUP(D9030, RECETTES!B:G, 6, FALSE)*E9030)</f>
        <v/>
      </c>
      <c r="J9030" s="8">
        <f>IF(G9030="","",G9030*0.20)</f>
        <v/>
      </c>
      <c r="K9030" s="8">
        <f>IF(G9030="","",G9030+J9030)</f>
        <v/>
      </c>
    </row>
    <row r="9031">
      <c r="F9031" s="8" t="n"/>
      <c r="G9031" s="8">
        <f>IF(E9031="","",E9031*F9031)</f>
        <v/>
      </c>
      <c r="H9031" s="8">
        <f>IF(G9031="","",G9031-I9031)</f>
        <v/>
      </c>
      <c r="I9031" s="8">
        <f>IF(D9031="","",VLOOKUP(D9031, RECETTES!B:G, 6, FALSE)*E9031)</f>
        <v/>
      </c>
      <c r="J9031" s="8">
        <f>IF(G9031="","",G9031*0.20)</f>
        <v/>
      </c>
      <c r="K9031" s="8">
        <f>IF(G9031="","",G9031+J9031)</f>
        <v/>
      </c>
    </row>
    <row r="9032">
      <c r="F9032" s="8" t="n"/>
      <c r="G9032" s="8">
        <f>IF(E9032="","",E9032*F9032)</f>
        <v/>
      </c>
      <c r="H9032" s="8">
        <f>IF(G9032="","",G9032-I9032)</f>
        <v/>
      </c>
      <c r="I9032" s="8">
        <f>IF(D9032="","",VLOOKUP(D9032, RECETTES!B:G, 6, FALSE)*E9032)</f>
        <v/>
      </c>
      <c r="J9032" s="8">
        <f>IF(G9032="","",G9032*0.20)</f>
        <v/>
      </c>
      <c r="K9032" s="8">
        <f>IF(G9032="","",G9032+J9032)</f>
        <v/>
      </c>
    </row>
    <row r="9033">
      <c r="F9033" s="8" t="n"/>
      <c r="G9033" s="8">
        <f>IF(E9033="","",E9033*F9033)</f>
        <v/>
      </c>
      <c r="H9033" s="8">
        <f>IF(G9033="","",G9033-I9033)</f>
        <v/>
      </c>
      <c r="I9033" s="8">
        <f>IF(D9033="","",VLOOKUP(D9033, RECETTES!B:G, 6, FALSE)*E9033)</f>
        <v/>
      </c>
      <c r="J9033" s="8">
        <f>IF(G9033="","",G9033*0.20)</f>
        <v/>
      </c>
      <c r="K9033" s="8">
        <f>IF(G9033="","",G9033+J9033)</f>
        <v/>
      </c>
    </row>
    <row r="9034">
      <c r="F9034" s="8" t="n"/>
      <c r="G9034" s="8">
        <f>IF(E9034="","",E9034*F9034)</f>
        <v/>
      </c>
      <c r="H9034" s="8">
        <f>IF(G9034="","",G9034-I9034)</f>
        <v/>
      </c>
      <c r="I9034" s="8">
        <f>IF(D9034="","",VLOOKUP(D9034, RECETTES!B:G, 6, FALSE)*E9034)</f>
        <v/>
      </c>
      <c r="J9034" s="8">
        <f>IF(G9034="","",G9034*0.20)</f>
        <v/>
      </c>
      <c r="K9034" s="8">
        <f>IF(G9034="","",G9034+J9034)</f>
        <v/>
      </c>
    </row>
    <row r="9035">
      <c r="F9035" s="8" t="n"/>
      <c r="G9035" s="8">
        <f>IF(E9035="","",E9035*F9035)</f>
        <v/>
      </c>
      <c r="H9035" s="8">
        <f>IF(G9035="","",G9035-I9035)</f>
        <v/>
      </c>
      <c r="I9035" s="8">
        <f>IF(D9035="","",VLOOKUP(D9035, RECETTES!B:G, 6, FALSE)*E9035)</f>
        <v/>
      </c>
      <c r="J9035" s="8">
        <f>IF(G9035="","",G9035*0.20)</f>
        <v/>
      </c>
      <c r="K9035" s="8">
        <f>IF(G9035="","",G9035+J9035)</f>
        <v/>
      </c>
    </row>
    <row r="9036">
      <c r="F9036" s="8" t="n"/>
      <c r="G9036" s="8">
        <f>IF(E9036="","",E9036*F9036)</f>
        <v/>
      </c>
      <c r="H9036" s="8">
        <f>IF(G9036="","",G9036-I9036)</f>
        <v/>
      </c>
      <c r="I9036" s="8">
        <f>IF(D9036="","",VLOOKUP(D9036, RECETTES!B:G, 6, FALSE)*E9036)</f>
        <v/>
      </c>
      <c r="J9036" s="8">
        <f>IF(G9036="","",G9036*0.20)</f>
        <v/>
      </c>
      <c r="K9036" s="8">
        <f>IF(G9036="","",G9036+J9036)</f>
        <v/>
      </c>
    </row>
    <row r="9037">
      <c r="F9037" s="8" t="n"/>
      <c r="G9037" s="8">
        <f>IF(E9037="","",E9037*F9037)</f>
        <v/>
      </c>
      <c r="H9037" s="8">
        <f>IF(G9037="","",G9037-I9037)</f>
        <v/>
      </c>
      <c r="I9037" s="8">
        <f>IF(D9037="","",VLOOKUP(D9037, RECETTES!B:G, 6, FALSE)*E9037)</f>
        <v/>
      </c>
      <c r="J9037" s="8">
        <f>IF(G9037="","",G9037*0.20)</f>
        <v/>
      </c>
      <c r="K9037" s="8">
        <f>IF(G9037="","",G9037+J9037)</f>
        <v/>
      </c>
    </row>
    <row r="9038">
      <c r="F9038" s="8" t="n"/>
      <c r="G9038" s="8">
        <f>IF(E9038="","",E9038*F9038)</f>
        <v/>
      </c>
      <c r="H9038" s="8">
        <f>IF(G9038="","",G9038-I9038)</f>
        <v/>
      </c>
      <c r="I9038" s="8">
        <f>IF(D9038="","",VLOOKUP(D9038, RECETTES!B:G, 6, FALSE)*E9038)</f>
        <v/>
      </c>
      <c r="J9038" s="8">
        <f>IF(G9038="","",G9038*0.20)</f>
        <v/>
      </c>
      <c r="K9038" s="8">
        <f>IF(G9038="","",G9038+J9038)</f>
        <v/>
      </c>
    </row>
    <row r="9039">
      <c r="F9039" s="8" t="n"/>
      <c r="G9039" s="8">
        <f>IF(E9039="","",E9039*F9039)</f>
        <v/>
      </c>
      <c r="H9039" s="8">
        <f>IF(G9039="","",G9039-I9039)</f>
        <v/>
      </c>
      <c r="I9039" s="8">
        <f>IF(D9039="","",VLOOKUP(D9039, RECETTES!B:G, 6, FALSE)*E9039)</f>
        <v/>
      </c>
      <c r="J9039" s="8">
        <f>IF(G9039="","",G9039*0.20)</f>
        <v/>
      </c>
      <c r="K9039" s="8">
        <f>IF(G9039="","",G9039+J9039)</f>
        <v/>
      </c>
    </row>
    <row r="9040">
      <c r="F9040" s="8" t="n"/>
      <c r="G9040" s="8">
        <f>IF(E9040="","",E9040*F9040)</f>
        <v/>
      </c>
      <c r="H9040" s="8">
        <f>IF(G9040="","",G9040-I9040)</f>
        <v/>
      </c>
      <c r="I9040" s="8">
        <f>IF(D9040="","",VLOOKUP(D9040, RECETTES!B:G, 6, FALSE)*E9040)</f>
        <v/>
      </c>
      <c r="J9040" s="8">
        <f>IF(G9040="","",G9040*0.20)</f>
        <v/>
      </c>
      <c r="K9040" s="8">
        <f>IF(G9040="","",G9040+J9040)</f>
        <v/>
      </c>
    </row>
    <row r="9041">
      <c r="F9041" s="8" t="n"/>
      <c r="G9041" s="8">
        <f>IF(E9041="","",E9041*F9041)</f>
        <v/>
      </c>
      <c r="H9041" s="8">
        <f>IF(G9041="","",G9041-I9041)</f>
        <v/>
      </c>
      <c r="I9041" s="8">
        <f>IF(D9041="","",VLOOKUP(D9041, RECETTES!B:G, 6, FALSE)*E9041)</f>
        <v/>
      </c>
      <c r="J9041" s="8">
        <f>IF(G9041="","",G9041*0.20)</f>
        <v/>
      </c>
      <c r="K9041" s="8">
        <f>IF(G9041="","",G9041+J9041)</f>
        <v/>
      </c>
    </row>
    <row r="9042">
      <c r="F9042" s="8" t="n"/>
      <c r="G9042" s="8">
        <f>IF(E9042="","",E9042*F9042)</f>
        <v/>
      </c>
      <c r="H9042" s="8">
        <f>IF(G9042="","",G9042-I9042)</f>
        <v/>
      </c>
      <c r="I9042" s="8">
        <f>IF(D9042="","",VLOOKUP(D9042, RECETTES!B:G, 6, FALSE)*E9042)</f>
        <v/>
      </c>
      <c r="J9042" s="8">
        <f>IF(G9042="","",G9042*0.20)</f>
        <v/>
      </c>
      <c r="K9042" s="8">
        <f>IF(G9042="","",G9042+J9042)</f>
        <v/>
      </c>
    </row>
    <row r="9043">
      <c r="F9043" s="8" t="n"/>
      <c r="G9043" s="8">
        <f>IF(E9043="","",E9043*F9043)</f>
        <v/>
      </c>
      <c r="H9043" s="8">
        <f>IF(G9043="","",G9043-I9043)</f>
        <v/>
      </c>
      <c r="I9043" s="8">
        <f>IF(D9043="","",VLOOKUP(D9043, RECETTES!B:G, 6, FALSE)*E9043)</f>
        <v/>
      </c>
      <c r="J9043" s="8">
        <f>IF(G9043="","",G9043*0.20)</f>
        <v/>
      </c>
      <c r="K9043" s="8">
        <f>IF(G9043="","",G9043+J9043)</f>
        <v/>
      </c>
    </row>
    <row r="9044">
      <c r="F9044" s="8" t="n"/>
      <c r="G9044" s="8">
        <f>IF(E9044="","",E9044*F9044)</f>
        <v/>
      </c>
      <c r="H9044" s="8">
        <f>IF(G9044="","",G9044-I9044)</f>
        <v/>
      </c>
      <c r="I9044" s="8">
        <f>IF(D9044="","",VLOOKUP(D9044, RECETTES!B:G, 6, FALSE)*E9044)</f>
        <v/>
      </c>
      <c r="J9044" s="8">
        <f>IF(G9044="","",G9044*0.20)</f>
        <v/>
      </c>
      <c r="K9044" s="8">
        <f>IF(G9044="","",G9044+J9044)</f>
        <v/>
      </c>
    </row>
    <row r="9045">
      <c r="F9045" s="8" t="n"/>
      <c r="G9045" s="8">
        <f>IF(E9045="","",E9045*F9045)</f>
        <v/>
      </c>
      <c r="H9045" s="8">
        <f>IF(G9045="","",G9045-I9045)</f>
        <v/>
      </c>
      <c r="I9045" s="8">
        <f>IF(D9045="","",VLOOKUP(D9045, RECETTES!B:G, 6, FALSE)*E9045)</f>
        <v/>
      </c>
      <c r="J9045" s="8">
        <f>IF(G9045="","",G9045*0.20)</f>
        <v/>
      </c>
      <c r="K9045" s="8">
        <f>IF(G9045="","",G9045+J9045)</f>
        <v/>
      </c>
    </row>
    <row r="9046">
      <c r="F9046" s="8" t="n"/>
      <c r="G9046" s="8">
        <f>IF(E9046="","",E9046*F9046)</f>
        <v/>
      </c>
      <c r="H9046" s="8">
        <f>IF(G9046="","",G9046-I9046)</f>
        <v/>
      </c>
      <c r="I9046" s="8">
        <f>IF(D9046="","",VLOOKUP(D9046, RECETTES!B:G, 6, FALSE)*E9046)</f>
        <v/>
      </c>
      <c r="J9046" s="8">
        <f>IF(G9046="","",G9046*0.20)</f>
        <v/>
      </c>
      <c r="K9046" s="8">
        <f>IF(G9046="","",G9046+J9046)</f>
        <v/>
      </c>
    </row>
    <row r="9047">
      <c r="F9047" s="8" t="n"/>
      <c r="G9047" s="8">
        <f>IF(E9047="","",E9047*F9047)</f>
        <v/>
      </c>
      <c r="H9047" s="8">
        <f>IF(G9047="","",G9047-I9047)</f>
        <v/>
      </c>
      <c r="I9047" s="8">
        <f>IF(D9047="","",VLOOKUP(D9047, RECETTES!B:G, 6, FALSE)*E9047)</f>
        <v/>
      </c>
      <c r="J9047" s="8">
        <f>IF(G9047="","",G9047*0.20)</f>
        <v/>
      </c>
      <c r="K9047" s="8">
        <f>IF(G9047="","",G9047+J9047)</f>
        <v/>
      </c>
    </row>
    <row r="9048">
      <c r="F9048" s="8" t="n"/>
      <c r="G9048" s="8">
        <f>IF(E9048="","",E9048*F9048)</f>
        <v/>
      </c>
      <c r="H9048" s="8">
        <f>IF(G9048="","",G9048-I9048)</f>
        <v/>
      </c>
      <c r="I9048" s="8">
        <f>IF(D9048="","",VLOOKUP(D9048, RECETTES!B:G, 6, FALSE)*E9048)</f>
        <v/>
      </c>
      <c r="J9048" s="8">
        <f>IF(G9048="","",G9048*0.20)</f>
        <v/>
      </c>
      <c r="K9048" s="8">
        <f>IF(G9048="","",G9048+J9048)</f>
        <v/>
      </c>
    </row>
    <row r="9049">
      <c r="F9049" s="8" t="n"/>
      <c r="G9049" s="8">
        <f>IF(E9049="","",E9049*F9049)</f>
        <v/>
      </c>
      <c r="H9049" s="8">
        <f>IF(G9049="","",G9049-I9049)</f>
        <v/>
      </c>
      <c r="I9049" s="8">
        <f>IF(D9049="","",VLOOKUP(D9049, RECETTES!B:G, 6, FALSE)*E9049)</f>
        <v/>
      </c>
      <c r="J9049" s="8">
        <f>IF(G9049="","",G9049*0.20)</f>
        <v/>
      </c>
      <c r="K9049" s="8">
        <f>IF(G9049="","",G9049+J9049)</f>
        <v/>
      </c>
    </row>
    <row r="9050">
      <c r="F9050" s="8" t="n"/>
      <c r="G9050" s="8">
        <f>IF(E9050="","",E9050*F9050)</f>
        <v/>
      </c>
      <c r="H9050" s="8">
        <f>IF(G9050="","",G9050-I9050)</f>
        <v/>
      </c>
      <c r="I9050" s="8">
        <f>IF(D9050="","",VLOOKUP(D9050, RECETTES!B:G, 6, FALSE)*E9050)</f>
        <v/>
      </c>
      <c r="J9050" s="8">
        <f>IF(G9050="","",G9050*0.20)</f>
        <v/>
      </c>
      <c r="K9050" s="8">
        <f>IF(G9050="","",G9050+J9050)</f>
        <v/>
      </c>
    </row>
    <row r="9051">
      <c r="F9051" s="8" t="n"/>
      <c r="G9051" s="8">
        <f>IF(E9051="","",E9051*F9051)</f>
        <v/>
      </c>
      <c r="H9051" s="8">
        <f>IF(G9051="","",G9051-I9051)</f>
        <v/>
      </c>
      <c r="I9051" s="8">
        <f>IF(D9051="","",VLOOKUP(D9051, RECETTES!B:G, 6, FALSE)*E9051)</f>
        <v/>
      </c>
      <c r="J9051" s="8">
        <f>IF(G9051="","",G9051*0.20)</f>
        <v/>
      </c>
      <c r="K9051" s="8">
        <f>IF(G9051="","",G9051+J9051)</f>
        <v/>
      </c>
    </row>
    <row r="9052">
      <c r="F9052" s="8" t="n"/>
      <c r="G9052" s="8">
        <f>IF(E9052="","",E9052*F9052)</f>
        <v/>
      </c>
      <c r="H9052" s="8">
        <f>IF(G9052="","",G9052-I9052)</f>
        <v/>
      </c>
      <c r="I9052" s="8">
        <f>IF(D9052="","",VLOOKUP(D9052, RECETTES!B:G, 6, FALSE)*E9052)</f>
        <v/>
      </c>
      <c r="J9052" s="8">
        <f>IF(G9052="","",G9052*0.20)</f>
        <v/>
      </c>
      <c r="K9052" s="8">
        <f>IF(G9052="","",G9052+J9052)</f>
        <v/>
      </c>
    </row>
    <row r="9053">
      <c r="F9053" s="8" t="n"/>
      <c r="G9053" s="8">
        <f>IF(E9053="","",E9053*F9053)</f>
        <v/>
      </c>
      <c r="H9053" s="8">
        <f>IF(G9053="","",G9053-I9053)</f>
        <v/>
      </c>
      <c r="I9053" s="8">
        <f>IF(D9053="","",VLOOKUP(D9053, RECETTES!B:G, 6, FALSE)*E9053)</f>
        <v/>
      </c>
      <c r="J9053" s="8">
        <f>IF(G9053="","",G9053*0.20)</f>
        <v/>
      </c>
      <c r="K9053" s="8">
        <f>IF(G9053="","",G9053+J9053)</f>
        <v/>
      </c>
    </row>
    <row r="9054">
      <c r="F9054" s="8" t="n"/>
      <c r="G9054" s="8">
        <f>IF(E9054="","",E9054*F9054)</f>
        <v/>
      </c>
      <c r="H9054" s="8">
        <f>IF(G9054="","",G9054-I9054)</f>
        <v/>
      </c>
      <c r="I9054" s="8">
        <f>IF(D9054="","",VLOOKUP(D9054, RECETTES!B:G, 6, FALSE)*E9054)</f>
        <v/>
      </c>
      <c r="J9054" s="8">
        <f>IF(G9054="","",G9054*0.20)</f>
        <v/>
      </c>
      <c r="K9054" s="8">
        <f>IF(G9054="","",G9054+J9054)</f>
        <v/>
      </c>
    </row>
    <row r="9055">
      <c r="F9055" s="8" t="n"/>
      <c r="G9055" s="8">
        <f>IF(E9055="","",E9055*F9055)</f>
        <v/>
      </c>
      <c r="H9055" s="8">
        <f>IF(G9055="","",G9055-I9055)</f>
        <v/>
      </c>
      <c r="I9055" s="8">
        <f>IF(D9055="","",VLOOKUP(D9055, RECETTES!B:G, 6, FALSE)*E9055)</f>
        <v/>
      </c>
      <c r="J9055" s="8">
        <f>IF(G9055="","",G9055*0.20)</f>
        <v/>
      </c>
      <c r="K9055" s="8">
        <f>IF(G9055="","",G9055+J9055)</f>
        <v/>
      </c>
    </row>
    <row r="9056">
      <c r="F9056" s="8" t="n"/>
      <c r="G9056" s="8">
        <f>IF(E9056="","",E9056*F9056)</f>
        <v/>
      </c>
      <c r="H9056" s="8">
        <f>IF(G9056="","",G9056-I9056)</f>
        <v/>
      </c>
      <c r="I9056" s="8">
        <f>IF(D9056="","",VLOOKUP(D9056, RECETTES!B:G, 6, FALSE)*E9056)</f>
        <v/>
      </c>
      <c r="J9056" s="8">
        <f>IF(G9056="","",G9056*0.20)</f>
        <v/>
      </c>
      <c r="K9056" s="8">
        <f>IF(G9056="","",G9056+J9056)</f>
        <v/>
      </c>
    </row>
    <row r="9057">
      <c r="F9057" s="8" t="n"/>
      <c r="G9057" s="8">
        <f>IF(E9057="","",E9057*F9057)</f>
        <v/>
      </c>
      <c r="H9057" s="8">
        <f>IF(G9057="","",G9057-I9057)</f>
        <v/>
      </c>
      <c r="I9057" s="8">
        <f>IF(D9057="","",VLOOKUP(D9057, RECETTES!B:G, 6, FALSE)*E9057)</f>
        <v/>
      </c>
      <c r="J9057" s="8">
        <f>IF(G9057="","",G9057*0.20)</f>
        <v/>
      </c>
      <c r="K9057" s="8">
        <f>IF(G9057="","",G9057+J9057)</f>
        <v/>
      </c>
    </row>
    <row r="9058">
      <c r="F9058" s="8" t="n"/>
      <c r="G9058" s="8">
        <f>IF(E9058="","",E9058*F9058)</f>
        <v/>
      </c>
      <c r="H9058" s="8">
        <f>IF(G9058="","",G9058-I9058)</f>
        <v/>
      </c>
      <c r="I9058" s="8">
        <f>IF(D9058="","",VLOOKUP(D9058, RECETTES!B:G, 6, FALSE)*E9058)</f>
        <v/>
      </c>
      <c r="J9058" s="8">
        <f>IF(G9058="","",G9058*0.20)</f>
        <v/>
      </c>
      <c r="K9058" s="8">
        <f>IF(G9058="","",G9058+J9058)</f>
        <v/>
      </c>
    </row>
    <row r="9059">
      <c r="F9059" s="8" t="n"/>
      <c r="G9059" s="8">
        <f>IF(E9059="","",E9059*F9059)</f>
        <v/>
      </c>
      <c r="H9059" s="8">
        <f>IF(G9059="","",G9059-I9059)</f>
        <v/>
      </c>
      <c r="I9059" s="8">
        <f>IF(D9059="","",VLOOKUP(D9059, RECETTES!B:G, 6, FALSE)*E9059)</f>
        <v/>
      </c>
      <c r="J9059" s="8">
        <f>IF(G9059="","",G9059*0.20)</f>
        <v/>
      </c>
      <c r="K9059" s="8">
        <f>IF(G9059="","",G9059+J9059)</f>
        <v/>
      </c>
    </row>
    <row r="9060">
      <c r="F9060" s="8" t="n"/>
      <c r="G9060" s="8">
        <f>IF(E9060="","",E9060*F9060)</f>
        <v/>
      </c>
      <c r="H9060" s="8">
        <f>IF(G9060="","",G9060-I9060)</f>
        <v/>
      </c>
      <c r="I9060" s="8">
        <f>IF(D9060="","",VLOOKUP(D9060, RECETTES!B:G, 6, FALSE)*E9060)</f>
        <v/>
      </c>
      <c r="J9060" s="8">
        <f>IF(G9060="","",G9060*0.20)</f>
        <v/>
      </c>
      <c r="K9060" s="8">
        <f>IF(G9060="","",G9060+J9060)</f>
        <v/>
      </c>
    </row>
    <row r="9061">
      <c r="F9061" s="8" t="n"/>
      <c r="G9061" s="8">
        <f>IF(E9061="","",E9061*F9061)</f>
        <v/>
      </c>
      <c r="H9061" s="8">
        <f>IF(G9061="","",G9061-I9061)</f>
        <v/>
      </c>
      <c r="I9061" s="8">
        <f>IF(D9061="","",VLOOKUP(D9061, RECETTES!B:G, 6, FALSE)*E9061)</f>
        <v/>
      </c>
      <c r="J9061" s="8">
        <f>IF(G9061="","",G9061*0.20)</f>
        <v/>
      </c>
      <c r="K9061" s="8">
        <f>IF(G9061="","",G9061+J9061)</f>
        <v/>
      </c>
    </row>
    <row r="9062">
      <c r="F9062" s="8" t="n"/>
      <c r="G9062" s="8">
        <f>IF(E9062="","",E9062*F9062)</f>
        <v/>
      </c>
      <c r="H9062" s="8">
        <f>IF(G9062="","",G9062-I9062)</f>
        <v/>
      </c>
      <c r="I9062" s="8">
        <f>IF(D9062="","",VLOOKUP(D9062, RECETTES!B:G, 6, FALSE)*E9062)</f>
        <v/>
      </c>
      <c r="J9062" s="8">
        <f>IF(G9062="","",G9062*0.20)</f>
        <v/>
      </c>
      <c r="K9062" s="8">
        <f>IF(G9062="","",G9062+J9062)</f>
        <v/>
      </c>
    </row>
    <row r="9063">
      <c r="F9063" s="8" t="n"/>
      <c r="G9063" s="8">
        <f>IF(E9063="","",E9063*F9063)</f>
        <v/>
      </c>
      <c r="H9063" s="8">
        <f>IF(G9063="","",G9063-I9063)</f>
        <v/>
      </c>
      <c r="I9063" s="8">
        <f>IF(D9063="","",VLOOKUP(D9063, RECETTES!B:G, 6, FALSE)*E9063)</f>
        <v/>
      </c>
      <c r="J9063" s="8">
        <f>IF(G9063="","",G9063*0.20)</f>
        <v/>
      </c>
      <c r="K9063" s="8">
        <f>IF(G9063="","",G9063+J9063)</f>
        <v/>
      </c>
    </row>
    <row r="9064">
      <c r="F9064" s="8" t="n"/>
      <c r="G9064" s="8">
        <f>IF(E9064="","",E9064*F9064)</f>
        <v/>
      </c>
      <c r="H9064" s="8">
        <f>IF(G9064="","",G9064-I9064)</f>
        <v/>
      </c>
      <c r="I9064" s="8">
        <f>IF(D9064="","",VLOOKUP(D9064, RECETTES!B:G, 6, FALSE)*E9064)</f>
        <v/>
      </c>
      <c r="J9064" s="8">
        <f>IF(G9064="","",G9064*0.20)</f>
        <v/>
      </c>
      <c r="K9064" s="8">
        <f>IF(G9064="","",G9064+J9064)</f>
        <v/>
      </c>
    </row>
    <row r="9065">
      <c r="F9065" s="8" t="n"/>
      <c r="G9065" s="8">
        <f>IF(E9065="","",E9065*F9065)</f>
        <v/>
      </c>
      <c r="H9065" s="8">
        <f>IF(G9065="","",G9065-I9065)</f>
        <v/>
      </c>
      <c r="I9065" s="8">
        <f>IF(D9065="","",VLOOKUP(D9065, RECETTES!B:G, 6, FALSE)*E9065)</f>
        <v/>
      </c>
      <c r="J9065" s="8">
        <f>IF(G9065="","",G9065*0.20)</f>
        <v/>
      </c>
      <c r="K9065" s="8">
        <f>IF(G9065="","",G9065+J9065)</f>
        <v/>
      </c>
    </row>
    <row r="9066">
      <c r="F9066" s="8" t="n"/>
      <c r="G9066" s="8">
        <f>IF(E9066="","",E9066*F9066)</f>
        <v/>
      </c>
      <c r="H9066" s="8">
        <f>IF(G9066="","",G9066-I9066)</f>
        <v/>
      </c>
      <c r="I9066" s="8">
        <f>IF(D9066="","",VLOOKUP(D9066, RECETTES!B:G, 6, FALSE)*E9066)</f>
        <v/>
      </c>
      <c r="J9066" s="8">
        <f>IF(G9066="","",G9066*0.20)</f>
        <v/>
      </c>
      <c r="K9066" s="8">
        <f>IF(G9066="","",G9066+J9066)</f>
        <v/>
      </c>
    </row>
    <row r="9067">
      <c r="F9067" s="8" t="n"/>
      <c r="G9067" s="8">
        <f>IF(E9067="","",E9067*F9067)</f>
        <v/>
      </c>
      <c r="H9067" s="8">
        <f>IF(G9067="","",G9067-I9067)</f>
        <v/>
      </c>
      <c r="I9067" s="8">
        <f>IF(D9067="","",VLOOKUP(D9067, RECETTES!B:G, 6, FALSE)*E9067)</f>
        <v/>
      </c>
      <c r="J9067" s="8">
        <f>IF(G9067="","",G9067*0.20)</f>
        <v/>
      </c>
      <c r="K9067" s="8">
        <f>IF(G9067="","",G9067+J9067)</f>
        <v/>
      </c>
    </row>
    <row r="9068">
      <c r="F9068" s="8" t="n"/>
      <c r="G9068" s="8">
        <f>IF(E9068="","",E9068*F9068)</f>
        <v/>
      </c>
      <c r="H9068" s="8">
        <f>IF(G9068="","",G9068-I9068)</f>
        <v/>
      </c>
      <c r="I9068" s="8">
        <f>IF(D9068="","",VLOOKUP(D9068, RECETTES!B:G, 6, FALSE)*E9068)</f>
        <v/>
      </c>
      <c r="J9068" s="8">
        <f>IF(G9068="","",G9068*0.20)</f>
        <v/>
      </c>
      <c r="K9068" s="8">
        <f>IF(G9068="","",G9068+J9068)</f>
        <v/>
      </c>
    </row>
    <row r="9069">
      <c r="F9069" s="8" t="n"/>
      <c r="G9069" s="8">
        <f>IF(E9069="","",E9069*F9069)</f>
        <v/>
      </c>
      <c r="H9069" s="8">
        <f>IF(G9069="","",G9069-I9069)</f>
        <v/>
      </c>
      <c r="I9069" s="8">
        <f>IF(D9069="","",VLOOKUP(D9069, RECETTES!B:G, 6, FALSE)*E9069)</f>
        <v/>
      </c>
      <c r="J9069" s="8">
        <f>IF(G9069="","",G9069*0.20)</f>
        <v/>
      </c>
      <c r="K9069" s="8">
        <f>IF(G9069="","",G9069+J9069)</f>
        <v/>
      </c>
    </row>
    <row r="9070">
      <c r="F9070" s="8" t="n"/>
      <c r="G9070" s="8">
        <f>IF(E9070="","",E9070*F9070)</f>
        <v/>
      </c>
      <c r="H9070" s="8">
        <f>IF(G9070="","",G9070-I9070)</f>
        <v/>
      </c>
      <c r="I9070" s="8">
        <f>IF(D9070="","",VLOOKUP(D9070, RECETTES!B:G, 6, FALSE)*E9070)</f>
        <v/>
      </c>
      <c r="J9070" s="8">
        <f>IF(G9070="","",G9070*0.20)</f>
        <v/>
      </c>
      <c r="K9070" s="8">
        <f>IF(G9070="","",G9070+J9070)</f>
        <v/>
      </c>
    </row>
    <row r="9071">
      <c r="F9071" s="8" t="n"/>
      <c r="G9071" s="8">
        <f>IF(E9071="","",E9071*F9071)</f>
        <v/>
      </c>
      <c r="H9071" s="8">
        <f>IF(G9071="","",G9071-I9071)</f>
        <v/>
      </c>
      <c r="I9071" s="8">
        <f>IF(D9071="","",VLOOKUP(D9071, RECETTES!B:G, 6, FALSE)*E9071)</f>
        <v/>
      </c>
      <c r="J9071" s="8">
        <f>IF(G9071="","",G9071*0.20)</f>
        <v/>
      </c>
      <c r="K9071" s="8">
        <f>IF(G9071="","",G9071+J9071)</f>
        <v/>
      </c>
    </row>
    <row r="9072">
      <c r="F9072" s="8" t="n"/>
      <c r="G9072" s="8">
        <f>IF(E9072="","",E9072*F9072)</f>
        <v/>
      </c>
      <c r="H9072" s="8">
        <f>IF(G9072="","",G9072-I9072)</f>
        <v/>
      </c>
      <c r="I9072" s="8">
        <f>IF(D9072="","",VLOOKUP(D9072, RECETTES!B:G, 6, FALSE)*E9072)</f>
        <v/>
      </c>
      <c r="J9072" s="8">
        <f>IF(G9072="","",G9072*0.20)</f>
        <v/>
      </c>
      <c r="K9072" s="8">
        <f>IF(G9072="","",G9072+J9072)</f>
        <v/>
      </c>
    </row>
    <row r="9073">
      <c r="F9073" s="8" t="n"/>
      <c r="G9073" s="8">
        <f>IF(E9073="","",E9073*F9073)</f>
        <v/>
      </c>
      <c r="H9073" s="8">
        <f>IF(G9073="","",G9073-I9073)</f>
        <v/>
      </c>
      <c r="I9073" s="8">
        <f>IF(D9073="","",VLOOKUP(D9073, RECETTES!B:G, 6, FALSE)*E9073)</f>
        <v/>
      </c>
      <c r="J9073" s="8">
        <f>IF(G9073="","",G9073*0.20)</f>
        <v/>
      </c>
      <c r="K9073" s="8">
        <f>IF(G9073="","",G9073+J9073)</f>
        <v/>
      </c>
    </row>
    <row r="9074">
      <c r="F9074" s="8" t="n"/>
      <c r="G9074" s="8">
        <f>IF(E9074="","",E9074*F9074)</f>
        <v/>
      </c>
      <c r="H9074" s="8">
        <f>IF(G9074="","",G9074-I9074)</f>
        <v/>
      </c>
      <c r="I9074" s="8">
        <f>IF(D9074="","",VLOOKUP(D9074, RECETTES!B:G, 6, FALSE)*E9074)</f>
        <v/>
      </c>
      <c r="J9074" s="8">
        <f>IF(G9074="","",G9074*0.20)</f>
        <v/>
      </c>
      <c r="K9074" s="8">
        <f>IF(G9074="","",G9074+J9074)</f>
        <v/>
      </c>
    </row>
    <row r="9075">
      <c r="F9075" s="8" t="n"/>
      <c r="G9075" s="8">
        <f>IF(E9075="","",E9075*F9075)</f>
        <v/>
      </c>
      <c r="H9075" s="8">
        <f>IF(G9075="","",G9075-I9075)</f>
        <v/>
      </c>
      <c r="I9075" s="8">
        <f>IF(D9075="","",VLOOKUP(D9075, RECETTES!B:G, 6, FALSE)*E9075)</f>
        <v/>
      </c>
      <c r="J9075" s="8">
        <f>IF(G9075="","",G9075*0.20)</f>
        <v/>
      </c>
      <c r="K9075" s="8">
        <f>IF(G9075="","",G9075+J9075)</f>
        <v/>
      </c>
    </row>
    <row r="9076">
      <c r="F9076" s="8" t="n"/>
      <c r="G9076" s="8">
        <f>IF(E9076="","",E9076*F9076)</f>
        <v/>
      </c>
      <c r="H9076" s="8">
        <f>IF(G9076="","",G9076-I9076)</f>
        <v/>
      </c>
      <c r="I9076" s="8">
        <f>IF(D9076="","",VLOOKUP(D9076, RECETTES!B:G, 6, FALSE)*E9076)</f>
        <v/>
      </c>
      <c r="J9076" s="8">
        <f>IF(G9076="","",G9076*0.20)</f>
        <v/>
      </c>
      <c r="K9076" s="8">
        <f>IF(G9076="","",G9076+J9076)</f>
        <v/>
      </c>
    </row>
    <row r="9077">
      <c r="F9077" s="8" t="n"/>
      <c r="G9077" s="8">
        <f>IF(E9077="","",E9077*F9077)</f>
        <v/>
      </c>
      <c r="H9077" s="8">
        <f>IF(G9077="","",G9077-I9077)</f>
        <v/>
      </c>
      <c r="I9077" s="8">
        <f>IF(D9077="","",VLOOKUP(D9077, RECETTES!B:G, 6, FALSE)*E9077)</f>
        <v/>
      </c>
      <c r="J9077" s="8">
        <f>IF(G9077="","",G9077*0.20)</f>
        <v/>
      </c>
      <c r="K9077" s="8">
        <f>IF(G9077="","",G9077+J9077)</f>
        <v/>
      </c>
    </row>
    <row r="9078">
      <c r="F9078" s="8" t="n"/>
      <c r="G9078" s="8">
        <f>IF(E9078="","",E9078*F9078)</f>
        <v/>
      </c>
      <c r="H9078" s="8">
        <f>IF(G9078="","",G9078-I9078)</f>
        <v/>
      </c>
      <c r="I9078" s="8">
        <f>IF(D9078="","",VLOOKUP(D9078, RECETTES!B:G, 6, FALSE)*E9078)</f>
        <v/>
      </c>
      <c r="J9078" s="8">
        <f>IF(G9078="","",G9078*0.20)</f>
        <v/>
      </c>
      <c r="K9078" s="8">
        <f>IF(G9078="","",G9078+J9078)</f>
        <v/>
      </c>
    </row>
    <row r="9079">
      <c r="F9079" s="8" t="n"/>
      <c r="G9079" s="8">
        <f>IF(E9079="","",E9079*F9079)</f>
        <v/>
      </c>
      <c r="H9079" s="8">
        <f>IF(G9079="","",G9079-I9079)</f>
        <v/>
      </c>
      <c r="I9079" s="8">
        <f>IF(D9079="","",VLOOKUP(D9079, RECETTES!B:G, 6, FALSE)*E9079)</f>
        <v/>
      </c>
      <c r="J9079" s="8">
        <f>IF(G9079="","",G9079*0.20)</f>
        <v/>
      </c>
      <c r="K9079" s="8">
        <f>IF(G9079="","",G9079+J9079)</f>
        <v/>
      </c>
    </row>
    <row r="9080">
      <c r="F9080" s="8" t="n"/>
      <c r="G9080" s="8">
        <f>IF(E9080="","",E9080*F9080)</f>
        <v/>
      </c>
      <c r="H9080" s="8">
        <f>IF(G9080="","",G9080-I9080)</f>
        <v/>
      </c>
      <c r="I9080" s="8">
        <f>IF(D9080="","",VLOOKUP(D9080, RECETTES!B:G, 6, FALSE)*E9080)</f>
        <v/>
      </c>
      <c r="J9080" s="8">
        <f>IF(G9080="","",G9080*0.20)</f>
        <v/>
      </c>
      <c r="K9080" s="8">
        <f>IF(G9080="","",G9080+J9080)</f>
        <v/>
      </c>
    </row>
    <row r="9081">
      <c r="F9081" s="8" t="n"/>
      <c r="G9081" s="8">
        <f>IF(E9081="","",E9081*F9081)</f>
        <v/>
      </c>
      <c r="H9081" s="8">
        <f>IF(G9081="","",G9081-I9081)</f>
        <v/>
      </c>
      <c r="I9081" s="8">
        <f>IF(D9081="","",VLOOKUP(D9081, RECETTES!B:G, 6, FALSE)*E9081)</f>
        <v/>
      </c>
      <c r="J9081" s="8">
        <f>IF(G9081="","",G9081*0.20)</f>
        <v/>
      </c>
      <c r="K9081" s="8">
        <f>IF(G9081="","",G9081+J9081)</f>
        <v/>
      </c>
    </row>
    <row r="9082">
      <c r="F9082" s="8" t="n"/>
      <c r="G9082" s="8">
        <f>IF(E9082="","",E9082*F9082)</f>
        <v/>
      </c>
      <c r="H9082" s="8">
        <f>IF(G9082="","",G9082-I9082)</f>
        <v/>
      </c>
      <c r="I9082" s="8">
        <f>IF(D9082="","",VLOOKUP(D9082, RECETTES!B:G, 6, FALSE)*E9082)</f>
        <v/>
      </c>
      <c r="J9082" s="8">
        <f>IF(G9082="","",G9082*0.20)</f>
        <v/>
      </c>
      <c r="K9082" s="8">
        <f>IF(G9082="","",G9082+J9082)</f>
        <v/>
      </c>
    </row>
    <row r="9083">
      <c r="F9083" s="8" t="n"/>
      <c r="G9083" s="8">
        <f>IF(E9083="","",E9083*F9083)</f>
        <v/>
      </c>
      <c r="H9083" s="8">
        <f>IF(G9083="","",G9083-I9083)</f>
        <v/>
      </c>
      <c r="I9083" s="8">
        <f>IF(D9083="","",VLOOKUP(D9083, RECETTES!B:G, 6, FALSE)*E9083)</f>
        <v/>
      </c>
      <c r="J9083" s="8">
        <f>IF(G9083="","",G9083*0.20)</f>
        <v/>
      </c>
      <c r="K9083" s="8">
        <f>IF(G9083="","",G9083+J9083)</f>
        <v/>
      </c>
    </row>
    <row r="9084">
      <c r="F9084" s="8" t="n"/>
      <c r="G9084" s="8">
        <f>IF(E9084="","",E9084*F9084)</f>
        <v/>
      </c>
      <c r="H9084" s="8">
        <f>IF(G9084="","",G9084-I9084)</f>
        <v/>
      </c>
      <c r="I9084" s="8">
        <f>IF(D9084="","",VLOOKUP(D9084, RECETTES!B:G, 6, FALSE)*E9084)</f>
        <v/>
      </c>
      <c r="J9084" s="8">
        <f>IF(G9084="","",G9084*0.20)</f>
        <v/>
      </c>
      <c r="K9084" s="8">
        <f>IF(G9084="","",G9084+J9084)</f>
        <v/>
      </c>
    </row>
    <row r="9085">
      <c r="F9085" s="8" t="n"/>
      <c r="G9085" s="8">
        <f>IF(E9085="","",E9085*F9085)</f>
        <v/>
      </c>
      <c r="H9085" s="8">
        <f>IF(G9085="","",G9085-I9085)</f>
        <v/>
      </c>
      <c r="I9085" s="8">
        <f>IF(D9085="","",VLOOKUP(D9085, RECETTES!B:G, 6, FALSE)*E9085)</f>
        <v/>
      </c>
      <c r="J9085" s="8">
        <f>IF(G9085="","",G9085*0.20)</f>
        <v/>
      </c>
      <c r="K9085" s="8">
        <f>IF(G9085="","",G9085+J9085)</f>
        <v/>
      </c>
    </row>
    <row r="9086">
      <c r="F9086" s="8" t="n"/>
      <c r="G9086" s="8">
        <f>IF(E9086="","",E9086*F9086)</f>
        <v/>
      </c>
      <c r="H9086" s="8">
        <f>IF(G9086="","",G9086-I9086)</f>
        <v/>
      </c>
      <c r="I9086" s="8">
        <f>IF(D9086="","",VLOOKUP(D9086, RECETTES!B:G, 6, FALSE)*E9086)</f>
        <v/>
      </c>
      <c r="J9086" s="8">
        <f>IF(G9086="","",G9086*0.20)</f>
        <v/>
      </c>
      <c r="K9086" s="8">
        <f>IF(G9086="","",G9086+J9086)</f>
        <v/>
      </c>
    </row>
    <row r="9087">
      <c r="F9087" s="8" t="n"/>
      <c r="G9087" s="8">
        <f>IF(E9087="","",E9087*F9087)</f>
        <v/>
      </c>
      <c r="H9087" s="8">
        <f>IF(G9087="","",G9087-I9087)</f>
        <v/>
      </c>
      <c r="I9087" s="8">
        <f>IF(D9087="","",VLOOKUP(D9087, RECETTES!B:G, 6, FALSE)*E9087)</f>
        <v/>
      </c>
      <c r="J9087" s="8">
        <f>IF(G9087="","",G9087*0.20)</f>
        <v/>
      </c>
      <c r="K9087" s="8">
        <f>IF(G9087="","",G9087+J9087)</f>
        <v/>
      </c>
    </row>
    <row r="9088">
      <c r="F9088" s="8" t="n"/>
      <c r="G9088" s="8">
        <f>IF(E9088="","",E9088*F9088)</f>
        <v/>
      </c>
      <c r="H9088" s="8">
        <f>IF(G9088="","",G9088-I9088)</f>
        <v/>
      </c>
      <c r="I9088" s="8">
        <f>IF(D9088="","",VLOOKUP(D9088, RECETTES!B:G, 6, FALSE)*E9088)</f>
        <v/>
      </c>
      <c r="J9088" s="8">
        <f>IF(G9088="","",G9088*0.20)</f>
        <v/>
      </c>
      <c r="K9088" s="8">
        <f>IF(G9088="","",G9088+J9088)</f>
        <v/>
      </c>
    </row>
    <row r="9089">
      <c r="F9089" s="8" t="n"/>
      <c r="G9089" s="8">
        <f>IF(E9089="","",E9089*F9089)</f>
        <v/>
      </c>
      <c r="H9089" s="8">
        <f>IF(G9089="","",G9089-I9089)</f>
        <v/>
      </c>
      <c r="I9089" s="8">
        <f>IF(D9089="","",VLOOKUP(D9089, RECETTES!B:G, 6, FALSE)*E9089)</f>
        <v/>
      </c>
      <c r="J9089" s="8">
        <f>IF(G9089="","",G9089*0.20)</f>
        <v/>
      </c>
      <c r="K9089" s="8">
        <f>IF(G9089="","",G9089+J9089)</f>
        <v/>
      </c>
    </row>
    <row r="9090">
      <c r="F9090" s="8" t="n"/>
      <c r="G9090" s="8">
        <f>IF(E9090="","",E9090*F9090)</f>
        <v/>
      </c>
      <c r="H9090" s="8">
        <f>IF(G9090="","",G9090-I9090)</f>
        <v/>
      </c>
      <c r="I9090" s="8">
        <f>IF(D9090="","",VLOOKUP(D9090, RECETTES!B:G, 6, FALSE)*E9090)</f>
        <v/>
      </c>
      <c r="J9090" s="8">
        <f>IF(G9090="","",G9090*0.20)</f>
        <v/>
      </c>
      <c r="K9090" s="8">
        <f>IF(G9090="","",G9090+J9090)</f>
        <v/>
      </c>
    </row>
    <row r="9091">
      <c r="F9091" s="8" t="n"/>
      <c r="G9091" s="8">
        <f>IF(E9091="","",E9091*F9091)</f>
        <v/>
      </c>
      <c r="H9091" s="8">
        <f>IF(G9091="","",G9091-I9091)</f>
        <v/>
      </c>
      <c r="I9091" s="8">
        <f>IF(D9091="","",VLOOKUP(D9091, RECETTES!B:G, 6, FALSE)*E9091)</f>
        <v/>
      </c>
      <c r="J9091" s="8">
        <f>IF(G9091="","",G9091*0.20)</f>
        <v/>
      </c>
      <c r="K9091" s="8">
        <f>IF(G9091="","",G9091+J9091)</f>
        <v/>
      </c>
    </row>
    <row r="9092">
      <c r="F9092" s="8" t="n"/>
      <c r="G9092" s="8">
        <f>IF(E9092="","",E9092*F9092)</f>
        <v/>
      </c>
      <c r="H9092" s="8">
        <f>IF(G9092="","",G9092-I9092)</f>
        <v/>
      </c>
      <c r="I9092" s="8">
        <f>IF(D9092="","",VLOOKUP(D9092, RECETTES!B:G, 6, FALSE)*E9092)</f>
        <v/>
      </c>
      <c r="J9092" s="8">
        <f>IF(G9092="","",G9092*0.20)</f>
        <v/>
      </c>
      <c r="K9092" s="8">
        <f>IF(G9092="","",G9092+J9092)</f>
        <v/>
      </c>
    </row>
    <row r="9093">
      <c r="F9093" s="8" t="n"/>
      <c r="G9093" s="8">
        <f>IF(E9093="","",E9093*F9093)</f>
        <v/>
      </c>
      <c r="H9093" s="8">
        <f>IF(G9093="","",G9093-I9093)</f>
        <v/>
      </c>
      <c r="I9093" s="8">
        <f>IF(D9093="","",VLOOKUP(D9093, RECETTES!B:G, 6, FALSE)*E9093)</f>
        <v/>
      </c>
      <c r="J9093" s="8">
        <f>IF(G9093="","",G9093*0.20)</f>
        <v/>
      </c>
      <c r="K9093" s="8">
        <f>IF(G9093="","",G9093+J9093)</f>
        <v/>
      </c>
    </row>
    <row r="9094">
      <c r="F9094" s="8" t="n"/>
      <c r="G9094" s="8">
        <f>IF(E9094="","",E9094*F9094)</f>
        <v/>
      </c>
      <c r="H9094" s="8">
        <f>IF(G9094="","",G9094-I9094)</f>
        <v/>
      </c>
      <c r="I9094" s="8">
        <f>IF(D9094="","",VLOOKUP(D9094, RECETTES!B:G, 6, FALSE)*E9094)</f>
        <v/>
      </c>
      <c r="J9094" s="8">
        <f>IF(G9094="","",G9094*0.20)</f>
        <v/>
      </c>
      <c r="K9094" s="8">
        <f>IF(G9094="","",G9094+J9094)</f>
        <v/>
      </c>
    </row>
    <row r="9095">
      <c r="F9095" s="8" t="n"/>
      <c r="G9095" s="8">
        <f>IF(E9095="","",E9095*F9095)</f>
        <v/>
      </c>
      <c r="H9095" s="8">
        <f>IF(G9095="","",G9095-I9095)</f>
        <v/>
      </c>
      <c r="I9095" s="8">
        <f>IF(D9095="","",VLOOKUP(D9095, RECETTES!B:G, 6, FALSE)*E9095)</f>
        <v/>
      </c>
      <c r="J9095" s="8">
        <f>IF(G9095="","",G9095*0.20)</f>
        <v/>
      </c>
      <c r="K9095" s="8">
        <f>IF(G9095="","",G9095+J9095)</f>
        <v/>
      </c>
    </row>
    <row r="9096">
      <c r="F9096" s="8" t="n"/>
      <c r="G9096" s="8">
        <f>IF(E9096="","",E9096*F9096)</f>
        <v/>
      </c>
      <c r="H9096" s="8">
        <f>IF(G9096="","",G9096-I9096)</f>
        <v/>
      </c>
      <c r="I9096" s="8">
        <f>IF(D9096="","",VLOOKUP(D9096, RECETTES!B:G, 6, FALSE)*E9096)</f>
        <v/>
      </c>
      <c r="J9096" s="8">
        <f>IF(G9096="","",G9096*0.20)</f>
        <v/>
      </c>
      <c r="K9096" s="8">
        <f>IF(G9096="","",G9096+J9096)</f>
        <v/>
      </c>
    </row>
    <row r="9097">
      <c r="F9097" s="8" t="n"/>
      <c r="G9097" s="8">
        <f>IF(E9097="","",E9097*F9097)</f>
        <v/>
      </c>
      <c r="H9097" s="8">
        <f>IF(G9097="","",G9097-I9097)</f>
        <v/>
      </c>
      <c r="I9097" s="8">
        <f>IF(D9097="","",VLOOKUP(D9097, RECETTES!B:G, 6, FALSE)*E9097)</f>
        <v/>
      </c>
      <c r="J9097" s="8">
        <f>IF(G9097="","",G9097*0.20)</f>
        <v/>
      </c>
      <c r="K9097" s="8">
        <f>IF(G9097="","",G9097+J9097)</f>
        <v/>
      </c>
    </row>
    <row r="9098">
      <c r="F9098" s="8" t="n"/>
      <c r="G9098" s="8">
        <f>IF(E9098="","",E9098*F9098)</f>
        <v/>
      </c>
      <c r="H9098" s="8">
        <f>IF(G9098="","",G9098-I9098)</f>
        <v/>
      </c>
      <c r="I9098" s="8">
        <f>IF(D9098="","",VLOOKUP(D9098, RECETTES!B:G, 6, FALSE)*E9098)</f>
        <v/>
      </c>
      <c r="J9098" s="8">
        <f>IF(G9098="","",G9098*0.20)</f>
        <v/>
      </c>
      <c r="K9098" s="8">
        <f>IF(G9098="","",G9098+J9098)</f>
        <v/>
      </c>
    </row>
    <row r="9099">
      <c r="F9099" s="8" t="n"/>
      <c r="G9099" s="8">
        <f>IF(E9099="","",E9099*F9099)</f>
        <v/>
      </c>
      <c r="H9099" s="8">
        <f>IF(G9099="","",G9099-I9099)</f>
        <v/>
      </c>
      <c r="I9099" s="8">
        <f>IF(D9099="","",VLOOKUP(D9099, RECETTES!B:G, 6, FALSE)*E9099)</f>
        <v/>
      </c>
      <c r="J9099" s="8">
        <f>IF(G9099="","",G9099*0.20)</f>
        <v/>
      </c>
      <c r="K9099" s="8">
        <f>IF(G9099="","",G9099+J9099)</f>
        <v/>
      </c>
    </row>
    <row r="9100">
      <c r="F9100" s="8" t="n"/>
      <c r="G9100" s="8">
        <f>IF(E9100="","",E9100*F9100)</f>
        <v/>
      </c>
      <c r="H9100" s="8">
        <f>IF(G9100="","",G9100-I9100)</f>
        <v/>
      </c>
      <c r="I9100" s="8">
        <f>IF(D9100="","",VLOOKUP(D9100, RECETTES!B:G, 6, FALSE)*E9100)</f>
        <v/>
      </c>
      <c r="J9100" s="8">
        <f>IF(G9100="","",G9100*0.20)</f>
        <v/>
      </c>
      <c r="K9100" s="8">
        <f>IF(G9100="","",G9100+J9100)</f>
        <v/>
      </c>
    </row>
    <row r="9101">
      <c r="F9101" s="8" t="n"/>
      <c r="G9101" s="8">
        <f>IF(E9101="","",E9101*F9101)</f>
        <v/>
      </c>
      <c r="H9101" s="8">
        <f>IF(G9101="","",G9101-I9101)</f>
        <v/>
      </c>
      <c r="I9101" s="8">
        <f>IF(D9101="","",VLOOKUP(D9101, RECETTES!B:G, 6, FALSE)*E9101)</f>
        <v/>
      </c>
      <c r="J9101" s="8">
        <f>IF(G9101="","",G9101*0.20)</f>
        <v/>
      </c>
      <c r="K9101" s="8">
        <f>IF(G9101="","",G9101+J9101)</f>
        <v/>
      </c>
    </row>
    <row r="9102">
      <c r="F9102" s="8" t="n"/>
      <c r="G9102" s="8">
        <f>IF(E9102="","",E9102*F9102)</f>
        <v/>
      </c>
      <c r="H9102" s="8">
        <f>IF(G9102="","",G9102-I9102)</f>
        <v/>
      </c>
      <c r="I9102" s="8">
        <f>IF(D9102="","",VLOOKUP(D9102, RECETTES!B:G, 6, FALSE)*E9102)</f>
        <v/>
      </c>
      <c r="J9102" s="8">
        <f>IF(G9102="","",G9102*0.20)</f>
        <v/>
      </c>
      <c r="K9102" s="8">
        <f>IF(G9102="","",G9102+J9102)</f>
        <v/>
      </c>
    </row>
    <row r="9103">
      <c r="F9103" s="8" t="n"/>
      <c r="G9103" s="8">
        <f>IF(E9103="","",E9103*F9103)</f>
        <v/>
      </c>
      <c r="H9103" s="8">
        <f>IF(G9103="","",G9103-I9103)</f>
        <v/>
      </c>
      <c r="I9103" s="8">
        <f>IF(D9103="","",VLOOKUP(D9103, RECETTES!B:G, 6, FALSE)*E9103)</f>
        <v/>
      </c>
      <c r="J9103" s="8">
        <f>IF(G9103="","",G9103*0.20)</f>
        <v/>
      </c>
      <c r="K9103" s="8">
        <f>IF(G9103="","",G9103+J9103)</f>
        <v/>
      </c>
    </row>
    <row r="9104">
      <c r="F9104" s="8" t="n"/>
      <c r="G9104" s="8">
        <f>IF(E9104="","",E9104*F9104)</f>
        <v/>
      </c>
      <c r="H9104" s="8">
        <f>IF(G9104="","",G9104-I9104)</f>
        <v/>
      </c>
      <c r="I9104" s="8">
        <f>IF(D9104="","",VLOOKUP(D9104, RECETTES!B:G, 6, FALSE)*E9104)</f>
        <v/>
      </c>
      <c r="J9104" s="8">
        <f>IF(G9104="","",G9104*0.20)</f>
        <v/>
      </c>
      <c r="K9104" s="8">
        <f>IF(G9104="","",G9104+J9104)</f>
        <v/>
      </c>
    </row>
    <row r="9105">
      <c r="F9105" s="8" t="n"/>
      <c r="G9105" s="8">
        <f>IF(E9105="","",E9105*F9105)</f>
        <v/>
      </c>
      <c r="H9105" s="8">
        <f>IF(G9105="","",G9105-I9105)</f>
        <v/>
      </c>
      <c r="I9105" s="8">
        <f>IF(D9105="","",VLOOKUP(D9105, RECETTES!B:G, 6, FALSE)*E9105)</f>
        <v/>
      </c>
      <c r="J9105" s="8">
        <f>IF(G9105="","",G9105*0.20)</f>
        <v/>
      </c>
      <c r="K9105" s="8">
        <f>IF(G9105="","",G9105+J9105)</f>
        <v/>
      </c>
    </row>
    <row r="9106">
      <c r="F9106" s="8" t="n"/>
      <c r="G9106" s="8">
        <f>IF(E9106="","",E9106*F9106)</f>
        <v/>
      </c>
      <c r="H9106" s="8">
        <f>IF(G9106="","",G9106-I9106)</f>
        <v/>
      </c>
      <c r="I9106" s="8">
        <f>IF(D9106="","",VLOOKUP(D9106, RECETTES!B:G, 6, FALSE)*E9106)</f>
        <v/>
      </c>
      <c r="J9106" s="8">
        <f>IF(G9106="","",G9106*0.20)</f>
        <v/>
      </c>
      <c r="K9106" s="8">
        <f>IF(G9106="","",G9106+J9106)</f>
        <v/>
      </c>
    </row>
    <row r="9107">
      <c r="F9107" s="8" t="n"/>
      <c r="G9107" s="8">
        <f>IF(E9107="","",E9107*F9107)</f>
        <v/>
      </c>
      <c r="H9107" s="8">
        <f>IF(G9107="","",G9107-I9107)</f>
        <v/>
      </c>
      <c r="I9107" s="8">
        <f>IF(D9107="","",VLOOKUP(D9107, RECETTES!B:G, 6, FALSE)*E9107)</f>
        <v/>
      </c>
      <c r="J9107" s="8">
        <f>IF(G9107="","",G9107*0.20)</f>
        <v/>
      </c>
      <c r="K9107" s="8">
        <f>IF(G9107="","",G9107+J9107)</f>
        <v/>
      </c>
    </row>
    <row r="9108">
      <c r="F9108" s="8" t="n"/>
      <c r="G9108" s="8">
        <f>IF(E9108="","",E9108*F9108)</f>
        <v/>
      </c>
      <c r="H9108" s="8">
        <f>IF(G9108="","",G9108-I9108)</f>
        <v/>
      </c>
      <c r="I9108" s="8">
        <f>IF(D9108="","",VLOOKUP(D9108, RECETTES!B:G, 6, FALSE)*E9108)</f>
        <v/>
      </c>
      <c r="J9108" s="8">
        <f>IF(G9108="","",G9108*0.20)</f>
        <v/>
      </c>
      <c r="K9108" s="8">
        <f>IF(G9108="","",G9108+J9108)</f>
        <v/>
      </c>
    </row>
    <row r="9109">
      <c r="F9109" s="8" t="n"/>
      <c r="G9109" s="8">
        <f>IF(E9109="","",E9109*F9109)</f>
        <v/>
      </c>
      <c r="H9109" s="8">
        <f>IF(G9109="","",G9109-I9109)</f>
        <v/>
      </c>
      <c r="I9109" s="8">
        <f>IF(D9109="","",VLOOKUP(D9109, RECETTES!B:G, 6, FALSE)*E9109)</f>
        <v/>
      </c>
      <c r="J9109" s="8">
        <f>IF(G9109="","",G9109*0.20)</f>
        <v/>
      </c>
      <c r="K9109" s="8">
        <f>IF(G9109="","",G9109+J9109)</f>
        <v/>
      </c>
    </row>
    <row r="9110">
      <c r="F9110" s="8" t="n"/>
      <c r="G9110" s="8">
        <f>IF(E9110="","",E9110*F9110)</f>
        <v/>
      </c>
      <c r="H9110" s="8">
        <f>IF(G9110="","",G9110-I9110)</f>
        <v/>
      </c>
      <c r="I9110" s="8">
        <f>IF(D9110="","",VLOOKUP(D9110, RECETTES!B:G, 6, FALSE)*E9110)</f>
        <v/>
      </c>
      <c r="J9110" s="8">
        <f>IF(G9110="","",G9110*0.20)</f>
        <v/>
      </c>
      <c r="K9110" s="8">
        <f>IF(G9110="","",G9110+J9110)</f>
        <v/>
      </c>
    </row>
    <row r="9111">
      <c r="F9111" s="8" t="n"/>
      <c r="G9111" s="8">
        <f>IF(E9111="","",E9111*F9111)</f>
        <v/>
      </c>
      <c r="H9111" s="8">
        <f>IF(G9111="","",G9111-I9111)</f>
        <v/>
      </c>
      <c r="I9111" s="8">
        <f>IF(D9111="","",VLOOKUP(D9111, RECETTES!B:G, 6, FALSE)*E9111)</f>
        <v/>
      </c>
      <c r="J9111" s="8">
        <f>IF(G9111="","",G9111*0.20)</f>
        <v/>
      </c>
      <c r="K9111" s="8">
        <f>IF(G9111="","",G9111+J9111)</f>
        <v/>
      </c>
    </row>
    <row r="9112">
      <c r="F9112" s="8" t="n"/>
      <c r="G9112" s="8">
        <f>IF(E9112="","",E9112*F9112)</f>
        <v/>
      </c>
      <c r="H9112" s="8">
        <f>IF(G9112="","",G9112-I9112)</f>
        <v/>
      </c>
      <c r="I9112" s="8">
        <f>IF(D9112="","",VLOOKUP(D9112, RECETTES!B:G, 6, FALSE)*E9112)</f>
        <v/>
      </c>
      <c r="J9112" s="8">
        <f>IF(G9112="","",G9112*0.20)</f>
        <v/>
      </c>
      <c r="K9112" s="8">
        <f>IF(G9112="","",G9112+J9112)</f>
        <v/>
      </c>
    </row>
    <row r="9113">
      <c r="F9113" s="8" t="n"/>
      <c r="G9113" s="8">
        <f>IF(E9113="","",E9113*F9113)</f>
        <v/>
      </c>
      <c r="H9113" s="8">
        <f>IF(G9113="","",G9113-I9113)</f>
        <v/>
      </c>
      <c r="I9113" s="8">
        <f>IF(D9113="","",VLOOKUP(D9113, RECETTES!B:G, 6, FALSE)*E9113)</f>
        <v/>
      </c>
      <c r="J9113" s="8">
        <f>IF(G9113="","",G9113*0.20)</f>
        <v/>
      </c>
      <c r="K9113" s="8">
        <f>IF(G9113="","",G9113+J9113)</f>
        <v/>
      </c>
    </row>
    <row r="9114">
      <c r="F9114" s="8" t="n"/>
      <c r="G9114" s="8">
        <f>IF(E9114="","",E9114*F9114)</f>
        <v/>
      </c>
      <c r="H9114" s="8">
        <f>IF(G9114="","",G9114-I9114)</f>
        <v/>
      </c>
      <c r="I9114" s="8">
        <f>IF(D9114="","",VLOOKUP(D9114, RECETTES!B:G, 6, FALSE)*E9114)</f>
        <v/>
      </c>
      <c r="J9114" s="8">
        <f>IF(G9114="","",G9114*0.20)</f>
        <v/>
      </c>
      <c r="K9114" s="8">
        <f>IF(G9114="","",G9114+J9114)</f>
        <v/>
      </c>
    </row>
    <row r="9115">
      <c r="F9115" s="8" t="n"/>
      <c r="G9115" s="8">
        <f>IF(E9115="","",E9115*F9115)</f>
        <v/>
      </c>
      <c r="H9115" s="8">
        <f>IF(G9115="","",G9115-I9115)</f>
        <v/>
      </c>
      <c r="I9115" s="8">
        <f>IF(D9115="","",VLOOKUP(D9115, RECETTES!B:G, 6, FALSE)*E9115)</f>
        <v/>
      </c>
      <c r="J9115" s="8">
        <f>IF(G9115="","",G9115*0.20)</f>
        <v/>
      </c>
      <c r="K9115" s="8">
        <f>IF(G9115="","",G9115+J9115)</f>
        <v/>
      </c>
    </row>
    <row r="9116">
      <c r="F9116" s="8" t="n"/>
      <c r="G9116" s="8">
        <f>IF(E9116="","",E9116*F9116)</f>
        <v/>
      </c>
      <c r="H9116" s="8">
        <f>IF(G9116="","",G9116-I9116)</f>
        <v/>
      </c>
      <c r="I9116" s="8">
        <f>IF(D9116="","",VLOOKUP(D9116, RECETTES!B:G, 6, FALSE)*E9116)</f>
        <v/>
      </c>
      <c r="J9116" s="8">
        <f>IF(G9116="","",G9116*0.20)</f>
        <v/>
      </c>
      <c r="K9116" s="8">
        <f>IF(G9116="","",G9116+J9116)</f>
        <v/>
      </c>
    </row>
    <row r="9117">
      <c r="F9117" s="8" t="n"/>
      <c r="G9117" s="8">
        <f>IF(E9117="","",E9117*F9117)</f>
        <v/>
      </c>
      <c r="H9117" s="8">
        <f>IF(G9117="","",G9117-I9117)</f>
        <v/>
      </c>
      <c r="I9117" s="8">
        <f>IF(D9117="","",VLOOKUP(D9117, RECETTES!B:G, 6, FALSE)*E9117)</f>
        <v/>
      </c>
      <c r="J9117" s="8">
        <f>IF(G9117="","",G9117*0.20)</f>
        <v/>
      </c>
      <c r="K9117" s="8">
        <f>IF(G9117="","",G9117+J9117)</f>
        <v/>
      </c>
    </row>
    <row r="9118">
      <c r="F9118" s="8" t="n"/>
      <c r="G9118" s="8">
        <f>IF(E9118="","",E9118*F9118)</f>
        <v/>
      </c>
      <c r="H9118" s="8">
        <f>IF(G9118="","",G9118-I9118)</f>
        <v/>
      </c>
      <c r="I9118" s="8">
        <f>IF(D9118="","",VLOOKUP(D9118, RECETTES!B:G, 6, FALSE)*E9118)</f>
        <v/>
      </c>
      <c r="J9118" s="8">
        <f>IF(G9118="","",G9118*0.20)</f>
        <v/>
      </c>
      <c r="K9118" s="8">
        <f>IF(G9118="","",G9118+J9118)</f>
        <v/>
      </c>
    </row>
    <row r="9119">
      <c r="F9119" s="8" t="n"/>
      <c r="G9119" s="8">
        <f>IF(E9119="","",E9119*F9119)</f>
        <v/>
      </c>
      <c r="H9119" s="8">
        <f>IF(G9119="","",G9119-I9119)</f>
        <v/>
      </c>
      <c r="I9119" s="8">
        <f>IF(D9119="","",VLOOKUP(D9119, RECETTES!B:G, 6, FALSE)*E9119)</f>
        <v/>
      </c>
      <c r="J9119" s="8">
        <f>IF(G9119="","",G9119*0.20)</f>
        <v/>
      </c>
      <c r="K9119" s="8">
        <f>IF(G9119="","",G9119+J9119)</f>
        <v/>
      </c>
    </row>
    <row r="9120">
      <c r="F9120" s="8" t="n"/>
      <c r="G9120" s="8">
        <f>IF(E9120="","",E9120*F9120)</f>
        <v/>
      </c>
      <c r="H9120" s="8">
        <f>IF(G9120="","",G9120-I9120)</f>
        <v/>
      </c>
      <c r="I9120" s="8">
        <f>IF(D9120="","",VLOOKUP(D9120, RECETTES!B:G, 6, FALSE)*E9120)</f>
        <v/>
      </c>
      <c r="J9120" s="8">
        <f>IF(G9120="","",G9120*0.20)</f>
        <v/>
      </c>
      <c r="K9120" s="8">
        <f>IF(G9120="","",G9120+J9120)</f>
        <v/>
      </c>
    </row>
    <row r="9121">
      <c r="F9121" s="8" t="n"/>
      <c r="G9121" s="8">
        <f>IF(E9121="","",E9121*F9121)</f>
        <v/>
      </c>
      <c r="H9121" s="8">
        <f>IF(G9121="","",G9121-I9121)</f>
        <v/>
      </c>
      <c r="I9121" s="8">
        <f>IF(D9121="","",VLOOKUP(D9121, RECETTES!B:G, 6, FALSE)*E9121)</f>
        <v/>
      </c>
      <c r="J9121" s="8">
        <f>IF(G9121="","",G9121*0.20)</f>
        <v/>
      </c>
      <c r="K9121" s="8">
        <f>IF(G9121="","",G9121+J9121)</f>
        <v/>
      </c>
    </row>
    <row r="9122">
      <c r="F9122" s="8" t="n"/>
      <c r="G9122" s="8">
        <f>IF(E9122="","",E9122*F9122)</f>
        <v/>
      </c>
      <c r="H9122" s="8">
        <f>IF(G9122="","",G9122-I9122)</f>
        <v/>
      </c>
      <c r="I9122" s="8">
        <f>IF(D9122="","",VLOOKUP(D9122, RECETTES!B:G, 6, FALSE)*E9122)</f>
        <v/>
      </c>
      <c r="J9122" s="8">
        <f>IF(G9122="","",G9122*0.20)</f>
        <v/>
      </c>
      <c r="K9122" s="8">
        <f>IF(G9122="","",G9122+J9122)</f>
        <v/>
      </c>
    </row>
    <row r="9123">
      <c r="F9123" s="8" t="n"/>
      <c r="G9123" s="8">
        <f>IF(E9123="","",E9123*F9123)</f>
        <v/>
      </c>
      <c r="H9123" s="8">
        <f>IF(G9123="","",G9123-I9123)</f>
        <v/>
      </c>
      <c r="I9123" s="8">
        <f>IF(D9123="","",VLOOKUP(D9123, RECETTES!B:G, 6, FALSE)*E9123)</f>
        <v/>
      </c>
      <c r="J9123" s="8">
        <f>IF(G9123="","",G9123*0.20)</f>
        <v/>
      </c>
      <c r="K9123" s="8">
        <f>IF(G9123="","",G9123+J9123)</f>
        <v/>
      </c>
    </row>
    <row r="9124">
      <c r="F9124" s="8" t="n"/>
      <c r="G9124" s="8">
        <f>IF(E9124="","",E9124*F9124)</f>
        <v/>
      </c>
      <c r="H9124" s="8">
        <f>IF(G9124="","",G9124-I9124)</f>
        <v/>
      </c>
      <c r="I9124" s="8">
        <f>IF(D9124="","",VLOOKUP(D9124, RECETTES!B:G, 6, FALSE)*E9124)</f>
        <v/>
      </c>
      <c r="J9124" s="8">
        <f>IF(G9124="","",G9124*0.20)</f>
        <v/>
      </c>
      <c r="K9124" s="8">
        <f>IF(G9124="","",G9124+J9124)</f>
        <v/>
      </c>
    </row>
    <row r="9125">
      <c r="F9125" s="8" t="n"/>
      <c r="G9125" s="8">
        <f>IF(E9125="","",E9125*F9125)</f>
        <v/>
      </c>
      <c r="H9125" s="8">
        <f>IF(G9125="","",G9125-I9125)</f>
        <v/>
      </c>
      <c r="I9125" s="8">
        <f>IF(D9125="","",VLOOKUP(D9125, RECETTES!B:G, 6, FALSE)*E9125)</f>
        <v/>
      </c>
      <c r="J9125" s="8">
        <f>IF(G9125="","",G9125*0.20)</f>
        <v/>
      </c>
      <c r="K9125" s="8">
        <f>IF(G9125="","",G9125+J9125)</f>
        <v/>
      </c>
    </row>
    <row r="9126">
      <c r="F9126" s="8" t="n"/>
      <c r="G9126" s="8">
        <f>IF(E9126="","",E9126*F9126)</f>
        <v/>
      </c>
      <c r="H9126" s="8">
        <f>IF(G9126="","",G9126-I9126)</f>
        <v/>
      </c>
      <c r="I9126" s="8">
        <f>IF(D9126="","",VLOOKUP(D9126, RECETTES!B:G, 6, FALSE)*E9126)</f>
        <v/>
      </c>
      <c r="J9126" s="8">
        <f>IF(G9126="","",G9126*0.20)</f>
        <v/>
      </c>
      <c r="K9126" s="8">
        <f>IF(G9126="","",G9126+J9126)</f>
        <v/>
      </c>
    </row>
    <row r="9127">
      <c r="F9127" s="8" t="n"/>
      <c r="G9127" s="8">
        <f>IF(E9127="","",E9127*F9127)</f>
        <v/>
      </c>
      <c r="H9127" s="8">
        <f>IF(G9127="","",G9127-I9127)</f>
        <v/>
      </c>
      <c r="I9127" s="8">
        <f>IF(D9127="","",VLOOKUP(D9127, RECETTES!B:G, 6, FALSE)*E9127)</f>
        <v/>
      </c>
      <c r="J9127" s="8">
        <f>IF(G9127="","",G9127*0.20)</f>
        <v/>
      </c>
      <c r="K9127" s="8">
        <f>IF(G9127="","",G9127+J9127)</f>
        <v/>
      </c>
    </row>
    <row r="9128">
      <c r="F9128" s="8" t="n"/>
      <c r="G9128" s="8">
        <f>IF(E9128="","",E9128*F9128)</f>
        <v/>
      </c>
      <c r="H9128" s="8">
        <f>IF(G9128="","",G9128-I9128)</f>
        <v/>
      </c>
      <c r="I9128" s="8">
        <f>IF(D9128="","",VLOOKUP(D9128, RECETTES!B:G, 6, FALSE)*E9128)</f>
        <v/>
      </c>
      <c r="J9128" s="8">
        <f>IF(G9128="","",G9128*0.20)</f>
        <v/>
      </c>
      <c r="K9128" s="8">
        <f>IF(G9128="","",G9128+J9128)</f>
        <v/>
      </c>
    </row>
    <row r="9129">
      <c r="F9129" s="8" t="n"/>
      <c r="G9129" s="8">
        <f>IF(E9129="","",E9129*F9129)</f>
        <v/>
      </c>
      <c r="H9129" s="8">
        <f>IF(G9129="","",G9129-I9129)</f>
        <v/>
      </c>
      <c r="I9129" s="8">
        <f>IF(D9129="","",VLOOKUP(D9129, RECETTES!B:G, 6, FALSE)*E9129)</f>
        <v/>
      </c>
      <c r="J9129" s="8">
        <f>IF(G9129="","",G9129*0.20)</f>
        <v/>
      </c>
      <c r="K9129" s="8">
        <f>IF(G9129="","",G9129+J9129)</f>
        <v/>
      </c>
    </row>
    <row r="9130">
      <c r="F9130" s="8" t="n"/>
      <c r="G9130" s="8">
        <f>IF(E9130="","",E9130*F9130)</f>
        <v/>
      </c>
      <c r="H9130" s="8">
        <f>IF(G9130="","",G9130-I9130)</f>
        <v/>
      </c>
      <c r="I9130" s="8">
        <f>IF(D9130="","",VLOOKUP(D9130, RECETTES!B:G, 6, FALSE)*E9130)</f>
        <v/>
      </c>
      <c r="J9130" s="8">
        <f>IF(G9130="","",G9130*0.20)</f>
        <v/>
      </c>
      <c r="K9130" s="8">
        <f>IF(G9130="","",G9130+J9130)</f>
        <v/>
      </c>
    </row>
    <row r="9131">
      <c r="F9131" s="8" t="n"/>
      <c r="G9131" s="8">
        <f>IF(E9131="","",E9131*F9131)</f>
        <v/>
      </c>
      <c r="H9131" s="8">
        <f>IF(G9131="","",G9131-I9131)</f>
        <v/>
      </c>
      <c r="I9131" s="8">
        <f>IF(D9131="","",VLOOKUP(D9131, RECETTES!B:G, 6, FALSE)*E9131)</f>
        <v/>
      </c>
      <c r="J9131" s="8">
        <f>IF(G9131="","",G9131*0.20)</f>
        <v/>
      </c>
      <c r="K9131" s="8">
        <f>IF(G9131="","",G9131+J9131)</f>
        <v/>
      </c>
    </row>
    <row r="9132">
      <c r="F9132" s="8" t="n"/>
      <c r="G9132" s="8">
        <f>IF(E9132="","",E9132*F9132)</f>
        <v/>
      </c>
      <c r="H9132" s="8">
        <f>IF(G9132="","",G9132-I9132)</f>
        <v/>
      </c>
      <c r="I9132" s="8">
        <f>IF(D9132="","",VLOOKUP(D9132, RECETTES!B:G, 6, FALSE)*E9132)</f>
        <v/>
      </c>
      <c r="J9132" s="8">
        <f>IF(G9132="","",G9132*0.20)</f>
        <v/>
      </c>
      <c r="K9132" s="8">
        <f>IF(G9132="","",G9132+J9132)</f>
        <v/>
      </c>
    </row>
    <row r="9133">
      <c r="F9133" s="8" t="n"/>
      <c r="G9133" s="8">
        <f>IF(E9133="","",E9133*F9133)</f>
        <v/>
      </c>
      <c r="H9133" s="8">
        <f>IF(G9133="","",G9133-I9133)</f>
        <v/>
      </c>
      <c r="I9133" s="8">
        <f>IF(D9133="","",VLOOKUP(D9133, RECETTES!B:G, 6, FALSE)*E9133)</f>
        <v/>
      </c>
      <c r="J9133" s="8">
        <f>IF(G9133="","",G9133*0.20)</f>
        <v/>
      </c>
      <c r="K9133" s="8">
        <f>IF(G9133="","",G9133+J9133)</f>
        <v/>
      </c>
    </row>
    <row r="9134">
      <c r="F9134" s="8" t="n"/>
      <c r="G9134" s="8">
        <f>IF(E9134="","",E9134*F9134)</f>
        <v/>
      </c>
      <c r="H9134" s="8">
        <f>IF(G9134="","",G9134-I9134)</f>
        <v/>
      </c>
      <c r="I9134" s="8">
        <f>IF(D9134="","",VLOOKUP(D9134, RECETTES!B:G, 6, FALSE)*E9134)</f>
        <v/>
      </c>
      <c r="J9134" s="8">
        <f>IF(G9134="","",G9134*0.20)</f>
        <v/>
      </c>
      <c r="K9134" s="8">
        <f>IF(G9134="","",G9134+J9134)</f>
        <v/>
      </c>
    </row>
    <row r="9135">
      <c r="F9135" s="8" t="n"/>
      <c r="G9135" s="8">
        <f>IF(E9135="","",E9135*F9135)</f>
        <v/>
      </c>
      <c r="H9135" s="8">
        <f>IF(G9135="","",G9135-I9135)</f>
        <v/>
      </c>
      <c r="I9135" s="8">
        <f>IF(D9135="","",VLOOKUP(D9135, RECETTES!B:G, 6, FALSE)*E9135)</f>
        <v/>
      </c>
      <c r="J9135" s="8">
        <f>IF(G9135="","",G9135*0.20)</f>
        <v/>
      </c>
      <c r="K9135" s="8">
        <f>IF(G9135="","",G9135+J9135)</f>
        <v/>
      </c>
    </row>
    <row r="9136">
      <c r="F9136" s="8" t="n"/>
      <c r="G9136" s="8">
        <f>IF(E9136="","",E9136*F9136)</f>
        <v/>
      </c>
      <c r="H9136" s="8">
        <f>IF(G9136="","",G9136-I9136)</f>
        <v/>
      </c>
      <c r="I9136" s="8">
        <f>IF(D9136="","",VLOOKUP(D9136, RECETTES!B:G, 6, FALSE)*E9136)</f>
        <v/>
      </c>
      <c r="J9136" s="8">
        <f>IF(G9136="","",G9136*0.20)</f>
        <v/>
      </c>
      <c r="K9136" s="8">
        <f>IF(G9136="","",G9136+J9136)</f>
        <v/>
      </c>
    </row>
    <row r="9137">
      <c r="F9137" s="8" t="n"/>
      <c r="G9137" s="8">
        <f>IF(E9137="","",E9137*F9137)</f>
        <v/>
      </c>
      <c r="H9137" s="8">
        <f>IF(G9137="","",G9137-I9137)</f>
        <v/>
      </c>
      <c r="I9137" s="8">
        <f>IF(D9137="","",VLOOKUP(D9137, RECETTES!B:G, 6, FALSE)*E9137)</f>
        <v/>
      </c>
      <c r="J9137" s="8">
        <f>IF(G9137="","",G9137*0.20)</f>
        <v/>
      </c>
      <c r="K9137" s="8">
        <f>IF(G9137="","",G9137+J9137)</f>
        <v/>
      </c>
    </row>
    <row r="9138">
      <c r="F9138" s="8" t="n"/>
      <c r="G9138" s="8">
        <f>IF(E9138="","",E9138*F9138)</f>
        <v/>
      </c>
      <c r="H9138" s="8">
        <f>IF(G9138="","",G9138-I9138)</f>
        <v/>
      </c>
      <c r="I9138" s="8">
        <f>IF(D9138="","",VLOOKUP(D9138, RECETTES!B:G, 6, FALSE)*E9138)</f>
        <v/>
      </c>
      <c r="J9138" s="8">
        <f>IF(G9138="","",G9138*0.20)</f>
        <v/>
      </c>
      <c r="K9138" s="8">
        <f>IF(G9138="","",G9138+J9138)</f>
        <v/>
      </c>
    </row>
    <row r="9139">
      <c r="F9139" s="8" t="n"/>
      <c r="G9139" s="8">
        <f>IF(E9139="","",E9139*F9139)</f>
        <v/>
      </c>
      <c r="H9139" s="8">
        <f>IF(G9139="","",G9139-I9139)</f>
        <v/>
      </c>
      <c r="I9139" s="8">
        <f>IF(D9139="","",VLOOKUP(D9139, RECETTES!B:G, 6, FALSE)*E9139)</f>
        <v/>
      </c>
      <c r="J9139" s="8">
        <f>IF(G9139="","",G9139*0.20)</f>
        <v/>
      </c>
      <c r="K9139" s="8">
        <f>IF(G9139="","",G9139+J9139)</f>
        <v/>
      </c>
    </row>
    <row r="9140">
      <c r="F9140" s="8" t="n"/>
      <c r="G9140" s="8">
        <f>IF(E9140="","",E9140*F9140)</f>
        <v/>
      </c>
      <c r="H9140" s="8">
        <f>IF(G9140="","",G9140-I9140)</f>
        <v/>
      </c>
      <c r="I9140" s="8">
        <f>IF(D9140="","",VLOOKUP(D9140, RECETTES!B:G, 6, FALSE)*E9140)</f>
        <v/>
      </c>
      <c r="J9140" s="8">
        <f>IF(G9140="","",G9140*0.20)</f>
        <v/>
      </c>
      <c r="K9140" s="8">
        <f>IF(G9140="","",G9140+J9140)</f>
        <v/>
      </c>
    </row>
    <row r="9141">
      <c r="F9141" s="8" t="n"/>
      <c r="G9141" s="8">
        <f>IF(E9141="","",E9141*F9141)</f>
        <v/>
      </c>
      <c r="H9141" s="8">
        <f>IF(G9141="","",G9141-I9141)</f>
        <v/>
      </c>
      <c r="I9141" s="8">
        <f>IF(D9141="","",VLOOKUP(D9141, RECETTES!B:G, 6, FALSE)*E9141)</f>
        <v/>
      </c>
      <c r="J9141" s="8">
        <f>IF(G9141="","",G9141*0.20)</f>
        <v/>
      </c>
      <c r="K9141" s="8">
        <f>IF(G9141="","",G9141+J9141)</f>
        <v/>
      </c>
    </row>
    <row r="9142">
      <c r="F9142" s="8" t="n"/>
      <c r="G9142" s="8">
        <f>IF(E9142="","",E9142*F9142)</f>
        <v/>
      </c>
      <c r="H9142" s="8">
        <f>IF(G9142="","",G9142-I9142)</f>
        <v/>
      </c>
      <c r="I9142" s="8">
        <f>IF(D9142="","",VLOOKUP(D9142, RECETTES!B:G, 6, FALSE)*E9142)</f>
        <v/>
      </c>
      <c r="J9142" s="8">
        <f>IF(G9142="","",G9142*0.20)</f>
        <v/>
      </c>
      <c r="K9142" s="8">
        <f>IF(G9142="","",G9142+J9142)</f>
        <v/>
      </c>
    </row>
    <row r="9143">
      <c r="F9143" s="8" t="n"/>
      <c r="G9143" s="8">
        <f>IF(E9143="","",E9143*F9143)</f>
        <v/>
      </c>
      <c r="H9143" s="8">
        <f>IF(G9143="","",G9143-I9143)</f>
        <v/>
      </c>
      <c r="I9143" s="8">
        <f>IF(D9143="","",VLOOKUP(D9143, RECETTES!B:G, 6, FALSE)*E9143)</f>
        <v/>
      </c>
      <c r="J9143" s="8">
        <f>IF(G9143="","",G9143*0.20)</f>
        <v/>
      </c>
      <c r="K9143" s="8">
        <f>IF(G9143="","",G9143+J9143)</f>
        <v/>
      </c>
    </row>
    <row r="9144">
      <c r="F9144" s="8" t="n"/>
      <c r="G9144" s="8">
        <f>IF(E9144="","",E9144*F9144)</f>
        <v/>
      </c>
      <c r="H9144" s="8">
        <f>IF(G9144="","",G9144-I9144)</f>
        <v/>
      </c>
      <c r="I9144" s="8">
        <f>IF(D9144="","",VLOOKUP(D9144, RECETTES!B:G, 6, FALSE)*E9144)</f>
        <v/>
      </c>
      <c r="J9144" s="8">
        <f>IF(G9144="","",G9144*0.20)</f>
        <v/>
      </c>
      <c r="K9144" s="8">
        <f>IF(G9144="","",G9144+J9144)</f>
        <v/>
      </c>
    </row>
    <row r="9145">
      <c r="F9145" s="8" t="n"/>
      <c r="G9145" s="8">
        <f>IF(E9145="","",E9145*F9145)</f>
        <v/>
      </c>
      <c r="H9145" s="8">
        <f>IF(G9145="","",G9145-I9145)</f>
        <v/>
      </c>
      <c r="I9145" s="8">
        <f>IF(D9145="","",VLOOKUP(D9145, RECETTES!B:G, 6, FALSE)*E9145)</f>
        <v/>
      </c>
      <c r="J9145" s="8">
        <f>IF(G9145="","",G9145*0.20)</f>
        <v/>
      </c>
      <c r="K9145" s="8">
        <f>IF(G9145="","",G9145+J9145)</f>
        <v/>
      </c>
    </row>
    <row r="9146">
      <c r="F9146" s="8" t="n"/>
      <c r="G9146" s="8">
        <f>IF(E9146="","",E9146*F9146)</f>
        <v/>
      </c>
      <c r="H9146" s="8">
        <f>IF(G9146="","",G9146-I9146)</f>
        <v/>
      </c>
      <c r="I9146" s="8">
        <f>IF(D9146="","",VLOOKUP(D9146, RECETTES!B:G, 6, FALSE)*E9146)</f>
        <v/>
      </c>
      <c r="J9146" s="8">
        <f>IF(G9146="","",G9146*0.20)</f>
        <v/>
      </c>
      <c r="K9146" s="8">
        <f>IF(G9146="","",G9146+J9146)</f>
        <v/>
      </c>
    </row>
    <row r="9147">
      <c r="F9147" s="8" t="n"/>
      <c r="G9147" s="8">
        <f>IF(E9147="","",E9147*F9147)</f>
        <v/>
      </c>
      <c r="H9147" s="8">
        <f>IF(G9147="","",G9147-I9147)</f>
        <v/>
      </c>
      <c r="I9147" s="8">
        <f>IF(D9147="","",VLOOKUP(D9147, RECETTES!B:G, 6, FALSE)*E9147)</f>
        <v/>
      </c>
      <c r="J9147" s="8">
        <f>IF(G9147="","",G9147*0.20)</f>
        <v/>
      </c>
      <c r="K9147" s="8">
        <f>IF(G9147="","",G9147+J9147)</f>
        <v/>
      </c>
    </row>
    <row r="9148">
      <c r="F9148" s="8" t="n"/>
      <c r="G9148" s="8">
        <f>IF(E9148="","",E9148*F9148)</f>
        <v/>
      </c>
      <c r="H9148" s="8">
        <f>IF(G9148="","",G9148-I9148)</f>
        <v/>
      </c>
      <c r="I9148" s="8">
        <f>IF(D9148="","",VLOOKUP(D9148, RECETTES!B:G, 6, FALSE)*E9148)</f>
        <v/>
      </c>
      <c r="J9148" s="8">
        <f>IF(G9148="","",G9148*0.20)</f>
        <v/>
      </c>
      <c r="K9148" s="8">
        <f>IF(G9148="","",G9148+J9148)</f>
        <v/>
      </c>
    </row>
    <row r="9149">
      <c r="F9149" s="8" t="n"/>
      <c r="G9149" s="8">
        <f>IF(E9149="","",E9149*F9149)</f>
        <v/>
      </c>
      <c r="H9149" s="8">
        <f>IF(G9149="","",G9149-I9149)</f>
        <v/>
      </c>
      <c r="I9149" s="8">
        <f>IF(D9149="","",VLOOKUP(D9149, RECETTES!B:G, 6, FALSE)*E9149)</f>
        <v/>
      </c>
      <c r="J9149" s="8">
        <f>IF(G9149="","",G9149*0.20)</f>
        <v/>
      </c>
      <c r="K9149" s="8">
        <f>IF(G9149="","",G9149+J9149)</f>
        <v/>
      </c>
    </row>
    <row r="9150">
      <c r="F9150" s="8" t="n"/>
      <c r="G9150" s="8">
        <f>IF(E9150="","",E9150*F9150)</f>
        <v/>
      </c>
      <c r="H9150" s="8">
        <f>IF(G9150="","",G9150-I9150)</f>
        <v/>
      </c>
      <c r="I9150" s="8">
        <f>IF(D9150="","",VLOOKUP(D9150, RECETTES!B:G, 6, FALSE)*E9150)</f>
        <v/>
      </c>
      <c r="J9150" s="8">
        <f>IF(G9150="","",G9150*0.20)</f>
        <v/>
      </c>
      <c r="K9150" s="8">
        <f>IF(G9150="","",G9150+J9150)</f>
        <v/>
      </c>
    </row>
    <row r="9151">
      <c r="F9151" s="8" t="n"/>
      <c r="G9151" s="8">
        <f>IF(E9151="","",E9151*F9151)</f>
        <v/>
      </c>
      <c r="H9151" s="8">
        <f>IF(G9151="","",G9151-I9151)</f>
        <v/>
      </c>
      <c r="I9151" s="8">
        <f>IF(D9151="","",VLOOKUP(D9151, RECETTES!B:G, 6, FALSE)*E9151)</f>
        <v/>
      </c>
      <c r="J9151" s="8">
        <f>IF(G9151="","",G9151*0.20)</f>
        <v/>
      </c>
      <c r="K9151" s="8">
        <f>IF(G9151="","",G9151+J9151)</f>
        <v/>
      </c>
    </row>
    <row r="9152">
      <c r="F9152" s="8" t="n"/>
      <c r="G9152" s="8">
        <f>IF(E9152="","",E9152*F9152)</f>
        <v/>
      </c>
      <c r="H9152" s="8">
        <f>IF(G9152="","",G9152-I9152)</f>
        <v/>
      </c>
      <c r="I9152" s="8">
        <f>IF(D9152="","",VLOOKUP(D9152, RECETTES!B:G, 6, FALSE)*E9152)</f>
        <v/>
      </c>
      <c r="J9152" s="8">
        <f>IF(G9152="","",G9152*0.20)</f>
        <v/>
      </c>
      <c r="K9152" s="8">
        <f>IF(G9152="","",G9152+J9152)</f>
        <v/>
      </c>
    </row>
    <row r="9153">
      <c r="F9153" s="8" t="n"/>
      <c r="G9153" s="8">
        <f>IF(E9153="","",E9153*F9153)</f>
        <v/>
      </c>
      <c r="H9153" s="8">
        <f>IF(G9153="","",G9153-I9153)</f>
        <v/>
      </c>
      <c r="I9153" s="8">
        <f>IF(D9153="","",VLOOKUP(D9153, RECETTES!B:G, 6, FALSE)*E9153)</f>
        <v/>
      </c>
      <c r="J9153" s="8">
        <f>IF(G9153="","",G9153*0.20)</f>
        <v/>
      </c>
      <c r="K9153" s="8">
        <f>IF(G9153="","",G9153+J9153)</f>
        <v/>
      </c>
    </row>
    <row r="9154">
      <c r="F9154" s="8" t="n"/>
      <c r="G9154" s="8">
        <f>IF(E9154="","",E9154*F9154)</f>
        <v/>
      </c>
      <c r="H9154" s="8">
        <f>IF(G9154="","",G9154-I9154)</f>
        <v/>
      </c>
      <c r="I9154" s="8">
        <f>IF(D9154="","",VLOOKUP(D9154, RECETTES!B:G, 6, FALSE)*E9154)</f>
        <v/>
      </c>
      <c r="J9154" s="8">
        <f>IF(G9154="","",G9154*0.20)</f>
        <v/>
      </c>
      <c r="K9154" s="8">
        <f>IF(G9154="","",G9154+J9154)</f>
        <v/>
      </c>
    </row>
    <row r="9155">
      <c r="F9155" s="8" t="n"/>
      <c r="G9155" s="8">
        <f>IF(E9155="","",E9155*F9155)</f>
        <v/>
      </c>
      <c r="H9155" s="8">
        <f>IF(G9155="","",G9155-I9155)</f>
        <v/>
      </c>
      <c r="I9155" s="8">
        <f>IF(D9155="","",VLOOKUP(D9155, RECETTES!B:G, 6, FALSE)*E9155)</f>
        <v/>
      </c>
      <c r="J9155" s="8">
        <f>IF(G9155="","",G9155*0.20)</f>
        <v/>
      </c>
      <c r="K9155" s="8">
        <f>IF(G9155="","",G9155+J9155)</f>
        <v/>
      </c>
    </row>
    <row r="9156">
      <c r="F9156" s="8" t="n"/>
      <c r="G9156" s="8">
        <f>IF(E9156="","",E9156*F9156)</f>
        <v/>
      </c>
      <c r="H9156" s="8">
        <f>IF(G9156="","",G9156-I9156)</f>
        <v/>
      </c>
      <c r="I9156" s="8">
        <f>IF(D9156="","",VLOOKUP(D9156, RECETTES!B:G, 6, FALSE)*E9156)</f>
        <v/>
      </c>
      <c r="J9156" s="8">
        <f>IF(G9156="","",G9156*0.20)</f>
        <v/>
      </c>
      <c r="K9156" s="8">
        <f>IF(G9156="","",G9156+J9156)</f>
        <v/>
      </c>
    </row>
    <row r="9157">
      <c r="F9157" s="8" t="n"/>
      <c r="G9157" s="8">
        <f>IF(E9157="","",E9157*F9157)</f>
        <v/>
      </c>
      <c r="H9157" s="8">
        <f>IF(G9157="","",G9157-I9157)</f>
        <v/>
      </c>
      <c r="I9157" s="8">
        <f>IF(D9157="","",VLOOKUP(D9157, RECETTES!B:G, 6, FALSE)*E9157)</f>
        <v/>
      </c>
      <c r="J9157" s="8">
        <f>IF(G9157="","",G9157*0.20)</f>
        <v/>
      </c>
      <c r="K9157" s="8">
        <f>IF(G9157="","",G9157+J9157)</f>
        <v/>
      </c>
    </row>
    <row r="9158">
      <c r="F9158" s="8" t="n"/>
      <c r="G9158" s="8">
        <f>IF(E9158="","",E9158*F9158)</f>
        <v/>
      </c>
      <c r="H9158" s="8">
        <f>IF(G9158="","",G9158-I9158)</f>
        <v/>
      </c>
      <c r="I9158" s="8">
        <f>IF(D9158="","",VLOOKUP(D9158, RECETTES!B:G, 6, FALSE)*E9158)</f>
        <v/>
      </c>
      <c r="J9158" s="8">
        <f>IF(G9158="","",G9158*0.20)</f>
        <v/>
      </c>
      <c r="K9158" s="8">
        <f>IF(G9158="","",G9158+J9158)</f>
        <v/>
      </c>
    </row>
    <row r="9159">
      <c r="F9159" s="8" t="n"/>
      <c r="G9159" s="8">
        <f>IF(E9159="","",E9159*F9159)</f>
        <v/>
      </c>
      <c r="H9159" s="8">
        <f>IF(G9159="","",G9159-I9159)</f>
        <v/>
      </c>
      <c r="I9159" s="8">
        <f>IF(D9159="","",VLOOKUP(D9159, RECETTES!B:G, 6, FALSE)*E9159)</f>
        <v/>
      </c>
      <c r="J9159" s="8">
        <f>IF(G9159="","",G9159*0.20)</f>
        <v/>
      </c>
      <c r="K9159" s="8">
        <f>IF(G9159="","",G9159+J9159)</f>
        <v/>
      </c>
    </row>
    <row r="9160">
      <c r="F9160" s="8" t="n"/>
      <c r="G9160" s="8">
        <f>IF(E9160="","",E9160*F9160)</f>
        <v/>
      </c>
      <c r="H9160" s="8">
        <f>IF(G9160="","",G9160-I9160)</f>
        <v/>
      </c>
      <c r="I9160" s="8">
        <f>IF(D9160="","",VLOOKUP(D9160, RECETTES!B:G, 6, FALSE)*E9160)</f>
        <v/>
      </c>
      <c r="J9160" s="8">
        <f>IF(G9160="","",G9160*0.20)</f>
        <v/>
      </c>
      <c r="K9160" s="8">
        <f>IF(G9160="","",G9160+J9160)</f>
        <v/>
      </c>
    </row>
    <row r="9161">
      <c r="F9161" s="8" t="n"/>
      <c r="G9161" s="8">
        <f>IF(E9161="","",E9161*F9161)</f>
        <v/>
      </c>
      <c r="H9161" s="8">
        <f>IF(G9161="","",G9161-I9161)</f>
        <v/>
      </c>
      <c r="I9161" s="8">
        <f>IF(D9161="","",VLOOKUP(D9161, RECETTES!B:G, 6, FALSE)*E9161)</f>
        <v/>
      </c>
      <c r="J9161" s="8">
        <f>IF(G9161="","",G9161*0.20)</f>
        <v/>
      </c>
      <c r="K9161" s="8">
        <f>IF(G9161="","",G9161+J9161)</f>
        <v/>
      </c>
    </row>
    <row r="9162">
      <c r="F9162" s="8" t="n"/>
      <c r="G9162" s="8">
        <f>IF(E9162="","",E9162*F9162)</f>
        <v/>
      </c>
      <c r="H9162" s="8">
        <f>IF(G9162="","",G9162-I9162)</f>
        <v/>
      </c>
      <c r="I9162" s="8">
        <f>IF(D9162="","",VLOOKUP(D9162, RECETTES!B:G, 6, FALSE)*E9162)</f>
        <v/>
      </c>
      <c r="J9162" s="8">
        <f>IF(G9162="","",G9162*0.20)</f>
        <v/>
      </c>
      <c r="K9162" s="8">
        <f>IF(G9162="","",G9162+J9162)</f>
        <v/>
      </c>
    </row>
    <row r="9163">
      <c r="F9163" s="8" t="n"/>
      <c r="G9163" s="8">
        <f>IF(E9163="","",E9163*F9163)</f>
        <v/>
      </c>
      <c r="H9163" s="8">
        <f>IF(G9163="","",G9163-I9163)</f>
        <v/>
      </c>
      <c r="I9163" s="8">
        <f>IF(D9163="","",VLOOKUP(D9163, RECETTES!B:G, 6, FALSE)*E9163)</f>
        <v/>
      </c>
      <c r="J9163" s="8">
        <f>IF(G9163="","",G9163*0.20)</f>
        <v/>
      </c>
      <c r="K9163" s="8">
        <f>IF(G9163="","",G9163+J9163)</f>
        <v/>
      </c>
    </row>
    <row r="9164">
      <c r="F9164" s="8" t="n"/>
      <c r="G9164" s="8">
        <f>IF(E9164="","",E9164*F9164)</f>
        <v/>
      </c>
      <c r="H9164" s="8">
        <f>IF(G9164="","",G9164-I9164)</f>
        <v/>
      </c>
      <c r="I9164" s="8">
        <f>IF(D9164="","",VLOOKUP(D9164, RECETTES!B:G, 6, FALSE)*E9164)</f>
        <v/>
      </c>
      <c r="J9164" s="8">
        <f>IF(G9164="","",G9164*0.20)</f>
        <v/>
      </c>
      <c r="K9164" s="8">
        <f>IF(G9164="","",G9164+J9164)</f>
        <v/>
      </c>
    </row>
    <row r="9165">
      <c r="F9165" s="8" t="n"/>
      <c r="G9165" s="8">
        <f>IF(E9165="","",E9165*F9165)</f>
        <v/>
      </c>
      <c r="H9165" s="8">
        <f>IF(G9165="","",G9165-I9165)</f>
        <v/>
      </c>
      <c r="I9165" s="8">
        <f>IF(D9165="","",VLOOKUP(D9165, RECETTES!B:G, 6, FALSE)*E9165)</f>
        <v/>
      </c>
      <c r="J9165" s="8">
        <f>IF(G9165="","",G9165*0.20)</f>
        <v/>
      </c>
      <c r="K9165" s="8">
        <f>IF(G9165="","",G9165+J9165)</f>
        <v/>
      </c>
    </row>
    <row r="9166">
      <c r="F9166" s="8" t="n"/>
      <c r="G9166" s="8">
        <f>IF(E9166="","",E9166*F9166)</f>
        <v/>
      </c>
      <c r="H9166" s="8">
        <f>IF(G9166="","",G9166-I9166)</f>
        <v/>
      </c>
      <c r="I9166" s="8">
        <f>IF(D9166="","",VLOOKUP(D9166, RECETTES!B:G, 6, FALSE)*E9166)</f>
        <v/>
      </c>
      <c r="J9166" s="8">
        <f>IF(G9166="","",G9166*0.20)</f>
        <v/>
      </c>
      <c r="K9166" s="8">
        <f>IF(G9166="","",G9166+J9166)</f>
        <v/>
      </c>
    </row>
    <row r="9167">
      <c r="F9167" s="8" t="n"/>
      <c r="G9167" s="8">
        <f>IF(E9167="","",E9167*F9167)</f>
        <v/>
      </c>
      <c r="H9167" s="8">
        <f>IF(G9167="","",G9167-I9167)</f>
        <v/>
      </c>
      <c r="I9167" s="8">
        <f>IF(D9167="","",VLOOKUP(D9167, RECETTES!B:G, 6, FALSE)*E9167)</f>
        <v/>
      </c>
      <c r="J9167" s="8">
        <f>IF(G9167="","",G9167*0.20)</f>
        <v/>
      </c>
      <c r="K9167" s="8">
        <f>IF(G9167="","",G9167+J9167)</f>
        <v/>
      </c>
    </row>
    <row r="9168">
      <c r="F9168" s="8" t="n"/>
      <c r="G9168" s="8">
        <f>IF(E9168="","",E9168*F9168)</f>
        <v/>
      </c>
      <c r="H9168" s="8">
        <f>IF(G9168="","",G9168-I9168)</f>
        <v/>
      </c>
      <c r="I9168" s="8">
        <f>IF(D9168="","",VLOOKUP(D9168, RECETTES!B:G, 6, FALSE)*E9168)</f>
        <v/>
      </c>
      <c r="J9168" s="8">
        <f>IF(G9168="","",G9168*0.20)</f>
        <v/>
      </c>
      <c r="K9168" s="8">
        <f>IF(G9168="","",G9168+J9168)</f>
        <v/>
      </c>
    </row>
    <row r="9169">
      <c r="F9169" s="8" t="n"/>
      <c r="G9169" s="8">
        <f>IF(E9169="","",E9169*F9169)</f>
        <v/>
      </c>
      <c r="H9169" s="8">
        <f>IF(G9169="","",G9169-I9169)</f>
        <v/>
      </c>
      <c r="I9169" s="8">
        <f>IF(D9169="","",VLOOKUP(D9169, RECETTES!B:G, 6, FALSE)*E9169)</f>
        <v/>
      </c>
      <c r="J9169" s="8">
        <f>IF(G9169="","",G9169*0.20)</f>
        <v/>
      </c>
      <c r="K9169" s="8">
        <f>IF(G9169="","",G9169+J9169)</f>
        <v/>
      </c>
    </row>
    <row r="9170">
      <c r="F9170" s="8" t="n"/>
      <c r="G9170" s="8">
        <f>IF(E9170="","",E9170*F9170)</f>
        <v/>
      </c>
      <c r="H9170" s="8">
        <f>IF(G9170="","",G9170-I9170)</f>
        <v/>
      </c>
      <c r="I9170" s="8">
        <f>IF(D9170="","",VLOOKUP(D9170, RECETTES!B:G, 6, FALSE)*E9170)</f>
        <v/>
      </c>
      <c r="J9170" s="8">
        <f>IF(G9170="","",G9170*0.20)</f>
        <v/>
      </c>
      <c r="K9170" s="8">
        <f>IF(G9170="","",G9170+J9170)</f>
        <v/>
      </c>
    </row>
    <row r="9171">
      <c r="F9171" s="8" t="n"/>
      <c r="G9171" s="8">
        <f>IF(E9171="","",E9171*F9171)</f>
        <v/>
      </c>
      <c r="H9171" s="8">
        <f>IF(G9171="","",G9171-I9171)</f>
        <v/>
      </c>
      <c r="I9171" s="8">
        <f>IF(D9171="","",VLOOKUP(D9171, RECETTES!B:G, 6, FALSE)*E9171)</f>
        <v/>
      </c>
      <c r="J9171" s="8">
        <f>IF(G9171="","",G9171*0.20)</f>
        <v/>
      </c>
      <c r="K9171" s="8">
        <f>IF(G9171="","",G9171+J9171)</f>
        <v/>
      </c>
    </row>
    <row r="9172">
      <c r="F9172" s="8" t="n"/>
      <c r="G9172" s="8">
        <f>IF(E9172="","",E9172*F9172)</f>
        <v/>
      </c>
      <c r="H9172" s="8">
        <f>IF(G9172="","",G9172-I9172)</f>
        <v/>
      </c>
      <c r="I9172" s="8">
        <f>IF(D9172="","",VLOOKUP(D9172, RECETTES!B:G, 6, FALSE)*E9172)</f>
        <v/>
      </c>
      <c r="J9172" s="8">
        <f>IF(G9172="","",G9172*0.20)</f>
        <v/>
      </c>
      <c r="K9172" s="8">
        <f>IF(G9172="","",G9172+J9172)</f>
        <v/>
      </c>
    </row>
    <row r="9173">
      <c r="F9173" s="8" t="n"/>
      <c r="G9173" s="8">
        <f>IF(E9173="","",E9173*F9173)</f>
        <v/>
      </c>
      <c r="H9173" s="8">
        <f>IF(G9173="","",G9173-I9173)</f>
        <v/>
      </c>
      <c r="I9173" s="8">
        <f>IF(D9173="","",VLOOKUP(D9173, RECETTES!B:G, 6, FALSE)*E9173)</f>
        <v/>
      </c>
      <c r="J9173" s="8">
        <f>IF(G9173="","",G9173*0.20)</f>
        <v/>
      </c>
      <c r="K9173" s="8">
        <f>IF(G9173="","",G9173+J9173)</f>
        <v/>
      </c>
    </row>
    <row r="9174">
      <c r="F9174" s="8" t="n"/>
      <c r="G9174" s="8">
        <f>IF(E9174="","",E9174*F9174)</f>
        <v/>
      </c>
      <c r="H9174" s="8">
        <f>IF(G9174="","",G9174-I9174)</f>
        <v/>
      </c>
      <c r="I9174" s="8">
        <f>IF(D9174="","",VLOOKUP(D9174, RECETTES!B:G, 6, FALSE)*E9174)</f>
        <v/>
      </c>
      <c r="J9174" s="8">
        <f>IF(G9174="","",G9174*0.20)</f>
        <v/>
      </c>
      <c r="K9174" s="8">
        <f>IF(G9174="","",G9174+J9174)</f>
        <v/>
      </c>
    </row>
    <row r="9175">
      <c r="F9175" s="8" t="n"/>
      <c r="G9175" s="8">
        <f>IF(E9175="","",E9175*F9175)</f>
        <v/>
      </c>
      <c r="H9175" s="8">
        <f>IF(G9175="","",G9175-I9175)</f>
        <v/>
      </c>
      <c r="I9175" s="8">
        <f>IF(D9175="","",VLOOKUP(D9175, RECETTES!B:G, 6, FALSE)*E9175)</f>
        <v/>
      </c>
      <c r="J9175" s="8">
        <f>IF(G9175="","",G9175*0.20)</f>
        <v/>
      </c>
      <c r="K9175" s="8">
        <f>IF(G9175="","",G9175+J9175)</f>
        <v/>
      </c>
    </row>
    <row r="9176">
      <c r="F9176" s="8" t="n"/>
      <c r="G9176" s="8">
        <f>IF(E9176="","",E9176*F9176)</f>
        <v/>
      </c>
      <c r="H9176" s="8">
        <f>IF(G9176="","",G9176-I9176)</f>
        <v/>
      </c>
      <c r="I9176" s="8">
        <f>IF(D9176="","",VLOOKUP(D9176, RECETTES!B:G, 6, FALSE)*E9176)</f>
        <v/>
      </c>
      <c r="J9176" s="8">
        <f>IF(G9176="","",G9176*0.20)</f>
        <v/>
      </c>
      <c r="K9176" s="8">
        <f>IF(G9176="","",G9176+J9176)</f>
        <v/>
      </c>
    </row>
    <row r="9177">
      <c r="F9177" s="8" t="n"/>
      <c r="G9177" s="8">
        <f>IF(E9177="","",E9177*F9177)</f>
        <v/>
      </c>
      <c r="H9177" s="8">
        <f>IF(G9177="","",G9177-I9177)</f>
        <v/>
      </c>
      <c r="I9177" s="8">
        <f>IF(D9177="","",VLOOKUP(D9177, RECETTES!B:G, 6, FALSE)*E9177)</f>
        <v/>
      </c>
      <c r="J9177" s="8">
        <f>IF(G9177="","",G9177*0.20)</f>
        <v/>
      </c>
      <c r="K9177" s="8">
        <f>IF(G9177="","",G9177+J9177)</f>
        <v/>
      </c>
    </row>
    <row r="9178">
      <c r="F9178" s="8" t="n"/>
      <c r="G9178" s="8">
        <f>IF(E9178="","",E9178*F9178)</f>
        <v/>
      </c>
      <c r="H9178" s="8">
        <f>IF(G9178="","",G9178-I9178)</f>
        <v/>
      </c>
      <c r="I9178" s="8">
        <f>IF(D9178="","",VLOOKUP(D9178, RECETTES!B:G, 6, FALSE)*E9178)</f>
        <v/>
      </c>
      <c r="J9178" s="8">
        <f>IF(G9178="","",G9178*0.20)</f>
        <v/>
      </c>
      <c r="K9178" s="8">
        <f>IF(G9178="","",G9178+J9178)</f>
        <v/>
      </c>
    </row>
    <row r="9179">
      <c r="F9179" s="8" t="n"/>
      <c r="G9179" s="8">
        <f>IF(E9179="","",E9179*F9179)</f>
        <v/>
      </c>
      <c r="H9179" s="8">
        <f>IF(G9179="","",G9179-I9179)</f>
        <v/>
      </c>
      <c r="I9179" s="8">
        <f>IF(D9179="","",VLOOKUP(D9179, RECETTES!B:G, 6, FALSE)*E9179)</f>
        <v/>
      </c>
      <c r="J9179" s="8">
        <f>IF(G9179="","",G9179*0.20)</f>
        <v/>
      </c>
      <c r="K9179" s="8">
        <f>IF(G9179="","",G9179+J9179)</f>
        <v/>
      </c>
    </row>
    <row r="9180">
      <c r="F9180" s="8" t="n"/>
      <c r="G9180" s="8">
        <f>IF(E9180="","",E9180*F9180)</f>
        <v/>
      </c>
      <c r="H9180" s="8">
        <f>IF(G9180="","",G9180-I9180)</f>
        <v/>
      </c>
      <c r="I9180" s="8">
        <f>IF(D9180="","",VLOOKUP(D9180, RECETTES!B:G, 6, FALSE)*E9180)</f>
        <v/>
      </c>
      <c r="J9180" s="8">
        <f>IF(G9180="","",G9180*0.20)</f>
        <v/>
      </c>
      <c r="K9180" s="8">
        <f>IF(G9180="","",G9180+J9180)</f>
        <v/>
      </c>
    </row>
    <row r="9181">
      <c r="F9181" s="8" t="n"/>
      <c r="G9181" s="8">
        <f>IF(E9181="","",E9181*F9181)</f>
        <v/>
      </c>
      <c r="H9181" s="8">
        <f>IF(G9181="","",G9181-I9181)</f>
        <v/>
      </c>
      <c r="I9181" s="8">
        <f>IF(D9181="","",VLOOKUP(D9181, RECETTES!B:G, 6, FALSE)*E9181)</f>
        <v/>
      </c>
      <c r="J9181" s="8">
        <f>IF(G9181="","",G9181*0.20)</f>
        <v/>
      </c>
      <c r="K9181" s="8">
        <f>IF(G9181="","",G9181+J9181)</f>
        <v/>
      </c>
    </row>
    <row r="9182">
      <c r="F9182" s="8" t="n"/>
      <c r="G9182" s="8">
        <f>IF(E9182="","",E9182*F9182)</f>
        <v/>
      </c>
      <c r="H9182" s="8">
        <f>IF(G9182="","",G9182-I9182)</f>
        <v/>
      </c>
      <c r="I9182" s="8">
        <f>IF(D9182="","",VLOOKUP(D9182, RECETTES!B:G, 6, FALSE)*E9182)</f>
        <v/>
      </c>
      <c r="J9182" s="8">
        <f>IF(G9182="","",G9182*0.20)</f>
        <v/>
      </c>
      <c r="K9182" s="8">
        <f>IF(G9182="","",G9182+J9182)</f>
        <v/>
      </c>
    </row>
    <row r="9183">
      <c r="F9183" s="8" t="n"/>
      <c r="G9183" s="8">
        <f>IF(E9183="","",E9183*F9183)</f>
        <v/>
      </c>
      <c r="H9183" s="8">
        <f>IF(G9183="","",G9183-I9183)</f>
        <v/>
      </c>
      <c r="I9183" s="8">
        <f>IF(D9183="","",VLOOKUP(D9183, RECETTES!B:G, 6, FALSE)*E9183)</f>
        <v/>
      </c>
      <c r="J9183" s="8">
        <f>IF(G9183="","",G9183*0.20)</f>
        <v/>
      </c>
      <c r="K9183" s="8">
        <f>IF(G9183="","",G9183+J9183)</f>
        <v/>
      </c>
    </row>
    <row r="9184">
      <c r="F9184" s="8" t="n"/>
      <c r="G9184" s="8">
        <f>IF(E9184="","",E9184*F9184)</f>
        <v/>
      </c>
      <c r="H9184" s="8">
        <f>IF(G9184="","",G9184-I9184)</f>
        <v/>
      </c>
      <c r="I9184" s="8">
        <f>IF(D9184="","",VLOOKUP(D9184, RECETTES!B:G, 6, FALSE)*E9184)</f>
        <v/>
      </c>
      <c r="J9184" s="8">
        <f>IF(G9184="","",G9184*0.20)</f>
        <v/>
      </c>
      <c r="K9184" s="8">
        <f>IF(G9184="","",G9184+J9184)</f>
        <v/>
      </c>
    </row>
    <row r="9185">
      <c r="F9185" s="8" t="n"/>
      <c r="G9185" s="8">
        <f>IF(E9185="","",E9185*F9185)</f>
        <v/>
      </c>
      <c r="H9185" s="8">
        <f>IF(G9185="","",G9185-I9185)</f>
        <v/>
      </c>
      <c r="I9185" s="8">
        <f>IF(D9185="","",VLOOKUP(D9185, RECETTES!B:G, 6, FALSE)*E9185)</f>
        <v/>
      </c>
      <c r="J9185" s="8">
        <f>IF(G9185="","",G9185*0.20)</f>
        <v/>
      </c>
      <c r="K9185" s="8">
        <f>IF(G9185="","",G9185+J9185)</f>
        <v/>
      </c>
    </row>
    <row r="9186">
      <c r="F9186" s="8" t="n"/>
      <c r="G9186" s="8">
        <f>IF(E9186="","",E9186*F9186)</f>
        <v/>
      </c>
      <c r="H9186" s="8">
        <f>IF(G9186="","",G9186-I9186)</f>
        <v/>
      </c>
      <c r="I9186" s="8">
        <f>IF(D9186="","",VLOOKUP(D9186, RECETTES!B:G, 6, FALSE)*E9186)</f>
        <v/>
      </c>
      <c r="J9186" s="8">
        <f>IF(G9186="","",G9186*0.20)</f>
        <v/>
      </c>
      <c r="K9186" s="8">
        <f>IF(G9186="","",G9186+J9186)</f>
        <v/>
      </c>
    </row>
    <row r="9187">
      <c r="F9187" s="8" t="n"/>
      <c r="G9187" s="8">
        <f>IF(E9187="","",E9187*F9187)</f>
        <v/>
      </c>
      <c r="H9187" s="8">
        <f>IF(G9187="","",G9187-I9187)</f>
        <v/>
      </c>
      <c r="I9187" s="8">
        <f>IF(D9187="","",VLOOKUP(D9187, RECETTES!B:G, 6, FALSE)*E9187)</f>
        <v/>
      </c>
      <c r="J9187" s="8">
        <f>IF(G9187="","",G9187*0.20)</f>
        <v/>
      </c>
      <c r="K9187" s="8">
        <f>IF(G9187="","",G9187+J9187)</f>
        <v/>
      </c>
    </row>
    <row r="9188">
      <c r="F9188" s="8" t="n"/>
      <c r="G9188" s="8">
        <f>IF(E9188="","",E9188*F9188)</f>
        <v/>
      </c>
      <c r="H9188" s="8">
        <f>IF(G9188="","",G9188-I9188)</f>
        <v/>
      </c>
      <c r="I9188" s="8">
        <f>IF(D9188="","",VLOOKUP(D9188, RECETTES!B:G, 6, FALSE)*E9188)</f>
        <v/>
      </c>
      <c r="J9188" s="8">
        <f>IF(G9188="","",G9188*0.20)</f>
        <v/>
      </c>
      <c r="K9188" s="8">
        <f>IF(G9188="","",G9188+J9188)</f>
        <v/>
      </c>
    </row>
    <row r="9189">
      <c r="F9189" s="8" t="n"/>
      <c r="G9189" s="8">
        <f>IF(E9189="","",E9189*F9189)</f>
        <v/>
      </c>
      <c r="H9189" s="8">
        <f>IF(G9189="","",G9189-I9189)</f>
        <v/>
      </c>
      <c r="I9189" s="8">
        <f>IF(D9189="","",VLOOKUP(D9189, RECETTES!B:G, 6, FALSE)*E9189)</f>
        <v/>
      </c>
      <c r="J9189" s="8">
        <f>IF(G9189="","",G9189*0.20)</f>
        <v/>
      </c>
      <c r="K9189" s="8">
        <f>IF(G9189="","",G9189+J9189)</f>
        <v/>
      </c>
    </row>
    <row r="9190">
      <c r="F9190" s="8" t="n"/>
      <c r="G9190" s="8">
        <f>IF(E9190="","",E9190*F9190)</f>
        <v/>
      </c>
      <c r="H9190" s="8">
        <f>IF(G9190="","",G9190-I9190)</f>
        <v/>
      </c>
      <c r="I9190" s="8">
        <f>IF(D9190="","",VLOOKUP(D9190, RECETTES!B:G, 6, FALSE)*E9190)</f>
        <v/>
      </c>
      <c r="J9190" s="8">
        <f>IF(G9190="","",G9190*0.20)</f>
        <v/>
      </c>
      <c r="K9190" s="8">
        <f>IF(G9190="","",G9190+J9190)</f>
        <v/>
      </c>
    </row>
    <row r="9191">
      <c r="F9191" s="8" t="n"/>
      <c r="G9191" s="8">
        <f>IF(E9191="","",E9191*F9191)</f>
        <v/>
      </c>
      <c r="H9191" s="8">
        <f>IF(G9191="","",G9191-I9191)</f>
        <v/>
      </c>
      <c r="I9191" s="8">
        <f>IF(D9191="","",VLOOKUP(D9191, RECETTES!B:G, 6, FALSE)*E9191)</f>
        <v/>
      </c>
      <c r="J9191" s="8">
        <f>IF(G9191="","",G9191*0.20)</f>
        <v/>
      </c>
      <c r="K9191" s="8">
        <f>IF(G9191="","",G9191+J9191)</f>
        <v/>
      </c>
    </row>
    <row r="9192">
      <c r="F9192" s="8" t="n"/>
      <c r="G9192" s="8">
        <f>IF(E9192="","",E9192*F9192)</f>
        <v/>
      </c>
      <c r="H9192" s="8">
        <f>IF(G9192="","",G9192-I9192)</f>
        <v/>
      </c>
      <c r="I9192" s="8">
        <f>IF(D9192="","",VLOOKUP(D9192, RECETTES!B:G, 6, FALSE)*E9192)</f>
        <v/>
      </c>
      <c r="J9192" s="8">
        <f>IF(G9192="","",G9192*0.20)</f>
        <v/>
      </c>
      <c r="K9192" s="8">
        <f>IF(G9192="","",G9192+J9192)</f>
        <v/>
      </c>
    </row>
    <row r="9193">
      <c r="F9193" s="8" t="n"/>
      <c r="G9193" s="8">
        <f>IF(E9193="","",E9193*F9193)</f>
        <v/>
      </c>
      <c r="H9193" s="8">
        <f>IF(G9193="","",G9193-I9193)</f>
        <v/>
      </c>
      <c r="I9193" s="8">
        <f>IF(D9193="","",VLOOKUP(D9193, RECETTES!B:G, 6, FALSE)*E9193)</f>
        <v/>
      </c>
      <c r="J9193" s="8">
        <f>IF(G9193="","",G9193*0.20)</f>
        <v/>
      </c>
      <c r="K9193" s="8">
        <f>IF(G9193="","",G9193+J9193)</f>
        <v/>
      </c>
    </row>
    <row r="9194">
      <c r="F9194" s="8" t="n"/>
      <c r="G9194" s="8">
        <f>IF(E9194="","",E9194*F9194)</f>
        <v/>
      </c>
      <c r="H9194" s="8">
        <f>IF(G9194="","",G9194-I9194)</f>
        <v/>
      </c>
      <c r="I9194" s="8">
        <f>IF(D9194="","",VLOOKUP(D9194, RECETTES!B:G, 6, FALSE)*E9194)</f>
        <v/>
      </c>
      <c r="J9194" s="8">
        <f>IF(G9194="","",G9194*0.20)</f>
        <v/>
      </c>
      <c r="K9194" s="8">
        <f>IF(G9194="","",G9194+J9194)</f>
        <v/>
      </c>
    </row>
    <row r="9195">
      <c r="F9195" s="8" t="n"/>
      <c r="G9195" s="8">
        <f>IF(E9195="","",E9195*F9195)</f>
        <v/>
      </c>
      <c r="H9195" s="8">
        <f>IF(G9195="","",G9195-I9195)</f>
        <v/>
      </c>
      <c r="I9195" s="8">
        <f>IF(D9195="","",VLOOKUP(D9195, RECETTES!B:G, 6, FALSE)*E9195)</f>
        <v/>
      </c>
      <c r="J9195" s="8">
        <f>IF(G9195="","",G9195*0.20)</f>
        <v/>
      </c>
      <c r="K9195" s="8">
        <f>IF(G9195="","",G9195+J9195)</f>
        <v/>
      </c>
    </row>
    <row r="9196">
      <c r="F9196" s="8" t="n"/>
      <c r="G9196" s="8">
        <f>IF(E9196="","",E9196*F9196)</f>
        <v/>
      </c>
      <c r="H9196" s="8">
        <f>IF(G9196="","",G9196-I9196)</f>
        <v/>
      </c>
      <c r="I9196" s="8">
        <f>IF(D9196="","",VLOOKUP(D9196, RECETTES!B:G, 6, FALSE)*E9196)</f>
        <v/>
      </c>
      <c r="J9196" s="8">
        <f>IF(G9196="","",G9196*0.20)</f>
        <v/>
      </c>
      <c r="K9196" s="8">
        <f>IF(G9196="","",G9196+J9196)</f>
        <v/>
      </c>
    </row>
    <row r="9197">
      <c r="F9197" s="8" t="n"/>
      <c r="G9197" s="8">
        <f>IF(E9197="","",E9197*F9197)</f>
        <v/>
      </c>
      <c r="H9197" s="8">
        <f>IF(G9197="","",G9197-I9197)</f>
        <v/>
      </c>
      <c r="I9197" s="8">
        <f>IF(D9197="","",VLOOKUP(D9197, RECETTES!B:G, 6, FALSE)*E9197)</f>
        <v/>
      </c>
      <c r="J9197" s="8">
        <f>IF(G9197="","",G9197*0.20)</f>
        <v/>
      </c>
      <c r="K9197" s="8">
        <f>IF(G9197="","",G9197+J9197)</f>
        <v/>
      </c>
    </row>
    <row r="9198">
      <c r="F9198" s="8" t="n"/>
      <c r="G9198" s="8">
        <f>IF(E9198="","",E9198*F9198)</f>
        <v/>
      </c>
      <c r="H9198" s="8">
        <f>IF(G9198="","",G9198-I9198)</f>
        <v/>
      </c>
      <c r="I9198" s="8">
        <f>IF(D9198="","",VLOOKUP(D9198, RECETTES!B:G, 6, FALSE)*E9198)</f>
        <v/>
      </c>
      <c r="J9198" s="8">
        <f>IF(G9198="","",G9198*0.20)</f>
        <v/>
      </c>
      <c r="K9198" s="8">
        <f>IF(G9198="","",G9198+J9198)</f>
        <v/>
      </c>
    </row>
    <row r="9199">
      <c r="F9199" s="8" t="n"/>
      <c r="G9199" s="8">
        <f>IF(E9199="","",E9199*F9199)</f>
        <v/>
      </c>
      <c r="H9199" s="8">
        <f>IF(G9199="","",G9199-I9199)</f>
        <v/>
      </c>
      <c r="I9199" s="8">
        <f>IF(D9199="","",VLOOKUP(D9199, RECETTES!B:G, 6, FALSE)*E9199)</f>
        <v/>
      </c>
      <c r="J9199" s="8">
        <f>IF(G9199="","",G9199*0.20)</f>
        <v/>
      </c>
      <c r="K9199" s="8">
        <f>IF(G9199="","",G9199+J9199)</f>
        <v/>
      </c>
    </row>
    <row r="9200">
      <c r="F9200" s="8" t="n"/>
      <c r="G9200" s="8">
        <f>IF(E9200="","",E9200*F9200)</f>
        <v/>
      </c>
      <c r="H9200" s="8">
        <f>IF(G9200="","",G9200-I9200)</f>
        <v/>
      </c>
      <c r="I9200" s="8">
        <f>IF(D9200="","",VLOOKUP(D9200, RECETTES!B:G, 6, FALSE)*E9200)</f>
        <v/>
      </c>
      <c r="J9200" s="8">
        <f>IF(G9200="","",G9200*0.20)</f>
        <v/>
      </c>
      <c r="K9200" s="8">
        <f>IF(G9200="","",G9200+J9200)</f>
        <v/>
      </c>
    </row>
    <row r="9201">
      <c r="F9201" s="8" t="n"/>
      <c r="G9201" s="8">
        <f>IF(E9201="","",E9201*F9201)</f>
        <v/>
      </c>
      <c r="H9201" s="8">
        <f>IF(G9201="","",G9201-I9201)</f>
        <v/>
      </c>
      <c r="I9201" s="8">
        <f>IF(D9201="","",VLOOKUP(D9201, RECETTES!B:G, 6, FALSE)*E9201)</f>
        <v/>
      </c>
      <c r="J9201" s="8">
        <f>IF(G9201="","",G9201*0.20)</f>
        <v/>
      </c>
      <c r="K9201" s="8">
        <f>IF(G9201="","",G9201+J9201)</f>
        <v/>
      </c>
    </row>
    <row r="9202">
      <c r="F9202" s="8" t="n"/>
      <c r="G9202" s="8">
        <f>IF(E9202="","",E9202*F9202)</f>
        <v/>
      </c>
      <c r="H9202" s="8">
        <f>IF(G9202="","",G9202-I9202)</f>
        <v/>
      </c>
      <c r="I9202" s="8">
        <f>IF(D9202="","",VLOOKUP(D9202, RECETTES!B:G, 6, FALSE)*E9202)</f>
        <v/>
      </c>
      <c r="J9202" s="8">
        <f>IF(G9202="","",G9202*0.20)</f>
        <v/>
      </c>
      <c r="K9202" s="8">
        <f>IF(G9202="","",G9202+J9202)</f>
        <v/>
      </c>
    </row>
    <row r="9203">
      <c r="F9203" s="8" t="n"/>
      <c r="G9203" s="8">
        <f>IF(E9203="","",E9203*F9203)</f>
        <v/>
      </c>
      <c r="H9203" s="8">
        <f>IF(G9203="","",G9203-I9203)</f>
        <v/>
      </c>
      <c r="I9203" s="8">
        <f>IF(D9203="","",VLOOKUP(D9203, RECETTES!B:G, 6, FALSE)*E9203)</f>
        <v/>
      </c>
      <c r="J9203" s="8">
        <f>IF(G9203="","",G9203*0.20)</f>
        <v/>
      </c>
      <c r="K9203" s="8">
        <f>IF(G9203="","",G9203+J9203)</f>
        <v/>
      </c>
    </row>
    <row r="9204">
      <c r="F9204" s="8" t="n"/>
      <c r="G9204" s="8">
        <f>IF(E9204="","",E9204*F9204)</f>
        <v/>
      </c>
      <c r="H9204" s="8">
        <f>IF(G9204="","",G9204-I9204)</f>
        <v/>
      </c>
      <c r="I9204" s="8">
        <f>IF(D9204="","",VLOOKUP(D9204, RECETTES!B:G, 6, FALSE)*E9204)</f>
        <v/>
      </c>
      <c r="J9204" s="8">
        <f>IF(G9204="","",G9204*0.20)</f>
        <v/>
      </c>
      <c r="K9204" s="8">
        <f>IF(G9204="","",G9204+J9204)</f>
        <v/>
      </c>
    </row>
    <row r="9205">
      <c r="F9205" s="8" t="n"/>
      <c r="G9205" s="8">
        <f>IF(E9205="","",E9205*F9205)</f>
        <v/>
      </c>
      <c r="H9205" s="8">
        <f>IF(G9205="","",G9205-I9205)</f>
        <v/>
      </c>
      <c r="I9205" s="8">
        <f>IF(D9205="","",VLOOKUP(D9205, RECETTES!B:G, 6, FALSE)*E9205)</f>
        <v/>
      </c>
      <c r="J9205" s="8">
        <f>IF(G9205="","",G9205*0.20)</f>
        <v/>
      </c>
      <c r="K9205" s="8">
        <f>IF(G9205="","",G9205+J9205)</f>
        <v/>
      </c>
    </row>
    <row r="9206">
      <c r="F9206" s="8" t="n"/>
      <c r="G9206" s="8">
        <f>IF(E9206="","",E9206*F9206)</f>
        <v/>
      </c>
      <c r="H9206" s="8">
        <f>IF(G9206="","",G9206-I9206)</f>
        <v/>
      </c>
      <c r="I9206" s="8">
        <f>IF(D9206="","",VLOOKUP(D9206, RECETTES!B:G, 6, FALSE)*E9206)</f>
        <v/>
      </c>
      <c r="J9206" s="8">
        <f>IF(G9206="","",G9206*0.20)</f>
        <v/>
      </c>
      <c r="K9206" s="8">
        <f>IF(G9206="","",G9206+J9206)</f>
        <v/>
      </c>
    </row>
    <row r="9207">
      <c r="F9207" s="8" t="n"/>
      <c r="G9207" s="8">
        <f>IF(E9207="","",E9207*F9207)</f>
        <v/>
      </c>
      <c r="H9207" s="8">
        <f>IF(G9207="","",G9207-I9207)</f>
        <v/>
      </c>
      <c r="I9207" s="8">
        <f>IF(D9207="","",VLOOKUP(D9207, RECETTES!B:G, 6, FALSE)*E9207)</f>
        <v/>
      </c>
      <c r="J9207" s="8">
        <f>IF(G9207="","",G9207*0.20)</f>
        <v/>
      </c>
      <c r="K9207" s="8">
        <f>IF(G9207="","",G9207+J9207)</f>
        <v/>
      </c>
    </row>
    <row r="9208">
      <c r="F9208" s="8" t="n"/>
      <c r="G9208" s="8">
        <f>IF(E9208="","",E9208*F9208)</f>
        <v/>
      </c>
      <c r="H9208" s="8">
        <f>IF(G9208="","",G9208-I9208)</f>
        <v/>
      </c>
      <c r="I9208" s="8">
        <f>IF(D9208="","",VLOOKUP(D9208, RECETTES!B:G, 6, FALSE)*E9208)</f>
        <v/>
      </c>
      <c r="J9208" s="8">
        <f>IF(G9208="","",G9208*0.20)</f>
        <v/>
      </c>
      <c r="K9208" s="8">
        <f>IF(G9208="","",G9208+J9208)</f>
        <v/>
      </c>
    </row>
    <row r="9209">
      <c r="F9209" s="8" t="n"/>
      <c r="G9209" s="8">
        <f>IF(E9209="","",E9209*F9209)</f>
        <v/>
      </c>
      <c r="H9209" s="8">
        <f>IF(G9209="","",G9209-I9209)</f>
        <v/>
      </c>
      <c r="I9209" s="8">
        <f>IF(D9209="","",VLOOKUP(D9209, RECETTES!B:G, 6, FALSE)*E9209)</f>
        <v/>
      </c>
      <c r="J9209" s="8">
        <f>IF(G9209="","",G9209*0.20)</f>
        <v/>
      </c>
      <c r="K9209" s="8">
        <f>IF(G9209="","",G9209+J9209)</f>
        <v/>
      </c>
    </row>
    <row r="9210">
      <c r="F9210" s="8" t="n"/>
      <c r="G9210" s="8">
        <f>IF(E9210="","",E9210*F9210)</f>
        <v/>
      </c>
      <c r="H9210" s="8">
        <f>IF(G9210="","",G9210-I9210)</f>
        <v/>
      </c>
      <c r="I9210" s="8">
        <f>IF(D9210="","",VLOOKUP(D9210, RECETTES!B:G, 6, FALSE)*E9210)</f>
        <v/>
      </c>
      <c r="J9210" s="8">
        <f>IF(G9210="","",G9210*0.20)</f>
        <v/>
      </c>
      <c r="K9210" s="8">
        <f>IF(G9210="","",G9210+J9210)</f>
        <v/>
      </c>
    </row>
    <row r="9211">
      <c r="F9211" s="8" t="n"/>
      <c r="G9211" s="8">
        <f>IF(E9211="","",E9211*F9211)</f>
        <v/>
      </c>
      <c r="H9211" s="8">
        <f>IF(G9211="","",G9211-I9211)</f>
        <v/>
      </c>
      <c r="I9211" s="8">
        <f>IF(D9211="","",VLOOKUP(D9211, RECETTES!B:G, 6, FALSE)*E9211)</f>
        <v/>
      </c>
      <c r="J9211" s="8">
        <f>IF(G9211="","",G9211*0.20)</f>
        <v/>
      </c>
      <c r="K9211" s="8">
        <f>IF(G9211="","",G9211+J9211)</f>
        <v/>
      </c>
    </row>
    <row r="9212">
      <c r="F9212" s="8" t="n"/>
      <c r="G9212" s="8">
        <f>IF(E9212="","",E9212*F9212)</f>
        <v/>
      </c>
      <c r="H9212" s="8">
        <f>IF(G9212="","",G9212-I9212)</f>
        <v/>
      </c>
      <c r="I9212" s="8">
        <f>IF(D9212="","",VLOOKUP(D9212, RECETTES!B:G, 6, FALSE)*E9212)</f>
        <v/>
      </c>
      <c r="J9212" s="8">
        <f>IF(G9212="","",G9212*0.20)</f>
        <v/>
      </c>
      <c r="K9212" s="8">
        <f>IF(G9212="","",G9212+J9212)</f>
        <v/>
      </c>
    </row>
    <row r="9213">
      <c r="F9213" s="8" t="n"/>
      <c r="G9213" s="8">
        <f>IF(E9213="","",E9213*F9213)</f>
        <v/>
      </c>
      <c r="H9213" s="8">
        <f>IF(G9213="","",G9213-I9213)</f>
        <v/>
      </c>
      <c r="I9213" s="8">
        <f>IF(D9213="","",VLOOKUP(D9213, RECETTES!B:G, 6, FALSE)*E9213)</f>
        <v/>
      </c>
      <c r="J9213" s="8">
        <f>IF(G9213="","",G9213*0.20)</f>
        <v/>
      </c>
      <c r="K9213" s="8">
        <f>IF(G9213="","",G9213+J9213)</f>
        <v/>
      </c>
    </row>
    <row r="9214">
      <c r="F9214" s="8" t="n"/>
      <c r="G9214" s="8">
        <f>IF(E9214="","",E9214*F9214)</f>
        <v/>
      </c>
      <c r="H9214" s="8">
        <f>IF(G9214="","",G9214-I9214)</f>
        <v/>
      </c>
      <c r="I9214" s="8">
        <f>IF(D9214="","",VLOOKUP(D9214, RECETTES!B:G, 6, FALSE)*E9214)</f>
        <v/>
      </c>
      <c r="J9214" s="8">
        <f>IF(G9214="","",G9214*0.20)</f>
        <v/>
      </c>
      <c r="K9214" s="8">
        <f>IF(G9214="","",G9214+J9214)</f>
        <v/>
      </c>
    </row>
    <row r="9215">
      <c r="F9215" s="8" t="n"/>
      <c r="G9215" s="8">
        <f>IF(E9215="","",E9215*F9215)</f>
        <v/>
      </c>
      <c r="H9215" s="8">
        <f>IF(G9215="","",G9215-I9215)</f>
        <v/>
      </c>
      <c r="I9215" s="8">
        <f>IF(D9215="","",VLOOKUP(D9215, RECETTES!B:G, 6, FALSE)*E9215)</f>
        <v/>
      </c>
      <c r="J9215" s="8">
        <f>IF(G9215="","",G9215*0.20)</f>
        <v/>
      </c>
      <c r="K9215" s="8">
        <f>IF(G9215="","",G9215+J9215)</f>
        <v/>
      </c>
    </row>
    <row r="9216">
      <c r="F9216" s="8" t="n"/>
      <c r="G9216" s="8">
        <f>IF(E9216="","",E9216*F9216)</f>
        <v/>
      </c>
      <c r="H9216" s="8">
        <f>IF(G9216="","",G9216-I9216)</f>
        <v/>
      </c>
      <c r="I9216" s="8">
        <f>IF(D9216="","",VLOOKUP(D9216, RECETTES!B:G, 6, FALSE)*E9216)</f>
        <v/>
      </c>
      <c r="J9216" s="8">
        <f>IF(G9216="","",G9216*0.20)</f>
        <v/>
      </c>
      <c r="K9216" s="8">
        <f>IF(G9216="","",G9216+J9216)</f>
        <v/>
      </c>
    </row>
    <row r="9217">
      <c r="F9217" s="8" t="n"/>
      <c r="G9217" s="8">
        <f>IF(E9217="","",E9217*F9217)</f>
        <v/>
      </c>
      <c r="H9217" s="8">
        <f>IF(G9217="","",G9217-I9217)</f>
        <v/>
      </c>
      <c r="I9217" s="8">
        <f>IF(D9217="","",VLOOKUP(D9217, RECETTES!B:G, 6, FALSE)*E9217)</f>
        <v/>
      </c>
      <c r="J9217" s="8">
        <f>IF(G9217="","",G9217*0.20)</f>
        <v/>
      </c>
      <c r="K9217" s="8">
        <f>IF(G9217="","",G9217+J9217)</f>
        <v/>
      </c>
    </row>
    <row r="9218">
      <c r="F9218" s="8" t="n"/>
      <c r="G9218" s="8">
        <f>IF(E9218="","",E9218*F9218)</f>
        <v/>
      </c>
      <c r="H9218" s="8">
        <f>IF(G9218="","",G9218-I9218)</f>
        <v/>
      </c>
      <c r="I9218" s="8">
        <f>IF(D9218="","",VLOOKUP(D9218, RECETTES!B:G, 6, FALSE)*E9218)</f>
        <v/>
      </c>
      <c r="J9218" s="8">
        <f>IF(G9218="","",G9218*0.20)</f>
        <v/>
      </c>
      <c r="K9218" s="8">
        <f>IF(G9218="","",G9218+J9218)</f>
        <v/>
      </c>
    </row>
    <row r="9219">
      <c r="F9219" s="8" t="n"/>
      <c r="G9219" s="8">
        <f>IF(E9219="","",E9219*F9219)</f>
        <v/>
      </c>
      <c r="H9219" s="8">
        <f>IF(G9219="","",G9219-I9219)</f>
        <v/>
      </c>
      <c r="I9219" s="8">
        <f>IF(D9219="","",VLOOKUP(D9219, RECETTES!B:G, 6, FALSE)*E9219)</f>
        <v/>
      </c>
      <c r="J9219" s="8">
        <f>IF(G9219="","",G9219*0.20)</f>
        <v/>
      </c>
      <c r="K9219" s="8">
        <f>IF(G9219="","",G9219+J9219)</f>
        <v/>
      </c>
    </row>
    <row r="9220">
      <c r="F9220" s="8" t="n"/>
      <c r="G9220" s="8">
        <f>IF(E9220="","",E9220*F9220)</f>
        <v/>
      </c>
      <c r="H9220" s="8">
        <f>IF(G9220="","",G9220-I9220)</f>
        <v/>
      </c>
      <c r="I9220" s="8">
        <f>IF(D9220="","",VLOOKUP(D9220, RECETTES!B:G, 6, FALSE)*E9220)</f>
        <v/>
      </c>
      <c r="J9220" s="8">
        <f>IF(G9220="","",G9220*0.20)</f>
        <v/>
      </c>
      <c r="K9220" s="8">
        <f>IF(G9220="","",G9220+J9220)</f>
        <v/>
      </c>
    </row>
    <row r="9221">
      <c r="F9221" s="8" t="n"/>
      <c r="G9221" s="8">
        <f>IF(E9221="","",E9221*F9221)</f>
        <v/>
      </c>
      <c r="H9221" s="8">
        <f>IF(G9221="","",G9221-I9221)</f>
        <v/>
      </c>
      <c r="I9221" s="8">
        <f>IF(D9221="","",VLOOKUP(D9221, RECETTES!B:G, 6, FALSE)*E9221)</f>
        <v/>
      </c>
      <c r="J9221" s="8">
        <f>IF(G9221="","",G9221*0.20)</f>
        <v/>
      </c>
      <c r="K9221" s="8">
        <f>IF(G9221="","",G9221+J9221)</f>
        <v/>
      </c>
    </row>
    <row r="9222">
      <c r="F9222" s="8" t="n"/>
      <c r="G9222" s="8">
        <f>IF(E9222="","",E9222*F9222)</f>
        <v/>
      </c>
      <c r="H9222" s="8">
        <f>IF(G9222="","",G9222-I9222)</f>
        <v/>
      </c>
      <c r="I9222" s="8">
        <f>IF(D9222="","",VLOOKUP(D9222, RECETTES!B:G, 6, FALSE)*E9222)</f>
        <v/>
      </c>
      <c r="J9222" s="8">
        <f>IF(G9222="","",G9222*0.20)</f>
        <v/>
      </c>
      <c r="K9222" s="8">
        <f>IF(G9222="","",G9222+J9222)</f>
        <v/>
      </c>
    </row>
    <row r="9223">
      <c r="F9223" s="8" t="n"/>
      <c r="G9223" s="8">
        <f>IF(E9223="","",E9223*F9223)</f>
        <v/>
      </c>
      <c r="H9223" s="8">
        <f>IF(G9223="","",G9223-I9223)</f>
        <v/>
      </c>
      <c r="I9223" s="8">
        <f>IF(D9223="","",VLOOKUP(D9223, RECETTES!B:G, 6, FALSE)*E9223)</f>
        <v/>
      </c>
      <c r="J9223" s="8">
        <f>IF(G9223="","",G9223*0.20)</f>
        <v/>
      </c>
      <c r="K9223" s="8">
        <f>IF(G9223="","",G9223+J9223)</f>
        <v/>
      </c>
    </row>
    <row r="9224">
      <c r="F9224" s="8" t="n"/>
      <c r="G9224" s="8">
        <f>IF(E9224="","",E9224*F9224)</f>
        <v/>
      </c>
      <c r="H9224" s="8">
        <f>IF(G9224="","",G9224-I9224)</f>
        <v/>
      </c>
      <c r="I9224" s="8">
        <f>IF(D9224="","",VLOOKUP(D9224, RECETTES!B:G, 6, FALSE)*E9224)</f>
        <v/>
      </c>
      <c r="J9224" s="8">
        <f>IF(G9224="","",G9224*0.20)</f>
        <v/>
      </c>
      <c r="K9224" s="8">
        <f>IF(G9224="","",G9224+J9224)</f>
        <v/>
      </c>
    </row>
    <row r="9225">
      <c r="F9225" s="8" t="n"/>
      <c r="G9225" s="8">
        <f>IF(E9225="","",E9225*F9225)</f>
        <v/>
      </c>
      <c r="H9225" s="8">
        <f>IF(G9225="","",G9225-I9225)</f>
        <v/>
      </c>
      <c r="I9225" s="8">
        <f>IF(D9225="","",VLOOKUP(D9225, RECETTES!B:G, 6, FALSE)*E9225)</f>
        <v/>
      </c>
      <c r="J9225" s="8">
        <f>IF(G9225="","",G9225*0.20)</f>
        <v/>
      </c>
      <c r="K9225" s="8">
        <f>IF(G9225="","",G9225+J9225)</f>
        <v/>
      </c>
    </row>
    <row r="9226">
      <c r="F9226" s="8" t="n"/>
      <c r="G9226" s="8">
        <f>IF(E9226="","",E9226*F9226)</f>
        <v/>
      </c>
      <c r="H9226" s="8">
        <f>IF(G9226="","",G9226-I9226)</f>
        <v/>
      </c>
      <c r="I9226" s="8">
        <f>IF(D9226="","",VLOOKUP(D9226, RECETTES!B:G, 6, FALSE)*E9226)</f>
        <v/>
      </c>
      <c r="J9226" s="8">
        <f>IF(G9226="","",G9226*0.20)</f>
        <v/>
      </c>
      <c r="K9226" s="8">
        <f>IF(G9226="","",G9226+J9226)</f>
        <v/>
      </c>
    </row>
    <row r="9227">
      <c r="F9227" s="8" t="n"/>
      <c r="G9227" s="8">
        <f>IF(E9227="","",E9227*F9227)</f>
        <v/>
      </c>
      <c r="H9227" s="8">
        <f>IF(G9227="","",G9227-I9227)</f>
        <v/>
      </c>
      <c r="I9227" s="8">
        <f>IF(D9227="","",VLOOKUP(D9227, RECETTES!B:G, 6, FALSE)*E9227)</f>
        <v/>
      </c>
      <c r="J9227" s="8">
        <f>IF(G9227="","",G9227*0.20)</f>
        <v/>
      </c>
      <c r="K9227" s="8">
        <f>IF(G9227="","",G9227+J9227)</f>
        <v/>
      </c>
    </row>
    <row r="9228">
      <c r="F9228" s="8" t="n"/>
      <c r="G9228" s="8">
        <f>IF(E9228="","",E9228*F9228)</f>
        <v/>
      </c>
      <c r="H9228" s="8">
        <f>IF(G9228="","",G9228-I9228)</f>
        <v/>
      </c>
      <c r="I9228" s="8">
        <f>IF(D9228="","",VLOOKUP(D9228, RECETTES!B:G, 6, FALSE)*E9228)</f>
        <v/>
      </c>
      <c r="J9228" s="8">
        <f>IF(G9228="","",G9228*0.20)</f>
        <v/>
      </c>
      <c r="K9228" s="8">
        <f>IF(G9228="","",G9228+J9228)</f>
        <v/>
      </c>
    </row>
    <row r="9229">
      <c r="F9229" s="8" t="n"/>
      <c r="G9229" s="8">
        <f>IF(E9229="","",E9229*F9229)</f>
        <v/>
      </c>
      <c r="H9229" s="8">
        <f>IF(G9229="","",G9229-I9229)</f>
        <v/>
      </c>
      <c r="I9229" s="8">
        <f>IF(D9229="","",VLOOKUP(D9229, RECETTES!B:G, 6, FALSE)*E9229)</f>
        <v/>
      </c>
      <c r="J9229" s="8">
        <f>IF(G9229="","",G9229*0.20)</f>
        <v/>
      </c>
      <c r="K9229" s="8">
        <f>IF(G9229="","",G9229+J9229)</f>
        <v/>
      </c>
    </row>
    <row r="9230">
      <c r="F9230" s="8" t="n"/>
      <c r="G9230" s="8">
        <f>IF(E9230="","",E9230*F9230)</f>
        <v/>
      </c>
      <c r="H9230" s="8">
        <f>IF(G9230="","",G9230-I9230)</f>
        <v/>
      </c>
      <c r="I9230" s="8">
        <f>IF(D9230="","",VLOOKUP(D9230, RECETTES!B:G, 6, FALSE)*E9230)</f>
        <v/>
      </c>
      <c r="J9230" s="8">
        <f>IF(G9230="","",G9230*0.20)</f>
        <v/>
      </c>
      <c r="K9230" s="8">
        <f>IF(G9230="","",G9230+J9230)</f>
        <v/>
      </c>
    </row>
    <row r="9231">
      <c r="F9231" s="8" t="n"/>
      <c r="G9231" s="8">
        <f>IF(E9231="","",E9231*F9231)</f>
        <v/>
      </c>
      <c r="H9231" s="8">
        <f>IF(G9231="","",G9231-I9231)</f>
        <v/>
      </c>
      <c r="I9231" s="8">
        <f>IF(D9231="","",VLOOKUP(D9231, RECETTES!B:G, 6, FALSE)*E9231)</f>
        <v/>
      </c>
      <c r="J9231" s="8">
        <f>IF(G9231="","",G9231*0.20)</f>
        <v/>
      </c>
      <c r="K9231" s="8">
        <f>IF(G9231="","",G9231+J9231)</f>
        <v/>
      </c>
    </row>
    <row r="9232">
      <c r="F9232" s="8" t="n"/>
      <c r="G9232" s="8">
        <f>IF(E9232="","",E9232*F9232)</f>
        <v/>
      </c>
      <c r="H9232" s="8">
        <f>IF(G9232="","",G9232-I9232)</f>
        <v/>
      </c>
      <c r="I9232" s="8">
        <f>IF(D9232="","",VLOOKUP(D9232, RECETTES!B:G, 6, FALSE)*E9232)</f>
        <v/>
      </c>
      <c r="J9232" s="8">
        <f>IF(G9232="","",G9232*0.20)</f>
        <v/>
      </c>
      <c r="K9232" s="8">
        <f>IF(G9232="","",G9232+J9232)</f>
        <v/>
      </c>
    </row>
    <row r="9233">
      <c r="F9233" s="8" t="n"/>
      <c r="G9233" s="8">
        <f>IF(E9233="","",E9233*F9233)</f>
        <v/>
      </c>
      <c r="H9233" s="8">
        <f>IF(G9233="","",G9233-I9233)</f>
        <v/>
      </c>
      <c r="I9233" s="8">
        <f>IF(D9233="","",VLOOKUP(D9233, RECETTES!B:G, 6, FALSE)*E9233)</f>
        <v/>
      </c>
      <c r="J9233" s="8">
        <f>IF(G9233="","",G9233*0.20)</f>
        <v/>
      </c>
      <c r="K9233" s="8">
        <f>IF(G9233="","",G9233+J9233)</f>
        <v/>
      </c>
    </row>
    <row r="9234">
      <c r="F9234" s="8" t="n"/>
      <c r="G9234" s="8">
        <f>IF(E9234="","",E9234*F9234)</f>
        <v/>
      </c>
      <c r="H9234" s="8">
        <f>IF(G9234="","",G9234-I9234)</f>
        <v/>
      </c>
      <c r="I9234" s="8">
        <f>IF(D9234="","",VLOOKUP(D9234, RECETTES!B:G, 6, FALSE)*E9234)</f>
        <v/>
      </c>
      <c r="J9234" s="8">
        <f>IF(G9234="","",G9234*0.20)</f>
        <v/>
      </c>
      <c r="K9234" s="8">
        <f>IF(G9234="","",G9234+J9234)</f>
        <v/>
      </c>
    </row>
    <row r="9235">
      <c r="F9235" s="8" t="n"/>
      <c r="G9235" s="8">
        <f>IF(E9235="","",E9235*F9235)</f>
        <v/>
      </c>
      <c r="H9235" s="8">
        <f>IF(G9235="","",G9235-I9235)</f>
        <v/>
      </c>
      <c r="I9235" s="8">
        <f>IF(D9235="","",VLOOKUP(D9235, RECETTES!B:G, 6, FALSE)*E9235)</f>
        <v/>
      </c>
      <c r="J9235" s="8">
        <f>IF(G9235="","",G9235*0.20)</f>
        <v/>
      </c>
      <c r="K9235" s="8">
        <f>IF(G9235="","",G9235+J9235)</f>
        <v/>
      </c>
    </row>
    <row r="9236">
      <c r="F9236" s="8" t="n"/>
      <c r="G9236" s="8">
        <f>IF(E9236="","",E9236*F9236)</f>
        <v/>
      </c>
      <c r="H9236" s="8">
        <f>IF(G9236="","",G9236-I9236)</f>
        <v/>
      </c>
      <c r="I9236" s="8">
        <f>IF(D9236="","",VLOOKUP(D9236, RECETTES!B:G, 6, FALSE)*E9236)</f>
        <v/>
      </c>
      <c r="J9236" s="8">
        <f>IF(G9236="","",G9236*0.20)</f>
        <v/>
      </c>
      <c r="K9236" s="8">
        <f>IF(G9236="","",G9236+J9236)</f>
        <v/>
      </c>
    </row>
    <row r="9237">
      <c r="F9237" s="8" t="n"/>
      <c r="G9237" s="8">
        <f>IF(E9237="","",E9237*F9237)</f>
        <v/>
      </c>
      <c r="H9237" s="8">
        <f>IF(G9237="","",G9237-I9237)</f>
        <v/>
      </c>
      <c r="I9237" s="8">
        <f>IF(D9237="","",VLOOKUP(D9237, RECETTES!B:G, 6, FALSE)*E9237)</f>
        <v/>
      </c>
      <c r="J9237" s="8">
        <f>IF(G9237="","",G9237*0.20)</f>
        <v/>
      </c>
      <c r="K9237" s="8">
        <f>IF(G9237="","",G9237+J9237)</f>
        <v/>
      </c>
    </row>
    <row r="9238">
      <c r="F9238" s="8" t="n"/>
      <c r="G9238" s="8">
        <f>IF(E9238="","",E9238*F9238)</f>
        <v/>
      </c>
      <c r="H9238" s="8">
        <f>IF(G9238="","",G9238-I9238)</f>
        <v/>
      </c>
      <c r="I9238" s="8">
        <f>IF(D9238="","",VLOOKUP(D9238, RECETTES!B:G, 6, FALSE)*E9238)</f>
        <v/>
      </c>
      <c r="J9238" s="8">
        <f>IF(G9238="","",G9238*0.20)</f>
        <v/>
      </c>
      <c r="K9238" s="8">
        <f>IF(G9238="","",G9238+J9238)</f>
        <v/>
      </c>
    </row>
    <row r="9239">
      <c r="F9239" s="8" t="n"/>
      <c r="G9239" s="8">
        <f>IF(E9239="","",E9239*F9239)</f>
        <v/>
      </c>
      <c r="H9239" s="8">
        <f>IF(G9239="","",G9239-I9239)</f>
        <v/>
      </c>
      <c r="I9239" s="8">
        <f>IF(D9239="","",VLOOKUP(D9239, RECETTES!B:G, 6, FALSE)*E9239)</f>
        <v/>
      </c>
      <c r="J9239" s="8">
        <f>IF(G9239="","",G9239*0.20)</f>
        <v/>
      </c>
      <c r="K9239" s="8">
        <f>IF(G9239="","",G9239+J9239)</f>
        <v/>
      </c>
    </row>
    <row r="9240">
      <c r="F9240" s="8" t="n"/>
      <c r="G9240" s="8">
        <f>IF(E9240="","",E9240*F9240)</f>
        <v/>
      </c>
      <c r="H9240" s="8">
        <f>IF(G9240="","",G9240-I9240)</f>
        <v/>
      </c>
      <c r="I9240" s="8">
        <f>IF(D9240="","",VLOOKUP(D9240, RECETTES!B:G, 6, FALSE)*E9240)</f>
        <v/>
      </c>
      <c r="J9240" s="8">
        <f>IF(G9240="","",G9240*0.20)</f>
        <v/>
      </c>
      <c r="K9240" s="8">
        <f>IF(G9240="","",G9240+J9240)</f>
        <v/>
      </c>
    </row>
    <row r="9241">
      <c r="F9241" s="8" t="n"/>
      <c r="G9241" s="8">
        <f>IF(E9241="","",E9241*F9241)</f>
        <v/>
      </c>
      <c r="H9241" s="8">
        <f>IF(G9241="","",G9241-I9241)</f>
        <v/>
      </c>
      <c r="I9241" s="8">
        <f>IF(D9241="","",VLOOKUP(D9241, RECETTES!B:G, 6, FALSE)*E9241)</f>
        <v/>
      </c>
      <c r="J9241" s="8">
        <f>IF(G9241="","",G9241*0.20)</f>
        <v/>
      </c>
      <c r="K9241" s="8">
        <f>IF(G9241="","",G9241+J9241)</f>
        <v/>
      </c>
    </row>
    <row r="9242">
      <c r="F9242" s="8" t="n"/>
      <c r="G9242" s="8">
        <f>IF(E9242="","",E9242*F9242)</f>
        <v/>
      </c>
      <c r="H9242" s="8">
        <f>IF(G9242="","",G9242-I9242)</f>
        <v/>
      </c>
      <c r="I9242" s="8">
        <f>IF(D9242="","",VLOOKUP(D9242, RECETTES!B:G, 6, FALSE)*E9242)</f>
        <v/>
      </c>
      <c r="J9242" s="8">
        <f>IF(G9242="","",G9242*0.20)</f>
        <v/>
      </c>
      <c r="K9242" s="8">
        <f>IF(G9242="","",G9242+J9242)</f>
        <v/>
      </c>
    </row>
    <row r="9243">
      <c r="F9243" s="8" t="n"/>
      <c r="G9243" s="8">
        <f>IF(E9243="","",E9243*F9243)</f>
        <v/>
      </c>
      <c r="H9243" s="8">
        <f>IF(G9243="","",G9243-I9243)</f>
        <v/>
      </c>
      <c r="I9243" s="8">
        <f>IF(D9243="","",VLOOKUP(D9243, RECETTES!B:G, 6, FALSE)*E9243)</f>
        <v/>
      </c>
      <c r="J9243" s="8">
        <f>IF(G9243="","",G9243*0.20)</f>
        <v/>
      </c>
      <c r="K9243" s="8">
        <f>IF(G9243="","",G9243+J9243)</f>
        <v/>
      </c>
    </row>
    <row r="9244">
      <c r="F9244" s="8" t="n"/>
      <c r="G9244" s="8">
        <f>IF(E9244="","",E9244*F9244)</f>
        <v/>
      </c>
      <c r="H9244" s="8">
        <f>IF(G9244="","",G9244-I9244)</f>
        <v/>
      </c>
      <c r="I9244" s="8">
        <f>IF(D9244="","",VLOOKUP(D9244, RECETTES!B:G, 6, FALSE)*E9244)</f>
        <v/>
      </c>
      <c r="J9244" s="8">
        <f>IF(G9244="","",G9244*0.20)</f>
        <v/>
      </c>
      <c r="K9244" s="8">
        <f>IF(G9244="","",G9244+J9244)</f>
        <v/>
      </c>
    </row>
    <row r="9245">
      <c r="F9245" s="8" t="n"/>
      <c r="G9245" s="8">
        <f>IF(E9245="","",E9245*F9245)</f>
        <v/>
      </c>
      <c r="H9245" s="8">
        <f>IF(G9245="","",G9245-I9245)</f>
        <v/>
      </c>
      <c r="I9245" s="8">
        <f>IF(D9245="","",VLOOKUP(D9245, RECETTES!B:G, 6, FALSE)*E9245)</f>
        <v/>
      </c>
      <c r="J9245" s="8">
        <f>IF(G9245="","",G9245*0.20)</f>
        <v/>
      </c>
      <c r="K9245" s="8">
        <f>IF(G9245="","",G9245+J9245)</f>
        <v/>
      </c>
    </row>
    <row r="9246">
      <c r="F9246" s="8" t="n"/>
      <c r="G9246" s="8">
        <f>IF(E9246="","",E9246*F9246)</f>
        <v/>
      </c>
      <c r="H9246" s="8">
        <f>IF(G9246="","",G9246-I9246)</f>
        <v/>
      </c>
      <c r="I9246" s="8">
        <f>IF(D9246="","",VLOOKUP(D9246, RECETTES!B:G, 6, FALSE)*E9246)</f>
        <v/>
      </c>
      <c r="J9246" s="8">
        <f>IF(G9246="","",G9246*0.20)</f>
        <v/>
      </c>
      <c r="K9246" s="8">
        <f>IF(G9246="","",G9246+J9246)</f>
        <v/>
      </c>
    </row>
    <row r="9247">
      <c r="F9247" s="8" t="n"/>
      <c r="G9247" s="8">
        <f>IF(E9247="","",E9247*F9247)</f>
        <v/>
      </c>
      <c r="H9247" s="8">
        <f>IF(G9247="","",G9247-I9247)</f>
        <v/>
      </c>
      <c r="I9247" s="8">
        <f>IF(D9247="","",VLOOKUP(D9247, RECETTES!B:G, 6, FALSE)*E9247)</f>
        <v/>
      </c>
      <c r="J9247" s="8">
        <f>IF(G9247="","",G9247*0.20)</f>
        <v/>
      </c>
      <c r="K9247" s="8">
        <f>IF(G9247="","",G9247+J9247)</f>
        <v/>
      </c>
    </row>
    <row r="9248">
      <c r="F9248" s="8" t="n"/>
      <c r="G9248" s="8">
        <f>IF(E9248="","",E9248*F9248)</f>
        <v/>
      </c>
      <c r="H9248" s="8">
        <f>IF(G9248="","",G9248-I9248)</f>
        <v/>
      </c>
      <c r="I9248" s="8">
        <f>IF(D9248="","",VLOOKUP(D9248, RECETTES!B:G, 6, FALSE)*E9248)</f>
        <v/>
      </c>
      <c r="J9248" s="8">
        <f>IF(G9248="","",G9248*0.20)</f>
        <v/>
      </c>
      <c r="K9248" s="8">
        <f>IF(G9248="","",G9248+J9248)</f>
        <v/>
      </c>
    </row>
    <row r="9249">
      <c r="F9249" s="8" t="n"/>
      <c r="G9249" s="8">
        <f>IF(E9249="","",E9249*F9249)</f>
        <v/>
      </c>
      <c r="H9249" s="8">
        <f>IF(G9249="","",G9249-I9249)</f>
        <v/>
      </c>
      <c r="I9249" s="8">
        <f>IF(D9249="","",VLOOKUP(D9249, RECETTES!B:G, 6, FALSE)*E9249)</f>
        <v/>
      </c>
      <c r="J9249" s="8">
        <f>IF(G9249="","",G9249*0.20)</f>
        <v/>
      </c>
      <c r="K9249" s="8">
        <f>IF(G9249="","",G9249+J9249)</f>
        <v/>
      </c>
    </row>
    <row r="9250">
      <c r="F9250" s="8" t="n"/>
      <c r="G9250" s="8">
        <f>IF(E9250="","",E9250*F9250)</f>
        <v/>
      </c>
      <c r="H9250" s="8">
        <f>IF(G9250="","",G9250-I9250)</f>
        <v/>
      </c>
      <c r="I9250" s="8">
        <f>IF(D9250="","",VLOOKUP(D9250, RECETTES!B:G, 6, FALSE)*E9250)</f>
        <v/>
      </c>
      <c r="J9250" s="8">
        <f>IF(G9250="","",G9250*0.20)</f>
        <v/>
      </c>
      <c r="K9250" s="8">
        <f>IF(G9250="","",G9250+J9250)</f>
        <v/>
      </c>
    </row>
    <row r="9251">
      <c r="F9251" s="8" t="n"/>
      <c r="G9251" s="8">
        <f>IF(E9251="","",E9251*F9251)</f>
        <v/>
      </c>
      <c r="H9251" s="8">
        <f>IF(G9251="","",G9251-I9251)</f>
        <v/>
      </c>
      <c r="I9251" s="8">
        <f>IF(D9251="","",VLOOKUP(D9251, RECETTES!B:G, 6, FALSE)*E9251)</f>
        <v/>
      </c>
      <c r="J9251" s="8">
        <f>IF(G9251="","",G9251*0.20)</f>
        <v/>
      </c>
      <c r="K9251" s="8">
        <f>IF(G9251="","",G9251+J9251)</f>
        <v/>
      </c>
    </row>
    <row r="9252">
      <c r="F9252" s="8" t="n"/>
      <c r="G9252" s="8">
        <f>IF(E9252="","",E9252*F9252)</f>
        <v/>
      </c>
      <c r="H9252" s="8">
        <f>IF(G9252="","",G9252-I9252)</f>
        <v/>
      </c>
      <c r="I9252" s="8">
        <f>IF(D9252="","",VLOOKUP(D9252, RECETTES!B:G, 6, FALSE)*E9252)</f>
        <v/>
      </c>
      <c r="J9252" s="8">
        <f>IF(G9252="","",G9252*0.20)</f>
        <v/>
      </c>
      <c r="K9252" s="8">
        <f>IF(G9252="","",G9252+J9252)</f>
        <v/>
      </c>
    </row>
    <row r="9253">
      <c r="F9253" s="8" t="n"/>
      <c r="G9253" s="8">
        <f>IF(E9253="","",E9253*F9253)</f>
        <v/>
      </c>
      <c r="H9253" s="8">
        <f>IF(G9253="","",G9253-I9253)</f>
        <v/>
      </c>
      <c r="I9253" s="8">
        <f>IF(D9253="","",VLOOKUP(D9253, RECETTES!B:G, 6, FALSE)*E9253)</f>
        <v/>
      </c>
      <c r="J9253" s="8">
        <f>IF(G9253="","",G9253*0.20)</f>
        <v/>
      </c>
      <c r="K9253" s="8">
        <f>IF(G9253="","",G9253+J9253)</f>
        <v/>
      </c>
    </row>
    <row r="9254">
      <c r="F9254" s="8" t="n"/>
      <c r="G9254" s="8">
        <f>IF(E9254="","",E9254*F9254)</f>
        <v/>
      </c>
      <c r="H9254" s="8">
        <f>IF(G9254="","",G9254-I9254)</f>
        <v/>
      </c>
      <c r="I9254" s="8">
        <f>IF(D9254="","",VLOOKUP(D9254, RECETTES!B:G, 6, FALSE)*E9254)</f>
        <v/>
      </c>
      <c r="J9254" s="8">
        <f>IF(G9254="","",G9254*0.20)</f>
        <v/>
      </c>
      <c r="K9254" s="8">
        <f>IF(G9254="","",G9254+J9254)</f>
        <v/>
      </c>
    </row>
    <row r="9255">
      <c r="F9255" s="8" t="n"/>
      <c r="G9255" s="8">
        <f>IF(E9255="","",E9255*F9255)</f>
        <v/>
      </c>
      <c r="H9255" s="8">
        <f>IF(G9255="","",G9255-I9255)</f>
        <v/>
      </c>
      <c r="I9255" s="8">
        <f>IF(D9255="","",VLOOKUP(D9255, RECETTES!B:G, 6, FALSE)*E9255)</f>
        <v/>
      </c>
      <c r="J9255" s="8">
        <f>IF(G9255="","",G9255*0.20)</f>
        <v/>
      </c>
      <c r="K9255" s="8">
        <f>IF(G9255="","",G9255+J9255)</f>
        <v/>
      </c>
    </row>
    <row r="9256">
      <c r="F9256" s="8" t="n"/>
      <c r="G9256" s="8">
        <f>IF(E9256="","",E9256*F9256)</f>
        <v/>
      </c>
      <c r="H9256" s="8">
        <f>IF(G9256="","",G9256-I9256)</f>
        <v/>
      </c>
      <c r="I9256" s="8">
        <f>IF(D9256="","",VLOOKUP(D9256, RECETTES!B:G, 6, FALSE)*E9256)</f>
        <v/>
      </c>
      <c r="J9256" s="8">
        <f>IF(G9256="","",G9256*0.20)</f>
        <v/>
      </c>
      <c r="K9256" s="8">
        <f>IF(G9256="","",G9256+J9256)</f>
        <v/>
      </c>
    </row>
    <row r="9257">
      <c r="F9257" s="8" t="n"/>
      <c r="G9257" s="8">
        <f>IF(E9257="","",E9257*F9257)</f>
        <v/>
      </c>
      <c r="H9257" s="8">
        <f>IF(G9257="","",G9257-I9257)</f>
        <v/>
      </c>
      <c r="I9257" s="8">
        <f>IF(D9257="","",VLOOKUP(D9257, RECETTES!B:G, 6, FALSE)*E9257)</f>
        <v/>
      </c>
      <c r="J9257" s="8">
        <f>IF(G9257="","",G9257*0.20)</f>
        <v/>
      </c>
      <c r="K9257" s="8">
        <f>IF(G9257="","",G9257+J9257)</f>
        <v/>
      </c>
    </row>
    <row r="9258">
      <c r="F9258" s="8" t="n"/>
      <c r="G9258" s="8">
        <f>IF(E9258="","",E9258*F9258)</f>
        <v/>
      </c>
      <c r="H9258" s="8">
        <f>IF(G9258="","",G9258-I9258)</f>
        <v/>
      </c>
      <c r="I9258" s="8">
        <f>IF(D9258="","",VLOOKUP(D9258, RECETTES!B:G, 6, FALSE)*E9258)</f>
        <v/>
      </c>
      <c r="J9258" s="8">
        <f>IF(G9258="","",G9258*0.20)</f>
        <v/>
      </c>
      <c r="K9258" s="8">
        <f>IF(G9258="","",G9258+J9258)</f>
        <v/>
      </c>
    </row>
    <row r="9259">
      <c r="F9259" s="8" t="n"/>
      <c r="G9259" s="8">
        <f>IF(E9259="","",E9259*F9259)</f>
        <v/>
      </c>
      <c r="H9259" s="8">
        <f>IF(G9259="","",G9259-I9259)</f>
        <v/>
      </c>
      <c r="I9259" s="8">
        <f>IF(D9259="","",VLOOKUP(D9259, RECETTES!B:G, 6, FALSE)*E9259)</f>
        <v/>
      </c>
      <c r="J9259" s="8">
        <f>IF(G9259="","",G9259*0.20)</f>
        <v/>
      </c>
      <c r="K9259" s="8">
        <f>IF(G9259="","",G9259+J9259)</f>
        <v/>
      </c>
    </row>
    <row r="9260">
      <c r="F9260" s="8" t="n"/>
      <c r="G9260" s="8">
        <f>IF(E9260="","",E9260*F9260)</f>
        <v/>
      </c>
      <c r="H9260" s="8">
        <f>IF(G9260="","",G9260-I9260)</f>
        <v/>
      </c>
      <c r="I9260" s="8">
        <f>IF(D9260="","",VLOOKUP(D9260, RECETTES!B:G, 6, FALSE)*E9260)</f>
        <v/>
      </c>
      <c r="J9260" s="8">
        <f>IF(G9260="","",G9260*0.20)</f>
        <v/>
      </c>
      <c r="K9260" s="8">
        <f>IF(G9260="","",G9260+J9260)</f>
        <v/>
      </c>
    </row>
    <row r="9261">
      <c r="F9261" s="8" t="n"/>
      <c r="G9261" s="8">
        <f>IF(E9261="","",E9261*F9261)</f>
        <v/>
      </c>
      <c r="H9261" s="8">
        <f>IF(G9261="","",G9261-I9261)</f>
        <v/>
      </c>
      <c r="I9261" s="8">
        <f>IF(D9261="","",VLOOKUP(D9261, RECETTES!B:G, 6, FALSE)*E9261)</f>
        <v/>
      </c>
      <c r="J9261" s="8">
        <f>IF(G9261="","",G9261*0.20)</f>
        <v/>
      </c>
      <c r="K9261" s="8">
        <f>IF(G9261="","",G9261+J9261)</f>
        <v/>
      </c>
    </row>
    <row r="9262">
      <c r="F9262" s="8" t="n"/>
      <c r="G9262" s="8">
        <f>IF(E9262="","",E9262*F9262)</f>
        <v/>
      </c>
      <c r="H9262" s="8">
        <f>IF(G9262="","",G9262-I9262)</f>
        <v/>
      </c>
      <c r="I9262" s="8">
        <f>IF(D9262="","",VLOOKUP(D9262, RECETTES!B:G, 6, FALSE)*E9262)</f>
        <v/>
      </c>
      <c r="J9262" s="8">
        <f>IF(G9262="","",G9262*0.20)</f>
        <v/>
      </c>
      <c r="K9262" s="8">
        <f>IF(G9262="","",G9262+J9262)</f>
        <v/>
      </c>
    </row>
    <row r="9263">
      <c r="F9263" s="8" t="n"/>
      <c r="G9263" s="8">
        <f>IF(E9263="","",E9263*F9263)</f>
        <v/>
      </c>
      <c r="H9263" s="8">
        <f>IF(G9263="","",G9263-I9263)</f>
        <v/>
      </c>
      <c r="I9263" s="8">
        <f>IF(D9263="","",VLOOKUP(D9263, RECETTES!B:G, 6, FALSE)*E9263)</f>
        <v/>
      </c>
      <c r="J9263" s="8">
        <f>IF(G9263="","",G9263*0.20)</f>
        <v/>
      </c>
      <c r="K9263" s="8">
        <f>IF(G9263="","",G9263+J9263)</f>
        <v/>
      </c>
    </row>
    <row r="9264">
      <c r="F9264" s="8" t="n"/>
      <c r="G9264" s="8">
        <f>IF(E9264="","",E9264*F9264)</f>
        <v/>
      </c>
      <c r="H9264" s="8">
        <f>IF(G9264="","",G9264-I9264)</f>
        <v/>
      </c>
      <c r="I9264" s="8">
        <f>IF(D9264="","",VLOOKUP(D9264, RECETTES!B:G, 6, FALSE)*E9264)</f>
        <v/>
      </c>
      <c r="J9264" s="8">
        <f>IF(G9264="","",G9264*0.20)</f>
        <v/>
      </c>
      <c r="K9264" s="8">
        <f>IF(G9264="","",G9264+J9264)</f>
        <v/>
      </c>
    </row>
    <row r="9265">
      <c r="F9265" s="8" t="n"/>
      <c r="G9265" s="8">
        <f>IF(E9265="","",E9265*F9265)</f>
        <v/>
      </c>
      <c r="H9265" s="8">
        <f>IF(G9265="","",G9265-I9265)</f>
        <v/>
      </c>
      <c r="I9265" s="8">
        <f>IF(D9265="","",VLOOKUP(D9265, RECETTES!B:G, 6, FALSE)*E9265)</f>
        <v/>
      </c>
      <c r="J9265" s="8">
        <f>IF(G9265="","",G9265*0.20)</f>
        <v/>
      </c>
      <c r="K9265" s="8">
        <f>IF(G9265="","",G9265+J9265)</f>
        <v/>
      </c>
    </row>
    <row r="9266">
      <c r="F9266" s="8" t="n"/>
      <c r="G9266" s="8">
        <f>IF(E9266="","",E9266*F9266)</f>
        <v/>
      </c>
      <c r="H9266" s="8">
        <f>IF(G9266="","",G9266-I9266)</f>
        <v/>
      </c>
      <c r="I9266" s="8">
        <f>IF(D9266="","",VLOOKUP(D9266, RECETTES!B:G, 6, FALSE)*E9266)</f>
        <v/>
      </c>
      <c r="J9266" s="8">
        <f>IF(G9266="","",G9266*0.20)</f>
        <v/>
      </c>
      <c r="K9266" s="8">
        <f>IF(G9266="","",G9266+J9266)</f>
        <v/>
      </c>
    </row>
    <row r="9267">
      <c r="F9267" s="8" t="n"/>
      <c r="G9267" s="8">
        <f>IF(E9267="","",E9267*F9267)</f>
        <v/>
      </c>
      <c r="H9267" s="8">
        <f>IF(G9267="","",G9267-I9267)</f>
        <v/>
      </c>
      <c r="I9267" s="8">
        <f>IF(D9267="","",VLOOKUP(D9267, RECETTES!B:G, 6, FALSE)*E9267)</f>
        <v/>
      </c>
      <c r="J9267" s="8">
        <f>IF(G9267="","",G9267*0.20)</f>
        <v/>
      </c>
      <c r="K9267" s="8">
        <f>IF(G9267="","",G9267+J9267)</f>
        <v/>
      </c>
    </row>
    <row r="9268">
      <c r="F9268" s="8" t="n"/>
      <c r="G9268" s="8">
        <f>IF(E9268="","",E9268*F9268)</f>
        <v/>
      </c>
      <c r="H9268" s="8">
        <f>IF(G9268="","",G9268-I9268)</f>
        <v/>
      </c>
      <c r="I9268" s="8">
        <f>IF(D9268="","",VLOOKUP(D9268, RECETTES!B:G, 6, FALSE)*E9268)</f>
        <v/>
      </c>
      <c r="J9268" s="8">
        <f>IF(G9268="","",G9268*0.20)</f>
        <v/>
      </c>
      <c r="K9268" s="8">
        <f>IF(G9268="","",G9268+J9268)</f>
        <v/>
      </c>
    </row>
    <row r="9269">
      <c r="F9269" s="8" t="n"/>
      <c r="G9269" s="8">
        <f>IF(E9269="","",E9269*F9269)</f>
        <v/>
      </c>
      <c r="H9269" s="8">
        <f>IF(G9269="","",G9269-I9269)</f>
        <v/>
      </c>
      <c r="I9269" s="8">
        <f>IF(D9269="","",VLOOKUP(D9269, RECETTES!B:G, 6, FALSE)*E9269)</f>
        <v/>
      </c>
      <c r="J9269" s="8">
        <f>IF(G9269="","",G9269*0.20)</f>
        <v/>
      </c>
      <c r="K9269" s="8">
        <f>IF(G9269="","",G9269+J9269)</f>
        <v/>
      </c>
    </row>
    <row r="9270">
      <c r="F9270" s="8" t="n"/>
      <c r="G9270" s="8">
        <f>IF(E9270="","",E9270*F9270)</f>
        <v/>
      </c>
      <c r="H9270" s="8">
        <f>IF(G9270="","",G9270-I9270)</f>
        <v/>
      </c>
      <c r="I9270" s="8">
        <f>IF(D9270="","",VLOOKUP(D9270, RECETTES!B:G, 6, FALSE)*E9270)</f>
        <v/>
      </c>
      <c r="J9270" s="8">
        <f>IF(G9270="","",G9270*0.20)</f>
        <v/>
      </c>
      <c r="K9270" s="8">
        <f>IF(G9270="","",G9270+J9270)</f>
        <v/>
      </c>
    </row>
    <row r="9271">
      <c r="F9271" s="8" t="n"/>
      <c r="G9271" s="8">
        <f>IF(E9271="","",E9271*F9271)</f>
        <v/>
      </c>
      <c r="H9271" s="8">
        <f>IF(G9271="","",G9271-I9271)</f>
        <v/>
      </c>
      <c r="I9271" s="8">
        <f>IF(D9271="","",VLOOKUP(D9271, RECETTES!B:G, 6, FALSE)*E9271)</f>
        <v/>
      </c>
      <c r="J9271" s="8">
        <f>IF(G9271="","",G9271*0.20)</f>
        <v/>
      </c>
      <c r="K9271" s="8">
        <f>IF(G9271="","",G9271+J9271)</f>
        <v/>
      </c>
    </row>
    <row r="9272">
      <c r="F9272" s="8" t="n"/>
      <c r="G9272" s="8">
        <f>IF(E9272="","",E9272*F9272)</f>
        <v/>
      </c>
      <c r="H9272" s="8">
        <f>IF(G9272="","",G9272-I9272)</f>
        <v/>
      </c>
      <c r="I9272" s="8">
        <f>IF(D9272="","",VLOOKUP(D9272, RECETTES!B:G, 6, FALSE)*E9272)</f>
        <v/>
      </c>
      <c r="J9272" s="8">
        <f>IF(G9272="","",G9272*0.20)</f>
        <v/>
      </c>
      <c r="K9272" s="8">
        <f>IF(G9272="","",G9272+J9272)</f>
        <v/>
      </c>
    </row>
    <row r="9273">
      <c r="F9273" s="8" t="n"/>
      <c r="G9273" s="8">
        <f>IF(E9273="","",E9273*F9273)</f>
        <v/>
      </c>
      <c r="H9273" s="8">
        <f>IF(G9273="","",G9273-I9273)</f>
        <v/>
      </c>
      <c r="I9273" s="8">
        <f>IF(D9273="","",VLOOKUP(D9273, RECETTES!B:G, 6, FALSE)*E9273)</f>
        <v/>
      </c>
      <c r="J9273" s="8">
        <f>IF(G9273="","",G9273*0.20)</f>
        <v/>
      </c>
      <c r="K9273" s="8">
        <f>IF(G9273="","",G9273+J9273)</f>
        <v/>
      </c>
    </row>
    <row r="9274">
      <c r="F9274" s="8" t="n"/>
      <c r="G9274" s="8">
        <f>IF(E9274="","",E9274*F9274)</f>
        <v/>
      </c>
      <c r="H9274" s="8">
        <f>IF(G9274="","",G9274-I9274)</f>
        <v/>
      </c>
      <c r="I9274" s="8">
        <f>IF(D9274="","",VLOOKUP(D9274, RECETTES!B:G, 6, FALSE)*E9274)</f>
        <v/>
      </c>
      <c r="J9274" s="8">
        <f>IF(G9274="","",G9274*0.20)</f>
        <v/>
      </c>
      <c r="K9274" s="8">
        <f>IF(G9274="","",G9274+J9274)</f>
        <v/>
      </c>
    </row>
    <row r="9275">
      <c r="F9275" s="8" t="n"/>
      <c r="G9275" s="8">
        <f>IF(E9275="","",E9275*F9275)</f>
        <v/>
      </c>
      <c r="H9275" s="8">
        <f>IF(G9275="","",G9275-I9275)</f>
        <v/>
      </c>
      <c r="I9275" s="8">
        <f>IF(D9275="","",VLOOKUP(D9275, RECETTES!B:G, 6, FALSE)*E9275)</f>
        <v/>
      </c>
      <c r="J9275" s="8">
        <f>IF(G9275="","",G9275*0.20)</f>
        <v/>
      </c>
      <c r="K9275" s="8">
        <f>IF(G9275="","",G9275+J9275)</f>
        <v/>
      </c>
    </row>
    <row r="9276">
      <c r="F9276" s="8" t="n"/>
      <c r="G9276" s="8">
        <f>IF(E9276="","",E9276*F9276)</f>
        <v/>
      </c>
      <c r="H9276" s="8">
        <f>IF(G9276="","",G9276-I9276)</f>
        <v/>
      </c>
      <c r="I9276" s="8">
        <f>IF(D9276="","",VLOOKUP(D9276, RECETTES!B:G, 6, FALSE)*E9276)</f>
        <v/>
      </c>
      <c r="J9276" s="8">
        <f>IF(G9276="","",G9276*0.20)</f>
        <v/>
      </c>
      <c r="K9276" s="8">
        <f>IF(G9276="","",G9276+J9276)</f>
        <v/>
      </c>
    </row>
    <row r="9277">
      <c r="F9277" s="8" t="n"/>
      <c r="G9277" s="8">
        <f>IF(E9277="","",E9277*F9277)</f>
        <v/>
      </c>
      <c r="H9277" s="8">
        <f>IF(G9277="","",G9277-I9277)</f>
        <v/>
      </c>
      <c r="I9277" s="8">
        <f>IF(D9277="","",VLOOKUP(D9277, RECETTES!B:G, 6, FALSE)*E9277)</f>
        <v/>
      </c>
      <c r="J9277" s="8">
        <f>IF(G9277="","",G9277*0.20)</f>
        <v/>
      </c>
      <c r="K9277" s="8">
        <f>IF(G9277="","",G9277+J9277)</f>
        <v/>
      </c>
    </row>
    <row r="9278">
      <c r="F9278" s="8" t="n"/>
      <c r="G9278" s="8">
        <f>IF(E9278="","",E9278*F9278)</f>
        <v/>
      </c>
      <c r="H9278" s="8">
        <f>IF(G9278="","",G9278-I9278)</f>
        <v/>
      </c>
      <c r="I9278" s="8">
        <f>IF(D9278="","",VLOOKUP(D9278, RECETTES!B:G, 6, FALSE)*E9278)</f>
        <v/>
      </c>
      <c r="J9278" s="8">
        <f>IF(G9278="","",G9278*0.20)</f>
        <v/>
      </c>
      <c r="K9278" s="8">
        <f>IF(G9278="","",G9278+J9278)</f>
        <v/>
      </c>
    </row>
    <row r="9279">
      <c r="F9279" s="8" t="n"/>
      <c r="G9279" s="8">
        <f>IF(E9279="","",E9279*F9279)</f>
        <v/>
      </c>
      <c r="H9279" s="8">
        <f>IF(G9279="","",G9279-I9279)</f>
        <v/>
      </c>
      <c r="I9279" s="8">
        <f>IF(D9279="","",VLOOKUP(D9279, RECETTES!B:G, 6, FALSE)*E9279)</f>
        <v/>
      </c>
      <c r="J9279" s="8">
        <f>IF(G9279="","",G9279*0.20)</f>
        <v/>
      </c>
      <c r="K9279" s="8">
        <f>IF(G9279="","",G9279+J9279)</f>
        <v/>
      </c>
    </row>
    <row r="9280">
      <c r="F9280" s="8" t="n"/>
      <c r="G9280" s="8">
        <f>IF(E9280="","",E9280*F9280)</f>
        <v/>
      </c>
      <c r="H9280" s="8">
        <f>IF(G9280="","",G9280-I9280)</f>
        <v/>
      </c>
      <c r="I9280" s="8">
        <f>IF(D9280="","",VLOOKUP(D9280, RECETTES!B:G, 6, FALSE)*E9280)</f>
        <v/>
      </c>
      <c r="J9280" s="8">
        <f>IF(G9280="","",G9280*0.20)</f>
        <v/>
      </c>
      <c r="K9280" s="8">
        <f>IF(G9280="","",G9280+J9280)</f>
        <v/>
      </c>
    </row>
    <row r="9281">
      <c r="F9281" s="8" t="n"/>
      <c r="G9281" s="8">
        <f>IF(E9281="","",E9281*F9281)</f>
        <v/>
      </c>
      <c r="H9281" s="8">
        <f>IF(G9281="","",G9281-I9281)</f>
        <v/>
      </c>
      <c r="I9281" s="8">
        <f>IF(D9281="","",VLOOKUP(D9281, RECETTES!B:G, 6, FALSE)*E9281)</f>
        <v/>
      </c>
      <c r="J9281" s="8">
        <f>IF(G9281="","",G9281*0.20)</f>
        <v/>
      </c>
      <c r="K9281" s="8">
        <f>IF(G9281="","",G9281+J9281)</f>
        <v/>
      </c>
    </row>
    <row r="9282">
      <c r="F9282" s="8" t="n"/>
      <c r="G9282" s="8">
        <f>IF(E9282="","",E9282*F9282)</f>
        <v/>
      </c>
      <c r="H9282" s="8">
        <f>IF(G9282="","",G9282-I9282)</f>
        <v/>
      </c>
      <c r="I9282" s="8">
        <f>IF(D9282="","",VLOOKUP(D9282, RECETTES!B:G, 6, FALSE)*E9282)</f>
        <v/>
      </c>
      <c r="J9282" s="8">
        <f>IF(G9282="","",G9282*0.20)</f>
        <v/>
      </c>
      <c r="K9282" s="8">
        <f>IF(G9282="","",G9282+J9282)</f>
        <v/>
      </c>
    </row>
    <row r="9283">
      <c r="F9283" s="8" t="n"/>
      <c r="G9283" s="8">
        <f>IF(E9283="","",E9283*F9283)</f>
        <v/>
      </c>
      <c r="H9283" s="8">
        <f>IF(G9283="","",G9283-I9283)</f>
        <v/>
      </c>
      <c r="I9283" s="8">
        <f>IF(D9283="","",VLOOKUP(D9283, RECETTES!B:G, 6, FALSE)*E9283)</f>
        <v/>
      </c>
      <c r="J9283" s="8">
        <f>IF(G9283="","",G9283*0.20)</f>
        <v/>
      </c>
      <c r="K9283" s="8">
        <f>IF(G9283="","",G9283+J9283)</f>
        <v/>
      </c>
    </row>
    <row r="9284">
      <c r="F9284" s="8" t="n"/>
      <c r="G9284" s="8">
        <f>IF(E9284="","",E9284*F9284)</f>
        <v/>
      </c>
      <c r="H9284" s="8">
        <f>IF(G9284="","",G9284-I9284)</f>
        <v/>
      </c>
      <c r="I9284" s="8">
        <f>IF(D9284="","",VLOOKUP(D9284, RECETTES!B:G, 6, FALSE)*E9284)</f>
        <v/>
      </c>
      <c r="J9284" s="8">
        <f>IF(G9284="","",G9284*0.20)</f>
        <v/>
      </c>
      <c r="K9284" s="8">
        <f>IF(G9284="","",G9284+J9284)</f>
        <v/>
      </c>
    </row>
    <row r="9285">
      <c r="F9285" s="8" t="n"/>
      <c r="G9285" s="8">
        <f>IF(E9285="","",E9285*F9285)</f>
        <v/>
      </c>
      <c r="H9285" s="8">
        <f>IF(G9285="","",G9285-I9285)</f>
        <v/>
      </c>
      <c r="I9285" s="8">
        <f>IF(D9285="","",VLOOKUP(D9285, RECETTES!B:G, 6, FALSE)*E9285)</f>
        <v/>
      </c>
      <c r="J9285" s="8">
        <f>IF(G9285="","",G9285*0.20)</f>
        <v/>
      </c>
      <c r="K9285" s="8">
        <f>IF(G9285="","",G9285+J9285)</f>
        <v/>
      </c>
    </row>
    <row r="9286">
      <c r="F9286" s="8" t="n"/>
      <c r="G9286" s="8">
        <f>IF(E9286="","",E9286*F9286)</f>
        <v/>
      </c>
      <c r="H9286" s="8">
        <f>IF(G9286="","",G9286-I9286)</f>
        <v/>
      </c>
      <c r="I9286" s="8">
        <f>IF(D9286="","",VLOOKUP(D9286, RECETTES!B:G, 6, FALSE)*E9286)</f>
        <v/>
      </c>
      <c r="J9286" s="8">
        <f>IF(G9286="","",G9286*0.20)</f>
        <v/>
      </c>
      <c r="K9286" s="8">
        <f>IF(G9286="","",G9286+J9286)</f>
        <v/>
      </c>
    </row>
    <row r="9287">
      <c r="F9287" s="8" t="n"/>
      <c r="G9287" s="8">
        <f>IF(E9287="","",E9287*F9287)</f>
        <v/>
      </c>
      <c r="H9287" s="8">
        <f>IF(G9287="","",G9287-I9287)</f>
        <v/>
      </c>
      <c r="I9287" s="8">
        <f>IF(D9287="","",VLOOKUP(D9287, RECETTES!B:G, 6, FALSE)*E9287)</f>
        <v/>
      </c>
      <c r="J9287" s="8">
        <f>IF(G9287="","",G9287*0.20)</f>
        <v/>
      </c>
      <c r="K9287" s="8">
        <f>IF(G9287="","",G9287+J9287)</f>
        <v/>
      </c>
    </row>
    <row r="9288">
      <c r="F9288" s="8" t="n"/>
      <c r="G9288" s="8">
        <f>IF(E9288="","",E9288*F9288)</f>
        <v/>
      </c>
      <c r="H9288" s="8">
        <f>IF(G9288="","",G9288-I9288)</f>
        <v/>
      </c>
      <c r="I9288" s="8">
        <f>IF(D9288="","",VLOOKUP(D9288, RECETTES!B:G, 6, FALSE)*E9288)</f>
        <v/>
      </c>
      <c r="J9288" s="8">
        <f>IF(G9288="","",G9288*0.20)</f>
        <v/>
      </c>
      <c r="K9288" s="8">
        <f>IF(G9288="","",G9288+J9288)</f>
        <v/>
      </c>
    </row>
    <row r="9289">
      <c r="F9289" s="8" t="n"/>
      <c r="G9289" s="8">
        <f>IF(E9289="","",E9289*F9289)</f>
        <v/>
      </c>
      <c r="H9289" s="8">
        <f>IF(G9289="","",G9289-I9289)</f>
        <v/>
      </c>
      <c r="I9289" s="8">
        <f>IF(D9289="","",VLOOKUP(D9289, RECETTES!B:G, 6, FALSE)*E9289)</f>
        <v/>
      </c>
      <c r="J9289" s="8">
        <f>IF(G9289="","",G9289*0.20)</f>
        <v/>
      </c>
      <c r="K9289" s="8">
        <f>IF(G9289="","",G9289+J9289)</f>
        <v/>
      </c>
    </row>
    <row r="9290">
      <c r="F9290" s="8" t="n"/>
      <c r="G9290" s="8">
        <f>IF(E9290="","",E9290*F9290)</f>
        <v/>
      </c>
      <c r="H9290" s="8">
        <f>IF(G9290="","",G9290-I9290)</f>
        <v/>
      </c>
      <c r="I9290" s="8">
        <f>IF(D9290="","",VLOOKUP(D9290, RECETTES!B:G, 6, FALSE)*E9290)</f>
        <v/>
      </c>
      <c r="J9290" s="8">
        <f>IF(G9290="","",G9290*0.20)</f>
        <v/>
      </c>
      <c r="K9290" s="8">
        <f>IF(G9290="","",G9290+J9290)</f>
        <v/>
      </c>
    </row>
    <row r="9291">
      <c r="F9291" s="8" t="n"/>
      <c r="G9291" s="8">
        <f>IF(E9291="","",E9291*F9291)</f>
        <v/>
      </c>
      <c r="H9291" s="8">
        <f>IF(G9291="","",G9291-I9291)</f>
        <v/>
      </c>
      <c r="I9291" s="8">
        <f>IF(D9291="","",VLOOKUP(D9291, RECETTES!B:G, 6, FALSE)*E9291)</f>
        <v/>
      </c>
      <c r="J9291" s="8">
        <f>IF(G9291="","",G9291*0.20)</f>
        <v/>
      </c>
      <c r="K9291" s="8">
        <f>IF(G9291="","",G9291+J9291)</f>
        <v/>
      </c>
    </row>
    <row r="9292">
      <c r="F9292" s="8" t="n"/>
      <c r="G9292" s="8">
        <f>IF(E9292="","",E9292*F9292)</f>
        <v/>
      </c>
      <c r="H9292" s="8">
        <f>IF(G9292="","",G9292-I9292)</f>
        <v/>
      </c>
      <c r="I9292" s="8">
        <f>IF(D9292="","",VLOOKUP(D9292, RECETTES!B:G, 6, FALSE)*E9292)</f>
        <v/>
      </c>
      <c r="J9292" s="8">
        <f>IF(G9292="","",G9292*0.20)</f>
        <v/>
      </c>
      <c r="K9292" s="8">
        <f>IF(G9292="","",G9292+J9292)</f>
        <v/>
      </c>
    </row>
    <row r="9293">
      <c r="F9293" s="8" t="n"/>
      <c r="G9293" s="8">
        <f>IF(E9293="","",E9293*F9293)</f>
        <v/>
      </c>
      <c r="H9293" s="8">
        <f>IF(G9293="","",G9293-I9293)</f>
        <v/>
      </c>
      <c r="I9293" s="8">
        <f>IF(D9293="","",VLOOKUP(D9293, RECETTES!B:G, 6, FALSE)*E9293)</f>
        <v/>
      </c>
      <c r="J9293" s="8">
        <f>IF(G9293="","",G9293*0.20)</f>
        <v/>
      </c>
      <c r="K9293" s="8">
        <f>IF(G9293="","",G9293+J9293)</f>
        <v/>
      </c>
    </row>
    <row r="9294">
      <c r="F9294" s="8" t="n"/>
      <c r="G9294" s="8">
        <f>IF(E9294="","",E9294*F9294)</f>
        <v/>
      </c>
      <c r="H9294" s="8">
        <f>IF(G9294="","",G9294-I9294)</f>
        <v/>
      </c>
      <c r="I9294" s="8">
        <f>IF(D9294="","",VLOOKUP(D9294, RECETTES!B:G, 6, FALSE)*E9294)</f>
        <v/>
      </c>
      <c r="J9294" s="8">
        <f>IF(G9294="","",G9294*0.20)</f>
        <v/>
      </c>
      <c r="K9294" s="8">
        <f>IF(G9294="","",G9294+J9294)</f>
        <v/>
      </c>
    </row>
    <row r="9295">
      <c r="F9295" s="8" t="n"/>
      <c r="G9295" s="8">
        <f>IF(E9295="","",E9295*F9295)</f>
        <v/>
      </c>
      <c r="H9295" s="8">
        <f>IF(G9295="","",G9295-I9295)</f>
        <v/>
      </c>
      <c r="I9295" s="8">
        <f>IF(D9295="","",VLOOKUP(D9295, RECETTES!B:G, 6, FALSE)*E9295)</f>
        <v/>
      </c>
      <c r="J9295" s="8">
        <f>IF(G9295="","",G9295*0.20)</f>
        <v/>
      </c>
      <c r="K9295" s="8">
        <f>IF(G9295="","",G9295+J9295)</f>
        <v/>
      </c>
    </row>
    <row r="9296">
      <c r="F9296" s="8" t="n"/>
      <c r="G9296" s="8">
        <f>IF(E9296="","",E9296*F9296)</f>
        <v/>
      </c>
      <c r="H9296" s="8">
        <f>IF(G9296="","",G9296-I9296)</f>
        <v/>
      </c>
      <c r="I9296" s="8">
        <f>IF(D9296="","",VLOOKUP(D9296, RECETTES!B:G, 6, FALSE)*E9296)</f>
        <v/>
      </c>
      <c r="J9296" s="8">
        <f>IF(G9296="","",G9296*0.20)</f>
        <v/>
      </c>
      <c r="K9296" s="8">
        <f>IF(G9296="","",G9296+J9296)</f>
        <v/>
      </c>
    </row>
    <row r="9297">
      <c r="F9297" s="8" t="n"/>
      <c r="G9297" s="8">
        <f>IF(E9297="","",E9297*F9297)</f>
        <v/>
      </c>
      <c r="H9297" s="8">
        <f>IF(G9297="","",G9297-I9297)</f>
        <v/>
      </c>
      <c r="I9297" s="8">
        <f>IF(D9297="","",VLOOKUP(D9297, RECETTES!B:G, 6, FALSE)*E9297)</f>
        <v/>
      </c>
      <c r="J9297" s="8">
        <f>IF(G9297="","",G9297*0.20)</f>
        <v/>
      </c>
      <c r="K9297" s="8">
        <f>IF(G9297="","",G9297+J9297)</f>
        <v/>
      </c>
    </row>
    <row r="9298">
      <c r="F9298" s="8" t="n"/>
      <c r="G9298" s="8">
        <f>IF(E9298="","",E9298*F9298)</f>
        <v/>
      </c>
      <c r="H9298" s="8">
        <f>IF(G9298="","",G9298-I9298)</f>
        <v/>
      </c>
      <c r="I9298" s="8">
        <f>IF(D9298="","",VLOOKUP(D9298, RECETTES!B:G, 6, FALSE)*E9298)</f>
        <v/>
      </c>
      <c r="J9298" s="8">
        <f>IF(G9298="","",G9298*0.20)</f>
        <v/>
      </c>
      <c r="K9298" s="8">
        <f>IF(G9298="","",G9298+J9298)</f>
        <v/>
      </c>
    </row>
    <row r="9299">
      <c r="F9299" s="8" t="n"/>
      <c r="G9299" s="8">
        <f>IF(E9299="","",E9299*F9299)</f>
        <v/>
      </c>
      <c r="H9299" s="8">
        <f>IF(G9299="","",G9299-I9299)</f>
        <v/>
      </c>
      <c r="I9299" s="8">
        <f>IF(D9299="","",VLOOKUP(D9299, RECETTES!B:G, 6, FALSE)*E9299)</f>
        <v/>
      </c>
      <c r="J9299" s="8">
        <f>IF(G9299="","",G9299*0.20)</f>
        <v/>
      </c>
      <c r="K9299" s="8">
        <f>IF(G9299="","",G9299+J9299)</f>
        <v/>
      </c>
    </row>
    <row r="9300">
      <c r="F9300" s="8" t="n"/>
      <c r="G9300" s="8">
        <f>IF(E9300="","",E9300*F9300)</f>
        <v/>
      </c>
      <c r="H9300" s="8">
        <f>IF(G9300="","",G9300-I9300)</f>
        <v/>
      </c>
      <c r="I9300" s="8">
        <f>IF(D9300="","",VLOOKUP(D9300, RECETTES!B:G, 6, FALSE)*E9300)</f>
        <v/>
      </c>
      <c r="J9300" s="8">
        <f>IF(G9300="","",G9300*0.20)</f>
        <v/>
      </c>
      <c r="K9300" s="8">
        <f>IF(G9300="","",G9300+J9300)</f>
        <v/>
      </c>
    </row>
    <row r="9301">
      <c r="F9301" s="8" t="n"/>
      <c r="G9301" s="8">
        <f>IF(E9301="","",E9301*F9301)</f>
        <v/>
      </c>
      <c r="H9301" s="8">
        <f>IF(G9301="","",G9301-I9301)</f>
        <v/>
      </c>
      <c r="I9301" s="8">
        <f>IF(D9301="","",VLOOKUP(D9301, RECETTES!B:G, 6, FALSE)*E9301)</f>
        <v/>
      </c>
      <c r="J9301" s="8">
        <f>IF(G9301="","",G9301*0.20)</f>
        <v/>
      </c>
      <c r="K9301" s="8">
        <f>IF(G9301="","",G9301+J9301)</f>
        <v/>
      </c>
    </row>
    <row r="9302">
      <c r="F9302" s="8" t="n"/>
      <c r="G9302" s="8">
        <f>IF(E9302="","",E9302*F9302)</f>
        <v/>
      </c>
      <c r="H9302" s="8">
        <f>IF(G9302="","",G9302-I9302)</f>
        <v/>
      </c>
      <c r="I9302" s="8">
        <f>IF(D9302="","",VLOOKUP(D9302, RECETTES!B:G, 6, FALSE)*E9302)</f>
        <v/>
      </c>
      <c r="J9302" s="8">
        <f>IF(G9302="","",G9302*0.20)</f>
        <v/>
      </c>
      <c r="K9302" s="8">
        <f>IF(G9302="","",G9302+J9302)</f>
        <v/>
      </c>
    </row>
    <row r="9303">
      <c r="F9303" s="8" t="n"/>
      <c r="G9303" s="8">
        <f>IF(E9303="","",E9303*F9303)</f>
        <v/>
      </c>
      <c r="H9303" s="8">
        <f>IF(G9303="","",G9303-I9303)</f>
        <v/>
      </c>
      <c r="I9303" s="8">
        <f>IF(D9303="","",VLOOKUP(D9303, RECETTES!B:G, 6, FALSE)*E9303)</f>
        <v/>
      </c>
      <c r="J9303" s="8">
        <f>IF(G9303="","",G9303*0.20)</f>
        <v/>
      </c>
      <c r="K9303" s="8">
        <f>IF(G9303="","",G9303+J9303)</f>
        <v/>
      </c>
    </row>
    <row r="9304">
      <c r="F9304" s="8" t="n"/>
      <c r="G9304" s="8">
        <f>IF(E9304="","",E9304*F9304)</f>
        <v/>
      </c>
      <c r="H9304" s="8">
        <f>IF(G9304="","",G9304-I9304)</f>
        <v/>
      </c>
      <c r="I9304" s="8">
        <f>IF(D9304="","",VLOOKUP(D9304, RECETTES!B:G, 6, FALSE)*E9304)</f>
        <v/>
      </c>
      <c r="J9304" s="8">
        <f>IF(G9304="","",G9304*0.20)</f>
        <v/>
      </c>
      <c r="K9304" s="8">
        <f>IF(G9304="","",G9304+J9304)</f>
        <v/>
      </c>
    </row>
    <row r="9305">
      <c r="F9305" s="8" t="n"/>
      <c r="G9305" s="8">
        <f>IF(E9305="","",E9305*F9305)</f>
        <v/>
      </c>
      <c r="H9305" s="8">
        <f>IF(G9305="","",G9305-I9305)</f>
        <v/>
      </c>
      <c r="I9305" s="8">
        <f>IF(D9305="","",VLOOKUP(D9305, RECETTES!B:G, 6, FALSE)*E9305)</f>
        <v/>
      </c>
      <c r="J9305" s="8">
        <f>IF(G9305="","",G9305*0.20)</f>
        <v/>
      </c>
      <c r="K9305" s="8">
        <f>IF(G9305="","",G9305+J9305)</f>
        <v/>
      </c>
    </row>
    <row r="9306">
      <c r="F9306" s="8" t="n"/>
      <c r="G9306" s="8">
        <f>IF(E9306="","",E9306*F9306)</f>
        <v/>
      </c>
      <c r="H9306" s="8">
        <f>IF(G9306="","",G9306-I9306)</f>
        <v/>
      </c>
      <c r="I9306" s="8">
        <f>IF(D9306="","",VLOOKUP(D9306, RECETTES!B:G, 6, FALSE)*E9306)</f>
        <v/>
      </c>
      <c r="J9306" s="8">
        <f>IF(G9306="","",G9306*0.20)</f>
        <v/>
      </c>
      <c r="K9306" s="8">
        <f>IF(G9306="","",G9306+J9306)</f>
        <v/>
      </c>
    </row>
    <row r="9307">
      <c r="F9307" s="8" t="n"/>
      <c r="G9307" s="8">
        <f>IF(E9307="","",E9307*F9307)</f>
        <v/>
      </c>
      <c r="H9307" s="8">
        <f>IF(G9307="","",G9307-I9307)</f>
        <v/>
      </c>
      <c r="I9307" s="8">
        <f>IF(D9307="","",VLOOKUP(D9307, RECETTES!B:G, 6, FALSE)*E9307)</f>
        <v/>
      </c>
      <c r="J9307" s="8">
        <f>IF(G9307="","",G9307*0.20)</f>
        <v/>
      </c>
      <c r="K9307" s="8">
        <f>IF(G9307="","",G9307+J9307)</f>
        <v/>
      </c>
    </row>
    <row r="9308">
      <c r="F9308" s="8" t="n"/>
      <c r="G9308" s="8">
        <f>IF(E9308="","",E9308*F9308)</f>
        <v/>
      </c>
      <c r="H9308" s="8">
        <f>IF(G9308="","",G9308-I9308)</f>
        <v/>
      </c>
      <c r="I9308" s="8">
        <f>IF(D9308="","",VLOOKUP(D9308, RECETTES!B:G, 6, FALSE)*E9308)</f>
        <v/>
      </c>
      <c r="J9308" s="8">
        <f>IF(G9308="","",G9308*0.20)</f>
        <v/>
      </c>
      <c r="K9308" s="8">
        <f>IF(G9308="","",G9308+J9308)</f>
        <v/>
      </c>
    </row>
    <row r="9309">
      <c r="F9309" s="8" t="n"/>
      <c r="G9309" s="8">
        <f>IF(E9309="","",E9309*F9309)</f>
        <v/>
      </c>
      <c r="H9309" s="8">
        <f>IF(G9309="","",G9309-I9309)</f>
        <v/>
      </c>
      <c r="I9309" s="8">
        <f>IF(D9309="","",VLOOKUP(D9309, RECETTES!B:G, 6, FALSE)*E9309)</f>
        <v/>
      </c>
      <c r="J9309" s="8">
        <f>IF(G9309="","",G9309*0.20)</f>
        <v/>
      </c>
      <c r="K9309" s="8">
        <f>IF(G9309="","",G9309+J9309)</f>
        <v/>
      </c>
    </row>
    <row r="9310">
      <c r="F9310" s="8" t="n"/>
      <c r="G9310" s="8">
        <f>IF(E9310="","",E9310*F9310)</f>
        <v/>
      </c>
      <c r="H9310" s="8">
        <f>IF(G9310="","",G9310-I9310)</f>
        <v/>
      </c>
      <c r="I9310" s="8">
        <f>IF(D9310="","",VLOOKUP(D9310, RECETTES!B:G, 6, FALSE)*E9310)</f>
        <v/>
      </c>
      <c r="J9310" s="8">
        <f>IF(G9310="","",G9310*0.20)</f>
        <v/>
      </c>
      <c r="K9310" s="8">
        <f>IF(G9310="","",G9310+J9310)</f>
        <v/>
      </c>
    </row>
    <row r="9311">
      <c r="F9311" s="8" t="n"/>
      <c r="G9311" s="8">
        <f>IF(E9311="","",E9311*F9311)</f>
        <v/>
      </c>
      <c r="H9311" s="8">
        <f>IF(G9311="","",G9311-I9311)</f>
        <v/>
      </c>
      <c r="I9311" s="8">
        <f>IF(D9311="","",VLOOKUP(D9311, RECETTES!B:G, 6, FALSE)*E9311)</f>
        <v/>
      </c>
      <c r="J9311" s="8">
        <f>IF(G9311="","",G9311*0.20)</f>
        <v/>
      </c>
      <c r="K9311" s="8">
        <f>IF(G9311="","",G9311+J9311)</f>
        <v/>
      </c>
    </row>
    <row r="9312">
      <c r="F9312" s="8" t="n"/>
      <c r="G9312" s="8">
        <f>IF(E9312="","",E9312*F9312)</f>
        <v/>
      </c>
      <c r="H9312" s="8">
        <f>IF(G9312="","",G9312-I9312)</f>
        <v/>
      </c>
      <c r="I9312" s="8">
        <f>IF(D9312="","",VLOOKUP(D9312, RECETTES!B:G, 6, FALSE)*E9312)</f>
        <v/>
      </c>
      <c r="J9312" s="8">
        <f>IF(G9312="","",G9312*0.20)</f>
        <v/>
      </c>
      <c r="K9312" s="8">
        <f>IF(G9312="","",G9312+J9312)</f>
        <v/>
      </c>
    </row>
    <row r="9313">
      <c r="F9313" s="8" t="n"/>
      <c r="G9313" s="8">
        <f>IF(E9313="","",E9313*F9313)</f>
        <v/>
      </c>
      <c r="H9313" s="8">
        <f>IF(G9313="","",G9313-I9313)</f>
        <v/>
      </c>
      <c r="I9313" s="8">
        <f>IF(D9313="","",VLOOKUP(D9313, RECETTES!B:G, 6, FALSE)*E9313)</f>
        <v/>
      </c>
      <c r="J9313" s="8">
        <f>IF(G9313="","",G9313*0.20)</f>
        <v/>
      </c>
      <c r="K9313" s="8">
        <f>IF(G9313="","",G9313+J9313)</f>
        <v/>
      </c>
    </row>
    <row r="9314">
      <c r="F9314" s="8" t="n"/>
      <c r="G9314" s="8">
        <f>IF(E9314="","",E9314*F9314)</f>
        <v/>
      </c>
      <c r="H9314" s="8">
        <f>IF(G9314="","",G9314-I9314)</f>
        <v/>
      </c>
      <c r="I9314" s="8">
        <f>IF(D9314="","",VLOOKUP(D9314, RECETTES!B:G, 6, FALSE)*E9314)</f>
        <v/>
      </c>
      <c r="J9314" s="8">
        <f>IF(G9314="","",G9314*0.20)</f>
        <v/>
      </c>
      <c r="K9314" s="8">
        <f>IF(G9314="","",G9314+J9314)</f>
        <v/>
      </c>
    </row>
    <row r="9315">
      <c r="F9315" s="8" t="n"/>
      <c r="G9315" s="8">
        <f>IF(E9315="","",E9315*F9315)</f>
        <v/>
      </c>
      <c r="H9315" s="8">
        <f>IF(G9315="","",G9315-I9315)</f>
        <v/>
      </c>
      <c r="I9315" s="8">
        <f>IF(D9315="","",VLOOKUP(D9315, RECETTES!B:G, 6, FALSE)*E9315)</f>
        <v/>
      </c>
      <c r="J9315" s="8">
        <f>IF(G9315="","",G9315*0.20)</f>
        <v/>
      </c>
      <c r="K9315" s="8">
        <f>IF(G9315="","",G9315+J9315)</f>
        <v/>
      </c>
    </row>
    <row r="9316">
      <c r="F9316" s="8" t="n"/>
      <c r="G9316" s="8">
        <f>IF(E9316="","",E9316*F9316)</f>
        <v/>
      </c>
      <c r="H9316" s="8">
        <f>IF(G9316="","",G9316-I9316)</f>
        <v/>
      </c>
      <c r="I9316" s="8">
        <f>IF(D9316="","",VLOOKUP(D9316, RECETTES!B:G, 6, FALSE)*E9316)</f>
        <v/>
      </c>
      <c r="J9316" s="8">
        <f>IF(G9316="","",G9316*0.20)</f>
        <v/>
      </c>
      <c r="K9316" s="8">
        <f>IF(G9316="","",G9316+J9316)</f>
        <v/>
      </c>
    </row>
    <row r="9317">
      <c r="F9317" s="8" t="n"/>
      <c r="G9317" s="8">
        <f>IF(E9317="","",E9317*F9317)</f>
        <v/>
      </c>
      <c r="H9317" s="8">
        <f>IF(G9317="","",G9317-I9317)</f>
        <v/>
      </c>
      <c r="I9317" s="8">
        <f>IF(D9317="","",VLOOKUP(D9317, RECETTES!B:G, 6, FALSE)*E9317)</f>
        <v/>
      </c>
      <c r="J9317" s="8">
        <f>IF(G9317="","",G9317*0.20)</f>
        <v/>
      </c>
      <c r="K9317" s="8">
        <f>IF(G9317="","",G9317+J9317)</f>
        <v/>
      </c>
    </row>
    <row r="9318">
      <c r="F9318" s="8" t="n"/>
      <c r="G9318" s="8">
        <f>IF(E9318="","",E9318*F9318)</f>
        <v/>
      </c>
      <c r="H9318" s="8">
        <f>IF(G9318="","",G9318-I9318)</f>
        <v/>
      </c>
      <c r="I9318" s="8">
        <f>IF(D9318="","",VLOOKUP(D9318, RECETTES!B:G, 6, FALSE)*E9318)</f>
        <v/>
      </c>
      <c r="J9318" s="8">
        <f>IF(G9318="","",G9318*0.20)</f>
        <v/>
      </c>
      <c r="K9318" s="8">
        <f>IF(G9318="","",G9318+J9318)</f>
        <v/>
      </c>
    </row>
    <row r="9319">
      <c r="F9319" s="8" t="n"/>
      <c r="G9319" s="8">
        <f>IF(E9319="","",E9319*F9319)</f>
        <v/>
      </c>
      <c r="H9319" s="8">
        <f>IF(G9319="","",G9319-I9319)</f>
        <v/>
      </c>
      <c r="I9319" s="8">
        <f>IF(D9319="","",VLOOKUP(D9319, RECETTES!B:G, 6, FALSE)*E9319)</f>
        <v/>
      </c>
      <c r="J9319" s="8">
        <f>IF(G9319="","",G9319*0.20)</f>
        <v/>
      </c>
      <c r="K9319" s="8">
        <f>IF(G9319="","",G9319+J9319)</f>
        <v/>
      </c>
    </row>
    <row r="9320">
      <c r="F9320" s="8" t="n"/>
      <c r="G9320" s="8">
        <f>IF(E9320="","",E9320*F9320)</f>
        <v/>
      </c>
      <c r="H9320" s="8">
        <f>IF(G9320="","",G9320-I9320)</f>
        <v/>
      </c>
      <c r="I9320" s="8">
        <f>IF(D9320="","",VLOOKUP(D9320, RECETTES!B:G, 6, FALSE)*E9320)</f>
        <v/>
      </c>
      <c r="J9320" s="8">
        <f>IF(G9320="","",G9320*0.20)</f>
        <v/>
      </c>
      <c r="K9320" s="8">
        <f>IF(G9320="","",G9320+J9320)</f>
        <v/>
      </c>
    </row>
    <row r="9321">
      <c r="F9321" s="8" t="n"/>
      <c r="G9321" s="8">
        <f>IF(E9321="","",E9321*F9321)</f>
        <v/>
      </c>
      <c r="H9321" s="8">
        <f>IF(G9321="","",G9321-I9321)</f>
        <v/>
      </c>
      <c r="I9321" s="8">
        <f>IF(D9321="","",VLOOKUP(D9321, RECETTES!B:G, 6, FALSE)*E9321)</f>
        <v/>
      </c>
      <c r="J9321" s="8">
        <f>IF(G9321="","",G9321*0.20)</f>
        <v/>
      </c>
      <c r="K9321" s="8">
        <f>IF(G9321="","",G9321+J9321)</f>
        <v/>
      </c>
    </row>
    <row r="9322">
      <c r="F9322" s="8" t="n"/>
      <c r="G9322" s="8">
        <f>IF(E9322="","",E9322*F9322)</f>
        <v/>
      </c>
      <c r="H9322" s="8">
        <f>IF(G9322="","",G9322-I9322)</f>
        <v/>
      </c>
      <c r="I9322" s="8">
        <f>IF(D9322="","",VLOOKUP(D9322, RECETTES!B:G, 6, FALSE)*E9322)</f>
        <v/>
      </c>
      <c r="J9322" s="8">
        <f>IF(G9322="","",G9322*0.20)</f>
        <v/>
      </c>
      <c r="K9322" s="8">
        <f>IF(G9322="","",G9322+J9322)</f>
        <v/>
      </c>
    </row>
    <row r="9323">
      <c r="F9323" s="8" t="n"/>
      <c r="G9323" s="8">
        <f>IF(E9323="","",E9323*F9323)</f>
        <v/>
      </c>
      <c r="H9323" s="8">
        <f>IF(G9323="","",G9323-I9323)</f>
        <v/>
      </c>
      <c r="I9323" s="8">
        <f>IF(D9323="","",VLOOKUP(D9323, RECETTES!B:G, 6, FALSE)*E9323)</f>
        <v/>
      </c>
      <c r="J9323" s="8">
        <f>IF(G9323="","",G9323*0.20)</f>
        <v/>
      </c>
      <c r="K9323" s="8">
        <f>IF(G9323="","",G9323+J9323)</f>
        <v/>
      </c>
    </row>
    <row r="9324">
      <c r="F9324" s="8" t="n"/>
      <c r="G9324" s="8">
        <f>IF(E9324="","",E9324*F9324)</f>
        <v/>
      </c>
      <c r="H9324" s="8">
        <f>IF(G9324="","",G9324-I9324)</f>
        <v/>
      </c>
      <c r="I9324" s="8">
        <f>IF(D9324="","",VLOOKUP(D9324, RECETTES!B:G, 6, FALSE)*E9324)</f>
        <v/>
      </c>
      <c r="J9324" s="8">
        <f>IF(G9324="","",G9324*0.20)</f>
        <v/>
      </c>
      <c r="K9324" s="8">
        <f>IF(G9324="","",G9324+J9324)</f>
        <v/>
      </c>
    </row>
    <row r="9325">
      <c r="F9325" s="8" t="n"/>
      <c r="G9325" s="8">
        <f>IF(E9325="","",E9325*F9325)</f>
        <v/>
      </c>
      <c r="H9325" s="8">
        <f>IF(G9325="","",G9325-I9325)</f>
        <v/>
      </c>
      <c r="I9325" s="8">
        <f>IF(D9325="","",VLOOKUP(D9325, RECETTES!B:G, 6, FALSE)*E9325)</f>
        <v/>
      </c>
      <c r="J9325" s="8">
        <f>IF(G9325="","",G9325*0.20)</f>
        <v/>
      </c>
      <c r="K9325" s="8">
        <f>IF(G9325="","",G9325+J9325)</f>
        <v/>
      </c>
    </row>
    <row r="9326">
      <c r="F9326" s="8" t="n"/>
      <c r="G9326" s="8">
        <f>IF(E9326="","",E9326*F9326)</f>
        <v/>
      </c>
      <c r="H9326" s="8">
        <f>IF(G9326="","",G9326-I9326)</f>
        <v/>
      </c>
      <c r="I9326" s="8">
        <f>IF(D9326="","",VLOOKUP(D9326, RECETTES!B:G, 6, FALSE)*E9326)</f>
        <v/>
      </c>
      <c r="J9326" s="8">
        <f>IF(G9326="","",G9326*0.20)</f>
        <v/>
      </c>
      <c r="K9326" s="8">
        <f>IF(G9326="","",G9326+J9326)</f>
        <v/>
      </c>
    </row>
    <row r="9327">
      <c r="F9327" s="8" t="n"/>
      <c r="G9327" s="8">
        <f>IF(E9327="","",E9327*F9327)</f>
        <v/>
      </c>
      <c r="H9327" s="8">
        <f>IF(G9327="","",G9327-I9327)</f>
        <v/>
      </c>
      <c r="I9327" s="8">
        <f>IF(D9327="","",VLOOKUP(D9327, RECETTES!B:G, 6, FALSE)*E9327)</f>
        <v/>
      </c>
      <c r="J9327" s="8">
        <f>IF(G9327="","",G9327*0.20)</f>
        <v/>
      </c>
      <c r="K9327" s="8">
        <f>IF(G9327="","",G9327+J9327)</f>
        <v/>
      </c>
    </row>
    <row r="9328">
      <c r="F9328" s="8" t="n"/>
      <c r="G9328" s="8">
        <f>IF(E9328="","",E9328*F9328)</f>
        <v/>
      </c>
      <c r="H9328" s="8">
        <f>IF(G9328="","",G9328-I9328)</f>
        <v/>
      </c>
      <c r="I9328" s="8">
        <f>IF(D9328="","",VLOOKUP(D9328, RECETTES!B:G, 6, FALSE)*E9328)</f>
        <v/>
      </c>
      <c r="J9328" s="8">
        <f>IF(G9328="","",G9328*0.20)</f>
        <v/>
      </c>
      <c r="K9328" s="8">
        <f>IF(G9328="","",G9328+J9328)</f>
        <v/>
      </c>
    </row>
    <row r="9329">
      <c r="F9329" s="8" t="n"/>
      <c r="G9329" s="8">
        <f>IF(E9329="","",E9329*F9329)</f>
        <v/>
      </c>
      <c r="H9329" s="8">
        <f>IF(G9329="","",G9329-I9329)</f>
        <v/>
      </c>
      <c r="I9329" s="8">
        <f>IF(D9329="","",VLOOKUP(D9329, RECETTES!B:G, 6, FALSE)*E9329)</f>
        <v/>
      </c>
      <c r="J9329" s="8">
        <f>IF(G9329="","",G9329*0.20)</f>
        <v/>
      </c>
      <c r="K9329" s="8">
        <f>IF(G9329="","",G9329+J9329)</f>
        <v/>
      </c>
    </row>
    <row r="9330">
      <c r="F9330" s="8" t="n"/>
      <c r="G9330" s="8">
        <f>IF(E9330="","",E9330*F9330)</f>
        <v/>
      </c>
      <c r="H9330" s="8">
        <f>IF(G9330="","",G9330-I9330)</f>
        <v/>
      </c>
      <c r="I9330" s="8">
        <f>IF(D9330="","",VLOOKUP(D9330, RECETTES!B:G, 6, FALSE)*E9330)</f>
        <v/>
      </c>
      <c r="J9330" s="8">
        <f>IF(G9330="","",G9330*0.20)</f>
        <v/>
      </c>
      <c r="K9330" s="8">
        <f>IF(G9330="","",G9330+J9330)</f>
        <v/>
      </c>
    </row>
    <row r="9331">
      <c r="F9331" s="8" t="n"/>
      <c r="G9331" s="8">
        <f>IF(E9331="","",E9331*F9331)</f>
        <v/>
      </c>
      <c r="H9331" s="8">
        <f>IF(G9331="","",G9331-I9331)</f>
        <v/>
      </c>
      <c r="I9331" s="8">
        <f>IF(D9331="","",VLOOKUP(D9331, RECETTES!B:G, 6, FALSE)*E9331)</f>
        <v/>
      </c>
      <c r="J9331" s="8">
        <f>IF(G9331="","",G9331*0.20)</f>
        <v/>
      </c>
      <c r="K9331" s="8">
        <f>IF(G9331="","",G9331+J9331)</f>
        <v/>
      </c>
    </row>
    <row r="9332">
      <c r="F9332" s="8" t="n"/>
      <c r="G9332" s="8">
        <f>IF(E9332="","",E9332*F9332)</f>
        <v/>
      </c>
      <c r="H9332" s="8">
        <f>IF(G9332="","",G9332-I9332)</f>
        <v/>
      </c>
      <c r="I9332" s="8">
        <f>IF(D9332="","",VLOOKUP(D9332, RECETTES!B:G, 6, FALSE)*E9332)</f>
        <v/>
      </c>
      <c r="J9332" s="8">
        <f>IF(G9332="","",G9332*0.20)</f>
        <v/>
      </c>
      <c r="K9332" s="8">
        <f>IF(G9332="","",G9332+J9332)</f>
        <v/>
      </c>
    </row>
    <row r="9333">
      <c r="F9333" s="8" t="n"/>
      <c r="G9333" s="8">
        <f>IF(E9333="","",E9333*F9333)</f>
        <v/>
      </c>
      <c r="H9333" s="8">
        <f>IF(G9333="","",G9333-I9333)</f>
        <v/>
      </c>
      <c r="I9333" s="8">
        <f>IF(D9333="","",VLOOKUP(D9333, RECETTES!B:G, 6, FALSE)*E9333)</f>
        <v/>
      </c>
      <c r="J9333" s="8">
        <f>IF(G9333="","",G9333*0.20)</f>
        <v/>
      </c>
      <c r="K9333" s="8">
        <f>IF(G9333="","",G9333+J9333)</f>
        <v/>
      </c>
    </row>
    <row r="9334">
      <c r="F9334" s="8" t="n"/>
      <c r="G9334" s="8">
        <f>IF(E9334="","",E9334*F9334)</f>
        <v/>
      </c>
      <c r="H9334" s="8">
        <f>IF(G9334="","",G9334-I9334)</f>
        <v/>
      </c>
      <c r="I9334" s="8">
        <f>IF(D9334="","",VLOOKUP(D9334, RECETTES!B:G, 6, FALSE)*E9334)</f>
        <v/>
      </c>
      <c r="J9334" s="8">
        <f>IF(G9334="","",G9334*0.20)</f>
        <v/>
      </c>
      <c r="K9334" s="8">
        <f>IF(G9334="","",G9334+J9334)</f>
        <v/>
      </c>
    </row>
    <row r="9335">
      <c r="F9335" s="8" t="n"/>
      <c r="G9335" s="8">
        <f>IF(E9335="","",E9335*F9335)</f>
        <v/>
      </c>
      <c r="H9335" s="8">
        <f>IF(G9335="","",G9335-I9335)</f>
        <v/>
      </c>
      <c r="I9335" s="8">
        <f>IF(D9335="","",VLOOKUP(D9335, RECETTES!B:G, 6, FALSE)*E9335)</f>
        <v/>
      </c>
      <c r="J9335" s="8">
        <f>IF(G9335="","",G9335*0.20)</f>
        <v/>
      </c>
      <c r="K9335" s="8">
        <f>IF(G9335="","",G9335+J9335)</f>
        <v/>
      </c>
    </row>
    <row r="9336">
      <c r="F9336" s="8" t="n"/>
      <c r="G9336" s="8">
        <f>IF(E9336="","",E9336*F9336)</f>
        <v/>
      </c>
      <c r="H9336" s="8">
        <f>IF(G9336="","",G9336-I9336)</f>
        <v/>
      </c>
      <c r="I9336" s="8">
        <f>IF(D9336="","",VLOOKUP(D9336, RECETTES!B:G, 6, FALSE)*E9336)</f>
        <v/>
      </c>
      <c r="J9336" s="8">
        <f>IF(G9336="","",G9336*0.20)</f>
        <v/>
      </c>
      <c r="K9336" s="8">
        <f>IF(G9336="","",G9336+J9336)</f>
        <v/>
      </c>
    </row>
    <row r="9337">
      <c r="F9337" s="8" t="n"/>
      <c r="G9337" s="8">
        <f>IF(E9337="","",E9337*F9337)</f>
        <v/>
      </c>
      <c r="H9337" s="8">
        <f>IF(G9337="","",G9337-I9337)</f>
        <v/>
      </c>
      <c r="I9337" s="8">
        <f>IF(D9337="","",VLOOKUP(D9337, RECETTES!B:G, 6, FALSE)*E9337)</f>
        <v/>
      </c>
      <c r="J9337" s="8">
        <f>IF(G9337="","",G9337*0.20)</f>
        <v/>
      </c>
      <c r="K9337" s="8">
        <f>IF(G9337="","",G9337+J9337)</f>
        <v/>
      </c>
    </row>
    <row r="9338">
      <c r="F9338" s="8" t="n"/>
      <c r="G9338" s="8">
        <f>IF(E9338="","",E9338*F9338)</f>
        <v/>
      </c>
      <c r="H9338" s="8">
        <f>IF(G9338="","",G9338-I9338)</f>
        <v/>
      </c>
      <c r="I9338" s="8">
        <f>IF(D9338="","",VLOOKUP(D9338, RECETTES!B:G, 6, FALSE)*E9338)</f>
        <v/>
      </c>
      <c r="J9338" s="8">
        <f>IF(G9338="","",G9338*0.20)</f>
        <v/>
      </c>
      <c r="K9338" s="8">
        <f>IF(G9338="","",G9338+J9338)</f>
        <v/>
      </c>
    </row>
    <row r="9339">
      <c r="F9339" s="8" t="n"/>
      <c r="G9339" s="8">
        <f>IF(E9339="","",E9339*F9339)</f>
        <v/>
      </c>
      <c r="H9339" s="8">
        <f>IF(G9339="","",G9339-I9339)</f>
        <v/>
      </c>
      <c r="I9339" s="8">
        <f>IF(D9339="","",VLOOKUP(D9339, RECETTES!B:G, 6, FALSE)*E9339)</f>
        <v/>
      </c>
      <c r="J9339" s="8">
        <f>IF(G9339="","",G9339*0.20)</f>
        <v/>
      </c>
      <c r="K9339" s="8">
        <f>IF(G9339="","",G9339+J9339)</f>
        <v/>
      </c>
    </row>
    <row r="9340">
      <c r="F9340" s="8" t="n"/>
      <c r="G9340" s="8">
        <f>IF(E9340="","",E9340*F9340)</f>
        <v/>
      </c>
      <c r="H9340" s="8">
        <f>IF(G9340="","",G9340-I9340)</f>
        <v/>
      </c>
      <c r="I9340" s="8">
        <f>IF(D9340="","",VLOOKUP(D9340, RECETTES!B:G, 6, FALSE)*E9340)</f>
        <v/>
      </c>
      <c r="J9340" s="8">
        <f>IF(G9340="","",G9340*0.20)</f>
        <v/>
      </c>
      <c r="K9340" s="8">
        <f>IF(G9340="","",G9340+J9340)</f>
        <v/>
      </c>
    </row>
    <row r="9341">
      <c r="F9341" s="8" t="n"/>
      <c r="G9341" s="8">
        <f>IF(E9341="","",E9341*F9341)</f>
        <v/>
      </c>
      <c r="H9341" s="8">
        <f>IF(G9341="","",G9341-I9341)</f>
        <v/>
      </c>
      <c r="I9341" s="8">
        <f>IF(D9341="","",VLOOKUP(D9341, RECETTES!B:G, 6, FALSE)*E9341)</f>
        <v/>
      </c>
      <c r="J9341" s="8">
        <f>IF(G9341="","",G9341*0.20)</f>
        <v/>
      </c>
      <c r="K9341" s="8">
        <f>IF(G9341="","",G9341+J9341)</f>
        <v/>
      </c>
    </row>
    <row r="9342">
      <c r="F9342" s="8" t="n"/>
      <c r="G9342" s="8">
        <f>IF(E9342="","",E9342*F9342)</f>
        <v/>
      </c>
      <c r="H9342" s="8">
        <f>IF(G9342="","",G9342-I9342)</f>
        <v/>
      </c>
      <c r="I9342" s="8">
        <f>IF(D9342="","",VLOOKUP(D9342, RECETTES!B:G, 6, FALSE)*E9342)</f>
        <v/>
      </c>
      <c r="J9342" s="8">
        <f>IF(G9342="","",G9342*0.20)</f>
        <v/>
      </c>
      <c r="K9342" s="8">
        <f>IF(G9342="","",G9342+J9342)</f>
        <v/>
      </c>
    </row>
    <row r="9343">
      <c r="F9343" s="8" t="n"/>
      <c r="G9343" s="8">
        <f>IF(E9343="","",E9343*F9343)</f>
        <v/>
      </c>
      <c r="H9343" s="8">
        <f>IF(G9343="","",G9343-I9343)</f>
        <v/>
      </c>
      <c r="I9343" s="8">
        <f>IF(D9343="","",VLOOKUP(D9343, RECETTES!B:G, 6, FALSE)*E9343)</f>
        <v/>
      </c>
      <c r="J9343" s="8">
        <f>IF(G9343="","",G9343*0.20)</f>
        <v/>
      </c>
      <c r="K9343" s="8">
        <f>IF(G9343="","",G9343+J9343)</f>
        <v/>
      </c>
    </row>
    <row r="9344">
      <c r="F9344" s="8" t="n"/>
      <c r="G9344" s="8">
        <f>IF(E9344="","",E9344*F9344)</f>
        <v/>
      </c>
      <c r="H9344" s="8">
        <f>IF(G9344="","",G9344-I9344)</f>
        <v/>
      </c>
      <c r="I9344" s="8">
        <f>IF(D9344="","",VLOOKUP(D9344, RECETTES!B:G, 6, FALSE)*E9344)</f>
        <v/>
      </c>
      <c r="J9344" s="8">
        <f>IF(G9344="","",G9344*0.20)</f>
        <v/>
      </c>
      <c r="K9344" s="8">
        <f>IF(G9344="","",G9344+J9344)</f>
        <v/>
      </c>
    </row>
    <row r="9345">
      <c r="F9345" s="8" t="n"/>
      <c r="G9345" s="8">
        <f>IF(E9345="","",E9345*F9345)</f>
        <v/>
      </c>
      <c r="H9345" s="8">
        <f>IF(G9345="","",G9345-I9345)</f>
        <v/>
      </c>
      <c r="I9345" s="8">
        <f>IF(D9345="","",VLOOKUP(D9345, RECETTES!B:G, 6, FALSE)*E9345)</f>
        <v/>
      </c>
      <c r="J9345" s="8">
        <f>IF(G9345="","",G9345*0.20)</f>
        <v/>
      </c>
      <c r="K9345" s="8">
        <f>IF(G9345="","",G9345+J9345)</f>
        <v/>
      </c>
    </row>
    <row r="9346">
      <c r="F9346" s="8" t="n"/>
      <c r="G9346" s="8">
        <f>IF(E9346="","",E9346*F9346)</f>
        <v/>
      </c>
      <c r="H9346" s="8">
        <f>IF(G9346="","",G9346-I9346)</f>
        <v/>
      </c>
      <c r="I9346" s="8">
        <f>IF(D9346="","",VLOOKUP(D9346, RECETTES!B:G, 6, FALSE)*E9346)</f>
        <v/>
      </c>
      <c r="J9346" s="8">
        <f>IF(G9346="","",G9346*0.20)</f>
        <v/>
      </c>
      <c r="K9346" s="8">
        <f>IF(G9346="","",G9346+J9346)</f>
        <v/>
      </c>
    </row>
    <row r="9347">
      <c r="F9347" s="8" t="n"/>
      <c r="G9347" s="8">
        <f>IF(E9347="","",E9347*F9347)</f>
        <v/>
      </c>
      <c r="H9347" s="8">
        <f>IF(G9347="","",G9347-I9347)</f>
        <v/>
      </c>
      <c r="I9347" s="8">
        <f>IF(D9347="","",VLOOKUP(D9347, RECETTES!B:G, 6, FALSE)*E9347)</f>
        <v/>
      </c>
      <c r="J9347" s="8">
        <f>IF(G9347="","",G9347*0.20)</f>
        <v/>
      </c>
      <c r="K9347" s="8">
        <f>IF(G9347="","",G9347+J9347)</f>
        <v/>
      </c>
    </row>
    <row r="9348">
      <c r="F9348" s="8" t="n"/>
      <c r="G9348" s="8">
        <f>IF(E9348="","",E9348*F9348)</f>
        <v/>
      </c>
      <c r="H9348" s="8">
        <f>IF(G9348="","",G9348-I9348)</f>
        <v/>
      </c>
      <c r="I9348" s="8">
        <f>IF(D9348="","",VLOOKUP(D9348, RECETTES!B:G, 6, FALSE)*E9348)</f>
        <v/>
      </c>
      <c r="J9348" s="8">
        <f>IF(G9348="","",G9348*0.20)</f>
        <v/>
      </c>
      <c r="K9348" s="8">
        <f>IF(G9348="","",G9348+J9348)</f>
        <v/>
      </c>
    </row>
    <row r="9349">
      <c r="F9349" s="8" t="n"/>
      <c r="G9349" s="8">
        <f>IF(E9349="","",E9349*F9349)</f>
        <v/>
      </c>
      <c r="H9349" s="8">
        <f>IF(G9349="","",G9349-I9349)</f>
        <v/>
      </c>
      <c r="I9349" s="8">
        <f>IF(D9349="","",VLOOKUP(D9349, RECETTES!B:G, 6, FALSE)*E9349)</f>
        <v/>
      </c>
      <c r="J9349" s="8">
        <f>IF(G9349="","",G9349*0.20)</f>
        <v/>
      </c>
      <c r="K9349" s="8">
        <f>IF(G9349="","",G9349+J9349)</f>
        <v/>
      </c>
    </row>
    <row r="9350">
      <c r="F9350" s="8" t="n"/>
      <c r="G9350" s="8">
        <f>IF(E9350="","",E9350*F9350)</f>
        <v/>
      </c>
      <c r="H9350" s="8">
        <f>IF(G9350="","",G9350-I9350)</f>
        <v/>
      </c>
      <c r="I9350" s="8">
        <f>IF(D9350="","",VLOOKUP(D9350, RECETTES!B:G, 6, FALSE)*E9350)</f>
        <v/>
      </c>
      <c r="J9350" s="8">
        <f>IF(G9350="","",G9350*0.20)</f>
        <v/>
      </c>
      <c r="K9350" s="8">
        <f>IF(G9350="","",G9350+J9350)</f>
        <v/>
      </c>
    </row>
    <row r="9351">
      <c r="F9351" s="8" t="n"/>
      <c r="G9351" s="8">
        <f>IF(E9351="","",E9351*F9351)</f>
        <v/>
      </c>
      <c r="H9351" s="8">
        <f>IF(G9351="","",G9351-I9351)</f>
        <v/>
      </c>
      <c r="I9351" s="8">
        <f>IF(D9351="","",VLOOKUP(D9351, RECETTES!B:G, 6, FALSE)*E9351)</f>
        <v/>
      </c>
      <c r="J9351" s="8">
        <f>IF(G9351="","",G9351*0.20)</f>
        <v/>
      </c>
      <c r="K9351" s="8">
        <f>IF(G9351="","",G9351+J9351)</f>
        <v/>
      </c>
    </row>
    <row r="9352">
      <c r="F9352" s="8" t="n"/>
      <c r="G9352" s="8">
        <f>IF(E9352="","",E9352*F9352)</f>
        <v/>
      </c>
      <c r="H9352" s="8">
        <f>IF(G9352="","",G9352-I9352)</f>
        <v/>
      </c>
      <c r="I9352" s="8">
        <f>IF(D9352="","",VLOOKUP(D9352, RECETTES!B:G, 6, FALSE)*E9352)</f>
        <v/>
      </c>
      <c r="J9352" s="8">
        <f>IF(G9352="","",G9352*0.20)</f>
        <v/>
      </c>
      <c r="K9352" s="8">
        <f>IF(G9352="","",G9352+J9352)</f>
        <v/>
      </c>
    </row>
    <row r="9353">
      <c r="F9353" s="8" t="n"/>
      <c r="G9353" s="8">
        <f>IF(E9353="","",E9353*F9353)</f>
        <v/>
      </c>
      <c r="H9353" s="8">
        <f>IF(G9353="","",G9353-I9353)</f>
        <v/>
      </c>
      <c r="I9353" s="8">
        <f>IF(D9353="","",VLOOKUP(D9353, RECETTES!B:G, 6, FALSE)*E9353)</f>
        <v/>
      </c>
      <c r="J9353" s="8">
        <f>IF(G9353="","",G9353*0.20)</f>
        <v/>
      </c>
      <c r="K9353" s="8">
        <f>IF(G9353="","",G9353+J9353)</f>
        <v/>
      </c>
    </row>
    <row r="9354">
      <c r="F9354" s="8" t="n"/>
      <c r="G9354" s="8">
        <f>IF(E9354="","",E9354*F9354)</f>
        <v/>
      </c>
      <c r="H9354" s="8">
        <f>IF(G9354="","",G9354-I9354)</f>
        <v/>
      </c>
      <c r="I9354" s="8">
        <f>IF(D9354="","",VLOOKUP(D9354, RECETTES!B:G, 6, FALSE)*E9354)</f>
        <v/>
      </c>
      <c r="J9354" s="8">
        <f>IF(G9354="","",G9354*0.20)</f>
        <v/>
      </c>
      <c r="K9354" s="8">
        <f>IF(G9354="","",G9354+J9354)</f>
        <v/>
      </c>
    </row>
    <row r="9355">
      <c r="F9355" s="8" t="n"/>
      <c r="G9355" s="8">
        <f>IF(E9355="","",E9355*F9355)</f>
        <v/>
      </c>
      <c r="H9355" s="8">
        <f>IF(G9355="","",G9355-I9355)</f>
        <v/>
      </c>
      <c r="I9355" s="8">
        <f>IF(D9355="","",VLOOKUP(D9355, RECETTES!B:G, 6, FALSE)*E9355)</f>
        <v/>
      </c>
      <c r="J9355" s="8">
        <f>IF(G9355="","",G9355*0.20)</f>
        <v/>
      </c>
      <c r="K9355" s="8">
        <f>IF(G9355="","",G9355+J9355)</f>
        <v/>
      </c>
    </row>
    <row r="9356">
      <c r="F9356" s="8" t="n"/>
      <c r="G9356" s="8">
        <f>IF(E9356="","",E9356*F9356)</f>
        <v/>
      </c>
      <c r="H9356" s="8">
        <f>IF(G9356="","",G9356-I9356)</f>
        <v/>
      </c>
      <c r="I9356" s="8">
        <f>IF(D9356="","",VLOOKUP(D9356, RECETTES!B:G, 6, FALSE)*E9356)</f>
        <v/>
      </c>
      <c r="J9356" s="8">
        <f>IF(G9356="","",G9356*0.20)</f>
        <v/>
      </c>
      <c r="K9356" s="8">
        <f>IF(G9356="","",G9356+J9356)</f>
        <v/>
      </c>
    </row>
    <row r="9357">
      <c r="F9357" s="8" t="n"/>
      <c r="G9357" s="8">
        <f>IF(E9357="","",E9357*F9357)</f>
        <v/>
      </c>
      <c r="H9357" s="8">
        <f>IF(G9357="","",G9357-I9357)</f>
        <v/>
      </c>
      <c r="I9357" s="8">
        <f>IF(D9357="","",VLOOKUP(D9357, RECETTES!B:G, 6, FALSE)*E9357)</f>
        <v/>
      </c>
      <c r="J9357" s="8">
        <f>IF(G9357="","",G9357*0.20)</f>
        <v/>
      </c>
      <c r="K9357" s="8">
        <f>IF(G9357="","",G9357+J9357)</f>
        <v/>
      </c>
    </row>
    <row r="9358">
      <c r="F9358" s="8" t="n"/>
      <c r="G9358" s="8">
        <f>IF(E9358="","",E9358*F9358)</f>
        <v/>
      </c>
      <c r="H9358" s="8">
        <f>IF(G9358="","",G9358-I9358)</f>
        <v/>
      </c>
      <c r="I9358" s="8">
        <f>IF(D9358="","",VLOOKUP(D9358, RECETTES!B:G, 6, FALSE)*E9358)</f>
        <v/>
      </c>
      <c r="J9358" s="8">
        <f>IF(G9358="","",G9358*0.20)</f>
        <v/>
      </c>
      <c r="K9358" s="8">
        <f>IF(G9358="","",G9358+J9358)</f>
        <v/>
      </c>
    </row>
    <row r="9359">
      <c r="F9359" s="8" t="n"/>
      <c r="G9359" s="8">
        <f>IF(E9359="","",E9359*F9359)</f>
        <v/>
      </c>
      <c r="H9359" s="8">
        <f>IF(G9359="","",G9359-I9359)</f>
        <v/>
      </c>
      <c r="I9359" s="8">
        <f>IF(D9359="","",VLOOKUP(D9359, RECETTES!B:G, 6, FALSE)*E9359)</f>
        <v/>
      </c>
      <c r="J9359" s="8">
        <f>IF(G9359="","",G9359*0.20)</f>
        <v/>
      </c>
      <c r="K9359" s="8">
        <f>IF(G9359="","",G9359+J9359)</f>
        <v/>
      </c>
    </row>
    <row r="9360">
      <c r="F9360" s="8" t="n"/>
      <c r="G9360" s="8">
        <f>IF(E9360="","",E9360*F9360)</f>
        <v/>
      </c>
      <c r="H9360" s="8">
        <f>IF(G9360="","",G9360-I9360)</f>
        <v/>
      </c>
      <c r="I9360" s="8">
        <f>IF(D9360="","",VLOOKUP(D9360, RECETTES!B:G, 6, FALSE)*E9360)</f>
        <v/>
      </c>
      <c r="J9360" s="8">
        <f>IF(G9360="","",G9360*0.20)</f>
        <v/>
      </c>
      <c r="K9360" s="8">
        <f>IF(G9360="","",G9360+J9360)</f>
        <v/>
      </c>
    </row>
    <row r="9361">
      <c r="F9361" s="8" t="n"/>
      <c r="G9361" s="8">
        <f>IF(E9361="","",E9361*F9361)</f>
        <v/>
      </c>
      <c r="H9361" s="8">
        <f>IF(G9361="","",G9361-I9361)</f>
        <v/>
      </c>
      <c r="I9361" s="8">
        <f>IF(D9361="","",VLOOKUP(D9361, RECETTES!B:G, 6, FALSE)*E9361)</f>
        <v/>
      </c>
      <c r="J9361" s="8">
        <f>IF(G9361="","",G9361*0.20)</f>
        <v/>
      </c>
      <c r="K9361" s="8">
        <f>IF(G9361="","",G9361+J9361)</f>
        <v/>
      </c>
    </row>
    <row r="9362">
      <c r="F9362" s="8" t="n"/>
      <c r="G9362" s="8">
        <f>IF(E9362="","",E9362*F9362)</f>
        <v/>
      </c>
      <c r="H9362" s="8">
        <f>IF(G9362="","",G9362-I9362)</f>
        <v/>
      </c>
      <c r="I9362" s="8">
        <f>IF(D9362="","",VLOOKUP(D9362, RECETTES!B:G, 6, FALSE)*E9362)</f>
        <v/>
      </c>
      <c r="J9362" s="8">
        <f>IF(G9362="","",G9362*0.20)</f>
        <v/>
      </c>
      <c r="K9362" s="8">
        <f>IF(G9362="","",G9362+J9362)</f>
        <v/>
      </c>
    </row>
    <row r="9363">
      <c r="F9363" s="8" t="n"/>
      <c r="G9363" s="8">
        <f>IF(E9363="","",E9363*F9363)</f>
        <v/>
      </c>
      <c r="H9363" s="8">
        <f>IF(G9363="","",G9363-I9363)</f>
        <v/>
      </c>
      <c r="I9363" s="8">
        <f>IF(D9363="","",VLOOKUP(D9363, RECETTES!B:G, 6, FALSE)*E9363)</f>
        <v/>
      </c>
      <c r="J9363" s="8">
        <f>IF(G9363="","",G9363*0.20)</f>
        <v/>
      </c>
      <c r="K9363" s="8">
        <f>IF(G9363="","",G9363+J9363)</f>
        <v/>
      </c>
    </row>
    <row r="9364">
      <c r="F9364" s="8" t="n"/>
      <c r="G9364" s="8">
        <f>IF(E9364="","",E9364*F9364)</f>
        <v/>
      </c>
      <c r="H9364" s="8">
        <f>IF(G9364="","",G9364-I9364)</f>
        <v/>
      </c>
      <c r="I9364" s="8">
        <f>IF(D9364="","",VLOOKUP(D9364, RECETTES!B:G, 6, FALSE)*E9364)</f>
        <v/>
      </c>
      <c r="J9364" s="8">
        <f>IF(G9364="","",G9364*0.20)</f>
        <v/>
      </c>
      <c r="K9364" s="8">
        <f>IF(G9364="","",G9364+J9364)</f>
        <v/>
      </c>
    </row>
    <row r="9365">
      <c r="F9365" s="8" t="n"/>
      <c r="G9365" s="8">
        <f>IF(E9365="","",E9365*F9365)</f>
        <v/>
      </c>
      <c r="H9365" s="8">
        <f>IF(G9365="","",G9365-I9365)</f>
        <v/>
      </c>
      <c r="I9365" s="8">
        <f>IF(D9365="","",VLOOKUP(D9365, RECETTES!B:G, 6, FALSE)*E9365)</f>
        <v/>
      </c>
      <c r="J9365" s="8">
        <f>IF(G9365="","",G9365*0.20)</f>
        <v/>
      </c>
      <c r="K9365" s="8">
        <f>IF(G9365="","",G9365+J9365)</f>
        <v/>
      </c>
    </row>
    <row r="9366">
      <c r="F9366" s="8" t="n"/>
      <c r="G9366" s="8">
        <f>IF(E9366="","",E9366*F9366)</f>
        <v/>
      </c>
      <c r="H9366" s="8">
        <f>IF(G9366="","",G9366-I9366)</f>
        <v/>
      </c>
      <c r="I9366" s="8">
        <f>IF(D9366="","",VLOOKUP(D9366, RECETTES!B:G, 6, FALSE)*E9366)</f>
        <v/>
      </c>
      <c r="J9366" s="8">
        <f>IF(G9366="","",G9366*0.20)</f>
        <v/>
      </c>
      <c r="K9366" s="8">
        <f>IF(G9366="","",G9366+J9366)</f>
        <v/>
      </c>
    </row>
    <row r="9367">
      <c r="F9367" s="8" t="n"/>
      <c r="G9367" s="8">
        <f>IF(E9367="","",E9367*F9367)</f>
        <v/>
      </c>
      <c r="H9367" s="8">
        <f>IF(G9367="","",G9367-I9367)</f>
        <v/>
      </c>
      <c r="I9367" s="8">
        <f>IF(D9367="","",VLOOKUP(D9367, RECETTES!B:G, 6, FALSE)*E9367)</f>
        <v/>
      </c>
      <c r="J9367" s="8">
        <f>IF(G9367="","",G9367*0.20)</f>
        <v/>
      </c>
      <c r="K9367" s="8">
        <f>IF(G9367="","",G9367+J9367)</f>
        <v/>
      </c>
    </row>
    <row r="9368">
      <c r="F9368" s="8" t="n"/>
      <c r="G9368" s="8">
        <f>IF(E9368="","",E9368*F9368)</f>
        <v/>
      </c>
      <c r="H9368" s="8">
        <f>IF(G9368="","",G9368-I9368)</f>
        <v/>
      </c>
      <c r="I9368" s="8">
        <f>IF(D9368="","",VLOOKUP(D9368, RECETTES!B:G, 6, FALSE)*E9368)</f>
        <v/>
      </c>
      <c r="J9368" s="8">
        <f>IF(G9368="","",G9368*0.20)</f>
        <v/>
      </c>
      <c r="K9368" s="8">
        <f>IF(G9368="","",G9368+J9368)</f>
        <v/>
      </c>
    </row>
    <row r="9369">
      <c r="F9369" s="8" t="n"/>
      <c r="G9369" s="8">
        <f>IF(E9369="","",E9369*F9369)</f>
        <v/>
      </c>
      <c r="H9369" s="8">
        <f>IF(G9369="","",G9369-I9369)</f>
        <v/>
      </c>
      <c r="I9369" s="8">
        <f>IF(D9369="","",VLOOKUP(D9369, RECETTES!B:G, 6, FALSE)*E9369)</f>
        <v/>
      </c>
      <c r="J9369" s="8">
        <f>IF(G9369="","",G9369*0.20)</f>
        <v/>
      </c>
      <c r="K9369" s="8">
        <f>IF(G9369="","",G9369+J9369)</f>
        <v/>
      </c>
    </row>
    <row r="9370">
      <c r="F9370" s="8" t="n"/>
      <c r="G9370" s="8">
        <f>IF(E9370="","",E9370*F9370)</f>
        <v/>
      </c>
      <c r="H9370" s="8">
        <f>IF(G9370="","",G9370-I9370)</f>
        <v/>
      </c>
      <c r="I9370" s="8">
        <f>IF(D9370="","",VLOOKUP(D9370, RECETTES!B:G, 6, FALSE)*E9370)</f>
        <v/>
      </c>
      <c r="J9370" s="8">
        <f>IF(G9370="","",G9370*0.20)</f>
        <v/>
      </c>
      <c r="K9370" s="8">
        <f>IF(G9370="","",G9370+J9370)</f>
        <v/>
      </c>
    </row>
    <row r="9371">
      <c r="F9371" s="8" t="n"/>
      <c r="G9371" s="8">
        <f>IF(E9371="","",E9371*F9371)</f>
        <v/>
      </c>
      <c r="H9371" s="8">
        <f>IF(G9371="","",G9371-I9371)</f>
        <v/>
      </c>
      <c r="I9371" s="8">
        <f>IF(D9371="","",VLOOKUP(D9371, RECETTES!B:G, 6, FALSE)*E9371)</f>
        <v/>
      </c>
      <c r="J9371" s="8">
        <f>IF(G9371="","",G9371*0.20)</f>
        <v/>
      </c>
      <c r="K9371" s="8">
        <f>IF(G9371="","",G9371+J9371)</f>
        <v/>
      </c>
    </row>
    <row r="9372">
      <c r="F9372" s="8" t="n"/>
      <c r="G9372" s="8">
        <f>IF(E9372="","",E9372*F9372)</f>
        <v/>
      </c>
      <c r="H9372" s="8">
        <f>IF(G9372="","",G9372-I9372)</f>
        <v/>
      </c>
      <c r="I9372" s="8">
        <f>IF(D9372="","",VLOOKUP(D9372, RECETTES!B:G, 6, FALSE)*E9372)</f>
        <v/>
      </c>
      <c r="J9372" s="8">
        <f>IF(G9372="","",G9372*0.20)</f>
        <v/>
      </c>
      <c r="K9372" s="8">
        <f>IF(G9372="","",G9372+J9372)</f>
        <v/>
      </c>
    </row>
    <row r="9373">
      <c r="F9373" s="8" t="n"/>
      <c r="G9373" s="8">
        <f>IF(E9373="","",E9373*F9373)</f>
        <v/>
      </c>
      <c r="H9373" s="8">
        <f>IF(G9373="","",G9373-I9373)</f>
        <v/>
      </c>
      <c r="I9373" s="8">
        <f>IF(D9373="","",VLOOKUP(D9373, RECETTES!B:G, 6, FALSE)*E9373)</f>
        <v/>
      </c>
      <c r="J9373" s="8">
        <f>IF(G9373="","",G9373*0.20)</f>
        <v/>
      </c>
      <c r="K9373" s="8">
        <f>IF(G9373="","",G9373+J9373)</f>
        <v/>
      </c>
    </row>
    <row r="9374">
      <c r="F9374" s="8" t="n"/>
      <c r="G9374" s="8">
        <f>IF(E9374="","",E9374*F9374)</f>
        <v/>
      </c>
      <c r="H9374" s="8">
        <f>IF(G9374="","",G9374-I9374)</f>
        <v/>
      </c>
      <c r="I9374" s="8">
        <f>IF(D9374="","",VLOOKUP(D9374, RECETTES!B:G, 6, FALSE)*E9374)</f>
        <v/>
      </c>
      <c r="J9374" s="8">
        <f>IF(G9374="","",G9374*0.20)</f>
        <v/>
      </c>
      <c r="K9374" s="8">
        <f>IF(G9374="","",G9374+J9374)</f>
        <v/>
      </c>
    </row>
    <row r="9375">
      <c r="F9375" s="8" t="n"/>
      <c r="G9375" s="8">
        <f>IF(E9375="","",E9375*F9375)</f>
        <v/>
      </c>
      <c r="H9375" s="8">
        <f>IF(G9375="","",G9375-I9375)</f>
        <v/>
      </c>
      <c r="I9375" s="8">
        <f>IF(D9375="","",VLOOKUP(D9375, RECETTES!B:G, 6, FALSE)*E9375)</f>
        <v/>
      </c>
      <c r="J9375" s="8">
        <f>IF(G9375="","",G9375*0.20)</f>
        <v/>
      </c>
      <c r="K9375" s="8">
        <f>IF(G9375="","",G9375+J9375)</f>
        <v/>
      </c>
    </row>
    <row r="9376">
      <c r="F9376" s="8" t="n"/>
      <c r="G9376" s="8">
        <f>IF(E9376="","",E9376*F9376)</f>
        <v/>
      </c>
      <c r="H9376" s="8">
        <f>IF(G9376="","",G9376-I9376)</f>
        <v/>
      </c>
      <c r="I9376" s="8">
        <f>IF(D9376="","",VLOOKUP(D9376, RECETTES!B:G, 6, FALSE)*E9376)</f>
        <v/>
      </c>
      <c r="J9376" s="8">
        <f>IF(G9376="","",G9376*0.20)</f>
        <v/>
      </c>
      <c r="K9376" s="8">
        <f>IF(G9376="","",G9376+J9376)</f>
        <v/>
      </c>
    </row>
    <row r="9377">
      <c r="F9377" s="8" t="n"/>
      <c r="G9377" s="8">
        <f>IF(E9377="","",E9377*F9377)</f>
        <v/>
      </c>
      <c r="H9377" s="8">
        <f>IF(G9377="","",G9377-I9377)</f>
        <v/>
      </c>
      <c r="I9377" s="8">
        <f>IF(D9377="","",VLOOKUP(D9377, RECETTES!B:G, 6, FALSE)*E9377)</f>
        <v/>
      </c>
      <c r="J9377" s="8">
        <f>IF(G9377="","",G9377*0.20)</f>
        <v/>
      </c>
      <c r="K9377" s="8">
        <f>IF(G9377="","",G9377+J9377)</f>
        <v/>
      </c>
    </row>
    <row r="9378">
      <c r="F9378" s="8" t="n"/>
      <c r="G9378" s="8">
        <f>IF(E9378="","",E9378*F9378)</f>
        <v/>
      </c>
      <c r="H9378" s="8">
        <f>IF(G9378="","",G9378-I9378)</f>
        <v/>
      </c>
      <c r="I9378" s="8">
        <f>IF(D9378="","",VLOOKUP(D9378, RECETTES!B:G, 6, FALSE)*E9378)</f>
        <v/>
      </c>
      <c r="J9378" s="8">
        <f>IF(G9378="","",G9378*0.20)</f>
        <v/>
      </c>
      <c r="K9378" s="8">
        <f>IF(G9378="","",G9378+J9378)</f>
        <v/>
      </c>
    </row>
    <row r="9379">
      <c r="F9379" s="8" t="n"/>
      <c r="G9379" s="8">
        <f>IF(E9379="","",E9379*F9379)</f>
        <v/>
      </c>
      <c r="H9379" s="8">
        <f>IF(G9379="","",G9379-I9379)</f>
        <v/>
      </c>
      <c r="I9379" s="8">
        <f>IF(D9379="","",VLOOKUP(D9379, RECETTES!B:G, 6, FALSE)*E9379)</f>
        <v/>
      </c>
      <c r="J9379" s="8">
        <f>IF(G9379="","",G9379*0.20)</f>
        <v/>
      </c>
      <c r="K9379" s="8">
        <f>IF(G9379="","",G9379+J9379)</f>
        <v/>
      </c>
    </row>
    <row r="9380">
      <c r="F9380" s="8" t="n"/>
      <c r="G9380" s="8">
        <f>IF(E9380="","",E9380*F9380)</f>
        <v/>
      </c>
      <c r="H9380" s="8">
        <f>IF(G9380="","",G9380-I9380)</f>
        <v/>
      </c>
      <c r="I9380" s="8">
        <f>IF(D9380="","",VLOOKUP(D9380, RECETTES!B:G, 6, FALSE)*E9380)</f>
        <v/>
      </c>
      <c r="J9380" s="8">
        <f>IF(G9380="","",G9380*0.20)</f>
        <v/>
      </c>
      <c r="K9380" s="8">
        <f>IF(G9380="","",G9380+J9380)</f>
        <v/>
      </c>
    </row>
    <row r="9381">
      <c r="F9381" s="8" t="n"/>
      <c r="G9381" s="8">
        <f>IF(E9381="","",E9381*F9381)</f>
        <v/>
      </c>
      <c r="H9381" s="8">
        <f>IF(G9381="","",G9381-I9381)</f>
        <v/>
      </c>
      <c r="I9381" s="8">
        <f>IF(D9381="","",VLOOKUP(D9381, RECETTES!B:G, 6, FALSE)*E9381)</f>
        <v/>
      </c>
      <c r="J9381" s="8">
        <f>IF(G9381="","",G9381*0.20)</f>
        <v/>
      </c>
      <c r="K9381" s="8">
        <f>IF(G9381="","",G9381+J9381)</f>
        <v/>
      </c>
    </row>
    <row r="9382">
      <c r="F9382" s="8" t="n"/>
      <c r="G9382" s="8">
        <f>IF(E9382="","",E9382*F9382)</f>
        <v/>
      </c>
      <c r="H9382" s="8">
        <f>IF(G9382="","",G9382-I9382)</f>
        <v/>
      </c>
      <c r="I9382" s="8">
        <f>IF(D9382="","",VLOOKUP(D9382, RECETTES!B:G, 6, FALSE)*E9382)</f>
        <v/>
      </c>
      <c r="J9382" s="8">
        <f>IF(G9382="","",G9382*0.20)</f>
        <v/>
      </c>
      <c r="K9382" s="8">
        <f>IF(G9382="","",G9382+J9382)</f>
        <v/>
      </c>
    </row>
    <row r="9383">
      <c r="F9383" s="8" t="n"/>
      <c r="G9383" s="8">
        <f>IF(E9383="","",E9383*F9383)</f>
        <v/>
      </c>
      <c r="H9383" s="8">
        <f>IF(G9383="","",G9383-I9383)</f>
        <v/>
      </c>
      <c r="I9383" s="8">
        <f>IF(D9383="","",VLOOKUP(D9383, RECETTES!B:G, 6, FALSE)*E9383)</f>
        <v/>
      </c>
      <c r="J9383" s="8">
        <f>IF(G9383="","",G9383*0.20)</f>
        <v/>
      </c>
      <c r="K9383" s="8">
        <f>IF(G9383="","",G9383+J9383)</f>
        <v/>
      </c>
    </row>
    <row r="9384">
      <c r="F9384" s="8" t="n"/>
      <c r="G9384" s="8">
        <f>IF(E9384="","",E9384*F9384)</f>
        <v/>
      </c>
      <c r="H9384" s="8">
        <f>IF(G9384="","",G9384-I9384)</f>
        <v/>
      </c>
      <c r="I9384" s="8">
        <f>IF(D9384="","",VLOOKUP(D9384, RECETTES!B:G, 6, FALSE)*E9384)</f>
        <v/>
      </c>
      <c r="J9384" s="8">
        <f>IF(G9384="","",G9384*0.20)</f>
        <v/>
      </c>
      <c r="K9384" s="8">
        <f>IF(G9384="","",G9384+J9384)</f>
        <v/>
      </c>
    </row>
    <row r="9385">
      <c r="F9385" s="8" t="n"/>
      <c r="G9385" s="8">
        <f>IF(E9385="","",E9385*F9385)</f>
        <v/>
      </c>
      <c r="H9385" s="8">
        <f>IF(G9385="","",G9385-I9385)</f>
        <v/>
      </c>
      <c r="I9385" s="8">
        <f>IF(D9385="","",VLOOKUP(D9385, RECETTES!B:G, 6, FALSE)*E9385)</f>
        <v/>
      </c>
      <c r="J9385" s="8">
        <f>IF(G9385="","",G9385*0.20)</f>
        <v/>
      </c>
      <c r="K9385" s="8">
        <f>IF(G9385="","",G9385+J9385)</f>
        <v/>
      </c>
    </row>
    <row r="9386">
      <c r="F9386" s="8" t="n"/>
      <c r="G9386" s="8">
        <f>IF(E9386="","",E9386*F9386)</f>
        <v/>
      </c>
      <c r="H9386" s="8">
        <f>IF(G9386="","",G9386-I9386)</f>
        <v/>
      </c>
      <c r="I9386" s="8">
        <f>IF(D9386="","",VLOOKUP(D9386, RECETTES!B:G, 6, FALSE)*E9386)</f>
        <v/>
      </c>
      <c r="J9386" s="8">
        <f>IF(G9386="","",G9386*0.20)</f>
        <v/>
      </c>
      <c r="K9386" s="8">
        <f>IF(G9386="","",G9386+J9386)</f>
        <v/>
      </c>
    </row>
    <row r="9387">
      <c r="F9387" s="8" t="n"/>
      <c r="G9387" s="8">
        <f>IF(E9387="","",E9387*F9387)</f>
        <v/>
      </c>
      <c r="H9387" s="8">
        <f>IF(G9387="","",G9387-I9387)</f>
        <v/>
      </c>
      <c r="I9387" s="8">
        <f>IF(D9387="","",VLOOKUP(D9387, RECETTES!B:G, 6, FALSE)*E9387)</f>
        <v/>
      </c>
      <c r="J9387" s="8">
        <f>IF(G9387="","",G9387*0.20)</f>
        <v/>
      </c>
      <c r="K9387" s="8">
        <f>IF(G9387="","",G9387+J9387)</f>
        <v/>
      </c>
    </row>
    <row r="9388">
      <c r="F9388" s="8" t="n"/>
      <c r="G9388" s="8">
        <f>IF(E9388="","",E9388*F9388)</f>
        <v/>
      </c>
      <c r="H9388" s="8">
        <f>IF(G9388="","",G9388-I9388)</f>
        <v/>
      </c>
      <c r="I9388" s="8">
        <f>IF(D9388="","",VLOOKUP(D9388, RECETTES!B:G, 6, FALSE)*E9388)</f>
        <v/>
      </c>
      <c r="J9388" s="8">
        <f>IF(G9388="","",G9388*0.20)</f>
        <v/>
      </c>
      <c r="K9388" s="8">
        <f>IF(G9388="","",G9388+J9388)</f>
        <v/>
      </c>
    </row>
    <row r="9389">
      <c r="F9389" s="8" t="n"/>
      <c r="G9389" s="8">
        <f>IF(E9389="","",E9389*F9389)</f>
        <v/>
      </c>
      <c r="H9389" s="8">
        <f>IF(G9389="","",G9389-I9389)</f>
        <v/>
      </c>
      <c r="I9389" s="8">
        <f>IF(D9389="","",VLOOKUP(D9389, RECETTES!B:G, 6, FALSE)*E9389)</f>
        <v/>
      </c>
      <c r="J9389" s="8">
        <f>IF(G9389="","",G9389*0.20)</f>
        <v/>
      </c>
      <c r="K9389" s="8">
        <f>IF(G9389="","",G9389+J9389)</f>
        <v/>
      </c>
    </row>
    <row r="9390">
      <c r="F9390" s="8" t="n"/>
      <c r="G9390" s="8">
        <f>IF(E9390="","",E9390*F9390)</f>
        <v/>
      </c>
      <c r="H9390" s="8">
        <f>IF(G9390="","",G9390-I9390)</f>
        <v/>
      </c>
      <c r="I9390" s="8">
        <f>IF(D9390="","",VLOOKUP(D9390, RECETTES!B:G, 6, FALSE)*E9390)</f>
        <v/>
      </c>
      <c r="J9390" s="8">
        <f>IF(G9390="","",G9390*0.20)</f>
        <v/>
      </c>
      <c r="K9390" s="8">
        <f>IF(G9390="","",G9390+J9390)</f>
        <v/>
      </c>
    </row>
    <row r="9391">
      <c r="F9391" s="8" t="n"/>
      <c r="G9391" s="8">
        <f>IF(E9391="","",E9391*F9391)</f>
        <v/>
      </c>
      <c r="H9391" s="8">
        <f>IF(G9391="","",G9391-I9391)</f>
        <v/>
      </c>
      <c r="I9391" s="8">
        <f>IF(D9391="","",VLOOKUP(D9391, RECETTES!B:G, 6, FALSE)*E9391)</f>
        <v/>
      </c>
      <c r="J9391" s="8">
        <f>IF(G9391="","",G9391*0.20)</f>
        <v/>
      </c>
      <c r="K9391" s="8">
        <f>IF(G9391="","",G9391+J9391)</f>
        <v/>
      </c>
    </row>
    <row r="9392">
      <c r="F9392" s="8" t="n"/>
      <c r="G9392" s="8">
        <f>IF(E9392="","",E9392*F9392)</f>
        <v/>
      </c>
      <c r="H9392" s="8">
        <f>IF(G9392="","",G9392-I9392)</f>
        <v/>
      </c>
      <c r="I9392" s="8">
        <f>IF(D9392="","",VLOOKUP(D9392, RECETTES!B:G, 6, FALSE)*E9392)</f>
        <v/>
      </c>
      <c r="J9392" s="8">
        <f>IF(G9392="","",G9392*0.20)</f>
        <v/>
      </c>
      <c r="K9392" s="8">
        <f>IF(G9392="","",G9392+J9392)</f>
        <v/>
      </c>
    </row>
    <row r="9393">
      <c r="F9393" s="8" t="n"/>
      <c r="G9393" s="8">
        <f>IF(E9393="","",E9393*F9393)</f>
        <v/>
      </c>
      <c r="H9393" s="8">
        <f>IF(G9393="","",G9393-I9393)</f>
        <v/>
      </c>
      <c r="I9393" s="8">
        <f>IF(D9393="","",VLOOKUP(D9393, RECETTES!B:G, 6, FALSE)*E9393)</f>
        <v/>
      </c>
      <c r="J9393" s="8">
        <f>IF(G9393="","",G9393*0.20)</f>
        <v/>
      </c>
      <c r="K9393" s="8">
        <f>IF(G9393="","",G9393+J9393)</f>
        <v/>
      </c>
    </row>
    <row r="9394">
      <c r="F9394" s="8" t="n"/>
      <c r="G9394" s="8">
        <f>IF(E9394="","",E9394*F9394)</f>
        <v/>
      </c>
      <c r="H9394" s="8">
        <f>IF(G9394="","",G9394-I9394)</f>
        <v/>
      </c>
      <c r="I9394" s="8">
        <f>IF(D9394="","",VLOOKUP(D9394, RECETTES!B:G, 6, FALSE)*E9394)</f>
        <v/>
      </c>
      <c r="J9394" s="8">
        <f>IF(G9394="","",G9394*0.20)</f>
        <v/>
      </c>
      <c r="K9394" s="8">
        <f>IF(G9394="","",G9394+J9394)</f>
        <v/>
      </c>
    </row>
    <row r="9395">
      <c r="F9395" s="8" t="n"/>
      <c r="G9395" s="8">
        <f>IF(E9395="","",E9395*F9395)</f>
        <v/>
      </c>
      <c r="H9395" s="8">
        <f>IF(G9395="","",G9395-I9395)</f>
        <v/>
      </c>
      <c r="I9395" s="8">
        <f>IF(D9395="","",VLOOKUP(D9395, RECETTES!B:G, 6, FALSE)*E9395)</f>
        <v/>
      </c>
      <c r="J9395" s="8">
        <f>IF(G9395="","",G9395*0.20)</f>
        <v/>
      </c>
      <c r="K9395" s="8">
        <f>IF(G9395="","",G9395+J9395)</f>
        <v/>
      </c>
    </row>
    <row r="9396">
      <c r="F9396" s="8" t="n"/>
      <c r="G9396" s="8">
        <f>IF(E9396="","",E9396*F9396)</f>
        <v/>
      </c>
      <c r="H9396" s="8">
        <f>IF(G9396="","",G9396-I9396)</f>
        <v/>
      </c>
      <c r="I9396" s="8">
        <f>IF(D9396="","",VLOOKUP(D9396, RECETTES!B:G, 6, FALSE)*E9396)</f>
        <v/>
      </c>
      <c r="J9396" s="8">
        <f>IF(G9396="","",G9396*0.20)</f>
        <v/>
      </c>
      <c r="K9396" s="8">
        <f>IF(G9396="","",G9396+J9396)</f>
        <v/>
      </c>
    </row>
    <row r="9397">
      <c r="F9397" s="8" t="n"/>
      <c r="G9397" s="8">
        <f>IF(E9397="","",E9397*F9397)</f>
        <v/>
      </c>
      <c r="H9397" s="8">
        <f>IF(G9397="","",G9397-I9397)</f>
        <v/>
      </c>
      <c r="I9397" s="8">
        <f>IF(D9397="","",VLOOKUP(D9397, RECETTES!B:G, 6, FALSE)*E9397)</f>
        <v/>
      </c>
      <c r="J9397" s="8">
        <f>IF(G9397="","",G9397*0.20)</f>
        <v/>
      </c>
      <c r="K9397" s="8">
        <f>IF(G9397="","",G9397+J9397)</f>
        <v/>
      </c>
    </row>
    <row r="9398">
      <c r="F9398" s="8" t="n"/>
      <c r="G9398" s="8">
        <f>IF(E9398="","",E9398*F9398)</f>
        <v/>
      </c>
      <c r="H9398" s="8">
        <f>IF(G9398="","",G9398-I9398)</f>
        <v/>
      </c>
      <c r="I9398" s="8">
        <f>IF(D9398="","",VLOOKUP(D9398, RECETTES!B:G, 6, FALSE)*E9398)</f>
        <v/>
      </c>
      <c r="J9398" s="8">
        <f>IF(G9398="","",G9398*0.20)</f>
        <v/>
      </c>
      <c r="K9398" s="8">
        <f>IF(G9398="","",G9398+J9398)</f>
        <v/>
      </c>
    </row>
    <row r="9399">
      <c r="F9399" s="8" t="n"/>
      <c r="G9399" s="8">
        <f>IF(E9399="","",E9399*F9399)</f>
        <v/>
      </c>
      <c r="H9399" s="8">
        <f>IF(G9399="","",G9399-I9399)</f>
        <v/>
      </c>
      <c r="I9399" s="8">
        <f>IF(D9399="","",VLOOKUP(D9399, RECETTES!B:G, 6, FALSE)*E9399)</f>
        <v/>
      </c>
      <c r="J9399" s="8">
        <f>IF(G9399="","",G9399*0.20)</f>
        <v/>
      </c>
      <c r="K9399" s="8">
        <f>IF(G9399="","",G9399+J9399)</f>
        <v/>
      </c>
    </row>
    <row r="9400">
      <c r="F9400" s="8" t="n"/>
      <c r="G9400" s="8">
        <f>IF(E9400="","",E9400*F9400)</f>
        <v/>
      </c>
      <c r="H9400" s="8">
        <f>IF(G9400="","",G9400-I9400)</f>
        <v/>
      </c>
      <c r="I9400" s="8">
        <f>IF(D9400="","",VLOOKUP(D9400, RECETTES!B:G, 6, FALSE)*E9400)</f>
        <v/>
      </c>
      <c r="J9400" s="8">
        <f>IF(G9400="","",G9400*0.20)</f>
        <v/>
      </c>
      <c r="K9400" s="8">
        <f>IF(G9400="","",G9400+J9400)</f>
        <v/>
      </c>
    </row>
    <row r="9401">
      <c r="F9401" s="8" t="n"/>
      <c r="G9401" s="8">
        <f>IF(E9401="","",E9401*F9401)</f>
        <v/>
      </c>
      <c r="H9401" s="8">
        <f>IF(G9401="","",G9401-I9401)</f>
        <v/>
      </c>
      <c r="I9401" s="8">
        <f>IF(D9401="","",VLOOKUP(D9401, RECETTES!B:G, 6, FALSE)*E9401)</f>
        <v/>
      </c>
      <c r="J9401" s="8">
        <f>IF(G9401="","",G9401*0.20)</f>
        <v/>
      </c>
      <c r="K9401" s="8">
        <f>IF(G9401="","",G9401+J9401)</f>
        <v/>
      </c>
    </row>
    <row r="9402">
      <c r="F9402" s="8" t="n"/>
      <c r="G9402" s="8">
        <f>IF(E9402="","",E9402*F9402)</f>
        <v/>
      </c>
      <c r="H9402" s="8">
        <f>IF(G9402="","",G9402-I9402)</f>
        <v/>
      </c>
      <c r="I9402" s="8">
        <f>IF(D9402="","",VLOOKUP(D9402, RECETTES!B:G, 6, FALSE)*E9402)</f>
        <v/>
      </c>
      <c r="J9402" s="8">
        <f>IF(G9402="","",G9402*0.20)</f>
        <v/>
      </c>
      <c r="K9402" s="8">
        <f>IF(G9402="","",G9402+J9402)</f>
        <v/>
      </c>
    </row>
    <row r="9403">
      <c r="F9403" s="8" t="n"/>
      <c r="G9403" s="8">
        <f>IF(E9403="","",E9403*F9403)</f>
        <v/>
      </c>
      <c r="H9403" s="8">
        <f>IF(G9403="","",G9403-I9403)</f>
        <v/>
      </c>
      <c r="I9403" s="8">
        <f>IF(D9403="","",VLOOKUP(D9403, RECETTES!B:G, 6, FALSE)*E9403)</f>
        <v/>
      </c>
      <c r="J9403" s="8">
        <f>IF(G9403="","",G9403*0.20)</f>
        <v/>
      </c>
      <c r="K9403" s="8">
        <f>IF(G9403="","",G9403+J9403)</f>
        <v/>
      </c>
    </row>
    <row r="9404">
      <c r="F9404" s="8" t="n"/>
      <c r="G9404" s="8">
        <f>IF(E9404="","",E9404*F9404)</f>
        <v/>
      </c>
      <c r="H9404" s="8">
        <f>IF(G9404="","",G9404-I9404)</f>
        <v/>
      </c>
      <c r="I9404" s="8">
        <f>IF(D9404="","",VLOOKUP(D9404, RECETTES!B:G, 6, FALSE)*E9404)</f>
        <v/>
      </c>
      <c r="J9404" s="8">
        <f>IF(G9404="","",G9404*0.20)</f>
        <v/>
      </c>
      <c r="K9404" s="8">
        <f>IF(G9404="","",G9404+J9404)</f>
        <v/>
      </c>
    </row>
    <row r="9405">
      <c r="F9405" s="8" t="n"/>
      <c r="G9405" s="8">
        <f>IF(E9405="","",E9405*F9405)</f>
        <v/>
      </c>
      <c r="H9405" s="8">
        <f>IF(G9405="","",G9405-I9405)</f>
        <v/>
      </c>
      <c r="I9405" s="8">
        <f>IF(D9405="","",VLOOKUP(D9405, RECETTES!B:G, 6, FALSE)*E9405)</f>
        <v/>
      </c>
      <c r="J9405" s="8">
        <f>IF(G9405="","",G9405*0.20)</f>
        <v/>
      </c>
      <c r="K9405" s="8">
        <f>IF(G9405="","",G9405+J9405)</f>
        <v/>
      </c>
    </row>
    <row r="9406">
      <c r="F9406" s="8" t="n"/>
      <c r="G9406" s="8">
        <f>IF(E9406="","",E9406*F9406)</f>
        <v/>
      </c>
      <c r="H9406" s="8">
        <f>IF(G9406="","",G9406-I9406)</f>
        <v/>
      </c>
      <c r="I9406" s="8">
        <f>IF(D9406="","",VLOOKUP(D9406, RECETTES!B:G, 6, FALSE)*E9406)</f>
        <v/>
      </c>
      <c r="J9406" s="8">
        <f>IF(G9406="","",G9406*0.20)</f>
        <v/>
      </c>
      <c r="K9406" s="8">
        <f>IF(G9406="","",G9406+J9406)</f>
        <v/>
      </c>
    </row>
    <row r="9407">
      <c r="F9407" s="8" t="n"/>
      <c r="G9407" s="8">
        <f>IF(E9407="","",E9407*F9407)</f>
        <v/>
      </c>
      <c r="H9407" s="8">
        <f>IF(G9407="","",G9407-I9407)</f>
        <v/>
      </c>
      <c r="I9407" s="8">
        <f>IF(D9407="","",VLOOKUP(D9407, RECETTES!B:G, 6, FALSE)*E9407)</f>
        <v/>
      </c>
      <c r="J9407" s="8">
        <f>IF(G9407="","",G9407*0.20)</f>
        <v/>
      </c>
      <c r="K9407" s="8">
        <f>IF(G9407="","",G9407+J9407)</f>
        <v/>
      </c>
    </row>
    <row r="9408">
      <c r="F9408" s="8" t="n"/>
      <c r="G9408" s="8">
        <f>IF(E9408="","",E9408*F9408)</f>
        <v/>
      </c>
      <c r="H9408" s="8">
        <f>IF(G9408="","",G9408-I9408)</f>
        <v/>
      </c>
      <c r="I9408" s="8">
        <f>IF(D9408="","",VLOOKUP(D9408, RECETTES!B:G, 6, FALSE)*E9408)</f>
        <v/>
      </c>
      <c r="J9408" s="8">
        <f>IF(G9408="","",G9408*0.20)</f>
        <v/>
      </c>
      <c r="K9408" s="8">
        <f>IF(G9408="","",G9408+J9408)</f>
        <v/>
      </c>
    </row>
    <row r="9409">
      <c r="F9409" s="8" t="n"/>
      <c r="G9409" s="8">
        <f>IF(E9409="","",E9409*F9409)</f>
        <v/>
      </c>
      <c r="H9409" s="8">
        <f>IF(G9409="","",G9409-I9409)</f>
        <v/>
      </c>
      <c r="I9409" s="8">
        <f>IF(D9409="","",VLOOKUP(D9409, RECETTES!B:G, 6, FALSE)*E9409)</f>
        <v/>
      </c>
      <c r="J9409" s="8">
        <f>IF(G9409="","",G9409*0.20)</f>
        <v/>
      </c>
      <c r="K9409" s="8">
        <f>IF(G9409="","",G9409+J9409)</f>
        <v/>
      </c>
    </row>
    <row r="9410">
      <c r="F9410" s="8" t="n"/>
      <c r="G9410" s="8">
        <f>IF(E9410="","",E9410*F9410)</f>
        <v/>
      </c>
      <c r="H9410" s="8">
        <f>IF(G9410="","",G9410-I9410)</f>
        <v/>
      </c>
      <c r="I9410" s="8">
        <f>IF(D9410="","",VLOOKUP(D9410, RECETTES!B:G, 6, FALSE)*E9410)</f>
        <v/>
      </c>
      <c r="J9410" s="8">
        <f>IF(G9410="","",G9410*0.20)</f>
        <v/>
      </c>
      <c r="K9410" s="8">
        <f>IF(G9410="","",G9410+J9410)</f>
        <v/>
      </c>
    </row>
    <row r="9411">
      <c r="F9411" s="8" t="n"/>
      <c r="G9411" s="8">
        <f>IF(E9411="","",E9411*F9411)</f>
        <v/>
      </c>
      <c r="H9411" s="8">
        <f>IF(G9411="","",G9411-I9411)</f>
        <v/>
      </c>
      <c r="I9411" s="8">
        <f>IF(D9411="","",VLOOKUP(D9411, RECETTES!B:G, 6, FALSE)*E9411)</f>
        <v/>
      </c>
      <c r="J9411" s="8">
        <f>IF(G9411="","",G9411*0.20)</f>
        <v/>
      </c>
      <c r="K9411" s="8">
        <f>IF(G9411="","",G9411+J9411)</f>
        <v/>
      </c>
    </row>
    <row r="9412">
      <c r="F9412" s="8" t="n"/>
      <c r="G9412" s="8">
        <f>IF(E9412="","",E9412*F9412)</f>
        <v/>
      </c>
      <c r="H9412" s="8">
        <f>IF(G9412="","",G9412-I9412)</f>
        <v/>
      </c>
      <c r="I9412" s="8">
        <f>IF(D9412="","",VLOOKUP(D9412, RECETTES!B:G, 6, FALSE)*E9412)</f>
        <v/>
      </c>
      <c r="J9412" s="8">
        <f>IF(G9412="","",G9412*0.20)</f>
        <v/>
      </c>
      <c r="K9412" s="8">
        <f>IF(G9412="","",G9412+J9412)</f>
        <v/>
      </c>
    </row>
    <row r="9413">
      <c r="F9413" s="8" t="n"/>
      <c r="G9413" s="8">
        <f>IF(E9413="","",E9413*F9413)</f>
        <v/>
      </c>
      <c r="H9413" s="8">
        <f>IF(G9413="","",G9413-I9413)</f>
        <v/>
      </c>
      <c r="I9413" s="8">
        <f>IF(D9413="","",VLOOKUP(D9413, RECETTES!B:G, 6, FALSE)*E9413)</f>
        <v/>
      </c>
      <c r="J9413" s="8">
        <f>IF(G9413="","",G9413*0.20)</f>
        <v/>
      </c>
      <c r="K9413" s="8">
        <f>IF(G9413="","",G9413+J9413)</f>
        <v/>
      </c>
    </row>
    <row r="9414">
      <c r="F9414" s="8" t="n"/>
      <c r="G9414" s="8">
        <f>IF(E9414="","",E9414*F9414)</f>
        <v/>
      </c>
      <c r="H9414" s="8">
        <f>IF(G9414="","",G9414-I9414)</f>
        <v/>
      </c>
      <c r="I9414" s="8">
        <f>IF(D9414="","",VLOOKUP(D9414, RECETTES!B:G, 6, FALSE)*E9414)</f>
        <v/>
      </c>
      <c r="J9414" s="8">
        <f>IF(G9414="","",G9414*0.20)</f>
        <v/>
      </c>
      <c r="K9414" s="8">
        <f>IF(G9414="","",G9414+J9414)</f>
        <v/>
      </c>
    </row>
    <row r="9415">
      <c r="F9415" s="8" t="n"/>
      <c r="G9415" s="8">
        <f>IF(E9415="","",E9415*F9415)</f>
        <v/>
      </c>
      <c r="H9415" s="8">
        <f>IF(G9415="","",G9415-I9415)</f>
        <v/>
      </c>
      <c r="I9415" s="8">
        <f>IF(D9415="","",VLOOKUP(D9415, RECETTES!B:G, 6, FALSE)*E9415)</f>
        <v/>
      </c>
      <c r="J9415" s="8">
        <f>IF(G9415="","",G9415*0.20)</f>
        <v/>
      </c>
      <c r="K9415" s="8">
        <f>IF(G9415="","",G9415+J9415)</f>
        <v/>
      </c>
    </row>
    <row r="9416">
      <c r="F9416" s="8" t="n"/>
      <c r="G9416" s="8">
        <f>IF(E9416="","",E9416*F9416)</f>
        <v/>
      </c>
      <c r="H9416" s="8">
        <f>IF(G9416="","",G9416-I9416)</f>
        <v/>
      </c>
      <c r="I9416" s="8">
        <f>IF(D9416="","",VLOOKUP(D9416, RECETTES!B:G, 6, FALSE)*E9416)</f>
        <v/>
      </c>
      <c r="J9416" s="8">
        <f>IF(G9416="","",G9416*0.20)</f>
        <v/>
      </c>
      <c r="K9416" s="8">
        <f>IF(G9416="","",G9416+J9416)</f>
        <v/>
      </c>
    </row>
    <row r="9417">
      <c r="F9417" s="8" t="n"/>
      <c r="G9417" s="8">
        <f>IF(E9417="","",E9417*F9417)</f>
        <v/>
      </c>
      <c r="H9417" s="8">
        <f>IF(G9417="","",G9417-I9417)</f>
        <v/>
      </c>
      <c r="I9417" s="8">
        <f>IF(D9417="","",VLOOKUP(D9417, RECETTES!B:G, 6, FALSE)*E9417)</f>
        <v/>
      </c>
      <c r="J9417" s="8">
        <f>IF(G9417="","",G9417*0.20)</f>
        <v/>
      </c>
      <c r="K9417" s="8">
        <f>IF(G9417="","",G9417+J9417)</f>
        <v/>
      </c>
    </row>
    <row r="9418">
      <c r="F9418" s="8" t="n"/>
      <c r="G9418" s="8">
        <f>IF(E9418="","",E9418*F9418)</f>
        <v/>
      </c>
      <c r="H9418" s="8">
        <f>IF(G9418="","",G9418-I9418)</f>
        <v/>
      </c>
      <c r="I9418" s="8">
        <f>IF(D9418="","",VLOOKUP(D9418, RECETTES!B:G, 6, FALSE)*E9418)</f>
        <v/>
      </c>
      <c r="J9418" s="8">
        <f>IF(G9418="","",G9418*0.20)</f>
        <v/>
      </c>
      <c r="K9418" s="8">
        <f>IF(G9418="","",G9418+J9418)</f>
        <v/>
      </c>
    </row>
    <row r="9419">
      <c r="F9419" s="8" t="n"/>
      <c r="G9419" s="8">
        <f>IF(E9419="","",E9419*F9419)</f>
        <v/>
      </c>
      <c r="H9419" s="8">
        <f>IF(G9419="","",G9419-I9419)</f>
        <v/>
      </c>
      <c r="I9419" s="8">
        <f>IF(D9419="","",VLOOKUP(D9419, RECETTES!B:G, 6, FALSE)*E9419)</f>
        <v/>
      </c>
      <c r="J9419" s="8">
        <f>IF(G9419="","",G9419*0.20)</f>
        <v/>
      </c>
      <c r="K9419" s="8">
        <f>IF(G9419="","",G9419+J9419)</f>
        <v/>
      </c>
    </row>
    <row r="9420">
      <c r="F9420" s="8" t="n"/>
      <c r="G9420" s="8">
        <f>IF(E9420="","",E9420*F9420)</f>
        <v/>
      </c>
      <c r="H9420" s="8">
        <f>IF(G9420="","",G9420-I9420)</f>
        <v/>
      </c>
      <c r="I9420" s="8">
        <f>IF(D9420="","",VLOOKUP(D9420, RECETTES!B:G, 6, FALSE)*E9420)</f>
        <v/>
      </c>
      <c r="J9420" s="8">
        <f>IF(G9420="","",G9420*0.20)</f>
        <v/>
      </c>
      <c r="K9420" s="8">
        <f>IF(G9420="","",G9420+J9420)</f>
        <v/>
      </c>
    </row>
    <row r="9421">
      <c r="F9421" s="8" t="n"/>
      <c r="G9421" s="8">
        <f>IF(E9421="","",E9421*F9421)</f>
        <v/>
      </c>
      <c r="H9421" s="8">
        <f>IF(G9421="","",G9421-I9421)</f>
        <v/>
      </c>
      <c r="I9421" s="8">
        <f>IF(D9421="","",VLOOKUP(D9421, RECETTES!B:G, 6, FALSE)*E9421)</f>
        <v/>
      </c>
      <c r="J9421" s="8">
        <f>IF(G9421="","",G9421*0.20)</f>
        <v/>
      </c>
      <c r="K9421" s="8">
        <f>IF(G9421="","",G9421+J9421)</f>
        <v/>
      </c>
    </row>
    <row r="9422">
      <c r="F9422" s="8" t="n"/>
      <c r="G9422" s="8">
        <f>IF(E9422="","",E9422*F9422)</f>
        <v/>
      </c>
      <c r="H9422" s="8">
        <f>IF(G9422="","",G9422-I9422)</f>
        <v/>
      </c>
      <c r="I9422" s="8">
        <f>IF(D9422="","",VLOOKUP(D9422, RECETTES!B:G, 6, FALSE)*E9422)</f>
        <v/>
      </c>
      <c r="J9422" s="8">
        <f>IF(G9422="","",G9422*0.20)</f>
        <v/>
      </c>
      <c r="K9422" s="8">
        <f>IF(G9422="","",G9422+J9422)</f>
        <v/>
      </c>
    </row>
    <row r="9423">
      <c r="F9423" s="8" t="n"/>
      <c r="G9423" s="8">
        <f>IF(E9423="","",E9423*F9423)</f>
        <v/>
      </c>
      <c r="H9423" s="8">
        <f>IF(G9423="","",G9423-I9423)</f>
        <v/>
      </c>
      <c r="I9423" s="8">
        <f>IF(D9423="","",VLOOKUP(D9423, RECETTES!B:G, 6, FALSE)*E9423)</f>
        <v/>
      </c>
      <c r="J9423" s="8">
        <f>IF(G9423="","",G9423*0.20)</f>
        <v/>
      </c>
      <c r="K9423" s="8">
        <f>IF(G9423="","",G9423+J9423)</f>
        <v/>
      </c>
    </row>
    <row r="9424">
      <c r="F9424" s="8" t="n"/>
      <c r="G9424" s="8">
        <f>IF(E9424="","",E9424*F9424)</f>
        <v/>
      </c>
      <c r="H9424" s="8">
        <f>IF(G9424="","",G9424-I9424)</f>
        <v/>
      </c>
      <c r="I9424" s="8">
        <f>IF(D9424="","",VLOOKUP(D9424, RECETTES!B:G, 6, FALSE)*E9424)</f>
        <v/>
      </c>
      <c r="J9424" s="8">
        <f>IF(G9424="","",G9424*0.20)</f>
        <v/>
      </c>
      <c r="K9424" s="8">
        <f>IF(G9424="","",G9424+J9424)</f>
        <v/>
      </c>
    </row>
    <row r="9425">
      <c r="F9425" s="8" t="n"/>
      <c r="G9425" s="8">
        <f>IF(E9425="","",E9425*F9425)</f>
        <v/>
      </c>
      <c r="H9425" s="8">
        <f>IF(G9425="","",G9425-I9425)</f>
        <v/>
      </c>
      <c r="I9425" s="8">
        <f>IF(D9425="","",VLOOKUP(D9425, RECETTES!B:G, 6, FALSE)*E9425)</f>
        <v/>
      </c>
      <c r="J9425" s="8">
        <f>IF(G9425="","",G9425*0.20)</f>
        <v/>
      </c>
      <c r="K9425" s="8">
        <f>IF(G9425="","",G9425+J9425)</f>
        <v/>
      </c>
    </row>
    <row r="9426">
      <c r="F9426" s="8" t="n"/>
      <c r="G9426" s="8">
        <f>IF(E9426="","",E9426*F9426)</f>
        <v/>
      </c>
      <c r="H9426" s="8">
        <f>IF(G9426="","",G9426-I9426)</f>
        <v/>
      </c>
      <c r="I9426" s="8">
        <f>IF(D9426="","",VLOOKUP(D9426, RECETTES!B:G, 6, FALSE)*E9426)</f>
        <v/>
      </c>
      <c r="J9426" s="8">
        <f>IF(G9426="","",G9426*0.20)</f>
        <v/>
      </c>
      <c r="K9426" s="8">
        <f>IF(G9426="","",G9426+J9426)</f>
        <v/>
      </c>
    </row>
    <row r="9427">
      <c r="F9427" s="8" t="n"/>
      <c r="G9427" s="8">
        <f>IF(E9427="","",E9427*F9427)</f>
        <v/>
      </c>
      <c r="H9427" s="8">
        <f>IF(G9427="","",G9427-I9427)</f>
        <v/>
      </c>
      <c r="I9427" s="8">
        <f>IF(D9427="","",VLOOKUP(D9427, RECETTES!B:G, 6, FALSE)*E9427)</f>
        <v/>
      </c>
      <c r="J9427" s="8">
        <f>IF(G9427="","",G9427*0.20)</f>
        <v/>
      </c>
      <c r="K9427" s="8">
        <f>IF(G9427="","",G9427+J9427)</f>
        <v/>
      </c>
    </row>
    <row r="9428">
      <c r="F9428" s="8" t="n"/>
      <c r="G9428" s="8">
        <f>IF(E9428="","",E9428*F9428)</f>
        <v/>
      </c>
      <c r="H9428" s="8">
        <f>IF(G9428="","",G9428-I9428)</f>
        <v/>
      </c>
      <c r="I9428" s="8">
        <f>IF(D9428="","",VLOOKUP(D9428, RECETTES!B:G, 6, FALSE)*E9428)</f>
        <v/>
      </c>
      <c r="J9428" s="8">
        <f>IF(G9428="","",G9428*0.20)</f>
        <v/>
      </c>
      <c r="K9428" s="8">
        <f>IF(G9428="","",G9428+J9428)</f>
        <v/>
      </c>
    </row>
    <row r="9429">
      <c r="F9429" s="8" t="n"/>
      <c r="G9429" s="8">
        <f>IF(E9429="","",E9429*F9429)</f>
        <v/>
      </c>
      <c r="H9429" s="8">
        <f>IF(G9429="","",G9429-I9429)</f>
        <v/>
      </c>
      <c r="I9429" s="8">
        <f>IF(D9429="","",VLOOKUP(D9429, RECETTES!B:G, 6, FALSE)*E9429)</f>
        <v/>
      </c>
      <c r="J9429" s="8">
        <f>IF(G9429="","",G9429*0.20)</f>
        <v/>
      </c>
      <c r="K9429" s="8">
        <f>IF(G9429="","",G9429+J9429)</f>
        <v/>
      </c>
    </row>
    <row r="9430">
      <c r="F9430" s="8" t="n"/>
      <c r="G9430" s="8">
        <f>IF(E9430="","",E9430*F9430)</f>
        <v/>
      </c>
      <c r="H9430" s="8">
        <f>IF(G9430="","",G9430-I9430)</f>
        <v/>
      </c>
      <c r="I9430" s="8">
        <f>IF(D9430="","",VLOOKUP(D9430, RECETTES!B:G, 6, FALSE)*E9430)</f>
        <v/>
      </c>
      <c r="J9430" s="8">
        <f>IF(G9430="","",G9430*0.20)</f>
        <v/>
      </c>
      <c r="K9430" s="8">
        <f>IF(G9430="","",G9430+J9430)</f>
        <v/>
      </c>
    </row>
    <row r="9431">
      <c r="F9431" s="8" t="n"/>
      <c r="G9431" s="8">
        <f>IF(E9431="","",E9431*F9431)</f>
        <v/>
      </c>
      <c r="H9431" s="8">
        <f>IF(G9431="","",G9431-I9431)</f>
        <v/>
      </c>
      <c r="I9431" s="8">
        <f>IF(D9431="","",VLOOKUP(D9431, RECETTES!B:G, 6, FALSE)*E9431)</f>
        <v/>
      </c>
      <c r="J9431" s="8">
        <f>IF(G9431="","",G9431*0.20)</f>
        <v/>
      </c>
      <c r="K9431" s="8">
        <f>IF(G9431="","",G9431+J9431)</f>
        <v/>
      </c>
    </row>
    <row r="9432">
      <c r="F9432" s="8" t="n"/>
      <c r="G9432" s="8">
        <f>IF(E9432="","",E9432*F9432)</f>
        <v/>
      </c>
      <c r="H9432" s="8">
        <f>IF(G9432="","",G9432-I9432)</f>
        <v/>
      </c>
      <c r="I9432" s="8">
        <f>IF(D9432="","",VLOOKUP(D9432, RECETTES!B:G, 6, FALSE)*E9432)</f>
        <v/>
      </c>
      <c r="J9432" s="8">
        <f>IF(G9432="","",G9432*0.20)</f>
        <v/>
      </c>
      <c r="K9432" s="8">
        <f>IF(G9432="","",G9432+J9432)</f>
        <v/>
      </c>
    </row>
    <row r="9433">
      <c r="F9433" s="8" t="n"/>
      <c r="G9433" s="8">
        <f>IF(E9433="","",E9433*F9433)</f>
        <v/>
      </c>
      <c r="H9433" s="8">
        <f>IF(G9433="","",G9433-I9433)</f>
        <v/>
      </c>
      <c r="I9433" s="8">
        <f>IF(D9433="","",VLOOKUP(D9433, RECETTES!B:G, 6, FALSE)*E9433)</f>
        <v/>
      </c>
      <c r="J9433" s="8">
        <f>IF(G9433="","",G9433*0.20)</f>
        <v/>
      </c>
      <c r="K9433" s="8">
        <f>IF(G9433="","",G9433+J9433)</f>
        <v/>
      </c>
    </row>
    <row r="9434">
      <c r="F9434" s="8" t="n"/>
      <c r="G9434" s="8">
        <f>IF(E9434="","",E9434*F9434)</f>
        <v/>
      </c>
      <c r="H9434" s="8">
        <f>IF(G9434="","",G9434-I9434)</f>
        <v/>
      </c>
      <c r="I9434" s="8">
        <f>IF(D9434="","",VLOOKUP(D9434, RECETTES!B:G, 6, FALSE)*E9434)</f>
        <v/>
      </c>
      <c r="J9434" s="8">
        <f>IF(G9434="","",G9434*0.20)</f>
        <v/>
      </c>
      <c r="K9434" s="8">
        <f>IF(G9434="","",G9434+J9434)</f>
        <v/>
      </c>
    </row>
    <row r="9435">
      <c r="F9435" s="8" t="n"/>
      <c r="G9435" s="8">
        <f>IF(E9435="","",E9435*F9435)</f>
        <v/>
      </c>
      <c r="H9435" s="8">
        <f>IF(G9435="","",G9435-I9435)</f>
        <v/>
      </c>
      <c r="I9435" s="8">
        <f>IF(D9435="","",VLOOKUP(D9435, RECETTES!B:G, 6, FALSE)*E9435)</f>
        <v/>
      </c>
      <c r="J9435" s="8">
        <f>IF(G9435="","",G9435*0.20)</f>
        <v/>
      </c>
      <c r="K9435" s="8">
        <f>IF(G9435="","",G9435+J9435)</f>
        <v/>
      </c>
    </row>
    <row r="9436">
      <c r="F9436" s="8" t="n"/>
      <c r="G9436" s="8">
        <f>IF(E9436="","",E9436*F9436)</f>
        <v/>
      </c>
      <c r="H9436" s="8">
        <f>IF(G9436="","",G9436-I9436)</f>
        <v/>
      </c>
      <c r="I9436" s="8">
        <f>IF(D9436="","",VLOOKUP(D9436, RECETTES!B:G, 6, FALSE)*E9436)</f>
        <v/>
      </c>
      <c r="J9436" s="8">
        <f>IF(G9436="","",G9436*0.20)</f>
        <v/>
      </c>
      <c r="K9436" s="8">
        <f>IF(G9436="","",G9436+J9436)</f>
        <v/>
      </c>
    </row>
    <row r="9437">
      <c r="F9437" s="8" t="n"/>
      <c r="G9437" s="8">
        <f>IF(E9437="","",E9437*F9437)</f>
        <v/>
      </c>
      <c r="H9437" s="8">
        <f>IF(G9437="","",G9437-I9437)</f>
        <v/>
      </c>
      <c r="I9437" s="8">
        <f>IF(D9437="","",VLOOKUP(D9437, RECETTES!B:G, 6, FALSE)*E9437)</f>
        <v/>
      </c>
      <c r="J9437" s="8">
        <f>IF(G9437="","",G9437*0.20)</f>
        <v/>
      </c>
      <c r="K9437" s="8">
        <f>IF(G9437="","",G9437+J9437)</f>
        <v/>
      </c>
    </row>
    <row r="9438">
      <c r="F9438" s="8" t="n"/>
      <c r="G9438" s="8">
        <f>IF(E9438="","",E9438*F9438)</f>
        <v/>
      </c>
      <c r="H9438" s="8">
        <f>IF(G9438="","",G9438-I9438)</f>
        <v/>
      </c>
      <c r="I9438" s="8">
        <f>IF(D9438="","",VLOOKUP(D9438, RECETTES!B:G, 6, FALSE)*E9438)</f>
        <v/>
      </c>
      <c r="J9438" s="8">
        <f>IF(G9438="","",G9438*0.20)</f>
        <v/>
      </c>
      <c r="K9438" s="8">
        <f>IF(G9438="","",G9438+J9438)</f>
        <v/>
      </c>
    </row>
    <row r="9439">
      <c r="F9439" s="8" t="n"/>
      <c r="G9439" s="8">
        <f>IF(E9439="","",E9439*F9439)</f>
        <v/>
      </c>
      <c r="H9439" s="8">
        <f>IF(G9439="","",G9439-I9439)</f>
        <v/>
      </c>
      <c r="I9439" s="8">
        <f>IF(D9439="","",VLOOKUP(D9439, RECETTES!B:G, 6, FALSE)*E9439)</f>
        <v/>
      </c>
      <c r="J9439" s="8">
        <f>IF(G9439="","",G9439*0.20)</f>
        <v/>
      </c>
      <c r="K9439" s="8">
        <f>IF(G9439="","",G9439+J9439)</f>
        <v/>
      </c>
    </row>
    <row r="9440">
      <c r="F9440" s="8" t="n"/>
      <c r="G9440" s="8">
        <f>IF(E9440="","",E9440*F9440)</f>
        <v/>
      </c>
      <c r="H9440" s="8">
        <f>IF(G9440="","",G9440-I9440)</f>
        <v/>
      </c>
      <c r="I9440" s="8">
        <f>IF(D9440="","",VLOOKUP(D9440, RECETTES!B:G, 6, FALSE)*E9440)</f>
        <v/>
      </c>
      <c r="J9440" s="8">
        <f>IF(G9440="","",G9440*0.20)</f>
        <v/>
      </c>
      <c r="K9440" s="8">
        <f>IF(G9440="","",G9440+J9440)</f>
        <v/>
      </c>
    </row>
    <row r="9441">
      <c r="F9441" s="8" t="n"/>
      <c r="G9441" s="8">
        <f>IF(E9441="","",E9441*F9441)</f>
        <v/>
      </c>
      <c r="H9441" s="8">
        <f>IF(G9441="","",G9441-I9441)</f>
        <v/>
      </c>
      <c r="I9441" s="8">
        <f>IF(D9441="","",VLOOKUP(D9441, RECETTES!B:G, 6, FALSE)*E9441)</f>
        <v/>
      </c>
      <c r="J9441" s="8">
        <f>IF(G9441="","",G9441*0.20)</f>
        <v/>
      </c>
      <c r="K9441" s="8">
        <f>IF(G9441="","",G9441+J9441)</f>
        <v/>
      </c>
    </row>
    <row r="9442">
      <c r="F9442" s="8" t="n"/>
      <c r="G9442" s="8">
        <f>IF(E9442="","",E9442*F9442)</f>
        <v/>
      </c>
      <c r="H9442" s="8">
        <f>IF(G9442="","",G9442-I9442)</f>
        <v/>
      </c>
      <c r="I9442" s="8">
        <f>IF(D9442="","",VLOOKUP(D9442, RECETTES!B:G, 6, FALSE)*E9442)</f>
        <v/>
      </c>
      <c r="J9442" s="8">
        <f>IF(G9442="","",G9442*0.20)</f>
        <v/>
      </c>
      <c r="K9442" s="8">
        <f>IF(G9442="","",G9442+J9442)</f>
        <v/>
      </c>
    </row>
    <row r="9443">
      <c r="F9443" s="8" t="n"/>
      <c r="G9443" s="8">
        <f>IF(E9443="","",E9443*F9443)</f>
        <v/>
      </c>
      <c r="H9443" s="8">
        <f>IF(G9443="","",G9443-I9443)</f>
        <v/>
      </c>
      <c r="I9443" s="8">
        <f>IF(D9443="","",VLOOKUP(D9443, RECETTES!B:G, 6, FALSE)*E9443)</f>
        <v/>
      </c>
      <c r="J9443" s="8">
        <f>IF(G9443="","",G9443*0.20)</f>
        <v/>
      </c>
      <c r="K9443" s="8">
        <f>IF(G9443="","",G9443+J9443)</f>
        <v/>
      </c>
    </row>
    <row r="9444">
      <c r="F9444" s="8" t="n"/>
      <c r="G9444" s="8">
        <f>IF(E9444="","",E9444*F9444)</f>
        <v/>
      </c>
      <c r="H9444" s="8">
        <f>IF(G9444="","",G9444-I9444)</f>
        <v/>
      </c>
      <c r="I9444" s="8">
        <f>IF(D9444="","",VLOOKUP(D9444, RECETTES!B:G, 6, FALSE)*E9444)</f>
        <v/>
      </c>
      <c r="J9444" s="8">
        <f>IF(G9444="","",G9444*0.20)</f>
        <v/>
      </c>
      <c r="K9444" s="8">
        <f>IF(G9444="","",G9444+J9444)</f>
        <v/>
      </c>
    </row>
    <row r="9445">
      <c r="F9445" s="8" t="n"/>
      <c r="G9445" s="8">
        <f>IF(E9445="","",E9445*F9445)</f>
        <v/>
      </c>
      <c r="H9445" s="8">
        <f>IF(G9445="","",G9445-I9445)</f>
        <v/>
      </c>
      <c r="I9445" s="8">
        <f>IF(D9445="","",VLOOKUP(D9445, RECETTES!B:G, 6, FALSE)*E9445)</f>
        <v/>
      </c>
      <c r="J9445" s="8">
        <f>IF(G9445="","",G9445*0.20)</f>
        <v/>
      </c>
      <c r="K9445" s="8">
        <f>IF(G9445="","",G9445+J9445)</f>
        <v/>
      </c>
    </row>
    <row r="9446">
      <c r="F9446" s="8" t="n"/>
      <c r="G9446" s="8">
        <f>IF(E9446="","",E9446*F9446)</f>
        <v/>
      </c>
      <c r="H9446" s="8">
        <f>IF(G9446="","",G9446-I9446)</f>
        <v/>
      </c>
      <c r="I9446" s="8">
        <f>IF(D9446="","",VLOOKUP(D9446, RECETTES!B:G, 6, FALSE)*E9446)</f>
        <v/>
      </c>
      <c r="J9446" s="8">
        <f>IF(G9446="","",G9446*0.20)</f>
        <v/>
      </c>
      <c r="K9446" s="8">
        <f>IF(G9446="","",G9446+J9446)</f>
        <v/>
      </c>
    </row>
    <row r="9447">
      <c r="F9447" s="8" t="n"/>
      <c r="G9447" s="8">
        <f>IF(E9447="","",E9447*F9447)</f>
        <v/>
      </c>
      <c r="H9447" s="8">
        <f>IF(G9447="","",G9447-I9447)</f>
        <v/>
      </c>
      <c r="I9447" s="8">
        <f>IF(D9447="","",VLOOKUP(D9447, RECETTES!B:G, 6, FALSE)*E9447)</f>
        <v/>
      </c>
      <c r="J9447" s="8">
        <f>IF(G9447="","",G9447*0.20)</f>
        <v/>
      </c>
      <c r="K9447" s="8">
        <f>IF(G9447="","",G9447+J9447)</f>
        <v/>
      </c>
    </row>
    <row r="9448">
      <c r="F9448" s="8" t="n"/>
      <c r="G9448" s="8">
        <f>IF(E9448="","",E9448*F9448)</f>
        <v/>
      </c>
      <c r="H9448" s="8">
        <f>IF(G9448="","",G9448-I9448)</f>
        <v/>
      </c>
      <c r="I9448" s="8">
        <f>IF(D9448="","",VLOOKUP(D9448, RECETTES!B:G, 6, FALSE)*E9448)</f>
        <v/>
      </c>
      <c r="J9448" s="8">
        <f>IF(G9448="","",G9448*0.20)</f>
        <v/>
      </c>
      <c r="K9448" s="8">
        <f>IF(G9448="","",G9448+J9448)</f>
        <v/>
      </c>
    </row>
    <row r="9449">
      <c r="F9449" s="8" t="n"/>
      <c r="G9449" s="8">
        <f>IF(E9449="","",E9449*F9449)</f>
        <v/>
      </c>
      <c r="H9449" s="8">
        <f>IF(G9449="","",G9449-I9449)</f>
        <v/>
      </c>
      <c r="I9449" s="8">
        <f>IF(D9449="","",VLOOKUP(D9449, RECETTES!B:G, 6, FALSE)*E9449)</f>
        <v/>
      </c>
      <c r="J9449" s="8">
        <f>IF(G9449="","",G9449*0.20)</f>
        <v/>
      </c>
      <c r="K9449" s="8">
        <f>IF(G9449="","",G9449+J9449)</f>
        <v/>
      </c>
    </row>
    <row r="9450">
      <c r="F9450" s="8" t="n"/>
      <c r="G9450" s="8">
        <f>IF(E9450="","",E9450*F9450)</f>
        <v/>
      </c>
      <c r="H9450" s="8">
        <f>IF(G9450="","",G9450-I9450)</f>
        <v/>
      </c>
      <c r="I9450" s="8">
        <f>IF(D9450="","",VLOOKUP(D9450, RECETTES!B:G, 6, FALSE)*E9450)</f>
        <v/>
      </c>
      <c r="J9450" s="8">
        <f>IF(G9450="","",G9450*0.20)</f>
        <v/>
      </c>
      <c r="K9450" s="8">
        <f>IF(G9450="","",G9450+J9450)</f>
        <v/>
      </c>
    </row>
    <row r="9451">
      <c r="F9451" s="8" t="n"/>
      <c r="G9451" s="8">
        <f>IF(E9451="","",E9451*F9451)</f>
        <v/>
      </c>
      <c r="H9451" s="8">
        <f>IF(G9451="","",G9451-I9451)</f>
        <v/>
      </c>
      <c r="I9451" s="8">
        <f>IF(D9451="","",VLOOKUP(D9451, RECETTES!B:G, 6, FALSE)*E9451)</f>
        <v/>
      </c>
      <c r="J9451" s="8">
        <f>IF(G9451="","",G9451*0.20)</f>
        <v/>
      </c>
      <c r="K9451" s="8">
        <f>IF(G9451="","",G9451+J9451)</f>
        <v/>
      </c>
    </row>
    <row r="9452">
      <c r="F9452" s="8" t="n"/>
      <c r="G9452" s="8">
        <f>IF(E9452="","",E9452*F9452)</f>
        <v/>
      </c>
      <c r="H9452" s="8">
        <f>IF(G9452="","",G9452-I9452)</f>
        <v/>
      </c>
      <c r="I9452" s="8">
        <f>IF(D9452="","",VLOOKUP(D9452, RECETTES!B:G, 6, FALSE)*E9452)</f>
        <v/>
      </c>
      <c r="J9452" s="8">
        <f>IF(G9452="","",G9452*0.20)</f>
        <v/>
      </c>
      <c r="K9452" s="8">
        <f>IF(G9452="","",G9452+J9452)</f>
        <v/>
      </c>
    </row>
    <row r="9453">
      <c r="F9453" s="8" t="n"/>
      <c r="G9453" s="8">
        <f>IF(E9453="","",E9453*F9453)</f>
        <v/>
      </c>
      <c r="H9453" s="8">
        <f>IF(G9453="","",G9453-I9453)</f>
        <v/>
      </c>
      <c r="I9453" s="8">
        <f>IF(D9453="","",VLOOKUP(D9453, RECETTES!B:G, 6, FALSE)*E9453)</f>
        <v/>
      </c>
      <c r="J9453" s="8">
        <f>IF(G9453="","",G9453*0.20)</f>
        <v/>
      </c>
      <c r="K9453" s="8">
        <f>IF(G9453="","",G9453+J9453)</f>
        <v/>
      </c>
    </row>
    <row r="9454">
      <c r="F9454" s="8" t="n"/>
      <c r="G9454" s="8">
        <f>IF(E9454="","",E9454*F9454)</f>
        <v/>
      </c>
      <c r="H9454" s="8">
        <f>IF(G9454="","",G9454-I9454)</f>
        <v/>
      </c>
      <c r="I9454" s="8">
        <f>IF(D9454="","",VLOOKUP(D9454, RECETTES!B:G, 6, FALSE)*E9454)</f>
        <v/>
      </c>
      <c r="J9454" s="8">
        <f>IF(G9454="","",G9454*0.20)</f>
        <v/>
      </c>
      <c r="K9454" s="8">
        <f>IF(G9454="","",G9454+J9454)</f>
        <v/>
      </c>
    </row>
    <row r="9455">
      <c r="F9455" s="8" t="n"/>
      <c r="G9455" s="8">
        <f>IF(E9455="","",E9455*F9455)</f>
        <v/>
      </c>
      <c r="H9455" s="8">
        <f>IF(G9455="","",G9455-I9455)</f>
        <v/>
      </c>
      <c r="I9455" s="8">
        <f>IF(D9455="","",VLOOKUP(D9455, RECETTES!B:G, 6, FALSE)*E9455)</f>
        <v/>
      </c>
      <c r="J9455" s="8">
        <f>IF(G9455="","",G9455*0.20)</f>
        <v/>
      </c>
      <c r="K9455" s="8">
        <f>IF(G9455="","",G9455+J9455)</f>
        <v/>
      </c>
    </row>
    <row r="9456">
      <c r="F9456" s="8" t="n"/>
      <c r="G9456" s="8">
        <f>IF(E9456="","",E9456*F9456)</f>
        <v/>
      </c>
      <c r="H9456" s="8">
        <f>IF(G9456="","",G9456-I9456)</f>
        <v/>
      </c>
      <c r="I9456" s="8">
        <f>IF(D9456="","",VLOOKUP(D9456, RECETTES!B:G, 6, FALSE)*E9456)</f>
        <v/>
      </c>
      <c r="J9456" s="8">
        <f>IF(G9456="","",G9456*0.20)</f>
        <v/>
      </c>
      <c r="K9456" s="8">
        <f>IF(G9456="","",G9456+J9456)</f>
        <v/>
      </c>
    </row>
    <row r="9457">
      <c r="F9457" s="8" t="n"/>
      <c r="G9457" s="8">
        <f>IF(E9457="","",E9457*F9457)</f>
        <v/>
      </c>
      <c r="H9457" s="8">
        <f>IF(G9457="","",G9457-I9457)</f>
        <v/>
      </c>
      <c r="I9457" s="8">
        <f>IF(D9457="","",VLOOKUP(D9457, RECETTES!B:G, 6, FALSE)*E9457)</f>
        <v/>
      </c>
      <c r="J9457" s="8">
        <f>IF(G9457="","",G9457*0.20)</f>
        <v/>
      </c>
      <c r="K9457" s="8">
        <f>IF(G9457="","",G9457+J9457)</f>
        <v/>
      </c>
    </row>
    <row r="9458">
      <c r="F9458" s="8" t="n"/>
      <c r="G9458" s="8">
        <f>IF(E9458="","",E9458*F9458)</f>
        <v/>
      </c>
      <c r="H9458" s="8">
        <f>IF(G9458="","",G9458-I9458)</f>
        <v/>
      </c>
      <c r="I9458" s="8">
        <f>IF(D9458="","",VLOOKUP(D9458, RECETTES!B:G, 6, FALSE)*E9458)</f>
        <v/>
      </c>
      <c r="J9458" s="8">
        <f>IF(G9458="","",G9458*0.20)</f>
        <v/>
      </c>
      <c r="K9458" s="8">
        <f>IF(G9458="","",G9458+J9458)</f>
        <v/>
      </c>
    </row>
    <row r="9459">
      <c r="F9459" s="8" t="n"/>
      <c r="G9459" s="8">
        <f>IF(E9459="","",E9459*F9459)</f>
        <v/>
      </c>
      <c r="H9459" s="8">
        <f>IF(G9459="","",G9459-I9459)</f>
        <v/>
      </c>
      <c r="I9459" s="8">
        <f>IF(D9459="","",VLOOKUP(D9459, RECETTES!B:G, 6, FALSE)*E9459)</f>
        <v/>
      </c>
      <c r="J9459" s="8">
        <f>IF(G9459="","",G9459*0.20)</f>
        <v/>
      </c>
      <c r="K9459" s="8">
        <f>IF(G9459="","",G9459+J9459)</f>
        <v/>
      </c>
    </row>
    <row r="9460">
      <c r="F9460" s="8" t="n"/>
      <c r="G9460" s="8">
        <f>IF(E9460="","",E9460*F9460)</f>
        <v/>
      </c>
      <c r="H9460" s="8">
        <f>IF(G9460="","",G9460-I9460)</f>
        <v/>
      </c>
      <c r="I9460" s="8">
        <f>IF(D9460="","",VLOOKUP(D9460, RECETTES!B:G, 6, FALSE)*E9460)</f>
        <v/>
      </c>
      <c r="J9460" s="8">
        <f>IF(G9460="","",G9460*0.20)</f>
        <v/>
      </c>
      <c r="K9460" s="8">
        <f>IF(G9460="","",G9460+J9460)</f>
        <v/>
      </c>
    </row>
    <row r="9461">
      <c r="F9461" s="8" t="n"/>
      <c r="G9461" s="8">
        <f>IF(E9461="","",E9461*F9461)</f>
        <v/>
      </c>
      <c r="H9461" s="8">
        <f>IF(G9461="","",G9461-I9461)</f>
        <v/>
      </c>
      <c r="I9461" s="8">
        <f>IF(D9461="","",VLOOKUP(D9461, RECETTES!B:G, 6, FALSE)*E9461)</f>
        <v/>
      </c>
      <c r="J9461" s="8">
        <f>IF(G9461="","",G9461*0.20)</f>
        <v/>
      </c>
      <c r="K9461" s="8">
        <f>IF(G9461="","",G9461+J9461)</f>
        <v/>
      </c>
    </row>
    <row r="9462">
      <c r="F9462" s="8" t="n"/>
      <c r="G9462" s="8">
        <f>IF(E9462="","",E9462*F9462)</f>
        <v/>
      </c>
      <c r="H9462" s="8">
        <f>IF(G9462="","",G9462-I9462)</f>
        <v/>
      </c>
      <c r="I9462" s="8">
        <f>IF(D9462="","",VLOOKUP(D9462, RECETTES!B:G, 6, FALSE)*E9462)</f>
        <v/>
      </c>
      <c r="J9462" s="8">
        <f>IF(G9462="","",G9462*0.20)</f>
        <v/>
      </c>
      <c r="K9462" s="8">
        <f>IF(G9462="","",G9462+J9462)</f>
        <v/>
      </c>
    </row>
    <row r="9463">
      <c r="F9463" s="8" t="n"/>
      <c r="G9463" s="8">
        <f>IF(E9463="","",E9463*F9463)</f>
        <v/>
      </c>
      <c r="H9463" s="8">
        <f>IF(G9463="","",G9463-I9463)</f>
        <v/>
      </c>
      <c r="I9463" s="8">
        <f>IF(D9463="","",VLOOKUP(D9463, RECETTES!B:G, 6, FALSE)*E9463)</f>
        <v/>
      </c>
      <c r="J9463" s="8">
        <f>IF(G9463="","",G9463*0.20)</f>
        <v/>
      </c>
      <c r="K9463" s="8">
        <f>IF(G9463="","",G9463+J9463)</f>
        <v/>
      </c>
    </row>
    <row r="9464">
      <c r="F9464" s="8" t="n"/>
      <c r="G9464" s="8">
        <f>IF(E9464="","",E9464*F9464)</f>
        <v/>
      </c>
      <c r="H9464" s="8">
        <f>IF(G9464="","",G9464-I9464)</f>
        <v/>
      </c>
      <c r="I9464" s="8">
        <f>IF(D9464="","",VLOOKUP(D9464, RECETTES!B:G, 6, FALSE)*E9464)</f>
        <v/>
      </c>
      <c r="J9464" s="8">
        <f>IF(G9464="","",G9464*0.20)</f>
        <v/>
      </c>
      <c r="K9464" s="8">
        <f>IF(G9464="","",G9464+J9464)</f>
        <v/>
      </c>
    </row>
    <row r="9465">
      <c r="F9465" s="8" t="n"/>
      <c r="G9465" s="8">
        <f>IF(E9465="","",E9465*F9465)</f>
        <v/>
      </c>
      <c r="H9465" s="8">
        <f>IF(G9465="","",G9465-I9465)</f>
        <v/>
      </c>
      <c r="I9465" s="8">
        <f>IF(D9465="","",VLOOKUP(D9465, RECETTES!B:G, 6, FALSE)*E9465)</f>
        <v/>
      </c>
      <c r="J9465" s="8">
        <f>IF(G9465="","",G9465*0.20)</f>
        <v/>
      </c>
      <c r="K9465" s="8">
        <f>IF(G9465="","",G9465+J9465)</f>
        <v/>
      </c>
    </row>
    <row r="9466">
      <c r="F9466" s="8" t="n"/>
      <c r="G9466" s="8">
        <f>IF(E9466="","",E9466*F9466)</f>
        <v/>
      </c>
      <c r="H9466" s="8">
        <f>IF(G9466="","",G9466-I9466)</f>
        <v/>
      </c>
      <c r="I9466" s="8">
        <f>IF(D9466="","",VLOOKUP(D9466, RECETTES!B:G, 6, FALSE)*E9466)</f>
        <v/>
      </c>
      <c r="J9466" s="8">
        <f>IF(G9466="","",G9466*0.20)</f>
        <v/>
      </c>
      <c r="K9466" s="8">
        <f>IF(G9466="","",G9466+J9466)</f>
        <v/>
      </c>
    </row>
    <row r="9467">
      <c r="F9467" s="8" t="n"/>
      <c r="G9467" s="8">
        <f>IF(E9467="","",E9467*F9467)</f>
        <v/>
      </c>
      <c r="H9467" s="8">
        <f>IF(G9467="","",G9467-I9467)</f>
        <v/>
      </c>
      <c r="I9467" s="8">
        <f>IF(D9467="","",VLOOKUP(D9467, RECETTES!B:G, 6, FALSE)*E9467)</f>
        <v/>
      </c>
      <c r="J9467" s="8">
        <f>IF(G9467="","",G9467*0.20)</f>
        <v/>
      </c>
      <c r="K9467" s="8">
        <f>IF(G9467="","",G9467+J9467)</f>
        <v/>
      </c>
    </row>
    <row r="9468">
      <c r="F9468" s="8" t="n"/>
      <c r="G9468" s="8">
        <f>IF(E9468="","",E9468*F9468)</f>
        <v/>
      </c>
      <c r="H9468" s="8">
        <f>IF(G9468="","",G9468-I9468)</f>
        <v/>
      </c>
      <c r="I9468" s="8">
        <f>IF(D9468="","",VLOOKUP(D9468, RECETTES!B:G, 6, FALSE)*E9468)</f>
        <v/>
      </c>
      <c r="J9468" s="8">
        <f>IF(G9468="","",G9468*0.20)</f>
        <v/>
      </c>
      <c r="K9468" s="8">
        <f>IF(G9468="","",G9468+J9468)</f>
        <v/>
      </c>
    </row>
    <row r="9469">
      <c r="F9469" s="8" t="n"/>
      <c r="G9469" s="8">
        <f>IF(E9469="","",E9469*F9469)</f>
        <v/>
      </c>
      <c r="H9469" s="8">
        <f>IF(G9469="","",G9469-I9469)</f>
        <v/>
      </c>
      <c r="I9469" s="8">
        <f>IF(D9469="","",VLOOKUP(D9469, RECETTES!B:G, 6, FALSE)*E9469)</f>
        <v/>
      </c>
      <c r="J9469" s="8">
        <f>IF(G9469="","",G9469*0.20)</f>
        <v/>
      </c>
      <c r="K9469" s="8">
        <f>IF(G9469="","",G9469+J9469)</f>
        <v/>
      </c>
    </row>
    <row r="9470">
      <c r="F9470" s="8" t="n"/>
      <c r="G9470" s="8">
        <f>IF(E9470="","",E9470*F9470)</f>
        <v/>
      </c>
      <c r="H9470" s="8">
        <f>IF(G9470="","",G9470-I9470)</f>
        <v/>
      </c>
      <c r="I9470" s="8">
        <f>IF(D9470="","",VLOOKUP(D9470, RECETTES!B:G, 6, FALSE)*E9470)</f>
        <v/>
      </c>
      <c r="J9470" s="8">
        <f>IF(G9470="","",G9470*0.20)</f>
        <v/>
      </c>
      <c r="K9470" s="8">
        <f>IF(G9470="","",G9470+J9470)</f>
        <v/>
      </c>
    </row>
    <row r="9471">
      <c r="F9471" s="8" t="n"/>
      <c r="G9471" s="8">
        <f>IF(E9471="","",E9471*F9471)</f>
        <v/>
      </c>
      <c r="H9471" s="8">
        <f>IF(G9471="","",G9471-I9471)</f>
        <v/>
      </c>
      <c r="I9471" s="8">
        <f>IF(D9471="","",VLOOKUP(D9471, RECETTES!B:G, 6, FALSE)*E9471)</f>
        <v/>
      </c>
      <c r="J9471" s="8">
        <f>IF(G9471="","",G9471*0.20)</f>
        <v/>
      </c>
      <c r="K9471" s="8">
        <f>IF(G9471="","",G9471+J9471)</f>
        <v/>
      </c>
    </row>
    <row r="9472">
      <c r="F9472" s="8" t="n"/>
      <c r="G9472" s="8">
        <f>IF(E9472="","",E9472*F9472)</f>
        <v/>
      </c>
      <c r="H9472" s="8">
        <f>IF(G9472="","",G9472-I9472)</f>
        <v/>
      </c>
      <c r="I9472" s="8">
        <f>IF(D9472="","",VLOOKUP(D9472, RECETTES!B:G, 6, FALSE)*E9472)</f>
        <v/>
      </c>
      <c r="J9472" s="8">
        <f>IF(G9472="","",G9472*0.20)</f>
        <v/>
      </c>
      <c r="K9472" s="8">
        <f>IF(G9472="","",G9472+J9472)</f>
        <v/>
      </c>
    </row>
    <row r="9473">
      <c r="F9473" s="8" t="n"/>
      <c r="G9473" s="8">
        <f>IF(E9473="","",E9473*F9473)</f>
        <v/>
      </c>
      <c r="H9473" s="8">
        <f>IF(G9473="","",G9473-I9473)</f>
        <v/>
      </c>
      <c r="I9473" s="8">
        <f>IF(D9473="","",VLOOKUP(D9473, RECETTES!B:G, 6, FALSE)*E9473)</f>
        <v/>
      </c>
      <c r="J9473" s="8">
        <f>IF(G9473="","",G9473*0.20)</f>
        <v/>
      </c>
      <c r="K9473" s="8">
        <f>IF(G9473="","",G9473+J9473)</f>
        <v/>
      </c>
    </row>
    <row r="9474">
      <c r="F9474" s="8" t="n"/>
      <c r="G9474" s="8">
        <f>IF(E9474="","",E9474*F9474)</f>
        <v/>
      </c>
      <c r="H9474" s="8">
        <f>IF(G9474="","",G9474-I9474)</f>
        <v/>
      </c>
      <c r="I9474" s="8">
        <f>IF(D9474="","",VLOOKUP(D9474, RECETTES!B:G, 6, FALSE)*E9474)</f>
        <v/>
      </c>
      <c r="J9474" s="8">
        <f>IF(G9474="","",G9474*0.20)</f>
        <v/>
      </c>
      <c r="K9474" s="8">
        <f>IF(G9474="","",G9474+J9474)</f>
        <v/>
      </c>
    </row>
    <row r="9475">
      <c r="F9475" s="8" t="n"/>
      <c r="G9475" s="8">
        <f>IF(E9475="","",E9475*F9475)</f>
        <v/>
      </c>
      <c r="H9475" s="8">
        <f>IF(G9475="","",G9475-I9475)</f>
        <v/>
      </c>
      <c r="I9475" s="8">
        <f>IF(D9475="","",VLOOKUP(D9475, RECETTES!B:G, 6, FALSE)*E9475)</f>
        <v/>
      </c>
      <c r="J9475" s="8">
        <f>IF(G9475="","",G9475*0.20)</f>
        <v/>
      </c>
      <c r="K9475" s="8">
        <f>IF(G9475="","",G9475+J9475)</f>
        <v/>
      </c>
    </row>
    <row r="9476">
      <c r="F9476" s="8" t="n"/>
      <c r="G9476" s="8">
        <f>IF(E9476="","",E9476*F9476)</f>
        <v/>
      </c>
      <c r="H9476" s="8">
        <f>IF(G9476="","",G9476-I9476)</f>
        <v/>
      </c>
      <c r="I9476" s="8">
        <f>IF(D9476="","",VLOOKUP(D9476, RECETTES!B:G, 6, FALSE)*E9476)</f>
        <v/>
      </c>
      <c r="J9476" s="8">
        <f>IF(G9476="","",G9476*0.20)</f>
        <v/>
      </c>
      <c r="K9476" s="8">
        <f>IF(G9476="","",G9476+J9476)</f>
        <v/>
      </c>
    </row>
    <row r="9477">
      <c r="F9477" s="8" t="n"/>
      <c r="G9477" s="8">
        <f>IF(E9477="","",E9477*F9477)</f>
        <v/>
      </c>
      <c r="H9477" s="8">
        <f>IF(G9477="","",G9477-I9477)</f>
        <v/>
      </c>
      <c r="I9477" s="8">
        <f>IF(D9477="","",VLOOKUP(D9477, RECETTES!B:G, 6, FALSE)*E9477)</f>
        <v/>
      </c>
      <c r="J9477" s="8">
        <f>IF(G9477="","",G9477*0.20)</f>
        <v/>
      </c>
      <c r="K9477" s="8">
        <f>IF(G9477="","",G9477+J9477)</f>
        <v/>
      </c>
    </row>
    <row r="9478">
      <c r="F9478" s="8" t="n"/>
      <c r="G9478" s="8">
        <f>IF(E9478="","",E9478*F9478)</f>
        <v/>
      </c>
      <c r="H9478" s="8">
        <f>IF(G9478="","",G9478-I9478)</f>
        <v/>
      </c>
      <c r="I9478" s="8">
        <f>IF(D9478="","",VLOOKUP(D9478, RECETTES!B:G, 6, FALSE)*E9478)</f>
        <v/>
      </c>
      <c r="J9478" s="8">
        <f>IF(G9478="","",G9478*0.20)</f>
        <v/>
      </c>
      <c r="K9478" s="8">
        <f>IF(G9478="","",G9478+J9478)</f>
        <v/>
      </c>
    </row>
    <row r="9479">
      <c r="F9479" s="8" t="n"/>
      <c r="G9479" s="8">
        <f>IF(E9479="","",E9479*F9479)</f>
        <v/>
      </c>
      <c r="H9479" s="8">
        <f>IF(G9479="","",G9479-I9479)</f>
        <v/>
      </c>
      <c r="I9479" s="8">
        <f>IF(D9479="","",VLOOKUP(D9479, RECETTES!B:G, 6, FALSE)*E9479)</f>
        <v/>
      </c>
      <c r="J9479" s="8">
        <f>IF(G9479="","",G9479*0.20)</f>
        <v/>
      </c>
      <c r="K9479" s="8">
        <f>IF(G9479="","",G9479+J9479)</f>
        <v/>
      </c>
    </row>
    <row r="9480">
      <c r="F9480" s="8" t="n"/>
      <c r="G9480" s="8">
        <f>IF(E9480="","",E9480*F9480)</f>
        <v/>
      </c>
      <c r="H9480" s="8">
        <f>IF(G9480="","",G9480-I9480)</f>
        <v/>
      </c>
      <c r="I9480" s="8">
        <f>IF(D9480="","",VLOOKUP(D9480, RECETTES!B:G, 6, FALSE)*E9480)</f>
        <v/>
      </c>
      <c r="J9480" s="8">
        <f>IF(G9480="","",G9480*0.20)</f>
        <v/>
      </c>
      <c r="K9480" s="8">
        <f>IF(G9480="","",G9480+J9480)</f>
        <v/>
      </c>
    </row>
    <row r="9481">
      <c r="F9481" s="8" t="n"/>
      <c r="G9481" s="8">
        <f>IF(E9481="","",E9481*F9481)</f>
        <v/>
      </c>
      <c r="H9481" s="8">
        <f>IF(G9481="","",G9481-I9481)</f>
        <v/>
      </c>
      <c r="I9481" s="8">
        <f>IF(D9481="","",VLOOKUP(D9481, RECETTES!B:G, 6, FALSE)*E9481)</f>
        <v/>
      </c>
      <c r="J9481" s="8">
        <f>IF(G9481="","",G9481*0.20)</f>
        <v/>
      </c>
      <c r="K9481" s="8">
        <f>IF(G9481="","",G9481+J9481)</f>
        <v/>
      </c>
    </row>
    <row r="9482">
      <c r="F9482" s="8" t="n"/>
      <c r="G9482" s="8">
        <f>IF(E9482="","",E9482*F9482)</f>
        <v/>
      </c>
      <c r="H9482" s="8">
        <f>IF(G9482="","",G9482-I9482)</f>
        <v/>
      </c>
      <c r="I9482" s="8">
        <f>IF(D9482="","",VLOOKUP(D9482, RECETTES!B:G, 6, FALSE)*E9482)</f>
        <v/>
      </c>
      <c r="J9482" s="8">
        <f>IF(G9482="","",G9482*0.20)</f>
        <v/>
      </c>
      <c r="K9482" s="8">
        <f>IF(G9482="","",G9482+J9482)</f>
        <v/>
      </c>
    </row>
    <row r="9483">
      <c r="F9483" s="8" t="n"/>
      <c r="G9483" s="8">
        <f>IF(E9483="","",E9483*F9483)</f>
        <v/>
      </c>
      <c r="H9483" s="8">
        <f>IF(G9483="","",G9483-I9483)</f>
        <v/>
      </c>
      <c r="I9483" s="8">
        <f>IF(D9483="","",VLOOKUP(D9483, RECETTES!B:G, 6, FALSE)*E9483)</f>
        <v/>
      </c>
      <c r="J9483" s="8">
        <f>IF(G9483="","",G9483*0.20)</f>
        <v/>
      </c>
      <c r="K9483" s="8">
        <f>IF(G9483="","",G9483+J9483)</f>
        <v/>
      </c>
    </row>
    <row r="9484">
      <c r="F9484" s="8" t="n"/>
      <c r="G9484" s="8">
        <f>IF(E9484="","",E9484*F9484)</f>
        <v/>
      </c>
      <c r="H9484" s="8">
        <f>IF(G9484="","",G9484-I9484)</f>
        <v/>
      </c>
      <c r="I9484" s="8">
        <f>IF(D9484="","",VLOOKUP(D9484, RECETTES!B:G, 6, FALSE)*E9484)</f>
        <v/>
      </c>
      <c r="J9484" s="8">
        <f>IF(G9484="","",G9484*0.20)</f>
        <v/>
      </c>
      <c r="K9484" s="8">
        <f>IF(G9484="","",G9484+J9484)</f>
        <v/>
      </c>
    </row>
    <row r="9485">
      <c r="F9485" s="8" t="n"/>
      <c r="G9485" s="8">
        <f>IF(E9485="","",E9485*F9485)</f>
        <v/>
      </c>
      <c r="H9485" s="8">
        <f>IF(G9485="","",G9485-I9485)</f>
        <v/>
      </c>
      <c r="I9485" s="8">
        <f>IF(D9485="","",VLOOKUP(D9485, RECETTES!B:G, 6, FALSE)*E9485)</f>
        <v/>
      </c>
      <c r="J9485" s="8">
        <f>IF(G9485="","",G9485*0.20)</f>
        <v/>
      </c>
      <c r="K9485" s="8">
        <f>IF(G9485="","",G9485+J9485)</f>
        <v/>
      </c>
    </row>
    <row r="9486">
      <c r="F9486" s="8" t="n"/>
      <c r="G9486" s="8">
        <f>IF(E9486="","",E9486*F9486)</f>
        <v/>
      </c>
      <c r="H9486" s="8">
        <f>IF(G9486="","",G9486-I9486)</f>
        <v/>
      </c>
      <c r="I9486" s="8">
        <f>IF(D9486="","",VLOOKUP(D9486, RECETTES!B:G, 6, FALSE)*E9486)</f>
        <v/>
      </c>
      <c r="J9486" s="8">
        <f>IF(G9486="","",G9486*0.20)</f>
        <v/>
      </c>
      <c r="K9486" s="8">
        <f>IF(G9486="","",G9486+J9486)</f>
        <v/>
      </c>
    </row>
    <row r="9487">
      <c r="F9487" s="8" t="n"/>
      <c r="G9487" s="8">
        <f>IF(E9487="","",E9487*F9487)</f>
        <v/>
      </c>
      <c r="H9487" s="8">
        <f>IF(G9487="","",G9487-I9487)</f>
        <v/>
      </c>
      <c r="I9487" s="8">
        <f>IF(D9487="","",VLOOKUP(D9487, RECETTES!B:G, 6, FALSE)*E9487)</f>
        <v/>
      </c>
      <c r="J9487" s="8">
        <f>IF(G9487="","",G9487*0.20)</f>
        <v/>
      </c>
      <c r="K9487" s="8">
        <f>IF(G9487="","",G9487+J9487)</f>
        <v/>
      </c>
    </row>
    <row r="9488">
      <c r="F9488" s="8" t="n"/>
      <c r="G9488" s="8">
        <f>IF(E9488="","",E9488*F9488)</f>
        <v/>
      </c>
      <c r="H9488" s="8">
        <f>IF(G9488="","",G9488-I9488)</f>
        <v/>
      </c>
      <c r="I9488" s="8">
        <f>IF(D9488="","",VLOOKUP(D9488, RECETTES!B:G, 6, FALSE)*E9488)</f>
        <v/>
      </c>
      <c r="J9488" s="8">
        <f>IF(G9488="","",G9488*0.20)</f>
        <v/>
      </c>
      <c r="K9488" s="8">
        <f>IF(G9488="","",G9488+J9488)</f>
        <v/>
      </c>
    </row>
    <row r="9489">
      <c r="F9489" s="8" t="n"/>
      <c r="G9489" s="8">
        <f>IF(E9489="","",E9489*F9489)</f>
        <v/>
      </c>
      <c r="H9489" s="8">
        <f>IF(G9489="","",G9489-I9489)</f>
        <v/>
      </c>
      <c r="I9489" s="8">
        <f>IF(D9489="","",VLOOKUP(D9489, RECETTES!B:G, 6, FALSE)*E9489)</f>
        <v/>
      </c>
      <c r="J9489" s="8">
        <f>IF(G9489="","",G9489*0.20)</f>
        <v/>
      </c>
      <c r="K9489" s="8">
        <f>IF(G9489="","",G9489+J9489)</f>
        <v/>
      </c>
    </row>
    <row r="9490">
      <c r="F9490" s="8" t="n"/>
      <c r="G9490" s="8">
        <f>IF(E9490="","",E9490*F9490)</f>
        <v/>
      </c>
      <c r="H9490" s="8">
        <f>IF(G9490="","",G9490-I9490)</f>
        <v/>
      </c>
      <c r="I9490" s="8">
        <f>IF(D9490="","",VLOOKUP(D9490, RECETTES!B:G, 6, FALSE)*E9490)</f>
        <v/>
      </c>
      <c r="J9490" s="8">
        <f>IF(G9490="","",G9490*0.20)</f>
        <v/>
      </c>
      <c r="K9490" s="8">
        <f>IF(G9490="","",G9490+J9490)</f>
        <v/>
      </c>
    </row>
    <row r="9491">
      <c r="F9491" s="8" t="n"/>
      <c r="G9491" s="8">
        <f>IF(E9491="","",E9491*F9491)</f>
        <v/>
      </c>
      <c r="H9491" s="8">
        <f>IF(G9491="","",G9491-I9491)</f>
        <v/>
      </c>
      <c r="I9491" s="8">
        <f>IF(D9491="","",VLOOKUP(D9491, RECETTES!B:G, 6, FALSE)*E9491)</f>
        <v/>
      </c>
      <c r="J9491" s="8">
        <f>IF(G9491="","",G9491*0.20)</f>
        <v/>
      </c>
      <c r="K9491" s="8">
        <f>IF(G9491="","",G9491+J9491)</f>
        <v/>
      </c>
    </row>
    <row r="9492">
      <c r="F9492" s="8" t="n"/>
      <c r="G9492" s="8">
        <f>IF(E9492="","",E9492*F9492)</f>
        <v/>
      </c>
      <c r="H9492" s="8">
        <f>IF(G9492="","",G9492-I9492)</f>
        <v/>
      </c>
      <c r="I9492" s="8">
        <f>IF(D9492="","",VLOOKUP(D9492, RECETTES!B:G, 6, FALSE)*E9492)</f>
        <v/>
      </c>
      <c r="J9492" s="8">
        <f>IF(G9492="","",G9492*0.20)</f>
        <v/>
      </c>
      <c r="K9492" s="8">
        <f>IF(G9492="","",G9492+J9492)</f>
        <v/>
      </c>
    </row>
    <row r="9493">
      <c r="F9493" s="8" t="n"/>
      <c r="G9493" s="8">
        <f>IF(E9493="","",E9493*F9493)</f>
        <v/>
      </c>
      <c r="H9493" s="8">
        <f>IF(G9493="","",G9493-I9493)</f>
        <v/>
      </c>
      <c r="I9493" s="8">
        <f>IF(D9493="","",VLOOKUP(D9493, RECETTES!B:G, 6, FALSE)*E9493)</f>
        <v/>
      </c>
      <c r="J9493" s="8">
        <f>IF(G9493="","",G9493*0.20)</f>
        <v/>
      </c>
      <c r="K9493" s="8">
        <f>IF(G9493="","",G9493+J9493)</f>
        <v/>
      </c>
    </row>
    <row r="9494">
      <c r="F9494" s="8" t="n"/>
      <c r="G9494" s="8">
        <f>IF(E9494="","",E9494*F9494)</f>
        <v/>
      </c>
      <c r="H9494" s="8">
        <f>IF(G9494="","",G9494-I9494)</f>
        <v/>
      </c>
      <c r="I9494" s="8">
        <f>IF(D9494="","",VLOOKUP(D9494, RECETTES!B:G, 6, FALSE)*E9494)</f>
        <v/>
      </c>
      <c r="J9494" s="8">
        <f>IF(G9494="","",G9494*0.20)</f>
        <v/>
      </c>
      <c r="K9494" s="8">
        <f>IF(G9494="","",G9494+J9494)</f>
        <v/>
      </c>
    </row>
    <row r="9495">
      <c r="F9495" s="8" t="n"/>
      <c r="G9495" s="8">
        <f>IF(E9495="","",E9495*F9495)</f>
        <v/>
      </c>
      <c r="H9495" s="8">
        <f>IF(G9495="","",G9495-I9495)</f>
        <v/>
      </c>
      <c r="I9495" s="8">
        <f>IF(D9495="","",VLOOKUP(D9495, RECETTES!B:G, 6, FALSE)*E9495)</f>
        <v/>
      </c>
      <c r="J9495" s="8">
        <f>IF(G9495="","",G9495*0.20)</f>
        <v/>
      </c>
      <c r="K9495" s="8">
        <f>IF(G9495="","",G9495+J9495)</f>
        <v/>
      </c>
    </row>
    <row r="9496">
      <c r="F9496" s="8" t="n"/>
      <c r="G9496" s="8">
        <f>IF(E9496="","",E9496*F9496)</f>
        <v/>
      </c>
      <c r="H9496" s="8">
        <f>IF(G9496="","",G9496-I9496)</f>
        <v/>
      </c>
      <c r="I9496" s="8">
        <f>IF(D9496="","",VLOOKUP(D9496, RECETTES!B:G, 6, FALSE)*E9496)</f>
        <v/>
      </c>
      <c r="J9496" s="8">
        <f>IF(G9496="","",G9496*0.20)</f>
        <v/>
      </c>
      <c r="K9496" s="8">
        <f>IF(G9496="","",G9496+J9496)</f>
        <v/>
      </c>
    </row>
    <row r="9497">
      <c r="F9497" s="8" t="n"/>
      <c r="G9497" s="8">
        <f>IF(E9497="","",E9497*F9497)</f>
        <v/>
      </c>
      <c r="H9497" s="8">
        <f>IF(G9497="","",G9497-I9497)</f>
        <v/>
      </c>
      <c r="I9497" s="8">
        <f>IF(D9497="","",VLOOKUP(D9497, RECETTES!B:G, 6, FALSE)*E9497)</f>
        <v/>
      </c>
      <c r="J9497" s="8">
        <f>IF(G9497="","",G9497*0.20)</f>
        <v/>
      </c>
      <c r="K9497" s="8">
        <f>IF(G9497="","",G9497+J9497)</f>
        <v/>
      </c>
    </row>
    <row r="9498">
      <c r="F9498" s="8" t="n"/>
      <c r="G9498" s="8">
        <f>IF(E9498="","",E9498*F9498)</f>
        <v/>
      </c>
      <c r="H9498" s="8">
        <f>IF(G9498="","",G9498-I9498)</f>
        <v/>
      </c>
      <c r="I9498" s="8">
        <f>IF(D9498="","",VLOOKUP(D9498, RECETTES!B:G, 6, FALSE)*E9498)</f>
        <v/>
      </c>
      <c r="J9498" s="8">
        <f>IF(G9498="","",G9498*0.20)</f>
        <v/>
      </c>
      <c r="K9498" s="8">
        <f>IF(G9498="","",G9498+J9498)</f>
        <v/>
      </c>
    </row>
    <row r="9499">
      <c r="F9499" s="8" t="n"/>
      <c r="G9499" s="8">
        <f>IF(E9499="","",E9499*F9499)</f>
        <v/>
      </c>
      <c r="H9499" s="8">
        <f>IF(G9499="","",G9499-I9499)</f>
        <v/>
      </c>
      <c r="I9499" s="8">
        <f>IF(D9499="","",VLOOKUP(D9499, RECETTES!B:G, 6, FALSE)*E9499)</f>
        <v/>
      </c>
      <c r="J9499" s="8">
        <f>IF(G9499="","",G9499*0.20)</f>
        <v/>
      </c>
      <c r="K9499" s="8">
        <f>IF(G9499="","",G9499+J9499)</f>
        <v/>
      </c>
    </row>
    <row r="9500">
      <c r="F9500" s="8" t="n"/>
      <c r="G9500" s="8">
        <f>IF(E9500="","",E9500*F9500)</f>
        <v/>
      </c>
      <c r="H9500" s="8">
        <f>IF(G9500="","",G9500-I9500)</f>
        <v/>
      </c>
      <c r="I9500" s="8">
        <f>IF(D9500="","",VLOOKUP(D9500, RECETTES!B:G, 6, FALSE)*E9500)</f>
        <v/>
      </c>
      <c r="J9500" s="8">
        <f>IF(G9500="","",G9500*0.20)</f>
        <v/>
      </c>
      <c r="K9500" s="8">
        <f>IF(G9500="","",G9500+J9500)</f>
        <v/>
      </c>
    </row>
    <row r="9501">
      <c r="F9501" s="8" t="n"/>
      <c r="G9501" s="8">
        <f>IF(E9501="","",E9501*F9501)</f>
        <v/>
      </c>
      <c r="H9501" s="8">
        <f>IF(G9501="","",G9501-I9501)</f>
        <v/>
      </c>
      <c r="I9501" s="8">
        <f>IF(D9501="","",VLOOKUP(D9501, RECETTES!B:G, 6, FALSE)*E9501)</f>
        <v/>
      </c>
      <c r="J9501" s="8">
        <f>IF(G9501="","",G9501*0.20)</f>
        <v/>
      </c>
      <c r="K9501" s="8">
        <f>IF(G9501="","",G9501+J9501)</f>
        <v/>
      </c>
    </row>
    <row r="9502">
      <c r="F9502" s="8" t="n"/>
      <c r="G9502" s="8">
        <f>IF(E9502="","",E9502*F9502)</f>
        <v/>
      </c>
      <c r="H9502" s="8">
        <f>IF(G9502="","",G9502-I9502)</f>
        <v/>
      </c>
      <c r="I9502" s="8">
        <f>IF(D9502="","",VLOOKUP(D9502, RECETTES!B:G, 6, FALSE)*E9502)</f>
        <v/>
      </c>
      <c r="J9502" s="8">
        <f>IF(G9502="","",G9502*0.20)</f>
        <v/>
      </c>
      <c r="K9502" s="8">
        <f>IF(G9502="","",G9502+J9502)</f>
        <v/>
      </c>
    </row>
    <row r="9503">
      <c r="F9503" s="8" t="n"/>
      <c r="G9503" s="8">
        <f>IF(E9503="","",E9503*F9503)</f>
        <v/>
      </c>
      <c r="H9503" s="8">
        <f>IF(G9503="","",G9503-I9503)</f>
        <v/>
      </c>
      <c r="I9503" s="8">
        <f>IF(D9503="","",VLOOKUP(D9503, RECETTES!B:G, 6, FALSE)*E9503)</f>
        <v/>
      </c>
      <c r="J9503" s="8">
        <f>IF(G9503="","",G9503*0.20)</f>
        <v/>
      </c>
      <c r="K9503" s="8">
        <f>IF(G9503="","",G9503+J9503)</f>
        <v/>
      </c>
    </row>
    <row r="9504">
      <c r="F9504" s="8" t="n"/>
      <c r="G9504" s="8">
        <f>IF(E9504="","",E9504*F9504)</f>
        <v/>
      </c>
      <c r="H9504" s="8">
        <f>IF(G9504="","",G9504-I9504)</f>
        <v/>
      </c>
      <c r="I9504" s="8">
        <f>IF(D9504="","",VLOOKUP(D9504, RECETTES!B:G, 6, FALSE)*E9504)</f>
        <v/>
      </c>
      <c r="J9504" s="8">
        <f>IF(G9504="","",G9504*0.20)</f>
        <v/>
      </c>
      <c r="K9504" s="8">
        <f>IF(G9504="","",G9504+J9504)</f>
        <v/>
      </c>
    </row>
    <row r="9505">
      <c r="F9505" s="8" t="n"/>
      <c r="G9505" s="8">
        <f>IF(E9505="","",E9505*F9505)</f>
        <v/>
      </c>
      <c r="H9505" s="8">
        <f>IF(G9505="","",G9505-I9505)</f>
        <v/>
      </c>
      <c r="I9505" s="8">
        <f>IF(D9505="","",VLOOKUP(D9505, RECETTES!B:G, 6, FALSE)*E9505)</f>
        <v/>
      </c>
      <c r="J9505" s="8">
        <f>IF(G9505="","",G9505*0.20)</f>
        <v/>
      </c>
      <c r="K9505" s="8">
        <f>IF(G9505="","",G9505+J9505)</f>
        <v/>
      </c>
    </row>
    <row r="9506">
      <c r="F9506" s="8" t="n"/>
      <c r="G9506" s="8">
        <f>IF(E9506="","",E9506*F9506)</f>
        <v/>
      </c>
      <c r="H9506" s="8">
        <f>IF(G9506="","",G9506-I9506)</f>
        <v/>
      </c>
      <c r="I9506" s="8">
        <f>IF(D9506="","",VLOOKUP(D9506, RECETTES!B:G, 6, FALSE)*E9506)</f>
        <v/>
      </c>
      <c r="J9506" s="8">
        <f>IF(G9506="","",G9506*0.20)</f>
        <v/>
      </c>
      <c r="K9506" s="8">
        <f>IF(G9506="","",G9506+J9506)</f>
        <v/>
      </c>
    </row>
    <row r="9507">
      <c r="F9507" s="8" t="n"/>
      <c r="G9507" s="8">
        <f>IF(E9507="","",E9507*F9507)</f>
        <v/>
      </c>
      <c r="H9507" s="8">
        <f>IF(G9507="","",G9507-I9507)</f>
        <v/>
      </c>
      <c r="I9507" s="8">
        <f>IF(D9507="","",VLOOKUP(D9507, RECETTES!B:G, 6, FALSE)*E9507)</f>
        <v/>
      </c>
      <c r="J9507" s="8">
        <f>IF(G9507="","",G9507*0.20)</f>
        <v/>
      </c>
      <c r="K9507" s="8">
        <f>IF(G9507="","",G9507+J9507)</f>
        <v/>
      </c>
    </row>
    <row r="9508">
      <c r="F9508" s="8" t="n"/>
      <c r="G9508" s="8">
        <f>IF(E9508="","",E9508*F9508)</f>
        <v/>
      </c>
      <c r="H9508" s="8">
        <f>IF(G9508="","",G9508-I9508)</f>
        <v/>
      </c>
      <c r="I9508" s="8">
        <f>IF(D9508="","",VLOOKUP(D9508, RECETTES!B:G, 6, FALSE)*E9508)</f>
        <v/>
      </c>
      <c r="J9508" s="8">
        <f>IF(G9508="","",G9508*0.20)</f>
        <v/>
      </c>
      <c r="K9508" s="8">
        <f>IF(G9508="","",G9508+J9508)</f>
        <v/>
      </c>
    </row>
    <row r="9509">
      <c r="F9509" s="8" t="n"/>
      <c r="G9509" s="8">
        <f>IF(E9509="","",E9509*F9509)</f>
        <v/>
      </c>
      <c r="H9509" s="8">
        <f>IF(G9509="","",G9509-I9509)</f>
        <v/>
      </c>
      <c r="I9509" s="8">
        <f>IF(D9509="","",VLOOKUP(D9509, RECETTES!B:G, 6, FALSE)*E9509)</f>
        <v/>
      </c>
      <c r="J9509" s="8">
        <f>IF(G9509="","",G9509*0.20)</f>
        <v/>
      </c>
      <c r="K9509" s="8">
        <f>IF(G9509="","",G9509+J9509)</f>
        <v/>
      </c>
    </row>
    <row r="9510">
      <c r="F9510" s="8" t="n"/>
      <c r="G9510" s="8">
        <f>IF(E9510="","",E9510*F9510)</f>
        <v/>
      </c>
      <c r="H9510" s="8">
        <f>IF(G9510="","",G9510-I9510)</f>
        <v/>
      </c>
      <c r="I9510" s="8">
        <f>IF(D9510="","",VLOOKUP(D9510, RECETTES!B:G, 6, FALSE)*E9510)</f>
        <v/>
      </c>
      <c r="J9510" s="8">
        <f>IF(G9510="","",G9510*0.20)</f>
        <v/>
      </c>
      <c r="K9510" s="8">
        <f>IF(G9510="","",G9510+J9510)</f>
        <v/>
      </c>
    </row>
    <row r="9511">
      <c r="F9511" s="8" t="n"/>
      <c r="G9511" s="8">
        <f>IF(E9511="","",E9511*F9511)</f>
        <v/>
      </c>
      <c r="H9511" s="8">
        <f>IF(G9511="","",G9511-I9511)</f>
        <v/>
      </c>
      <c r="I9511" s="8">
        <f>IF(D9511="","",VLOOKUP(D9511, RECETTES!B:G, 6, FALSE)*E9511)</f>
        <v/>
      </c>
      <c r="J9511" s="8">
        <f>IF(G9511="","",G9511*0.20)</f>
        <v/>
      </c>
      <c r="K9511" s="8">
        <f>IF(G9511="","",G9511+J9511)</f>
        <v/>
      </c>
    </row>
    <row r="9512">
      <c r="F9512" s="8" t="n"/>
      <c r="G9512" s="8">
        <f>IF(E9512="","",E9512*F9512)</f>
        <v/>
      </c>
      <c r="H9512" s="8">
        <f>IF(G9512="","",G9512-I9512)</f>
        <v/>
      </c>
      <c r="I9512" s="8">
        <f>IF(D9512="","",VLOOKUP(D9512, RECETTES!B:G, 6, FALSE)*E9512)</f>
        <v/>
      </c>
      <c r="J9512" s="8">
        <f>IF(G9512="","",G9512*0.20)</f>
        <v/>
      </c>
      <c r="K9512" s="8">
        <f>IF(G9512="","",G9512+J9512)</f>
        <v/>
      </c>
    </row>
    <row r="9513">
      <c r="F9513" s="8" t="n"/>
      <c r="G9513" s="8">
        <f>IF(E9513="","",E9513*F9513)</f>
        <v/>
      </c>
      <c r="H9513" s="8">
        <f>IF(G9513="","",G9513-I9513)</f>
        <v/>
      </c>
      <c r="I9513" s="8">
        <f>IF(D9513="","",VLOOKUP(D9513, RECETTES!B:G, 6, FALSE)*E9513)</f>
        <v/>
      </c>
      <c r="J9513" s="8">
        <f>IF(G9513="","",G9513*0.20)</f>
        <v/>
      </c>
      <c r="K9513" s="8">
        <f>IF(G9513="","",G9513+J9513)</f>
        <v/>
      </c>
    </row>
    <row r="9514">
      <c r="F9514" s="8" t="n"/>
      <c r="G9514" s="8">
        <f>IF(E9514="","",E9514*F9514)</f>
        <v/>
      </c>
      <c r="H9514" s="8">
        <f>IF(G9514="","",G9514-I9514)</f>
        <v/>
      </c>
      <c r="I9514" s="8">
        <f>IF(D9514="","",VLOOKUP(D9514, RECETTES!B:G, 6, FALSE)*E9514)</f>
        <v/>
      </c>
      <c r="J9514" s="8">
        <f>IF(G9514="","",G9514*0.20)</f>
        <v/>
      </c>
      <c r="K9514" s="8">
        <f>IF(G9514="","",G9514+J9514)</f>
        <v/>
      </c>
    </row>
    <row r="9515">
      <c r="F9515" s="8" t="n"/>
      <c r="G9515" s="8">
        <f>IF(E9515="","",E9515*F9515)</f>
        <v/>
      </c>
      <c r="H9515" s="8">
        <f>IF(G9515="","",G9515-I9515)</f>
        <v/>
      </c>
      <c r="I9515" s="8">
        <f>IF(D9515="","",VLOOKUP(D9515, RECETTES!B:G, 6, FALSE)*E9515)</f>
        <v/>
      </c>
      <c r="J9515" s="8">
        <f>IF(G9515="","",G9515*0.20)</f>
        <v/>
      </c>
      <c r="K9515" s="8">
        <f>IF(G9515="","",G9515+J9515)</f>
        <v/>
      </c>
    </row>
    <row r="9516">
      <c r="F9516" s="8" t="n"/>
      <c r="G9516" s="8">
        <f>IF(E9516="","",E9516*F9516)</f>
        <v/>
      </c>
      <c r="H9516" s="8">
        <f>IF(G9516="","",G9516-I9516)</f>
        <v/>
      </c>
      <c r="I9516" s="8">
        <f>IF(D9516="","",VLOOKUP(D9516, RECETTES!B:G, 6, FALSE)*E9516)</f>
        <v/>
      </c>
      <c r="J9516" s="8">
        <f>IF(G9516="","",G9516*0.20)</f>
        <v/>
      </c>
      <c r="K9516" s="8">
        <f>IF(G9516="","",G9516+J9516)</f>
        <v/>
      </c>
    </row>
    <row r="9517">
      <c r="F9517" s="8" t="n"/>
      <c r="G9517" s="8">
        <f>IF(E9517="","",E9517*F9517)</f>
        <v/>
      </c>
      <c r="H9517" s="8">
        <f>IF(G9517="","",G9517-I9517)</f>
        <v/>
      </c>
      <c r="I9517" s="8">
        <f>IF(D9517="","",VLOOKUP(D9517, RECETTES!B:G, 6, FALSE)*E9517)</f>
        <v/>
      </c>
      <c r="J9517" s="8">
        <f>IF(G9517="","",G9517*0.20)</f>
        <v/>
      </c>
      <c r="K9517" s="8">
        <f>IF(G9517="","",G9517+J9517)</f>
        <v/>
      </c>
    </row>
    <row r="9518">
      <c r="F9518" s="8" t="n"/>
      <c r="G9518" s="8">
        <f>IF(E9518="","",E9518*F9518)</f>
        <v/>
      </c>
      <c r="H9518" s="8">
        <f>IF(G9518="","",G9518-I9518)</f>
        <v/>
      </c>
      <c r="I9518" s="8">
        <f>IF(D9518="","",VLOOKUP(D9518, RECETTES!B:G, 6, FALSE)*E9518)</f>
        <v/>
      </c>
      <c r="J9518" s="8">
        <f>IF(G9518="","",G9518*0.20)</f>
        <v/>
      </c>
      <c r="K9518" s="8">
        <f>IF(G9518="","",G9518+J9518)</f>
        <v/>
      </c>
    </row>
    <row r="9519">
      <c r="F9519" s="8" t="n"/>
      <c r="G9519" s="8">
        <f>IF(E9519="","",E9519*F9519)</f>
        <v/>
      </c>
      <c r="H9519" s="8">
        <f>IF(G9519="","",G9519-I9519)</f>
        <v/>
      </c>
      <c r="I9519" s="8">
        <f>IF(D9519="","",VLOOKUP(D9519, RECETTES!B:G, 6, FALSE)*E9519)</f>
        <v/>
      </c>
      <c r="J9519" s="8">
        <f>IF(G9519="","",G9519*0.20)</f>
        <v/>
      </c>
      <c r="K9519" s="8">
        <f>IF(G9519="","",G9519+J9519)</f>
        <v/>
      </c>
    </row>
    <row r="9520">
      <c r="F9520" s="8" t="n"/>
      <c r="G9520" s="8">
        <f>IF(E9520="","",E9520*F9520)</f>
        <v/>
      </c>
      <c r="H9520" s="8">
        <f>IF(G9520="","",G9520-I9520)</f>
        <v/>
      </c>
      <c r="I9520" s="8">
        <f>IF(D9520="","",VLOOKUP(D9520, RECETTES!B:G, 6, FALSE)*E9520)</f>
        <v/>
      </c>
      <c r="J9520" s="8">
        <f>IF(G9520="","",G9520*0.20)</f>
        <v/>
      </c>
      <c r="K9520" s="8">
        <f>IF(G9520="","",G9520+J9520)</f>
        <v/>
      </c>
    </row>
    <row r="9521">
      <c r="F9521" s="8" t="n"/>
      <c r="G9521" s="8">
        <f>IF(E9521="","",E9521*F9521)</f>
        <v/>
      </c>
      <c r="H9521" s="8">
        <f>IF(G9521="","",G9521-I9521)</f>
        <v/>
      </c>
      <c r="I9521" s="8">
        <f>IF(D9521="","",VLOOKUP(D9521, RECETTES!B:G, 6, FALSE)*E9521)</f>
        <v/>
      </c>
      <c r="J9521" s="8">
        <f>IF(G9521="","",G9521*0.20)</f>
        <v/>
      </c>
      <c r="K9521" s="8">
        <f>IF(G9521="","",G9521+J9521)</f>
        <v/>
      </c>
    </row>
    <row r="9522">
      <c r="F9522" s="8" t="n"/>
      <c r="G9522" s="8">
        <f>IF(E9522="","",E9522*F9522)</f>
        <v/>
      </c>
      <c r="H9522" s="8">
        <f>IF(G9522="","",G9522-I9522)</f>
        <v/>
      </c>
      <c r="I9522" s="8">
        <f>IF(D9522="","",VLOOKUP(D9522, RECETTES!B:G, 6, FALSE)*E9522)</f>
        <v/>
      </c>
      <c r="J9522" s="8">
        <f>IF(G9522="","",G9522*0.20)</f>
        <v/>
      </c>
      <c r="K9522" s="8">
        <f>IF(G9522="","",G9522+J9522)</f>
        <v/>
      </c>
    </row>
    <row r="9523">
      <c r="F9523" s="8" t="n"/>
      <c r="G9523" s="8">
        <f>IF(E9523="","",E9523*F9523)</f>
        <v/>
      </c>
      <c r="H9523" s="8">
        <f>IF(G9523="","",G9523-I9523)</f>
        <v/>
      </c>
      <c r="I9523" s="8">
        <f>IF(D9523="","",VLOOKUP(D9523, RECETTES!B:G, 6, FALSE)*E9523)</f>
        <v/>
      </c>
      <c r="J9523" s="8">
        <f>IF(G9523="","",G9523*0.20)</f>
        <v/>
      </c>
      <c r="K9523" s="8">
        <f>IF(G9523="","",G9523+J9523)</f>
        <v/>
      </c>
    </row>
    <row r="9524">
      <c r="F9524" s="8" t="n"/>
      <c r="G9524" s="8">
        <f>IF(E9524="","",E9524*F9524)</f>
        <v/>
      </c>
      <c r="H9524" s="8">
        <f>IF(G9524="","",G9524-I9524)</f>
        <v/>
      </c>
      <c r="I9524" s="8">
        <f>IF(D9524="","",VLOOKUP(D9524, RECETTES!B:G, 6, FALSE)*E9524)</f>
        <v/>
      </c>
      <c r="J9524" s="8">
        <f>IF(G9524="","",G9524*0.20)</f>
        <v/>
      </c>
      <c r="K9524" s="8">
        <f>IF(G9524="","",G9524+J9524)</f>
        <v/>
      </c>
    </row>
    <row r="9525">
      <c r="F9525" s="8" t="n"/>
      <c r="G9525" s="8">
        <f>IF(E9525="","",E9525*F9525)</f>
        <v/>
      </c>
      <c r="H9525" s="8">
        <f>IF(G9525="","",G9525-I9525)</f>
        <v/>
      </c>
      <c r="I9525" s="8">
        <f>IF(D9525="","",VLOOKUP(D9525, RECETTES!B:G, 6, FALSE)*E9525)</f>
        <v/>
      </c>
      <c r="J9525" s="8">
        <f>IF(G9525="","",G9525*0.20)</f>
        <v/>
      </c>
      <c r="K9525" s="8">
        <f>IF(G9525="","",G9525+J9525)</f>
        <v/>
      </c>
    </row>
    <row r="9526">
      <c r="F9526" s="8" t="n"/>
      <c r="G9526" s="8">
        <f>IF(E9526="","",E9526*F9526)</f>
        <v/>
      </c>
      <c r="H9526" s="8">
        <f>IF(G9526="","",G9526-I9526)</f>
        <v/>
      </c>
      <c r="I9526" s="8">
        <f>IF(D9526="","",VLOOKUP(D9526, RECETTES!B:G, 6, FALSE)*E9526)</f>
        <v/>
      </c>
      <c r="J9526" s="8">
        <f>IF(G9526="","",G9526*0.20)</f>
        <v/>
      </c>
      <c r="K9526" s="8">
        <f>IF(G9526="","",G9526+J9526)</f>
        <v/>
      </c>
    </row>
    <row r="9527">
      <c r="F9527" s="8" t="n"/>
      <c r="G9527" s="8">
        <f>IF(E9527="","",E9527*F9527)</f>
        <v/>
      </c>
      <c r="H9527" s="8">
        <f>IF(G9527="","",G9527-I9527)</f>
        <v/>
      </c>
      <c r="I9527" s="8">
        <f>IF(D9527="","",VLOOKUP(D9527, RECETTES!B:G, 6, FALSE)*E9527)</f>
        <v/>
      </c>
      <c r="J9527" s="8">
        <f>IF(G9527="","",G9527*0.20)</f>
        <v/>
      </c>
      <c r="K9527" s="8">
        <f>IF(G9527="","",G9527+J9527)</f>
        <v/>
      </c>
    </row>
    <row r="9528">
      <c r="F9528" s="8" t="n"/>
      <c r="G9528" s="8">
        <f>IF(E9528="","",E9528*F9528)</f>
        <v/>
      </c>
      <c r="H9528" s="8">
        <f>IF(G9528="","",G9528-I9528)</f>
        <v/>
      </c>
      <c r="I9528" s="8">
        <f>IF(D9528="","",VLOOKUP(D9528, RECETTES!B:G, 6, FALSE)*E9528)</f>
        <v/>
      </c>
      <c r="J9528" s="8">
        <f>IF(G9528="","",G9528*0.20)</f>
        <v/>
      </c>
      <c r="K9528" s="8">
        <f>IF(G9528="","",G9528+J9528)</f>
        <v/>
      </c>
    </row>
    <row r="9529">
      <c r="F9529" s="8" t="n"/>
      <c r="G9529" s="8">
        <f>IF(E9529="","",E9529*F9529)</f>
        <v/>
      </c>
      <c r="H9529" s="8">
        <f>IF(G9529="","",G9529-I9529)</f>
        <v/>
      </c>
      <c r="I9529" s="8">
        <f>IF(D9529="","",VLOOKUP(D9529, RECETTES!B:G, 6, FALSE)*E9529)</f>
        <v/>
      </c>
      <c r="J9529" s="8">
        <f>IF(G9529="","",G9529*0.20)</f>
        <v/>
      </c>
      <c r="K9529" s="8">
        <f>IF(G9529="","",G9529+J9529)</f>
        <v/>
      </c>
    </row>
    <row r="9530">
      <c r="F9530" s="8" t="n"/>
      <c r="G9530" s="8">
        <f>IF(E9530="","",E9530*F9530)</f>
        <v/>
      </c>
      <c r="H9530" s="8">
        <f>IF(G9530="","",G9530-I9530)</f>
        <v/>
      </c>
      <c r="I9530" s="8">
        <f>IF(D9530="","",VLOOKUP(D9530, RECETTES!B:G, 6, FALSE)*E9530)</f>
        <v/>
      </c>
      <c r="J9530" s="8">
        <f>IF(G9530="","",G9530*0.20)</f>
        <v/>
      </c>
      <c r="K9530" s="8">
        <f>IF(G9530="","",G9530+J9530)</f>
        <v/>
      </c>
    </row>
    <row r="9531">
      <c r="F9531" s="8" t="n"/>
      <c r="G9531" s="8">
        <f>IF(E9531="","",E9531*F9531)</f>
        <v/>
      </c>
      <c r="H9531" s="8">
        <f>IF(G9531="","",G9531-I9531)</f>
        <v/>
      </c>
      <c r="I9531" s="8">
        <f>IF(D9531="","",VLOOKUP(D9531, RECETTES!B:G, 6, FALSE)*E9531)</f>
        <v/>
      </c>
      <c r="J9531" s="8">
        <f>IF(G9531="","",G9531*0.20)</f>
        <v/>
      </c>
      <c r="K9531" s="8">
        <f>IF(G9531="","",G9531+J9531)</f>
        <v/>
      </c>
    </row>
    <row r="9532">
      <c r="F9532" s="8" t="n"/>
      <c r="G9532" s="8">
        <f>IF(E9532="","",E9532*F9532)</f>
        <v/>
      </c>
      <c r="H9532" s="8">
        <f>IF(G9532="","",G9532-I9532)</f>
        <v/>
      </c>
      <c r="I9532" s="8">
        <f>IF(D9532="","",VLOOKUP(D9532, RECETTES!B:G, 6, FALSE)*E9532)</f>
        <v/>
      </c>
      <c r="J9532" s="8">
        <f>IF(G9532="","",G9532*0.20)</f>
        <v/>
      </c>
      <c r="K9532" s="8">
        <f>IF(G9532="","",G9532+J9532)</f>
        <v/>
      </c>
    </row>
    <row r="9533">
      <c r="F9533" s="8" t="n"/>
      <c r="G9533" s="8">
        <f>IF(E9533="","",E9533*F9533)</f>
        <v/>
      </c>
      <c r="H9533" s="8">
        <f>IF(G9533="","",G9533-I9533)</f>
        <v/>
      </c>
      <c r="I9533" s="8">
        <f>IF(D9533="","",VLOOKUP(D9533, RECETTES!B:G, 6, FALSE)*E9533)</f>
        <v/>
      </c>
      <c r="J9533" s="8">
        <f>IF(G9533="","",G9533*0.20)</f>
        <v/>
      </c>
      <c r="K9533" s="8">
        <f>IF(G9533="","",G9533+J9533)</f>
        <v/>
      </c>
    </row>
    <row r="9534">
      <c r="F9534" s="8" t="n"/>
      <c r="G9534" s="8">
        <f>IF(E9534="","",E9534*F9534)</f>
        <v/>
      </c>
      <c r="H9534" s="8">
        <f>IF(G9534="","",G9534-I9534)</f>
        <v/>
      </c>
      <c r="I9534" s="8">
        <f>IF(D9534="","",VLOOKUP(D9534, RECETTES!B:G, 6, FALSE)*E9534)</f>
        <v/>
      </c>
      <c r="J9534" s="8">
        <f>IF(G9534="","",G9534*0.20)</f>
        <v/>
      </c>
      <c r="K9534" s="8">
        <f>IF(G9534="","",G9534+J9534)</f>
        <v/>
      </c>
    </row>
    <row r="9535">
      <c r="F9535" s="8" t="n"/>
      <c r="G9535" s="8">
        <f>IF(E9535="","",E9535*F9535)</f>
        <v/>
      </c>
      <c r="H9535" s="8">
        <f>IF(G9535="","",G9535-I9535)</f>
        <v/>
      </c>
      <c r="I9535" s="8">
        <f>IF(D9535="","",VLOOKUP(D9535, RECETTES!B:G, 6, FALSE)*E9535)</f>
        <v/>
      </c>
      <c r="J9535" s="8">
        <f>IF(G9535="","",G9535*0.20)</f>
        <v/>
      </c>
      <c r="K9535" s="8">
        <f>IF(G9535="","",G9535+J9535)</f>
        <v/>
      </c>
    </row>
    <row r="9536">
      <c r="F9536" s="8" t="n"/>
      <c r="G9536" s="8">
        <f>IF(E9536="","",E9536*F9536)</f>
        <v/>
      </c>
      <c r="H9536" s="8">
        <f>IF(G9536="","",G9536-I9536)</f>
        <v/>
      </c>
      <c r="I9536" s="8">
        <f>IF(D9536="","",VLOOKUP(D9536, RECETTES!B:G, 6, FALSE)*E9536)</f>
        <v/>
      </c>
      <c r="J9536" s="8">
        <f>IF(G9536="","",G9536*0.20)</f>
        <v/>
      </c>
      <c r="K9536" s="8">
        <f>IF(G9536="","",G9536+J9536)</f>
        <v/>
      </c>
    </row>
    <row r="9537">
      <c r="F9537" s="8" t="n"/>
      <c r="G9537" s="8">
        <f>IF(E9537="","",E9537*F9537)</f>
        <v/>
      </c>
      <c r="H9537" s="8">
        <f>IF(G9537="","",G9537-I9537)</f>
        <v/>
      </c>
      <c r="I9537" s="8">
        <f>IF(D9537="","",VLOOKUP(D9537, RECETTES!B:G, 6, FALSE)*E9537)</f>
        <v/>
      </c>
      <c r="J9537" s="8">
        <f>IF(G9537="","",G9537*0.20)</f>
        <v/>
      </c>
      <c r="K9537" s="8">
        <f>IF(G9537="","",G9537+J9537)</f>
        <v/>
      </c>
    </row>
    <row r="9538">
      <c r="F9538" s="8" t="n"/>
      <c r="G9538" s="8">
        <f>IF(E9538="","",E9538*F9538)</f>
        <v/>
      </c>
      <c r="H9538" s="8">
        <f>IF(G9538="","",G9538-I9538)</f>
        <v/>
      </c>
      <c r="I9538" s="8">
        <f>IF(D9538="","",VLOOKUP(D9538, RECETTES!B:G, 6, FALSE)*E9538)</f>
        <v/>
      </c>
      <c r="J9538" s="8">
        <f>IF(G9538="","",G9538*0.20)</f>
        <v/>
      </c>
      <c r="K9538" s="8">
        <f>IF(G9538="","",G9538+J9538)</f>
        <v/>
      </c>
    </row>
    <row r="9539">
      <c r="F9539" s="8" t="n"/>
      <c r="G9539" s="8">
        <f>IF(E9539="","",E9539*F9539)</f>
        <v/>
      </c>
      <c r="H9539" s="8">
        <f>IF(G9539="","",G9539-I9539)</f>
        <v/>
      </c>
      <c r="I9539" s="8">
        <f>IF(D9539="","",VLOOKUP(D9539, RECETTES!B:G, 6, FALSE)*E9539)</f>
        <v/>
      </c>
      <c r="J9539" s="8">
        <f>IF(G9539="","",G9539*0.20)</f>
        <v/>
      </c>
      <c r="K9539" s="8">
        <f>IF(G9539="","",G9539+J9539)</f>
        <v/>
      </c>
    </row>
    <row r="9540">
      <c r="F9540" s="8" t="n"/>
      <c r="G9540" s="8">
        <f>IF(E9540="","",E9540*F9540)</f>
        <v/>
      </c>
      <c r="H9540" s="8">
        <f>IF(G9540="","",G9540-I9540)</f>
        <v/>
      </c>
      <c r="I9540" s="8">
        <f>IF(D9540="","",VLOOKUP(D9540, RECETTES!B:G, 6, FALSE)*E9540)</f>
        <v/>
      </c>
      <c r="J9540" s="8">
        <f>IF(G9540="","",G9540*0.20)</f>
        <v/>
      </c>
      <c r="K9540" s="8">
        <f>IF(G9540="","",G9540+J9540)</f>
        <v/>
      </c>
    </row>
    <row r="9541">
      <c r="F9541" s="8" t="n"/>
      <c r="G9541" s="8">
        <f>IF(E9541="","",E9541*F9541)</f>
        <v/>
      </c>
      <c r="H9541" s="8">
        <f>IF(G9541="","",G9541-I9541)</f>
        <v/>
      </c>
      <c r="I9541" s="8">
        <f>IF(D9541="","",VLOOKUP(D9541, RECETTES!B:G, 6, FALSE)*E9541)</f>
        <v/>
      </c>
      <c r="J9541" s="8">
        <f>IF(G9541="","",G9541*0.20)</f>
        <v/>
      </c>
      <c r="K9541" s="8">
        <f>IF(G9541="","",G9541+J9541)</f>
        <v/>
      </c>
    </row>
    <row r="9542">
      <c r="F9542" s="8" t="n"/>
      <c r="G9542" s="8">
        <f>IF(E9542="","",E9542*F9542)</f>
        <v/>
      </c>
      <c r="H9542" s="8">
        <f>IF(G9542="","",G9542-I9542)</f>
        <v/>
      </c>
      <c r="I9542" s="8">
        <f>IF(D9542="","",VLOOKUP(D9542, RECETTES!B:G, 6, FALSE)*E9542)</f>
        <v/>
      </c>
      <c r="J9542" s="8">
        <f>IF(G9542="","",G9542*0.20)</f>
        <v/>
      </c>
      <c r="K9542" s="8">
        <f>IF(G9542="","",G9542+J9542)</f>
        <v/>
      </c>
    </row>
    <row r="9543">
      <c r="F9543" s="8" t="n"/>
      <c r="G9543" s="8">
        <f>IF(E9543="","",E9543*F9543)</f>
        <v/>
      </c>
      <c r="H9543" s="8">
        <f>IF(G9543="","",G9543-I9543)</f>
        <v/>
      </c>
      <c r="I9543" s="8">
        <f>IF(D9543="","",VLOOKUP(D9543, RECETTES!B:G, 6, FALSE)*E9543)</f>
        <v/>
      </c>
      <c r="J9543" s="8">
        <f>IF(G9543="","",G9543*0.20)</f>
        <v/>
      </c>
      <c r="K9543" s="8">
        <f>IF(G9543="","",G9543+J9543)</f>
        <v/>
      </c>
    </row>
    <row r="9544">
      <c r="F9544" s="8" t="n"/>
      <c r="G9544" s="8">
        <f>IF(E9544="","",E9544*F9544)</f>
        <v/>
      </c>
      <c r="H9544" s="8">
        <f>IF(G9544="","",G9544-I9544)</f>
        <v/>
      </c>
      <c r="I9544" s="8">
        <f>IF(D9544="","",VLOOKUP(D9544, RECETTES!B:G, 6, FALSE)*E9544)</f>
        <v/>
      </c>
      <c r="J9544" s="8">
        <f>IF(G9544="","",G9544*0.20)</f>
        <v/>
      </c>
      <c r="K9544" s="8">
        <f>IF(G9544="","",G9544+J9544)</f>
        <v/>
      </c>
    </row>
    <row r="9545">
      <c r="F9545" s="8" t="n"/>
      <c r="G9545" s="8">
        <f>IF(E9545="","",E9545*F9545)</f>
        <v/>
      </c>
      <c r="H9545" s="8">
        <f>IF(G9545="","",G9545-I9545)</f>
        <v/>
      </c>
      <c r="I9545" s="8">
        <f>IF(D9545="","",VLOOKUP(D9545, RECETTES!B:G, 6, FALSE)*E9545)</f>
        <v/>
      </c>
      <c r="J9545" s="8">
        <f>IF(G9545="","",G9545*0.20)</f>
        <v/>
      </c>
      <c r="K9545" s="8">
        <f>IF(G9545="","",G9545+J9545)</f>
        <v/>
      </c>
    </row>
    <row r="9546">
      <c r="F9546" s="8" t="n"/>
      <c r="G9546" s="8">
        <f>IF(E9546="","",E9546*F9546)</f>
        <v/>
      </c>
      <c r="H9546" s="8">
        <f>IF(G9546="","",G9546-I9546)</f>
        <v/>
      </c>
      <c r="I9546" s="8">
        <f>IF(D9546="","",VLOOKUP(D9546, RECETTES!B:G, 6, FALSE)*E9546)</f>
        <v/>
      </c>
      <c r="J9546" s="8">
        <f>IF(G9546="","",G9546*0.20)</f>
        <v/>
      </c>
      <c r="K9546" s="8">
        <f>IF(G9546="","",G9546+J9546)</f>
        <v/>
      </c>
    </row>
    <row r="9547">
      <c r="F9547" s="8" t="n"/>
      <c r="G9547" s="8">
        <f>IF(E9547="","",E9547*F9547)</f>
        <v/>
      </c>
      <c r="H9547" s="8">
        <f>IF(G9547="","",G9547-I9547)</f>
        <v/>
      </c>
      <c r="I9547" s="8">
        <f>IF(D9547="","",VLOOKUP(D9547, RECETTES!B:G, 6, FALSE)*E9547)</f>
        <v/>
      </c>
      <c r="J9547" s="8">
        <f>IF(G9547="","",G9547*0.20)</f>
        <v/>
      </c>
      <c r="K9547" s="8">
        <f>IF(G9547="","",G9547+J9547)</f>
        <v/>
      </c>
    </row>
    <row r="9548">
      <c r="F9548" s="8" t="n"/>
      <c r="G9548" s="8">
        <f>IF(E9548="","",E9548*F9548)</f>
        <v/>
      </c>
      <c r="H9548" s="8">
        <f>IF(G9548="","",G9548-I9548)</f>
        <v/>
      </c>
      <c r="I9548" s="8">
        <f>IF(D9548="","",VLOOKUP(D9548, RECETTES!B:G, 6, FALSE)*E9548)</f>
        <v/>
      </c>
      <c r="J9548" s="8">
        <f>IF(G9548="","",G9548*0.20)</f>
        <v/>
      </c>
      <c r="K9548" s="8">
        <f>IF(G9548="","",G9548+J9548)</f>
        <v/>
      </c>
    </row>
    <row r="9549">
      <c r="F9549" s="8" t="n"/>
      <c r="G9549" s="8">
        <f>IF(E9549="","",E9549*F9549)</f>
        <v/>
      </c>
      <c r="H9549" s="8">
        <f>IF(G9549="","",G9549-I9549)</f>
        <v/>
      </c>
      <c r="I9549" s="8">
        <f>IF(D9549="","",VLOOKUP(D9549, RECETTES!B:G, 6, FALSE)*E9549)</f>
        <v/>
      </c>
      <c r="J9549" s="8">
        <f>IF(G9549="","",G9549*0.20)</f>
        <v/>
      </c>
      <c r="K9549" s="8">
        <f>IF(G9549="","",G9549+J9549)</f>
        <v/>
      </c>
    </row>
    <row r="9550">
      <c r="F9550" s="8" t="n"/>
      <c r="G9550" s="8">
        <f>IF(E9550="","",E9550*F9550)</f>
        <v/>
      </c>
      <c r="H9550" s="8">
        <f>IF(G9550="","",G9550-I9550)</f>
        <v/>
      </c>
      <c r="I9550" s="8">
        <f>IF(D9550="","",VLOOKUP(D9550, RECETTES!B:G, 6, FALSE)*E9550)</f>
        <v/>
      </c>
      <c r="J9550" s="8">
        <f>IF(G9550="","",G9550*0.20)</f>
        <v/>
      </c>
      <c r="K9550" s="8">
        <f>IF(G9550="","",G9550+J9550)</f>
        <v/>
      </c>
    </row>
    <row r="9551">
      <c r="F9551" s="8" t="n"/>
      <c r="G9551" s="8">
        <f>IF(E9551="","",E9551*F9551)</f>
        <v/>
      </c>
      <c r="H9551" s="8">
        <f>IF(G9551="","",G9551-I9551)</f>
        <v/>
      </c>
      <c r="I9551" s="8">
        <f>IF(D9551="","",VLOOKUP(D9551, RECETTES!B:G, 6, FALSE)*E9551)</f>
        <v/>
      </c>
      <c r="J9551" s="8">
        <f>IF(G9551="","",G9551*0.20)</f>
        <v/>
      </c>
      <c r="K9551" s="8">
        <f>IF(G9551="","",G9551+J9551)</f>
        <v/>
      </c>
    </row>
    <row r="9552">
      <c r="F9552" s="8" t="n"/>
      <c r="G9552" s="8">
        <f>IF(E9552="","",E9552*F9552)</f>
        <v/>
      </c>
      <c r="H9552" s="8">
        <f>IF(G9552="","",G9552-I9552)</f>
        <v/>
      </c>
      <c r="I9552" s="8">
        <f>IF(D9552="","",VLOOKUP(D9552, RECETTES!B:G, 6, FALSE)*E9552)</f>
        <v/>
      </c>
      <c r="J9552" s="8">
        <f>IF(G9552="","",G9552*0.20)</f>
        <v/>
      </c>
      <c r="K9552" s="8">
        <f>IF(G9552="","",G9552+J9552)</f>
        <v/>
      </c>
    </row>
    <row r="9553">
      <c r="F9553" s="8" t="n"/>
      <c r="G9553" s="8">
        <f>IF(E9553="","",E9553*F9553)</f>
        <v/>
      </c>
      <c r="H9553" s="8">
        <f>IF(G9553="","",G9553-I9553)</f>
        <v/>
      </c>
      <c r="I9553" s="8">
        <f>IF(D9553="","",VLOOKUP(D9553, RECETTES!B:G, 6, FALSE)*E9553)</f>
        <v/>
      </c>
      <c r="J9553" s="8">
        <f>IF(G9553="","",G9553*0.20)</f>
        <v/>
      </c>
      <c r="K9553" s="8">
        <f>IF(G9553="","",G9553+J9553)</f>
        <v/>
      </c>
    </row>
    <row r="9554">
      <c r="F9554" s="8" t="n"/>
      <c r="G9554" s="8">
        <f>IF(E9554="","",E9554*F9554)</f>
        <v/>
      </c>
      <c r="H9554" s="8">
        <f>IF(G9554="","",G9554-I9554)</f>
        <v/>
      </c>
      <c r="I9554" s="8">
        <f>IF(D9554="","",VLOOKUP(D9554, RECETTES!B:G, 6, FALSE)*E9554)</f>
        <v/>
      </c>
      <c r="J9554" s="8">
        <f>IF(G9554="","",G9554*0.20)</f>
        <v/>
      </c>
      <c r="K9554" s="8">
        <f>IF(G9554="","",G9554+J9554)</f>
        <v/>
      </c>
    </row>
    <row r="9555">
      <c r="F9555" s="8" t="n"/>
      <c r="G9555" s="8">
        <f>IF(E9555="","",E9555*F9555)</f>
        <v/>
      </c>
      <c r="H9555" s="8">
        <f>IF(G9555="","",G9555-I9555)</f>
        <v/>
      </c>
      <c r="I9555" s="8">
        <f>IF(D9555="","",VLOOKUP(D9555, RECETTES!B:G, 6, FALSE)*E9555)</f>
        <v/>
      </c>
      <c r="J9555" s="8">
        <f>IF(G9555="","",G9555*0.20)</f>
        <v/>
      </c>
      <c r="K9555" s="8">
        <f>IF(G9555="","",G9555+J9555)</f>
        <v/>
      </c>
    </row>
    <row r="9556">
      <c r="F9556" s="8" t="n"/>
      <c r="G9556" s="8">
        <f>IF(E9556="","",E9556*F9556)</f>
        <v/>
      </c>
      <c r="H9556" s="8">
        <f>IF(G9556="","",G9556-I9556)</f>
        <v/>
      </c>
      <c r="I9556" s="8">
        <f>IF(D9556="","",VLOOKUP(D9556, RECETTES!B:G, 6, FALSE)*E9556)</f>
        <v/>
      </c>
      <c r="J9556" s="8">
        <f>IF(G9556="","",G9556*0.20)</f>
        <v/>
      </c>
      <c r="K9556" s="8">
        <f>IF(G9556="","",G9556+J9556)</f>
        <v/>
      </c>
    </row>
    <row r="9557">
      <c r="F9557" s="8" t="n"/>
      <c r="G9557" s="8">
        <f>IF(E9557="","",E9557*F9557)</f>
        <v/>
      </c>
      <c r="H9557" s="8">
        <f>IF(G9557="","",G9557-I9557)</f>
        <v/>
      </c>
      <c r="I9557" s="8">
        <f>IF(D9557="","",VLOOKUP(D9557, RECETTES!B:G, 6, FALSE)*E9557)</f>
        <v/>
      </c>
      <c r="J9557" s="8">
        <f>IF(G9557="","",G9557*0.20)</f>
        <v/>
      </c>
      <c r="K9557" s="8">
        <f>IF(G9557="","",G9557+J9557)</f>
        <v/>
      </c>
    </row>
    <row r="9558">
      <c r="F9558" s="8" t="n"/>
      <c r="G9558" s="8">
        <f>IF(E9558="","",E9558*F9558)</f>
        <v/>
      </c>
      <c r="H9558" s="8">
        <f>IF(G9558="","",G9558-I9558)</f>
        <v/>
      </c>
      <c r="I9558" s="8">
        <f>IF(D9558="","",VLOOKUP(D9558, RECETTES!B:G, 6, FALSE)*E9558)</f>
        <v/>
      </c>
      <c r="J9558" s="8">
        <f>IF(G9558="","",G9558*0.20)</f>
        <v/>
      </c>
      <c r="K9558" s="8">
        <f>IF(G9558="","",G9558+J9558)</f>
        <v/>
      </c>
    </row>
    <row r="9559">
      <c r="F9559" s="8" t="n"/>
      <c r="G9559" s="8">
        <f>IF(E9559="","",E9559*F9559)</f>
        <v/>
      </c>
      <c r="H9559" s="8">
        <f>IF(G9559="","",G9559-I9559)</f>
        <v/>
      </c>
      <c r="I9559" s="8">
        <f>IF(D9559="","",VLOOKUP(D9559, RECETTES!B:G, 6, FALSE)*E9559)</f>
        <v/>
      </c>
      <c r="J9559" s="8">
        <f>IF(G9559="","",G9559*0.20)</f>
        <v/>
      </c>
      <c r="K9559" s="8">
        <f>IF(G9559="","",G9559+J9559)</f>
        <v/>
      </c>
    </row>
    <row r="9560">
      <c r="F9560" s="8" t="n"/>
      <c r="G9560" s="8">
        <f>IF(E9560="","",E9560*F9560)</f>
        <v/>
      </c>
      <c r="H9560" s="8">
        <f>IF(G9560="","",G9560-I9560)</f>
        <v/>
      </c>
      <c r="I9560" s="8">
        <f>IF(D9560="","",VLOOKUP(D9560, RECETTES!B:G, 6, FALSE)*E9560)</f>
        <v/>
      </c>
      <c r="J9560" s="8">
        <f>IF(G9560="","",G9560*0.20)</f>
        <v/>
      </c>
      <c r="K9560" s="8">
        <f>IF(G9560="","",G9560+J9560)</f>
        <v/>
      </c>
    </row>
    <row r="9561">
      <c r="F9561" s="8" t="n"/>
      <c r="G9561" s="8">
        <f>IF(E9561="","",E9561*F9561)</f>
        <v/>
      </c>
      <c r="H9561" s="8">
        <f>IF(G9561="","",G9561-I9561)</f>
        <v/>
      </c>
      <c r="I9561" s="8">
        <f>IF(D9561="","",VLOOKUP(D9561, RECETTES!B:G, 6, FALSE)*E9561)</f>
        <v/>
      </c>
      <c r="J9561" s="8">
        <f>IF(G9561="","",G9561*0.20)</f>
        <v/>
      </c>
      <c r="K9561" s="8">
        <f>IF(G9561="","",G9561+J9561)</f>
        <v/>
      </c>
    </row>
    <row r="9562">
      <c r="F9562" s="8" t="n"/>
      <c r="G9562" s="8">
        <f>IF(E9562="","",E9562*F9562)</f>
        <v/>
      </c>
      <c r="H9562" s="8">
        <f>IF(G9562="","",G9562-I9562)</f>
        <v/>
      </c>
      <c r="I9562" s="8">
        <f>IF(D9562="","",VLOOKUP(D9562, RECETTES!B:G, 6, FALSE)*E9562)</f>
        <v/>
      </c>
      <c r="J9562" s="8">
        <f>IF(G9562="","",G9562*0.20)</f>
        <v/>
      </c>
      <c r="K9562" s="8">
        <f>IF(G9562="","",G9562+J9562)</f>
        <v/>
      </c>
    </row>
    <row r="9563">
      <c r="F9563" s="8" t="n"/>
      <c r="G9563" s="8">
        <f>IF(E9563="","",E9563*F9563)</f>
        <v/>
      </c>
      <c r="H9563" s="8">
        <f>IF(G9563="","",G9563-I9563)</f>
        <v/>
      </c>
      <c r="I9563" s="8">
        <f>IF(D9563="","",VLOOKUP(D9563, RECETTES!B:G, 6, FALSE)*E9563)</f>
        <v/>
      </c>
      <c r="J9563" s="8">
        <f>IF(G9563="","",G9563*0.20)</f>
        <v/>
      </c>
      <c r="K9563" s="8">
        <f>IF(G9563="","",G9563+J9563)</f>
        <v/>
      </c>
    </row>
    <row r="9564">
      <c r="F9564" s="8" t="n"/>
      <c r="G9564" s="8">
        <f>IF(E9564="","",E9564*F9564)</f>
        <v/>
      </c>
      <c r="H9564" s="8">
        <f>IF(G9564="","",G9564-I9564)</f>
        <v/>
      </c>
      <c r="I9564" s="8">
        <f>IF(D9564="","",VLOOKUP(D9564, RECETTES!B:G, 6, FALSE)*E9564)</f>
        <v/>
      </c>
      <c r="J9564" s="8">
        <f>IF(G9564="","",G9564*0.20)</f>
        <v/>
      </c>
      <c r="K9564" s="8">
        <f>IF(G9564="","",G9564+J9564)</f>
        <v/>
      </c>
    </row>
    <row r="9565">
      <c r="F9565" s="8" t="n"/>
      <c r="G9565" s="8">
        <f>IF(E9565="","",E9565*F9565)</f>
        <v/>
      </c>
      <c r="H9565" s="8">
        <f>IF(G9565="","",G9565-I9565)</f>
        <v/>
      </c>
      <c r="I9565" s="8">
        <f>IF(D9565="","",VLOOKUP(D9565, RECETTES!B:G, 6, FALSE)*E9565)</f>
        <v/>
      </c>
      <c r="J9565" s="8">
        <f>IF(G9565="","",G9565*0.20)</f>
        <v/>
      </c>
      <c r="K9565" s="8">
        <f>IF(G9565="","",G9565+J9565)</f>
        <v/>
      </c>
    </row>
    <row r="9566">
      <c r="F9566" s="8" t="n"/>
      <c r="G9566" s="8">
        <f>IF(E9566="","",E9566*F9566)</f>
        <v/>
      </c>
      <c r="H9566" s="8">
        <f>IF(G9566="","",G9566-I9566)</f>
        <v/>
      </c>
      <c r="I9566" s="8">
        <f>IF(D9566="","",VLOOKUP(D9566, RECETTES!B:G, 6, FALSE)*E9566)</f>
        <v/>
      </c>
      <c r="J9566" s="8">
        <f>IF(G9566="","",G9566*0.20)</f>
        <v/>
      </c>
      <c r="K9566" s="8">
        <f>IF(G9566="","",G9566+J9566)</f>
        <v/>
      </c>
    </row>
    <row r="9567">
      <c r="F9567" s="8" t="n"/>
      <c r="G9567" s="8">
        <f>IF(E9567="","",E9567*F9567)</f>
        <v/>
      </c>
      <c r="H9567" s="8">
        <f>IF(G9567="","",G9567-I9567)</f>
        <v/>
      </c>
      <c r="I9567" s="8">
        <f>IF(D9567="","",VLOOKUP(D9567, RECETTES!B:G, 6, FALSE)*E9567)</f>
        <v/>
      </c>
      <c r="J9567" s="8">
        <f>IF(G9567="","",G9567*0.20)</f>
        <v/>
      </c>
      <c r="K9567" s="8">
        <f>IF(G9567="","",G9567+J9567)</f>
        <v/>
      </c>
    </row>
    <row r="9568">
      <c r="F9568" s="8" t="n"/>
      <c r="G9568" s="8">
        <f>IF(E9568="","",E9568*F9568)</f>
        <v/>
      </c>
      <c r="H9568" s="8">
        <f>IF(G9568="","",G9568-I9568)</f>
        <v/>
      </c>
      <c r="I9568" s="8">
        <f>IF(D9568="","",VLOOKUP(D9568, RECETTES!B:G, 6, FALSE)*E9568)</f>
        <v/>
      </c>
      <c r="J9568" s="8">
        <f>IF(G9568="","",G9568*0.20)</f>
        <v/>
      </c>
      <c r="K9568" s="8">
        <f>IF(G9568="","",G9568+J9568)</f>
        <v/>
      </c>
    </row>
    <row r="9569">
      <c r="F9569" s="8" t="n"/>
      <c r="G9569" s="8">
        <f>IF(E9569="","",E9569*F9569)</f>
        <v/>
      </c>
      <c r="H9569" s="8">
        <f>IF(G9569="","",G9569-I9569)</f>
        <v/>
      </c>
      <c r="I9569" s="8">
        <f>IF(D9569="","",VLOOKUP(D9569, RECETTES!B:G, 6, FALSE)*E9569)</f>
        <v/>
      </c>
      <c r="J9569" s="8">
        <f>IF(G9569="","",G9569*0.20)</f>
        <v/>
      </c>
      <c r="K9569" s="8">
        <f>IF(G9569="","",G9569+J9569)</f>
        <v/>
      </c>
    </row>
    <row r="9570">
      <c r="F9570" s="8" t="n"/>
      <c r="G9570" s="8">
        <f>IF(E9570="","",E9570*F9570)</f>
        <v/>
      </c>
      <c r="H9570" s="8">
        <f>IF(G9570="","",G9570-I9570)</f>
        <v/>
      </c>
      <c r="I9570" s="8">
        <f>IF(D9570="","",VLOOKUP(D9570, RECETTES!B:G, 6, FALSE)*E9570)</f>
        <v/>
      </c>
      <c r="J9570" s="8">
        <f>IF(G9570="","",G9570*0.20)</f>
        <v/>
      </c>
      <c r="K9570" s="8">
        <f>IF(G9570="","",G9570+J9570)</f>
        <v/>
      </c>
    </row>
    <row r="9571">
      <c r="F9571" s="8" t="n"/>
      <c r="G9571" s="8">
        <f>IF(E9571="","",E9571*F9571)</f>
        <v/>
      </c>
      <c r="H9571" s="8">
        <f>IF(G9571="","",G9571-I9571)</f>
        <v/>
      </c>
      <c r="I9571" s="8">
        <f>IF(D9571="","",VLOOKUP(D9571, RECETTES!B:G, 6, FALSE)*E9571)</f>
        <v/>
      </c>
      <c r="J9571" s="8">
        <f>IF(G9571="","",G9571*0.20)</f>
        <v/>
      </c>
      <c r="K9571" s="8">
        <f>IF(G9571="","",G9571+J9571)</f>
        <v/>
      </c>
    </row>
    <row r="9572">
      <c r="F9572" s="8" t="n"/>
      <c r="G9572" s="8">
        <f>IF(E9572="","",E9572*F9572)</f>
        <v/>
      </c>
      <c r="H9572" s="8">
        <f>IF(G9572="","",G9572-I9572)</f>
        <v/>
      </c>
      <c r="I9572" s="8">
        <f>IF(D9572="","",VLOOKUP(D9572, RECETTES!B:G, 6, FALSE)*E9572)</f>
        <v/>
      </c>
      <c r="J9572" s="8">
        <f>IF(G9572="","",G9572*0.20)</f>
        <v/>
      </c>
      <c r="K9572" s="8">
        <f>IF(G9572="","",G9572+J9572)</f>
        <v/>
      </c>
    </row>
    <row r="9573">
      <c r="F9573" s="8" t="n"/>
      <c r="G9573" s="8">
        <f>IF(E9573="","",E9573*F9573)</f>
        <v/>
      </c>
      <c r="H9573" s="8">
        <f>IF(G9573="","",G9573-I9573)</f>
        <v/>
      </c>
      <c r="I9573" s="8">
        <f>IF(D9573="","",VLOOKUP(D9573, RECETTES!B:G, 6, FALSE)*E9573)</f>
        <v/>
      </c>
      <c r="J9573" s="8">
        <f>IF(G9573="","",G9573*0.20)</f>
        <v/>
      </c>
      <c r="K9573" s="8">
        <f>IF(G9573="","",G9573+J9573)</f>
        <v/>
      </c>
    </row>
    <row r="9574">
      <c r="F9574" s="8" t="n"/>
      <c r="G9574" s="8">
        <f>IF(E9574="","",E9574*F9574)</f>
        <v/>
      </c>
      <c r="H9574" s="8">
        <f>IF(G9574="","",G9574-I9574)</f>
        <v/>
      </c>
      <c r="I9574" s="8">
        <f>IF(D9574="","",VLOOKUP(D9574, RECETTES!B:G, 6, FALSE)*E9574)</f>
        <v/>
      </c>
      <c r="J9574" s="8">
        <f>IF(G9574="","",G9574*0.20)</f>
        <v/>
      </c>
      <c r="K9574" s="8">
        <f>IF(G9574="","",G9574+J9574)</f>
        <v/>
      </c>
    </row>
    <row r="9575">
      <c r="F9575" s="8" t="n"/>
      <c r="G9575" s="8">
        <f>IF(E9575="","",E9575*F9575)</f>
        <v/>
      </c>
      <c r="H9575" s="8">
        <f>IF(G9575="","",G9575-I9575)</f>
        <v/>
      </c>
      <c r="I9575" s="8">
        <f>IF(D9575="","",VLOOKUP(D9575, RECETTES!B:G, 6, FALSE)*E9575)</f>
        <v/>
      </c>
      <c r="J9575" s="8">
        <f>IF(G9575="","",G9575*0.20)</f>
        <v/>
      </c>
      <c r="K9575" s="8">
        <f>IF(G9575="","",G9575+J9575)</f>
        <v/>
      </c>
    </row>
    <row r="9576">
      <c r="F9576" s="8" t="n"/>
      <c r="G9576" s="8">
        <f>IF(E9576="","",E9576*F9576)</f>
        <v/>
      </c>
      <c r="H9576" s="8">
        <f>IF(G9576="","",G9576-I9576)</f>
        <v/>
      </c>
      <c r="I9576" s="8">
        <f>IF(D9576="","",VLOOKUP(D9576, RECETTES!B:G, 6, FALSE)*E9576)</f>
        <v/>
      </c>
      <c r="J9576" s="8">
        <f>IF(G9576="","",G9576*0.20)</f>
        <v/>
      </c>
      <c r="K9576" s="8">
        <f>IF(G9576="","",G9576+J9576)</f>
        <v/>
      </c>
    </row>
    <row r="9577">
      <c r="F9577" s="8" t="n"/>
      <c r="G9577" s="8">
        <f>IF(E9577="","",E9577*F9577)</f>
        <v/>
      </c>
      <c r="H9577" s="8">
        <f>IF(G9577="","",G9577-I9577)</f>
        <v/>
      </c>
      <c r="I9577" s="8">
        <f>IF(D9577="","",VLOOKUP(D9577, RECETTES!B:G, 6, FALSE)*E9577)</f>
        <v/>
      </c>
      <c r="J9577" s="8">
        <f>IF(G9577="","",G9577*0.20)</f>
        <v/>
      </c>
      <c r="K9577" s="8">
        <f>IF(G9577="","",G9577+J9577)</f>
        <v/>
      </c>
    </row>
    <row r="9578">
      <c r="F9578" s="8" t="n"/>
      <c r="G9578" s="8">
        <f>IF(E9578="","",E9578*F9578)</f>
        <v/>
      </c>
      <c r="H9578" s="8">
        <f>IF(G9578="","",G9578-I9578)</f>
        <v/>
      </c>
      <c r="I9578" s="8">
        <f>IF(D9578="","",VLOOKUP(D9578, RECETTES!B:G, 6, FALSE)*E9578)</f>
        <v/>
      </c>
      <c r="J9578" s="8">
        <f>IF(G9578="","",G9578*0.20)</f>
        <v/>
      </c>
      <c r="K9578" s="8">
        <f>IF(G9578="","",G9578+J9578)</f>
        <v/>
      </c>
    </row>
    <row r="9579">
      <c r="F9579" s="8" t="n"/>
      <c r="G9579" s="8">
        <f>IF(E9579="","",E9579*F9579)</f>
        <v/>
      </c>
      <c r="H9579" s="8">
        <f>IF(G9579="","",G9579-I9579)</f>
        <v/>
      </c>
      <c r="I9579" s="8">
        <f>IF(D9579="","",VLOOKUP(D9579, RECETTES!B:G, 6, FALSE)*E9579)</f>
        <v/>
      </c>
      <c r="J9579" s="8">
        <f>IF(G9579="","",G9579*0.20)</f>
        <v/>
      </c>
      <c r="K9579" s="8">
        <f>IF(G9579="","",G9579+J9579)</f>
        <v/>
      </c>
    </row>
    <row r="9580">
      <c r="F9580" s="8" t="n"/>
      <c r="G9580" s="8">
        <f>IF(E9580="","",E9580*F9580)</f>
        <v/>
      </c>
      <c r="H9580" s="8">
        <f>IF(G9580="","",G9580-I9580)</f>
        <v/>
      </c>
      <c r="I9580" s="8">
        <f>IF(D9580="","",VLOOKUP(D9580, RECETTES!B:G, 6, FALSE)*E9580)</f>
        <v/>
      </c>
      <c r="J9580" s="8">
        <f>IF(G9580="","",G9580*0.20)</f>
        <v/>
      </c>
      <c r="K9580" s="8">
        <f>IF(G9580="","",G9580+J9580)</f>
        <v/>
      </c>
    </row>
    <row r="9581">
      <c r="F9581" s="8" t="n"/>
      <c r="G9581" s="8">
        <f>IF(E9581="","",E9581*F9581)</f>
        <v/>
      </c>
      <c r="H9581" s="8">
        <f>IF(G9581="","",G9581-I9581)</f>
        <v/>
      </c>
      <c r="I9581" s="8">
        <f>IF(D9581="","",VLOOKUP(D9581, RECETTES!B:G, 6, FALSE)*E9581)</f>
        <v/>
      </c>
      <c r="J9581" s="8">
        <f>IF(G9581="","",G9581*0.20)</f>
        <v/>
      </c>
      <c r="K9581" s="8">
        <f>IF(G9581="","",G9581+J9581)</f>
        <v/>
      </c>
    </row>
    <row r="9582">
      <c r="F9582" s="8" t="n"/>
      <c r="G9582" s="8">
        <f>IF(E9582="","",E9582*F9582)</f>
        <v/>
      </c>
      <c r="H9582" s="8">
        <f>IF(G9582="","",G9582-I9582)</f>
        <v/>
      </c>
      <c r="I9582" s="8">
        <f>IF(D9582="","",VLOOKUP(D9582, RECETTES!B:G, 6, FALSE)*E9582)</f>
        <v/>
      </c>
      <c r="J9582" s="8">
        <f>IF(G9582="","",G9582*0.20)</f>
        <v/>
      </c>
      <c r="K9582" s="8">
        <f>IF(G9582="","",G9582+J9582)</f>
        <v/>
      </c>
    </row>
    <row r="9583">
      <c r="F9583" s="8" t="n"/>
      <c r="G9583" s="8">
        <f>IF(E9583="","",E9583*F9583)</f>
        <v/>
      </c>
      <c r="H9583" s="8">
        <f>IF(G9583="","",G9583-I9583)</f>
        <v/>
      </c>
      <c r="I9583" s="8">
        <f>IF(D9583="","",VLOOKUP(D9583, RECETTES!B:G, 6, FALSE)*E9583)</f>
        <v/>
      </c>
      <c r="J9583" s="8">
        <f>IF(G9583="","",G9583*0.20)</f>
        <v/>
      </c>
      <c r="K9583" s="8">
        <f>IF(G9583="","",G9583+J9583)</f>
        <v/>
      </c>
    </row>
    <row r="9584">
      <c r="F9584" s="8" t="n"/>
      <c r="G9584" s="8">
        <f>IF(E9584="","",E9584*F9584)</f>
        <v/>
      </c>
      <c r="H9584" s="8">
        <f>IF(G9584="","",G9584-I9584)</f>
        <v/>
      </c>
      <c r="I9584" s="8">
        <f>IF(D9584="","",VLOOKUP(D9584, RECETTES!B:G, 6, FALSE)*E9584)</f>
        <v/>
      </c>
      <c r="J9584" s="8">
        <f>IF(G9584="","",G9584*0.20)</f>
        <v/>
      </c>
      <c r="K9584" s="8">
        <f>IF(G9584="","",G9584+J9584)</f>
        <v/>
      </c>
    </row>
    <row r="9585">
      <c r="F9585" s="8" t="n"/>
      <c r="G9585" s="8">
        <f>IF(E9585="","",E9585*F9585)</f>
        <v/>
      </c>
      <c r="H9585" s="8">
        <f>IF(G9585="","",G9585-I9585)</f>
        <v/>
      </c>
      <c r="I9585" s="8">
        <f>IF(D9585="","",VLOOKUP(D9585, RECETTES!B:G, 6, FALSE)*E9585)</f>
        <v/>
      </c>
      <c r="J9585" s="8">
        <f>IF(G9585="","",G9585*0.20)</f>
        <v/>
      </c>
      <c r="K9585" s="8">
        <f>IF(G9585="","",G9585+J9585)</f>
        <v/>
      </c>
    </row>
    <row r="9586">
      <c r="F9586" s="8" t="n"/>
      <c r="G9586" s="8">
        <f>IF(E9586="","",E9586*F9586)</f>
        <v/>
      </c>
      <c r="H9586" s="8">
        <f>IF(G9586="","",G9586-I9586)</f>
        <v/>
      </c>
      <c r="I9586" s="8">
        <f>IF(D9586="","",VLOOKUP(D9586, RECETTES!B:G, 6, FALSE)*E9586)</f>
        <v/>
      </c>
      <c r="J9586" s="8">
        <f>IF(G9586="","",G9586*0.20)</f>
        <v/>
      </c>
      <c r="K9586" s="8">
        <f>IF(G9586="","",G9586+J9586)</f>
        <v/>
      </c>
    </row>
    <row r="9587">
      <c r="F9587" s="8" t="n"/>
      <c r="G9587" s="8">
        <f>IF(E9587="","",E9587*F9587)</f>
        <v/>
      </c>
      <c r="H9587" s="8">
        <f>IF(G9587="","",G9587-I9587)</f>
        <v/>
      </c>
      <c r="I9587" s="8">
        <f>IF(D9587="","",VLOOKUP(D9587, RECETTES!B:G, 6, FALSE)*E9587)</f>
        <v/>
      </c>
      <c r="J9587" s="8">
        <f>IF(G9587="","",G9587*0.20)</f>
        <v/>
      </c>
      <c r="K9587" s="8">
        <f>IF(G9587="","",G9587+J9587)</f>
        <v/>
      </c>
    </row>
    <row r="9588">
      <c r="F9588" s="8" t="n"/>
      <c r="G9588" s="8">
        <f>IF(E9588="","",E9588*F9588)</f>
        <v/>
      </c>
      <c r="H9588" s="8">
        <f>IF(G9588="","",G9588-I9588)</f>
        <v/>
      </c>
      <c r="I9588" s="8">
        <f>IF(D9588="","",VLOOKUP(D9588, RECETTES!B:G, 6, FALSE)*E9588)</f>
        <v/>
      </c>
      <c r="J9588" s="8">
        <f>IF(G9588="","",G9588*0.20)</f>
        <v/>
      </c>
      <c r="K9588" s="8">
        <f>IF(G9588="","",G9588+J9588)</f>
        <v/>
      </c>
    </row>
    <row r="9589">
      <c r="F9589" s="8" t="n"/>
      <c r="G9589" s="8">
        <f>IF(E9589="","",E9589*F9589)</f>
        <v/>
      </c>
      <c r="H9589" s="8">
        <f>IF(G9589="","",G9589-I9589)</f>
        <v/>
      </c>
      <c r="I9589" s="8">
        <f>IF(D9589="","",VLOOKUP(D9589, RECETTES!B:G, 6, FALSE)*E9589)</f>
        <v/>
      </c>
      <c r="J9589" s="8">
        <f>IF(G9589="","",G9589*0.20)</f>
        <v/>
      </c>
      <c r="K9589" s="8">
        <f>IF(G9589="","",G9589+J9589)</f>
        <v/>
      </c>
    </row>
    <row r="9590">
      <c r="F9590" s="8" t="n"/>
      <c r="G9590" s="8">
        <f>IF(E9590="","",E9590*F9590)</f>
        <v/>
      </c>
      <c r="H9590" s="8">
        <f>IF(G9590="","",G9590-I9590)</f>
        <v/>
      </c>
      <c r="I9590" s="8">
        <f>IF(D9590="","",VLOOKUP(D9590, RECETTES!B:G, 6, FALSE)*E9590)</f>
        <v/>
      </c>
      <c r="J9590" s="8">
        <f>IF(G9590="","",G9590*0.20)</f>
        <v/>
      </c>
      <c r="K9590" s="8">
        <f>IF(G9590="","",G9590+J9590)</f>
        <v/>
      </c>
    </row>
    <row r="9591">
      <c r="F9591" s="8" t="n"/>
      <c r="G9591" s="8">
        <f>IF(E9591="","",E9591*F9591)</f>
        <v/>
      </c>
      <c r="H9591" s="8">
        <f>IF(G9591="","",G9591-I9591)</f>
        <v/>
      </c>
      <c r="I9591" s="8">
        <f>IF(D9591="","",VLOOKUP(D9591, RECETTES!B:G, 6, FALSE)*E9591)</f>
        <v/>
      </c>
      <c r="J9591" s="8">
        <f>IF(G9591="","",G9591*0.20)</f>
        <v/>
      </c>
      <c r="K9591" s="8">
        <f>IF(G9591="","",G9591+J9591)</f>
        <v/>
      </c>
    </row>
    <row r="9592">
      <c r="F9592" s="8" t="n"/>
      <c r="G9592" s="8">
        <f>IF(E9592="","",E9592*F9592)</f>
        <v/>
      </c>
      <c r="H9592" s="8">
        <f>IF(G9592="","",G9592-I9592)</f>
        <v/>
      </c>
      <c r="I9592" s="8">
        <f>IF(D9592="","",VLOOKUP(D9592, RECETTES!B:G, 6, FALSE)*E9592)</f>
        <v/>
      </c>
      <c r="J9592" s="8">
        <f>IF(G9592="","",G9592*0.20)</f>
        <v/>
      </c>
      <c r="K9592" s="8">
        <f>IF(G9592="","",G9592+J9592)</f>
        <v/>
      </c>
    </row>
    <row r="9593">
      <c r="F9593" s="8" t="n"/>
      <c r="G9593" s="8">
        <f>IF(E9593="","",E9593*F9593)</f>
        <v/>
      </c>
      <c r="H9593" s="8">
        <f>IF(G9593="","",G9593-I9593)</f>
        <v/>
      </c>
      <c r="I9593" s="8">
        <f>IF(D9593="","",VLOOKUP(D9593, RECETTES!B:G, 6, FALSE)*E9593)</f>
        <v/>
      </c>
      <c r="J9593" s="8">
        <f>IF(G9593="","",G9593*0.20)</f>
        <v/>
      </c>
      <c r="K9593" s="8">
        <f>IF(G9593="","",G9593+J9593)</f>
        <v/>
      </c>
    </row>
    <row r="9594">
      <c r="F9594" s="8" t="n"/>
      <c r="G9594" s="8">
        <f>IF(E9594="","",E9594*F9594)</f>
        <v/>
      </c>
      <c r="H9594" s="8">
        <f>IF(G9594="","",G9594-I9594)</f>
        <v/>
      </c>
      <c r="I9594" s="8">
        <f>IF(D9594="","",VLOOKUP(D9594, RECETTES!B:G, 6, FALSE)*E9594)</f>
        <v/>
      </c>
      <c r="J9594" s="8">
        <f>IF(G9594="","",G9594*0.20)</f>
        <v/>
      </c>
      <c r="K9594" s="8">
        <f>IF(G9594="","",G9594+J9594)</f>
        <v/>
      </c>
    </row>
    <row r="9595">
      <c r="F9595" s="8" t="n"/>
      <c r="G9595" s="8">
        <f>IF(E9595="","",E9595*F9595)</f>
        <v/>
      </c>
      <c r="H9595" s="8">
        <f>IF(G9595="","",G9595-I9595)</f>
        <v/>
      </c>
      <c r="I9595" s="8">
        <f>IF(D9595="","",VLOOKUP(D9595, RECETTES!B:G, 6, FALSE)*E9595)</f>
        <v/>
      </c>
      <c r="J9595" s="8">
        <f>IF(G9595="","",G9595*0.20)</f>
        <v/>
      </c>
      <c r="K9595" s="8">
        <f>IF(G9595="","",G9595+J9595)</f>
        <v/>
      </c>
    </row>
    <row r="9596">
      <c r="F9596" s="8" t="n"/>
      <c r="G9596" s="8">
        <f>IF(E9596="","",E9596*F9596)</f>
        <v/>
      </c>
      <c r="H9596" s="8">
        <f>IF(G9596="","",G9596-I9596)</f>
        <v/>
      </c>
      <c r="I9596" s="8">
        <f>IF(D9596="","",VLOOKUP(D9596, RECETTES!B:G, 6, FALSE)*E9596)</f>
        <v/>
      </c>
      <c r="J9596" s="8">
        <f>IF(G9596="","",G9596*0.20)</f>
        <v/>
      </c>
      <c r="K9596" s="8">
        <f>IF(G9596="","",G9596+J9596)</f>
        <v/>
      </c>
    </row>
    <row r="9597">
      <c r="F9597" s="8" t="n"/>
      <c r="G9597" s="8">
        <f>IF(E9597="","",E9597*F9597)</f>
        <v/>
      </c>
      <c r="H9597" s="8">
        <f>IF(G9597="","",G9597-I9597)</f>
        <v/>
      </c>
      <c r="I9597" s="8">
        <f>IF(D9597="","",VLOOKUP(D9597, RECETTES!B:G, 6, FALSE)*E9597)</f>
        <v/>
      </c>
      <c r="J9597" s="8">
        <f>IF(G9597="","",G9597*0.20)</f>
        <v/>
      </c>
      <c r="K9597" s="8">
        <f>IF(G9597="","",G9597+J9597)</f>
        <v/>
      </c>
    </row>
    <row r="9598">
      <c r="F9598" s="8" t="n"/>
      <c r="G9598" s="8">
        <f>IF(E9598="","",E9598*F9598)</f>
        <v/>
      </c>
      <c r="H9598" s="8">
        <f>IF(G9598="","",G9598-I9598)</f>
        <v/>
      </c>
      <c r="I9598" s="8">
        <f>IF(D9598="","",VLOOKUP(D9598, RECETTES!B:G, 6, FALSE)*E9598)</f>
        <v/>
      </c>
      <c r="J9598" s="8">
        <f>IF(G9598="","",G9598*0.20)</f>
        <v/>
      </c>
      <c r="K9598" s="8">
        <f>IF(G9598="","",G9598+J9598)</f>
        <v/>
      </c>
    </row>
    <row r="9599">
      <c r="F9599" s="8" t="n"/>
      <c r="G9599" s="8">
        <f>IF(E9599="","",E9599*F9599)</f>
        <v/>
      </c>
      <c r="H9599" s="8">
        <f>IF(G9599="","",G9599-I9599)</f>
        <v/>
      </c>
      <c r="I9599" s="8">
        <f>IF(D9599="","",VLOOKUP(D9599, RECETTES!B:G, 6, FALSE)*E9599)</f>
        <v/>
      </c>
      <c r="J9599" s="8">
        <f>IF(G9599="","",G9599*0.20)</f>
        <v/>
      </c>
      <c r="K9599" s="8">
        <f>IF(G9599="","",G9599+J9599)</f>
        <v/>
      </c>
    </row>
    <row r="9600">
      <c r="F9600" s="8" t="n"/>
      <c r="G9600" s="8">
        <f>IF(E9600="","",E9600*F9600)</f>
        <v/>
      </c>
      <c r="H9600" s="8">
        <f>IF(G9600="","",G9600-I9600)</f>
        <v/>
      </c>
      <c r="I9600" s="8">
        <f>IF(D9600="","",VLOOKUP(D9600, RECETTES!B:G, 6, FALSE)*E9600)</f>
        <v/>
      </c>
      <c r="J9600" s="8">
        <f>IF(G9600="","",G9600*0.20)</f>
        <v/>
      </c>
      <c r="K9600" s="8">
        <f>IF(G9600="","",G9600+J9600)</f>
        <v/>
      </c>
    </row>
    <row r="9601">
      <c r="F9601" s="8" t="n"/>
      <c r="G9601" s="8">
        <f>IF(E9601="","",E9601*F9601)</f>
        <v/>
      </c>
      <c r="H9601" s="8">
        <f>IF(G9601="","",G9601-I9601)</f>
        <v/>
      </c>
      <c r="I9601" s="8">
        <f>IF(D9601="","",VLOOKUP(D9601, RECETTES!B:G, 6, FALSE)*E9601)</f>
        <v/>
      </c>
      <c r="J9601" s="8">
        <f>IF(G9601="","",G9601*0.20)</f>
        <v/>
      </c>
      <c r="K9601" s="8">
        <f>IF(G9601="","",G9601+J9601)</f>
        <v/>
      </c>
    </row>
    <row r="9602">
      <c r="F9602" s="8" t="n"/>
      <c r="G9602" s="8">
        <f>IF(E9602="","",E9602*F9602)</f>
        <v/>
      </c>
      <c r="H9602" s="8">
        <f>IF(G9602="","",G9602-I9602)</f>
        <v/>
      </c>
      <c r="I9602" s="8">
        <f>IF(D9602="","",VLOOKUP(D9602, RECETTES!B:G, 6, FALSE)*E9602)</f>
        <v/>
      </c>
      <c r="J9602" s="8">
        <f>IF(G9602="","",G9602*0.20)</f>
        <v/>
      </c>
      <c r="K9602" s="8">
        <f>IF(G9602="","",G9602+J9602)</f>
        <v/>
      </c>
    </row>
    <row r="9603">
      <c r="F9603" s="8" t="n"/>
      <c r="G9603" s="8">
        <f>IF(E9603="","",E9603*F9603)</f>
        <v/>
      </c>
      <c r="H9603" s="8">
        <f>IF(G9603="","",G9603-I9603)</f>
        <v/>
      </c>
      <c r="I9603" s="8">
        <f>IF(D9603="","",VLOOKUP(D9603, RECETTES!B:G, 6, FALSE)*E9603)</f>
        <v/>
      </c>
      <c r="J9603" s="8">
        <f>IF(G9603="","",G9603*0.20)</f>
        <v/>
      </c>
      <c r="K9603" s="8">
        <f>IF(G9603="","",G9603+J9603)</f>
        <v/>
      </c>
    </row>
    <row r="9604">
      <c r="F9604" s="8" t="n"/>
      <c r="G9604" s="8">
        <f>IF(E9604="","",E9604*F9604)</f>
        <v/>
      </c>
      <c r="H9604" s="8">
        <f>IF(G9604="","",G9604-I9604)</f>
        <v/>
      </c>
      <c r="I9604" s="8">
        <f>IF(D9604="","",VLOOKUP(D9604, RECETTES!B:G, 6, FALSE)*E9604)</f>
        <v/>
      </c>
      <c r="J9604" s="8">
        <f>IF(G9604="","",G9604*0.20)</f>
        <v/>
      </c>
      <c r="K9604" s="8">
        <f>IF(G9604="","",G9604+J9604)</f>
        <v/>
      </c>
    </row>
    <row r="9605">
      <c r="F9605" s="8" t="n"/>
      <c r="G9605" s="8">
        <f>IF(E9605="","",E9605*F9605)</f>
        <v/>
      </c>
      <c r="H9605" s="8">
        <f>IF(G9605="","",G9605-I9605)</f>
        <v/>
      </c>
      <c r="I9605" s="8">
        <f>IF(D9605="","",VLOOKUP(D9605, RECETTES!B:G, 6, FALSE)*E9605)</f>
        <v/>
      </c>
      <c r="J9605" s="8">
        <f>IF(G9605="","",G9605*0.20)</f>
        <v/>
      </c>
      <c r="K9605" s="8">
        <f>IF(G9605="","",G9605+J9605)</f>
        <v/>
      </c>
    </row>
    <row r="9606">
      <c r="F9606" s="8" t="n"/>
      <c r="G9606" s="8">
        <f>IF(E9606="","",E9606*F9606)</f>
        <v/>
      </c>
      <c r="H9606" s="8">
        <f>IF(G9606="","",G9606-I9606)</f>
        <v/>
      </c>
      <c r="I9606" s="8">
        <f>IF(D9606="","",VLOOKUP(D9606, RECETTES!B:G, 6, FALSE)*E9606)</f>
        <v/>
      </c>
      <c r="J9606" s="8">
        <f>IF(G9606="","",G9606*0.20)</f>
        <v/>
      </c>
      <c r="K9606" s="8">
        <f>IF(G9606="","",G9606+J9606)</f>
        <v/>
      </c>
    </row>
    <row r="9607">
      <c r="F9607" s="8" t="n"/>
      <c r="G9607" s="8">
        <f>IF(E9607="","",E9607*F9607)</f>
        <v/>
      </c>
      <c r="H9607" s="8">
        <f>IF(G9607="","",G9607-I9607)</f>
        <v/>
      </c>
      <c r="I9607" s="8">
        <f>IF(D9607="","",VLOOKUP(D9607, RECETTES!B:G, 6, FALSE)*E9607)</f>
        <v/>
      </c>
      <c r="J9607" s="8">
        <f>IF(G9607="","",G9607*0.20)</f>
        <v/>
      </c>
      <c r="K9607" s="8">
        <f>IF(G9607="","",G9607+J9607)</f>
        <v/>
      </c>
    </row>
    <row r="9608">
      <c r="F9608" s="8" t="n"/>
      <c r="G9608" s="8">
        <f>IF(E9608="","",E9608*F9608)</f>
        <v/>
      </c>
      <c r="H9608" s="8">
        <f>IF(G9608="","",G9608-I9608)</f>
        <v/>
      </c>
      <c r="I9608" s="8">
        <f>IF(D9608="","",VLOOKUP(D9608, RECETTES!B:G, 6, FALSE)*E9608)</f>
        <v/>
      </c>
      <c r="J9608" s="8">
        <f>IF(G9608="","",G9608*0.20)</f>
        <v/>
      </c>
      <c r="K9608" s="8">
        <f>IF(G9608="","",G9608+J9608)</f>
        <v/>
      </c>
    </row>
    <row r="9609">
      <c r="F9609" s="8" t="n"/>
      <c r="G9609" s="8">
        <f>IF(E9609="","",E9609*F9609)</f>
        <v/>
      </c>
      <c r="H9609" s="8">
        <f>IF(G9609="","",G9609-I9609)</f>
        <v/>
      </c>
      <c r="I9609" s="8">
        <f>IF(D9609="","",VLOOKUP(D9609, RECETTES!B:G, 6, FALSE)*E9609)</f>
        <v/>
      </c>
      <c r="J9609" s="8">
        <f>IF(G9609="","",G9609*0.20)</f>
        <v/>
      </c>
      <c r="K9609" s="8">
        <f>IF(G9609="","",G9609+J9609)</f>
        <v/>
      </c>
    </row>
    <row r="9610">
      <c r="F9610" s="8" t="n"/>
      <c r="G9610" s="8">
        <f>IF(E9610="","",E9610*F9610)</f>
        <v/>
      </c>
      <c r="H9610" s="8">
        <f>IF(G9610="","",G9610-I9610)</f>
        <v/>
      </c>
      <c r="I9610" s="8">
        <f>IF(D9610="","",VLOOKUP(D9610, RECETTES!B:G, 6, FALSE)*E9610)</f>
        <v/>
      </c>
      <c r="J9610" s="8">
        <f>IF(G9610="","",G9610*0.20)</f>
        <v/>
      </c>
      <c r="K9610" s="8">
        <f>IF(G9610="","",G9610+J9610)</f>
        <v/>
      </c>
    </row>
    <row r="9611">
      <c r="F9611" s="8" t="n"/>
      <c r="G9611" s="8">
        <f>IF(E9611="","",E9611*F9611)</f>
        <v/>
      </c>
      <c r="H9611" s="8">
        <f>IF(G9611="","",G9611-I9611)</f>
        <v/>
      </c>
      <c r="I9611" s="8">
        <f>IF(D9611="","",VLOOKUP(D9611, RECETTES!B:G, 6, FALSE)*E9611)</f>
        <v/>
      </c>
      <c r="J9611" s="8">
        <f>IF(G9611="","",G9611*0.20)</f>
        <v/>
      </c>
      <c r="K9611" s="8">
        <f>IF(G9611="","",G9611+J9611)</f>
        <v/>
      </c>
    </row>
    <row r="9612">
      <c r="F9612" s="8" t="n"/>
      <c r="G9612" s="8">
        <f>IF(E9612="","",E9612*F9612)</f>
        <v/>
      </c>
      <c r="H9612" s="8">
        <f>IF(G9612="","",G9612-I9612)</f>
        <v/>
      </c>
      <c r="I9612" s="8">
        <f>IF(D9612="","",VLOOKUP(D9612, RECETTES!B:G, 6, FALSE)*E9612)</f>
        <v/>
      </c>
      <c r="J9612" s="8">
        <f>IF(G9612="","",G9612*0.20)</f>
        <v/>
      </c>
      <c r="K9612" s="8">
        <f>IF(G9612="","",G9612+J9612)</f>
        <v/>
      </c>
    </row>
    <row r="9613">
      <c r="F9613" s="8" t="n"/>
      <c r="G9613" s="8">
        <f>IF(E9613="","",E9613*F9613)</f>
        <v/>
      </c>
      <c r="H9613" s="8">
        <f>IF(G9613="","",G9613-I9613)</f>
        <v/>
      </c>
      <c r="I9613" s="8">
        <f>IF(D9613="","",VLOOKUP(D9613, RECETTES!B:G, 6, FALSE)*E9613)</f>
        <v/>
      </c>
      <c r="J9613" s="8">
        <f>IF(G9613="","",G9613*0.20)</f>
        <v/>
      </c>
      <c r="K9613" s="8">
        <f>IF(G9613="","",G9613+J9613)</f>
        <v/>
      </c>
    </row>
    <row r="9614">
      <c r="F9614" s="8" t="n"/>
      <c r="G9614" s="8">
        <f>IF(E9614="","",E9614*F9614)</f>
        <v/>
      </c>
      <c r="H9614" s="8">
        <f>IF(G9614="","",G9614-I9614)</f>
        <v/>
      </c>
      <c r="I9614" s="8">
        <f>IF(D9614="","",VLOOKUP(D9614, RECETTES!B:G, 6, FALSE)*E9614)</f>
        <v/>
      </c>
      <c r="J9614" s="8">
        <f>IF(G9614="","",G9614*0.20)</f>
        <v/>
      </c>
      <c r="K9614" s="8">
        <f>IF(G9614="","",G9614+J9614)</f>
        <v/>
      </c>
    </row>
    <row r="9615">
      <c r="F9615" s="8" t="n"/>
      <c r="G9615" s="8">
        <f>IF(E9615="","",E9615*F9615)</f>
        <v/>
      </c>
      <c r="H9615" s="8">
        <f>IF(G9615="","",G9615-I9615)</f>
        <v/>
      </c>
      <c r="I9615" s="8">
        <f>IF(D9615="","",VLOOKUP(D9615, RECETTES!B:G, 6, FALSE)*E9615)</f>
        <v/>
      </c>
      <c r="J9615" s="8">
        <f>IF(G9615="","",G9615*0.20)</f>
        <v/>
      </c>
      <c r="K9615" s="8">
        <f>IF(G9615="","",G9615+J9615)</f>
        <v/>
      </c>
    </row>
    <row r="9616">
      <c r="F9616" s="8" t="n"/>
      <c r="G9616" s="8">
        <f>IF(E9616="","",E9616*F9616)</f>
        <v/>
      </c>
      <c r="H9616" s="8">
        <f>IF(G9616="","",G9616-I9616)</f>
        <v/>
      </c>
      <c r="I9616" s="8">
        <f>IF(D9616="","",VLOOKUP(D9616, RECETTES!B:G, 6, FALSE)*E9616)</f>
        <v/>
      </c>
      <c r="J9616" s="8">
        <f>IF(G9616="","",G9616*0.20)</f>
        <v/>
      </c>
      <c r="K9616" s="8">
        <f>IF(G9616="","",G9616+J9616)</f>
        <v/>
      </c>
    </row>
    <row r="9617">
      <c r="F9617" s="8" t="n"/>
      <c r="G9617" s="8">
        <f>IF(E9617="","",E9617*F9617)</f>
        <v/>
      </c>
      <c r="H9617" s="8">
        <f>IF(G9617="","",G9617-I9617)</f>
        <v/>
      </c>
      <c r="I9617" s="8">
        <f>IF(D9617="","",VLOOKUP(D9617, RECETTES!B:G, 6, FALSE)*E9617)</f>
        <v/>
      </c>
      <c r="J9617" s="8">
        <f>IF(G9617="","",G9617*0.20)</f>
        <v/>
      </c>
      <c r="K9617" s="8">
        <f>IF(G9617="","",G9617+J9617)</f>
        <v/>
      </c>
    </row>
    <row r="9618">
      <c r="F9618" s="8" t="n"/>
      <c r="G9618" s="8">
        <f>IF(E9618="","",E9618*F9618)</f>
        <v/>
      </c>
      <c r="H9618" s="8">
        <f>IF(G9618="","",G9618-I9618)</f>
        <v/>
      </c>
      <c r="I9618" s="8">
        <f>IF(D9618="","",VLOOKUP(D9618, RECETTES!B:G, 6, FALSE)*E9618)</f>
        <v/>
      </c>
      <c r="J9618" s="8">
        <f>IF(G9618="","",G9618*0.20)</f>
        <v/>
      </c>
      <c r="K9618" s="8">
        <f>IF(G9618="","",G9618+J9618)</f>
        <v/>
      </c>
    </row>
    <row r="9619">
      <c r="F9619" s="8" t="n"/>
      <c r="G9619" s="8">
        <f>IF(E9619="","",E9619*F9619)</f>
        <v/>
      </c>
      <c r="H9619" s="8">
        <f>IF(G9619="","",G9619-I9619)</f>
        <v/>
      </c>
      <c r="I9619" s="8">
        <f>IF(D9619="","",VLOOKUP(D9619, RECETTES!B:G, 6, FALSE)*E9619)</f>
        <v/>
      </c>
      <c r="J9619" s="8">
        <f>IF(G9619="","",G9619*0.20)</f>
        <v/>
      </c>
      <c r="K9619" s="8">
        <f>IF(G9619="","",G9619+J9619)</f>
        <v/>
      </c>
    </row>
    <row r="9620">
      <c r="F9620" s="8" t="n"/>
      <c r="G9620" s="8">
        <f>IF(E9620="","",E9620*F9620)</f>
        <v/>
      </c>
      <c r="H9620" s="8">
        <f>IF(G9620="","",G9620-I9620)</f>
        <v/>
      </c>
      <c r="I9620" s="8">
        <f>IF(D9620="","",VLOOKUP(D9620, RECETTES!B:G, 6, FALSE)*E9620)</f>
        <v/>
      </c>
      <c r="J9620" s="8">
        <f>IF(G9620="","",G9620*0.20)</f>
        <v/>
      </c>
      <c r="K9620" s="8">
        <f>IF(G9620="","",G9620+J9620)</f>
        <v/>
      </c>
    </row>
    <row r="9621">
      <c r="F9621" s="8" t="n"/>
      <c r="G9621" s="8">
        <f>IF(E9621="","",E9621*F9621)</f>
        <v/>
      </c>
      <c r="H9621" s="8">
        <f>IF(G9621="","",G9621-I9621)</f>
        <v/>
      </c>
      <c r="I9621" s="8">
        <f>IF(D9621="","",VLOOKUP(D9621, RECETTES!B:G, 6, FALSE)*E9621)</f>
        <v/>
      </c>
      <c r="J9621" s="8">
        <f>IF(G9621="","",G9621*0.20)</f>
        <v/>
      </c>
      <c r="K9621" s="8">
        <f>IF(G9621="","",G9621+J9621)</f>
        <v/>
      </c>
    </row>
    <row r="9622">
      <c r="F9622" s="8" t="n"/>
      <c r="G9622" s="8">
        <f>IF(E9622="","",E9622*F9622)</f>
        <v/>
      </c>
      <c r="H9622" s="8">
        <f>IF(G9622="","",G9622-I9622)</f>
        <v/>
      </c>
      <c r="I9622" s="8">
        <f>IF(D9622="","",VLOOKUP(D9622, RECETTES!B:G, 6, FALSE)*E9622)</f>
        <v/>
      </c>
      <c r="J9622" s="8">
        <f>IF(G9622="","",G9622*0.20)</f>
        <v/>
      </c>
      <c r="K9622" s="8">
        <f>IF(G9622="","",G9622+J9622)</f>
        <v/>
      </c>
    </row>
    <row r="9623">
      <c r="F9623" s="8" t="n"/>
      <c r="G9623" s="8">
        <f>IF(E9623="","",E9623*F9623)</f>
        <v/>
      </c>
      <c r="H9623" s="8">
        <f>IF(G9623="","",G9623-I9623)</f>
        <v/>
      </c>
      <c r="I9623" s="8">
        <f>IF(D9623="","",VLOOKUP(D9623, RECETTES!B:G, 6, FALSE)*E9623)</f>
        <v/>
      </c>
      <c r="J9623" s="8">
        <f>IF(G9623="","",G9623*0.20)</f>
        <v/>
      </c>
      <c r="K9623" s="8">
        <f>IF(G9623="","",G9623+J9623)</f>
        <v/>
      </c>
    </row>
    <row r="9624">
      <c r="F9624" s="8" t="n"/>
      <c r="G9624" s="8">
        <f>IF(E9624="","",E9624*F9624)</f>
        <v/>
      </c>
      <c r="H9624" s="8">
        <f>IF(G9624="","",G9624-I9624)</f>
        <v/>
      </c>
      <c r="I9624" s="8">
        <f>IF(D9624="","",VLOOKUP(D9624, RECETTES!B:G, 6, FALSE)*E9624)</f>
        <v/>
      </c>
      <c r="J9624" s="8">
        <f>IF(G9624="","",G9624*0.20)</f>
        <v/>
      </c>
      <c r="K9624" s="8">
        <f>IF(G9624="","",G9624+J9624)</f>
        <v/>
      </c>
    </row>
    <row r="9625">
      <c r="F9625" s="8" t="n"/>
      <c r="G9625" s="8">
        <f>IF(E9625="","",E9625*F9625)</f>
        <v/>
      </c>
      <c r="H9625" s="8">
        <f>IF(G9625="","",G9625-I9625)</f>
        <v/>
      </c>
      <c r="I9625" s="8">
        <f>IF(D9625="","",VLOOKUP(D9625, RECETTES!B:G, 6, FALSE)*E9625)</f>
        <v/>
      </c>
      <c r="J9625" s="8">
        <f>IF(G9625="","",G9625*0.20)</f>
        <v/>
      </c>
      <c r="K9625" s="8">
        <f>IF(G9625="","",G9625+J9625)</f>
        <v/>
      </c>
    </row>
    <row r="9626">
      <c r="F9626" s="8" t="n"/>
      <c r="G9626" s="8">
        <f>IF(E9626="","",E9626*F9626)</f>
        <v/>
      </c>
      <c r="H9626" s="8">
        <f>IF(G9626="","",G9626-I9626)</f>
        <v/>
      </c>
      <c r="I9626" s="8">
        <f>IF(D9626="","",VLOOKUP(D9626, RECETTES!B:G, 6, FALSE)*E9626)</f>
        <v/>
      </c>
      <c r="J9626" s="8">
        <f>IF(G9626="","",G9626*0.20)</f>
        <v/>
      </c>
      <c r="K9626" s="8">
        <f>IF(G9626="","",G9626+J9626)</f>
        <v/>
      </c>
    </row>
    <row r="9627">
      <c r="F9627" s="8" t="n"/>
      <c r="G9627" s="8">
        <f>IF(E9627="","",E9627*F9627)</f>
        <v/>
      </c>
      <c r="H9627" s="8">
        <f>IF(G9627="","",G9627-I9627)</f>
        <v/>
      </c>
      <c r="I9627" s="8">
        <f>IF(D9627="","",VLOOKUP(D9627, RECETTES!B:G, 6, FALSE)*E9627)</f>
        <v/>
      </c>
      <c r="J9627" s="8">
        <f>IF(G9627="","",G9627*0.20)</f>
        <v/>
      </c>
      <c r="K9627" s="8">
        <f>IF(G9627="","",G9627+J9627)</f>
        <v/>
      </c>
    </row>
    <row r="9628">
      <c r="F9628" s="8" t="n"/>
      <c r="G9628" s="8">
        <f>IF(E9628="","",E9628*F9628)</f>
        <v/>
      </c>
      <c r="H9628" s="8">
        <f>IF(G9628="","",G9628-I9628)</f>
        <v/>
      </c>
      <c r="I9628" s="8">
        <f>IF(D9628="","",VLOOKUP(D9628, RECETTES!B:G, 6, FALSE)*E9628)</f>
        <v/>
      </c>
      <c r="J9628" s="8">
        <f>IF(G9628="","",G9628*0.20)</f>
        <v/>
      </c>
      <c r="K9628" s="8">
        <f>IF(G9628="","",G9628+J9628)</f>
        <v/>
      </c>
    </row>
    <row r="9629">
      <c r="F9629" s="8" t="n"/>
      <c r="G9629" s="8">
        <f>IF(E9629="","",E9629*F9629)</f>
        <v/>
      </c>
      <c r="H9629" s="8">
        <f>IF(G9629="","",G9629-I9629)</f>
        <v/>
      </c>
      <c r="I9629" s="8">
        <f>IF(D9629="","",VLOOKUP(D9629, RECETTES!B:G, 6, FALSE)*E9629)</f>
        <v/>
      </c>
      <c r="J9629" s="8">
        <f>IF(G9629="","",G9629*0.20)</f>
        <v/>
      </c>
      <c r="K9629" s="8">
        <f>IF(G9629="","",G9629+J9629)</f>
        <v/>
      </c>
    </row>
    <row r="9630">
      <c r="F9630" s="8" t="n"/>
      <c r="G9630" s="8">
        <f>IF(E9630="","",E9630*F9630)</f>
        <v/>
      </c>
      <c r="H9630" s="8">
        <f>IF(G9630="","",G9630-I9630)</f>
        <v/>
      </c>
      <c r="I9630" s="8">
        <f>IF(D9630="","",VLOOKUP(D9630, RECETTES!B:G, 6, FALSE)*E9630)</f>
        <v/>
      </c>
      <c r="J9630" s="8">
        <f>IF(G9630="","",G9630*0.20)</f>
        <v/>
      </c>
      <c r="K9630" s="8">
        <f>IF(G9630="","",G9630+J9630)</f>
        <v/>
      </c>
    </row>
    <row r="9631">
      <c r="F9631" s="8" t="n"/>
      <c r="G9631" s="8">
        <f>IF(E9631="","",E9631*F9631)</f>
        <v/>
      </c>
      <c r="H9631" s="8">
        <f>IF(G9631="","",G9631-I9631)</f>
        <v/>
      </c>
      <c r="I9631" s="8">
        <f>IF(D9631="","",VLOOKUP(D9631, RECETTES!B:G, 6, FALSE)*E9631)</f>
        <v/>
      </c>
      <c r="J9631" s="8">
        <f>IF(G9631="","",G9631*0.20)</f>
        <v/>
      </c>
      <c r="K9631" s="8">
        <f>IF(G9631="","",G9631+J9631)</f>
        <v/>
      </c>
    </row>
    <row r="9632">
      <c r="F9632" s="8" t="n"/>
      <c r="G9632" s="8">
        <f>IF(E9632="","",E9632*F9632)</f>
        <v/>
      </c>
      <c r="H9632" s="8">
        <f>IF(G9632="","",G9632-I9632)</f>
        <v/>
      </c>
      <c r="I9632" s="8">
        <f>IF(D9632="","",VLOOKUP(D9632, RECETTES!B:G, 6, FALSE)*E9632)</f>
        <v/>
      </c>
      <c r="J9632" s="8">
        <f>IF(G9632="","",G9632*0.20)</f>
        <v/>
      </c>
      <c r="K9632" s="8">
        <f>IF(G9632="","",G9632+J9632)</f>
        <v/>
      </c>
    </row>
    <row r="9633">
      <c r="F9633" s="8" t="n"/>
      <c r="G9633" s="8">
        <f>IF(E9633="","",E9633*F9633)</f>
        <v/>
      </c>
      <c r="H9633" s="8">
        <f>IF(G9633="","",G9633-I9633)</f>
        <v/>
      </c>
      <c r="I9633" s="8">
        <f>IF(D9633="","",VLOOKUP(D9633, RECETTES!B:G, 6, FALSE)*E9633)</f>
        <v/>
      </c>
      <c r="J9633" s="8">
        <f>IF(G9633="","",G9633*0.20)</f>
        <v/>
      </c>
      <c r="K9633" s="8">
        <f>IF(G9633="","",G9633+J9633)</f>
        <v/>
      </c>
    </row>
    <row r="9634">
      <c r="F9634" s="8" t="n"/>
      <c r="G9634" s="8">
        <f>IF(E9634="","",E9634*F9634)</f>
        <v/>
      </c>
      <c r="H9634" s="8">
        <f>IF(G9634="","",G9634-I9634)</f>
        <v/>
      </c>
      <c r="I9634" s="8">
        <f>IF(D9634="","",VLOOKUP(D9634, RECETTES!B:G, 6, FALSE)*E9634)</f>
        <v/>
      </c>
      <c r="J9634" s="8">
        <f>IF(G9634="","",G9634*0.20)</f>
        <v/>
      </c>
      <c r="K9634" s="8">
        <f>IF(G9634="","",G9634+J9634)</f>
        <v/>
      </c>
    </row>
    <row r="9635">
      <c r="F9635" s="8" t="n"/>
      <c r="G9635" s="8">
        <f>IF(E9635="","",E9635*F9635)</f>
        <v/>
      </c>
      <c r="H9635" s="8">
        <f>IF(G9635="","",G9635-I9635)</f>
        <v/>
      </c>
      <c r="I9635" s="8">
        <f>IF(D9635="","",VLOOKUP(D9635, RECETTES!B:G, 6, FALSE)*E9635)</f>
        <v/>
      </c>
      <c r="J9635" s="8">
        <f>IF(G9635="","",G9635*0.20)</f>
        <v/>
      </c>
      <c r="K9635" s="8">
        <f>IF(G9635="","",G9635+J9635)</f>
        <v/>
      </c>
    </row>
    <row r="9636">
      <c r="F9636" s="8" t="n"/>
      <c r="G9636" s="8">
        <f>IF(E9636="","",E9636*F9636)</f>
        <v/>
      </c>
      <c r="H9636" s="8">
        <f>IF(G9636="","",G9636-I9636)</f>
        <v/>
      </c>
      <c r="I9636" s="8">
        <f>IF(D9636="","",VLOOKUP(D9636, RECETTES!B:G, 6, FALSE)*E9636)</f>
        <v/>
      </c>
      <c r="J9636" s="8">
        <f>IF(G9636="","",G9636*0.20)</f>
        <v/>
      </c>
      <c r="K9636" s="8">
        <f>IF(G9636="","",G9636+J9636)</f>
        <v/>
      </c>
    </row>
    <row r="9637">
      <c r="F9637" s="8" t="n"/>
      <c r="G9637" s="8">
        <f>IF(E9637="","",E9637*F9637)</f>
        <v/>
      </c>
      <c r="H9637" s="8">
        <f>IF(G9637="","",G9637-I9637)</f>
        <v/>
      </c>
      <c r="I9637" s="8">
        <f>IF(D9637="","",VLOOKUP(D9637, RECETTES!B:G, 6, FALSE)*E9637)</f>
        <v/>
      </c>
      <c r="J9637" s="8">
        <f>IF(G9637="","",G9637*0.20)</f>
        <v/>
      </c>
      <c r="K9637" s="8">
        <f>IF(G9637="","",G9637+J9637)</f>
        <v/>
      </c>
    </row>
    <row r="9638">
      <c r="F9638" s="8" t="n"/>
      <c r="G9638" s="8">
        <f>IF(E9638="","",E9638*F9638)</f>
        <v/>
      </c>
      <c r="H9638" s="8">
        <f>IF(G9638="","",G9638-I9638)</f>
        <v/>
      </c>
      <c r="I9638" s="8">
        <f>IF(D9638="","",VLOOKUP(D9638, RECETTES!B:G, 6, FALSE)*E9638)</f>
        <v/>
      </c>
      <c r="J9638" s="8">
        <f>IF(G9638="","",G9638*0.20)</f>
        <v/>
      </c>
      <c r="K9638" s="8">
        <f>IF(G9638="","",G9638+J9638)</f>
        <v/>
      </c>
    </row>
    <row r="9639">
      <c r="F9639" s="8" t="n"/>
      <c r="G9639" s="8">
        <f>IF(E9639="","",E9639*F9639)</f>
        <v/>
      </c>
      <c r="H9639" s="8">
        <f>IF(G9639="","",G9639-I9639)</f>
        <v/>
      </c>
      <c r="I9639" s="8">
        <f>IF(D9639="","",VLOOKUP(D9639, RECETTES!B:G, 6, FALSE)*E9639)</f>
        <v/>
      </c>
      <c r="J9639" s="8">
        <f>IF(G9639="","",G9639*0.20)</f>
        <v/>
      </c>
      <c r="K9639" s="8">
        <f>IF(G9639="","",G9639+J9639)</f>
        <v/>
      </c>
    </row>
    <row r="9640">
      <c r="F9640" s="8" t="n"/>
      <c r="G9640" s="8">
        <f>IF(E9640="","",E9640*F9640)</f>
        <v/>
      </c>
      <c r="H9640" s="8">
        <f>IF(G9640="","",G9640-I9640)</f>
        <v/>
      </c>
      <c r="I9640" s="8">
        <f>IF(D9640="","",VLOOKUP(D9640, RECETTES!B:G, 6, FALSE)*E9640)</f>
        <v/>
      </c>
      <c r="J9640" s="8">
        <f>IF(G9640="","",G9640*0.20)</f>
        <v/>
      </c>
      <c r="K9640" s="8">
        <f>IF(G9640="","",G9640+J9640)</f>
        <v/>
      </c>
    </row>
    <row r="9641">
      <c r="F9641" s="8" t="n"/>
      <c r="G9641" s="8">
        <f>IF(E9641="","",E9641*F9641)</f>
        <v/>
      </c>
      <c r="H9641" s="8">
        <f>IF(G9641="","",G9641-I9641)</f>
        <v/>
      </c>
      <c r="I9641" s="8">
        <f>IF(D9641="","",VLOOKUP(D9641, RECETTES!B:G, 6, FALSE)*E9641)</f>
        <v/>
      </c>
      <c r="J9641" s="8">
        <f>IF(G9641="","",G9641*0.20)</f>
        <v/>
      </c>
      <c r="K9641" s="8">
        <f>IF(G9641="","",G9641+J9641)</f>
        <v/>
      </c>
    </row>
    <row r="9642">
      <c r="F9642" s="8" t="n"/>
      <c r="G9642" s="8">
        <f>IF(E9642="","",E9642*F9642)</f>
        <v/>
      </c>
      <c r="H9642" s="8">
        <f>IF(G9642="","",G9642-I9642)</f>
        <v/>
      </c>
      <c r="I9642" s="8">
        <f>IF(D9642="","",VLOOKUP(D9642, RECETTES!B:G, 6, FALSE)*E9642)</f>
        <v/>
      </c>
      <c r="J9642" s="8">
        <f>IF(G9642="","",G9642*0.20)</f>
        <v/>
      </c>
      <c r="K9642" s="8">
        <f>IF(G9642="","",G9642+J9642)</f>
        <v/>
      </c>
    </row>
    <row r="9643">
      <c r="F9643" s="8" t="n"/>
      <c r="G9643" s="8">
        <f>IF(E9643="","",E9643*F9643)</f>
        <v/>
      </c>
      <c r="H9643" s="8">
        <f>IF(G9643="","",G9643-I9643)</f>
        <v/>
      </c>
      <c r="I9643" s="8">
        <f>IF(D9643="","",VLOOKUP(D9643, RECETTES!B:G, 6, FALSE)*E9643)</f>
        <v/>
      </c>
      <c r="J9643" s="8">
        <f>IF(G9643="","",G9643*0.20)</f>
        <v/>
      </c>
      <c r="K9643" s="8">
        <f>IF(G9643="","",G9643+J9643)</f>
        <v/>
      </c>
    </row>
    <row r="9644">
      <c r="F9644" s="8" t="n"/>
      <c r="G9644" s="8">
        <f>IF(E9644="","",E9644*F9644)</f>
        <v/>
      </c>
      <c r="H9644" s="8">
        <f>IF(G9644="","",G9644-I9644)</f>
        <v/>
      </c>
      <c r="I9644" s="8">
        <f>IF(D9644="","",VLOOKUP(D9644, RECETTES!B:G, 6, FALSE)*E9644)</f>
        <v/>
      </c>
      <c r="J9644" s="8">
        <f>IF(G9644="","",G9644*0.20)</f>
        <v/>
      </c>
      <c r="K9644" s="8">
        <f>IF(G9644="","",G9644+J9644)</f>
        <v/>
      </c>
    </row>
    <row r="9645">
      <c r="F9645" s="8" t="n"/>
      <c r="G9645" s="8">
        <f>IF(E9645="","",E9645*F9645)</f>
        <v/>
      </c>
      <c r="H9645" s="8">
        <f>IF(G9645="","",G9645-I9645)</f>
        <v/>
      </c>
      <c r="I9645" s="8">
        <f>IF(D9645="","",VLOOKUP(D9645, RECETTES!B:G, 6, FALSE)*E9645)</f>
        <v/>
      </c>
      <c r="J9645" s="8">
        <f>IF(G9645="","",G9645*0.20)</f>
        <v/>
      </c>
      <c r="K9645" s="8">
        <f>IF(G9645="","",G9645+J9645)</f>
        <v/>
      </c>
    </row>
    <row r="9646">
      <c r="F9646" s="8" t="n"/>
      <c r="G9646" s="8">
        <f>IF(E9646="","",E9646*F9646)</f>
        <v/>
      </c>
      <c r="H9646" s="8">
        <f>IF(G9646="","",G9646-I9646)</f>
        <v/>
      </c>
      <c r="I9646" s="8">
        <f>IF(D9646="","",VLOOKUP(D9646, RECETTES!B:G, 6, FALSE)*E9646)</f>
        <v/>
      </c>
      <c r="J9646" s="8">
        <f>IF(G9646="","",G9646*0.20)</f>
        <v/>
      </c>
      <c r="K9646" s="8">
        <f>IF(G9646="","",G9646+J9646)</f>
        <v/>
      </c>
    </row>
    <row r="9647">
      <c r="F9647" s="8" t="n"/>
      <c r="G9647" s="8">
        <f>IF(E9647="","",E9647*F9647)</f>
        <v/>
      </c>
      <c r="H9647" s="8">
        <f>IF(G9647="","",G9647-I9647)</f>
        <v/>
      </c>
      <c r="I9647" s="8">
        <f>IF(D9647="","",VLOOKUP(D9647, RECETTES!B:G, 6, FALSE)*E9647)</f>
        <v/>
      </c>
      <c r="J9647" s="8">
        <f>IF(G9647="","",G9647*0.20)</f>
        <v/>
      </c>
      <c r="K9647" s="8">
        <f>IF(G9647="","",G9647+J9647)</f>
        <v/>
      </c>
    </row>
    <row r="9648">
      <c r="F9648" s="8" t="n"/>
      <c r="G9648" s="8">
        <f>IF(E9648="","",E9648*F9648)</f>
        <v/>
      </c>
      <c r="H9648" s="8">
        <f>IF(G9648="","",G9648-I9648)</f>
        <v/>
      </c>
      <c r="I9648" s="8">
        <f>IF(D9648="","",VLOOKUP(D9648, RECETTES!B:G, 6, FALSE)*E9648)</f>
        <v/>
      </c>
      <c r="J9648" s="8">
        <f>IF(G9648="","",G9648*0.20)</f>
        <v/>
      </c>
      <c r="K9648" s="8">
        <f>IF(G9648="","",G9648+J9648)</f>
        <v/>
      </c>
    </row>
    <row r="9649">
      <c r="F9649" s="8" t="n"/>
      <c r="G9649" s="8">
        <f>IF(E9649="","",E9649*F9649)</f>
        <v/>
      </c>
      <c r="H9649" s="8">
        <f>IF(G9649="","",G9649-I9649)</f>
        <v/>
      </c>
      <c r="I9649" s="8">
        <f>IF(D9649="","",VLOOKUP(D9649, RECETTES!B:G, 6, FALSE)*E9649)</f>
        <v/>
      </c>
      <c r="J9649" s="8">
        <f>IF(G9649="","",G9649*0.20)</f>
        <v/>
      </c>
      <c r="K9649" s="8">
        <f>IF(G9649="","",G9649+J9649)</f>
        <v/>
      </c>
    </row>
    <row r="9650">
      <c r="F9650" s="8" t="n"/>
      <c r="G9650" s="8">
        <f>IF(E9650="","",E9650*F9650)</f>
        <v/>
      </c>
      <c r="H9650" s="8">
        <f>IF(G9650="","",G9650-I9650)</f>
        <v/>
      </c>
      <c r="I9650" s="8">
        <f>IF(D9650="","",VLOOKUP(D9650, RECETTES!B:G, 6, FALSE)*E9650)</f>
        <v/>
      </c>
      <c r="J9650" s="8">
        <f>IF(G9650="","",G9650*0.20)</f>
        <v/>
      </c>
      <c r="K9650" s="8">
        <f>IF(G9650="","",G9650+J9650)</f>
        <v/>
      </c>
    </row>
    <row r="9651">
      <c r="F9651" s="8" t="n"/>
      <c r="G9651" s="8">
        <f>IF(E9651="","",E9651*F9651)</f>
        <v/>
      </c>
      <c r="H9651" s="8">
        <f>IF(G9651="","",G9651-I9651)</f>
        <v/>
      </c>
      <c r="I9651" s="8">
        <f>IF(D9651="","",VLOOKUP(D9651, RECETTES!B:G, 6, FALSE)*E9651)</f>
        <v/>
      </c>
      <c r="J9651" s="8">
        <f>IF(G9651="","",G9651*0.20)</f>
        <v/>
      </c>
      <c r="K9651" s="8">
        <f>IF(G9651="","",G9651+J9651)</f>
        <v/>
      </c>
    </row>
    <row r="9652">
      <c r="F9652" s="8" t="n"/>
      <c r="G9652" s="8">
        <f>IF(E9652="","",E9652*F9652)</f>
        <v/>
      </c>
      <c r="H9652" s="8">
        <f>IF(G9652="","",G9652-I9652)</f>
        <v/>
      </c>
      <c r="I9652" s="8">
        <f>IF(D9652="","",VLOOKUP(D9652, RECETTES!B:G, 6, FALSE)*E9652)</f>
        <v/>
      </c>
      <c r="J9652" s="8">
        <f>IF(G9652="","",G9652*0.20)</f>
        <v/>
      </c>
      <c r="K9652" s="8">
        <f>IF(G9652="","",G9652+J9652)</f>
        <v/>
      </c>
    </row>
    <row r="9653">
      <c r="F9653" s="8" t="n"/>
      <c r="G9653" s="8">
        <f>IF(E9653="","",E9653*F9653)</f>
        <v/>
      </c>
      <c r="H9653" s="8">
        <f>IF(G9653="","",G9653-I9653)</f>
        <v/>
      </c>
      <c r="I9653" s="8">
        <f>IF(D9653="","",VLOOKUP(D9653, RECETTES!B:G, 6, FALSE)*E9653)</f>
        <v/>
      </c>
      <c r="J9653" s="8">
        <f>IF(G9653="","",G9653*0.20)</f>
        <v/>
      </c>
      <c r="K9653" s="8">
        <f>IF(G9653="","",G9653+J9653)</f>
        <v/>
      </c>
    </row>
    <row r="9654">
      <c r="F9654" s="8" t="n"/>
      <c r="G9654" s="8">
        <f>IF(E9654="","",E9654*F9654)</f>
        <v/>
      </c>
      <c r="H9654" s="8">
        <f>IF(G9654="","",G9654-I9654)</f>
        <v/>
      </c>
      <c r="I9654" s="8">
        <f>IF(D9654="","",VLOOKUP(D9654, RECETTES!B:G, 6, FALSE)*E9654)</f>
        <v/>
      </c>
      <c r="J9654" s="8">
        <f>IF(G9654="","",G9654*0.20)</f>
        <v/>
      </c>
      <c r="K9654" s="8">
        <f>IF(G9654="","",G9654+J9654)</f>
        <v/>
      </c>
    </row>
    <row r="9655">
      <c r="F9655" s="8" t="n"/>
      <c r="G9655" s="8">
        <f>IF(E9655="","",E9655*F9655)</f>
        <v/>
      </c>
      <c r="H9655" s="8">
        <f>IF(G9655="","",G9655-I9655)</f>
        <v/>
      </c>
      <c r="I9655" s="8">
        <f>IF(D9655="","",VLOOKUP(D9655, RECETTES!B:G, 6, FALSE)*E9655)</f>
        <v/>
      </c>
      <c r="J9655" s="8">
        <f>IF(G9655="","",G9655*0.20)</f>
        <v/>
      </c>
      <c r="K9655" s="8">
        <f>IF(G9655="","",G9655+J9655)</f>
        <v/>
      </c>
    </row>
    <row r="9656">
      <c r="F9656" s="8" t="n"/>
      <c r="G9656" s="8">
        <f>IF(E9656="","",E9656*F9656)</f>
        <v/>
      </c>
      <c r="H9656" s="8">
        <f>IF(G9656="","",G9656-I9656)</f>
        <v/>
      </c>
      <c r="I9656" s="8">
        <f>IF(D9656="","",VLOOKUP(D9656, RECETTES!B:G, 6, FALSE)*E9656)</f>
        <v/>
      </c>
      <c r="J9656" s="8">
        <f>IF(G9656="","",G9656*0.20)</f>
        <v/>
      </c>
      <c r="K9656" s="8">
        <f>IF(G9656="","",G9656+J9656)</f>
        <v/>
      </c>
    </row>
    <row r="9657">
      <c r="F9657" s="8" t="n"/>
      <c r="G9657" s="8">
        <f>IF(E9657="","",E9657*F9657)</f>
        <v/>
      </c>
      <c r="H9657" s="8">
        <f>IF(G9657="","",G9657-I9657)</f>
        <v/>
      </c>
      <c r="I9657" s="8">
        <f>IF(D9657="","",VLOOKUP(D9657, RECETTES!B:G, 6, FALSE)*E9657)</f>
        <v/>
      </c>
      <c r="J9657" s="8">
        <f>IF(G9657="","",G9657*0.20)</f>
        <v/>
      </c>
      <c r="K9657" s="8">
        <f>IF(G9657="","",G9657+J9657)</f>
        <v/>
      </c>
    </row>
    <row r="9658">
      <c r="F9658" s="8" t="n"/>
      <c r="G9658" s="8">
        <f>IF(E9658="","",E9658*F9658)</f>
        <v/>
      </c>
      <c r="H9658" s="8">
        <f>IF(G9658="","",G9658-I9658)</f>
        <v/>
      </c>
      <c r="I9658" s="8">
        <f>IF(D9658="","",VLOOKUP(D9658, RECETTES!B:G, 6, FALSE)*E9658)</f>
        <v/>
      </c>
      <c r="J9658" s="8">
        <f>IF(G9658="","",G9658*0.20)</f>
        <v/>
      </c>
      <c r="K9658" s="8">
        <f>IF(G9658="","",G9658+J9658)</f>
        <v/>
      </c>
    </row>
    <row r="9659">
      <c r="F9659" s="8" t="n"/>
      <c r="G9659" s="8">
        <f>IF(E9659="","",E9659*F9659)</f>
        <v/>
      </c>
      <c r="H9659" s="8">
        <f>IF(G9659="","",G9659-I9659)</f>
        <v/>
      </c>
      <c r="I9659" s="8">
        <f>IF(D9659="","",VLOOKUP(D9659, RECETTES!B:G, 6, FALSE)*E9659)</f>
        <v/>
      </c>
      <c r="J9659" s="8">
        <f>IF(G9659="","",G9659*0.20)</f>
        <v/>
      </c>
      <c r="K9659" s="8">
        <f>IF(G9659="","",G9659+J9659)</f>
        <v/>
      </c>
    </row>
    <row r="9660">
      <c r="F9660" s="8" t="n"/>
      <c r="G9660" s="8">
        <f>IF(E9660="","",E9660*F9660)</f>
        <v/>
      </c>
      <c r="H9660" s="8">
        <f>IF(G9660="","",G9660-I9660)</f>
        <v/>
      </c>
      <c r="I9660" s="8">
        <f>IF(D9660="","",VLOOKUP(D9660, RECETTES!B:G, 6, FALSE)*E9660)</f>
        <v/>
      </c>
      <c r="J9660" s="8">
        <f>IF(G9660="","",G9660*0.20)</f>
        <v/>
      </c>
      <c r="K9660" s="8">
        <f>IF(G9660="","",G9660+J9660)</f>
        <v/>
      </c>
    </row>
    <row r="9661">
      <c r="F9661" s="8" t="n"/>
      <c r="G9661" s="8">
        <f>IF(E9661="","",E9661*F9661)</f>
        <v/>
      </c>
      <c r="H9661" s="8">
        <f>IF(G9661="","",G9661-I9661)</f>
        <v/>
      </c>
      <c r="I9661" s="8">
        <f>IF(D9661="","",VLOOKUP(D9661, RECETTES!B:G, 6, FALSE)*E9661)</f>
        <v/>
      </c>
      <c r="J9661" s="8">
        <f>IF(G9661="","",G9661*0.20)</f>
        <v/>
      </c>
      <c r="K9661" s="8">
        <f>IF(G9661="","",G9661+J9661)</f>
        <v/>
      </c>
    </row>
    <row r="9662">
      <c r="F9662" s="8" t="n"/>
      <c r="G9662" s="8">
        <f>IF(E9662="","",E9662*F9662)</f>
        <v/>
      </c>
      <c r="H9662" s="8">
        <f>IF(G9662="","",G9662-I9662)</f>
        <v/>
      </c>
      <c r="I9662" s="8">
        <f>IF(D9662="","",VLOOKUP(D9662, RECETTES!B:G, 6, FALSE)*E9662)</f>
        <v/>
      </c>
      <c r="J9662" s="8">
        <f>IF(G9662="","",G9662*0.20)</f>
        <v/>
      </c>
      <c r="K9662" s="8">
        <f>IF(G9662="","",G9662+J9662)</f>
        <v/>
      </c>
    </row>
    <row r="9663">
      <c r="F9663" s="8" t="n"/>
      <c r="G9663" s="8">
        <f>IF(E9663="","",E9663*F9663)</f>
        <v/>
      </c>
      <c r="H9663" s="8">
        <f>IF(G9663="","",G9663-I9663)</f>
        <v/>
      </c>
      <c r="I9663" s="8">
        <f>IF(D9663="","",VLOOKUP(D9663, RECETTES!B:G, 6, FALSE)*E9663)</f>
        <v/>
      </c>
      <c r="J9663" s="8">
        <f>IF(G9663="","",G9663*0.20)</f>
        <v/>
      </c>
      <c r="K9663" s="8">
        <f>IF(G9663="","",G9663+J9663)</f>
        <v/>
      </c>
    </row>
    <row r="9664">
      <c r="F9664" s="8" t="n"/>
      <c r="G9664" s="8">
        <f>IF(E9664="","",E9664*F9664)</f>
        <v/>
      </c>
      <c r="H9664" s="8">
        <f>IF(G9664="","",G9664-I9664)</f>
        <v/>
      </c>
      <c r="I9664" s="8">
        <f>IF(D9664="","",VLOOKUP(D9664, RECETTES!B:G, 6, FALSE)*E9664)</f>
        <v/>
      </c>
      <c r="J9664" s="8">
        <f>IF(G9664="","",G9664*0.20)</f>
        <v/>
      </c>
      <c r="K9664" s="8">
        <f>IF(G9664="","",G9664+J9664)</f>
        <v/>
      </c>
    </row>
    <row r="9665">
      <c r="F9665" s="8" t="n"/>
      <c r="G9665" s="8">
        <f>IF(E9665="","",E9665*F9665)</f>
        <v/>
      </c>
      <c r="H9665" s="8">
        <f>IF(G9665="","",G9665-I9665)</f>
        <v/>
      </c>
      <c r="I9665" s="8">
        <f>IF(D9665="","",VLOOKUP(D9665, RECETTES!B:G, 6, FALSE)*E9665)</f>
        <v/>
      </c>
      <c r="J9665" s="8">
        <f>IF(G9665="","",G9665*0.20)</f>
        <v/>
      </c>
      <c r="K9665" s="8">
        <f>IF(G9665="","",G9665+J9665)</f>
        <v/>
      </c>
    </row>
    <row r="9666">
      <c r="F9666" s="8" t="n"/>
      <c r="G9666" s="8">
        <f>IF(E9666="","",E9666*F9666)</f>
        <v/>
      </c>
      <c r="H9666" s="8">
        <f>IF(G9666="","",G9666-I9666)</f>
        <v/>
      </c>
      <c r="I9666" s="8">
        <f>IF(D9666="","",VLOOKUP(D9666, RECETTES!B:G, 6, FALSE)*E9666)</f>
        <v/>
      </c>
      <c r="J9666" s="8">
        <f>IF(G9666="","",G9666*0.20)</f>
        <v/>
      </c>
      <c r="K9666" s="8">
        <f>IF(G9666="","",G9666+J9666)</f>
        <v/>
      </c>
    </row>
    <row r="9667">
      <c r="F9667" s="8" t="n"/>
      <c r="G9667" s="8">
        <f>IF(E9667="","",E9667*F9667)</f>
        <v/>
      </c>
      <c r="H9667" s="8">
        <f>IF(G9667="","",G9667-I9667)</f>
        <v/>
      </c>
      <c r="I9667" s="8">
        <f>IF(D9667="","",VLOOKUP(D9667, RECETTES!B:G, 6, FALSE)*E9667)</f>
        <v/>
      </c>
      <c r="J9667" s="8">
        <f>IF(G9667="","",G9667*0.20)</f>
        <v/>
      </c>
      <c r="K9667" s="8">
        <f>IF(G9667="","",G9667+J9667)</f>
        <v/>
      </c>
    </row>
    <row r="9668">
      <c r="F9668" s="8" t="n"/>
      <c r="G9668" s="8">
        <f>IF(E9668="","",E9668*F9668)</f>
        <v/>
      </c>
      <c r="H9668" s="8">
        <f>IF(G9668="","",G9668-I9668)</f>
        <v/>
      </c>
      <c r="I9668" s="8">
        <f>IF(D9668="","",VLOOKUP(D9668, RECETTES!B:G, 6, FALSE)*E9668)</f>
        <v/>
      </c>
      <c r="J9668" s="8">
        <f>IF(G9668="","",G9668*0.20)</f>
        <v/>
      </c>
      <c r="K9668" s="8">
        <f>IF(G9668="","",G9668+J9668)</f>
        <v/>
      </c>
    </row>
    <row r="9669">
      <c r="F9669" s="8" t="n"/>
      <c r="G9669" s="8">
        <f>IF(E9669="","",E9669*F9669)</f>
        <v/>
      </c>
      <c r="H9669" s="8">
        <f>IF(G9669="","",G9669-I9669)</f>
        <v/>
      </c>
      <c r="I9669" s="8">
        <f>IF(D9669="","",VLOOKUP(D9669, RECETTES!B:G, 6, FALSE)*E9669)</f>
        <v/>
      </c>
      <c r="J9669" s="8">
        <f>IF(G9669="","",G9669*0.20)</f>
        <v/>
      </c>
      <c r="K9669" s="8">
        <f>IF(G9669="","",G9669+J9669)</f>
        <v/>
      </c>
    </row>
    <row r="9670">
      <c r="F9670" s="8" t="n"/>
      <c r="G9670" s="8">
        <f>IF(E9670="","",E9670*F9670)</f>
        <v/>
      </c>
      <c r="H9670" s="8">
        <f>IF(G9670="","",G9670-I9670)</f>
        <v/>
      </c>
      <c r="I9670" s="8">
        <f>IF(D9670="","",VLOOKUP(D9670, RECETTES!B:G, 6, FALSE)*E9670)</f>
        <v/>
      </c>
      <c r="J9670" s="8">
        <f>IF(G9670="","",G9670*0.20)</f>
        <v/>
      </c>
      <c r="K9670" s="8">
        <f>IF(G9670="","",G9670+J9670)</f>
        <v/>
      </c>
    </row>
    <row r="9671">
      <c r="F9671" s="8" t="n"/>
      <c r="G9671" s="8">
        <f>IF(E9671="","",E9671*F9671)</f>
        <v/>
      </c>
      <c r="H9671" s="8">
        <f>IF(G9671="","",G9671-I9671)</f>
        <v/>
      </c>
      <c r="I9671" s="8">
        <f>IF(D9671="","",VLOOKUP(D9671, RECETTES!B:G, 6, FALSE)*E9671)</f>
        <v/>
      </c>
      <c r="J9671" s="8">
        <f>IF(G9671="","",G9671*0.20)</f>
        <v/>
      </c>
      <c r="K9671" s="8">
        <f>IF(G9671="","",G9671+J9671)</f>
        <v/>
      </c>
    </row>
    <row r="9672">
      <c r="F9672" s="8" t="n"/>
      <c r="G9672" s="8">
        <f>IF(E9672="","",E9672*F9672)</f>
        <v/>
      </c>
      <c r="H9672" s="8">
        <f>IF(G9672="","",G9672-I9672)</f>
        <v/>
      </c>
      <c r="I9672" s="8">
        <f>IF(D9672="","",VLOOKUP(D9672, RECETTES!B:G, 6, FALSE)*E9672)</f>
        <v/>
      </c>
      <c r="J9672" s="8">
        <f>IF(G9672="","",G9672*0.20)</f>
        <v/>
      </c>
      <c r="K9672" s="8">
        <f>IF(G9672="","",G9672+J9672)</f>
        <v/>
      </c>
    </row>
    <row r="9673">
      <c r="F9673" s="8" t="n"/>
      <c r="G9673" s="8">
        <f>IF(E9673="","",E9673*F9673)</f>
        <v/>
      </c>
      <c r="H9673" s="8">
        <f>IF(G9673="","",G9673-I9673)</f>
        <v/>
      </c>
      <c r="I9673" s="8">
        <f>IF(D9673="","",VLOOKUP(D9673, RECETTES!B:G, 6, FALSE)*E9673)</f>
        <v/>
      </c>
      <c r="J9673" s="8">
        <f>IF(G9673="","",G9673*0.20)</f>
        <v/>
      </c>
      <c r="K9673" s="8">
        <f>IF(G9673="","",G9673+J9673)</f>
        <v/>
      </c>
    </row>
    <row r="9674">
      <c r="F9674" s="8" t="n"/>
      <c r="G9674" s="8">
        <f>IF(E9674="","",E9674*F9674)</f>
        <v/>
      </c>
      <c r="H9674" s="8">
        <f>IF(G9674="","",G9674-I9674)</f>
        <v/>
      </c>
      <c r="I9674" s="8">
        <f>IF(D9674="","",VLOOKUP(D9674, RECETTES!B:G, 6, FALSE)*E9674)</f>
        <v/>
      </c>
      <c r="J9674" s="8">
        <f>IF(G9674="","",G9674*0.20)</f>
        <v/>
      </c>
      <c r="K9674" s="8">
        <f>IF(G9674="","",G9674+J9674)</f>
        <v/>
      </c>
    </row>
    <row r="9675">
      <c r="F9675" s="8" t="n"/>
      <c r="G9675" s="8">
        <f>IF(E9675="","",E9675*F9675)</f>
        <v/>
      </c>
      <c r="H9675" s="8">
        <f>IF(G9675="","",G9675-I9675)</f>
        <v/>
      </c>
      <c r="I9675" s="8">
        <f>IF(D9675="","",VLOOKUP(D9675, RECETTES!B:G, 6, FALSE)*E9675)</f>
        <v/>
      </c>
      <c r="J9675" s="8">
        <f>IF(G9675="","",G9675*0.20)</f>
        <v/>
      </c>
      <c r="K9675" s="8">
        <f>IF(G9675="","",G9675+J9675)</f>
        <v/>
      </c>
    </row>
    <row r="9676">
      <c r="F9676" s="8" t="n"/>
      <c r="G9676" s="8">
        <f>IF(E9676="","",E9676*F9676)</f>
        <v/>
      </c>
      <c r="H9676" s="8">
        <f>IF(G9676="","",G9676-I9676)</f>
        <v/>
      </c>
      <c r="I9676" s="8">
        <f>IF(D9676="","",VLOOKUP(D9676, RECETTES!B:G, 6, FALSE)*E9676)</f>
        <v/>
      </c>
      <c r="J9676" s="8">
        <f>IF(G9676="","",G9676*0.20)</f>
        <v/>
      </c>
      <c r="K9676" s="8">
        <f>IF(G9676="","",G9676+J9676)</f>
        <v/>
      </c>
    </row>
    <row r="9677">
      <c r="F9677" s="8" t="n"/>
      <c r="G9677" s="8">
        <f>IF(E9677="","",E9677*F9677)</f>
        <v/>
      </c>
      <c r="H9677" s="8">
        <f>IF(G9677="","",G9677-I9677)</f>
        <v/>
      </c>
      <c r="I9677" s="8">
        <f>IF(D9677="","",VLOOKUP(D9677, RECETTES!B:G, 6, FALSE)*E9677)</f>
        <v/>
      </c>
      <c r="J9677" s="8">
        <f>IF(G9677="","",G9677*0.20)</f>
        <v/>
      </c>
      <c r="K9677" s="8">
        <f>IF(G9677="","",G9677+J9677)</f>
        <v/>
      </c>
    </row>
    <row r="9678">
      <c r="F9678" s="8" t="n"/>
      <c r="G9678" s="8">
        <f>IF(E9678="","",E9678*F9678)</f>
        <v/>
      </c>
      <c r="H9678" s="8">
        <f>IF(G9678="","",G9678-I9678)</f>
        <v/>
      </c>
      <c r="I9678" s="8">
        <f>IF(D9678="","",VLOOKUP(D9678, RECETTES!B:G, 6, FALSE)*E9678)</f>
        <v/>
      </c>
      <c r="J9678" s="8">
        <f>IF(G9678="","",G9678*0.20)</f>
        <v/>
      </c>
      <c r="K9678" s="8">
        <f>IF(G9678="","",G9678+J9678)</f>
        <v/>
      </c>
    </row>
    <row r="9679">
      <c r="F9679" s="8" t="n"/>
      <c r="G9679" s="8">
        <f>IF(E9679="","",E9679*F9679)</f>
        <v/>
      </c>
      <c r="H9679" s="8">
        <f>IF(G9679="","",G9679-I9679)</f>
        <v/>
      </c>
      <c r="I9679" s="8">
        <f>IF(D9679="","",VLOOKUP(D9679, RECETTES!B:G, 6, FALSE)*E9679)</f>
        <v/>
      </c>
      <c r="J9679" s="8">
        <f>IF(G9679="","",G9679*0.20)</f>
        <v/>
      </c>
      <c r="K9679" s="8">
        <f>IF(G9679="","",G9679+J9679)</f>
        <v/>
      </c>
    </row>
    <row r="9680">
      <c r="F9680" s="8" t="n"/>
      <c r="G9680" s="8">
        <f>IF(E9680="","",E9680*F9680)</f>
        <v/>
      </c>
      <c r="H9680" s="8">
        <f>IF(G9680="","",G9680-I9680)</f>
        <v/>
      </c>
      <c r="I9680" s="8">
        <f>IF(D9680="","",VLOOKUP(D9680, RECETTES!B:G, 6, FALSE)*E9680)</f>
        <v/>
      </c>
      <c r="J9680" s="8">
        <f>IF(G9680="","",G9680*0.20)</f>
        <v/>
      </c>
      <c r="K9680" s="8">
        <f>IF(G9680="","",G9680+J9680)</f>
        <v/>
      </c>
    </row>
    <row r="9681">
      <c r="F9681" s="8" t="n"/>
      <c r="G9681" s="8">
        <f>IF(E9681="","",E9681*F9681)</f>
        <v/>
      </c>
      <c r="H9681" s="8">
        <f>IF(G9681="","",G9681-I9681)</f>
        <v/>
      </c>
      <c r="I9681" s="8">
        <f>IF(D9681="","",VLOOKUP(D9681, RECETTES!B:G, 6, FALSE)*E9681)</f>
        <v/>
      </c>
      <c r="J9681" s="8">
        <f>IF(G9681="","",G9681*0.20)</f>
        <v/>
      </c>
      <c r="K9681" s="8">
        <f>IF(G9681="","",G9681+J9681)</f>
        <v/>
      </c>
    </row>
    <row r="9682">
      <c r="F9682" s="8" t="n"/>
      <c r="G9682" s="8">
        <f>IF(E9682="","",E9682*F9682)</f>
        <v/>
      </c>
      <c r="H9682" s="8">
        <f>IF(G9682="","",G9682-I9682)</f>
        <v/>
      </c>
      <c r="I9682" s="8">
        <f>IF(D9682="","",VLOOKUP(D9682, RECETTES!B:G, 6, FALSE)*E9682)</f>
        <v/>
      </c>
      <c r="J9682" s="8">
        <f>IF(G9682="","",G9682*0.20)</f>
        <v/>
      </c>
      <c r="K9682" s="8">
        <f>IF(G9682="","",G9682+J9682)</f>
        <v/>
      </c>
    </row>
    <row r="9683">
      <c r="F9683" s="8" t="n"/>
      <c r="G9683" s="8">
        <f>IF(E9683="","",E9683*F9683)</f>
        <v/>
      </c>
      <c r="H9683" s="8">
        <f>IF(G9683="","",G9683-I9683)</f>
        <v/>
      </c>
      <c r="I9683" s="8">
        <f>IF(D9683="","",VLOOKUP(D9683, RECETTES!B:G, 6, FALSE)*E9683)</f>
        <v/>
      </c>
      <c r="J9683" s="8">
        <f>IF(G9683="","",G9683*0.20)</f>
        <v/>
      </c>
      <c r="K9683" s="8">
        <f>IF(G9683="","",G9683+J9683)</f>
        <v/>
      </c>
    </row>
    <row r="9684">
      <c r="F9684" s="8" t="n"/>
      <c r="G9684" s="8">
        <f>IF(E9684="","",E9684*F9684)</f>
        <v/>
      </c>
      <c r="H9684" s="8">
        <f>IF(G9684="","",G9684-I9684)</f>
        <v/>
      </c>
      <c r="I9684" s="8">
        <f>IF(D9684="","",VLOOKUP(D9684, RECETTES!B:G, 6, FALSE)*E9684)</f>
        <v/>
      </c>
      <c r="J9684" s="8">
        <f>IF(G9684="","",G9684*0.20)</f>
        <v/>
      </c>
      <c r="K9684" s="8">
        <f>IF(G9684="","",G9684+J9684)</f>
        <v/>
      </c>
    </row>
    <row r="9685">
      <c r="F9685" s="8" t="n"/>
      <c r="G9685" s="8">
        <f>IF(E9685="","",E9685*F9685)</f>
        <v/>
      </c>
      <c r="H9685" s="8">
        <f>IF(G9685="","",G9685-I9685)</f>
        <v/>
      </c>
      <c r="I9685" s="8">
        <f>IF(D9685="","",VLOOKUP(D9685, RECETTES!B:G, 6, FALSE)*E9685)</f>
        <v/>
      </c>
      <c r="J9685" s="8">
        <f>IF(G9685="","",G9685*0.20)</f>
        <v/>
      </c>
      <c r="K9685" s="8">
        <f>IF(G9685="","",G9685+J9685)</f>
        <v/>
      </c>
    </row>
    <row r="9686">
      <c r="F9686" s="8" t="n"/>
      <c r="G9686" s="8">
        <f>IF(E9686="","",E9686*F9686)</f>
        <v/>
      </c>
      <c r="H9686" s="8">
        <f>IF(G9686="","",G9686-I9686)</f>
        <v/>
      </c>
      <c r="I9686" s="8">
        <f>IF(D9686="","",VLOOKUP(D9686, RECETTES!B:G, 6, FALSE)*E9686)</f>
        <v/>
      </c>
      <c r="J9686" s="8">
        <f>IF(G9686="","",G9686*0.20)</f>
        <v/>
      </c>
      <c r="K9686" s="8">
        <f>IF(G9686="","",G9686+J9686)</f>
        <v/>
      </c>
    </row>
    <row r="9687">
      <c r="F9687" s="8" t="n"/>
      <c r="G9687" s="8">
        <f>IF(E9687="","",E9687*F9687)</f>
        <v/>
      </c>
      <c r="H9687" s="8">
        <f>IF(G9687="","",G9687-I9687)</f>
        <v/>
      </c>
      <c r="I9687" s="8">
        <f>IF(D9687="","",VLOOKUP(D9687, RECETTES!B:G, 6, FALSE)*E9687)</f>
        <v/>
      </c>
      <c r="J9687" s="8">
        <f>IF(G9687="","",G9687*0.20)</f>
        <v/>
      </c>
      <c r="K9687" s="8">
        <f>IF(G9687="","",G9687+J9687)</f>
        <v/>
      </c>
    </row>
    <row r="9688">
      <c r="F9688" s="8" t="n"/>
      <c r="G9688" s="8">
        <f>IF(E9688="","",E9688*F9688)</f>
        <v/>
      </c>
      <c r="H9688" s="8">
        <f>IF(G9688="","",G9688-I9688)</f>
        <v/>
      </c>
      <c r="I9688" s="8">
        <f>IF(D9688="","",VLOOKUP(D9688, RECETTES!B:G, 6, FALSE)*E9688)</f>
        <v/>
      </c>
      <c r="J9688" s="8">
        <f>IF(G9688="","",G9688*0.20)</f>
        <v/>
      </c>
      <c r="K9688" s="8">
        <f>IF(G9688="","",G9688+J9688)</f>
        <v/>
      </c>
    </row>
    <row r="9689">
      <c r="F9689" s="8" t="n"/>
      <c r="G9689" s="8">
        <f>IF(E9689="","",E9689*F9689)</f>
        <v/>
      </c>
      <c r="H9689" s="8">
        <f>IF(G9689="","",G9689-I9689)</f>
        <v/>
      </c>
      <c r="I9689" s="8">
        <f>IF(D9689="","",VLOOKUP(D9689, RECETTES!B:G, 6, FALSE)*E9689)</f>
        <v/>
      </c>
      <c r="J9689" s="8">
        <f>IF(G9689="","",G9689*0.20)</f>
        <v/>
      </c>
      <c r="K9689" s="8">
        <f>IF(G9689="","",G9689+J9689)</f>
        <v/>
      </c>
    </row>
    <row r="9690">
      <c r="F9690" s="8" t="n"/>
      <c r="G9690" s="8">
        <f>IF(E9690="","",E9690*F9690)</f>
        <v/>
      </c>
      <c r="H9690" s="8">
        <f>IF(G9690="","",G9690-I9690)</f>
        <v/>
      </c>
      <c r="I9690" s="8">
        <f>IF(D9690="","",VLOOKUP(D9690, RECETTES!B:G, 6, FALSE)*E9690)</f>
        <v/>
      </c>
      <c r="J9690" s="8">
        <f>IF(G9690="","",G9690*0.20)</f>
        <v/>
      </c>
      <c r="K9690" s="8">
        <f>IF(G9690="","",G9690+J9690)</f>
        <v/>
      </c>
    </row>
    <row r="9691">
      <c r="F9691" s="8" t="n"/>
      <c r="G9691" s="8">
        <f>IF(E9691="","",E9691*F9691)</f>
        <v/>
      </c>
      <c r="H9691" s="8">
        <f>IF(G9691="","",G9691-I9691)</f>
        <v/>
      </c>
      <c r="I9691" s="8">
        <f>IF(D9691="","",VLOOKUP(D9691, RECETTES!B:G, 6, FALSE)*E9691)</f>
        <v/>
      </c>
      <c r="J9691" s="8">
        <f>IF(G9691="","",G9691*0.20)</f>
        <v/>
      </c>
      <c r="K9691" s="8">
        <f>IF(G9691="","",G9691+J9691)</f>
        <v/>
      </c>
    </row>
    <row r="9692">
      <c r="F9692" s="8" t="n"/>
      <c r="G9692" s="8">
        <f>IF(E9692="","",E9692*F9692)</f>
        <v/>
      </c>
      <c r="H9692" s="8">
        <f>IF(G9692="","",G9692-I9692)</f>
        <v/>
      </c>
      <c r="I9692" s="8">
        <f>IF(D9692="","",VLOOKUP(D9692, RECETTES!B:G, 6, FALSE)*E9692)</f>
        <v/>
      </c>
      <c r="J9692" s="8">
        <f>IF(G9692="","",G9692*0.20)</f>
        <v/>
      </c>
      <c r="K9692" s="8">
        <f>IF(G9692="","",G9692+J9692)</f>
        <v/>
      </c>
    </row>
    <row r="9693">
      <c r="F9693" s="8" t="n"/>
      <c r="G9693" s="8">
        <f>IF(E9693="","",E9693*F9693)</f>
        <v/>
      </c>
      <c r="H9693" s="8">
        <f>IF(G9693="","",G9693-I9693)</f>
        <v/>
      </c>
      <c r="I9693" s="8">
        <f>IF(D9693="","",VLOOKUP(D9693, RECETTES!B:G, 6, FALSE)*E9693)</f>
        <v/>
      </c>
      <c r="J9693" s="8">
        <f>IF(G9693="","",G9693*0.20)</f>
        <v/>
      </c>
      <c r="K9693" s="8">
        <f>IF(G9693="","",G9693+J9693)</f>
        <v/>
      </c>
    </row>
    <row r="9694">
      <c r="F9694" s="8" t="n"/>
      <c r="G9694" s="8">
        <f>IF(E9694="","",E9694*F9694)</f>
        <v/>
      </c>
      <c r="H9694" s="8">
        <f>IF(G9694="","",G9694-I9694)</f>
        <v/>
      </c>
      <c r="I9694" s="8">
        <f>IF(D9694="","",VLOOKUP(D9694, RECETTES!B:G, 6, FALSE)*E9694)</f>
        <v/>
      </c>
      <c r="J9694" s="8">
        <f>IF(G9694="","",G9694*0.20)</f>
        <v/>
      </c>
      <c r="K9694" s="8">
        <f>IF(G9694="","",G9694+J9694)</f>
        <v/>
      </c>
    </row>
    <row r="9695">
      <c r="F9695" s="8" t="n"/>
      <c r="G9695" s="8">
        <f>IF(E9695="","",E9695*F9695)</f>
        <v/>
      </c>
      <c r="H9695" s="8">
        <f>IF(G9695="","",G9695-I9695)</f>
        <v/>
      </c>
      <c r="I9695" s="8">
        <f>IF(D9695="","",VLOOKUP(D9695, RECETTES!B:G, 6, FALSE)*E9695)</f>
        <v/>
      </c>
      <c r="J9695" s="8">
        <f>IF(G9695="","",G9695*0.20)</f>
        <v/>
      </c>
      <c r="K9695" s="8">
        <f>IF(G9695="","",G9695+J9695)</f>
        <v/>
      </c>
    </row>
    <row r="9696">
      <c r="F9696" s="8" t="n"/>
      <c r="G9696" s="8">
        <f>IF(E9696="","",E9696*F9696)</f>
        <v/>
      </c>
      <c r="H9696" s="8">
        <f>IF(G9696="","",G9696-I9696)</f>
        <v/>
      </c>
      <c r="I9696" s="8">
        <f>IF(D9696="","",VLOOKUP(D9696, RECETTES!B:G, 6, FALSE)*E9696)</f>
        <v/>
      </c>
      <c r="J9696" s="8">
        <f>IF(G9696="","",G9696*0.20)</f>
        <v/>
      </c>
      <c r="K9696" s="8">
        <f>IF(G9696="","",G9696+J9696)</f>
        <v/>
      </c>
    </row>
    <row r="9697">
      <c r="F9697" s="8" t="n"/>
      <c r="G9697" s="8">
        <f>IF(E9697="","",E9697*F9697)</f>
        <v/>
      </c>
      <c r="H9697" s="8">
        <f>IF(G9697="","",G9697-I9697)</f>
        <v/>
      </c>
      <c r="I9697" s="8">
        <f>IF(D9697="","",VLOOKUP(D9697, RECETTES!B:G, 6, FALSE)*E9697)</f>
        <v/>
      </c>
      <c r="J9697" s="8">
        <f>IF(G9697="","",G9697*0.20)</f>
        <v/>
      </c>
      <c r="K9697" s="8">
        <f>IF(G9697="","",G9697+J9697)</f>
        <v/>
      </c>
    </row>
    <row r="9698">
      <c r="F9698" s="8" t="n"/>
      <c r="G9698" s="8">
        <f>IF(E9698="","",E9698*F9698)</f>
        <v/>
      </c>
      <c r="H9698" s="8">
        <f>IF(G9698="","",G9698-I9698)</f>
        <v/>
      </c>
      <c r="I9698" s="8">
        <f>IF(D9698="","",VLOOKUP(D9698, RECETTES!B:G, 6, FALSE)*E9698)</f>
        <v/>
      </c>
      <c r="J9698" s="8">
        <f>IF(G9698="","",G9698*0.20)</f>
        <v/>
      </c>
      <c r="K9698" s="8">
        <f>IF(G9698="","",G9698+J9698)</f>
        <v/>
      </c>
    </row>
    <row r="9699">
      <c r="F9699" s="8" t="n"/>
      <c r="G9699" s="8">
        <f>IF(E9699="","",E9699*F9699)</f>
        <v/>
      </c>
      <c r="H9699" s="8">
        <f>IF(G9699="","",G9699-I9699)</f>
        <v/>
      </c>
      <c r="I9699" s="8">
        <f>IF(D9699="","",VLOOKUP(D9699, RECETTES!B:G, 6, FALSE)*E9699)</f>
        <v/>
      </c>
      <c r="J9699" s="8">
        <f>IF(G9699="","",G9699*0.20)</f>
        <v/>
      </c>
      <c r="K9699" s="8">
        <f>IF(G9699="","",G9699+J9699)</f>
        <v/>
      </c>
    </row>
    <row r="9700">
      <c r="F9700" s="8" t="n"/>
      <c r="G9700" s="8">
        <f>IF(E9700="","",E9700*F9700)</f>
        <v/>
      </c>
      <c r="H9700" s="8">
        <f>IF(G9700="","",G9700-I9700)</f>
        <v/>
      </c>
      <c r="I9700" s="8">
        <f>IF(D9700="","",VLOOKUP(D9700, RECETTES!B:G, 6, FALSE)*E9700)</f>
        <v/>
      </c>
      <c r="J9700" s="8">
        <f>IF(G9700="","",G9700*0.20)</f>
        <v/>
      </c>
      <c r="K9700" s="8">
        <f>IF(G9700="","",G9700+J9700)</f>
        <v/>
      </c>
    </row>
    <row r="9701">
      <c r="F9701" s="8" t="n"/>
      <c r="G9701" s="8">
        <f>IF(E9701="","",E9701*F9701)</f>
        <v/>
      </c>
      <c r="H9701" s="8">
        <f>IF(G9701="","",G9701-I9701)</f>
        <v/>
      </c>
      <c r="I9701" s="8">
        <f>IF(D9701="","",VLOOKUP(D9701, RECETTES!B:G, 6, FALSE)*E9701)</f>
        <v/>
      </c>
      <c r="J9701" s="8">
        <f>IF(G9701="","",G9701*0.20)</f>
        <v/>
      </c>
      <c r="K9701" s="8">
        <f>IF(G9701="","",G9701+J9701)</f>
        <v/>
      </c>
    </row>
    <row r="9702">
      <c r="F9702" s="8" t="n"/>
      <c r="G9702" s="8">
        <f>IF(E9702="","",E9702*F9702)</f>
        <v/>
      </c>
      <c r="H9702" s="8">
        <f>IF(G9702="","",G9702-I9702)</f>
        <v/>
      </c>
      <c r="I9702" s="8">
        <f>IF(D9702="","",VLOOKUP(D9702, RECETTES!B:G, 6, FALSE)*E9702)</f>
        <v/>
      </c>
      <c r="J9702" s="8">
        <f>IF(G9702="","",G9702*0.20)</f>
        <v/>
      </c>
      <c r="K9702" s="8">
        <f>IF(G9702="","",G9702+J9702)</f>
        <v/>
      </c>
    </row>
    <row r="9703">
      <c r="F9703" s="8" t="n"/>
      <c r="G9703" s="8">
        <f>IF(E9703="","",E9703*F9703)</f>
        <v/>
      </c>
      <c r="H9703" s="8">
        <f>IF(G9703="","",G9703-I9703)</f>
        <v/>
      </c>
      <c r="I9703" s="8">
        <f>IF(D9703="","",VLOOKUP(D9703, RECETTES!B:G, 6, FALSE)*E9703)</f>
        <v/>
      </c>
      <c r="J9703" s="8">
        <f>IF(G9703="","",G9703*0.20)</f>
        <v/>
      </c>
      <c r="K9703" s="8">
        <f>IF(G9703="","",G9703+J9703)</f>
        <v/>
      </c>
    </row>
    <row r="9704">
      <c r="F9704" s="8" t="n"/>
      <c r="G9704" s="8">
        <f>IF(E9704="","",E9704*F9704)</f>
        <v/>
      </c>
      <c r="H9704" s="8">
        <f>IF(G9704="","",G9704-I9704)</f>
        <v/>
      </c>
      <c r="I9704" s="8">
        <f>IF(D9704="","",VLOOKUP(D9704, RECETTES!B:G, 6, FALSE)*E9704)</f>
        <v/>
      </c>
      <c r="J9704" s="8">
        <f>IF(G9704="","",G9704*0.20)</f>
        <v/>
      </c>
      <c r="K9704" s="8">
        <f>IF(G9704="","",G9704+J9704)</f>
        <v/>
      </c>
    </row>
    <row r="9705">
      <c r="F9705" s="8" t="n"/>
      <c r="G9705" s="8">
        <f>IF(E9705="","",E9705*F9705)</f>
        <v/>
      </c>
      <c r="H9705" s="8">
        <f>IF(G9705="","",G9705-I9705)</f>
        <v/>
      </c>
      <c r="I9705" s="8">
        <f>IF(D9705="","",VLOOKUP(D9705, RECETTES!B:G, 6, FALSE)*E9705)</f>
        <v/>
      </c>
      <c r="J9705" s="8">
        <f>IF(G9705="","",G9705*0.20)</f>
        <v/>
      </c>
      <c r="K9705" s="8">
        <f>IF(G9705="","",G9705+J9705)</f>
        <v/>
      </c>
    </row>
    <row r="9706">
      <c r="F9706" s="8" t="n"/>
      <c r="G9706" s="8">
        <f>IF(E9706="","",E9706*F9706)</f>
        <v/>
      </c>
      <c r="H9706" s="8">
        <f>IF(G9706="","",G9706-I9706)</f>
        <v/>
      </c>
      <c r="I9706" s="8">
        <f>IF(D9706="","",VLOOKUP(D9706, RECETTES!B:G, 6, FALSE)*E9706)</f>
        <v/>
      </c>
      <c r="J9706" s="8">
        <f>IF(G9706="","",G9706*0.20)</f>
        <v/>
      </c>
      <c r="K9706" s="8">
        <f>IF(G9706="","",G9706+J9706)</f>
        <v/>
      </c>
    </row>
    <row r="9707">
      <c r="F9707" s="8" t="n"/>
      <c r="G9707" s="8">
        <f>IF(E9707="","",E9707*F9707)</f>
        <v/>
      </c>
      <c r="H9707" s="8">
        <f>IF(G9707="","",G9707-I9707)</f>
        <v/>
      </c>
      <c r="I9707" s="8">
        <f>IF(D9707="","",VLOOKUP(D9707, RECETTES!B:G, 6, FALSE)*E9707)</f>
        <v/>
      </c>
      <c r="J9707" s="8">
        <f>IF(G9707="","",G9707*0.20)</f>
        <v/>
      </c>
      <c r="K9707" s="8">
        <f>IF(G9707="","",G9707+J9707)</f>
        <v/>
      </c>
    </row>
    <row r="9708">
      <c r="F9708" s="8" t="n"/>
      <c r="G9708" s="8">
        <f>IF(E9708="","",E9708*F9708)</f>
        <v/>
      </c>
      <c r="H9708" s="8">
        <f>IF(G9708="","",G9708-I9708)</f>
        <v/>
      </c>
      <c r="I9708" s="8">
        <f>IF(D9708="","",VLOOKUP(D9708, RECETTES!B:G, 6, FALSE)*E9708)</f>
        <v/>
      </c>
      <c r="J9708" s="8">
        <f>IF(G9708="","",G9708*0.20)</f>
        <v/>
      </c>
      <c r="K9708" s="8">
        <f>IF(G9708="","",G9708+J9708)</f>
        <v/>
      </c>
    </row>
    <row r="9709">
      <c r="F9709" s="8" t="n"/>
      <c r="G9709" s="8">
        <f>IF(E9709="","",E9709*F9709)</f>
        <v/>
      </c>
      <c r="H9709" s="8">
        <f>IF(G9709="","",G9709-I9709)</f>
        <v/>
      </c>
      <c r="I9709" s="8">
        <f>IF(D9709="","",VLOOKUP(D9709, RECETTES!B:G, 6, FALSE)*E9709)</f>
        <v/>
      </c>
      <c r="J9709" s="8">
        <f>IF(G9709="","",G9709*0.20)</f>
        <v/>
      </c>
      <c r="K9709" s="8">
        <f>IF(G9709="","",G9709+J9709)</f>
        <v/>
      </c>
    </row>
    <row r="9710">
      <c r="F9710" s="8" t="n"/>
      <c r="G9710" s="8">
        <f>IF(E9710="","",E9710*F9710)</f>
        <v/>
      </c>
      <c r="H9710" s="8">
        <f>IF(G9710="","",G9710-I9710)</f>
        <v/>
      </c>
      <c r="I9710" s="8">
        <f>IF(D9710="","",VLOOKUP(D9710, RECETTES!B:G, 6, FALSE)*E9710)</f>
        <v/>
      </c>
      <c r="J9710" s="8">
        <f>IF(G9710="","",G9710*0.20)</f>
        <v/>
      </c>
      <c r="K9710" s="8">
        <f>IF(G9710="","",G9710+J9710)</f>
        <v/>
      </c>
    </row>
    <row r="9711">
      <c r="F9711" s="8" t="n"/>
      <c r="G9711" s="8">
        <f>IF(E9711="","",E9711*F9711)</f>
        <v/>
      </c>
      <c r="H9711" s="8">
        <f>IF(G9711="","",G9711-I9711)</f>
        <v/>
      </c>
      <c r="I9711" s="8">
        <f>IF(D9711="","",VLOOKUP(D9711, RECETTES!B:G, 6, FALSE)*E9711)</f>
        <v/>
      </c>
      <c r="J9711" s="8">
        <f>IF(G9711="","",G9711*0.20)</f>
        <v/>
      </c>
      <c r="K9711" s="8">
        <f>IF(G9711="","",G9711+J9711)</f>
        <v/>
      </c>
    </row>
    <row r="9712">
      <c r="F9712" s="8" t="n"/>
      <c r="G9712" s="8">
        <f>IF(E9712="","",E9712*F9712)</f>
        <v/>
      </c>
      <c r="H9712" s="8">
        <f>IF(G9712="","",G9712-I9712)</f>
        <v/>
      </c>
      <c r="I9712" s="8">
        <f>IF(D9712="","",VLOOKUP(D9712, RECETTES!B:G, 6, FALSE)*E9712)</f>
        <v/>
      </c>
      <c r="J9712" s="8">
        <f>IF(G9712="","",G9712*0.20)</f>
        <v/>
      </c>
      <c r="K9712" s="8">
        <f>IF(G9712="","",G9712+J9712)</f>
        <v/>
      </c>
    </row>
    <row r="9713">
      <c r="F9713" s="8" t="n"/>
      <c r="G9713" s="8">
        <f>IF(E9713="","",E9713*F9713)</f>
        <v/>
      </c>
      <c r="H9713" s="8">
        <f>IF(G9713="","",G9713-I9713)</f>
        <v/>
      </c>
      <c r="I9713" s="8">
        <f>IF(D9713="","",VLOOKUP(D9713, RECETTES!B:G, 6, FALSE)*E9713)</f>
        <v/>
      </c>
      <c r="J9713" s="8">
        <f>IF(G9713="","",G9713*0.20)</f>
        <v/>
      </c>
      <c r="K9713" s="8">
        <f>IF(G9713="","",G9713+J9713)</f>
        <v/>
      </c>
    </row>
    <row r="9714">
      <c r="F9714" s="8" t="n"/>
      <c r="G9714" s="8">
        <f>IF(E9714="","",E9714*F9714)</f>
        <v/>
      </c>
      <c r="H9714" s="8">
        <f>IF(G9714="","",G9714-I9714)</f>
        <v/>
      </c>
      <c r="I9714" s="8">
        <f>IF(D9714="","",VLOOKUP(D9714, RECETTES!B:G, 6, FALSE)*E9714)</f>
        <v/>
      </c>
      <c r="J9714" s="8">
        <f>IF(G9714="","",G9714*0.20)</f>
        <v/>
      </c>
      <c r="K9714" s="8">
        <f>IF(G9714="","",G9714+J9714)</f>
        <v/>
      </c>
    </row>
    <row r="9715">
      <c r="F9715" s="8" t="n"/>
      <c r="G9715" s="8">
        <f>IF(E9715="","",E9715*F9715)</f>
        <v/>
      </c>
      <c r="H9715" s="8">
        <f>IF(G9715="","",G9715-I9715)</f>
        <v/>
      </c>
      <c r="I9715" s="8">
        <f>IF(D9715="","",VLOOKUP(D9715, RECETTES!B:G, 6, FALSE)*E9715)</f>
        <v/>
      </c>
      <c r="J9715" s="8">
        <f>IF(G9715="","",G9715*0.20)</f>
        <v/>
      </c>
      <c r="K9715" s="8">
        <f>IF(G9715="","",G9715+J9715)</f>
        <v/>
      </c>
    </row>
    <row r="9716">
      <c r="F9716" s="8" t="n"/>
      <c r="G9716" s="8">
        <f>IF(E9716="","",E9716*F9716)</f>
        <v/>
      </c>
      <c r="H9716" s="8">
        <f>IF(G9716="","",G9716-I9716)</f>
        <v/>
      </c>
      <c r="I9716" s="8">
        <f>IF(D9716="","",VLOOKUP(D9716, RECETTES!B:G, 6, FALSE)*E9716)</f>
        <v/>
      </c>
      <c r="J9716" s="8">
        <f>IF(G9716="","",G9716*0.20)</f>
        <v/>
      </c>
      <c r="K9716" s="8">
        <f>IF(G9716="","",G9716+J9716)</f>
        <v/>
      </c>
    </row>
    <row r="9717">
      <c r="F9717" s="8" t="n"/>
      <c r="G9717" s="8">
        <f>IF(E9717="","",E9717*F9717)</f>
        <v/>
      </c>
      <c r="H9717" s="8">
        <f>IF(G9717="","",G9717-I9717)</f>
        <v/>
      </c>
      <c r="I9717" s="8">
        <f>IF(D9717="","",VLOOKUP(D9717, RECETTES!B:G, 6, FALSE)*E9717)</f>
        <v/>
      </c>
      <c r="J9717" s="8">
        <f>IF(G9717="","",G9717*0.20)</f>
        <v/>
      </c>
      <c r="K9717" s="8">
        <f>IF(G9717="","",G9717+J9717)</f>
        <v/>
      </c>
    </row>
    <row r="9718">
      <c r="F9718" s="8" t="n"/>
      <c r="G9718" s="8">
        <f>IF(E9718="","",E9718*F9718)</f>
        <v/>
      </c>
      <c r="H9718" s="8">
        <f>IF(G9718="","",G9718-I9718)</f>
        <v/>
      </c>
      <c r="I9718" s="8">
        <f>IF(D9718="","",VLOOKUP(D9718, RECETTES!B:G, 6, FALSE)*E9718)</f>
        <v/>
      </c>
      <c r="J9718" s="8">
        <f>IF(G9718="","",G9718*0.20)</f>
        <v/>
      </c>
      <c r="K9718" s="8">
        <f>IF(G9718="","",G9718+J9718)</f>
        <v/>
      </c>
    </row>
    <row r="9719">
      <c r="F9719" s="8" t="n"/>
      <c r="G9719" s="8">
        <f>IF(E9719="","",E9719*F9719)</f>
        <v/>
      </c>
      <c r="H9719" s="8">
        <f>IF(G9719="","",G9719-I9719)</f>
        <v/>
      </c>
      <c r="I9719" s="8">
        <f>IF(D9719="","",VLOOKUP(D9719, RECETTES!B:G, 6, FALSE)*E9719)</f>
        <v/>
      </c>
      <c r="J9719" s="8">
        <f>IF(G9719="","",G9719*0.20)</f>
        <v/>
      </c>
      <c r="K9719" s="8">
        <f>IF(G9719="","",G9719+J9719)</f>
        <v/>
      </c>
    </row>
    <row r="9720">
      <c r="F9720" s="8" t="n"/>
      <c r="G9720" s="8">
        <f>IF(E9720="","",E9720*F9720)</f>
        <v/>
      </c>
      <c r="H9720" s="8">
        <f>IF(G9720="","",G9720-I9720)</f>
        <v/>
      </c>
      <c r="I9720" s="8">
        <f>IF(D9720="","",VLOOKUP(D9720, RECETTES!B:G, 6, FALSE)*E9720)</f>
        <v/>
      </c>
      <c r="J9720" s="8">
        <f>IF(G9720="","",G9720*0.20)</f>
        <v/>
      </c>
      <c r="K9720" s="8">
        <f>IF(G9720="","",G9720+J9720)</f>
        <v/>
      </c>
    </row>
    <row r="9721">
      <c r="F9721" s="8" t="n"/>
      <c r="G9721" s="8">
        <f>IF(E9721="","",E9721*F9721)</f>
        <v/>
      </c>
      <c r="H9721" s="8">
        <f>IF(G9721="","",G9721-I9721)</f>
        <v/>
      </c>
      <c r="I9721" s="8">
        <f>IF(D9721="","",VLOOKUP(D9721, RECETTES!B:G, 6, FALSE)*E9721)</f>
        <v/>
      </c>
      <c r="J9721" s="8">
        <f>IF(G9721="","",G9721*0.20)</f>
        <v/>
      </c>
      <c r="K9721" s="8">
        <f>IF(G9721="","",G9721+J9721)</f>
        <v/>
      </c>
    </row>
    <row r="9722">
      <c r="F9722" s="8" t="n"/>
      <c r="G9722" s="8">
        <f>IF(E9722="","",E9722*F9722)</f>
        <v/>
      </c>
      <c r="H9722" s="8">
        <f>IF(G9722="","",G9722-I9722)</f>
        <v/>
      </c>
      <c r="I9722" s="8">
        <f>IF(D9722="","",VLOOKUP(D9722, RECETTES!B:G, 6, FALSE)*E9722)</f>
        <v/>
      </c>
      <c r="J9722" s="8">
        <f>IF(G9722="","",G9722*0.20)</f>
        <v/>
      </c>
      <c r="K9722" s="8">
        <f>IF(G9722="","",G9722+J9722)</f>
        <v/>
      </c>
    </row>
    <row r="9723">
      <c r="F9723" s="8" t="n"/>
      <c r="G9723" s="8">
        <f>IF(E9723="","",E9723*F9723)</f>
        <v/>
      </c>
      <c r="H9723" s="8">
        <f>IF(G9723="","",G9723-I9723)</f>
        <v/>
      </c>
      <c r="I9723" s="8">
        <f>IF(D9723="","",VLOOKUP(D9723, RECETTES!B:G, 6, FALSE)*E9723)</f>
        <v/>
      </c>
      <c r="J9723" s="8">
        <f>IF(G9723="","",G9723*0.20)</f>
        <v/>
      </c>
      <c r="K9723" s="8">
        <f>IF(G9723="","",G9723+J9723)</f>
        <v/>
      </c>
    </row>
    <row r="9724">
      <c r="F9724" s="8" t="n"/>
      <c r="G9724" s="8">
        <f>IF(E9724="","",E9724*F9724)</f>
        <v/>
      </c>
      <c r="H9724" s="8">
        <f>IF(G9724="","",G9724-I9724)</f>
        <v/>
      </c>
      <c r="I9724" s="8">
        <f>IF(D9724="","",VLOOKUP(D9724, RECETTES!B:G, 6, FALSE)*E9724)</f>
        <v/>
      </c>
      <c r="J9724" s="8">
        <f>IF(G9724="","",G9724*0.20)</f>
        <v/>
      </c>
      <c r="K9724" s="8">
        <f>IF(G9724="","",G9724+J9724)</f>
        <v/>
      </c>
    </row>
    <row r="9725">
      <c r="F9725" s="8" t="n"/>
      <c r="G9725" s="8">
        <f>IF(E9725="","",E9725*F9725)</f>
        <v/>
      </c>
      <c r="H9725" s="8">
        <f>IF(G9725="","",G9725-I9725)</f>
        <v/>
      </c>
      <c r="I9725" s="8">
        <f>IF(D9725="","",VLOOKUP(D9725, RECETTES!B:G, 6, FALSE)*E9725)</f>
        <v/>
      </c>
      <c r="J9725" s="8">
        <f>IF(G9725="","",G9725*0.20)</f>
        <v/>
      </c>
      <c r="K9725" s="8">
        <f>IF(G9725="","",G9725+J9725)</f>
        <v/>
      </c>
    </row>
    <row r="9726">
      <c r="F9726" s="8" t="n"/>
      <c r="G9726" s="8">
        <f>IF(E9726="","",E9726*F9726)</f>
        <v/>
      </c>
      <c r="H9726" s="8">
        <f>IF(G9726="","",G9726-I9726)</f>
        <v/>
      </c>
      <c r="I9726" s="8">
        <f>IF(D9726="","",VLOOKUP(D9726, RECETTES!B:G, 6, FALSE)*E9726)</f>
        <v/>
      </c>
      <c r="J9726" s="8">
        <f>IF(G9726="","",G9726*0.20)</f>
        <v/>
      </c>
      <c r="K9726" s="8">
        <f>IF(G9726="","",G9726+J9726)</f>
        <v/>
      </c>
    </row>
    <row r="9727">
      <c r="F9727" s="8" t="n"/>
      <c r="G9727" s="8">
        <f>IF(E9727="","",E9727*F9727)</f>
        <v/>
      </c>
      <c r="H9727" s="8">
        <f>IF(G9727="","",G9727-I9727)</f>
        <v/>
      </c>
      <c r="I9727" s="8">
        <f>IF(D9727="","",VLOOKUP(D9727, RECETTES!B:G, 6, FALSE)*E9727)</f>
        <v/>
      </c>
      <c r="J9727" s="8">
        <f>IF(G9727="","",G9727*0.20)</f>
        <v/>
      </c>
      <c r="K9727" s="8">
        <f>IF(G9727="","",G9727+J9727)</f>
        <v/>
      </c>
    </row>
    <row r="9728">
      <c r="F9728" s="8" t="n"/>
      <c r="G9728" s="8">
        <f>IF(E9728="","",E9728*F9728)</f>
        <v/>
      </c>
      <c r="H9728" s="8">
        <f>IF(G9728="","",G9728-I9728)</f>
        <v/>
      </c>
      <c r="I9728" s="8">
        <f>IF(D9728="","",VLOOKUP(D9728, RECETTES!B:G, 6, FALSE)*E9728)</f>
        <v/>
      </c>
      <c r="J9728" s="8">
        <f>IF(G9728="","",G9728*0.20)</f>
        <v/>
      </c>
      <c r="K9728" s="8">
        <f>IF(G9728="","",G9728+J9728)</f>
        <v/>
      </c>
    </row>
    <row r="9729">
      <c r="F9729" s="8" t="n"/>
      <c r="G9729" s="8">
        <f>IF(E9729="","",E9729*F9729)</f>
        <v/>
      </c>
      <c r="H9729" s="8">
        <f>IF(G9729="","",G9729-I9729)</f>
        <v/>
      </c>
      <c r="I9729" s="8">
        <f>IF(D9729="","",VLOOKUP(D9729, RECETTES!B:G, 6, FALSE)*E9729)</f>
        <v/>
      </c>
      <c r="J9729" s="8">
        <f>IF(G9729="","",G9729*0.20)</f>
        <v/>
      </c>
      <c r="K9729" s="8">
        <f>IF(G9729="","",G9729+J9729)</f>
        <v/>
      </c>
    </row>
    <row r="9730">
      <c r="F9730" s="8" t="n"/>
      <c r="G9730" s="8">
        <f>IF(E9730="","",E9730*F9730)</f>
        <v/>
      </c>
      <c r="H9730" s="8">
        <f>IF(G9730="","",G9730-I9730)</f>
        <v/>
      </c>
      <c r="I9730" s="8">
        <f>IF(D9730="","",VLOOKUP(D9730, RECETTES!B:G, 6, FALSE)*E9730)</f>
        <v/>
      </c>
      <c r="J9730" s="8">
        <f>IF(G9730="","",G9730*0.20)</f>
        <v/>
      </c>
      <c r="K9730" s="8">
        <f>IF(G9730="","",G9730+J9730)</f>
        <v/>
      </c>
    </row>
    <row r="9731">
      <c r="F9731" s="8" t="n"/>
      <c r="G9731" s="8">
        <f>IF(E9731="","",E9731*F9731)</f>
        <v/>
      </c>
      <c r="H9731" s="8">
        <f>IF(G9731="","",G9731-I9731)</f>
        <v/>
      </c>
      <c r="I9731" s="8">
        <f>IF(D9731="","",VLOOKUP(D9731, RECETTES!B:G, 6, FALSE)*E9731)</f>
        <v/>
      </c>
      <c r="J9731" s="8">
        <f>IF(G9731="","",G9731*0.20)</f>
        <v/>
      </c>
      <c r="K9731" s="8">
        <f>IF(G9731="","",G9731+J9731)</f>
        <v/>
      </c>
    </row>
    <row r="9732">
      <c r="F9732" s="8" t="n"/>
      <c r="G9732" s="8">
        <f>IF(E9732="","",E9732*F9732)</f>
        <v/>
      </c>
      <c r="H9732" s="8">
        <f>IF(G9732="","",G9732-I9732)</f>
        <v/>
      </c>
      <c r="I9732" s="8">
        <f>IF(D9732="","",VLOOKUP(D9732, RECETTES!B:G, 6, FALSE)*E9732)</f>
        <v/>
      </c>
      <c r="J9732" s="8">
        <f>IF(G9732="","",G9732*0.20)</f>
        <v/>
      </c>
      <c r="K9732" s="8">
        <f>IF(G9732="","",G9732+J9732)</f>
        <v/>
      </c>
    </row>
    <row r="9733">
      <c r="F9733" s="8" t="n"/>
      <c r="G9733" s="8">
        <f>IF(E9733="","",E9733*F9733)</f>
        <v/>
      </c>
      <c r="H9733" s="8">
        <f>IF(G9733="","",G9733-I9733)</f>
        <v/>
      </c>
      <c r="I9733" s="8">
        <f>IF(D9733="","",VLOOKUP(D9733, RECETTES!B:G, 6, FALSE)*E9733)</f>
        <v/>
      </c>
      <c r="J9733" s="8">
        <f>IF(G9733="","",G9733*0.20)</f>
        <v/>
      </c>
      <c r="K9733" s="8">
        <f>IF(G9733="","",G9733+J9733)</f>
        <v/>
      </c>
    </row>
    <row r="9734">
      <c r="F9734" s="8" t="n"/>
      <c r="G9734" s="8">
        <f>IF(E9734="","",E9734*F9734)</f>
        <v/>
      </c>
      <c r="H9734" s="8">
        <f>IF(G9734="","",G9734-I9734)</f>
        <v/>
      </c>
      <c r="I9734" s="8">
        <f>IF(D9734="","",VLOOKUP(D9734, RECETTES!B:G, 6, FALSE)*E9734)</f>
        <v/>
      </c>
      <c r="J9734" s="8">
        <f>IF(G9734="","",G9734*0.20)</f>
        <v/>
      </c>
      <c r="K9734" s="8">
        <f>IF(G9734="","",G9734+J9734)</f>
        <v/>
      </c>
    </row>
    <row r="9735">
      <c r="F9735" s="8" t="n"/>
      <c r="G9735" s="8">
        <f>IF(E9735="","",E9735*F9735)</f>
        <v/>
      </c>
      <c r="H9735" s="8">
        <f>IF(G9735="","",G9735-I9735)</f>
        <v/>
      </c>
      <c r="I9735" s="8">
        <f>IF(D9735="","",VLOOKUP(D9735, RECETTES!B:G, 6, FALSE)*E9735)</f>
        <v/>
      </c>
      <c r="J9735" s="8">
        <f>IF(G9735="","",G9735*0.20)</f>
        <v/>
      </c>
      <c r="K9735" s="8">
        <f>IF(G9735="","",G9735+J9735)</f>
        <v/>
      </c>
    </row>
    <row r="9736">
      <c r="F9736" s="8" t="n"/>
      <c r="G9736" s="8">
        <f>IF(E9736="","",E9736*F9736)</f>
        <v/>
      </c>
      <c r="H9736" s="8">
        <f>IF(G9736="","",G9736-I9736)</f>
        <v/>
      </c>
      <c r="I9736" s="8">
        <f>IF(D9736="","",VLOOKUP(D9736, RECETTES!B:G, 6, FALSE)*E9736)</f>
        <v/>
      </c>
      <c r="J9736" s="8">
        <f>IF(G9736="","",G9736*0.20)</f>
        <v/>
      </c>
      <c r="K9736" s="8">
        <f>IF(G9736="","",G9736+J9736)</f>
        <v/>
      </c>
    </row>
    <row r="9737">
      <c r="F9737" s="8" t="n"/>
      <c r="G9737" s="8">
        <f>IF(E9737="","",E9737*F9737)</f>
        <v/>
      </c>
      <c r="H9737" s="8">
        <f>IF(G9737="","",G9737-I9737)</f>
        <v/>
      </c>
      <c r="I9737" s="8">
        <f>IF(D9737="","",VLOOKUP(D9737, RECETTES!B:G, 6, FALSE)*E9737)</f>
        <v/>
      </c>
      <c r="J9737" s="8">
        <f>IF(G9737="","",G9737*0.20)</f>
        <v/>
      </c>
      <c r="K9737" s="8">
        <f>IF(G9737="","",G9737+J9737)</f>
        <v/>
      </c>
    </row>
    <row r="9738">
      <c r="F9738" s="8" t="n"/>
      <c r="G9738" s="8">
        <f>IF(E9738="","",E9738*F9738)</f>
        <v/>
      </c>
      <c r="H9738" s="8">
        <f>IF(G9738="","",G9738-I9738)</f>
        <v/>
      </c>
      <c r="I9738" s="8">
        <f>IF(D9738="","",VLOOKUP(D9738, RECETTES!B:G, 6, FALSE)*E9738)</f>
        <v/>
      </c>
      <c r="J9738" s="8">
        <f>IF(G9738="","",G9738*0.20)</f>
        <v/>
      </c>
      <c r="K9738" s="8">
        <f>IF(G9738="","",G9738+J9738)</f>
        <v/>
      </c>
    </row>
    <row r="9739">
      <c r="F9739" s="8" t="n"/>
      <c r="G9739" s="8">
        <f>IF(E9739="","",E9739*F9739)</f>
        <v/>
      </c>
      <c r="H9739" s="8">
        <f>IF(G9739="","",G9739-I9739)</f>
        <v/>
      </c>
      <c r="I9739" s="8">
        <f>IF(D9739="","",VLOOKUP(D9739, RECETTES!B:G, 6, FALSE)*E9739)</f>
        <v/>
      </c>
      <c r="J9739" s="8">
        <f>IF(G9739="","",G9739*0.20)</f>
        <v/>
      </c>
      <c r="K9739" s="8">
        <f>IF(G9739="","",G9739+J9739)</f>
        <v/>
      </c>
    </row>
    <row r="9740">
      <c r="F9740" s="8" t="n"/>
      <c r="G9740" s="8">
        <f>IF(E9740="","",E9740*F9740)</f>
        <v/>
      </c>
      <c r="H9740" s="8">
        <f>IF(G9740="","",G9740-I9740)</f>
        <v/>
      </c>
      <c r="I9740" s="8">
        <f>IF(D9740="","",VLOOKUP(D9740, RECETTES!B:G, 6, FALSE)*E9740)</f>
        <v/>
      </c>
      <c r="J9740" s="8">
        <f>IF(G9740="","",G9740*0.20)</f>
        <v/>
      </c>
      <c r="K9740" s="8">
        <f>IF(G9740="","",G9740+J9740)</f>
        <v/>
      </c>
    </row>
    <row r="9741">
      <c r="F9741" s="8" t="n"/>
      <c r="G9741" s="8">
        <f>IF(E9741="","",E9741*F9741)</f>
        <v/>
      </c>
      <c r="H9741" s="8">
        <f>IF(G9741="","",G9741-I9741)</f>
        <v/>
      </c>
      <c r="I9741" s="8">
        <f>IF(D9741="","",VLOOKUP(D9741, RECETTES!B:G, 6, FALSE)*E9741)</f>
        <v/>
      </c>
      <c r="J9741" s="8">
        <f>IF(G9741="","",G9741*0.20)</f>
        <v/>
      </c>
      <c r="K9741" s="8">
        <f>IF(G9741="","",G9741+J9741)</f>
        <v/>
      </c>
    </row>
    <row r="9742">
      <c r="F9742" s="8" t="n"/>
      <c r="G9742" s="8">
        <f>IF(E9742="","",E9742*F9742)</f>
        <v/>
      </c>
      <c r="H9742" s="8">
        <f>IF(G9742="","",G9742-I9742)</f>
        <v/>
      </c>
      <c r="I9742" s="8">
        <f>IF(D9742="","",VLOOKUP(D9742, RECETTES!B:G, 6, FALSE)*E9742)</f>
        <v/>
      </c>
      <c r="J9742" s="8">
        <f>IF(G9742="","",G9742*0.20)</f>
        <v/>
      </c>
      <c r="K9742" s="8">
        <f>IF(G9742="","",G9742+J9742)</f>
        <v/>
      </c>
    </row>
    <row r="9743">
      <c r="F9743" s="8" t="n"/>
      <c r="G9743" s="8">
        <f>IF(E9743="","",E9743*F9743)</f>
        <v/>
      </c>
      <c r="H9743" s="8">
        <f>IF(G9743="","",G9743-I9743)</f>
        <v/>
      </c>
      <c r="I9743" s="8">
        <f>IF(D9743="","",VLOOKUP(D9743, RECETTES!B:G, 6, FALSE)*E9743)</f>
        <v/>
      </c>
      <c r="J9743" s="8">
        <f>IF(G9743="","",G9743*0.20)</f>
        <v/>
      </c>
      <c r="K9743" s="8">
        <f>IF(G9743="","",G9743+J9743)</f>
        <v/>
      </c>
    </row>
    <row r="9744">
      <c r="F9744" s="8" t="n"/>
      <c r="G9744" s="8">
        <f>IF(E9744="","",E9744*F9744)</f>
        <v/>
      </c>
      <c r="H9744" s="8">
        <f>IF(G9744="","",G9744-I9744)</f>
        <v/>
      </c>
      <c r="I9744" s="8">
        <f>IF(D9744="","",VLOOKUP(D9744, RECETTES!B:G, 6, FALSE)*E9744)</f>
        <v/>
      </c>
      <c r="J9744" s="8">
        <f>IF(G9744="","",G9744*0.20)</f>
        <v/>
      </c>
      <c r="K9744" s="8">
        <f>IF(G9744="","",G9744+J9744)</f>
        <v/>
      </c>
    </row>
    <row r="9745">
      <c r="F9745" s="8" t="n"/>
      <c r="G9745" s="8">
        <f>IF(E9745="","",E9745*F9745)</f>
        <v/>
      </c>
      <c r="H9745" s="8">
        <f>IF(G9745="","",G9745-I9745)</f>
        <v/>
      </c>
      <c r="I9745" s="8">
        <f>IF(D9745="","",VLOOKUP(D9745, RECETTES!B:G, 6, FALSE)*E9745)</f>
        <v/>
      </c>
      <c r="J9745" s="8">
        <f>IF(G9745="","",G9745*0.20)</f>
        <v/>
      </c>
      <c r="K9745" s="8">
        <f>IF(G9745="","",G9745+J9745)</f>
        <v/>
      </c>
    </row>
    <row r="9746">
      <c r="F9746" s="8" t="n"/>
      <c r="G9746" s="8">
        <f>IF(E9746="","",E9746*F9746)</f>
        <v/>
      </c>
      <c r="H9746" s="8">
        <f>IF(G9746="","",G9746-I9746)</f>
        <v/>
      </c>
      <c r="I9746" s="8">
        <f>IF(D9746="","",VLOOKUP(D9746, RECETTES!B:G, 6, FALSE)*E9746)</f>
        <v/>
      </c>
      <c r="J9746" s="8">
        <f>IF(G9746="","",G9746*0.20)</f>
        <v/>
      </c>
      <c r="K9746" s="8">
        <f>IF(G9746="","",G9746+J9746)</f>
        <v/>
      </c>
    </row>
    <row r="9747">
      <c r="F9747" s="8" t="n"/>
      <c r="G9747" s="8">
        <f>IF(E9747="","",E9747*F9747)</f>
        <v/>
      </c>
      <c r="H9747" s="8">
        <f>IF(G9747="","",G9747-I9747)</f>
        <v/>
      </c>
      <c r="I9747" s="8">
        <f>IF(D9747="","",VLOOKUP(D9747, RECETTES!B:G, 6, FALSE)*E9747)</f>
        <v/>
      </c>
      <c r="J9747" s="8">
        <f>IF(G9747="","",G9747*0.20)</f>
        <v/>
      </c>
      <c r="K9747" s="8">
        <f>IF(G9747="","",G9747+J9747)</f>
        <v/>
      </c>
    </row>
    <row r="9748">
      <c r="F9748" s="8" t="n"/>
      <c r="G9748" s="8">
        <f>IF(E9748="","",E9748*F9748)</f>
        <v/>
      </c>
      <c r="H9748" s="8">
        <f>IF(G9748="","",G9748-I9748)</f>
        <v/>
      </c>
      <c r="I9748" s="8">
        <f>IF(D9748="","",VLOOKUP(D9748, RECETTES!B:G, 6, FALSE)*E9748)</f>
        <v/>
      </c>
      <c r="J9748" s="8">
        <f>IF(G9748="","",G9748*0.20)</f>
        <v/>
      </c>
      <c r="K9748" s="8">
        <f>IF(G9748="","",G9748+J9748)</f>
        <v/>
      </c>
    </row>
    <row r="9749">
      <c r="F9749" s="8" t="n"/>
      <c r="G9749" s="8">
        <f>IF(E9749="","",E9749*F9749)</f>
        <v/>
      </c>
      <c r="H9749" s="8">
        <f>IF(G9749="","",G9749-I9749)</f>
        <v/>
      </c>
      <c r="I9749" s="8">
        <f>IF(D9749="","",VLOOKUP(D9749, RECETTES!B:G, 6, FALSE)*E9749)</f>
        <v/>
      </c>
      <c r="J9749" s="8">
        <f>IF(G9749="","",G9749*0.20)</f>
        <v/>
      </c>
      <c r="K9749" s="8">
        <f>IF(G9749="","",G9749+J9749)</f>
        <v/>
      </c>
    </row>
    <row r="9750">
      <c r="F9750" s="8" t="n"/>
      <c r="G9750" s="8">
        <f>IF(E9750="","",E9750*F9750)</f>
        <v/>
      </c>
      <c r="H9750" s="8">
        <f>IF(G9750="","",G9750-I9750)</f>
        <v/>
      </c>
      <c r="I9750" s="8">
        <f>IF(D9750="","",VLOOKUP(D9750, RECETTES!B:G, 6, FALSE)*E9750)</f>
        <v/>
      </c>
      <c r="J9750" s="8">
        <f>IF(G9750="","",G9750*0.20)</f>
        <v/>
      </c>
      <c r="K9750" s="8">
        <f>IF(G9750="","",G9750+J9750)</f>
        <v/>
      </c>
    </row>
    <row r="9751">
      <c r="F9751" s="8" t="n"/>
      <c r="G9751" s="8">
        <f>IF(E9751="","",E9751*F9751)</f>
        <v/>
      </c>
      <c r="H9751" s="8">
        <f>IF(G9751="","",G9751-I9751)</f>
        <v/>
      </c>
      <c r="I9751" s="8">
        <f>IF(D9751="","",VLOOKUP(D9751, RECETTES!B:G, 6, FALSE)*E9751)</f>
        <v/>
      </c>
      <c r="J9751" s="8">
        <f>IF(G9751="","",G9751*0.20)</f>
        <v/>
      </c>
      <c r="K9751" s="8">
        <f>IF(G9751="","",G9751+J9751)</f>
        <v/>
      </c>
    </row>
    <row r="9752">
      <c r="F9752" s="8" t="n"/>
      <c r="G9752" s="8">
        <f>IF(E9752="","",E9752*F9752)</f>
        <v/>
      </c>
      <c r="H9752" s="8">
        <f>IF(G9752="","",G9752-I9752)</f>
        <v/>
      </c>
      <c r="I9752" s="8">
        <f>IF(D9752="","",VLOOKUP(D9752, RECETTES!B:G, 6, FALSE)*E9752)</f>
        <v/>
      </c>
      <c r="J9752" s="8">
        <f>IF(G9752="","",G9752*0.20)</f>
        <v/>
      </c>
      <c r="K9752" s="8">
        <f>IF(G9752="","",G9752+J9752)</f>
        <v/>
      </c>
    </row>
    <row r="9753">
      <c r="F9753" s="8" t="n"/>
      <c r="G9753" s="8">
        <f>IF(E9753="","",E9753*F9753)</f>
        <v/>
      </c>
      <c r="H9753" s="8">
        <f>IF(G9753="","",G9753-I9753)</f>
        <v/>
      </c>
      <c r="I9753" s="8">
        <f>IF(D9753="","",VLOOKUP(D9753, RECETTES!B:G, 6, FALSE)*E9753)</f>
        <v/>
      </c>
      <c r="J9753" s="8">
        <f>IF(G9753="","",G9753*0.20)</f>
        <v/>
      </c>
      <c r="K9753" s="8">
        <f>IF(G9753="","",G9753+J9753)</f>
        <v/>
      </c>
    </row>
    <row r="9754">
      <c r="F9754" s="8" t="n"/>
      <c r="G9754" s="8">
        <f>IF(E9754="","",E9754*F9754)</f>
        <v/>
      </c>
      <c r="H9754" s="8">
        <f>IF(G9754="","",G9754-I9754)</f>
        <v/>
      </c>
      <c r="I9754" s="8">
        <f>IF(D9754="","",VLOOKUP(D9754, RECETTES!B:G, 6, FALSE)*E9754)</f>
        <v/>
      </c>
      <c r="J9754" s="8">
        <f>IF(G9754="","",G9754*0.20)</f>
        <v/>
      </c>
      <c r="K9754" s="8">
        <f>IF(G9754="","",G9754+J9754)</f>
        <v/>
      </c>
    </row>
    <row r="9755">
      <c r="F9755" s="8" t="n"/>
      <c r="G9755" s="8">
        <f>IF(E9755="","",E9755*F9755)</f>
        <v/>
      </c>
      <c r="H9755" s="8">
        <f>IF(G9755="","",G9755-I9755)</f>
        <v/>
      </c>
      <c r="I9755" s="8">
        <f>IF(D9755="","",VLOOKUP(D9755, RECETTES!B:G, 6, FALSE)*E9755)</f>
        <v/>
      </c>
      <c r="J9755" s="8">
        <f>IF(G9755="","",G9755*0.20)</f>
        <v/>
      </c>
      <c r="K9755" s="8">
        <f>IF(G9755="","",G9755+J9755)</f>
        <v/>
      </c>
    </row>
    <row r="9756">
      <c r="F9756" s="8" t="n"/>
      <c r="G9756" s="8">
        <f>IF(E9756="","",E9756*F9756)</f>
        <v/>
      </c>
      <c r="H9756" s="8">
        <f>IF(G9756="","",G9756-I9756)</f>
        <v/>
      </c>
      <c r="I9756" s="8">
        <f>IF(D9756="","",VLOOKUP(D9756, RECETTES!B:G, 6, FALSE)*E9756)</f>
        <v/>
      </c>
      <c r="J9756" s="8">
        <f>IF(G9756="","",G9756*0.20)</f>
        <v/>
      </c>
      <c r="K9756" s="8">
        <f>IF(G9756="","",G9756+J9756)</f>
        <v/>
      </c>
    </row>
    <row r="9757">
      <c r="F9757" s="8" t="n"/>
      <c r="G9757" s="8">
        <f>IF(E9757="","",E9757*F9757)</f>
        <v/>
      </c>
      <c r="H9757" s="8">
        <f>IF(G9757="","",G9757-I9757)</f>
        <v/>
      </c>
      <c r="I9757" s="8">
        <f>IF(D9757="","",VLOOKUP(D9757, RECETTES!B:G, 6, FALSE)*E9757)</f>
        <v/>
      </c>
      <c r="J9757" s="8">
        <f>IF(G9757="","",G9757*0.20)</f>
        <v/>
      </c>
      <c r="K9757" s="8">
        <f>IF(G9757="","",G9757+J9757)</f>
        <v/>
      </c>
    </row>
    <row r="9758">
      <c r="F9758" s="8" t="n"/>
      <c r="G9758" s="8">
        <f>IF(E9758="","",E9758*F9758)</f>
        <v/>
      </c>
      <c r="H9758" s="8">
        <f>IF(G9758="","",G9758-I9758)</f>
        <v/>
      </c>
      <c r="I9758" s="8">
        <f>IF(D9758="","",VLOOKUP(D9758, RECETTES!B:G, 6, FALSE)*E9758)</f>
        <v/>
      </c>
      <c r="J9758" s="8">
        <f>IF(G9758="","",G9758*0.20)</f>
        <v/>
      </c>
      <c r="K9758" s="8">
        <f>IF(G9758="","",G9758+J9758)</f>
        <v/>
      </c>
    </row>
    <row r="9759">
      <c r="F9759" s="8" t="n"/>
      <c r="G9759" s="8">
        <f>IF(E9759="","",E9759*F9759)</f>
        <v/>
      </c>
      <c r="H9759" s="8">
        <f>IF(G9759="","",G9759-I9759)</f>
        <v/>
      </c>
      <c r="I9759" s="8">
        <f>IF(D9759="","",VLOOKUP(D9759, RECETTES!B:G, 6, FALSE)*E9759)</f>
        <v/>
      </c>
      <c r="J9759" s="8">
        <f>IF(G9759="","",G9759*0.20)</f>
        <v/>
      </c>
      <c r="K9759" s="8">
        <f>IF(G9759="","",G9759+J9759)</f>
        <v/>
      </c>
    </row>
    <row r="9760">
      <c r="F9760" s="8" t="n"/>
      <c r="G9760" s="8">
        <f>IF(E9760="","",E9760*F9760)</f>
        <v/>
      </c>
      <c r="H9760" s="8">
        <f>IF(G9760="","",G9760-I9760)</f>
        <v/>
      </c>
      <c r="I9760" s="8">
        <f>IF(D9760="","",VLOOKUP(D9760, RECETTES!B:G, 6, FALSE)*E9760)</f>
        <v/>
      </c>
      <c r="J9760" s="8">
        <f>IF(G9760="","",G9760*0.20)</f>
        <v/>
      </c>
      <c r="K9760" s="8">
        <f>IF(G9760="","",G9760+J9760)</f>
        <v/>
      </c>
    </row>
    <row r="9761">
      <c r="F9761" s="8" t="n"/>
      <c r="G9761" s="8">
        <f>IF(E9761="","",E9761*F9761)</f>
        <v/>
      </c>
      <c r="H9761" s="8">
        <f>IF(G9761="","",G9761-I9761)</f>
        <v/>
      </c>
      <c r="I9761" s="8">
        <f>IF(D9761="","",VLOOKUP(D9761, RECETTES!B:G, 6, FALSE)*E9761)</f>
        <v/>
      </c>
      <c r="J9761" s="8">
        <f>IF(G9761="","",G9761*0.20)</f>
        <v/>
      </c>
      <c r="K9761" s="8">
        <f>IF(G9761="","",G9761+J9761)</f>
        <v/>
      </c>
    </row>
    <row r="9762">
      <c r="F9762" s="8" t="n"/>
      <c r="G9762" s="8">
        <f>IF(E9762="","",E9762*F9762)</f>
        <v/>
      </c>
      <c r="H9762" s="8">
        <f>IF(G9762="","",G9762-I9762)</f>
        <v/>
      </c>
      <c r="I9762" s="8">
        <f>IF(D9762="","",VLOOKUP(D9762, RECETTES!B:G, 6, FALSE)*E9762)</f>
        <v/>
      </c>
      <c r="J9762" s="8">
        <f>IF(G9762="","",G9762*0.20)</f>
        <v/>
      </c>
      <c r="K9762" s="8">
        <f>IF(G9762="","",G9762+J9762)</f>
        <v/>
      </c>
    </row>
    <row r="9763">
      <c r="F9763" s="8" t="n"/>
      <c r="G9763" s="8">
        <f>IF(E9763="","",E9763*F9763)</f>
        <v/>
      </c>
      <c r="H9763" s="8">
        <f>IF(G9763="","",G9763-I9763)</f>
        <v/>
      </c>
      <c r="I9763" s="8">
        <f>IF(D9763="","",VLOOKUP(D9763, RECETTES!B:G, 6, FALSE)*E9763)</f>
        <v/>
      </c>
      <c r="J9763" s="8">
        <f>IF(G9763="","",G9763*0.20)</f>
        <v/>
      </c>
      <c r="K9763" s="8">
        <f>IF(G9763="","",G9763+J9763)</f>
        <v/>
      </c>
    </row>
    <row r="9764">
      <c r="F9764" s="8" t="n"/>
      <c r="G9764" s="8">
        <f>IF(E9764="","",E9764*F9764)</f>
        <v/>
      </c>
      <c r="H9764" s="8">
        <f>IF(G9764="","",G9764-I9764)</f>
        <v/>
      </c>
      <c r="I9764" s="8">
        <f>IF(D9764="","",VLOOKUP(D9764, RECETTES!B:G, 6, FALSE)*E9764)</f>
        <v/>
      </c>
      <c r="J9764" s="8">
        <f>IF(G9764="","",G9764*0.20)</f>
        <v/>
      </c>
      <c r="K9764" s="8">
        <f>IF(G9764="","",G9764+J9764)</f>
        <v/>
      </c>
    </row>
    <row r="9765">
      <c r="F9765" s="8" t="n"/>
      <c r="G9765" s="8">
        <f>IF(E9765="","",E9765*F9765)</f>
        <v/>
      </c>
      <c r="H9765" s="8">
        <f>IF(G9765="","",G9765-I9765)</f>
        <v/>
      </c>
      <c r="I9765" s="8">
        <f>IF(D9765="","",VLOOKUP(D9765, RECETTES!B:G, 6, FALSE)*E9765)</f>
        <v/>
      </c>
      <c r="J9765" s="8">
        <f>IF(G9765="","",G9765*0.20)</f>
        <v/>
      </c>
      <c r="K9765" s="8">
        <f>IF(G9765="","",G9765+J9765)</f>
        <v/>
      </c>
    </row>
    <row r="9766">
      <c r="F9766" s="8" t="n"/>
      <c r="G9766" s="8">
        <f>IF(E9766="","",E9766*F9766)</f>
        <v/>
      </c>
      <c r="H9766" s="8">
        <f>IF(G9766="","",G9766-I9766)</f>
        <v/>
      </c>
      <c r="I9766" s="8">
        <f>IF(D9766="","",VLOOKUP(D9766, RECETTES!B:G, 6, FALSE)*E9766)</f>
        <v/>
      </c>
      <c r="J9766" s="8">
        <f>IF(G9766="","",G9766*0.20)</f>
        <v/>
      </c>
      <c r="K9766" s="8">
        <f>IF(G9766="","",G9766+J9766)</f>
        <v/>
      </c>
    </row>
    <row r="9767">
      <c r="F9767" s="8" t="n"/>
      <c r="G9767" s="8">
        <f>IF(E9767="","",E9767*F9767)</f>
        <v/>
      </c>
      <c r="H9767" s="8">
        <f>IF(G9767="","",G9767-I9767)</f>
        <v/>
      </c>
      <c r="I9767" s="8">
        <f>IF(D9767="","",VLOOKUP(D9767, RECETTES!B:G, 6, FALSE)*E9767)</f>
        <v/>
      </c>
      <c r="J9767" s="8">
        <f>IF(G9767="","",G9767*0.20)</f>
        <v/>
      </c>
      <c r="K9767" s="8">
        <f>IF(G9767="","",G9767+J9767)</f>
        <v/>
      </c>
    </row>
    <row r="9768">
      <c r="F9768" s="8" t="n"/>
      <c r="G9768" s="8">
        <f>IF(E9768="","",E9768*F9768)</f>
        <v/>
      </c>
      <c r="H9768" s="8">
        <f>IF(G9768="","",G9768-I9768)</f>
        <v/>
      </c>
      <c r="I9768" s="8">
        <f>IF(D9768="","",VLOOKUP(D9768, RECETTES!B:G, 6, FALSE)*E9768)</f>
        <v/>
      </c>
      <c r="J9768" s="8">
        <f>IF(G9768="","",G9768*0.20)</f>
        <v/>
      </c>
      <c r="K9768" s="8">
        <f>IF(G9768="","",G9768+J9768)</f>
        <v/>
      </c>
    </row>
    <row r="9769">
      <c r="F9769" s="8" t="n"/>
      <c r="G9769" s="8">
        <f>IF(E9769="","",E9769*F9769)</f>
        <v/>
      </c>
      <c r="H9769" s="8">
        <f>IF(G9769="","",G9769-I9769)</f>
        <v/>
      </c>
      <c r="I9769" s="8">
        <f>IF(D9769="","",VLOOKUP(D9769, RECETTES!B:G, 6, FALSE)*E9769)</f>
        <v/>
      </c>
      <c r="J9769" s="8">
        <f>IF(G9769="","",G9769*0.20)</f>
        <v/>
      </c>
      <c r="K9769" s="8">
        <f>IF(G9769="","",G9769+J9769)</f>
        <v/>
      </c>
    </row>
    <row r="9770">
      <c r="F9770" s="8" t="n"/>
      <c r="G9770" s="8">
        <f>IF(E9770="","",E9770*F9770)</f>
        <v/>
      </c>
      <c r="H9770" s="8">
        <f>IF(G9770="","",G9770-I9770)</f>
        <v/>
      </c>
      <c r="I9770" s="8">
        <f>IF(D9770="","",VLOOKUP(D9770, RECETTES!B:G, 6, FALSE)*E9770)</f>
        <v/>
      </c>
      <c r="J9770" s="8">
        <f>IF(G9770="","",G9770*0.20)</f>
        <v/>
      </c>
      <c r="K9770" s="8">
        <f>IF(G9770="","",G9770+J9770)</f>
        <v/>
      </c>
    </row>
    <row r="9771">
      <c r="F9771" s="8" t="n"/>
      <c r="G9771" s="8">
        <f>IF(E9771="","",E9771*F9771)</f>
        <v/>
      </c>
      <c r="H9771" s="8">
        <f>IF(G9771="","",G9771-I9771)</f>
        <v/>
      </c>
      <c r="I9771" s="8">
        <f>IF(D9771="","",VLOOKUP(D9771, RECETTES!B:G, 6, FALSE)*E9771)</f>
        <v/>
      </c>
      <c r="J9771" s="8">
        <f>IF(G9771="","",G9771*0.20)</f>
        <v/>
      </c>
      <c r="K9771" s="8">
        <f>IF(G9771="","",G9771+J9771)</f>
        <v/>
      </c>
    </row>
    <row r="9772">
      <c r="F9772" s="8" t="n"/>
      <c r="G9772" s="8">
        <f>IF(E9772="","",E9772*F9772)</f>
        <v/>
      </c>
      <c r="H9772" s="8">
        <f>IF(G9772="","",G9772-I9772)</f>
        <v/>
      </c>
      <c r="I9772" s="8">
        <f>IF(D9772="","",VLOOKUP(D9772, RECETTES!B:G, 6, FALSE)*E9772)</f>
        <v/>
      </c>
      <c r="J9772" s="8">
        <f>IF(G9772="","",G9772*0.20)</f>
        <v/>
      </c>
      <c r="K9772" s="8">
        <f>IF(G9772="","",G9772+J9772)</f>
        <v/>
      </c>
    </row>
    <row r="9773">
      <c r="F9773" s="8" t="n"/>
      <c r="G9773" s="8">
        <f>IF(E9773="","",E9773*F9773)</f>
        <v/>
      </c>
      <c r="H9773" s="8">
        <f>IF(G9773="","",G9773-I9773)</f>
        <v/>
      </c>
      <c r="I9773" s="8">
        <f>IF(D9773="","",VLOOKUP(D9773, RECETTES!B:G, 6, FALSE)*E9773)</f>
        <v/>
      </c>
      <c r="J9773" s="8">
        <f>IF(G9773="","",G9773*0.20)</f>
        <v/>
      </c>
      <c r="K9773" s="8">
        <f>IF(G9773="","",G9773+J9773)</f>
        <v/>
      </c>
    </row>
    <row r="9774">
      <c r="F9774" s="8" t="n"/>
      <c r="G9774" s="8">
        <f>IF(E9774="","",E9774*F9774)</f>
        <v/>
      </c>
      <c r="H9774" s="8">
        <f>IF(G9774="","",G9774-I9774)</f>
        <v/>
      </c>
      <c r="I9774" s="8">
        <f>IF(D9774="","",VLOOKUP(D9774, RECETTES!B:G, 6, FALSE)*E9774)</f>
        <v/>
      </c>
      <c r="J9774" s="8">
        <f>IF(G9774="","",G9774*0.20)</f>
        <v/>
      </c>
      <c r="K9774" s="8">
        <f>IF(G9774="","",G9774+J9774)</f>
        <v/>
      </c>
    </row>
    <row r="9775">
      <c r="F9775" s="8" t="n"/>
      <c r="G9775" s="8">
        <f>IF(E9775="","",E9775*F9775)</f>
        <v/>
      </c>
      <c r="H9775" s="8">
        <f>IF(G9775="","",G9775-I9775)</f>
        <v/>
      </c>
      <c r="I9775" s="8">
        <f>IF(D9775="","",VLOOKUP(D9775, RECETTES!B:G, 6, FALSE)*E9775)</f>
        <v/>
      </c>
      <c r="J9775" s="8">
        <f>IF(G9775="","",G9775*0.20)</f>
        <v/>
      </c>
      <c r="K9775" s="8">
        <f>IF(G9775="","",G9775+J9775)</f>
        <v/>
      </c>
    </row>
    <row r="9776">
      <c r="F9776" s="8" t="n"/>
      <c r="G9776" s="8">
        <f>IF(E9776="","",E9776*F9776)</f>
        <v/>
      </c>
      <c r="H9776" s="8">
        <f>IF(G9776="","",G9776-I9776)</f>
        <v/>
      </c>
      <c r="I9776" s="8">
        <f>IF(D9776="","",VLOOKUP(D9776, RECETTES!B:G, 6, FALSE)*E9776)</f>
        <v/>
      </c>
      <c r="J9776" s="8">
        <f>IF(G9776="","",G9776*0.20)</f>
        <v/>
      </c>
      <c r="K9776" s="8">
        <f>IF(G9776="","",G9776+J9776)</f>
        <v/>
      </c>
    </row>
    <row r="9777">
      <c r="F9777" s="8" t="n"/>
      <c r="G9777" s="8">
        <f>IF(E9777="","",E9777*F9777)</f>
        <v/>
      </c>
      <c r="H9777" s="8">
        <f>IF(G9777="","",G9777-I9777)</f>
        <v/>
      </c>
      <c r="I9777" s="8">
        <f>IF(D9777="","",VLOOKUP(D9777, RECETTES!B:G, 6, FALSE)*E9777)</f>
        <v/>
      </c>
      <c r="J9777" s="8">
        <f>IF(G9777="","",G9777*0.20)</f>
        <v/>
      </c>
      <c r="K9777" s="8">
        <f>IF(G9777="","",G9777+J9777)</f>
        <v/>
      </c>
    </row>
    <row r="9778">
      <c r="F9778" s="8" t="n"/>
      <c r="G9778" s="8">
        <f>IF(E9778="","",E9778*F9778)</f>
        <v/>
      </c>
      <c r="H9778" s="8">
        <f>IF(G9778="","",G9778-I9778)</f>
        <v/>
      </c>
      <c r="I9778" s="8">
        <f>IF(D9778="","",VLOOKUP(D9778, RECETTES!B:G, 6, FALSE)*E9778)</f>
        <v/>
      </c>
      <c r="J9778" s="8">
        <f>IF(G9778="","",G9778*0.20)</f>
        <v/>
      </c>
      <c r="K9778" s="8">
        <f>IF(G9778="","",G9778+J9778)</f>
        <v/>
      </c>
    </row>
    <row r="9779">
      <c r="F9779" s="8" t="n"/>
      <c r="G9779" s="8">
        <f>IF(E9779="","",E9779*F9779)</f>
        <v/>
      </c>
      <c r="H9779" s="8">
        <f>IF(G9779="","",G9779-I9779)</f>
        <v/>
      </c>
      <c r="I9779" s="8">
        <f>IF(D9779="","",VLOOKUP(D9779, RECETTES!B:G, 6, FALSE)*E9779)</f>
        <v/>
      </c>
      <c r="J9779" s="8">
        <f>IF(G9779="","",G9779*0.20)</f>
        <v/>
      </c>
      <c r="K9779" s="8">
        <f>IF(G9779="","",G9779+J9779)</f>
        <v/>
      </c>
    </row>
    <row r="9780">
      <c r="F9780" s="8" t="n"/>
      <c r="G9780" s="8">
        <f>IF(E9780="","",E9780*F9780)</f>
        <v/>
      </c>
      <c r="H9780" s="8">
        <f>IF(G9780="","",G9780-I9780)</f>
        <v/>
      </c>
      <c r="I9780" s="8">
        <f>IF(D9780="","",VLOOKUP(D9780, RECETTES!B:G, 6, FALSE)*E9780)</f>
        <v/>
      </c>
      <c r="J9780" s="8">
        <f>IF(G9780="","",G9780*0.20)</f>
        <v/>
      </c>
      <c r="K9780" s="8">
        <f>IF(G9780="","",G9780+J9780)</f>
        <v/>
      </c>
    </row>
    <row r="9781">
      <c r="F9781" s="8" t="n"/>
      <c r="G9781" s="8">
        <f>IF(E9781="","",E9781*F9781)</f>
        <v/>
      </c>
      <c r="H9781" s="8">
        <f>IF(G9781="","",G9781-I9781)</f>
        <v/>
      </c>
      <c r="I9781" s="8">
        <f>IF(D9781="","",VLOOKUP(D9781, RECETTES!B:G, 6, FALSE)*E9781)</f>
        <v/>
      </c>
      <c r="J9781" s="8">
        <f>IF(G9781="","",G9781*0.20)</f>
        <v/>
      </c>
      <c r="K9781" s="8">
        <f>IF(G9781="","",G9781+J9781)</f>
        <v/>
      </c>
    </row>
    <row r="9782">
      <c r="F9782" s="8" t="n"/>
      <c r="G9782" s="8">
        <f>IF(E9782="","",E9782*F9782)</f>
        <v/>
      </c>
      <c r="H9782" s="8">
        <f>IF(G9782="","",G9782-I9782)</f>
        <v/>
      </c>
      <c r="I9782" s="8">
        <f>IF(D9782="","",VLOOKUP(D9782, RECETTES!B:G, 6, FALSE)*E9782)</f>
        <v/>
      </c>
      <c r="J9782" s="8">
        <f>IF(G9782="","",G9782*0.20)</f>
        <v/>
      </c>
      <c r="K9782" s="8">
        <f>IF(G9782="","",G9782+J9782)</f>
        <v/>
      </c>
    </row>
    <row r="9783">
      <c r="F9783" s="8" t="n"/>
      <c r="G9783" s="8">
        <f>IF(E9783="","",E9783*F9783)</f>
        <v/>
      </c>
      <c r="H9783" s="8">
        <f>IF(G9783="","",G9783-I9783)</f>
        <v/>
      </c>
      <c r="I9783" s="8">
        <f>IF(D9783="","",VLOOKUP(D9783, RECETTES!B:G, 6, FALSE)*E9783)</f>
        <v/>
      </c>
      <c r="J9783" s="8">
        <f>IF(G9783="","",G9783*0.20)</f>
        <v/>
      </c>
      <c r="K9783" s="8">
        <f>IF(G9783="","",G9783+J9783)</f>
        <v/>
      </c>
    </row>
    <row r="9784">
      <c r="F9784" s="8" t="n"/>
      <c r="G9784" s="8">
        <f>IF(E9784="","",E9784*F9784)</f>
        <v/>
      </c>
      <c r="H9784" s="8">
        <f>IF(G9784="","",G9784-I9784)</f>
        <v/>
      </c>
      <c r="I9784" s="8">
        <f>IF(D9784="","",VLOOKUP(D9784, RECETTES!B:G, 6, FALSE)*E9784)</f>
        <v/>
      </c>
      <c r="J9784" s="8">
        <f>IF(G9784="","",G9784*0.20)</f>
        <v/>
      </c>
      <c r="K9784" s="8">
        <f>IF(G9784="","",G9784+J9784)</f>
        <v/>
      </c>
    </row>
    <row r="9785">
      <c r="F9785" s="8" t="n"/>
      <c r="G9785" s="8">
        <f>IF(E9785="","",E9785*F9785)</f>
        <v/>
      </c>
      <c r="H9785" s="8">
        <f>IF(G9785="","",G9785-I9785)</f>
        <v/>
      </c>
      <c r="I9785" s="8">
        <f>IF(D9785="","",VLOOKUP(D9785, RECETTES!B:G, 6, FALSE)*E9785)</f>
        <v/>
      </c>
      <c r="J9785" s="8">
        <f>IF(G9785="","",G9785*0.20)</f>
        <v/>
      </c>
      <c r="K9785" s="8">
        <f>IF(G9785="","",G9785+J9785)</f>
        <v/>
      </c>
    </row>
    <row r="9786">
      <c r="F9786" s="8" t="n"/>
      <c r="G9786" s="8">
        <f>IF(E9786="","",E9786*F9786)</f>
        <v/>
      </c>
      <c r="H9786" s="8">
        <f>IF(G9786="","",G9786-I9786)</f>
        <v/>
      </c>
      <c r="I9786" s="8">
        <f>IF(D9786="","",VLOOKUP(D9786, RECETTES!B:G, 6, FALSE)*E9786)</f>
        <v/>
      </c>
      <c r="J9786" s="8">
        <f>IF(G9786="","",G9786*0.20)</f>
        <v/>
      </c>
      <c r="K9786" s="8">
        <f>IF(G9786="","",G9786+J9786)</f>
        <v/>
      </c>
    </row>
    <row r="9787">
      <c r="F9787" s="8" t="n"/>
      <c r="G9787" s="8">
        <f>IF(E9787="","",E9787*F9787)</f>
        <v/>
      </c>
      <c r="H9787" s="8">
        <f>IF(G9787="","",G9787-I9787)</f>
        <v/>
      </c>
      <c r="I9787" s="8">
        <f>IF(D9787="","",VLOOKUP(D9787, RECETTES!B:G, 6, FALSE)*E9787)</f>
        <v/>
      </c>
      <c r="J9787" s="8">
        <f>IF(G9787="","",G9787*0.20)</f>
        <v/>
      </c>
      <c r="K9787" s="8">
        <f>IF(G9787="","",G9787+J9787)</f>
        <v/>
      </c>
    </row>
    <row r="9788">
      <c r="F9788" s="8" t="n"/>
      <c r="G9788" s="8">
        <f>IF(E9788="","",E9788*F9788)</f>
        <v/>
      </c>
      <c r="H9788" s="8">
        <f>IF(G9788="","",G9788-I9788)</f>
        <v/>
      </c>
      <c r="I9788" s="8">
        <f>IF(D9788="","",VLOOKUP(D9788, RECETTES!B:G, 6, FALSE)*E9788)</f>
        <v/>
      </c>
      <c r="J9788" s="8">
        <f>IF(G9788="","",G9788*0.20)</f>
        <v/>
      </c>
      <c r="K9788" s="8">
        <f>IF(G9788="","",G9788+J9788)</f>
        <v/>
      </c>
    </row>
    <row r="9789">
      <c r="F9789" s="8" t="n"/>
      <c r="G9789" s="8">
        <f>IF(E9789="","",E9789*F9789)</f>
        <v/>
      </c>
      <c r="H9789" s="8">
        <f>IF(G9789="","",G9789-I9789)</f>
        <v/>
      </c>
      <c r="I9789" s="8">
        <f>IF(D9789="","",VLOOKUP(D9789, RECETTES!B:G, 6, FALSE)*E9789)</f>
        <v/>
      </c>
      <c r="J9789" s="8">
        <f>IF(G9789="","",G9789*0.20)</f>
        <v/>
      </c>
      <c r="K9789" s="8">
        <f>IF(G9789="","",G9789+J9789)</f>
        <v/>
      </c>
    </row>
    <row r="9790">
      <c r="F9790" s="8" t="n"/>
      <c r="G9790" s="8">
        <f>IF(E9790="","",E9790*F9790)</f>
        <v/>
      </c>
      <c r="H9790" s="8">
        <f>IF(G9790="","",G9790-I9790)</f>
        <v/>
      </c>
      <c r="I9790" s="8">
        <f>IF(D9790="","",VLOOKUP(D9790, RECETTES!B:G, 6, FALSE)*E9790)</f>
        <v/>
      </c>
      <c r="J9790" s="8">
        <f>IF(G9790="","",G9790*0.20)</f>
        <v/>
      </c>
      <c r="K9790" s="8">
        <f>IF(G9790="","",G9790+J9790)</f>
        <v/>
      </c>
    </row>
    <row r="9791">
      <c r="F9791" s="8" t="n"/>
      <c r="G9791" s="8">
        <f>IF(E9791="","",E9791*F9791)</f>
        <v/>
      </c>
      <c r="H9791" s="8">
        <f>IF(G9791="","",G9791-I9791)</f>
        <v/>
      </c>
      <c r="I9791" s="8">
        <f>IF(D9791="","",VLOOKUP(D9791, RECETTES!B:G, 6, FALSE)*E9791)</f>
        <v/>
      </c>
      <c r="J9791" s="8">
        <f>IF(G9791="","",G9791*0.20)</f>
        <v/>
      </c>
      <c r="K9791" s="8">
        <f>IF(G9791="","",G9791+J9791)</f>
        <v/>
      </c>
    </row>
    <row r="9792">
      <c r="F9792" s="8" t="n"/>
      <c r="G9792" s="8">
        <f>IF(E9792="","",E9792*F9792)</f>
        <v/>
      </c>
      <c r="H9792" s="8">
        <f>IF(G9792="","",G9792-I9792)</f>
        <v/>
      </c>
      <c r="I9792" s="8">
        <f>IF(D9792="","",VLOOKUP(D9792, RECETTES!B:G, 6, FALSE)*E9792)</f>
        <v/>
      </c>
      <c r="J9792" s="8">
        <f>IF(G9792="","",G9792*0.20)</f>
        <v/>
      </c>
      <c r="K9792" s="8">
        <f>IF(G9792="","",G9792+J9792)</f>
        <v/>
      </c>
    </row>
    <row r="9793">
      <c r="F9793" s="8" t="n"/>
      <c r="G9793" s="8">
        <f>IF(E9793="","",E9793*F9793)</f>
        <v/>
      </c>
      <c r="H9793" s="8">
        <f>IF(G9793="","",G9793-I9793)</f>
        <v/>
      </c>
      <c r="I9793" s="8">
        <f>IF(D9793="","",VLOOKUP(D9793, RECETTES!B:G, 6, FALSE)*E9793)</f>
        <v/>
      </c>
      <c r="J9793" s="8">
        <f>IF(G9793="","",G9793*0.20)</f>
        <v/>
      </c>
      <c r="K9793" s="8">
        <f>IF(G9793="","",G9793+J9793)</f>
        <v/>
      </c>
    </row>
    <row r="9794">
      <c r="F9794" s="8" t="n"/>
      <c r="G9794" s="8">
        <f>IF(E9794="","",E9794*F9794)</f>
        <v/>
      </c>
      <c r="H9794" s="8">
        <f>IF(G9794="","",G9794-I9794)</f>
        <v/>
      </c>
      <c r="I9794" s="8">
        <f>IF(D9794="","",VLOOKUP(D9794, RECETTES!B:G, 6, FALSE)*E9794)</f>
        <v/>
      </c>
      <c r="J9794" s="8">
        <f>IF(G9794="","",G9794*0.20)</f>
        <v/>
      </c>
      <c r="K9794" s="8">
        <f>IF(G9794="","",G9794+J9794)</f>
        <v/>
      </c>
    </row>
    <row r="9795">
      <c r="F9795" s="8" t="n"/>
      <c r="G9795" s="8">
        <f>IF(E9795="","",E9795*F9795)</f>
        <v/>
      </c>
      <c r="H9795" s="8">
        <f>IF(G9795="","",G9795-I9795)</f>
        <v/>
      </c>
      <c r="I9795" s="8">
        <f>IF(D9795="","",VLOOKUP(D9795, RECETTES!B:G, 6, FALSE)*E9795)</f>
        <v/>
      </c>
      <c r="J9795" s="8">
        <f>IF(G9795="","",G9795*0.20)</f>
        <v/>
      </c>
      <c r="K9795" s="8">
        <f>IF(G9795="","",G9795+J9795)</f>
        <v/>
      </c>
    </row>
    <row r="9796">
      <c r="F9796" s="8" t="n"/>
      <c r="G9796" s="8">
        <f>IF(E9796="","",E9796*F9796)</f>
        <v/>
      </c>
      <c r="H9796" s="8">
        <f>IF(G9796="","",G9796-I9796)</f>
        <v/>
      </c>
      <c r="I9796" s="8">
        <f>IF(D9796="","",VLOOKUP(D9796, RECETTES!B:G, 6, FALSE)*E9796)</f>
        <v/>
      </c>
      <c r="J9796" s="8">
        <f>IF(G9796="","",G9796*0.20)</f>
        <v/>
      </c>
      <c r="K9796" s="8">
        <f>IF(G9796="","",G9796+J9796)</f>
        <v/>
      </c>
    </row>
    <row r="9797">
      <c r="F9797" s="8" t="n"/>
      <c r="G9797" s="8">
        <f>IF(E9797="","",E9797*F9797)</f>
        <v/>
      </c>
      <c r="H9797" s="8">
        <f>IF(G9797="","",G9797-I9797)</f>
        <v/>
      </c>
      <c r="I9797" s="8">
        <f>IF(D9797="","",VLOOKUP(D9797, RECETTES!B:G, 6, FALSE)*E9797)</f>
        <v/>
      </c>
      <c r="J9797" s="8">
        <f>IF(G9797="","",G9797*0.20)</f>
        <v/>
      </c>
      <c r="K9797" s="8">
        <f>IF(G9797="","",G9797+J9797)</f>
        <v/>
      </c>
    </row>
    <row r="9798">
      <c r="F9798" s="8" t="n"/>
      <c r="G9798" s="8">
        <f>IF(E9798="","",E9798*F9798)</f>
        <v/>
      </c>
      <c r="H9798" s="8">
        <f>IF(G9798="","",G9798-I9798)</f>
        <v/>
      </c>
      <c r="I9798" s="8">
        <f>IF(D9798="","",VLOOKUP(D9798, RECETTES!B:G, 6, FALSE)*E9798)</f>
        <v/>
      </c>
      <c r="J9798" s="8">
        <f>IF(G9798="","",G9798*0.20)</f>
        <v/>
      </c>
      <c r="K9798" s="8">
        <f>IF(G9798="","",G9798+J9798)</f>
        <v/>
      </c>
    </row>
    <row r="9799">
      <c r="F9799" s="8" t="n"/>
      <c r="G9799" s="8">
        <f>IF(E9799="","",E9799*F9799)</f>
        <v/>
      </c>
      <c r="H9799" s="8">
        <f>IF(G9799="","",G9799-I9799)</f>
        <v/>
      </c>
      <c r="I9799" s="8">
        <f>IF(D9799="","",VLOOKUP(D9799, RECETTES!B:G, 6, FALSE)*E9799)</f>
        <v/>
      </c>
      <c r="J9799" s="8">
        <f>IF(G9799="","",G9799*0.20)</f>
        <v/>
      </c>
      <c r="K9799" s="8">
        <f>IF(G9799="","",G9799+J9799)</f>
        <v/>
      </c>
    </row>
    <row r="9800">
      <c r="F9800" s="8" t="n"/>
      <c r="G9800" s="8">
        <f>IF(E9800="","",E9800*F9800)</f>
        <v/>
      </c>
      <c r="H9800" s="8">
        <f>IF(G9800="","",G9800-I9800)</f>
        <v/>
      </c>
      <c r="I9800" s="8">
        <f>IF(D9800="","",VLOOKUP(D9800, RECETTES!B:G, 6, FALSE)*E9800)</f>
        <v/>
      </c>
      <c r="J9800" s="8">
        <f>IF(G9800="","",G9800*0.20)</f>
        <v/>
      </c>
      <c r="K9800" s="8">
        <f>IF(G9800="","",G9800+J9800)</f>
        <v/>
      </c>
    </row>
    <row r="9801">
      <c r="F9801" s="8" t="n"/>
      <c r="G9801" s="8">
        <f>IF(E9801="","",E9801*F9801)</f>
        <v/>
      </c>
      <c r="H9801" s="8">
        <f>IF(G9801="","",G9801-I9801)</f>
        <v/>
      </c>
      <c r="I9801" s="8">
        <f>IF(D9801="","",VLOOKUP(D9801, RECETTES!B:G, 6, FALSE)*E9801)</f>
        <v/>
      </c>
      <c r="J9801" s="8">
        <f>IF(G9801="","",G9801*0.20)</f>
        <v/>
      </c>
      <c r="K9801" s="8">
        <f>IF(G9801="","",G9801+J9801)</f>
        <v/>
      </c>
    </row>
    <row r="9802">
      <c r="F9802" s="8" t="n"/>
      <c r="G9802" s="8">
        <f>IF(E9802="","",E9802*F9802)</f>
        <v/>
      </c>
      <c r="H9802" s="8">
        <f>IF(G9802="","",G9802-I9802)</f>
        <v/>
      </c>
      <c r="I9802" s="8">
        <f>IF(D9802="","",VLOOKUP(D9802, RECETTES!B:G, 6, FALSE)*E9802)</f>
        <v/>
      </c>
      <c r="J9802" s="8">
        <f>IF(G9802="","",G9802*0.20)</f>
        <v/>
      </c>
      <c r="K9802" s="8">
        <f>IF(G9802="","",G9802+J9802)</f>
        <v/>
      </c>
    </row>
    <row r="9803">
      <c r="F9803" s="8" t="n"/>
      <c r="G9803" s="8">
        <f>IF(E9803="","",E9803*F9803)</f>
        <v/>
      </c>
      <c r="H9803" s="8">
        <f>IF(G9803="","",G9803-I9803)</f>
        <v/>
      </c>
      <c r="I9803" s="8">
        <f>IF(D9803="","",VLOOKUP(D9803, RECETTES!B:G, 6, FALSE)*E9803)</f>
        <v/>
      </c>
      <c r="J9803" s="8">
        <f>IF(G9803="","",G9803*0.20)</f>
        <v/>
      </c>
      <c r="K9803" s="8">
        <f>IF(G9803="","",G9803+J9803)</f>
        <v/>
      </c>
    </row>
    <row r="9804">
      <c r="F9804" s="8" t="n"/>
      <c r="G9804" s="8">
        <f>IF(E9804="","",E9804*F9804)</f>
        <v/>
      </c>
      <c r="H9804" s="8">
        <f>IF(G9804="","",G9804-I9804)</f>
        <v/>
      </c>
      <c r="I9804" s="8">
        <f>IF(D9804="","",VLOOKUP(D9804, RECETTES!B:G, 6, FALSE)*E9804)</f>
        <v/>
      </c>
      <c r="J9804" s="8">
        <f>IF(G9804="","",G9804*0.20)</f>
        <v/>
      </c>
      <c r="K9804" s="8">
        <f>IF(G9804="","",G9804+J9804)</f>
        <v/>
      </c>
    </row>
    <row r="9805">
      <c r="F9805" s="8" t="n"/>
      <c r="G9805" s="8">
        <f>IF(E9805="","",E9805*F9805)</f>
        <v/>
      </c>
      <c r="H9805" s="8">
        <f>IF(G9805="","",G9805-I9805)</f>
        <v/>
      </c>
      <c r="I9805" s="8">
        <f>IF(D9805="","",VLOOKUP(D9805, RECETTES!B:G, 6, FALSE)*E9805)</f>
        <v/>
      </c>
      <c r="J9805" s="8">
        <f>IF(G9805="","",G9805*0.20)</f>
        <v/>
      </c>
      <c r="K9805" s="8">
        <f>IF(G9805="","",G9805+J9805)</f>
        <v/>
      </c>
    </row>
    <row r="9806">
      <c r="F9806" s="8" t="n"/>
      <c r="G9806" s="8">
        <f>IF(E9806="","",E9806*F9806)</f>
        <v/>
      </c>
      <c r="H9806" s="8">
        <f>IF(G9806="","",G9806-I9806)</f>
        <v/>
      </c>
      <c r="I9806" s="8">
        <f>IF(D9806="","",VLOOKUP(D9806, RECETTES!B:G, 6, FALSE)*E9806)</f>
        <v/>
      </c>
      <c r="J9806" s="8">
        <f>IF(G9806="","",G9806*0.20)</f>
        <v/>
      </c>
      <c r="K9806" s="8">
        <f>IF(G9806="","",G9806+J9806)</f>
        <v/>
      </c>
    </row>
    <row r="9807">
      <c r="F9807" s="8" t="n"/>
      <c r="G9807" s="8">
        <f>IF(E9807="","",E9807*F9807)</f>
        <v/>
      </c>
      <c r="H9807" s="8">
        <f>IF(G9807="","",G9807-I9807)</f>
        <v/>
      </c>
      <c r="I9807" s="8">
        <f>IF(D9807="","",VLOOKUP(D9807, RECETTES!B:G, 6, FALSE)*E9807)</f>
        <v/>
      </c>
      <c r="J9807" s="8">
        <f>IF(G9807="","",G9807*0.20)</f>
        <v/>
      </c>
      <c r="K9807" s="8">
        <f>IF(G9807="","",G9807+J9807)</f>
        <v/>
      </c>
    </row>
    <row r="9808">
      <c r="F9808" s="8" t="n"/>
      <c r="G9808" s="8">
        <f>IF(E9808="","",E9808*F9808)</f>
        <v/>
      </c>
      <c r="H9808" s="8">
        <f>IF(G9808="","",G9808-I9808)</f>
        <v/>
      </c>
      <c r="I9808" s="8">
        <f>IF(D9808="","",VLOOKUP(D9808, RECETTES!B:G, 6, FALSE)*E9808)</f>
        <v/>
      </c>
      <c r="J9808" s="8">
        <f>IF(G9808="","",G9808*0.20)</f>
        <v/>
      </c>
      <c r="K9808" s="8">
        <f>IF(G9808="","",G9808+J9808)</f>
        <v/>
      </c>
    </row>
    <row r="9809">
      <c r="F9809" s="8" t="n"/>
      <c r="G9809" s="8">
        <f>IF(E9809="","",E9809*F9809)</f>
        <v/>
      </c>
      <c r="H9809" s="8">
        <f>IF(G9809="","",G9809-I9809)</f>
        <v/>
      </c>
      <c r="I9809" s="8">
        <f>IF(D9809="","",VLOOKUP(D9809, RECETTES!B:G, 6, FALSE)*E9809)</f>
        <v/>
      </c>
      <c r="J9809" s="8">
        <f>IF(G9809="","",G9809*0.20)</f>
        <v/>
      </c>
      <c r="K9809" s="8">
        <f>IF(G9809="","",G9809+J9809)</f>
        <v/>
      </c>
    </row>
    <row r="9810">
      <c r="F9810" s="8" t="n"/>
      <c r="G9810" s="8">
        <f>IF(E9810="","",E9810*F9810)</f>
        <v/>
      </c>
      <c r="H9810" s="8">
        <f>IF(G9810="","",G9810-I9810)</f>
        <v/>
      </c>
      <c r="I9810" s="8">
        <f>IF(D9810="","",VLOOKUP(D9810, RECETTES!B:G, 6, FALSE)*E9810)</f>
        <v/>
      </c>
      <c r="J9810" s="8">
        <f>IF(G9810="","",G9810*0.20)</f>
        <v/>
      </c>
      <c r="K9810" s="8">
        <f>IF(G9810="","",G9810+J9810)</f>
        <v/>
      </c>
    </row>
    <row r="9811">
      <c r="F9811" s="8" t="n"/>
      <c r="G9811" s="8">
        <f>IF(E9811="","",E9811*F9811)</f>
        <v/>
      </c>
      <c r="H9811" s="8">
        <f>IF(G9811="","",G9811-I9811)</f>
        <v/>
      </c>
      <c r="I9811" s="8">
        <f>IF(D9811="","",VLOOKUP(D9811, RECETTES!B:G, 6, FALSE)*E9811)</f>
        <v/>
      </c>
      <c r="J9811" s="8">
        <f>IF(G9811="","",G9811*0.20)</f>
        <v/>
      </c>
      <c r="K9811" s="8">
        <f>IF(G9811="","",G9811+J9811)</f>
        <v/>
      </c>
    </row>
    <row r="9812">
      <c r="F9812" s="8" t="n"/>
      <c r="G9812" s="8">
        <f>IF(E9812="","",E9812*F9812)</f>
        <v/>
      </c>
      <c r="H9812" s="8">
        <f>IF(G9812="","",G9812-I9812)</f>
        <v/>
      </c>
      <c r="I9812" s="8">
        <f>IF(D9812="","",VLOOKUP(D9812, RECETTES!B:G, 6, FALSE)*E9812)</f>
        <v/>
      </c>
      <c r="J9812" s="8">
        <f>IF(G9812="","",G9812*0.20)</f>
        <v/>
      </c>
      <c r="K9812" s="8">
        <f>IF(G9812="","",G9812+J9812)</f>
        <v/>
      </c>
    </row>
    <row r="9813">
      <c r="F9813" s="8" t="n"/>
      <c r="G9813" s="8">
        <f>IF(E9813="","",E9813*F9813)</f>
        <v/>
      </c>
      <c r="H9813" s="8">
        <f>IF(G9813="","",G9813-I9813)</f>
        <v/>
      </c>
      <c r="I9813" s="8">
        <f>IF(D9813="","",VLOOKUP(D9813, RECETTES!B:G, 6, FALSE)*E9813)</f>
        <v/>
      </c>
      <c r="J9813" s="8">
        <f>IF(G9813="","",G9813*0.20)</f>
        <v/>
      </c>
      <c r="K9813" s="8">
        <f>IF(G9813="","",G9813+J9813)</f>
        <v/>
      </c>
    </row>
    <row r="9814">
      <c r="F9814" s="8" t="n"/>
      <c r="G9814" s="8">
        <f>IF(E9814="","",E9814*F9814)</f>
        <v/>
      </c>
      <c r="H9814" s="8">
        <f>IF(G9814="","",G9814-I9814)</f>
        <v/>
      </c>
      <c r="I9814" s="8">
        <f>IF(D9814="","",VLOOKUP(D9814, RECETTES!B:G, 6, FALSE)*E9814)</f>
        <v/>
      </c>
      <c r="J9814" s="8">
        <f>IF(G9814="","",G9814*0.20)</f>
        <v/>
      </c>
      <c r="K9814" s="8">
        <f>IF(G9814="","",G9814+J9814)</f>
        <v/>
      </c>
    </row>
    <row r="9815">
      <c r="F9815" s="8" t="n"/>
      <c r="G9815" s="8">
        <f>IF(E9815="","",E9815*F9815)</f>
        <v/>
      </c>
      <c r="H9815" s="8">
        <f>IF(G9815="","",G9815-I9815)</f>
        <v/>
      </c>
      <c r="I9815" s="8">
        <f>IF(D9815="","",VLOOKUP(D9815, RECETTES!B:G, 6, FALSE)*E9815)</f>
        <v/>
      </c>
      <c r="J9815" s="8">
        <f>IF(G9815="","",G9815*0.20)</f>
        <v/>
      </c>
      <c r="K9815" s="8">
        <f>IF(G9815="","",G9815+J9815)</f>
        <v/>
      </c>
    </row>
    <row r="9816">
      <c r="F9816" s="8" t="n"/>
      <c r="G9816" s="8">
        <f>IF(E9816="","",E9816*F9816)</f>
        <v/>
      </c>
      <c r="H9816" s="8">
        <f>IF(G9816="","",G9816-I9816)</f>
        <v/>
      </c>
      <c r="I9816" s="8">
        <f>IF(D9816="","",VLOOKUP(D9816, RECETTES!B:G, 6, FALSE)*E9816)</f>
        <v/>
      </c>
      <c r="J9816" s="8">
        <f>IF(G9816="","",G9816*0.20)</f>
        <v/>
      </c>
      <c r="K9816" s="8">
        <f>IF(G9816="","",G9816+J9816)</f>
        <v/>
      </c>
    </row>
    <row r="9817">
      <c r="F9817" s="8" t="n"/>
      <c r="G9817" s="8">
        <f>IF(E9817="","",E9817*F9817)</f>
        <v/>
      </c>
      <c r="H9817" s="8">
        <f>IF(G9817="","",G9817-I9817)</f>
        <v/>
      </c>
      <c r="I9817" s="8">
        <f>IF(D9817="","",VLOOKUP(D9817, RECETTES!B:G, 6, FALSE)*E9817)</f>
        <v/>
      </c>
      <c r="J9817" s="8">
        <f>IF(G9817="","",G9817*0.20)</f>
        <v/>
      </c>
      <c r="K9817" s="8">
        <f>IF(G9817="","",G9817+J9817)</f>
        <v/>
      </c>
    </row>
    <row r="9818">
      <c r="F9818" s="8" t="n"/>
      <c r="G9818" s="8">
        <f>IF(E9818="","",E9818*F9818)</f>
        <v/>
      </c>
      <c r="H9818" s="8">
        <f>IF(G9818="","",G9818-I9818)</f>
        <v/>
      </c>
      <c r="I9818" s="8">
        <f>IF(D9818="","",VLOOKUP(D9818, RECETTES!B:G, 6, FALSE)*E9818)</f>
        <v/>
      </c>
      <c r="J9818" s="8">
        <f>IF(G9818="","",G9818*0.20)</f>
        <v/>
      </c>
      <c r="K9818" s="8">
        <f>IF(G9818="","",G9818+J9818)</f>
        <v/>
      </c>
    </row>
    <row r="9819">
      <c r="F9819" s="8" t="n"/>
      <c r="G9819" s="8">
        <f>IF(E9819="","",E9819*F9819)</f>
        <v/>
      </c>
      <c r="H9819" s="8">
        <f>IF(G9819="","",G9819-I9819)</f>
        <v/>
      </c>
      <c r="I9819" s="8">
        <f>IF(D9819="","",VLOOKUP(D9819, RECETTES!B:G, 6, FALSE)*E9819)</f>
        <v/>
      </c>
      <c r="J9819" s="8">
        <f>IF(G9819="","",G9819*0.20)</f>
        <v/>
      </c>
      <c r="K9819" s="8">
        <f>IF(G9819="","",G9819+J9819)</f>
        <v/>
      </c>
    </row>
    <row r="9820">
      <c r="F9820" s="8" t="n"/>
      <c r="G9820" s="8">
        <f>IF(E9820="","",E9820*F9820)</f>
        <v/>
      </c>
      <c r="H9820" s="8">
        <f>IF(G9820="","",G9820-I9820)</f>
        <v/>
      </c>
      <c r="I9820" s="8">
        <f>IF(D9820="","",VLOOKUP(D9820, RECETTES!B:G, 6, FALSE)*E9820)</f>
        <v/>
      </c>
      <c r="J9820" s="8">
        <f>IF(G9820="","",G9820*0.20)</f>
        <v/>
      </c>
      <c r="K9820" s="8">
        <f>IF(G9820="","",G9820+J9820)</f>
        <v/>
      </c>
    </row>
    <row r="9821">
      <c r="F9821" s="8" t="n"/>
      <c r="G9821" s="8">
        <f>IF(E9821="","",E9821*F9821)</f>
        <v/>
      </c>
      <c r="H9821" s="8">
        <f>IF(G9821="","",G9821-I9821)</f>
        <v/>
      </c>
      <c r="I9821" s="8">
        <f>IF(D9821="","",VLOOKUP(D9821, RECETTES!B:G, 6, FALSE)*E9821)</f>
        <v/>
      </c>
      <c r="J9821" s="8">
        <f>IF(G9821="","",G9821*0.20)</f>
        <v/>
      </c>
      <c r="K9821" s="8">
        <f>IF(G9821="","",G9821+J9821)</f>
        <v/>
      </c>
    </row>
    <row r="9822">
      <c r="F9822" s="8" t="n"/>
      <c r="G9822" s="8">
        <f>IF(E9822="","",E9822*F9822)</f>
        <v/>
      </c>
      <c r="H9822" s="8">
        <f>IF(G9822="","",G9822-I9822)</f>
        <v/>
      </c>
      <c r="I9822" s="8">
        <f>IF(D9822="","",VLOOKUP(D9822, RECETTES!B:G, 6, FALSE)*E9822)</f>
        <v/>
      </c>
      <c r="J9822" s="8">
        <f>IF(G9822="","",G9822*0.20)</f>
        <v/>
      </c>
      <c r="K9822" s="8">
        <f>IF(G9822="","",G9822+J9822)</f>
        <v/>
      </c>
    </row>
    <row r="9823">
      <c r="F9823" s="8" t="n"/>
      <c r="G9823" s="8">
        <f>IF(E9823="","",E9823*F9823)</f>
        <v/>
      </c>
      <c r="H9823" s="8">
        <f>IF(G9823="","",G9823-I9823)</f>
        <v/>
      </c>
      <c r="I9823" s="8">
        <f>IF(D9823="","",VLOOKUP(D9823, RECETTES!B:G, 6, FALSE)*E9823)</f>
        <v/>
      </c>
      <c r="J9823" s="8">
        <f>IF(G9823="","",G9823*0.20)</f>
        <v/>
      </c>
      <c r="K9823" s="8">
        <f>IF(G9823="","",G9823+J9823)</f>
        <v/>
      </c>
    </row>
    <row r="9824">
      <c r="F9824" s="8" t="n"/>
      <c r="G9824" s="8">
        <f>IF(E9824="","",E9824*F9824)</f>
        <v/>
      </c>
      <c r="H9824" s="8">
        <f>IF(G9824="","",G9824-I9824)</f>
        <v/>
      </c>
      <c r="I9824" s="8">
        <f>IF(D9824="","",VLOOKUP(D9824, RECETTES!B:G, 6, FALSE)*E9824)</f>
        <v/>
      </c>
      <c r="J9824" s="8">
        <f>IF(G9824="","",G9824*0.20)</f>
        <v/>
      </c>
      <c r="K9824" s="8">
        <f>IF(G9824="","",G9824+J9824)</f>
        <v/>
      </c>
    </row>
    <row r="9825">
      <c r="F9825" s="8" t="n"/>
      <c r="G9825" s="8">
        <f>IF(E9825="","",E9825*F9825)</f>
        <v/>
      </c>
      <c r="H9825" s="8">
        <f>IF(G9825="","",G9825-I9825)</f>
        <v/>
      </c>
      <c r="I9825" s="8">
        <f>IF(D9825="","",VLOOKUP(D9825, RECETTES!B:G, 6, FALSE)*E9825)</f>
        <v/>
      </c>
      <c r="J9825" s="8">
        <f>IF(G9825="","",G9825*0.20)</f>
        <v/>
      </c>
      <c r="K9825" s="8">
        <f>IF(G9825="","",G9825+J9825)</f>
        <v/>
      </c>
    </row>
    <row r="9826">
      <c r="F9826" s="8" t="n"/>
      <c r="G9826" s="8">
        <f>IF(E9826="","",E9826*F9826)</f>
        <v/>
      </c>
      <c r="H9826" s="8">
        <f>IF(G9826="","",G9826-I9826)</f>
        <v/>
      </c>
      <c r="I9826" s="8">
        <f>IF(D9826="","",VLOOKUP(D9826, RECETTES!B:G, 6, FALSE)*E9826)</f>
        <v/>
      </c>
      <c r="J9826" s="8">
        <f>IF(G9826="","",G9826*0.20)</f>
        <v/>
      </c>
      <c r="K9826" s="8">
        <f>IF(G9826="","",G9826+J9826)</f>
        <v/>
      </c>
    </row>
    <row r="9827">
      <c r="F9827" s="8" t="n"/>
      <c r="G9827" s="8">
        <f>IF(E9827="","",E9827*F9827)</f>
        <v/>
      </c>
      <c r="H9827" s="8">
        <f>IF(G9827="","",G9827-I9827)</f>
        <v/>
      </c>
      <c r="I9827" s="8">
        <f>IF(D9827="","",VLOOKUP(D9827, RECETTES!B:G, 6, FALSE)*E9827)</f>
        <v/>
      </c>
      <c r="J9827" s="8">
        <f>IF(G9827="","",G9827*0.20)</f>
        <v/>
      </c>
      <c r="K9827" s="8">
        <f>IF(G9827="","",G9827+J9827)</f>
        <v/>
      </c>
    </row>
    <row r="9828">
      <c r="F9828" s="8" t="n"/>
      <c r="G9828" s="8">
        <f>IF(E9828="","",E9828*F9828)</f>
        <v/>
      </c>
      <c r="H9828" s="8">
        <f>IF(G9828="","",G9828-I9828)</f>
        <v/>
      </c>
      <c r="I9828" s="8">
        <f>IF(D9828="","",VLOOKUP(D9828, RECETTES!B:G, 6, FALSE)*E9828)</f>
        <v/>
      </c>
      <c r="J9828" s="8">
        <f>IF(G9828="","",G9828*0.20)</f>
        <v/>
      </c>
      <c r="K9828" s="8">
        <f>IF(G9828="","",G9828+J9828)</f>
        <v/>
      </c>
    </row>
    <row r="9829">
      <c r="F9829" s="8" t="n"/>
      <c r="G9829" s="8">
        <f>IF(E9829="","",E9829*F9829)</f>
        <v/>
      </c>
      <c r="H9829" s="8">
        <f>IF(G9829="","",G9829-I9829)</f>
        <v/>
      </c>
      <c r="I9829" s="8">
        <f>IF(D9829="","",VLOOKUP(D9829, RECETTES!B:G, 6, FALSE)*E9829)</f>
        <v/>
      </c>
      <c r="J9829" s="8">
        <f>IF(G9829="","",G9829*0.20)</f>
        <v/>
      </c>
      <c r="K9829" s="8">
        <f>IF(G9829="","",G9829+J9829)</f>
        <v/>
      </c>
    </row>
    <row r="9830">
      <c r="F9830" s="8" t="n"/>
      <c r="G9830" s="8">
        <f>IF(E9830="","",E9830*F9830)</f>
        <v/>
      </c>
      <c r="H9830" s="8">
        <f>IF(G9830="","",G9830-I9830)</f>
        <v/>
      </c>
      <c r="I9830" s="8">
        <f>IF(D9830="","",VLOOKUP(D9830, RECETTES!B:G, 6, FALSE)*E9830)</f>
        <v/>
      </c>
      <c r="J9830" s="8">
        <f>IF(G9830="","",G9830*0.20)</f>
        <v/>
      </c>
      <c r="K9830" s="8">
        <f>IF(G9830="","",G9830+J9830)</f>
        <v/>
      </c>
    </row>
    <row r="9831">
      <c r="F9831" s="8" t="n"/>
      <c r="G9831" s="8">
        <f>IF(E9831="","",E9831*F9831)</f>
        <v/>
      </c>
      <c r="H9831" s="8">
        <f>IF(G9831="","",G9831-I9831)</f>
        <v/>
      </c>
      <c r="I9831" s="8">
        <f>IF(D9831="","",VLOOKUP(D9831, RECETTES!B:G, 6, FALSE)*E9831)</f>
        <v/>
      </c>
      <c r="J9831" s="8">
        <f>IF(G9831="","",G9831*0.20)</f>
        <v/>
      </c>
      <c r="K9831" s="8">
        <f>IF(G9831="","",G9831+J9831)</f>
        <v/>
      </c>
    </row>
    <row r="9832">
      <c r="F9832" s="8" t="n"/>
      <c r="G9832" s="8">
        <f>IF(E9832="","",E9832*F9832)</f>
        <v/>
      </c>
      <c r="H9832" s="8">
        <f>IF(G9832="","",G9832-I9832)</f>
        <v/>
      </c>
      <c r="I9832" s="8">
        <f>IF(D9832="","",VLOOKUP(D9832, RECETTES!B:G, 6, FALSE)*E9832)</f>
        <v/>
      </c>
      <c r="J9832" s="8">
        <f>IF(G9832="","",G9832*0.20)</f>
        <v/>
      </c>
      <c r="K9832" s="8">
        <f>IF(G9832="","",G9832+J9832)</f>
        <v/>
      </c>
    </row>
    <row r="9833">
      <c r="F9833" s="8" t="n"/>
      <c r="G9833" s="8">
        <f>IF(E9833="","",E9833*F9833)</f>
        <v/>
      </c>
      <c r="H9833" s="8">
        <f>IF(G9833="","",G9833-I9833)</f>
        <v/>
      </c>
      <c r="I9833" s="8">
        <f>IF(D9833="","",VLOOKUP(D9833, RECETTES!B:G, 6, FALSE)*E9833)</f>
        <v/>
      </c>
      <c r="J9833" s="8">
        <f>IF(G9833="","",G9833*0.20)</f>
        <v/>
      </c>
      <c r="K9833" s="8">
        <f>IF(G9833="","",G9833+J9833)</f>
        <v/>
      </c>
    </row>
    <row r="9834">
      <c r="F9834" s="8" t="n"/>
      <c r="G9834" s="8">
        <f>IF(E9834="","",E9834*F9834)</f>
        <v/>
      </c>
      <c r="H9834" s="8">
        <f>IF(G9834="","",G9834-I9834)</f>
        <v/>
      </c>
      <c r="I9834" s="8">
        <f>IF(D9834="","",VLOOKUP(D9834, RECETTES!B:G, 6, FALSE)*E9834)</f>
        <v/>
      </c>
      <c r="J9834" s="8">
        <f>IF(G9834="","",G9834*0.20)</f>
        <v/>
      </c>
      <c r="K9834" s="8">
        <f>IF(G9834="","",G9834+J9834)</f>
        <v/>
      </c>
    </row>
    <row r="9835">
      <c r="F9835" s="8" t="n"/>
      <c r="G9835" s="8">
        <f>IF(E9835="","",E9835*F9835)</f>
        <v/>
      </c>
      <c r="H9835" s="8">
        <f>IF(G9835="","",G9835-I9835)</f>
        <v/>
      </c>
      <c r="I9835" s="8">
        <f>IF(D9835="","",VLOOKUP(D9835, RECETTES!B:G, 6, FALSE)*E9835)</f>
        <v/>
      </c>
      <c r="J9835" s="8">
        <f>IF(G9835="","",G9835*0.20)</f>
        <v/>
      </c>
      <c r="K9835" s="8">
        <f>IF(G9835="","",G9835+J9835)</f>
        <v/>
      </c>
    </row>
    <row r="9836">
      <c r="F9836" s="8" t="n"/>
      <c r="G9836" s="8">
        <f>IF(E9836="","",E9836*F9836)</f>
        <v/>
      </c>
      <c r="H9836" s="8">
        <f>IF(G9836="","",G9836-I9836)</f>
        <v/>
      </c>
      <c r="I9836" s="8">
        <f>IF(D9836="","",VLOOKUP(D9836, RECETTES!B:G, 6, FALSE)*E9836)</f>
        <v/>
      </c>
      <c r="J9836" s="8">
        <f>IF(G9836="","",G9836*0.20)</f>
        <v/>
      </c>
      <c r="K9836" s="8">
        <f>IF(G9836="","",G9836+J9836)</f>
        <v/>
      </c>
    </row>
    <row r="9837">
      <c r="F9837" s="8" t="n"/>
      <c r="G9837" s="8">
        <f>IF(E9837="","",E9837*F9837)</f>
        <v/>
      </c>
      <c r="H9837" s="8">
        <f>IF(G9837="","",G9837-I9837)</f>
        <v/>
      </c>
      <c r="I9837" s="8">
        <f>IF(D9837="","",VLOOKUP(D9837, RECETTES!B:G, 6, FALSE)*E9837)</f>
        <v/>
      </c>
      <c r="J9837" s="8">
        <f>IF(G9837="","",G9837*0.20)</f>
        <v/>
      </c>
      <c r="K9837" s="8">
        <f>IF(G9837="","",G9837+J9837)</f>
        <v/>
      </c>
    </row>
    <row r="9838">
      <c r="F9838" s="8" t="n"/>
      <c r="G9838" s="8">
        <f>IF(E9838="","",E9838*F9838)</f>
        <v/>
      </c>
      <c r="H9838" s="8">
        <f>IF(G9838="","",G9838-I9838)</f>
        <v/>
      </c>
      <c r="I9838" s="8">
        <f>IF(D9838="","",VLOOKUP(D9838, RECETTES!B:G, 6, FALSE)*E9838)</f>
        <v/>
      </c>
      <c r="J9838" s="8">
        <f>IF(G9838="","",G9838*0.20)</f>
        <v/>
      </c>
      <c r="K9838" s="8">
        <f>IF(G9838="","",G9838+J9838)</f>
        <v/>
      </c>
    </row>
    <row r="9839">
      <c r="F9839" s="8" t="n"/>
      <c r="G9839" s="8">
        <f>IF(E9839="","",E9839*F9839)</f>
        <v/>
      </c>
      <c r="H9839" s="8">
        <f>IF(G9839="","",G9839-I9839)</f>
        <v/>
      </c>
      <c r="I9839" s="8">
        <f>IF(D9839="","",VLOOKUP(D9839, RECETTES!B:G, 6, FALSE)*E9839)</f>
        <v/>
      </c>
      <c r="J9839" s="8">
        <f>IF(G9839="","",G9839*0.20)</f>
        <v/>
      </c>
      <c r="K9839" s="8">
        <f>IF(G9839="","",G9839+J9839)</f>
        <v/>
      </c>
    </row>
    <row r="9840">
      <c r="F9840" s="8" t="n"/>
      <c r="G9840" s="8">
        <f>IF(E9840="","",E9840*F9840)</f>
        <v/>
      </c>
      <c r="H9840" s="8">
        <f>IF(G9840="","",G9840-I9840)</f>
        <v/>
      </c>
      <c r="I9840" s="8">
        <f>IF(D9840="","",VLOOKUP(D9840, RECETTES!B:G, 6, FALSE)*E9840)</f>
        <v/>
      </c>
      <c r="J9840" s="8">
        <f>IF(G9840="","",G9840*0.20)</f>
        <v/>
      </c>
      <c r="K9840" s="8">
        <f>IF(G9840="","",G9840+J9840)</f>
        <v/>
      </c>
    </row>
    <row r="9841">
      <c r="F9841" s="8" t="n"/>
      <c r="G9841" s="8">
        <f>IF(E9841="","",E9841*F9841)</f>
        <v/>
      </c>
      <c r="H9841" s="8">
        <f>IF(G9841="","",G9841-I9841)</f>
        <v/>
      </c>
      <c r="I9841" s="8">
        <f>IF(D9841="","",VLOOKUP(D9841, RECETTES!B:G, 6, FALSE)*E9841)</f>
        <v/>
      </c>
      <c r="J9841" s="8">
        <f>IF(G9841="","",G9841*0.20)</f>
        <v/>
      </c>
      <c r="K9841" s="8">
        <f>IF(G9841="","",G9841+J9841)</f>
        <v/>
      </c>
    </row>
    <row r="9842">
      <c r="F9842" s="8" t="n"/>
      <c r="G9842" s="8">
        <f>IF(E9842="","",E9842*F9842)</f>
        <v/>
      </c>
      <c r="H9842" s="8">
        <f>IF(G9842="","",G9842-I9842)</f>
        <v/>
      </c>
      <c r="I9842" s="8">
        <f>IF(D9842="","",VLOOKUP(D9842, RECETTES!B:G, 6, FALSE)*E9842)</f>
        <v/>
      </c>
      <c r="J9842" s="8">
        <f>IF(G9842="","",G9842*0.20)</f>
        <v/>
      </c>
      <c r="K9842" s="8">
        <f>IF(G9842="","",G9842+J9842)</f>
        <v/>
      </c>
    </row>
    <row r="9843">
      <c r="F9843" s="8" t="n"/>
      <c r="G9843" s="8">
        <f>IF(E9843="","",E9843*F9843)</f>
        <v/>
      </c>
      <c r="H9843" s="8">
        <f>IF(G9843="","",G9843-I9843)</f>
        <v/>
      </c>
      <c r="I9843" s="8">
        <f>IF(D9843="","",VLOOKUP(D9843, RECETTES!B:G, 6, FALSE)*E9843)</f>
        <v/>
      </c>
      <c r="J9843" s="8">
        <f>IF(G9843="","",G9843*0.20)</f>
        <v/>
      </c>
      <c r="K9843" s="8">
        <f>IF(G9843="","",G9843+J9843)</f>
        <v/>
      </c>
    </row>
    <row r="9844">
      <c r="F9844" s="8" t="n"/>
      <c r="G9844" s="8">
        <f>IF(E9844="","",E9844*F9844)</f>
        <v/>
      </c>
      <c r="H9844" s="8">
        <f>IF(G9844="","",G9844-I9844)</f>
        <v/>
      </c>
      <c r="I9844" s="8">
        <f>IF(D9844="","",VLOOKUP(D9844, RECETTES!B:G, 6, FALSE)*E9844)</f>
        <v/>
      </c>
      <c r="J9844" s="8">
        <f>IF(G9844="","",G9844*0.20)</f>
        <v/>
      </c>
      <c r="K9844" s="8">
        <f>IF(G9844="","",G9844+J9844)</f>
        <v/>
      </c>
    </row>
    <row r="9845">
      <c r="F9845" s="8" t="n"/>
      <c r="G9845" s="8">
        <f>IF(E9845="","",E9845*F9845)</f>
        <v/>
      </c>
      <c r="H9845" s="8">
        <f>IF(G9845="","",G9845-I9845)</f>
        <v/>
      </c>
      <c r="I9845" s="8">
        <f>IF(D9845="","",VLOOKUP(D9845, RECETTES!B:G, 6, FALSE)*E9845)</f>
        <v/>
      </c>
      <c r="J9845" s="8">
        <f>IF(G9845="","",G9845*0.20)</f>
        <v/>
      </c>
      <c r="K9845" s="8">
        <f>IF(G9845="","",G9845+J9845)</f>
        <v/>
      </c>
    </row>
    <row r="9846">
      <c r="F9846" s="8" t="n"/>
      <c r="G9846" s="8">
        <f>IF(E9846="","",E9846*F9846)</f>
        <v/>
      </c>
      <c r="H9846" s="8">
        <f>IF(G9846="","",G9846-I9846)</f>
        <v/>
      </c>
      <c r="I9846" s="8">
        <f>IF(D9846="","",VLOOKUP(D9846, RECETTES!B:G, 6, FALSE)*E9846)</f>
        <v/>
      </c>
      <c r="J9846" s="8">
        <f>IF(G9846="","",G9846*0.20)</f>
        <v/>
      </c>
      <c r="K9846" s="8">
        <f>IF(G9846="","",G9846+J9846)</f>
        <v/>
      </c>
    </row>
    <row r="9847">
      <c r="F9847" s="8" t="n"/>
      <c r="G9847" s="8">
        <f>IF(E9847="","",E9847*F9847)</f>
        <v/>
      </c>
      <c r="H9847" s="8">
        <f>IF(G9847="","",G9847-I9847)</f>
        <v/>
      </c>
      <c r="I9847" s="8">
        <f>IF(D9847="","",VLOOKUP(D9847, RECETTES!B:G, 6, FALSE)*E9847)</f>
        <v/>
      </c>
      <c r="J9847" s="8">
        <f>IF(G9847="","",G9847*0.20)</f>
        <v/>
      </c>
      <c r="K9847" s="8">
        <f>IF(G9847="","",G9847+J9847)</f>
        <v/>
      </c>
    </row>
    <row r="9848">
      <c r="F9848" s="8" t="n"/>
      <c r="G9848" s="8">
        <f>IF(E9848="","",E9848*F9848)</f>
        <v/>
      </c>
      <c r="H9848" s="8">
        <f>IF(G9848="","",G9848-I9848)</f>
        <v/>
      </c>
      <c r="I9848" s="8">
        <f>IF(D9848="","",VLOOKUP(D9848, RECETTES!B:G, 6, FALSE)*E9848)</f>
        <v/>
      </c>
      <c r="J9848" s="8">
        <f>IF(G9848="","",G9848*0.20)</f>
        <v/>
      </c>
      <c r="K9848" s="8">
        <f>IF(G9848="","",G9848+J9848)</f>
        <v/>
      </c>
    </row>
    <row r="9849">
      <c r="F9849" s="8" t="n"/>
      <c r="G9849" s="8">
        <f>IF(E9849="","",E9849*F9849)</f>
        <v/>
      </c>
      <c r="H9849" s="8">
        <f>IF(G9849="","",G9849-I9849)</f>
        <v/>
      </c>
      <c r="I9849" s="8">
        <f>IF(D9849="","",VLOOKUP(D9849, RECETTES!B:G, 6, FALSE)*E9849)</f>
        <v/>
      </c>
      <c r="J9849" s="8">
        <f>IF(G9849="","",G9849*0.20)</f>
        <v/>
      </c>
      <c r="K9849" s="8">
        <f>IF(G9849="","",G9849+J9849)</f>
        <v/>
      </c>
    </row>
    <row r="9850">
      <c r="F9850" s="8" t="n"/>
      <c r="G9850" s="8">
        <f>IF(E9850="","",E9850*F9850)</f>
        <v/>
      </c>
      <c r="H9850" s="8">
        <f>IF(G9850="","",G9850-I9850)</f>
        <v/>
      </c>
      <c r="I9850" s="8">
        <f>IF(D9850="","",VLOOKUP(D9850, RECETTES!B:G, 6, FALSE)*E9850)</f>
        <v/>
      </c>
      <c r="J9850" s="8">
        <f>IF(G9850="","",G9850*0.20)</f>
        <v/>
      </c>
      <c r="K9850" s="8">
        <f>IF(G9850="","",G9850+J9850)</f>
        <v/>
      </c>
    </row>
    <row r="9851">
      <c r="F9851" s="8" t="n"/>
      <c r="G9851" s="8">
        <f>IF(E9851="","",E9851*F9851)</f>
        <v/>
      </c>
      <c r="H9851" s="8">
        <f>IF(G9851="","",G9851-I9851)</f>
        <v/>
      </c>
      <c r="I9851" s="8">
        <f>IF(D9851="","",VLOOKUP(D9851, RECETTES!B:G, 6, FALSE)*E9851)</f>
        <v/>
      </c>
      <c r="J9851" s="8">
        <f>IF(G9851="","",G9851*0.20)</f>
        <v/>
      </c>
      <c r="K9851" s="8">
        <f>IF(G9851="","",G9851+J9851)</f>
        <v/>
      </c>
    </row>
    <row r="9852">
      <c r="F9852" s="8" t="n"/>
      <c r="G9852" s="8">
        <f>IF(E9852="","",E9852*F9852)</f>
        <v/>
      </c>
      <c r="H9852" s="8">
        <f>IF(G9852="","",G9852-I9852)</f>
        <v/>
      </c>
      <c r="I9852" s="8">
        <f>IF(D9852="","",VLOOKUP(D9852, RECETTES!B:G, 6, FALSE)*E9852)</f>
        <v/>
      </c>
      <c r="J9852" s="8">
        <f>IF(G9852="","",G9852*0.20)</f>
        <v/>
      </c>
      <c r="K9852" s="8">
        <f>IF(G9852="","",G9852+J9852)</f>
        <v/>
      </c>
    </row>
    <row r="9853">
      <c r="F9853" s="8" t="n"/>
      <c r="G9853" s="8">
        <f>IF(E9853="","",E9853*F9853)</f>
        <v/>
      </c>
      <c r="H9853" s="8">
        <f>IF(G9853="","",G9853-I9853)</f>
        <v/>
      </c>
      <c r="I9853" s="8">
        <f>IF(D9853="","",VLOOKUP(D9853, RECETTES!B:G, 6, FALSE)*E9853)</f>
        <v/>
      </c>
      <c r="J9853" s="8">
        <f>IF(G9853="","",G9853*0.20)</f>
        <v/>
      </c>
      <c r="K9853" s="8">
        <f>IF(G9853="","",G9853+J9853)</f>
        <v/>
      </c>
    </row>
    <row r="9854">
      <c r="F9854" s="8" t="n"/>
      <c r="G9854" s="8">
        <f>IF(E9854="","",E9854*F9854)</f>
        <v/>
      </c>
      <c r="H9854" s="8">
        <f>IF(G9854="","",G9854-I9854)</f>
        <v/>
      </c>
      <c r="I9854" s="8">
        <f>IF(D9854="","",VLOOKUP(D9854, RECETTES!B:G, 6, FALSE)*E9854)</f>
        <v/>
      </c>
      <c r="J9854" s="8">
        <f>IF(G9854="","",G9854*0.20)</f>
        <v/>
      </c>
      <c r="K9854" s="8">
        <f>IF(G9854="","",G9854+J9854)</f>
        <v/>
      </c>
    </row>
    <row r="9855">
      <c r="F9855" s="8" t="n"/>
      <c r="G9855" s="8">
        <f>IF(E9855="","",E9855*F9855)</f>
        <v/>
      </c>
      <c r="H9855" s="8">
        <f>IF(G9855="","",G9855-I9855)</f>
        <v/>
      </c>
      <c r="I9855" s="8">
        <f>IF(D9855="","",VLOOKUP(D9855, RECETTES!B:G, 6, FALSE)*E9855)</f>
        <v/>
      </c>
      <c r="J9855" s="8">
        <f>IF(G9855="","",G9855*0.20)</f>
        <v/>
      </c>
      <c r="K9855" s="8">
        <f>IF(G9855="","",G9855+J9855)</f>
        <v/>
      </c>
    </row>
    <row r="9856">
      <c r="F9856" s="8" t="n"/>
      <c r="G9856" s="8">
        <f>IF(E9856="","",E9856*F9856)</f>
        <v/>
      </c>
      <c r="H9856" s="8">
        <f>IF(G9856="","",G9856-I9856)</f>
        <v/>
      </c>
      <c r="I9856" s="8">
        <f>IF(D9856="","",VLOOKUP(D9856, RECETTES!B:G, 6, FALSE)*E9856)</f>
        <v/>
      </c>
      <c r="J9856" s="8">
        <f>IF(G9856="","",G9856*0.20)</f>
        <v/>
      </c>
      <c r="K9856" s="8">
        <f>IF(G9856="","",G9856+J9856)</f>
        <v/>
      </c>
    </row>
    <row r="9857">
      <c r="F9857" s="8" t="n"/>
      <c r="G9857" s="8">
        <f>IF(E9857="","",E9857*F9857)</f>
        <v/>
      </c>
      <c r="H9857" s="8">
        <f>IF(G9857="","",G9857-I9857)</f>
        <v/>
      </c>
      <c r="I9857" s="8">
        <f>IF(D9857="","",VLOOKUP(D9857, RECETTES!B:G, 6, FALSE)*E9857)</f>
        <v/>
      </c>
      <c r="J9857" s="8">
        <f>IF(G9857="","",G9857*0.20)</f>
        <v/>
      </c>
      <c r="K9857" s="8">
        <f>IF(G9857="","",G9857+J9857)</f>
        <v/>
      </c>
    </row>
    <row r="9858">
      <c r="F9858" s="8" t="n"/>
      <c r="G9858" s="8">
        <f>IF(E9858="","",E9858*F9858)</f>
        <v/>
      </c>
      <c r="H9858" s="8">
        <f>IF(G9858="","",G9858-I9858)</f>
        <v/>
      </c>
      <c r="I9858" s="8">
        <f>IF(D9858="","",VLOOKUP(D9858, RECETTES!B:G, 6, FALSE)*E9858)</f>
        <v/>
      </c>
      <c r="J9858" s="8">
        <f>IF(G9858="","",G9858*0.20)</f>
        <v/>
      </c>
      <c r="K9858" s="8">
        <f>IF(G9858="","",G9858+J9858)</f>
        <v/>
      </c>
    </row>
    <row r="9859">
      <c r="F9859" s="8" t="n"/>
      <c r="G9859" s="8">
        <f>IF(E9859="","",E9859*F9859)</f>
        <v/>
      </c>
      <c r="H9859" s="8">
        <f>IF(G9859="","",G9859-I9859)</f>
        <v/>
      </c>
      <c r="I9859" s="8">
        <f>IF(D9859="","",VLOOKUP(D9859, RECETTES!B:G, 6, FALSE)*E9859)</f>
        <v/>
      </c>
      <c r="J9859" s="8">
        <f>IF(G9859="","",G9859*0.20)</f>
        <v/>
      </c>
      <c r="K9859" s="8">
        <f>IF(G9859="","",G9859+J9859)</f>
        <v/>
      </c>
    </row>
    <row r="9860">
      <c r="F9860" s="8" t="n"/>
      <c r="G9860" s="8">
        <f>IF(E9860="","",E9860*F9860)</f>
        <v/>
      </c>
      <c r="H9860" s="8">
        <f>IF(G9860="","",G9860-I9860)</f>
        <v/>
      </c>
      <c r="I9860" s="8">
        <f>IF(D9860="","",VLOOKUP(D9860, RECETTES!B:G, 6, FALSE)*E9860)</f>
        <v/>
      </c>
      <c r="J9860" s="8">
        <f>IF(G9860="","",G9860*0.20)</f>
        <v/>
      </c>
      <c r="K9860" s="8">
        <f>IF(G9860="","",G9860+J9860)</f>
        <v/>
      </c>
    </row>
    <row r="9861">
      <c r="F9861" s="8" t="n"/>
      <c r="G9861" s="8">
        <f>IF(E9861="","",E9861*F9861)</f>
        <v/>
      </c>
      <c r="H9861" s="8">
        <f>IF(G9861="","",G9861-I9861)</f>
        <v/>
      </c>
      <c r="I9861" s="8">
        <f>IF(D9861="","",VLOOKUP(D9861, RECETTES!B:G, 6, FALSE)*E9861)</f>
        <v/>
      </c>
      <c r="J9861" s="8">
        <f>IF(G9861="","",G9861*0.20)</f>
        <v/>
      </c>
      <c r="K9861" s="8">
        <f>IF(G9861="","",G9861+J9861)</f>
        <v/>
      </c>
    </row>
    <row r="9862">
      <c r="F9862" s="8" t="n"/>
      <c r="G9862" s="8">
        <f>IF(E9862="","",E9862*F9862)</f>
        <v/>
      </c>
      <c r="H9862" s="8">
        <f>IF(G9862="","",G9862-I9862)</f>
        <v/>
      </c>
      <c r="I9862" s="8">
        <f>IF(D9862="","",VLOOKUP(D9862, RECETTES!B:G, 6, FALSE)*E9862)</f>
        <v/>
      </c>
      <c r="J9862" s="8">
        <f>IF(G9862="","",G9862*0.20)</f>
        <v/>
      </c>
      <c r="K9862" s="8">
        <f>IF(G9862="","",G9862+J9862)</f>
        <v/>
      </c>
    </row>
    <row r="9863">
      <c r="F9863" s="8" t="n"/>
      <c r="G9863" s="8">
        <f>IF(E9863="","",E9863*F9863)</f>
        <v/>
      </c>
      <c r="H9863" s="8">
        <f>IF(G9863="","",G9863-I9863)</f>
        <v/>
      </c>
      <c r="I9863" s="8">
        <f>IF(D9863="","",VLOOKUP(D9863, RECETTES!B:G, 6, FALSE)*E9863)</f>
        <v/>
      </c>
      <c r="J9863" s="8">
        <f>IF(G9863="","",G9863*0.20)</f>
        <v/>
      </c>
      <c r="K9863" s="8">
        <f>IF(G9863="","",G9863+J9863)</f>
        <v/>
      </c>
    </row>
    <row r="9864">
      <c r="F9864" s="8" t="n"/>
      <c r="G9864" s="8">
        <f>IF(E9864="","",E9864*F9864)</f>
        <v/>
      </c>
      <c r="H9864" s="8">
        <f>IF(G9864="","",G9864-I9864)</f>
        <v/>
      </c>
      <c r="I9864" s="8">
        <f>IF(D9864="","",VLOOKUP(D9864, RECETTES!B:G, 6, FALSE)*E9864)</f>
        <v/>
      </c>
      <c r="J9864" s="8">
        <f>IF(G9864="","",G9864*0.20)</f>
        <v/>
      </c>
      <c r="K9864" s="8">
        <f>IF(G9864="","",G9864+J9864)</f>
        <v/>
      </c>
    </row>
    <row r="9865">
      <c r="F9865" s="8" t="n"/>
      <c r="G9865" s="8">
        <f>IF(E9865="","",E9865*F9865)</f>
        <v/>
      </c>
      <c r="H9865" s="8">
        <f>IF(G9865="","",G9865-I9865)</f>
        <v/>
      </c>
      <c r="I9865" s="8">
        <f>IF(D9865="","",VLOOKUP(D9865, RECETTES!B:G, 6, FALSE)*E9865)</f>
        <v/>
      </c>
      <c r="J9865" s="8">
        <f>IF(G9865="","",G9865*0.20)</f>
        <v/>
      </c>
      <c r="K9865" s="8">
        <f>IF(G9865="","",G9865+J9865)</f>
        <v/>
      </c>
    </row>
    <row r="9866">
      <c r="F9866" s="8" t="n"/>
      <c r="G9866" s="8">
        <f>IF(E9866="","",E9866*F9866)</f>
        <v/>
      </c>
      <c r="H9866" s="8">
        <f>IF(G9866="","",G9866-I9866)</f>
        <v/>
      </c>
      <c r="I9866" s="8">
        <f>IF(D9866="","",VLOOKUP(D9866, RECETTES!B:G, 6, FALSE)*E9866)</f>
        <v/>
      </c>
      <c r="J9866" s="8">
        <f>IF(G9866="","",G9866*0.20)</f>
        <v/>
      </c>
      <c r="K9866" s="8">
        <f>IF(G9866="","",G9866+J9866)</f>
        <v/>
      </c>
    </row>
    <row r="9867">
      <c r="F9867" s="8" t="n"/>
      <c r="G9867" s="8">
        <f>IF(E9867="","",E9867*F9867)</f>
        <v/>
      </c>
      <c r="H9867" s="8">
        <f>IF(G9867="","",G9867-I9867)</f>
        <v/>
      </c>
      <c r="I9867" s="8">
        <f>IF(D9867="","",VLOOKUP(D9867, RECETTES!B:G, 6, FALSE)*E9867)</f>
        <v/>
      </c>
      <c r="J9867" s="8">
        <f>IF(G9867="","",G9867*0.20)</f>
        <v/>
      </c>
      <c r="K9867" s="8">
        <f>IF(G9867="","",G9867+J9867)</f>
        <v/>
      </c>
    </row>
    <row r="9868">
      <c r="F9868" s="8" t="n"/>
      <c r="G9868" s="8">
        <f>IF(E9868="","",E9868*F9868)</f>
        <v/>
      </c>
      <c r="H9868" s="8">
        <f>IF(G9868="","",G9868-I9868)</f>
        <v/>
      </c>
      <c r="I9868" s="8">
        <f>IF(D9868="","",VLOOKUP(D9868, RECETTES!B:G, 6, FALSE)*E9868)</f>
        <v/>
      </c>
      <c r="J9868" s="8">
        <f>IF(G9868="","",G9868*0.20)</f>
        <v/>
      </c>
      <c r="K9868" s="8">
        <f>IF(G9868="","",G9868+J9868)</f>
        <v/>
      </c>
    </row>
    <row r="9869">
      <c r="F9869" s="8" t="n"/>
      <c r="G9869" s="8">
        <f>IF(E9869="","",E9869*F9869)</f>
        <v/>
      </c>
      <c r="H9869" s="8">
        <f>IF(G9869="","",G9869-I9869)</f>
        <v/>
      </c>
      <c r="I9869" s="8">
        <f>IF(D9869="","",VLOOKUP(D9869, RECETTES!B:G, 6, FALSE)*E9869)</f>
        <v/>
      </c>
      <c r="J9869" s="8">
        <f>IF(G9869="","",G9869*0.20)</f>
        <v/>
      </c>
      <c r="K9869" s="8">
        <f>IF(G9869="","",G9869+J9869)</f>
        <v/>
      </c>
    </row>
    <row r="9870">
      <c r="F9870" s="8" t="n"/>
      <c r="G9870" s="8">
        <f>IF(E9870="","",E9870*F9870)</f>
        <v/>
      </c>
      <c r="H9870" s="8">
        <f>IF(G9870="","",G9870-I9870)</f>
        <v/>
      </c>
      <c r="I9870" s="8">
        <f>IF(D9870="","",VLOOKUP(D9870, RECETTES!B:G, 6, FALSE)*E9870)</f>
        <v/>
      </c>
      <c r="J9870" s="8">
        <f>IF(G9870="","",G9870*0.20)</f>
        <v/>
      </c>
      <c r="K9870" s="8">
        <f>IF(G9870="","",G9870+J9870)</f>
        <v/>
      </c>
    </row>
    <row r="9871">
      <c r="F9871" s="8" t="n"/>
      <c r="G9871" s="8">
        <f>IF(E9871="","",E9871*F9871)</f>
        <v/>
      </c>
      <c r="H9871" s="8">
        <f>IF(G9871="","",G9871-I9871)</f>
        <v/>
      </c>
      <c r="I9871" s="8">
        <f>IF(D9871="","",VLOOKUP(D9871, RECETTES!B:G, 6, FALSE)*E9871)</f>
        <v/>
      </c>
      <c r="J9871" s="8">
        <f>IF(G9871="","",G9871*0.20)</f>
        <v/>
      </c>
      <c r="K9871" s="8">
        <f>IF(G9871="","",G9871+J9871)</f>
        <v/>
      </c>
    </row>
    <row r="9872">
      <c r="F9872" s="8" t="n"/>
      <c r="G9872" s="8">
        <f>IF(E9872="","",E9872*F9872)</f>
        <v/>
      </c>
      <c r="H9872" s="8">
        <f>IF(G9872="","",G9872-I9872)</f>
        <v/>
      </c>
      <c r="I9872" s="8">
        <f>IF(D9872="","",VLOOKUP(D9872, RECETTES!B:G, 6, FALSE)*E9872)</f>
        <v/>
      </c>
      <c r="J9872" s="8">
        <f>IF(G9872="","",G9872*0.20)</f>
        <v/>
      </c>
      <c r="K9872" s="8">
        <f>IF(G9872="","",G9872+J9872)</f>
        <v/>
      </c>
    </row>
    <row r="9873">
      <c r="F9873" s="8" t="n"/>
      <c r="G9873" s="8">
        <f>IF(E9873="","",E9873*F9873)</f>
        <v/>
      </c>
      <c r="H9873" s="8">
        <f>IF(G9873="","",G9873-I9873)</f>
        <v/>
      </c>
      <c r="I9873" s="8">
        <f>IF(D9873="","",VLOOKUP(D9873, RECETTES!B:G, 6, FALSE)*E9873)</f>
        <v/>
      </c>
      <c r="J9873" s="8">
        <f>IF(G9873="","",G9873*0.20)</f>
        <v/>
      </c>
      <c r="K9873" s="8">
        <f>IF(G9873="","",G9873+J9873)</f>
        <v/>
      </c>
    </row>
    <row r="9874">
      <c r="F9874" s="8" t="n"/>
      <c r="G9874" s="8">
        <f>IF(E9874="","",E9874*F9874)</f>
        <v/>
      </c>
      <c r="H9874" s="8">
        <f>IF(G9874="","",G9874-I9874)</f>
        <v/>
      </c>
      <c r="I9874" s="8">
        <f>IF(D9874="","",VLOOKUP(D9874, RECETTES!B:G, 6, FALSE)*E9874)</f>
        <v/>
      </c>
      <c r="J9874" s="8">
        <f>IF(G9874="","",G9874*0.20)</f>
        <v/>
      </c>
      <c r="K9874" s="8">
        <f>IF(G9874="","",G9874+J9874)</f>
        <v/>
      </c>
    </row>
    <row r="9875">
      <c r="F9875" s="8" t="n"/>
      <c r="G9875" s="8">
        <f>IF(E9875="","",E9875*F9875)</f>
        <v/>
      </c>
      <c r="H9875" s="8">
        <f>IF(G9875="","",G9875-I9875)</f>
        <v/>
      </c>
      <c r="I9875" s="8">
        <f>IF(D9875="","",VLOOKUP(D9875, RECETTES!B:G, 6, FALSE)*E9875)</f>
        <v/>
      </c>
      <c r="J9875" s="8">
        <f>IF(G9875="","",G9875*0.20)</f>
        <v/>
      </c>
      <c r="K9875" s="8">
        <f>IF(G9875="","",G9875+J9875)</f>
        <v/>
      </c>
    </row>
    <row r="9876">
      <c r="F9876" s="8" t="n"/>
      <c r="G9876" s="8">
        <f>IF(E9876="","",E9876*F9876)</f>
        <v/>
      </c>
      <c r="H9876" s="8">
        <f>IF(G9876="","",G9876-I9876)</f>
        <v/>
      </c>
      <c r="I9876" s="8">
        <f>IF(D9876="","",VLOOKUP(D9876, RECETTES!B:G, 6, FALSE)*E9876)</f>
        <v/>
      </c>
      <c r="J9876" s="8">
        <f>IF(G9876="","",G9876*0.20)</f>
        <v/>
      </c>
      <c r="K9876" s="8">
        <f>IF(G9876="","",G9876+J9876)</f>
        <v/>
      </c>
    </row>
    <row r="9877">
      <c r="F9877" s="8" t="n"/>
      <c r="G9877" s="8">
        <f>IF(E9877="","",E9877*F9877)</f>
        <v/>
      </c>
      <c r="H9877" s="8">
        <f>IF(G9877="","",G9877-I9877)</f>
        <v/>
      </c>
      <c r="I9877" s="8">
        <f>IF(D9877="","",VLOOKUP(D9877, RECETTES!B:G, 6, FALSE)*E9877)</f>
        <v/>
      </c>
      <c r="J9877" s="8">
        <f>IF(G9877="","",G9877*0.20)</f>
        <v/>
      </c>
      <c r="K9877" s="8">
        <f>IF(G9877="","",G9877+J9877)</f>
        <v/>
      </c>
    </row>
    <row r="9878">
      <c r="F9878" s="8" t="n"/>
      <c r="G9878" s="8">
        <f>IF(E9878="","",E9878*F9878)</f>
        <v/>
      </c>
      <c r="H9878" s="8">
        <f>IF(G9878="","",G9878-I9878)</f>
        <v/>
      </c>
      <c r="I9878" s="8">
        <f>IF(D9878="","",VLOOKUP(D9878, RECETTES!B:G, 6, FALSE)*E9878)</f>
        <v/>
      </c>
      <c r="J9878" s="8">
        <f>IF(G9878="","",G9878*0.20)</f>
        <v/>
      </c>
      <c r="K9878" s="8">
        <f>IF(G9878="","",G9878+J9878)</f>
        <v/>
      </c>
    </row>
    <row r="9879">
      <c r="F9879" s="8" t="n"/>
      <c r="G9879" s="8">
        <f>IF(E9879="","",E9879*F9879)</f>
        <v/>
      </c>
      <c r="H9879" s="8">
        <f>IF(G9879="","",G9879-I9879)</f>
        <v/>
      </c>
      <c r="I9879" s="8">
        <f>IF(D9879="","",VLOOKUP(D9879, RECETTES!B:G, 6, FALSE)*E9879)</f>
        <v/>
      </c>
      <c r="J9879" s="8">
        <f>IF(G9879="","",G9879*0.20)</f>
        <v/>
      </c>
      <c r="K9879" s="8">
        <f>IF(G9879="","",G9879+J9879)</f>
        <v/>
      </c>
    </row>
    <row r="9880">
      <c r="F9880" s="8" t="n"/>
      <c r="G9880" s="8">
        <f>IF(E9880="","",E9880*F9880)</f>
        <v/>
      </c>
      <c r="H9880" s="8">
        <f>IF(G9880="","",G9880-I9880)</f>
        <v/>
      </c>
      <c r="I9880" s="8">
        <f>IF(D9880="","",VLOOKUP(D9880, RECETTES!B:G, 6, FALSE)*E9880)</f>
        <v/>
      </c>
      <c r="J9880" s="8">
        <f>IF(G9880="","",G9880*0.20)</f>
        <v/>
      </c>
      <c r="K9880" s="8">
        <f>IF(G9880="","",G9880+J9880)</f>
        <v/>
      </c>
    </row>
    <row r="9881">
      <c r="F9881" s="8" t="n"/>
      <c r="G9881" s="8">
        <f>IF(E9881="","",E9881*F9881)</f>
        <v/>
      </c>
      <c r="H9881" s="8">
        <f>IF(G9881="","",G9881-I9881)</f>
        <v/>
      </c>
      <c r="I9881" s="8">
        <f>IF(D9881="","",VLOOKUP(D9881, RECETTES!B:G, 6, FALSE)*E9881)</f>
        <v/>
      </c>
      <c r="J9881" s="8">
        <f>IF(G9881="","",G9881*0.20)</f>
        <v/>
      </c>
      <c r="K9881" s="8">
        <f>IF(G9881="","",G9881+J9881)</f>
        <v/>
      </c>
    </row>
    <row r="9882">
      <c r="F9882" s="8" t="n"/>
      <c r="G9882" s="8">
        <f>IF(E9882="","",E9882*F9882)</f>
        <v/>
      </c>
      <c r="H9882" s="8">
        <f>IF(G9882="","",G9882-I9882)</f>
        <v/>
      </c>
      <c r="I9882" s="8">
        <f>IF(D9882="","",VLOOKUP(D9882, RECETTES!B:G, 6, FALSE)*E9882)</f>
        <v/>
      </c>
      <c r="J9882" s="8">
        <f>IF(G9882="","",G9882*0.20)</f>
        <v/>
      </c>
      <c r="K9882" s="8">
        <f>IF(G9882="","",G9882+J9882)</f>
        <v/>
      </c>
    </row>
    <row r="9883">
      <c r="F9883" s="8" t="n"/>
      <c r="G9883" s="8">
        <f>IF(E9883="","",E9883*F9883)</f>
        <v/>
      </c>
      <c r="H9883" s="8">
        <f>IF(G9883="","",G9883-I9883)</f>
        <v/>
      </c>
      <c r="I9883" s="8">
        <f>IF(D9883="","",VLOOKUP(D9883, RECETTES!B:G, 6, FALSE)*E9883)</f>
        <v/>
      </c>
      <c r="J9883" s="8">
        <f>IF(G9883="","",G9883*0.20)</f>
        <v/>
      </c>
      <c r="K9883" s="8">
        <f>IF(G9883="","",G9883+J9883)</f>
        <v/>
      </c>
    </row>
    <row r="9884">
      <c r="F9884" s="8" t="n"/>
      <c r="G9884" s="8">
        <f>IF(E9884="","",E9884*F9884)</f>
        <v/>
      </c>
      <c r="H9884" s="8">
        <f>IF(G9884="","",G9884-I9884)</f>
        <v/>
      </c>
      <c r="I9884" s="8">
        <f>IF(D9884="","",VLOOKUP(D9884, RECETTES!B:G, 6, FALSE)*E9884)</f>
        <v/>
      </c>
      <c r="J9884" s="8">
        <f>IF(G9884="","",G9884*0.20)</f>
        <v/>
      </c>
      <c r="K9884" s="8">
        <f>IF(G9884="","",G9884+J9884)</f>
        <v/>
      </c>
    </row>
    <row r="9885">
      <c r="F9885" s="8" t="n"/>
      <c r="G9885" s="8">
        <f>IF(E9885="","",E9885*F9885)</f>
        <v/>
      </c>
      <c r="H9885" s="8">
        <f>IF(G9885="","",G9885-I9885)</f>
        <v/>
      </c>
      <c r="I9885" s="8">
        <f>IF(D9885="","",VLOOKUP(D9885, RECETTES!B:G, 6, FALSE)*E9885)</f>
        <v/>
      </c>
      <c r="J9885" s="8">
        <f>IF(G9885="","",G9885*0.20)</f>
        <v/>
      </c>
      <c r="K9885" s="8">
        <f>IF(G9885="","",G9885+J9885)</f>
        <v/>
      </c>
    </row>
    <row r="9886">
      <c r="F9886" s="8" t="n"/>
      <c r="G9886" s="8">
        <f>IF(E9886="","",E9886*F9886)</f>
        <v/>
      </c>
      <c r="H9886" s="8">
        <f>IF(G9886="","",G9886-I9886)</f>
        <v/>
      </c>
      <c r="I9886" s="8">
        <f>IF(D9886="","",VLOOKUP(D9886, RECETTES!B:G, 6, FALSE)*E9886)</f>
        <v/>
      </c>
      <c r="J9886" s="8">
        <f>IF(G9886="","",G9886*0.20)</f>
        <v/>
      </c>
      <c r="K9886" s="8">
        <f>IF(G9886="","",G9886+J9886)</f>
        <v/>
      </c>
    </row>
    <row r="9887">
      <c r="F9887" s="8" t="n"/>
      <c r="G9887" s="8">
        <f>IF(E9887="","",E9887*F9887)</f>
        <v/>
      </c>
      <c r="H9887" s="8">
        <f>IF(G9887="","",G9887-I9887)</f>
        <v/>
      </c>
      <c r="I9887" s="8">
        <f>IF(D9887="","",VLOOKUP(D9887, RECETTES!B:G, 6, FALSE)*E9887)</f>
        <v/>
      </c>
      <c r="J9887" s="8">
        <f>IF(G9887="","",G9887*0.20)</f>
        <v/>
      </c>
      <c r="K9887" s="8">
        <f>IF(G9887="","",G9887+J9887)</f>
        <v/>
      </c>
    </row>
    <row r="9888">
      <c r="F9888" s="8" t="n"/>
      <c r="G9888" s="8">
        <f>IF(E9888="","",E9888*F9888)</f>
        <v/>
      </c>
      <c r="H9888" s="8">
        <f>IF(G9888="","",G9888-I9888)</f>
        <v/>
      </c>
      <c r="I9888" s="8">
        <f>IF(D9888="","",VLOOKUP(D9888, RECETTES!B:G, 6, FALSE)*E9888)</f>
        <v/>
      </c>
      <c r="J9888" s="8">
        <f>IF(G9888="","",G9888*0.20)</f>
        <v/>
      </c>
      <c r="K9888" s="8">
        <f>IF(G9888="","",G9888+J9888)</f>
        <v/>
      </c>
    </row>
    <row r="9889">
      <c r="F9889" s="8" t="n"/>
      <c r="G9889" s="8">
        <f>IF(E9889="","",E9889*F9889)</f>
        <v/>
      </c>
      <c r="H9889" s="8">
        <f>IF(G9889="","",G9889-I9889)</f>
        <v/>
      </c>
      <c r="I9889" s="8">
        <f>IF(D9889="","",VLOOKUP(D9889, RECETTES!B:G, 6, FALSE)*E9889)</f>
        <v/>
      </c>
      <c r="J9889" s="8">
        <f>IF(G9889="","",G9889*0.20)</f>
        <v/>
      </c>
      <c r="K9889" s="8">
        <f>IF(G9889="","",G9889+J9889)</f>
        <v/>
      </c>
    </row>
    <row r="9890">
      <c r="F9890" s="8" t="n"/>
      <c r="G9890" s="8">
        <f>IF(E9890="","",E9890*F9890)</f>
        <v/>
      </c>
      <c r="H9890" s="8">
        <f>IF(G9890="","",G9890-I9890)</f>
        <v/>
      </c>
      <c r="I9890" s="8">
        <f>IF(D9890="","",VLOOKUP(D9890, RECETTES!B:G, 6, FALSE)*E9890)</f>
        <v/>
      </c>
      <c r="J9890" s="8">
        <f>IF(G9890="","",G9890*0.20)</f>
        <v/>
      </c>
      <c r="K9890" s="8">
        <f>IF(G9890="","",G9890+J9890)</f>
        <v/>
      </c>
    </row>
    <row r="9891">
      <c r="F9891" s="8" t="n"/>
      <c r="G9891" s="8">
        <f>IF(E9891="","",E9891*F9891)</f>
        <v/>
      </c>
      <c r="H9891" s="8">
        <f>IF(G9891="","",G9891-I9891)</f>
        <v/>
      </c>
      <c r="I9891" s="8">
        <f>IF(D9891="","",VLOOKUP(D9891, RECETTES!B:G, 6, FALSE)*E9891)</f>
        <v/>
      </c>
      <c r="J9891" s="8">
        <f>IF(G9891="","",G9891*0.20)</f>
        <v/>
      </c>
      <c r="K9891" s="8">
        <f>IF(G9891="","",G9891+J9891)</f>
        <v/>
      </c>
    </row>
    <row r="9892">
      <c r="F9892" s="8" t="n"/>
      <c r="G9892" s="8">
        <f>IF(E9892="","",E9892*F9892)</f>
        <v/>
      </c>
      <c r="H9892" s="8">
        <f>IF(G9892="","",G9892-I9892)</f>
        <v/>
      </c>
      <c r="I9892" s="8">
        <f>IF(D9892="","",VLOOKUP(D9892, RECETTES!B:G, 6, FALSE)*E9892)</f>
        <v/>
      </c>
      <c r="J9892" s="8">
        <f>IF(G9892="","",G9892*0.20)</f>
        <v/>
      </c>
      <c r="K9892" s="8">
        <f>IF(G9892="","",G9892+J9892)</f>
        <v/>
      </c>
    </row>
    <row r="9893">
      <c r="F9893" s="8" t="n"/>
      <c r="G9893" s="8">
        <f>IF(E9893="","",E9893*F9893)</f>
        <v/>
      </c>
      <c r="H9893" s="8">
        <f>IF(G9893="","",G9893-I9893)</f>
        <v/>
      </c>
      <c r="I9893" s="8">
        <f>IF(D9893="","",VLOOKUP(D9893, RECETTES!B:G, 6, FALSE)*E9893)</f>
        <v/>
      </c>
      <c r="J9893" s="8">
        <f>IF(G9893="","",G9893*0.20)</f>
        <v/>
      </c>
      <c r="K9893" s="8">
        <f>IF(G9893="","",G9893+J9893)</f>
        <v/>
      </c>
    </row>
    <row r="9894">
      <c r="F9894" s="8" t="n"/>
      <c r="G9894" s="8">
        <f>IF(E9894="","",E9894*F9894)</f>
        <v/>
      </c>
      <c r="H9894" s="8">
        <f>IF(G9894="","",G9894-I9894)</f>
        <v/>
      </c>
      <c r="I9894" s="8">
        <f>IF(D9894="","",VLOOKUP(D9894, RECETTES!B:G, 6, FALSE)*E9894)</f>
        <v/>
      </c>
      <c r="J9894" s="8">
        <f>IF(G9894="","",G9894*0.20)</f>
        <v/>
      </c>
      <c r="K9894" s="8">
        <f>IF(G9894="","",G9894+J9894)</f>
        <v/>
      </c>
    </row>
    <row r="9895">
      <c r="F9895" s="8" t="n"/>
      <c r="G9895" s="8">
        <f>IF(E9895="","",E9895*F9895)</f>
        <v/>
      </c>
      <c r="H9895" s="8">
        <f>IF(G9895="","",G9895-I9895)</f>
        <v/>
      </c>
      <c r="I9895" s="8">
        <f>IF(D9895="","",VLOOKUP(D9895, RECETTES!B:G, 6, FALSE)*E9895)</f>
        <v/>
      </c>
      <c r="J9895" s="8">
        <f>IF(G9895="","",G9895*0.20)</f>
        <v/>
      </c>
      <c r="K9895" s="8">
        <f>IF(G9895="","",G9895+J9895)</f>
        <v/>
      </c>
    </row>
    <row r="9896">
      <c r="F9896" s="8" t="n"/>
      <c r="G9896" s="8">
        <f>IF(E9896="","",E9896*F9896)</f>
        <v/>
      </c>
      <c r="H9896" s="8">
        <f>IF(G9896="","",G9896-I9896)</f>
        <v/>
      </c>
      <c r="I9896" s="8">
        <f>IF(D9896="","",VLOOKUP(D9896, RECETTES!B:G, 6, FALSE)*E9896)</f>
        <v/>
      </c>
      <c r="J9896" s="8">
        <f>IF(G9896="","",G9896*0.20)</f>
        <v/>
      </c>
      <c r="K9896" s="8">
        <f>IF(G9896="","",G9896+J9896)</f>
        <v/>
      </c>
    </row>
    <row r="9897">
      <c r="F9897" s="8" t="n"/>
      <c r="G9897" s="8">
        <f>IF(E9897="","",E9897*F9897)</f>
        <v/>
      </c>
      <c r="H9897" s="8">
        <f>IF(G9897="","",G9897-I9897)</f>
        <v/>
      </c>
      <c r="I9897" s="8">
        <f>IF(D9897="","",VLOOKUP(D9897, RECETTES!B:G, 6, FALSE)*E9897)</f>
        <v/>
      </c>
      <c r="J9897" s="8">
        <f>IF(G9897="","",G9897*0.20)</f>
        <v/>
      </c>
      <c r="K9897" s="8">
        <f>IF(G9897="","",G9897+J9897)</f>
        <v/>
      </c>
    </row>
    <row r="9898">
      <c r="F9898" s="8" t="n"/>
      <c r="G9898" s="8">
        <f>IF(E9898="","",E9898*F9898)</f>
        <v/>
      </c>
      <c r="H9898" s="8">
        <f>IF(G9898="","",G9898-I9898)</f>
        <v/>
      </c>
      <c r="I9898" s="8">
        <f>IF(D9898="","",VLOOKUP(D9898, RECETTES!B:G, 6, FALSE)*E9898)</f>
        <v/>
      </c>
      <c r="J9898" s="8">
        <f>IF(G9898="","",G9898*0.20)</f>
        <v/>
      </c>
      <c r="K9898" s="8">
        <f>IF(G9898="","",G9898+J9898)</f>
        <v/>
      </c>
    </row>
    <row r="9899">
      <c r="F9899" s="8" t="n"/>
      <c r="G9899" s="8">
        <f>IF(E9899="","",E9899*F9899)</f>
        <v/>
      </c>
      <c r="H9899" s="8">
        <f>IF(G9899="","",G9899-I9899)</f>
        <v/>
      </c>
      <c r="I9899" s="8">
        <f>IF(D9899="","",VLOOKUP(D9899, RECETTES!B:G, 6, FALSE)*E9899)</f>
        <v/>
      </c>
      <c r="J9899" s="8">
        <f>IF(G9899="","",G9899*0.20)</f>
        <v/>
      </c>
      <c r="K9899" s="8">
        <f>IF(G9899="","",G9899+J9899)</f>
        <v/>
      </c>
    </row>
    <row r="9900">
      <c r="F9900" s="8" t="n"/>
      <c r="G9900" s="8">
        <f>IF(E9900="","",E9900*F9900)</f>
        <v/>
      </c>
      <c r="H9900" s="8">
        <f>IF(G9900="","",G9900-I9900)</f>
        <v/>
      </c>
      <c r="I9900" s="8">
        <f>IF(D9900="","",VLOOKUP(D9900, RECETTES!B:G, 6, FALSE)*E9900)</f>
        <v/>
      </c>
      <c r="J9900" s="8">
        <f>IF(G9900="","",G9900*0.20)</f>
        <v/>
      </c>
      <c r="K9900" s="8">
        <f>IF(G9900="","",G9900+J9900)</f>
        <v/>
      </c>
    </row>
    <row r="9901">
      <c r="F9901" s="8" t="n"/>
      <c r="G9901" s="8">
        <f>IF(E9901="","",E9901*F9901)</f>
        <v/>
      </c>
      <c r="H9901" s="8">
        <f>IF(G9901="","",G9901-I9901)</f>
        <v/>
      </c>
      <c r="I9901" s="8">
        <f>IF(D9901="","",VLOOKUP(D9901, RECETTES!B:G, 6, FALSE)*E9901)</f>
        <v/>
      </c>
      <c r="J9901" s="8">
        <f>IF(G9901="","",G9901*0.20)</f>
        <v/>
      </c>
      <c r="K9901" s="8">
        <f>IF(G9901="","",G9901+J9901)</f>
        <v/>
      </c>
    </row>
    <row r="9902">
      <c r="F9902" s="8" t="n"/>
      <c r="G9902" s="8">
        <f>IF(E9902="","",E9902*F9902)</f>
        <v/>
      </c>
      <c r="H9902" s="8">
        <f>IF(G9902="","",G9902-I9902)</f>
        <v/>
      </c>
      <c r="I9902" s="8">
        <f>IF(D9902="","",VLOOKUP(D9902, RECETTES!B:G, 6, FALSE)*E9902)</f>
        <v/>
      </c>
      <c r="J9902" s="8">
        <f>IF(G9902="","",G9902*0.20)</f>
        <v/>
      </c>
      <c r="K9902" s="8">
        <f>IF(G9902="","",G9902+J9902)</f>
        <v/>
      </c>
    </row>
    <row r="9903">
      <c r="F9903" s="8" t="n"/>
      <c r="G9903" s="8">
        <f>IF(E9903="","",E9903*F9903)</f>
        <v/>
      </c>
      <c r="H9903" s="8">
        <f>IF(G9903="","",G9903-I9903)</f>
        <v/>
      </c>
      <c r="I9903" s="8">
        <f>IF(D9903="","",VLOOKUP(D9903, RECETTES!B:G, 6, FALSE)*E9903)</f>
        <v/>
      </c>
      <c r="J9903" s="8">
        <f>IF(G9903="","",G9903*0.20)</f>
        <v/>
      </c>
      <c r="K9903" s="8">
        <f>IF(G9903="","",G9903+J9903)</f>
        <v/>
      </c>
    </row>
    <row r="9904">
      <c r="F9904" s="8" t="n"/>
      <c r="G9904" s="8">
        <f>IF(E9904="","",E9904*F9904)</f>
        <v/>
      </c>
      <c r="H9904" s="8">
        <f>IF(G9904="","",G9904-I9904)</f>
        <v/>
      </c>
      <c r="I9904" s="8">
        <f>IF(D9904="","",VLOOKUP(D9904, RECETTES!B:G, 6, FALSE)*E9904)</f>
        <v/>
      </c>
      <c r="J9904" s="8">
        <f>IF(G9904="","",G9904*0.20)</f>
        <v/>
      </c>
      <c r="K9904" s="8">
        <f>IF(G9904="","",G9904+J9904)</f>
        <v/>
      </c>
    </row>
    <row r="9905">
      <c r="F9905" s="8" t="n"/>
      <c r="G9905" s="8">
        <f>IF(E9905="","",E9905*F9905)</f>
        <v/>
      </c>
      <c r="H9905" s="8">
        <f>IF(G9905="","",G9905-I9905)</f>
        <v/>
      </c>
      <c r="I9905" s="8">
        <f>IF(D9905="","",VLOOKUP(D9905, RECETTES!B:G, 6, FALSE)*E9905)</f>
        <v/>
      </c>
      <c r="J9905" s="8">
        <f>IF(G9905="","",G9905*0.20)</f>
        <v/>
      </c>
      <c r="K9905" s="8">
        <f>IF(G9905="","",G9905+J9905)</f>
        <v/>
      </c>
    </row>
    <row r="9906">
      <c r="F9906" s="8" t="n"/>
      <c r="G9906" s="8">
        <f>IF(E9906="","",E9906*F9906)</f>
        <v/>
      </c>
      <c r="H9906" s="8">
        <f>IF(G9906="","",G9906-I9906)</f>
        <v/>
      </c>
      <c r="I9906" s="8">
        <f>IF(D9906="","",VLOOKUP(D9906, RECETTES!B:G, 6, FALSE)*E9906)</f>
        <v/>
      </c>
      <c r="J9906" s="8">
        <f>IF(G9906="","",G9906*0.20)</f>
        <v/>
      </c>
      <c r="K9906" s="8">
        <f>IF(G9906="","",G9906+J9906)</f>
        <v/>
      </c>
    </row>
    <row r="9907">
      <c r="F9907" s="8" t="n"/>
      <c r="G9907" s="8">
        <f>IF(E9907="","",E9907*F9907)</f>
        <v/>
      </c>
      <c r="H9907" s="8">
        <f>IF(G9907="","",G9907-I9907)</f>
        <v/>
      </c>
      <c r="I9907" s="8">
        <f>IF(D9907="","",VLOOKUP(D9907, RECETTES!B:G, 6, FALSE)*E9907)</f>
        <v/>
      </c>
      <c r="J9907" s="8">
        <f>IF(G9907="","",G9907*0.20)</f>
        <v/>
      </c>
      <c r="K9907" s="8">
        <f>IF(G9907="","",G9907+J9907)</f>
        <v/>
      </c>
    </row>
    <row r="9908">
      <c r="F9908" s="8" t="n"/>
      <c r="G9908" s="8">
        <f>IF(E9908="","",E9908*F9908)</f>
        <v/>
      </c>
      <c r="H9908" s="8">
        <f>IF(G9908="","",G9908-I9908)</f>
        <v/>
      </c>
      <c r="I9908" s="8">
        <f>IF(D9908="","",VLOOKUP(D9908, RECETTES!B:G, 6, FALSE)*E9908)</f>
        <v/>
      </c>
      <c r="J9908" s="8">
        <f>IF(G9908="","",G9908*0.20)</f>
        <v/>
      </c>
      <c r="K9908" s="8">
        <f>IF(G9908="","",G9908+J9908)</f>
        <v/>
      </c>
    </row>
    <row r="9909">
      <c r="F9909" s="8" t="n"/>
      <c r="G9909" s="8">
        <f>IF(E9909="","",E9909*F9909)</f>
        <v/>
      </c>
      <c r="H9909" s="8">
        <f>IF(G9909="","",G9909-I9909)</f>
        <v/>
      </c>
      <c r="I9909" s="8">
        <f>IF(D9909="","",VLOOKUP(D9909, RECETTES!B:G, 6, FALSE)*E9909)</f>
        <v/>
      </c>
      <c r="J9909" s="8">
        <f>IF(G9909="","",G9909*0.20)</f>
        <v/>
      </c>
      <c r="K9909" s="8">
        <f>IF(G9909="","",G9909+J9909)</f>
        <v/>
      </c>
    </row>
    <row r="9910">
      <c r="F9910" s="8" t="n"/>
      <c r="G9910" s="8">
        <f>IF(E9910="","",E9910*F9910)</f>
        <v/>
      </c>
      <c r="H9910" s="8">
        <f>IF(G9910="","",G9910-I9910)</f>
        <v/>
      </c>
      <c r="I9910" s="8">
        <f>IF(D9910="","",VLOOKUP(D9910, RECETTES!B:G, 6, FALSE)*E9910)</f>
        <v/>
      </c>
      <c r="J9910" s="8">
        <f>IF(G9910="","",G9910*0.20)</f>
        <v/>
      </c>
      <c r="K9910" s="8">
        <f>IF(G9910="","",G9910+J9910)</f>
        <v/>
      </c>
    </row>
    <row r="9911">
      <c r="F9911" s="8" t="n"/>
      <c r="G9911" s="8">
        <f>IF(E9911="","",E9911*F9911)</f>
        <v/>
      </c>
      <c r="H9911" s="8">
        <f>IF(G9911="","",G9911-I9911)</f>
        <v/>
      </c>
      <c r="I9911" s="8">
        <f>IF(D9911="","",VLOOKUP(D9911, RECETTES!B:G, 6, FALSE)*E9911)</f>
        <v/>
      </c>
      <c r="J9911" s="8">
        <f>IF(G9911="","",G9911*0.20)</f>
        <v/>
      </c>
      <c r="K9911" s="8">
        <f>IF(G9911="","",G9911+J9911)</f>
        <v/>
      </c>
    </row>
    <row r="9912">
      <c r="F9912" s="8" t="n"/>
      <c r="G9912" s="8">
        <f>IF(E9912="","",E9912*F9912)</f>
        <v/>
      </c>
      <c r="H9912" s="8">
        <f>IF(G9912="","",G9912-I9912)</f>
        <v/>
      </c>
      <c r="I9912" s="8">
        <f>IF(D9912="","",VLOOKUP(D9912, RECETTES!B:G, 6, FALSE)*E9912)</f>
        <v/>
      </c>
      <c r="J9912" s="8">
        <f>IF(G9912="","",G9912*0.20)</f>
        <v/>
      </c>
      <c r="K9912" s="8">
        <f>IF(G9912="","",G9912+J9912)</f>
        <v/>
      </c>
    </row>
    <row r="9913">
      <c r="F9913" s="8" t="n"/>
      <c r="G9913" s="8">
        <f>IF(E9913="","",E9913*F9913)</f>
        <v/>
      </c>
      <c r="H9913" s="8">
        <f>IF(G9913="","",G9913-I9913)</f>
        <v/>
      </c>
      <c r="I9913" s="8">
        <f>IF(D9913="","",VLOOKUP(D9913, RECETTES!B:G, 6, FALSE)*E9913)</f>
        <v/>
      </c>
      <c r="J9913" s="8">
        <f>IF(G9913="","",G9913*0.20)</f>
        <v/>
      </c>
      <c r="K9913" s="8">
        <f>IF(G9913="","",G9913+J9913)</f>
        <v/>
      </c>
    </row>
    <row r="9914">
      <c r="F9914" s="8" t="n"/>
      <c r="G9914" s="8">
        <f>IF(E9914="","",E9914*F9914)</f>
        <v/>
      </c>
      <c r="H9914" s="8">
        <f>IF(G9914="","",G9914-I9914)</f>
        <v/>
      </c>
      <c r="I9914" s="8">
        <f>IF(D9914="","",VLOOKUP(D9914, RECETTES!B:G, 6, FALSE)*E9914)</f>
        <v/>
      </c>
      <c r="J9914" s="8">
        <f>IF(G9914="","",G9914*0.20)</f>
        <v/>
      </c>
      <c r="K9914" s="8">
        <f>IF(G9914="","",G9914+J9914)</f>
        <v/>
      </c>
    </row>
    <row r="9915">
      <c r="F9915" s="8" t="n"/>
      <c r="G9915" s="8">
        <f>IF(E9915="","",E9915*F9915)</f>
        <v/>
      </c>
      <c r="H9915" s="8">
        <f>IF(G9915="","",G9915-I9915)</f>
        <v/>
      </c>
      <c r="I9915" s="8">
        <f>IF(D9915="","",VLOOKUP(D9915, RECETTES!B:G, 6, FALSE)*E9915)</f>
        <v/>
      </c>
      <c r="J9915" s="8">
        <f>IF(G9915="","",G9915*0.20)</f>
        <v/>
      </c>
      <c r="K9915" s="8">
        <f>IF(G9915="","",G9915+J9915)</f>
        <v/>
      </c>
    </row>
    <row r="9916">
      <c r="F9916" s="8" t="n"/>
      <c r="G9916" s="8">
        <f>IF(E9916="","",E9916*F9916)</f>
        <v/>
      </c>
      <c r="H9916" s="8">
        <f>IF(G9916="","",G9916-I9916)</f>
        <v/>
      </c>
      <c r="I9916" s="8">
        <f>IF(D9916="","",VLOOKUP(D9916, RECETTES!B:G, 6, FALSE)*E9916)</f>
        <v/>
      </c>
      <c r="J9916" s="8">
        <f>IF(G9916="","",G9916*0.20)</f>
        <v/>
      </c>
      <c r="K9916" s="8">
        <f>IF(G9916="","",G9916+J9916)</f>
        <v/>
      </c>
    </row>
    <row r="9917">
      <c r="F9917" s="8" t="n"/>
      <c r="G9917" s="8">
        <f>IF(E9917="","",E9917*F9917)</f>
        <v/>
      </c>
      <c r="H9917" s="8">
        <f>IF(G9917="","",G9917-I9917)</f>
        <v/>
      </c>
      <c r="I9917" s="8">
        <f>IF(D9917="","",VLOOKUP(D9917, RECETTES!B:G, 6, FALSE)*E9917)</f>
        <v/>
      </c>
      <c r="J9917" s="8">
        <f>IF(G9917="","",G9917*0.20)</f>
        <v/>
      </c>
      <c r="K9917" s="8">
        <f>IF(G9917="","",G9917+J9917)</f>
        <v/>
      </c>
    </row>
    <row r="9918">
      <c r="F9918" s="8" t="n"/>
      <c r="G9918" s="8">
        <f>IF(E9918="","",E9918*F9918)</f>
        <v/>
      </c>
      <c r="H9918" s="8">
        <f>IF(G9918="","",G9918-I9918)</f>
        <v/>
      </c>
      <c r="I9918" s="8">
        <f>IF(D9918="","",VLOOKUP(D9918, RECETTES!B:G, 6, FALSE)*E9918)</f>
        <v/>
      </c>
      <c r="J9918" s="8">
        <f>IF(G9918="","",G9918*0.20)</f>
        <v/>
      </c>
      <c r="K9918" s="8">
        <f>IF(G9918="","",G9918+J9918)</f>
        <v/>
      </c>
    </row>
    <row r="9919">
      <c r="F9919" s="8" t="n"/>
      <c r="G9919" s="8">
        <f>IF(E9919="","",E9919*F9919)</f>
        <v/>
      </c>
      <c r="H9919" s="8">
        <f>IF(G9919="","",G9919-I9919)</f>
        <v/>
      </c>
      <c r="I9919" s="8">
        <f>IF(D9919="","",VLOOKUP(D9919, RECETTES!B:G, 6, FALSE)*E9919)</f>
        <v/>
      </c>
      <c r="J9919" s="8">
        <f>IF(G9919="","",G9919*0.20)</f>
        <v/>
      </c>
      <c r="K9919" s="8">
        <f>IF(G9919="","",G9919+J9919)</f>
        <v/>
      </c>
    </row>
    <row r="9920">
      <c r="F9920" s="8" t="n"/>
      <c r="G9920" s="8">
        <f>IF(E9920="","",E9920*F9920)</f>
        <v/>
      </c>
      <c r="H9920" s="8">
        <f>IF(G9920="","",G9920-I9920)</f>
        <v/>
      </c>
      <c r="I9920" s="8">
        <f>IF(D9920="","",VLOOKUP(D9920, RECETTES!B:G, 6, FALSE)*E9920)</f>
        <v/>
      </c>
      <c r="J9920" s="8">
        <f>IF(G9920="","",G9920*0.20)</f>
        <v/>
      </c>
      <c r="K9920" s="8">
        <f>IF(G9920="","",G9920+J9920)</f>
        <v/>
      </c>
    </row>
    <row r="9921">
      <c r="F9921" s="8" t="n"/>
      <c r="G9921" s="8">
        <f>IF(E9921="","",E9921*F9921)</f>
        <v/>
      </c>
      <c r="H9921" s="8">
        <f>IF(G9921="","",G9921-I9921)</f>
        <v/>
      </c>
      <c r="I9921" s="8">
        <f>IF(D9921="","",VLOOKUP(D9921, RECETTES!B:G, 6, FALSE)*E9921)</f>
        <v/>
      </c>
      <c r="J9921" s="8">
        <f>IF(G9921="","",G9921*0.20)</f>
        <v/>
      </c>
      <c r="K9921" s="8">
        <f>IF(G9921="","",G9921+J9921)</f>
        <v/>
      </c>
    </row>
    <row r="9922">
      <c r="F9922" s="8" t="n"/>
      <c r="G9922" s="8">
        <f>IF(E9922="","",E9922*F9922)</f>
        <v/>
      </c>
      <c r="H9922" s="8">
        <f>IF(G9922="","",G9922-I9922)</f>
        <v/>
      </c>
      <c r="I9922" s="8">
        <f>IF(D9922="","",VLOOKUP(D9922, RECETTES!B:G, 6, FALSE)*E9922)</f>
        <v/>
      </c>
      <c r="J9922" s="8">
        <f>IF(G9922="","",G9922*0.20)</f>
        <v/>
      </c>
      <c r="K9922" s="8">
        <f>IF(G9922="","",G9922+J9922)</f>
        <v/>
      </c>
    </row>
    <row r="9923">
      <c r="F9923" s="8" t="n"/>
      <c r="G9923" s="8">
        <f>IF(E9923="","",E9923*F9923)</f>
        <v/>
      </c>
      <c r="H9923" s="8">
        <f>IF(G9923="","",G9923-I9923)</f>
        <v/>
      </c>
      <c r="I9923" s="8">
        <f>IF(D9923="","",VLOOKUP(D9923, RECETTES!B:G, 6, FALSE)*E9923)</f>
        <v/>
      </c>
      <c r="J9923" s="8">
        <f>IF(G9923="","",G9923*0.20)</f>
        <v/>
      </c>
      <c r="K9923" s="8">
        <f>IF(G9923="","",G9923+J9923)</f>
        <v/>
      </c>
    </row>
    <row r="9924">
      <c r="F9924" s="8" t="n"/>
      <c r="G9924" s="8">
        <f>IF(E9924="","",E9924*F9924)</f>
        <v/>
      </c>
      <c r="H9924" s="8">
        <f>IF(G9924="","",G9924-I9924)</f>
        <v/>
      </c>
      <c r="I9924" s="8">
        <f>IF(D9924="","",VLOOKUP(D9924, RECETTES!B:G, 6, FALSE)*E9924)</f>
        <v/>
      </c>
      <c r="J9924" s="8">
        <f>IF(G9924="","",G9924*0.20)</f>
        <v/>
      </c>
      <c r="K9924" s="8">
        <f>IF(G9924="","",G9924+J9924)</f>
        <v/>
      </c>
    </row>
    <row r="9925">
      <c r="F9925" s="8" t="n"/>
      <c r="G9925" s="8">
        <f>IF(E9925="","",E9925*F9925)</f>
        <v/>
      </c>
      <c r="H9925" s="8">
        <f>IF(G9925="","",G9925-I9925)</f>
        <v/>
      </c>
      <c r="I9925" s="8">
        <f>IF(D9925="","",VLOOKUP(D9925, RECETTES!B:G, 6, FALSE)*E9925)</f>
        <v/>
      </c>
      <c r="J9925" s="8">
        <f>IF(G9925="","",G9925*0.20)</f>
        <v/>
      </c>
      <c r="K9925" s="8">
        <f>IF(G9925="","",G9925+J9925)</f>
        <v/>
      </c>
    </row>
    <row r="9926">
      <c r="F9926" s="8" t="n"/>
      <c r="G9926" s="8">
        <f>IF(E9926="","",E9926*F9926)</f>
        <v/>
      </c>
      <c r="H9926" s="8">
        <f>IF(G9926="","",G9926-I9926)</f>
        <v/>
      </c>
      <c r="I9926" s="8">
        <f>IF(D9926="","",VLOOKUP(D9926, RECETTES!B:G, 6, FALSE)*E9926)</f>
        <v/>
      </c>
      <c r="J9926" s="8">
        <f>IF(G9926="","",G9926*0.20)</f>
        <v/>
      </c>
      <c r="K9926" s="8">
        <f>IF(G9926="","",G9926+J9926)</f>
        <v/>
      </c>
    </row>
    <row r="9927">
      <c r="F9927" s="8" t="n"/>
      <c r="G9927" s="8">
        <f>IF(E9927="","",E9927*F9927)</f>
        <v/>
      </c>
      <c r="H9927" s="8">
        <f>IF(G9927="","",G9927-I9927)</f>
        <v/>
      </c>
      <c r="I9927" s="8">
        <f>IF(D9927="","",VLOOKUP(D9927, RECETTES!B:G, 6, FALSE)*E9927)</f>
        <v/>
      </c>
      <c r="J9927" s="8">
        <f>IF(G9927="","",G9927*0.20)</f>
        <v/>
      </c>
      <c r="K9927" s="8">
        <f>IF(G9927="","",G9927+J9927)</f>
        <v/>
      </c>
    </row>
    <row r="9928">
      <c r="F9928" s="8" t="n"/>
      <c r="G9928" s="8">
        <f>IF(E9928="","",E9928*F9928)</f>
        <v/>
      </c>
      <c r="H9928" s="8">
        <f>IF(G9928="","",G9928-I9928)</f>
        <v/>
      </c>
      <c r="I9928" s="8">
        <f>IF(D9928="","",VLOOKUP(D9928, RECETTES!B:G, 6, FALSE)*E9928)</f>
        <v/>
      </c>
      <c r="J9928" s="8">
        <f>IF(G9928="","",G9928*0.20)</f>
        <v/>
      </c>
      <c r="K9928" s="8">
        <f>IF(G9928="","",G9928+J9928)</f>
        <v/>
      </c>
    </row>
    <row r="9929">
      <c r="F9929" s="8" t="n"/>
      <c r="G9929" s="8">
        <f>IF(E9929="","",E9929*F9929)</f>
        <v/>
      </c>
      <c r="H9929" s="8">
        <f>IF(G9929="","",G9929-I9929)</f>
        <v/>
      </c>
      <c r="I9929" s="8">
        <f>IF(D9929="","",VLOOKUP(D9929, RECETTES!B:G, 6, FALSE)*E9929)</f>
        <v/>
      </c>
      <c r="J9929" s="8">
        <f>IF(G9929="","",G9929*0.20)</f>
        <v/>
      </c>
      <c r="K9929" s="8">
        <f>IF(G9929="","",G9929+J9929)</f>
        <v/>
      </c>
    </row>
    <row r="9930">
      <c r="F9930" s="8" t="n"/>
      <c r="G9930" s="8">
        <f>IF(E9930="","",E9930*F9930)</f>
        <v/>
      </c>
      <c r="H9930" s="8">
        <f>IF(G9930="","",G9930-I9930)</f>
        <v/>
      </c>
      <c r="I9930" s="8">
        <f>IF(D9930="","",VLOOKUP(D9930, RECETTES!B:G, 6, FALSE)*E9930)</f>
        <v/>
      </c>
      <c r="J9930" s="8">
        <f>IF(G9930="","",G9930*0.20)</f>
        <v/>
      </c>
      <c r="K9930" s="8">
        <f>IF(G9930="","",G9930+J9930)</f>
        <v/>
      </c>
    </row>
    <row r="9931">
      <c r="F9931" s="8" t="n"/>
      <c r="G9931" s="8">
        <f>IF(E9931="","",E9931*F9931)</f>
        <v/>
      </c>
      <c r="H9931" s="8">
        <f>IF(G9931="","",G9931-I9931)</f>
        <v/>
      </c>
      <c r="I9931" s="8">
        <f>IF(D9931="","",VLOOKUP(D9931, RECETTES!B:G, 6, FALSE)*E9931)</f>
        <v/>
      </c>
      <c r="J9931" s="8">
        <f>IF(G9931="","",G9931*0.20)</f>
        <v/>
      </c>
      <c r="K9931" s="8">
        <f>IF(G9931="","",G9931+J9931)</f>
        <v/>
      </c>
    </row>
    <row r="9932">
      <c r="F9932" s="8" t="n"/>
      <c r="G9932" s="8">
        <f>IF(E9932="","",E9932*F9932)</f>
        <v/>
      </c>
      <c r="H9932" s="8">
        <f>IF(G9932="","",G9932-I9932)</f>
        <v/>
      </c>
      <c r="I9932" s="8">
        <f>IF(D9932="","",VLOOKUP(D9932, RECETTES!B:G, 6, FALSE)*E9932)</f>
        <v/>
      </c>
      <c r="J9932" s="8">
        <f>IF(G9932="","",G9932*0.20)</f>
        <v/>
      </c>
      <c r="K9932" s="8">
        <f>IF(G9932="","",G9932+J9932)</f>
        <v/>
      </c>
    </row>
    <row r="9933">
      <c r="F9933" s="8" t="n"/>
      <c r="G9933" s="8">
        <f>IF(E9933="","",E9933*F9933)</f>
        <v/>
      </c>
      <c r="H9933" s="8">
        <f>IF(G9933="","",G9933-I9933)</f>
        <v/>
      </c>
      <c r="I9933" s="8">
        <f>IF(D9933="","",VLOOKUP(D9933, RECETTES!B:G, 6, FALSE)*E9933)</f>
        <v/>
      </c>
      <c r="J9933" s="8">
        <f>IF(G9933="","",G9933*0.20)</f>
        <v/>
      </c>
      <c r="K9933" s="8">
        <f>IF(G9933="","",G9933+J9933)</f>
        <v/>
      </c>
    </row>
    <row r="9934">
      <c r="F9934" s="8" t="n"/>
      <c r="G9934" s="8">
        <f>IF(E9934="","",E9934*F9934)</f>
        <v/>
      </c>
      <c r="H9934" s="8">
        <f>IF(G9934="","",G9934-I9934)</f>
        <v/>
      </c>
      <c r="I9934" s="8">
        <f>IF(D9934="","",VLOOKUP(D9934, RECETTES!B:G, 6, FALSE)*E9934)</f>
        <v/>
      </c>
      <c r="J9934" s="8">
        <f>IF(G9934="","",G9934*0.20)</f>
        <v/>
      </c>
      <c r="K9934" s="8">
        <f>IF(G9934="","",G9934+J9934)</f>
        <v/>
      </c>
    </row>
    <row r="9935">
      <c r="F9935" s="8" t="n"/>
      <c r="G9935" s="8">
        <f>IF(E9935="","",E9935*F9935)</f>
        <v/>
      </c>
      <c r="H9935" s="8">
        <f>IF(G9935="","",G9935-I9935)</f>
        <v/>
      </c>
      <c r="I9935" s="8">
        <f>IF(D9935="","",VLOOKUP(D9935, RECETTES!B:G, 6, FALSE)*E9935)</f>
        <v/>
      </c>
      <c r="J9935" s="8">
        <f>IF(G9935="","",G9935*0.20)</f>
        <v/>
      </c>
      <c r="K9935" s="8">
        <f>IF(G9935="","",G9935+J9935)</f>
        <v/>
      </c>
    </row>
    <row r="9936">
      <c r="F9936" s="8" t="n"/>
      <c r="G9936" s="8">
        <f>IF(E9936="","",E9936*F9936)</f>
        <v/>
      </c>
      <c r="H9936" s="8">
        <f>IF(G9936="","",G9936-I9936)</f>
        <v/>
      </c>
      <c r="I9936" s="8">
        <f>IF(D9936="","",VLOOKUP(D9936, RECETTES!B:G, 6, FALSE)*E9936)</f>
        <v/>
      </c>
      <c r="J9936" s="8">
        <f>IF(G9936="","",G9936*0.20)</f>
        <v/>
      </c>
      <c r="K9936" s="8">
        <f>IF(G9936="","",G9936+J9936)</f>
        <v/>
      </c>
    </row>
    <row r="9937">
      <c r="F9937" s="8" t="n"/>
      <c r="G9937" s="8">
        <f>IF(E9937="","",E9937*F9937)</f>
        <v/>
      </c>
      <c r="H9937" s="8">
        <f>IF(G9937="","",G9937-I9937)</f>
        <v/>
      </c>
      <c r="I9937" s="8">
        <f>IF(D9937="","",VLOOKUP(D9937, RECETTES!B:G, 6, FALSE)*E9937)</f>
        <v/>
      </c>
      <c r="J9937" s="8">
        <f>IF(G9937="","",G9937*0.20)</f>
        <v/>
      </c>
      <c r="K9937" s="8">
        <f>IF(G9937="","",G9937+J9937)</f>
        <v/>
      </c>
    </row>
    <row r="9938">
      <c r="F9938" s="8" t="n"/>
      <c r="G9938" s="8">
        <f>IF(E9938="","",E9938*F9938)</f>
        <v/>
      </c>
      <c r="H9938" s="8">
        <f>IF(G9938="","",G9938-I9938)</f>
        <v/>
      </c>
      <c r="I9938" s="8">
        <f>IF(D9938="","",VLOOKUP(D9938, RECETTES!B:G, 6, FALSE)*E9938)</f>
        <v/>
      </c>
      <c r="J9938" s="8">
        <f>IF(G9938="","",G9938*0.20)</f>
        <v/>
      </c>
      <c r="K9938" s="8">
        <f>IF(G9938="","",G9938+J9938)</f>
        <v/>
      </c>
    </row>
    <row r="9939">
      <c r="F9939" s="8" t="n"/>
      <c r="G9939" s="8">
        <f>IF(E9939="","",E9939*F9939)</f>
        <v/>
      </c>
      <c r="H9939" s="8">
        <f>IF(G9939="","",G9939-I9939)</f>
        <v/>
      </c>
      <c r="I9939" s="8">
        <f>IF(D9939="","",VLOOKUP(D9939, RECETTES!B:G, 6, FALSE)*E9939)</f>
        <v/>
      </c>
      <c r="J9939" s="8">
        <f>IF(G9939="","",G9939*0.20)</f>
        <v/>
      </c>
      <c r="K9939" s="8">
        <f>IF(G9939="","",G9939+J9939)</f>
        <v/>
      </c>
    </row>
    <row r="9940">
      <c r="F9940" s="8" t="n"/>
      <c r="G9940" s="8">
        <f>IF(E9940="","",E9940*F9940)</f>
        <v/>
      </c>
      <c r="H9940" s="8">
        <f>IF(G9940="","",G9940-I9940)</f>
        <v/>
      </c>
      <c r="I9940" s="8">
        <f>IF(D9940="","",VLOOKUP(D9940, RECETTES!B:G, 6, FALSE)*E9940)</f>
        <v/>
      </c>
      <c r="J9940" s="8">
        <f>IF(G9940="","",G9940*0.20)</f>
        <v/>
      </c>
      <c r="K9940" s="8">
        <f>IF(G9940="","",G9940+J9940)</f>
        <v/>
      </c>
    </row>
    <row r="9941">
      <c r="F9941" s="8" t="n"/>
      <c r="G9941" s="8">
        <f>IF(E9941="","",E9941*F9941)</f>
        <v/>
      </c>
      <c r="H9941" s="8">
        <f>IF(G9941="","",G9941-I9941)</f>
        <v/>
      </c>
      <c r="I9941" s="8">
        <f>IF(D9941="","",VLOOKUP(D9941, RECETTES!B:G, 6, FALSE)*E9941)</f>
        <v/>
      </c>
      <c r="J9941" s="8">
        <f>IF(G9941="","",G9941*0.20)</f>
        <v/>
      </c>
      <c r="K9941" s="8">
        <f>IF(G9941="","",G9941+J9941)</f>
        <v/>
      </c>
    </row>
    <row r="9942">
      <c r="F9942" s="8" t="n"/>
      <c r="G9942" s="8">
        <f>IF(E9942="","",E9942*F9942)</f>
        <v/>
      </c>
      <c r="H9942" s="8">
        <f>IF(G9942="","",G9942-I9942)</f>
        <v/>
      </c>
      <c r="I9942" s="8">
        <f>IF(D9942="","",VLOOKUP(D9942, RECETTES!B:G, 6, FALSE)*E9942)</f>
        <v/>
      </c>
      <c r="J9942" s="8">
        <f>IF(G9942="","",G9942*0.20)</f>
        <v/>
      </c>
      <c r="K9942" s="8">
        <f>IF(G9942="","",G9942+J9942)</f>
        <v/>
      </c>
    </row>
    <row r="9943">
      <c r="F9943" s="8" t="n"/>
      <c r="G9943" s="8">
        <f>IF(E9943="","",E9943*F9943)</f>
        <v/>
      </c>
      <c r="H9943" s="8">
        <f>IF(G9943="","",G9943-I9943)</f>
        <v/>
      </c>
      <c r="I9943" s="8">
        <f>IF(D9943="","",VLOOKUP(D9943, RECETTES!B:G, 6, FALSE)*E9943)</f>
        <v/>
      </c>
      <c r="J9943" s="8">
        <f>IF(G9943="","",G9943*0.20)</f>
        <v/>
      </c>
      <c r="K9943" s="8">
        <f>IF(G9943="","",G9943+J9943)</f>
        <v/>
      </c>
    </row>
    <row r="9944">
      <c r="F9944" s="8" t="n"/>
      <c r="G9944" s="8">
        <f>IF(E9944="","",E9944*F9944)</f>
        <v/>
      </c>
      <c r="H9944" s="8">
        <f>IF(G9944="","",G9944-I9944)</f>
        <v/>
      </c>
      <c r="I9944" s="8">
        <f>IF(D9944="","",VLOOKUP(D9944, RECETTES!B:G, 6, FALSE)*E9944)</f>
        <v/>
      </c>
      <c r="J9944" s="8">
        <f>IF(G9944="","",G9944*0.20)</f>
        <v/>
      </c>
      <c r="K9944" s="8">
        <f>IF(G9944="","",G9944+J9944)</f>
        <v/>
      </c>
    </row>
    <row r="9945">
      <c r="F9945" s="8" t="n"/>
      <c r="G9945" s="8">
        <f>IF(E9945="","",E9945*F9945)</f>
        <v/>
      </c>
      <c r="H9945" s="8">
        <f>IF(G9945="","",G9945-I9945)</f>
        <v/>
      </c>
      <c r="I9945" s="8">
        <f>IF(D9945="","",VLOOKUP(D9945, RECETTES!B:G, 6, FALSE)*E9945)</f>
        <v/>
      </c>
      <c r="J9945" s="8">
        <f>IF(G9945="","",G9945*0.20)</f>
        <v/>
      </c>
      <c r="K9945" s="8">
        <f>IF(G9945="","",G9945+J9945)</f>
        <v/>
      </c>
    </row>
    <row r="9946">
      <c r="F9946" s="8" t="n"/>
      <c r="G9946" s="8">
        <f>IF(E9946="","",E9946*F9946)</f>
        <v/>
      </c>
      <c r="H9946" s="8">
        <f>IF(G9946="","",G9946-I9946)</f>
        <v/>
      </c>
      <c r="I9946" s="8">
        <f>IF(D9946="","",VLOOKUP(D9946, RECETTES!B:G, 6, FALSE)*E9946)</f>
        <v/>
      </c>
      <c r="J9946" s="8">
        <f>IF(G9946="","",G9946*0.20)</f>
        <v/>
      </c>
      <c r="K9946" s="8">
        <f>IF(G9946="","",G9946+J9946)</f>
        <v/>
      </c>
    </row>
    <row r="9947">
      <c r="F9947" s="8" t="n"/>
      <c r="G9947" s="8">
        <f>IF(E9947="","",E9947*F9947)</f>
        <v/>
      </c>
      <c r="H9947" s="8">
        <f>IF(G9947="","",G9947-I9947)</f>
        <v/>
      </c>
      <c r="I9947" s="8">
        <f>IF(D9947="","",VLOOKUP(D9947, RECETTES!B:G, 6, FALSE)*E9947)</f>
        <v/>
      </c>
      <c r="J9947" s="8">
        <f>IF(G9947="","",G9947*0.20)</f>
        <v/>
      </c>
      <c r="K9947" s="8">
        <f>IF(G9947="","",G9947+J9947)</f>
        <v/>
      </c>
    </row>
    <row r="9948">
      <c r="F9948" s="8" t="n"/>
      <c r="G9948" s="8">
        <f>IF(E9948="","",E9948*F9948)</f>
        <v/>
      </c>
      <c r="H9948" s="8">
        <f>IF(G9948="","",G9948-I9948)</f>
        <v/>
      </c>
      <c r="I9948" s="8">
        <f>IF(D9948="","",VLOOKUP(D9948, RECETTES!B:G, 6, FALSE)*E9948)</f>
        <v/>
      </c>
      <c r="J9948" s="8">
        <f>IF(G9948="","",G9948*0.20)</f>
        <v/>
      </c>
      <c r="K9948" s="8">
        <f>IF(G9948="","",G9948+J9948)</f>
        <v/>
      </c>
    </row>
    <row r="9949">
      <c r="F9949" s="8" t="n"/>
      <c r="G9949" s="8">
        <f>IF(E9949="","",E9949*F9949)</f>
        <v/>
      </c>
      <c r="H9949" s="8">
        <f>IF(G9949="","",G9949-I9949)</f>
        <v/>
      </c>
      <c r="I9949" s="8">
        <f>IF(D9949="","",VLOOKUP(D9949, RECETTES!B:G, 6, FALSE)*E9949)</f>
        <v/>
      </c>
      <c r="J9949" s="8">
        <f>IF(G9949="","",G9949*0.20)</f>
        <v/>
      </c>
      <c r="K9949" s="8">
        <f>IF(G9949="","",G9949+J9949)</f>
        <v/>
      </c>
    </row>
    <row r="9950">
      <c r="F9950" s="8" t="n"/>
      <c r="G9950" s="8">
        <f>IF(E9950="","",E9950*F9950)</f>
        <v/>
      </c>
      <c r="H9950" s="8">
        <f>IF(G9950="","",G9950-I9950)</f>
        <v/>
      </c>
      <c r="I9950" s="8">
        <f>IF(D9950="","",VLOOKUP(D9950, RECETTES!B:G, 6, FALSE)*E9950)</f>
        <v/>
      </c>
      <c r="J9950" s="8">
        <f>IF(G9950="","",G9950*0.20)</f>
        <v/>
      </c>
      <c r="K9950" s="8">
        <f>IF(G9950="","",G9950+J9950)</f>
        <v/>
      </c>
    </row>
    <row r="9951">
      <c r="F9951" s="8" t="n"/>
      <c r="G9951" s="8">
        <f>IF(E9951="","",E9951*F9951)</f>
        <v/>
      </c>
      <c r="H9951" s="8">
        <f>IF(G9951="","",G9951-I9951)</f>
        <v/>
      </c>
      <c r="I9951" s="8">
        <f>IF(D9951="","",VLOOKUP(D9951, RECETTES!B:G, 6, FALSE)*E9951)</f>
        <v/>
      </c>
      <c r="J9951" s="8">
        <f>IF(G9951="","",G9951*0.20)</f>
        <v/>
      </c>
      <c r="K9951" s="8">
        <f>IF(G9951="","",G9951+J9951)</f>
        <v/>
      </c>
    </row>
    <row r="9952">
      <c r="F9952" s="8" t="n"/>
      <c r="G9952" s="8">
        <f>IF(E9952="","",E9952*F9952)</f>
        <v/>
      </c>
      <c r="H9952" s="8">
        <f>IF(G9952="","",G9952-I9952)</f>
        <v/>
      </c>
      <c r="I9952" s="8">
        <f>IF(D9952="","",VLOOKUP(D9952, RECETTES!B:G, 6, FALSE)*E9952)</f>
        <v/>
      </c>
      <c r="J9952" s="8">
        <f>IF(G9952="","",G9952*0.20)</f>
        <v/>
      </c>
      <c r="K9952" s="8">
        <f>IF(G9952="","",G9952+J9952)</f>
        <v/>
      </c>
    </row>
    <row r="9953">
      <c r="F9953" s="8" t="n"/>
      <c r="G9953" s="8">
        <f>IF(E9953="","",E9953*F9953)</f>
        <v/>
      </c>
      <c r="H9953" s="8">
        <f>IF(G9953="","",G9953-I9953)</f>
        <v/>
      </c>
      <c r="I9953" s="8">
        <f>IF(D9953="","",VLOOKUP(D9953, RECETTES!B:G, 6, FALSE)*E9953)</f>
        <v/>
      </c>
      <c r="J9953" s="8">
        <f>IF(G9953="","",G9953*0.20)</f>
        <v/>
      </c>
      <c r="K9953" s="8">
        <f>IF(G9953="","",G9953+J9953)</f>
        <v/>
      </c>
    </row>
    <row r="9954">
      <c r="F9954" s="8" t="n"/>
      <c r="G9954" s="8">
        <f>IF(E9954="","",E9954*F9954)</f>
        <v/>
      </c>
      <c r="H9954" s="8">
        <f>IF(G9954="","",G9954-I9954)</f>
        <v/>
      </c>
      <c r="I9954" s="8">
        <f>IF(D9954="","",VLOOKUP(D9954, RECETTES!B:G, 6, FALSE)*E9954)</f>
        <v/>
      </c>
      <c r="J9954" s="8">
        <f>IF(G9954="","",G9954*0.20)</f>
        <v/>
      </c>
      <c r="K9954" s="8">
        <f>IF(G9954="","",G9954+J9954)</f>
        <v/>
      </c>
    </row>
    <row r="9955">
      <c r="F9955" s="8" t="n"/>
      <c r="G9955" s="8">
        <f>IF(E9955="","",E9955*F9955)</f>
        <v/>
      </c>
      <c r="H9955" s="8">
        <f>IF(G9955="","",G9955-I9955)</f>
        <v/>
      </c>
      <c r="I9955" s="8">
        <f>IF(D9955="","",VLOOKUP(D9955, RECETTES!B:G, 6, FALSE)*E9955)</f>
        <v/>
      </c>
      <c r="J9955" s="8">
        <f>IF(G9955="","",G9955*0.20)</f>
        <v/>
      </c>
      <c r="K9955" s="8">
        <f>IF(G9955="","",G9955+J9955)</f>
        <v/>
      </c>
    </row>
    <row r="9956">
      <c r="F9956" s="8" t="n"/>
      <c r="G9956" s="8">
        <f>IF(E9956="","",E9956*F9956)</f>
        <v/>
      </c>
      <c r="H9956" s="8">
        <f>IF(G9956="","",G9956-I9956)</f>
        <v/>
      </c>
      <c r="I9956" s="8">
        <f>IF(D9956="","",VLOOKUP(D9956, RECETTES!B:G, 6, FALSE)*E9956)</f>
        <v/>
      </c>
      <c r="J9956" s="8">
        <f>IF(G9956="","",G9956*0.20)</f>
        <v/>
      </c>
      <c r="K9956" s="8">
        <f>IF(G9956="","",G9956+J9956)</f>
        <v/>
      </c>
    </row>
    <row r="9957">
      <c r="F9957" s="8" t="n"/>
      <c r="G9957" s="8">
        <f>IF(E9957="","",E9957*F9957)</f>
        <v/>
      </c>
      <c r="H9957" s="8">
        <f>IF(G9957="","",G9957-I9957)</f>
        <v/>
      </c>
      <c r="I9957" s="8">
        <f>IF(D9957="","",VLOOKUP(D9957, RECETTES!B:G, 6, FALSE)*E9957)</f>
        <v/>
      </c>
      <c r="J9957" s="8">
        <f>IF(G9957="","",G9957*0.20)</f>
        <v/>
      </c>
      <c r="K9957" s="8">
        <f>IF(G9957="","",G9957+J9957)</f>
        <v/>
      </c>
    </row>
    <row r="9958">
      <c r="F9958" s="8" t="n"/>
      <c r="G9958" s="8">
        <f>IF(E9958="","",E9958*F9958)</f>
        <v/>
      </c>
      <c r="H9958" s="8">
        <f>IF(G9958="","",G9958-I9958)</f>
        <v/>
      </c>
      <c r="I9958" s="8">
        <f>IF(D9958="","",VLOOKUP(D9958, RECETTES!B:G, 6, FALSE)*E9958)</f>
        <v/>
      </c>
      <c r="J9958" s="8">
        <f>IF(G9958="","",G9958*0.20)</f>
        <v/>
      </c>
      <c r="K9958" s="8">
        <f>IF(G9958="","",G9958+J9958)</f>
        <v/>
      </c>
    </row>
    <row r="9959">
      <c r="F9959" s="8" t="n"/>
      <c r="G9959" s="8">
        <f>IF(E9959="","",E9959*F9959)</f>
        <v/>
      </c>
      <c r="H9959" s="8">
        <f>IF(G9959="","",G9959-I9959)</f>
        <v/>
      </c>
      <c r="I9959" s="8">
        <f>IF(D9959="","",VLOOKUP(D9959, RECETTES!B:G, 6, FALSE)*E9959)</f>
        <v/>
      </c>
      <c r="J9959" s="8">
        <f>IF(G9959="","",G9959*0.20)</f>
        <v/>
      </c>
      <c r="K9959" s="8">
        <f>IF(G9959="","",G9959+J9959)</f>
        <v/>
      </c>
    </row>
    <row r="9960">
      <c r="F9960" s="8" t="n"/>
      <c r="G9960" s="8">
        <f>IF(E9960="","",E9960*F9960)</f>
        <v/>
      </c>
      <c r="H9960" s="8">
        <f>IF(G9960="","",G9960-I9960)</f>
        <v/>
      </c>
      <c r="I9960" s="8">
        <f>IF(D9960="","",VLOOKUP(D9960, RECETTES!B:G, 6, FALSE)*E9960)</f>
        <v/>
      </c>
      <c r="J9960" s="8">
        <f>IF(G9960="","",G9960*0.20)</f>
        <v/>
      </c>
      <c r="K9960" s="8">
        <f>IF(G9960="","",G9960+J9960)</f>
        <v/>
      </c>
    </row>
    <row r="9961">
      <c r="F9961" s="8" t="n"/>
      <c r="G9961" s="8">
        <f>IF(E9961="","",E9961*F9961)</f>
        <v/>
      </c>
      <c r="H9961" s="8">
        <f>IF(G9961="","",G9961-I9961)</f>
        <v/>
      </c>
      <c r="I9961" s="8">
        <f>IF(D9961="","",VLOOKUP(D9961, RECETTES!B:G, 6, FALSE)*E9961)</f>
        <v/>
      </c>
      <c r="J9961" s="8">
        <f>IF(G9961="","",G9961*0.20)</f>
        <v/>
      </c>
      <c r="K9961" s="8">
        <f>IF(G9961="","",G9961+J9961)</f>
        <v/>
      </c>
    </row>
    <row r="9962">
      <c r="F9962" s="8" t="n"/>
      <c r="G9962" s="8">
        <f>IF(E9962="","",E9962*F9962)</f>
        <v/>
      </c>
      <c r="H9962" s="8">
        <f>IF(G9962="","",G9962-I9962)</f>
        <v/>
      </c>
      <c r="I9962" s="8">
        <f>IF(D9962="","",VLOOKUP(D9962, RECETTES!B:G, 6, FALSE)*E9962)</f>
        <v/>
      </c>
      <c r="J9962" s="8">
        <f>IF(G9962="","",G9962*0.20)</f>
        <v/>
      </c>
      <c r="K9962" s="8">
        <f>IF(G9962="","",G9962+J9962)</f>
        <v/>
      </c>
    </row>
    <row r="9963">
      <c r="F9963" s="8" t="n"/>
      <c r="G9963" s="8">
        <f>IF(E9963="","",E9963*F9963)</f>
        <v/>
      </c>
      <c r="H9963" s="8">
        <f>IF(G9963="","",G9963-I9963)</f>
        <v/>
      </c>
      <c r="I9963" s="8">
        <f>IF(D9963="","",VLOOKUP(D9963, RECETTES!B:G, 6, FALSE)*E9963)</f>
        <v/>
      </c>
      <c r="J9963" s="8">
        <f>IF(G9963="","",G9963*0.20)</f>
        <v/>
      </c>
      <c r="K9963" s="8">
        <f>IF(G9963="","",G9963+J9963)</f>
        <v/>
      </c>
    </row>
    <row r="9964">
      <c r="F9964" s="8" t="n"/>
      <c r="G9964" s="8">
        <f>IF(E9964="","",E9964*F9964)</f>
        <v/>
      </c>
      <c r="H9964" s="8">
        <f>IF(G9964="","",G9964-I9964)</f>
        <v/>
      </c>
      <c r="I9964" s="8">
        <f>IF(D9964="","",VLOOKUP(D9964, RECETTES!B:G, 6, FALSE)*E9964)</f>
        <v/>
      </c>
      <c r="J9964" s="8">
        <f>IF(G9964="","",G9964*0.20)</f>
        <v/>
      </c>
      <c r="K9964" s="8">
        <f>IF(G9964="","",G9964+J9964)</f>
        <v/>
      </c>
    </row>
    <row r="9965">
      <c r="F9965" s="8" t="n"/>
      <c r="G9965" s="8">
        <f>IF(E9965="","",E9965*F9965)</f>
        <v/>
      </c>
      <c r="H9965" s="8">
        <f>IF(G9965="","",G9965-I9965)</f>
        <v/>
      </c>
      <c r="I9965" s="8">
        <f>IF(D9965="","",VLOOKUP(D9965, RECETTES!B:G, 6, FALSE)*E9965)</f>
        <v/>
      </c>
      <c r="J9965" s="8">
        <f>IF(G9965="","",G9965*0.20)</f>
        <v/>
      </c>
      <c r="K9965" s="8">
        <f>IF(G9965="","",G9965+J9965)</f>
        <v/>
      </c>
    </row>
    <row r="9966">
      <c r="F9966" s="8" t="n"/>
      <c r="G9966" s="8">
        <f>IF(E9966="","",E9966*F9966)</f>
        <v/>
      </c>
      <c r="H9966" s="8">
        <f>IF(G9966="","",G9966-I9966)</f>
        <v/>
      </c>
      <c r="I9966" s="8">
        <f>IF(D9966="","",VLOOKUP(D9966, RECETTES!B:G, 6, FALSE)*E9966)</f>
        <v/>
      </c>
      <c r="J9966" s="8">
        <f>IF(G9966="","",G9966*0.20)</f>
        <v/>
      </c>
      <c r="K9966" s="8">
        <f>IF(G9966="","",G9966+J9966)</f>
        <v/>
      </c>
    </row>
    <row r="9967">
      <c r="F9967" s="8" t="n"/>
      <c r="G9967" s="8">
        <f>IF(E9967="","",E9967*F9967)</f>
        <v/>
      </c>
      <c r="H9967" s="8">
        <f>IF(G9967="","",G9967-I9967)</f>
        <v/>
      </c>
      <c r="I9967" s="8">
        <f>IF(D9967="","",VLOOKUP(D9967, RECETTES!B:G, 6, FALSE)*E9967)</f>
        <v/>
      </c>
      <c r="J9967" s="8">
        <f>IF(G9967="","",G9967*0.20)</f>
        <v/>
      </c>
      <c r="K9967" s="8">
        <f>IF(G9967="","",G9967+J9967)</f>
        <v/>
      </c>
    </row>
    <row r="9968">
      <c r="F9968" s="8" t="n"/>
      <c r="G9968" s="8">
        <f>IF(E9968="","",E9968*F9968)</f>
        <v/>
      </c>
      <c r="H9968" s="8">
        <f>IF(G9968="","",G9968-I9968)</f>
        <v/>
      </c>
      <c r="I9968" s="8">
        <f>IF(D9968="","",VLOOKUP(D9968, RECETTES!B:G, 6, FALSE)*E9968)</f>
        <v/>
      </c>
      <c r="J9968" s="8">
        <f>IF(G9968="","",G9968*0.20)</f>
        <v/>
      </c>
      <c r="K9968" s="8">
        <f>IF(G9968="","",G9968+J9968)</f>
        <v/>
      </c>
    </row>
    <row r="9969">
      <c r="F9969" s="8" t="n"/>
      <c r="G9969" s="8">
        <f>IF(E9969="","",E9969*F9969)</f>
        <v/>
      </c>
      <c r="H9969" s="8">
        <f>IF(G9969="","",G9969-I9969)</f>
        <v/>
      </c>
      <c r="I9969" s="8">
        <f>IF(D9969="","",VLOOKUP(D9969, RECETTES!B:G, 6, FALSE)*E9969)</f>
        <v/>
      </c>
      <c r="J9969" s="8">
        <f>IF(G9969="","",G9969*0.20)</f>
        <v/>
      </c>
      <c r="K9969" s="8">
        <f>IF(G9969="","",G9969+J9969)</f>
        <v/>
      </c>
    </row>
    <row r="9970">
      <c r="F9970" s="8" t="n"/>
      <c r="G9970" s="8">
        <f>IF(E9970="","",E9970*F9970)</f>
        <v/>
      </c>
      <c r="H9970" s="8">
        <f>IF(G9970="","",G9970-I9970)</f>
        <v/>
      </c>
      <c r="I9970" s="8">
        <f>IF(D9970="","",VLOOKUP(D9970, RECETTES!B:G, 6, FALSE)*E9970)</f>
        <v/>
      </c>
      <c r="J9970" s="8">
        <f>IF(G9970="","",G9970*0.20)</f>
        <v/>
      </c>
      <c r="K9970" s="8">
        <f>IF(G9970="","",G9970+J9970)</f>
        <v/>
      </c>
    </row>
    <row r="9971">
      <c r="F9971" s="8" t="n"/>
      <c r="G9971" s="8">
        <f>IF(E9971="","",E9971*F9971)</f>
        <v/>
      </c>
      <c r="H9971" s="8">
        <f>IF(G9971="","",G9971-I9971)</f>
        <v/>
      </c>
      <c r="I9971" s="8">
        <f>IF(D9971="","",VLOOKUP(D9971, RECETTES!B:G, 6, FALSE)*E9971)</f>
        <v/>
      </c>
      <c r="J9971" s="8">
        <f>IF(G9971="","",G9971*0.20)</f>
        <v/>
      </c>
      <c r="K9971" s="8">
        <f>IF(G9971="","",G9971+J9971)</f>
        <v/>
      </c>
    </row>
    <row r="9972">
      <c r="F9972" s="8" t="n"/>
      <c r="G9972" s="8">
        <f>IF(E9972="","",E9972*F9972)</f>
        <v/>
      </c>
      <c r="H9972" s="8">
        <f>IF(G9972="","",G9972-I9972)</f>
        <v/>
      </c>
      <c r="I9972" s="8">
        <f>IF(D9972="","",VLOOKUP(D9972, RECETTES!B:G, 6, FALSE)*E9972)</f>
        <v/>
      </c>
      <c r="J9972" s="8">
        <f>IF(G9972="","",G9972*0.20)</f>
        <v/>
      </c>
      <c r="K9972" s="8">
        <f>IF(G9972="","",G9972+J9972)</f>
        <v/>
      </c>
    </row>
    <row r="9973">
      <c r="F9973" s="8" t="n"/>
      <c r="G9973" s="8">
        <f>IF(E9973="","",E9973*F9973)</f>
        <v/>
      </c>
      <c r="H9973" s="8">
        <f>IF(G9973="","",G9973-I9973)</f>
        <v/>
      </c>
      <c r="I9973" s="8">
        <f>IF(D9973="","",VLOOKUP(D9973, RECETTES!B:G, 6, FALSE)*E9973)</f>
        <v/>
      </c>
      <c r="J9973" s="8">
        <f>IF(G9973="","",G9973*0.20)</f>
        <v/>
      </c>
      <c r="K9973" s="8">
        <f>IF(G9973="","",G9973+J9973)</f>
        <v/>
      </c>
    </row>
    <row r="9974">
      <c r="F9974" s="8" t="n"/>
      <c r="G9974" s="8">
        <f>IF(E9974="","",E9974*F9974)</f>
        <v/>
      </c>
      <c r="H9974" s="8">
        <f>IF(G9974="","",G9974-I9974)</f>
        <v/>
      </c>
      <c r="I9974" s="8">
        <f>IF(D9974="","",VLOOKUP(D9974, RECETTES!B:G, 6, FALSE)*E9974)</f>
        <v/>
      </c>
      <c r="J9974" s="8">
        <f>IF(G9974="","",G9974*0.20)</f>
        <v/>
      </c>
      <c r="K9974" s="8">
        <f>IF(G9974="","",G9974+J9974)</f>
        <v/>
      </c>
    </row>
    <row r="9975">
      <c r="F9975" s="8" t="n"/>
      <c r="G9975" s="8">
        <f>IF(E9975="","",E9975*F9975)</f>
        <v/>
      </c>
      <c r="H9975" s="8">
        <f>IF(G9975="","",G9975-I9975)</f>
        <v/>
      </c>
      <c r="I9975" s="8">
        <f>IF(D9975="","",VLOOKUP(D9975, RECETTES!B:G, 6, FALSE)*E9975)</f>
        <v/>
      </c>
      <c r="J9975" s="8">
        <f>IF(G9975="","",G9975*0.20)</f>
        <v/>
      </c>
      <c r="K9975" s="8">
        <f>IF(G9975="","",G9975+J9975)</f>
        <v/>
      </c>
    </row>
    <row r="9976">
      <c r="F9976" s="8" t="n"/>
      <c r="G9976" s="8">
        <f>IF(E9976="","",E9976*F9976)</f>
        <v/>
      </c>
      <c r="H9976" s="8">
        <f>IF(G9976="","",G9976-I9976)</f>
        <v/>
      </c>
      <c r="I9976" s="8">
        <f>IF(D9976="","",VLOOKUP(D9976, RECETTES!B:G, 6, FALSE)*E9976)</f>
        <v/>
      </c>
      <c r="J9976" s="8">
        <f>IF(G9976="","",G9976*0.20)</f>
        <v/>
      </c>
      <c r="K9976" s="8">
        <f>IF(G9976="","",G9976+J9976)</f>
        <v/>
      </c>
    </row>
    <row r="9977">
      <c r="F9977" s="8" t="n"/>
      <c r="G9977" s="8">
        <f>IF(E9977="","",E9977*F9977)</f>
        <v/>
      </c>
      <c r="H9977" s="8">
        <f>IF(G9977="","",G9977-I9977)</f>
        <v/>
      </c>
      <c r="I9977" s="8">
        <f>IF(D9977="","",VLOOKUP(D9977, RECETTES!B:G, 6, FALSE)*E9977)</f>
        <v/>
      </c>
      <c r="J9977" s="8">
        <f>IF(G9977="","",G9977*0.20)</f>
        <v/>
      </c>
      <c r="K9977" s="8">
        <f>IF(G9977="","",G9977+J9977)</f>
        <v/>
      </c>
    </row>
    <row r="9978">
      <c r="F9978" s="8" t="n"/>
      <c r="G9978" s="8">
        <f>IF(E9978="","",E9978*F9978)</f>
        <v/>
      </c>
      <c r="H9978" s="8">
        <f>IF(G9978="","",G9978-I9978)</f>
        <v/>
      </c>
      <c r="I9978" s="8">
        <f>IF(D9978="","",VLOOKUP(D9978, RECETTES!B:G, 6, FALSE)*E9978)</f>
        <v/>
      </c>
      <c r="J9978" s="8">
        <f>IF(G9978="","",G9978*0.20)</f>
        <v/>
      </c>
      <c r="K9978" s="8">
        <f>IF(G9978="","",G9978+J9978)</f>
        <v/>
      </c>
    </row>
    <row r="9979">
      <c r="F9979" s="8" t="n"/>
      <c r="G9979" s="8">
        <f>IF(E9979="","",E9979*F9979)</f>
        <v/>
      </c>
      <c r="H9979" s="8">
        <f>IF(G9979="","",G9979-I9979)</f>
        <v/>
      </c>
      <c r="I9979" s="8">
        <f>IF(D9979="","",VLOOKUP(D9979, RECETTES!B:G, 6, FALSE)*E9979)</f>
        <v/>
      </c>
      <c r="J9979" s="8">
        <f>IF(G9979="","",G9979*0.20)</f>
        <v/>
      </c>
      <c r="K9979" s="8">
        <f>IF(G9979="","",G9979+J9979)</f>
        <v/>
      </c>
    </row>
    <row r="9980">
      <c r="F9980" s="8" t="n"/>
      <c r="G9980" s="8">
        <f>IF(E9980="","",E9980*F9980)</f>
        <v/>
      </c>
      <c r="H9980" s="8">
        <f>IF(G9980="","",G9980-I9980)</f>
        <v/>
      </c>
      <c r="I9980" s="8">
        <f>IF(D9980="","",VLOOKUP(D9980, RECETTES!B:G, 6, FALSE)*E9980)</f>
        <v/>
      </c>
      <c r="J9980" s="8">
        <f>IF(G9980="","",G9980*0.20)</f>
        <v/>
      </c>
      <c r="K9980" s="8">
        <f>IF(G9980="","",G9980+J9980)</f>
        <v/>
      </c>
    </row>
    <row r="9981">
      <c r="F9981" s="8" t="n"/>
      <c r="G9981" s="8">
        <f>IF(E9981="","",E9981*F9981)</f>
        <v/>
      </c>
      <c r="H9981" s="8">
        <f>IF(G9981="","",G9981-I9981)</f>
        <v/>
      </c>
      <c r="I9981" s="8">
        <f>IF(D9981="","",VLOOKUP(D9981, RECETTES!B:G, 6, FALSE)*E9981)</f>
        <v/>
      </c>
      <c r="J9981" s="8">
        <f>IF(G9981="","",G9981*0.20)</f>
        <v/>
      </c>
      <c r="K9981" s="8">
        <f>IF(G9981="","",G9981+J9981)</f>
        <v/>
      </c>
    </row>
    <row r="9982">
      <c r="F9982" s="8" t="n"/>
      <c r="G9982" s="8">
        <f>IF(E9982="","",E9982*F9982)</f>
        <v/>
      </c>
      <c r="H9982" s="8">
        <f>IF(G9982="","",G9982-I9982)</f>
        <v/>
      </c>
      <c r="I9982" s="8">
        <f>IF(D9982="","",VLOOKUP(D9982, RECETTES!B:G, 6, FALSE)*E9982)</f>
        <v/>
      </c>
      <c r="J9982" s="8">
        <f>IF(G9982="","",G9982*0.20)</f>
        <v/>
      </c>
      <c r="K9982" s="8">
        <f>IF(G9982="","",G9982+J9982)</f>
        <v/>
      </c>
    </row>
    <row r="9983">
      <c r="F9983" s="8" t="n"/>
      <c r="G9983" s="8">
        <f>IF(E9983="","",E9983*F9983)</f>
        <v/>
      </c>
      <c r="H9983" s="8">
        <f>IF(G9983="","",G9983-I9983)</f>
        <v/>
      </c>
      <c r="I9983" s="8">
        <f>IF(D9983="","",VLOOKUP(D9983, RECETTES!B:G, 6, FALSE)*E9983)</f>
        <v/>
      </c>
      <c r="J9983" s="8">
        <f>IF(G9983="","",G9983*0.20)</f>
        <v/>
      </c>
      <c r="K9983" s="8">
        <f>IF(G9983="","",G9983+J9983)</f>
        <v/>
      </c>
    </row>
    <row r="9984">
      <c r="F9984" s="8" t="n"/>
      <c r="G9984" s="8">
        <f>IF(E9984="","",E9984*F9984)</f>
        <v/>
      </c>
      <c r="H9984" s="8">
        <f>IF(G9984="","",G9984-I9984)</f>
        <v/>
      </c>
      <c r="I9984" s="8">
        <f>IF(D9984="","",VLOOKUP(D9984, RECETTES!B:G, 6, FALSE)*E9984)</f>
        <v/>
      </c>
      <c r="J9984" s="8">
        <f>IF(G9984="","",G9984*0.20)</f>
        <v/>
      </c>
      <c r="K9984" s="8">
        <f>IF(G9984="","",G9984+J9984)</f>
        <v/>
      </c>
    </row>
    <row r="9985">
      <c r="F9985" s="8" t="n"/>
      <c r="G9985" s="8">
        <f>IF(E9985="","",E9985*F9985)</f>
        <v/>
      </c>
      <c r="H9985" s="8">
        <f>IF(G9985="","",G9985-I9985)</f>
        <v/>
      </c>
      <c r="I9985" s="8">
        <f>IF(D9985="","",VLOOKUP(D9985, RECETTES!B:G, 6, FALSE)*E9985)</f>
        <v/>
      </c>
      <c r="J9985" s="8">
        <f>IF(G9985="","",G9985*0.20)</f>
        <v/>
      </c>
      <c r="K9985" s="8">
        <f>IF(G9985="","",G9985+J9985)</f>
        <v/>
      </c>
    </row>
    <row r="9986">
      <c r="F9986" s="8" t="n"/>
      <c r="G9986" s="8">
        <f>IF(E9986="","",E9986*F9986)</f>
        <v/>
      </c>
      <c r="H9986" s="8">
        <f>IF(G9986="","",G9986-I9986)</f>
        <v/>
      </c>
      <c r="I9986" s="8">
        <f>IF(D9986="","",VLOOKUP(D9986, RECETTES!B:G, 6, FALSE)*E9986)</f>
        <v/>
      </c>
      <c r="J9986" s="8">
        <f>IF(G9986="","",G9986*0.20)</f>
        <v/>
      </c>
      <c r="K9986" s="8">
        <f>IF(G9986="","",G9986+J9986)</f>
        <v/>
      </c>
    </row>
    <row r="9987">
      <c r="F9987" s="8" t="n"/>
      <c r="G9987" s="8">
        <f>IF(E9987="","",E9987*F9987)</f>
        <v/>
      </c>
      <c r="H9987" s="8">
        <f>IF(G9987="","",G9987-I9987)</f>
        <v/>
      </c>
      <c r="I9987" s="8">
        <f>IF(D9987="","",VLOOKUP(D9987, RECETTES!B:G, 6, FALSE)*E9987)</f>
        <v/>
      </c>
      <c r="J9987" s="8">
        <f>IF(G9987="","",G9987*0.20)</f>
        <v/>
      </c>
      <c r="K9987" s="8">
        <f>IF(G9987="","",G9987+J9987)</f>
        <v/>
      </c>
    </row>
    <row r="9988">
      <c r="F9988" s="8" t="n"/>
      <c r="G9988" s="8">
        <f>IF(E9988="","",E9988*F9988)</f>
        <v/>
      </c>
      <c r="H9988" s="8">
        <f>IF(G9988="","",G9988-I9988)</f>
        <v/>
      </c>
      <c r="I9988" s="8">
        <f>IF(D9988="","",VLOOKUP(D9988, RECETTES!B:G, 6, FALSE)*E9988)</f>
        <v/>
      </c>
      <c r="J9988" s="8">
        <f>IF(G9988="","",G9988*0.20)</f>
        <v/>
      </c>
      <c r="K9988" s="8">
        <f>IF(G9988="","",G9988+J9988)</f>
        <v/>
      </c>
    </row>
    <row r="9989">
      <c r="F9989" s="8" t="n"/>
      <c r="G9989" s="8">
        <f>IF(E9989="","",E9989*F9989)</f>
        <v/>
      </c>
      <c r="H9989" s="8">
        <f>IF(G9989="","",G9989-I9989)</f>
        <v/>
      </c>
      <c r="I9989" s="8">
        <f>IF(D9989="","",VLOOKUP(D9989, RECETTES!B:G, 6, FALSE)*E9989)</f>
        <v/>
      </c>
      <c r="J9989" s="8">
        <f>IF(G9989="","",G9989*0.20)</f>
        <v/>
      </c>
      <c r="K9989" s="8">
        <f>IF(G9989="","",G9989+J9989)</f>
        <v/>
      </c>
    </row>
    <row r="9990">
      <c r="F9990" s="8" t="n"/>
      <c r="G9990" s="8">
        <f>IF(E9990="","",E9990*F9990)</f>
        <v/>
      </c>
      <c r="H9990" s="8">
        <f>IF(G9990="","",G9990-I9990)</f>
        <v/>
      </c>
      <c r="I9990" s="8">
        <f>IF(D9990="","",VLOOKUP(D9990, RECETTES!B:G, 6, FALSE)*E9990)</f>
        <v/>
      </c>
      <c r="J9990" s="8">
        <f>IF(G9990="","",G9990*0.20)</f>
        <v/>
      </c>
      <c r="K9990" s="8">
        <f>IF(G9990="","",G9990+J9990)</f>
        <v/>
      </c>
    </row>
    <row r="9991">
      <c r="F9991" s="8" t="n"/>
      <c r="G9991" s="8">
        <f>IF(E9991="","",E9991*F9991)</f>
        <v/>
      </c>
      <c r="H9991" s="8">
        <f>IF(G9991="","",G9991-I9991)</f>
        <v/>
      </c>
      <c r="I9991" s="8">
        <f>IF(D9991="","",VLOOKUP(D9991, RECETTES!B:G, 6, FALSE)*E9991)</f>
        <v/>
      </c>
      <c r="J9991" s="8">
        <f>IF(G9991="","",G9991*0.20)</f>
        <v/>
      </c>
      <c r="K9991" s="8">
        <f>IF(G9991="","",G9991+J9991)</f>
        <v/>
      </c>
    </row>
    <row r="9992">
      <c r="F9992" s="8" t="n"/>
      <c r="G9992" s="8">
        <f>IF(E9992="","",E9992*F9992)</f>
        <v/>
      </c>
      <c r="H9992" s="8">
        <f>IF(G9992="","",G9992-I9992)</f>
        <v/>
      </c>
      <c r="I9992" s="8">
        <f>IF(D9992="","",VLOOKUP(D9992, RECETTES!B:G, 6, FALSE)*E9992)</f>
        <v/>
      </c>
      <c r="J9992" s="8">
        <f>IF(G9992="","",G9992*0.20)</f>
        <v/>
      </c>
      <c r="K9992" s="8">
        <f>IF(G9992="","",G9992+J9992)</f>
        <v/>
      </c>
    </row>
    <row r="9993">
      <c r="F9993" s="8" t="n"/>
      <c r="G9993" s="8">
        <f>IF(E9993="","",E9993*F9993)</f>
        <v/>
      </c>
      <c r="H9993" s="8">
        <f>IF(G9993="","",G9993-I9993)</f>
        <v/>
      </c>
      <c r="I9993" s="8">
        <f>IF(D9993="","",VLOOKUP(D9993, RECETTES!B:G, 6, FALSE)*E9993)</f>
        <v/>
      </c>
      <c r="J9993" s="8">
        <f>IF(G9993="","",G9993*0.20)</f>
        <v/>
      </c>
      <c r="K9993" s="8">
        <f>IF(G9993="","",G9993+J9993)</f>
        <v/>
      </c>
    </row>
    <row r="9994">
      <c r="F9994" s="8" t="n"/>
      <c r="G9994" s="8">
        <f>IF(E9994="","",E9994*F9994)</f>
        <v/>
      </c>
      <c r="H9994" s="8">
        <f>IF(G9994="","",G9994-I9994)</f>
        <v/>
      </c>
      <c r="I9994" s="8">
        <f>IF(D9994="","",VLOOKUP(D9994, RECETTES!B:G, 6, FALSE)*E9994)</f>
        <v/>
      </c>
      <c r="J9994" s="8">
        <f>IF(G9994="","",G9994*0.20)</f>
        <v/>
      </c>
      <c r="K9994" s="8">
        <f>IF(G9994="","",G9994+J9994)</f>
        <v/>
      </c>
    </row>
    <row r="9995">
      <c r="F9995" s="8" t="n"/>
      <c r="G9995" s="8">
        <f>IF(E9995="","",E9995*F9995)</f>
        <v/>
      </c>
      <c r="H9995" s="8">
        <f>IF(G9995="","",G9995-I9995)</f>
        <v/>
      </c>
      <c r="I9995" s="8">
        <f>IF(D9995="","",VLOOKUP(D9995, RECETTES!B:G, 6, FALSE)*E9995)</f>
        <v/>
      </c>
      <c r="J9995" s="8">
        <f>IF(G9995="","",G9995*0.20)</f>
        <v/>
      </c>
      <c r="K9995" s="8">
        <f>IF(G9995="","",G9995+J9995)</f>
        <v/>
      </c>
    </row>
    <row r="9996">
      <c r="F9996" s="8" t="n"/>
      <c r="G9996" s="8">
        <f>IF(E9996="","",E9996*F9996)</f>
        <v/>
      </c>
      <c r="H9996" s="8">
        <f>IF(G9996="","",G9996-I9996)</f>
        <v/>
      </c>
      <c r="I9996" s="8">
        <f>IF(D9996="","",VLOOKUP(D9996, RECETTES!B:G, 6, FALSE)*E9996)</f>
        <v/>
      </c>
      <c r="J9996" s="8">
        <f>IF(G9996="","",G9996*0.20)</f>
        <v/>
      </c>
      <c r="K9996" s="8">
        <f>IF(G9996="","",G9996+J9996)</f>
        <v/>
      </c>
    </row>
    <row r="9997">
      <c r="F9997" s="8" t="n"/>
      <c r="G9997" s="8">
        <f>IF(E9997="","",E9997*F9997)</f>
        <v/>
      </c>
      <c r="H9997" s="8">
        <f>IF(G9997="","",G9997-I9997)</f>
        <v/>
      </c>
      <c r="I9997" s="8">
        <f>IF(D9997="","",VLOOKUP(D9997, RECETTES!B:G, 6, FALSE)*E9997)</f>
        <v/>
      </c>
      <c r="J9997" s="8">
        <f>IF(G9997="","",G9997*0.20)</f>
        <v/>
      </c>
      <c r="K9997" s="8">
        <f>IF(G9997="","",G9997+J9997)</f>
        <v/>
      </c>
    </row>
    <row r="9998">
      <c r="F9998" s="8" t="n"/>
      <c r="G9998" s="8">
        <f>IF(E9998="","",E9998*F9998)</f>
        <v/>
      </c>
      <c r="H9998" s="8">
        <f>IF(G9998="","",G9998-I9998)</f>
        <v/>
      </c>
      <c r="I9998" s="8">
        <f>IF(D9998="","",VLOOKUP(D9998, RECETTES!B:G, 6, FALSE)*E9998)</f>
        <v/>
      </c>
      <c r="J9998" s="8">
        <f>IF(G9998="","",G9998*0.20)</f>
        <v/>
      </c>
      <c r="K9998" s="8">
        <f>IF(G9998="","",G9998+J9998)</f>
        <v/>
      </c>
    </row>
    <row r="9999">
      <c r="F9999" s="8" t="n"/>
      <c r="G9999" s="8">
        <f>IF(E9999="","",E9999*F9999)</f>
        <v/>
      </c>
      <c r="H9999" s="8">
        <f>IF(G9999="","",G9999-I9999)</f>
        <v/>
      </c>
      <c r="I9999" s="8">
        <f>IF(D9999="","",VLOOKUP(D9999, RECETTES!B:G, 6, FALSE)*E9999)</f>
        <v/>
      </c>
      <c r="J9999" s="8">
        <f>IF(G9999="","",G9999*0.20)</f>
        <v/>
      </c>
      <c r="K9999" s="8">
        <f>IF(G9999="","",G9999+J9999)</f>
        <v/>
      </c>
    </row>
    <row r="10000">
      <c r="F10000" s="8" t="n"/>
      <c r="G10000" s="8">
        <f>IF(E10000="","",E10000*F10000)</f>
        <v/>
      </c>
      <c r="H10000" s="8">
        <f>IF(G10000="","",G10000-I10000)</f>
        <v/>
      </c>
      <c r="I10000" s="8">
        <f>IF(D10000="","",VLOOKUP(D10000, RECETTES!B:G, 6, FALSE)*E10000)</f>
        <v/>
      </c>
      <c r="J10000" s="8">
        <f>IF(G10000="","",G10000*0.20)</f>
        <v/>
      </c>
      <c r="K10000" s="8">
        <f>IF(G10000="","",G10000+J10000)</f>
        <v/>
      </c>
    </row>
  </sheetData>
  <mergeCells count="1">
    <mergeCell ref="A1:K1"/>
  </mergeCells>
  <conditionalFormatting sqref="P6:P10000">
    <cfRule type="expression" priority="1" dxfId="2">
      <formula>ISNUMBER(SEARCH("Payé", $P6))</formula>
    </cfRule>
    <cfRule type="expression" priority="2" dxfId="0">
      <formula>ISNUMBER(SEARCH("Annulé", $P6))</formula>
    </cfRule>
  </conditionalFormatting>
  <dataValidations count="3">
    <dataValidation sqref="L6:L10000" showDropDown="0" showInputMessage="0" showErrorMessage="0" allowBlank="0" type="list">
      <formula1>"Déjeuner,Dîner,Afterwork,Brunch"</formula1>
    </dataValidation>
    <dataValidation sqref="O6:O10000" showDropDown="0" showInputMessage="0" showErrorMessage="0" allowBlank="0" type="list">
      <formula1>"CB,Espèces,Ticket Restaurant,Bon Cadeau,Virement"</formula1>
    </dataValidation>
    <dataValidation sqref="P6:P10000" showDropDown="0" showInputMessage="0" showErrorMessage="0" allowBlank="0" type="list">
      <formula1>"✓ Payé,⏸ En attente,✗ Annulé,🔄 Remboursé"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16" customWidth="1" min="4" max="4"/>
    <col width="22" customWidth="1" min="5" max="5"/>
    <col width="25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31" t="inlineStr">
        <is>
          <t>🚚 GESTION DES FOURNISSEURS ET ACHATS</t>
        </is>
      </c>
    </row>
    <row r="3">
      <c r="A3" s="25" t="inlineStr">
        <is>
          <t>LISTE DES FOURNISSEURS</t>
        </is>
      </c>
      <c r="Q3" s="25" t="inlineStr">
        <is>
          <t>COMMANDES FOURNISSEURS</t>
        </is>
      </c>
    </row>
    <row r="4">
      <c r="A4" s="33" t="inlineStr">
        <is>
          <t>ID Fournisseur</t>
        </is>
      </c>
      <c r="B4" s="33" t="inlineStr">
        <is>
          <t>Nom</t>
        </is>
      </c>
      <c r="C4" s="33" t="inlineStr">
        <is>
          <t>Contact</t>
        </is>
      </c>
      <c r="D4" s="33" t="inlineStr">
        <is>
          <t>Téléphone</t>
        </is>
      </c>
      <c r="E4" s="33" t="inlineStr">
        <is>
          <t>Email</t>
        </is>
      </c>
      <c r="F4" s="33" t="inlineStr">
        <is>
          <t>Adresse</t>
        </is>
      </c>
      <c r="G4" s="33" t="inlineStr">
        <is>
          <t>Ville</t>
        </is>
      </c>
      <c r="H4" s="33" t="inlineStr">
        <is>
          <t>Code Postal</t>
        </is>
      </c>
      <c r="I4" s="33" t="inlineStr">
        <is>
          <t>Catégorie</t>
        </is>
      </c>
      <c r="J4" s="33" t="inlineStr">
        <is>
          <t>Délai Livraison</t>
        </is>
      </c>
      <c r="K4" s="33" t="inlineStr">
        <is>
          <t>Note Qualité</t>
        </is>
      </c>
      <c r="L4" s="33" t="inlineStr">
        <is>
          <t>Conditions Paiement</t>
        </is>
      </c>
      <c r="M4" s="33" t="inlineStr">
        <is>
          <t>Encours</t>
        </is>
      </c>
      <c r="N4" s="33" t="inlineStr">
        <is>
          <t>Statut</t>
        </is>
      </c>
      <c r="O4" s="33" t="inlineStr">
        <is>
          <t>Dernière Commande</t>
        </is>
      </c>
      <c r="P4" s="37" t="inlineStr">
        <is>
          <t>N° Commande</t>
        </is>
      </c>
      <c r="Q4" s="37" t="inlineStr">
        <is>
          <t>Fournisseur</t>
        </is>
      </c>
      <c r="R4" s="37" t="inlineStr">
        <is>
          <t>Date Commande</t>
        </is>
      </c>
      <c r="S4" s="37" t="inlineStr">
        <is>
          <t>Date Livraison Prévue</t>
        </is>
      </c>
      <c r="T4" s="37" t="inlineStr">
        <is>
          <t>Statut</t>
        </is>
      </c>
      <c r="U4" s="37" t="inlineStr">
        <is>
          <t>Montant HT</t>
        </is>
      </c>
      <c r="V4" s="37" t="inlineStr">
        <is>
          <t>Produits</t>
        </is>
      </c>
      <c r="W4" s="37" t="inlineStr">
        <is>
          <t>Réceptionné le</t>
        </is>
      </c>
    </row>
    <row r="5">
      <c r="A5" t="inlineStr">
        <is>
          <t>F001</t>
        </is>
      </c>
      <c r="B5" t="inlineStr">
        <is>
          <t>Primeur Martin</t>
        </is>
      </c>
      <c r="C5" t="inlineStr">
        <is>
          <t>Jean Martin</t>
        </is>
      </c>
      <c r="D5" t="inlineStr">
        <is>
          <t>01 23 45 67 89</t>
        </is>
      </c>
      <c r="E5" t="inlineStr">
        <is>
          <t>jean@primeur.fr</t>
        </is>
      </c>
      <c r="F5" t="inlineStr">
        <is>
          <t>123 Rue des Halles</t>
        </is>
      </c>
      <c r="G5" t="inlineStr">
        <is>
          <t>Paris</t>
        </is>
      </c>
      <c r="H5" t="inlineStr">
        <is>
          <t>75001</t>
        </is>
      </c>
      <c r="I5" t="inlineStr">
        <is>
          <t>Légumes/Fruits</t>
        </is>
      </c>
      <c r="J5" t="n">
        <v>2</v>
      </c>
      <c r="K5" t="n">
        <v>4.5</v>
      </c>
      <c r="L5" t="inlineStr">
        <is>
          <t>30 jours</t>
        </is>
      </c>
      <c r="M5" s="8" t="n">
        <v>1500</v>
      </c>
      <c r="N5" t="inlineStr">
        <is>
          <t>✓ Actif</t>
        </is>
      </c>
      <c r="O5" s="38" t="inlineStr">
        <is>
          <t>26/05/2026</t>
        </is>
      </c>
      <c r="P5" t="inlineStr">
        <is>
          <t>CMD001</t>
        </is>
      </c>
      <c r="Q5" t="inlineStr">
        <is>
          <t>F001</t>
        </is>
      </c>
      <c r="R5" s="38" t="inlineStr">
        <is>
          <t>26/05/2026</t>
        </is>
      </c>
      <c r="S5" s="38" t="inlineStr">
        <is>
          <t>28/05/2026</t>
        </is>
      </c>
      <c r="T5" t="inlineStr">
        <is>
          <t>En attente</t>
        </is>
      </c>
      <c r="U5" s="8" t="n">
        <v>450</v>
      </c>
      <c r="V5" t="inlineStr">
        <is>
          <t>Légumes variés</t>
        </is>
      </c>
      <c r="W5" s="38" t="inlineStr"/>
    </row>
    <row r="6">
      <c r="A6" t="inlineStr">
        <is>
          <t>F002</t>
        </is>
      </c>
      <c r="B6" t="inlineStr">
        <is>
          <t>Viandes Dupont</t>
        </is>
      </c>
      <c r="C6" t="inlineStr">
        <is>
          <t>Pierre Dupont</t>
        </is>
      </c>
      <c r="D6" t="inlineStr">
        <is>
          <t>01 98 76 54 32</t>
        </is>
      </c>
      <c r="E6" t="inlineStr">
        <is>
          <t>pierre@viandes.fr</t>
        </is>
      </c>
      <c r="F6" t="inlineStr">
        <is>
          <t>45 Avenue de la Villette</t>
        </is>
      </c>
      <c r="G6" t="inlineStr">
        <is>
          <t>Paris</t>
        </is>
      </c>
      <c r="H6" t="inlineStr">
        <is>
          <t>75019</t>
        </is>
      </c>
      <c r="I6" t="inlineStr">
        <is>
          <t>Viandes</t>
        </is>
      </c>
      <c r="J6" t="n">
        <v>3</v>
      </c>
      <c r="K6" t="n">
        <v>4.8</v>
      </c>
      <c r="L6" t="inlineStr">
        <is>
          <t>60 jours</t>
        </is>
      </c>
      <c r="M6" s="8" t="n">
        <v>3200</v>
      </c>
      <c r="N6" t="inlineStr">
        <is>
          <t>✓ Actif</t>
        </is>
      </c>
      <c r="O6" s="38" t="inlineStr">
        <is>
          <t>26/05/2026</t>
        </is>
      </c>
      <c r="P6" t="inlineStr">
        <is>
          <t>CMD002</t>
        </is>
      </c>
      <c r="Q6" t="inlineStr">
        <is>
          <t>F002</t>
        </is>
      </c>
      <c r="R6" s="38" t="inlineStr">
        <is>
          <t>21/05/2026</t>
        </is>
      </c>
      <c r="S6" s="38" t="inlineStr">
        <is>
          <t>26/05/2026</t>
        </is>
      </c>
      <c r="T6" t="inlineStr">
        <is>
          <t>Livré</t>
        </is>
      </c>
      <c r="U6" s="8" t="n">
        <v>1200</v>
      </c>
      <c r="V6" t="inlineStr">
        <is>
          <t>Boeuf, Volaille</t>
        </is>
      </c>
      <c r="W6" s="38" t="inlineStr">
        <is>
          <t>26/05/2026</t>
        </is>
      </c>
    </row>
    <row r="7">
      <c r="A7" t="inlineStr">
        <is>
          <t>F003</t>
        </is>
      </c>
      <c r="B7" t="inlineStr">
        <is>
          <t>Poissons Mer</t>
        </is>
      </c>
      <c r="C7" t="inlineStr">
        <is>
          <t>Marie Leclerc</t>
        </is>
      </c>
      <c r="D7" t="inlineStr">
        <is>
          <t>02 34 56 78 90</t>
        </is>
      </c>
      <c r="E7" t="inlineStr">
        <is>
          <t>marie@poissons.fr</t>
        </is>
      </c>
      <c r="F7" t="inlineStr">
        <is>
          <t>Port de Commerce</t>
        </is>
      </c>
      <c r="G7" t="inlineStr">
        <is>
          <t>Boulogne</t>
        </is>
      </c>
      <c r="H7" t="inlineStr">
        <is>
          <t>62200</t>
        </is>
      </c>
      <c r="I7" t="inlineStr">
        <is>
          <t>Poissons</t>
        </is>
      </c>
      <c r="J7" t="n">
        <v>1</v>
      </c>
      <c r="K7" t="n">
        <v>4.2</v>
      </c>
      <c r="L7" t="inlineStr">
        <is>
          <t>Comptant</t>
        </is>
      </c>
      <c r="M7" s="8" t="n">
        <v>800</v>
      </c>
      <c r="N7" t="inlineStr">
        <is>
          <t>✓ Actif</t>
        </is>
      </c>
      <c r="O7" s="38" t="inlineStr">
        <is>
          <t>26/05/2026</t>
        </is>
      </c>
      <c r="P7" t="inlineStr">
        <is>
          <t>CMD003</t>
        </is>
      </c>
      <c r="Q7" t="inlineStr">
        <is>
          <t>F003</t>
        </is>
      </c>
      <c r="R7" s="38" t="inlineStr">
        <is>
          <t>26/05/2026</t>
        </is>
      </c>
      <c r="S7" s="38" t="inlineStr">
        <is>
          <t>27/05/2026</t>
        </is>
      </c>
      <c r="T7" t="inlineStr">
        <is>
          <t>En attente</t>
        </is>
      </c>
      <c r="U7" s="8" t="n">
        <v>680</v>
      </c>
      <c r="V7" t="inlineStr">
        <is>
          <t>Saumon, Bar</t>
        </is>
      </c>
      <c r="W7" s="38" t="inlineStr"/>
    </row>
    <row r="8">
      <c r="A8" t="inlineStr">
        <is>
          <t>F004</t>
        </is>
      </c>
      <c r="B8" t="inlineStr">
        <is>
          <t>Boissons Express</t>
        </is>
      </c>
      <c r="C8" t="inlineStr">
        <is>
          <t>Luc Bernard</t>
        </is>
      </c>
      <c r="D8" t="inlineStr">
        <is>
          <t>01 11 22 33 44</t>
        </is>
      </c>
      <c r="E8" t="inlineStr">
        <is>
          <t>luc@boissons.fr</t>
        </is>
      </c>
      <c r="F8" t="inlineStr">
        <is>
          <t>Zone Industrielle</t>
        </is>
      </c>
      <c r="G8" t="inlineStr">
        <is>
          <t>Saint-Denis</t>
        </is>
      </c>
      <c r="H8" t="inlineStr">
        <is>
          <t>93200</t>
        </is>
      </c>
      <c r="I8" t="inlineStr">
        <is>
          <t>Boissons</t>
        </is>
      </c>
      <c r="J8" t="n">
        <v>2</v>
      </c>
      <c r="K8" t="n">
        <v>4</v>
      </c>
      <c r="L8" t="inlineStr">
        <is>
          <t>45 jours</t>
        </is>
      </c>
      <c r="M8" s="8" t="n">
        <v>2100</v>
      </c>
      <c r="N8" t="inlineStr">
        <is>
          <t>✓ Actif</t>
        </is>
      </c>
      <c r="O8" s="38" t="inlineStr">
        <is>
          <t>26/05/2026</t>
        </is>
      </c>
      <c r="P8" t="inlineStr">
        <is>
          <t>CMD004</t>
        </is>
      </c>
      <c r="Q8" t="inlineStr">
        <is>
          <t>F004</t>
        </is>
      </c>
      <c r="R8" s="38" t="inlineStr">
        <is>
          <t>16/05/2026</t>
        </is>
      </c>
      <c r="S8" s="38" t="inlineStr">
        <is>
          <t>18/05/2026</t>
        </is>
      </c>
      <c r="T8" t="inlineStr">
        <is>
          <t>Livré</t>
        </is>
      </c>
      <c r="U8" s="8" t="n">
        <v>890</v>
      </c>
      <c r="V8" t="inlineStr">
        <is>
          <t>Vins, Sodas</t>
        </is>
      </c>
      <c r="W8" s="38" t="inlineStr">
        <is>
          <t>18/05/2026</t>
        </is>
      </c>
    </row>
    <row r="9">
      <c r="A9" t="inlineStr">
        <is>
          <t>F005</t>
        </is>
      </c>
      <c r="B9" t="inlineStr">
        <is>
          <t>Épices du Monde</t>
        </is>
      </c>
      <c r="C9" t="inlineStr">
        <is>
          <t>Sophie Ahmed</t>
        </is>
      </c>
      <c r="D9" t="inlineStr">
        <is>
          <t>01 55 66 77 88</t>
        </is>
      </c>
      <c r="E9" t="inlineStr">
        <is>
          <t>sophie@epices.fr</t>
        </is>
      </c>
      <c r="F9" t="inlineStr">
        <is>
          <t>15 Rue du Commerce</t>
        </is>
      </c>
      <c r="G9" t="inlineStr">
        <is>
          <t>Lyon</t>
        </is>
      </c>
      <c r="H9" t="inlineStr">
        <is>
          <t>69001</t>
        </is>
      </c>
      <c r="I9" t="inlineStr">
        <is>
          <t>Épices/Condiments</t>
        </is>
      </c>
      <c r="J9" t="n">
        <v>5</v>
      </c>
      <c r="K9" t="n">
        <v>4.6</v>
      </c>
      <c r="L9" t="inlineStr">
        <is>
          <t>30 jours</t>
        </is>
      </c>
      <c r="M9" s="8" t="n">
        <v>450</v>
      </c>
      <c r="N9" t="inlineStr">
        <is>
          <t>✓ Actif</t>
        </is>
      </c>
      <c r="O9" s="38" t="inlineStr">
        <is>
          <t>26/05/2026</t>
        </is>
      </c>
      <c r="R9" s="38" t="n"/>
      <c r="S9" s="38" t="n"/>
      <c r="U9" s="8" t="n"/>
      <c r="W9" s="38" t="n"/>
    </row>
    <row r="10">
      <c r="M10" s="8" t="n"/>
      <c r="O10" s="38" t="n"/>
      <c r="R10" s="38" t="n"/>
      <c r="S10" s="38" t="n"/>
      <c r="U10" s="8" t="n"/>
      <c r="W10" s="38" t="n"/>
    </row>
    <row r="11">
      <c r="M11" s="8" t="n"/>
      <c r="O11" s="38" t="n"/>
      <c r="R11" s="38" t="n"/>
      <c r="S11" s="38" t="n"/>
      <c r="U11" s="8" t="n"/>
      <c r="W11" s="38" t="n"/>
    </row>
    <row r="12">
      <c r="M12" s="8" t="n"/>
      <c r="O12" s="38" t="n"/>
      <c r="R12" s="38" t="n"/>
      <c r="S12" s="38" t="n"/>
      <c r="U12" s="8" t="n"/>
      <c r="W12" s="38" t="n"/>
    </row>
    <row r="13">
      <c r="M13" s="8" t="n"/>
      <c r="O13" s="38" t="n"/>
      <c r="R13" s="38" t="n"/>
      <c r="S13" s="38" t="n"/>
      <c r="U13" s="8" t="n"/>
      <c r="W13" s="38" t="n"/>
    </row>
    <row r="14">
      <c r="M14" s="8" t="n"/>
      <c r="O14" s="38" t="n"/>
      <c r="R14" s="38" t="n"/>
      <c r="S14" s="38" t="n"/>
      <c r="U14" s="8" t="n"/>
      <c r="W14" s="38" t="n"/>
    </row>
    <row r="15">
      <c r="M15" s="8" t="n"/>
      <c r="O15" s="38" t="n"/>
      <c r="R15" s="38" t="n"/>
      <c r="S15" s="38" t="n"/>
      <c r="U15" s="8" t="n"/>
      <c r="W15" s="38" t="n"/>
    </row>
    <row r="16">
      <c r="M16" s="8" t="n"/>
      <c r="O16" s="38" t="n"/>
      <c r="R16" s="38" t="n"/>
      <c r="S16" s="38" t="n"/>
      <c r="U16" s="8" t="n"/>
      <c r="W16" s="38" t="n"/>
    </row>
    <row r="17">
      <c r="M17" s="8" t="n"/>
      <c r="O17" s="38" t="n"/>
      <c r="R17" s="38" t="n"/>
      <c r="S17" s="38" t="n"/>
      <c r="U17" s="8" t="n"/>
      <c r="W17" s="38" t="n"/>
    </row>
    <row r="18">
      <c r="M18" s="8" t="n"/>
      <c r="O18" s="38" t="n"/>
      <c r="R18" s="38" t="n"/>
      <c r="S18" s="38" t="n"/>
      <c r="U18" s="8" t="n"/>
      <c r="W18" s="38" t="n"/>
    </row>
    <row r="19">
      <c r="M19" s="8" t="n"/>
      <c r="O19" s="38" t="n"/>
      <c r="R19" s="38" t="n"/>
      <c r="S19" s="38" t="n"/>
      <c r="U19" s="8" t="n"/>
      <c r="W19" s="38" t="n"/>
    </row>
    <row r="20">
      <c r="M20" s="8" t="n"/>
      <c r="O20" s="38" t="n"/>
      <c r="R20" s="38" t="n"/>
      <c r="S20" s="38" t="n"/>
      <c r="U20" s="8" t="n"/>
      <c r="W20" s="38" t="n"/>
    </row>
    <row r="21">
      <c r="M21" s="8" t="n"/>
      <c r="O21" s="38" t="n"/>
      <c r="R21" s="38" t="n"/>
      <c r="S21" s="38" t="n"/>
      <c r="U21" s="8" t="n"/>
      <c r="W21" s="38" t="n"/>
    </row>
    <row r="22">
      <c r="M22" s="8" t="n"/>
      <c r="O22" s="38" t="n"/>
      <c r="R22" s="38" t="n"/>
      <c r="S22" s="38" t="n"/>
      <c r="U22" s="8" t="n"/>
      <c r="W22" s="38" t="n"/>
    </row>
    <row r="23">
      <c r="M23" s="8" t="n"/>
      <c r="O23" s="38" t="n"/>
      <c r="R23" s="38" t="n"/>
      <c r="S23" s="38" t="n"/>
      <c r="U23" s="8" t="n"/>
      <c r="W23" s="38" t="n"/>
    </row>
    <row r="24">
      <c r="M24" s="8" t="n"/>
      <c r="O24" s="38" t="n"/>
      <c r="R24" s="38" t="n"/>
      <c r="S24" s="38" t="n"/>
      <c r="U24" s="8" t="n"/>
      <c r="W24" s="38" t="n"/>
    </row>
    <row r="25">
      <c r="M25" s="8" t="n"/>
      <c r="O25" s="38" t="n"/>
      <c r="R25" s="38" t="n"/>
      <c r="S25" s="38" t="n"/>
      <c r="U25" s="8" t="n"/>
      <c r="W25" s="38" t="n"/>
    </row>
    <row r="26">
      <c r="M26" s="8" t="n"/>
      <c r="O26" s="38" t="n"/>
      <c r="R26" s="38" t="n"/>
      <c r="S26" s="38" t="n"/>
      <c r="U26" s="8" t="n"/>
      <c r="W26" s="38" t="n"/>
    </row>
    <row r="27">
      <c r="M27" s="8" t="n"/>
      <c r="O27" s="38" t="n"/>
      <c r="R27" s="38" t="n"/>
      <c r="S27" s="38" t="n"/>
      <c r="U27" s="8" t="n"/>
      <c r="W27" s="38" t="n"/>
    </row>
    <row r="28">
      <c r="M28" s="8" t="n"/>
      <c r="O28" s="38" t="n"/>
      <c r="R28" s="38" t="n"/>
      <c r="S28" s="38" t="n"/>
      <c r="U28" s="8" t="n"/>
      <c r="W28" s="38" t="n"/>
    </row>
    <row r="29">
      <c r="M29" s="8" t="n"/>
      <c r="O29" s="38" t="n"/>
      <c r="R29" s="38" t="n"/>
      <c r="S29" s="38" t="n"/>
      <c r="U29" s="8" t="n"/>
      <c r="W29" s="38" t="n"/>
    </row>
    <row r="30">
      <c r="M30" s="8" t="n"/>
      <c r="O30" s="38" t="n"/>
      <c r="R30" s="38" t="n"/>
      <c r="S30" s="38" t="n"/>
      <c r="U30" s="8" t="n"/>
      <c r="W30" s="38" t="n"/>
    </row>
    <row r="31">
      <c r="M31" s="8" t="n"/>
      <c r="O31" s="38" t="n"/>
      <c r="R31" s="38" t="n"/>
      <c r="S31" s="38" t="n"/>
      <c r="U31" s="8" t="n"/>
      <c r="W31" s="38" t="n"/>
    </row>
    <row r="32">
      <c r="M32" s="8" t="n"/>
      <c r="O32" s="38" t="n"/>
      <c r="R32" s="38" t="n"/>
      <c r="S32" s="38" t="n"/>
      <c r="U32" s="8" t="n"/>
      <c r="W32" s="38" t="n"/>
    </row>
    <row r="33">
      <c r="M33" s="8" t="n"/>
      <c r="O33" s="38" t="n"/>
      <c r="R33" s="38" t="n"/>
      <c r="S33" s="38" t="n"/>
      <c r="U33" s="8" t="n"/>
      <c r="W33" s="38" t="n"/>
    </row>
    <row r="34">
      <c r="M34" s="8" t="n"/>
      <c r="O34" s="38" t="n"/>
      <c r="R34" s="38" t="n"/>
      <c r="S34" s="38" t="n"/>
      <c r="U34" s="8" t="n"/>
      <c r="W34" s="38" t="n"/>
    </row>
    <row r="35">
      <c r="M35" s="8" t="n"/>
      <c r="O35" s="38" t="n"/>
      <c r="R35" s="38" t="n"/>
      <c r="S35" s="38" t="n"/>
      <c r="U35" s="8" t="n"/>
      <c r="W35" s="38" t="n"/>
    </row>
    <row r="36">
      <c r="M36" s="8" t="n"/>
      <c r="O36" s="38" t="n"/>
      <c r="R36" s="38" t="n"/>
      <c r="S36" s="38" t="n"/>
      <c r="U36" s="8" t="n"/>
      <c r="W36" s="38" t="n"/>
    </row>
    <row r="37">
      <c r="M37" s="8" t="n"/>
      <c r="O37" s="38" t="n"/>
      <c r="R37" s="38" t="n"/>
      <c r="S37" s="38" t="n"/>
      <c r="U37" s="8" t="n"/>
      <c r="W37" s="38" t="n"/>
    </row>
    <row r="38">
      <c r="M38" s="8" t="n"/>
      <c r="O38" s="38" t="n"/>
      <c r="R38" s="38" t="n"/>
      <c r="S38" s="38" t="n"/>
      <c r="U38" s="8" t="n"/>
      <c r="W38" s="38" t="n"/>
    </row>
    <row r="39">
      <c r="M39" s="8" t="n"/>
      <c r="O39" s="38" t="n"/>
      <c r="R39" s="38" t="n"/>
      <c r="S39" s="38" t="n"/>
      <c r="U39" s="8" t="n"/>
      <c r="W39" s="38" t="n"/>
    </row>
    <row r="40">
      <c r="M40" s="8" t="n"/>
      <c r="O40" s="38" t="n"/>
      <c r="R40" s="38" t="n"/>
      <c r="S40" s="38" t="n"/>
      <c r="U40" s="8" t="n"/>
      <c r="W40" s="38" t="n"/>
    </row>
    <row r="41">
      <c r="M41" s="8" t="n"/>
      <c r="O41" s="38" t="n"/>
      <c r="R41" s="38" t="n"/>
      <c r="S41" s="38" t="n"/>
      <c r="U41" s="8" t="n"/>
      <c r="W41" s="38" t="n"/>
    </row>
    <row r="42">
      <c r="M42" s="8" t="n"/>
      <c r="O42" s="38" t="n"/>
      <c r="R42" s="38" t="n"/>
      <c r="S42" s="38" t="n"/>
      <c r="U42" s="8" t="n"/>
      <c r="W42" s="38" t="n"/>
    </row>
    <row r="43">
      <c r="M43" s="8" t="n"/>
      <c r="O43" s="38" t="n"/>
      <c r="R43" s="38" t="n"/>
      <c r="S43" s="38" t="n"/>
      <c r="U43" s="8" t="n"/>
      <c r="W43" s="38" t="n"/>
    </row>
    <row r="44">
      <c r="M44" s="8" t="n"/>
      <c r="O44" s="38" t="n"/>
      <c r="R44" s="38" t="n"/>
      <c r="S44" s="38" t="n"/>
      <c r="U44" s="8" t="n"/>
      <c r="W44" s="38" t="n"/>
    </row>
    <row r="45">
      <c r="M45" s="8" t="n"/>
      <c r="O45" s="38" t="n"/>
      <c r="R45" s="38" t="n"/>
      <c r="S45" s="38" t="n"/>
      <c r="U45" s="8" t="n"/>
      <c r="W45" s="38" t="n"/>
    </row>
    <row r="46">
      <c r="M46" s="8" t="n"/>
      <c r="O46" s="38" t="n"/>
      <c r="R46" s="38" t="n"/>
      <c r="S46" s="38" t="n"/>
      <c r="U46" s="8" t="n"/>
      <c r="W46" s="38" t="n"/>
    </row>
    <row r="47">
      <c r="M47" s="8" t="n"/>
      <c r="O47" s="38" t="n"/>
      <c r="R47" s="38" t="n"/>
      <c r="S47" s="38" t="n"/>
      <c r="U47" s="8" t="n"/>
      <c r="W47" s="38" t="n"/>
    </row>
    <row r="48">
      <c r="M48" s="8" t="n"/>
      <c r="O48" s="38" t="n"/>
      <c r="R48" s="38" t="n"/>
      <c r="S48" s="38" t="n"/>
      <c r="U48" s="8" t="n"/>
      <c r="W48" s="38" t="n"/>
    </row>
    <row r="49">
      <c r="M49" s="8" t="n"/>
      <c r="O49" s="38" t="n"/>
      <c r="R49" s="38" t="n"/>
      <c r="S49" s="38" t="n"/>
      <c r="U49" s="8" t="n"/>
      <c r="W49" s="38" t="n"/>
    </row>
    <row r="50">
      <c r="M50" s="8" t="n"/>
      <c r="O50" s="38" t="n"/>
      <c r="R50" s="38" t="n"/>
      <c r="S50" s="38" t="n"/>
      <c r="U50" s="8" t="n"/>
      <c r="W50" s="38" t="n"/>
    </row>
    <row r="51">
      <c r="M51" s="8" t="n"/>
      <c r="O51" s="38" t="n"/>
      <c r="R51" s="38" t="n"/>
      <c r="S51" s="38" t="n"/>
      <c r="U51" s="8" t="n"/>
      <c r="W51" s="38" t="n"/>
    </row>
    <row r="52">
      <c r="M52" s="8" t="n"/>
      <c r="O52" s="38" t="n"/>
      <c r="R52" s="38" t="n"/>
      <c r="S52" s="38" t="n"/>
      <c r="U52" s="8" t="n"/>
      <c r="W52" s="38" t="n"/>
    </row>
    <row r="53">
      <c r="M53" s="8" t="n"/>
      <c r="O53" s="38" t="n"/>
      <c r="R53" s="38" t="n"/>
      <c r="S53" s="38" t="n"/>
      <c r="U53" s="8" t="n"/>
      <c r="W53" s="38" t="n"/>
    </row>
    <row r="54">
      <c r="M54" s="8" t="n"/>
      <c r="O54" s="38" t="n"/>
      <c r="R54" s="38" t="n"/>
      <c r="S54" s="38" t="n"/>
      <c r="U54" s="8" t="n"/>
      <c r="W54" s="38" t="n"/>
    </row>
    <row r="55">
      <c r="M55" s="8" t="n"/>
      <c r="O55" s="38" t="n"/>
      <c r="R55" s="38" t="n"/>
      <c r="S55" s="38" t="n"/>
      <c r="U55" s="8" t="n"/>
      <c r="W55" s="38" t="n"/>
    </row>
    <row r="56">
      <c r="M56" s="8" t="n"/>
      <c r="O56" s="38" t="n"/>
      <c r="R56" s="38" t="n"/>
      <c r="S56" s="38" t="n"/>
      <c r="U56" s="8" t="n"/>
      <c r="W56" s="38" t="n"/>
    </row>
    <row r="57">
      <c r="M57" s="8" t="n"/>
      <c r="O57" s="38" t="n"/>
      <c r="R57" s="38" t="n"/>
      <c r="S57" s="38" t="n"/>
      <c r="U57" s="8" t="n"/>
      <c r="W57" s="38" t="n"/>
    </row>
    <row r="58">
      <c r="M58" s="8" t="n"/>
      <c r="O58" s="38" t="n"/>
      <c r="R58" s="38" t="n"/>
      <c r="S58" s="38" t="n"/>
      <c r="U58" s="8" t="n"/>
      <c r="W58" s="38" t="n"/>
    </row>
    <row r="59">
      <c r="M59" s="8" t="n"/>
      <c r="O59" s="38" t="n"/>
      <c r="R59" s="38" t="n"/>
      <c r="S59" s="38" t="n"/>
      <c r="U59" s="8" t="n"/>
      <c r="W59" s="38" t="n"/>
    </row>
    <row r="60">
      <c r="M60" s="8" t="n"/>
      <c r="O60" s="38" t="n"/>
      <c r="R60" s="38" t="n"/>
      <c r="S60" s="38" t="n"/>
      <c r="U60" s="8" t="n"/>
      <c r="W60" s="38" t="n"/>
    </row>
    <row r="61">
      <c r="M61" s="8" t="n"/>
      <c r="O61" s="38" t="n"/>
      <c r="R61" s="38" t="n"/>
      <c r="S61" s="38" t="n"/>
      <c r="U61" s="8" t="n"/>
      <c r="W61" s="38" t="n"/>
    </row>
    <row r="62">
      <c r="M62" s="8" t="n"/>
      <c r="O62" s="38" t="n"/>
      <c r="R62" s="38" t="n"/>
      <c r="S62" s="38" t="n"/>
      <c r="U62" s="8" t="n"/>
      <c r="W62" s="38" t="n"/>
    </row>
    <row r="63">
      <c r="M63" s="8" t="n"/>
      <c r="O63" s="38" t="n"/>
      <c r="R63" s="38" t="n"/>
      <c r="S63" s="38" t="n"/>
      <c r="U63" s="8" t="n"/>
      <c r="W63" s="38" t="n"/>
    </row>
    <row r="64">
      <c r="M64" s="8" t="n"/>
      <c r="O64" s="38" t="n"/>
      <c r="R64" s="38" t="n"/>
      <c r="S64" s="38" t="n"/>
      <c r="U64" s="8" t="n"/>
      <c r="W64" s="38" t="n"/>
    </row>
    <row r="65">
      <c r="M65" s="8" t="n"/>
      <c r="O65" s="38" t="n"/>
      <c r="R65" s="38" t="n"/>
      <c r="S65" s="38" t="n"/>
      <c r="U65" s="8" t="n"/>
      <c r="W65" s="38" t="n"/>
    </row>
    <row r="66">
      <c r="M66" s="8" t="n"/>
      <c r="O66" s="38" t="n"/>
      <c r="R66" s="38" t="n"/>
      <c r="S66" s="38" t="n"/>
      <c r="U66" s="8" t="n"/>
      <c r="W66" s="38" t="n"/>
    </row>
    <row r="67">
      <c r="M67" s="8" t="n"/>
      <c r="O67" s="38" t="n"/>
      <c r="R67" s="38" t="n"/>
      <c r="S67" s="38" t="n"/>
      <c r="U67" s="8" t="n"/>
      <c r="W67" s="38" t="n"/>
    </row>
    <row r="68">
      <c r="M68" s="8" t="n"/>
      <c r="O68" s="38" t="n"/>
      <c r="R68" s="38" t="n"/>
      <c r="S68" s="38" t="n"/>
      <c r="U68" s="8" t="n"/>
      <c r="W68" s="38" t="n"/>
    </row>
    <row r="69">
      <c r="M69" s="8" t="n"/>
      <c r="O69" s="38" t="n"/>
      <c r="R69" s="38" t="n"/>
      <c r="S69" s="38" t="n"/>
      <c r="U69" s="8" t="n"/>
      <c r="W69" s="38" t="n"/>
    </row>
    <row r="70">
      <c r="M70" s="8" t="n"/>
      <c r="O70" s="38" t="n"/>
      <c r="R70" s="38" t="n"/>
      <c r="S70" s="38" t="n"/>
      <c r="U70" s="8" t="n"/>
      <c r="W70" s="38" t="n"/>
    </row>
    <row r="71">
      <c r="M71" s="8" t="n"/>
      <c r="O71" s="38" t="n"/>
      <c r="R71" s="38" t="n"/>
      <c r="S71" s="38" t="n"/>
      <c r="U71" s="8" t="n"/>
      <c r="W71" s="38" t="n"/>
    </row>
    <row r="72">
      <c r="M72" s="8" t="n"/>
      <c r="O72" s="38" t="n"/>
      <c r="R72" s="38" t="n"/>
      <c r="S72" s="38" t="n"/>
      <c r="U72" s="8" t="n"/>
      <c r="W72" s="38" t="n"/>
    </row>
    <row r="73">
      <c r="M73" s="8" t="n"/>
      <c r="O73" s="38" t="n"/>
      <c r="R73" s="38" t="n"/>
      <c r="S73" s="38" t="n"/>
      <c r="U73" s="8" t="n"/>
      <c r="W73" s="38" t="n"/>
    </row>
    <row r="74">
      <c r="M74" s="8" t="n"/>
      <c r="O74" s="38" t="n"/>
      <c r="R74" s="38" t="n"/>
      <c r="S74" s="38" t="n"/>
      <c r="U74" s="8" t="n"/>
      <c r="W74" s="38" t="n"/>
    </row>
    <row r="75">
      <c r="M75" s="8" t="n"/>
      <c r="O75" s="38" t="n"/>
      <c r="R75" s="38" t="n"/>
      <c r="S75" s="38" t="n"/>
      <c r="U75" s="8" t="n"/>
      <c r="W75" s="38" t="n"/>
    </row>
    <row r="76">
      <c r="M76" s="8" t="n"/>
      <c r="O76" s="38" t="n"/>
      <c r="R76" s="38" t="n"/>
      <c r="S76" s="38" t="n"/>
      <c r="U76" s="8" t="n"/>
      <c r="W76" s="38" t="n"/>
    </row>
    <row r="77">
      <c r="M77" s="8" t="n"/>
      <c r="O77" s="38" t="n"/>
      <c r="R77" s="38" t="n"/>
      <c r="S77" s="38" t="n"/>
      <c r="U77" s="8" t="n"/>
      <c r="W77" s="38" t="n"/>
    </row>
    <row r="78">
      <c r="M78" s="8" t="n"/>
      <c r="O78" s="38" t="n"/>
      <c r="R78" s="38" t="n"/>
      <c r="S78" s="38" t="n"/>
      <c r="U78" s="8" t="n"/>
      <c r="W78" s="38" t="n"/>
    </row>
    <row r="79">
      <c r="M79" s="8" t="n"/>
      <c r="O79" s="38" t="n"/>
      <c r="R79" s="38" t="n"/>
      <c r="S79" s="38" t="n"/>
      <c r="U79" s="8" t="n"/>
      <c r="W79" s="38" t="n"/>
    </row>
    <row r="80">
      <c r="M80" s="8" t="n"/>
      <c r="O80" s="38" t="n"/>
      <c r="R80" s="38" t="n"/>
      <c r="S80" s="38" t="n"/>
      <c r="U80" s="8" t="n"/>
      <c r="W80" s="38" t="n"/>
    </row>
    <row r="81">
      <c r="M81" s="8" t="n"/>
      <c r="O81" s="38" t="n"/>
      <c r="R81" s="38" t="n"/>
      <c r="S81" s="38" t="n"/>
      <c r="U81" s="8" t="n"/>
      <c r="W81" s="38" t="n"/>
    </row>
    <row r="82">
      <c r="M82" s="8" t="n"/>
      <c r="O82" s="38" t="n"/>
      <c r="R82" s="38" t="n"/>
      <c r="S82" s="38" t="n"/>
      <c r="U82" s="8" t="n"/>
      <c r="W82" s="38" t="n"/>
    </row>
    <row r="83">
      <c r="M83" s="8" t="n"/>
      <c r="O83" s="38" t="n"/>
      <c r="R83" s="38" t="n"/>
      <c r="S83" s="38" t="n"/>
      <c r="U83" s="8" t="n"/>
      <c r="W83" s="38" t="n"/>
    </row>
    <row r="84">
      <c r="M84" s="8" t="n"/>
      <c r="O84" s="38" t="n"/>
      <c r="R84" s="38" t="n"/>
      <c r="S84" s="38" t="n"/>
      <c r="U84" s="8" t="n"/>
      <c r="W84" s="38" t="n"/>
    </row>
    <row r="85">
      <c r="M85" s="8" t="n"/>
      <c r="O85" s="38" t="n"/>
      <c r="R85" s="38" t="n"/>
      <c r="S85" s="38" t="n"/>
      <c r="U85" s="8" t="n"/>
      <c r="W85" s="38" t="n"/>
    </row>
    <row r="86">
      <c r="M86" s="8" t="n"/>
      <c r="O86" s="38" t="n"/>
      <c r="R86" s="38" t="n"/>
      <c r="S86" s="38" t="n"/>
      <c r="U86" s="8" t="n"/>
      <c r="W86" s="38" t="n"/>
    </row>
    <row r="87">
      <c r="M87" s="8" t="n"/>
      <c r="O87" s="38" t="n"/>
      <c r="R87" s="38" t="n"/>
      <c r="S87" s="38" t="n"/>
      <c r="U87" s="8" t="n"/>
      <c r="W87" s="38" t="n"/>
    </row>
    <row r="88">
      <c r="M88" s="8" t="n"/>
      <c r="O88" s="38" t="n"/>
      <c r="R88" s="38" t="n"/>
      <c r="S88" s="38" t="n"/>
      <c r="U88" s="8" t="n"/>
      <c r="W88" s="38" t="n"/>
    </row>
    <row r="89">
      <c r="M89" s="8" t="n"/>
      <c r="O89" s="38" t="n"/>
      <c r="R89" s="38" t="n"/>
      <c r="S89" s="38" t="n"/>
      <c r="U89" s="8" t="n"/>
      <c r="W89" s="38" t="n"/>
    </row>
    <row r="90">
      <c r="M90" s="8" t="n"/>
      <c r="O90" s="38" t="n"/>
      <c r="R90" s="38" t="n"/>
      <c r="S90" s="38" t="n"/>
      <c r="U90" s="8" t="n"/>
      <c r="W90" s="38" t="n"/>
    </row>
    <row r="91">
      <c r="M91" s="8" t="n"/>
      <c r="O91" s="38" t="n"/>
      <c r="R91" s="38" t="n"/>
      <c r="S91" s="38" t="n"/>
      <c r="U91" s="8" t="n"/>
      <c r="W91" s="38" t="n"/>
    </row>
    <row r="92">
      <c r="M92" s="8" t="n"/>
      <c r="O92" s="38" t="n"/>
      <c r="R92" s="38" t="n"/>
      <c r="S92" s="38" t="n"/>
      <c r="U92" s="8" t="n"/>
      <c r="W92" s="38" t="n"/>
    </row>
    <row r="93">
      <c r="M93" s="8" t="n"/>
      <c r="O93" s="38" t="n"/>
      <c r="R93" s="38" t="n"/>
      <c r="S93" s="38" t="n"/>
      <c r="U93" s="8" t="n"/>
      <c r="W93" s="38" t="n"/>
    </row>
    <row r="94">
      <c r="M94" s="8" t="n"/>
      <c r="O94" s="38" t="n"/>
      <c r="R94" s="38" t="n"/>
      <c r="S94" s="38" t="n"/>
      <c r="U94" s="8" t="n"/>
      <c r="W94" s="38" t="n"/>
    </row>
    <row r="95">
      <c r="M95" s="8" t="n"/>
      <c r="O95" s="38" t="n"/>
      <c r="R95" s="38" t="n"/>
      <c r="S95" s="38" t="n"/>
      <c r="U95" s="8" t="n"/>
      <c r="W95" s="38" t="n"/>
    </row>
    <row r="96">
      <c r="M96" s="8" t="n"/>
      <c r="O96" s="38" t="n"/>
      <c r="R96" s="38" t="n"/>
      <c r="S96" s="38" t="n"/>
      <c r="U96" s="8" t="n"/>
      <c r="W96" s="38" t="n"/>
    </row>
    <row r="97">
      <c r="M97" s="8" t="n"/>
      <c r="O97" s="38" t="n"/>
      <c r="R97" s="38" t="n"/>
      <c r="S97" s="38" t="n"/>
      <c r="U97" s="8" t="n"/>
      <c r="W97" s="38" t="n"/>
    </row>
    <row r="98">
      <c r="M98" s="8" t="n"/>
      <c r="O98" s="38" t="n"/>
      <c r="R98" s="38" t="n"/>
      <c r="S98" s="38" t="n"/>
      <c r="U98" s="8" t="n"/>
      <c r="W98" s="38" t="n"/>
    </row>
    <row r="99">
      <c r="M99" s="8" t="n"/>
      <c r="O99" s="38" t="n"/>
      <c r="R99" s="38" t="n"/>
      <c r="S99" s="38" t="n"/>
      <c r="U99" s="8" t="n"/>
      <c r="W99" s="38" t="n"/>
    </row>
    <row r="100">
      <c r="M100" s="8" t="n"/>
      <c r="O100" s="38" t="n"/>
      <c r="R100" s="38" t="n"/>
      <c r="S100" s="38" t="n"/>
      <c r="U100" s="8" t="n"/>
      <c r="W100" s="38" t="n"/>
    </row>
  </sheetData>
  <mergeCells count="2">
    <mergeCell ref="A1:O1"/>
    <mergeCell ref="A3:O3"/>
  </mergeCells>
  <conditionalFormatting sqref="U5:U100">
    <cfRule type="cellIs" priority="1" operator="equal" dxfId="1">
      <formula>"En attente"</formula>
    </cfRule>
    <cfRule type="cellIs" priority="2" operator="equal" dxfId="2">
      <formula>"Livré"</formula>
    </cfRule>
  </conditionalFormatting>
  <dataValidations count="3">
    <dataValidation sqref="I5:I100" showDropDown="0" showInputMessage="0" showErrorMessage="0" allowBlank="0" type="list">
      <formula1>"Légumes/Fruits,Viandes,Poissons,Boissons,Épices/Condiments,Produits Laitiers,Féculents,Emballages,Équipements,Autres"</formula1>
    </dataValidation>
    <dataValidation sqref="N5:N100" showDropDown="0" showInputMessage="0" showErrorMessage="0" allowBlank="0" type="list">
      <formula1>"✓ Actif,✗ Inactif,⏸ Suspendu"</formula1>
    </dataValidation>
    <dataValidation sqref="U5:U100" showDropDown="0" showInputMessage="0" showErrorMessage="0" allowBlank="0" type="list">
      <formula1>"En attente,Confirmée,Expédiée,Livré,Partiel,Annulé"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9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1" t="inlineStr">
        <is>
          <t>📝 GESTION DES INVENTAIRES - CONTRÔLES PÉRIODIQUES</t>
        </is>
      </c>
    </row>
    <row r="3">
      <c r="A3" s="25" t="inlineStr">
        <is>
          <t>NOUVEL INVENTAIRE</t>
        </is>
      </c>
      <c r="O3" s="25" t="inlineStr">
        <is>
          <t>RÉSUMÉ DES INVENTAIRES</t>
        </is>
      </c>
    </row>
    <row r="4">
      <c r="A4" s="33" t="inlineStr">
        <is>
          <t>Date Inventaire</t>
        </is>
      </c>
      <c r="B4" s="33" t="inlineStr">
        <is>
          <t>ID Produit</t>
        </is>
      </c>
      <c r="C4" s="33" t="inlineStr">
        <is>
          <t>Produit</t>
        </is>
      </c>
      <c r="D4" s="33" t="inlineStr">
        <is>
          <t>Catégorie</t>
        </is>
      </c>
      <c r="E4" s="33" t="inlineStr">
        <is>
          <t>Stock Théorique</t>
        </is>
      </c>
      <c r="F4" s="33" t="inlineStr">
        <is>
          <t>Stock Compté</t>
        </is>
      </c>
      <c r="G4" s="33" t="inlineStr">
        <is>
          <t>Écart Quantité</t>
        </is>
      </c>
      <c r="H4" s="33" t="inlineStr">
        <is>
          <t>% Écart</t>
        </is>
      </c>
      <c r="I4" s="33" t="inlineStr">
        <is>
          <t>Prix Unitaire</t>
        </is>
      </c>
      <c r="J4" s="33" t="inlineStr">
        <is>
          <t>Valeur Écart</t>
        </is>
      </c>
      <c r="K4" s="33" t="inlineStr">
        <is>
          <t>Cause Écart</t>
        </is>
      </c>
      <c r="L4" s="33" t="inlineStr">
        <is>
          <t>Responsable</t>
        </is>
      </c>
      <c r="M4" s="33" t="inlineStr">
        <is>
          <t>Validé</t>
        </is>
      </c>
      <c r="O4" s="37" t="inlineStr">
        <is>
          <t>Mois</t>
        </is>
      </c>
      <c r="P4" s="37" t="inlineStr">
        <is>
          <t>Nb Inventaires</t>
        </is>
      </c>
      <c r="Q4" s="37" t="inlineStr">
        <is>
          <t>Total Écarts Négatifs</t>
        </is>
      </c>
      <c r="R4" s="37" t="inlineStr">
        <is>
          <t>Total Écarts Positifs</t>
        </is>
      </c>
      <c r="S4" s="37" t="inlineStr">
        <is>
          <t>Écart Net</t>
        </is>
      </c>
      <c r="T4" s="37" t="inlineStr">
        <is>
          <t>% Perte</t>
        </is>
      </c>
      <c r="U4" s="37" t="inlineStr">
        <is>
          <t>Action Requise</t>
        </is>
      </c>
    </row>
    <row r="5">
      <c r="A5" s="38" t="inlineStr">
        <is>
          <t>26/05/2026</t>
        </is>
      </c>
      <c r="B5" t="inlineStr">
        <is>
          <t>P001</t>
        </is>
      </c>
      <c r="C5" t="inlineStr">
        <is>
          <t>Tomates</t>
        </is>
      </c>
      <c r="D5" t="inlineStr">
        <is>
          <t>Légumes</t>
        </is>
      </c>
      <c r="E5" t="n">
        <v>50</v>
      </c>
      <c r="F5" t="n">
        <v>48</v>
      </c>
      <c r="G5">
        <f>IF(F5="","",F5-E5)</f>
        <v/>
      </c>
      <c r="H5" s="30">
        <f>IF(E5&gt;0,G5/E5*100,0)</f>
        <v/>
      </c>
      <c r="I5" s="8" t="n">
        <v>2.5</v>
      </c>
      <c r="J5" s="8">
        <f>IF(G5="","",G5*I5)</f>
        <v/>
      </c>
      <c r="K5" t="inlineStr">
        <is>
          <t>Périmé</t>
        </is>
      </c>
      <c r="L5" t="inlineStr">
        <is>
          <t>Chef</t>
        </is>
      </c>
      <c r="M5" t="inlineStr">
        <is>
          <t>Oui</t>
        </is>
      </c>
      <c r="O5" t="inlineStr">
        <is>
          <t>Janvier</t>
        </is>
      </c>
      <c r="P5">
        <f>COUNTIFS(INVENTAIRES!A:A, "&gt;="&amp;DATE(2025,1,1), INVENTAIRES!A:A, "&lt;"&amp;DATE(2025,2,1))</f>
        <v/>
      </c>
      <c r="Q5" s="8">
        <f>SUMIFS(INVENTAIRES!J:J, INVENTAIRES!A:A, "&gt;="&amp;DATE(2025,1,1), INVENTAIRES!A:A, "&lt;"&amp;DATE(2025,2,1), INVENTAIRES!J:J, "&lt;0")</f>
        <v/>
      </c>
      <c r="R5" s="8">
        <f>SUMIFS(INVENTAIRES!J:J, INVENTAIRES!A:A, "&gt;="&amp;DATE(2025,1,1), INVENTAIRES!A:A, "&lt;"&amp;DATE(2025,2,1), INVENTAIRES!J:J, "&gt;0")</f>
        <v/>
      </c>
      <c r="S5" s="8">
        <f>Q5+R5</f>
        <v/>
      </c>
      <c r="T5" s="30">
        <f>IF(P5&gt;0,ABS(Q5)/P5*100,0)</f>
        <v/>
      </c>
      <c r="U5">
        <f>IF(S5&lt;-100,"⚠️ Action requise",IF(S5&lt;-50,"⚡ Surveillance","✓ OK"))</f>
        <v/>
      </c>
    </row>
    <row r="6">
      <c r="A6" s="38" t="inlineStr">
        <is>
          <t>26/05/2026</t>
        </is>
      </c>
      <c r="B6" t="inlineStr">
        <is>
          <t>P002</t>
        </is>
      </c>
      <c r="C6" t="inlineStr">
        <is>
          <t>Boeuf</t>
        </is>
      </c>
      <c r="D6" t="inlineStr">
        <is>
          <t>Viandes</t>
        </is>
      </c>
      <c r="E6" t="n">
        <v>30</v>
      </c>
      <c r="F6" t="n">
        <v>29</v>
      </c>
      <c r="G6">
        <f>IF(F6="","",F6-E6)</f>
        <v/>
      </c>
      <c r="H6" s="30">
        <f>IF(E6&gt;0,G6/E6*100,0)</f>
        <v/>
      </c>
      <c r="I6" s="8" t="n">
        <v>15</v>
      </c>
      <c r="J6" s="8">
        <f>IF(G6="","",G6*I6)</f>
        <v/>
      </c>
      <c r="K6" t="inlineStr">
        <is>
          <t>Perte cuisine</t>
        </is>
      </c>
      <c r="L6" t="inlineStr">
        <is>
          <t>Chef</t>
        </is>
      </c>
      <c r="M6" t="inlineStr">
        <is>
          <t>Oui</t>
        </is>
      </c>
      <c r="O6" t="inlineStr">
        <is>
          <t>Février</t>
        </is>
      </c>
      <c r="P6">
        <f>COUNTIFS(INVENTAIRES!A:A, "&gt;="&amp;DATE(2025,2,1), INVENTAIRES!A:A, "&lt;"&amp;DATE(2025,3,1))</f>
        <v/>
      </c>
      <c r="Q6" s="8">
        <f>SUMIFS(INVENTAIRES!J:J, INVENTAIRES!A:A, "&gt;="&amp;DATE(2025,2,1), INVENTAIRES!A:A, "&lt;"&amp;DATE(2025,3,1), INVENTAIRES!J:J, "&lt;0")</f>
        <v/>
      </c>
      <c r="R6" s="8">
        <f>SUMIFS(INVENTAIRES!J:J, INVENTAIRES!A:A, "&gt;="&amp;DATE(2025,2,1), INVENTAIRES!A:A, "&lt;"&amp;DATE(2025,3,1), INVENTAIRES!J:J, "&gt;0")</f>
        <v/>
      </c>
      <c r="S6" s="8">
        <f>Q6+R6</f>
        <v/>
      </c>
      <c r="T6" s="30">
        <f>IF(P6&gt;0,ABS(Q6)/P6*100,0)</f>
        <v/>
      </c>
      <c r="U6">
        <f>IF(S6&lt;-100,"⚠️ Action requise",IF(S6&lt;-50,"⚡ Surveillance","✓ OK"))</f>
        <v/>
      </c>
    </row>
    <row r="7">
      <c r="A7" s="38" t="inlineStr">
        <is>
          <t>26/05/2026</t>
        </is>
      </c>
      <c r="B7" t="inlineStr">
        <is>
          <t>P003</t>
        </is>
      </c>
      <c r="C7" t="inlineStr">
        <is>
          <t>Riz</t>
        </is>
      </c>
      <c r="D7" t="inlineStr">
        <is>
          <t>Féculents</t>
        </is>
      </c>
      <c r="E7" t="n">
        <v>100</v>
      </c>
      <c r="F7" t="n">
        <v>102</v>
      </c>
      <c r="G7">
        <f>IF(F7="","",F7-E7)</f>
        <v/>
      </c>
      <c r="H7" s="30">
        <f>IF(E7&gt;0,G7/E7*100,0)</f>
        <v/>
      </c>
      <c r="I7" s="8" t="n">
        <v>3</v>
      </c>
      <c r="J7" s="8">
        <f>IF(G7="","",G7*I7)</f>
        <v/>
      </c>
      <c r="K7" t="inlineStr">
        <is>
          <t>Erreur comptage</t>
        </is>
      </c>
      <c r="L7" t="inlineStr">
        <is>
          <t>Manager</t>
        </is>
      </c>
      <c r="M7" t="inlineStr">
        <is>
          <t>Oui</t>
        </is>
      </c>
      <c r="O7" t="inlineStr">
        <is>
          <t>Mars</t>
        </is>
      </c>
      <c r="P7">
        <f>COUNTIFS(INVENTAIRES!A:A, "&gt;="&amp;DATE(2025,3,1), INVENTAIRES!A:A, "&lt;"&amp;DATE(2025,4,1))</f>
        <v/>
      </c>
      <c r="Q7" s="8">
        <f>SUMIFS(INVENTAIRES!J:J, INVENTAIRES!A:A, "&gt;="&amp;DATE(2025,3,1), INVENTAIRES!A:A, "&lt;"&amp;DATE(2025,4,1), INVENTAIRES!J:J, "&lt;0")</f>
        <v/>
      </c>
      <c r="R7" s="8">
        <f>SUMIFS(INVENTAIRES!J:J, INVENTAIRES!A:A, "&gt;="&amp;DATE(2025,3,1), INVENTAIRES!A:A, "&lt;"&amp;DATE(2025,4,1), INVENTAIRES!J:J, "&gt;0")</f>
        <v/>
      </c>
      <c r="S7" s="8">
        <f>Q7+R7</f>
        <v/>
      </c>
      <c r="T7" s="30">
        <f>IF(P7&gt;0,ABS(Q7)/P7*100,0)</f>
        <v/>
      </c>
      <c r="U7">
        <f>IF(S7&lt;-100,"⚠️ Action requise",IF(S7&lt;-50,"⚡ Surveillance","✓ OK"))</f>
        <v/>
      </c>
    </row>
    <row r="8">
      <c r="A8" s="38" t="inlineStr">
        <is>
          <t>26/05/2026</t>
        </is>
      </c>
      <c r="B8" t="inlineStr">
        <is>
          <t>P004</t>
        </is>
      </c>
      <c r="C8" t="inlineStr">
        <is>
          <t>Huile Olive</t>
        </is>
      </c>
      <c r="D8" t="inlineStr">
        <is>
          <t>Condiments</t>
        </is>
      </c>
      <c r="E8" t="n">
        <v>25</v>
      </c>
      <c r="F8" t="n">
        <v>25</v>
      </c>
      <c r="G8">
        <f>IF(F8="","",F8-E8)</f>
        <v/>
      </c>
      <c r="H8" s="30">
        <f>IF(E8&gt;0,G8/E8*100,0)</f>
        <v/>
      </c>
      <c r="I8" s="8" t="n">
        <v>8</v>
      </c>
      <c r="J8" s="8">
        <f>IF(G8="","",G8*I8)</f>
        <v/>
      </c>
      <c r="K8" t="inlineStr">
        <is>
          <t>-</t>
        </is>
      </c>
      <c r="L8" t="inlineStr">
        <is>
          <t>Chef</t>
        </is>
      </c>
      <c r="M8" t="inlineStr">
        <is>
          <t>Oui</t>
        </is>
      </c>
      <c r="O8" t="inlineStr">
        <is>
          <t>Avril</t>
        </is>
      </c>
      <c r="P8">
        <f>COUNTIFS(INVENTAIRES!A:A, "&gt;="&amp;DATE(2025,4,1), INVENTAIRES!A:A, "&lt;"&amp;DATE(2025,5,1))</f>
        <v/>
      </c>
      <c r="Q8" s="8">
        <f>SUMIFS(INVENTAIRES!J:J, INVENTAIRES!A:A, "&gt;="&amp;DATE(2025,4,1), INVENTAIRES!A:A, "&lt;"&amp;DATE(2025,5,1), INVENTAIRES!J:J, "&lt;0")</f>
        <v/>
      </c>
      <c r="R8" s="8">
        <f>SUMIFS(INVENTAIRES!J:J, INVENTAIRES!A:A, "&gt;="&amp;DATE(2025,4,1), INVENTAIRES!A:A, "&lt;"&amp;DATE(2025,5,1), INVENTAIRES!J:J, "&gt;0")</f>
        <v/>
      </c>
      <c r="S8" s="8">
        <f>Q8+R8</f>
        <v/>
      </c>
      <c r="T8" s="30">
        <f>IF(P8&gt;0,ABS(Q8)/P8*100,0)</f>
        <v/>
      </c>
      <c r="U8">
        <f>IF(S8&lt;-100,"⚠️ Action requise",IF(S8&lt;-50,"⚡ Surveillance","✓ OK"))</f>
        <v/>
      </c>
    </row>
    <row r="9">
      <c r="A9" s="38" t="inlineStr">
        <is>
          <t>26/05/2026</t>
        </is>
      </c>
      <c r="B9" t="inlineStr">
        <is>
          <t>P005</t>
        </is>
      </c>
      <c r="C9" t="inlineStr">
        <is>
          <t>Saumon</t>
        </is>
      </c>
      <c r="D9" t="inlineStr">
        <is>
          <t>Poissons</t>
        </is>
      </c>
      <c r="E9" t="n">
        <v>15</v>
      </c>
      <c r="F9" t="n">
        <v>13</v>
      </c>
      <c r="G9">
        <f>IF(F9="","",F9-E9)</f>
        <v/>
      </c>
      <c r="H9" s="30">
        <f>IF(E9&gt;0,G9/E9*100,0)</f>
        <v/>
      </c>
      <c r="I9" s="8" t="n">
        <v>20</v>
      </c>
      <c r="J9" s="8">
        <f>IF(G9="","",G9*I9)</f>
        <v/>
      </c>
      <c r="K9" t="inlineStr">
        <is>
          <t>Vol/Perte</t>
        </is>
      </c>
      <c r="L9" t="inlineStr">
        <is>
          <t>Manager</t>
        </is>
      </c>
      <c r="M9" t="inlineStr">
        <is>
          <t>Non</t>
        </is>
      </c>
      <c r="O9" t="inlineStr">
        <is>
          <t>Mai</t>
        </is>
      </c>
      <c r="P9">
        <f>COUNTIFS(INVENTAIRES!A:A, "&gt;="&amp;DATE(2025,5,1), INVENTAIRES!A:A, "&lt;"&amp;DATE(2025,6,1))</f>
        <v/>
      </c>
      <c r="Q9" s="8">
        <f>SUMIFS(INVENTAIRES!J:J, INVENTAIRES!A:A, "&gt;="&amp;DATE(2025,5,1), INVENTAIRES!A:A, "&lt;"&amp;DATE(2025,6,1), INVENTAIRES!J:J, "&lt;0")</f>
        <v/>
      </c>
      <c r="R9" s="8">
        <f>SUMIFS(INVENTAIRES!J:J, INVENTAIRES!A:A, "&gt;="&amp;DATE(2025,5,1), INVENTAIRES!A:A, "&lt;"&amp;DATE(2025,6,1), INVENTAIRES!J:J, "&gt;0")</f>
        <v/>
      </c>
      <c r="S9" s="8">
        <f>Q9+R9</f>
        <v/>
      </c>
      <c r="T9" s="30">
        <f>IF(P9&gt;0,ABS(Q9)/P9*100,0)</f>
        <v/>
      </c>
      <c r="U9">
        <f>IF(S9&lt;-100,"⚠️ Action requise",IF(S9&lt;-50,"⚡ Surveillance","✓ OK"))</f>
        <v/>
      </c>
    </row>
    <row r="10">
      <c r="A10" s="38" t="n"/>
      <c r="G10">
        <f>IF(F10="","",F10-E10)</f>
        <v/>
      </c>
      <c r="H10" s="30">
        <f>IF(E10&gt;0,G10/E10*100,0)</f>
        <v/>
      </c>
      <c r="I10" s="8" t="n"/>
      <c r="J10" s="8">
        <f>IF(G10="","",G10*I10)</f>
        <v/>
      </c>
      <c r="O10" t="inlineStr">
        <is>
          <t>Juin</t>
        </is>
      </c>
      <c r="P10">
        <f>COUNTIFS(INVENTAIRES!A:A, "&gt;="&amp;DATE(2025,6,1), INVENTAIRES!A:A, "&lt;"&amp;DATE(2025,7,1))</f>
        <v/>
      </c>
      <c r="Q10" s="8">
        <f>SUMIFS(INVENTAIRES!J:J, INVENTAIRES!A:A, "&gt;="&amp;DATE(2025,6,1), INVENTAIRES!A:A, "&lt;"&amp;DATE(2025,7,1), INVENTAIRES!J:J, "&lt;0")</f>
        <v/>
      </c>
      <c r="R10" s="8">
        <f>SUMIFS(INVENTAIRES!J:J, INVENTAIRES!A:A, "&gt;="&amp;DATE(2025,6,1), INVENTAIRES!A:A, "&lt;"&amp;DATE(2025,7,1), INVENTAIRES!J:J, "&gt;0")</f>
        <v/>
      </c>
      <c r="S10" s="8">
        <f>Q10+R10</f>
        <v/>
      </c>
      <c r="T10" s="30">
        <f>IF(P10&gt;0,ABS(Q10)/P10*100,0)</f>
        <v/>
      </c>
      <c r="U10">
        <f>IF(S10&lt;-100,"⚠️ Action requise",IF(S10&lt;-50,"⚡ Surveillance","✓ OK"))</f>
        <v/>
      </c>
    </row>
    <row r="11">
      <c r="A11" s="38" t="n"/>
      <c r="G11">
        <f>IF(F11="","",F11-E11)</f>
        <v/>
      </c>
      <c r="H11" s="30">
        <f>IF(E11&gt;0,G11/E11*100,0)</f>
        <v/>
      </c>
      <c r="I11" s="8" t="n"/>
      <c r="J11" s="8">
        <f>IF(G11="","",G11*I11)</f>
        <v/>
      </c>
      <c r="O11" t="inlineStr">
        <is>
          <t>Juillet</t>
        </is>
      </c>
      <c r="P11">
        <f>COUNTIFS(INVENTAIRES!A:A, "&gt;="&amp;DATE(2025,7,1), INVENTAIRES!A:A, "&lt;"&amp;DATE(2025,8,1))</f>
        <v/>
      </c>
      <c r="Q11" s="8">
        <f>SUMIFS(INVENTAIRES!J:J, INVENTAIRES!A:A, "&gt;="&amp;DATE(2025,7,1), INVENTAIRES!A:A, "&lt;"&amp;DATE(2025,8,1), INVENTAIRES!J:J, "&lt;0")</f>
        <v/>
      </c>
      <c r="R11" s="8">
        <f>SUMIFS(INVENTAIRES!J:J, INVENTAIRES!A:A, "&gt;="&amp;DATE(2025,7,1), INVENTAIRES!A:A, "&lt;"&amp;DATE(2025,8,1), INVENTAIRES!J:J, "&gt;0")</f>
        <v/>
      </c>
      <c r="S11" s="8">
        <f>Q11+R11</f>
        <v/>
      </c>
      <c r="T11" s="30">
        <f>IF(P11&gt;0,ABS(Q11)/P11*100,0)</f>
        <v/>
      </c>
      <c r="U11">
        <f>IF(S11&lt;-100,"⚠️ Action requise",IF(S11&lt;-50,"⚡ Surveillance","✓ OK"))</f>
        <v/>
      </c>
    </row>
    <row r="12">
      <c r="A12" s="38" t="n"/>
      <c r="G12">
        <f>IF(F12="","",F12-E12)</f>
        <v/>
      </c>
      <c r="H12" s="30">
        <f>IF(E12&gt;0,G12/E12*100,0)</f>
        <v/>
      </c>
      <c r="I12" s="8" t="n"/>
      <c r="J12" s="8">
        <f>IF(G12="","",G12*I12)</f>
        <v/>
      </c>
      <c r="O12" t="inlineStr">
        <is>
          <t>Août</t>
        </is>
      </c>
      <c r="P12">
        <f>COUNTIFS(INVENTAIRES!A:A, "&gt;="&amp;DATE(2025,8,1), INVENTAIRES!A:A, "&lt;"&amp;DATE(2025,9,1))</f>
        <v/>
      </c>
      <c r="Q12" s="8">
        <f>SUMIFS(INVENTAIRES!J:J, INVENTAIRES!A:A, "&gt;="&amp;DATE(2025,8,1), INVENTAIRES!A:A, "&lt;"&amp;DATE(2025,9,1), INVENTAIRES!J:J, "&lt;0")</f>
        <v/>
      </c>
      <c r="R12" s="8">
        <f>SUMIFS(INVENTAIRES!J:J, INVENTAIRES!A:A, "&gt;="&amp;DATE(2025,8,1), INVENTAIRES!A:A, "&lt;"&amp;DATE(2025,9,1), INVENTAIRES!J:J, "&gt;0")</f>
        <v/>
      </c>
      <c r="S12" s="8">
        <f>Q12+R12</f>
        <v/>
      </c>
      <c r="T12" s="30">
        <f>IF(P12&gt;0,ABS(Q12)/P12*100,0)</f>
        <v/>
      </c>
      <c r="U12">
        <f>IF(S12&lt;-100,"⚠️ Action requise",IF(S12&lt;-50,"⚡ Surveillance","✓ OK"))</f>
        <v/>
      </c>
    </row>
    <row r="13">
      <c r="A13" s="38" t="n"/>
      <c r="G13">
        <f>IF(F13="","",F13-E13)</f>
        <v/>
      </c>
      <c r="H13" s="30">
        <f>IF(E13&gt;0,G13/E13*100,0)</f>
        <v/>
      </c>
      <c r="I13" s="8" t="n"/>
      <c r="J13" s="8">
        <f>IF(G13="","",G13*I13)</f>
        <v/>
      </c>
      <c r="O13" t="inlineStr">
        <is>
          <t>Septembre</t>
        </is>
      </c>
      <c r="P13">
        <f>COUNTIFS(INVENTAIRES!A:A, "&gt;="&amp;DATE(2025,9,1), INVENTAIRES!A:A, "&lt;"&amp;DATE(2025,10,1))</f>
        <v/>
      </c>
      <c r="Q13" s="8">
        <f>SUMIFS(INVENTAIRES!J:J, INVENTAIRES!A:A, "&gt;="&amp;DATE(2025,9,1), INVENTAIRES!A:A, "&lt;"&amp;DATE(2025,10,1), INVENTAIRES!J:J, "&lt;0")</f>
        <v/>
      </c>
      <c r="R13" s="8">
        <f>SUMIFS(INVENTAIRES!J:J, INVENTAIRES!A:A, "&gt;="&amp;DATE(2025,9,1), INVENTAIRES!A:A, "&lt;"&amp;DATE(2025,10,1), INVENTAIRES!J:J, "&gt;0")</f>
        <v/>
      </c>
      <c r="S13" s="8">
        <f>Q13+R13</f>
        <v/>
      </c>
      <c r="T13" s="30">
        <f>IF(P13&gt;0,ABS(Q13)/P13*100,0)</f>
        <v/>
      </c>
      <c r="U13">
        <f>IF(S13&lt;-100,"⚠️ Action requise",IF(S13&lt;-50,"⚡ Surveillance","✓ OK"))</f>
        <v/>
      </c>
    </row>
    <row r="14">
      <c r="A14" s="38" t="n"/>
      <c r="G14">
        <f>IF(F14="","",F14-E14)</f>
        <v/>
      </c>
      <c r="H14" s="30">
        <f>IF(E14&gt;0,G14/E14*100,0)</f>
        <v/>
      </c>
      <c r="I14" s="8" t="n"/>
      <c r="J14" s="8">
        <f>IF(G14="","",G14*I14)</f>
        <v/>
      </c>
      <c r="O14" t="inlineStr">
        <is>
          <t>Octobre</t>
        </is>
      </c>
      <c r="P14">
        <f>COUNTIFS(INVENTAIRES!A:A, "&gt;="&amp;DATE(2025,10,1), INVENTAIRES!A:A, "&lt;"&amp;DATE(2025,11,1))</f>
        <v/>
      </c>
      <c r="Q14" s="8">
        <f>SUMIFS(INVENTAIRES!J:J, INVENTAIRES!A:A, "&gt;="&amp;DATE(2025,10,1), INVENTAIRES!A:A, "&lt;"&amp;DATE(2025,11,1), INVENTAIRES!J:J, "&lt;0")</f>
        <v/>
      </c>
      <c r="R14" s="8">
        <f>SUMIFS(INVENTAIRES!J:J, INVENTAIRES!A:A, "&gt;="&amp;DATE(2025,10,1), INVENTAIRES!A:A, "&lt;"&amp;DATE(2025,11,1), INVENTAIRES!J:J, "&gt;0")</f>
        <v/>
      </c>
      <c r="S14" s="8">
        <f>Q14+R14</f>
        <v/>
      </c>
      <c r="T14" s="30">
        <f>IF(P14&gt;0,ABS(Q14)/P14*100,0)</f>
        <v/>
      </c>
      <c r="U14">
        <f>IF(S14&lt;-100,"⚠️ Action requise",IF(S14&lt;-50,"⚡ Surveillance","✓ OK"))</f>
        <v/>
      </c>
    </row>
    <row r="15">
      <c r="A15" s="38" t="n"/>
      <c r="G15">
        <f>IF(F15="","",F15-E15)</f>
        <v/>
      </c>
      <c r="H15" s="30">
        <f>IF(E15&gt;0,G15/E15*100,0)</f>
        <v/>
      </c>
      <c r="I15" s="8" t="n"/>
      <c r="J15" s="8">
        <f>IF(G15="","",G15*I15)</f>
        <v/>
      </c>
      <c r="O15" t="inlineStr">
        <is>
          <t>Novembre</t>
        </is>
      </c>
      <c r="P15">
        <f>COUNTIFS(INVENTAIRES!A:A, "&gt;="&amp;DATE(2025,11,1), INVENTAIRES!A:A, "&lt;"&amp;DATE(2025,12,1))</f>
        <v/>
      </c>
      <c r="Q15" s="8">
        <f>SUMIFS(INVENTAIRES!J:J, INVENTAIRES!A:A, "&gt;="&amp;DATE(2025,11,1), INVENTAIRES!A:A, "&lt;"&amp;DATE(2025,12,1), INVENTAIRES!J:J, "&lt;0")</f>
        <v/>
      </c>
      <c r="R15" s="8">
        <f>SUMIFS(INVENTAIRES!J:J, INVENTAIRES!A:A, "&gt;="&amp;DATE(2025,11,1), INVENTAIRES!A:A, "&lt;"&amp;DATE(2025,12,1), INVENTAIRES!J:J, "&gt;0")</f>
        <v/>
      </c>
      <c r="S15" s="8">
        <f>Q15+R15</f>
        <v/>
      </c>
      <c r="T15" s="30">
        <f>IF(P15&gt;0,ABS(Q15)/P15*100,0)</f>
        <v/>
      </c>
      <c r="U15">
        <f>IF(S15&lt;-100,"⚠️ Action requise",IF(S15&lt;-50,"⚡ Surveillance","✓ OK"))</f>
        <v/>
      </c>
    </row>
    <row r="16">
      <c r="A16" s="38" t="n"/>
      <c r="G16">
        <f>IF(F16="","",F16-E16)</f>
        <v/>
      </c>
      <c r="H16" s="30">
        <f>IF(E16&gt;0,G16/E16*100,0)</f>
        <v/>
      </c>
      <c r="I16" s="8" t="n"/>
      <c r="J16" s="8">
        <f>IF(G16="","",G16*I16)</f>
        <v/>
      </c>
      <c r="O16" t="inlineStr">
        <is>
          <t>Décembre</t>
        </is>
      </c>
      <c r="P16">
        <f>COUNTIFS(INVENTAIRES!A:A, "&gt;="&amp;DATE(2025,12,1), INVENTAIRES!A:A, "&lt;"&amp;DATE(2025,13,1))</f>
        <v/>
      </c>
      <c r="Q16" s="8">
        <f>SUMIFS(INVENTAIRES!J:J, INVENTAIRES!A:A, "&gt;="&amp;DATE(2025,12,1), INVENTAIRES!A:A, "&lt;"&amp;DATE(2025,13,1), INVENTAIRES!J:J, "&lt;0")</f>
        <v/>
      </c>
      <c r="R16" s="8">
        <f>SUMIFS(INVENTAIRES!J:J, INVENTAIRES!A:A, "&gt;="&amp;DATE(2025,12,1), INVENTAIRES!A:A, "&lt;"&amp;DATE(2025,13,1), INVENTAIRES!J:J, "&gt;0")</f>
        <v/>
      </c>
      <c r="S16" s="8">
        <f>Q16+R16</f>
        <v/>
      </c>
      <c r="T16" s="30">
        <f>IF(P16&gt;0,ABS(Q16)/P16*100,0)</f>
        <v/>
      </c>
      <c r="U16">
        <f>IF(S16&lt;-100,"⚠️ Action requise",IF(S16&lt;-50,"⚡ Surveillance","✓ OK"))</f>
        <v/>
      </c>
    </row>
    <row r="17">
      <c r="A17" s="38" t="n"/>
      <c r="G17">
        <f>IF(F17="","",F17-E17)</f>
        <v/>
      </c>
      <c r="H17" s="30">
        <f>IF(E17&gt;0,G17/E17*100,0)</f>
        <v/>
      </c>
      <c r="I17" s="8" t="n"/>
      <c r="J17" s="8">
        <f>IF(G17="","",G17*I17)</f>
        <v/>
      </c>
    </row>
    <row r="18">
      <c r="A18" s="38" t="n"/>
      <c r="G18">
        <f>IF(F18="","",F18-E18)</f>
        <v/>
      </c>
      <c r="H18" s="30">
        <f>IF(E18&gt;0,G18/E18*100,0)</f>
        <v/>
      </c>
      <c r="I18" s="8" t="n"/>
      <c r="J18" s="8">
        <f>IF(G18="","",G18*I18)</f>
        <v/>
      </c>
    </row>
    <row r="19">
      <c r="A19" s="38" t="n"/>
      <c r="G19">
        <f>IF(F19="","",F19-E19)</f>
        <v/>
      </c>
      <c r="H19" s="30">
        <f>IF(E19&gt;0,G19/E19*100,0)</f>
        <v/>
      </c>
      <c r="I19" s="8" t="n"/>
      <c r="J19" s="8">
        <f>IF(G19="","",G19*I19)</f>
        <v/>
      </c>
    </row>
    <row r="20">
      <c r="A20" s="38" t="n"/>
      <c r="G20">
        <f>IF(F20="","",F20-E20)</f>
        <v/>
      </c>
      <c r="H20" s="30">
        <f>IF(E20&gt;0,G20/E20*100,0)</f>
        <v/>
      </c>
      <c r="I20" s="8" t="n"/>
      <c r="J20" s="8">
        <f>IF(G20="","",G20*I20)</f>
        <v/>
      </c>
    </row>
    <row r="21">
      <c r="A21" s="38" t="n"/>
      <c r="G21">
        <f>IF(F21="","",F21-E21)</f>
        <v/>
      </c>
      <c r="H21" s="30">
        <f>IF(E21&gt;0,G21/E21*100,0)</f>
        <v/>
      </c>
      <c r="I21" s="8" t="n"/>
      <c r="J21" s="8">
        <f>IF(G21="","",G21*I21)</f>
        <v/>
      </c>
    </row>
    <row r="22">
      <c r="A22" s="38" t="n"/>
      <c r="G22">
        <f>IF(F22="","",F22-E22)</f>
        <v/>
      </c>
      <c r="H22" s="30">
        <f>IF(E22&gt;0,G22/E22*100,0)</f>
        <v/>
      </c>
      <c r="I22" s="8" t="n"/>
      <c r="J22" s="8">
        <f>IF(G22="","",G22*I22)</f>
        <v/>
      </c>
    </row>
    <row r="23">
      <c r="A23" s="38" t="n"/>
      <c r="G23">
        <f>IF(F23="","",F23-E23)</f>
        <v/>
      </c>
      <c r="H23" s="30">
        <f>IF(E23&gt;0,G23/E23*100,0)</f>
        <v/>
      </c>
      <c r="I23" s="8" t="n"/>
      <c r="J23" s="8">
        <f>IF(G23="","",G23*I23)</f>
        <v/>
      </c>
    </row>
    <row r="24">
      <c r="A24" s="38" t="n"/>
      <c r="G24">
        <f>IF(F24="","",F24-E24)</f>
        <v/>
      </c>
      <c r="H24" s="30">
        <f>IF(E24&gt;0,G24/E24*100,0)</f>
        <v/>
      </c>
      <c r="I24" s="8" t="n"/>
      <c r="J24" s="8">
        <f>IF(G24="","",G24*I24)</f>
        <v/>
      </c>
    </row>
    <row r="25">
      <c r="A25" s="38" t="n"/>
      <c r="G25">
        <f>IF(F25="","",F25-E25)</f>
        <v/>
      </c>
      <c r="H25" s="30">
        <f>IF(E25&gt;0,G25/E25*100,0)</f>
        <v/>
      </c>
      <c r="I25" s="8" t="n"/>
      <c r="J25" s="8">
        <f>IF(G25="","",G25*I25)</f>
        <v/>
      </c>
    </row>
    <row r="26">
      <c r="A26" s="38" t="n"/>
      <c r="G26">
        <f>IF(F26="","",F26-E26)</f>
        <v/>
      </c>
      <c r="H26" s="30">
        <f>IF(E26&gt;0,G26/E26*100,0)</f>
        <v/>
      </c>
      <c r="I26" s="8" t="n"/>
      <c r="J26" s="8">
        <f>IF(G26="","",G26*I26)</f>
        <v/>
      </c>
    </row>
    <row r="27">
      <c r="A27" s="38" t="n"/>
      <c r="G27">
        <f>IF(F27="","",F27-E27)</f>
        <v/>
      </c>
      <c r="H27" s="30">
        <f>IF(E27&gt;0,G27/E27*100,0)</f>
        <v/>
      </c>
      <c r="I27" s="8" t="n"/>
      <c r="J27" s="8">
        <f>IF(G27="","",G27*I27)</f>
        <v/>
      </c>
    </row>
    <row r="28">
      <c r="A28" s="38" t="n"/>
      <c r="G28">
        <f>IF(F28="","",F28-E28)</f>
        <v/>
      </c>
      <c r="H28" s="30">
        <f>IF(E28&gt;0,G28/E28*100,0)</f>
        <v/>
      </c>
      <c r="I28" s="8" t="n"/>
      <c r="J28" s="8">
        <f>IF(G28="","",G28*I28)</f>
        <v/>
      </c>
    </row>
    <row r="29">
      <c r="A29" s="38" t="n"/>
      <c r="G29">
        <f>IF(F29="","",F29-E29)</f>
        <v/>
      </c>
      <c r="H29" s="30">
        <f>IF(E29&gt;0,G29/E29*100,0)</f>
        <v/>
      </c>
      <c r="I29" s="8" t="n"/>
      <c r="J29" s="8">
        <f>IF(G29="","",G29*I29)</f>
        <v/>
      </c>
    </row>
    <row r="30">
      <c r="A30" s="38" t="n"/>
      <c r="G30">
        <f>IF(F30="","",F30-E30)</f>
        <v/>
      </c>
      <c r="H30" s="30">
        <f>IF(E30&gt;0,G30/E30*100,0)</f>
        <v/>
      </c>
      <c r="I30" s="8" t="n"/>
      <c r="J30" s="8">
        <f>IF(G30="","",G30*I30)</f>
        <v/>
      </c>
    </row>
    <row r="31">
      <c r="A31" s="38" t="n"/>
      <c r="G31">
        <f>IF(F31="","",F31-E31)</f>
        <v/>
      </c>
      <c r="H31" s="30">
        <f>IF(E31&gt;0,G31/E31*100,0)</f>
        <v/>
      </c>
      <c r="I31" s="8" t="n"/>
      <c r="J31" s="8">
        <f>IF(G31="","",G31*I31)</f>
        <v/>
      </c>
    </row>
    <row r="32">
      <c r="A32" s="38" t="n"/>
      <c r="G32">
        <f>IF(F32="","",F32-E32)</f>
        <v/>
      </c>
      <c r="H32" s="30">
        <f>IF(E32&gt;0,G32/E32*100,0)</f>
        <v/>
      </c>
      <c r="I32" s="8" t="n"/>
      <c r="J32" s="8">
        <f>IF(G32="","",G32*I32)</f>
        <v/>
      </c>
    </row>
    <row r="33">
      <c r="A33" s="38" t="n"/>
      <c r="G33">
        <f>IF(F33="","",F33-E33)</f>
        <v/>
      </c>
      <c r="H33" s="30">
        <f>IF(E33&gt;0,G33/E33*100,0)</f>
        <v/>
      </c>
      <c r="I33" s="8" t="n"/>
      <c r="J33" s="8">
        <f>IF(G33="","",G33*I33)</f>
        <v/>
      </c>
    </row>
    <row r="34">
      <c r="A34" s="38" t="n"/>
      <c r="G34">
        <f>IF(F34="","",F34-E34)</f>
        <v/>
      </c>
      <c r="H34" s="30">
        <f>IF(E34&gt;0,G34/E34*100,0)</f>
        <v/>
      </c>
      <c r="I34" s="8" t="n"/>
      <c r="J34" s="8">
        <f>IF(G34="","",G34*I34)</f>
        <v/>
      </c>
    </row>
    <row r="35">
      <c r="A35" s="38" t="n"/>
      <c r="G35">
        <f>IF(F35="","",F35-E35)</f>
        <v/>
      </c>
      <c r="H35" s="30">
        <f>IF(E35&gt;0,G35/E35*100,0)</f>
        <v/>
      </c>
      <c r="I35" s="8" t="n"/>
      <c r="J35" s="8">
        <f>IF(G35="","",G35*I35)</f>
        <v/>
      </c>
    </row>
    <row r="36">
      <c r="A36" s="38" t="n"/>
      <c r="G36">
        <f>IF(F36="","",F36-E36)</f>
        <v/>
      </c>
      <c r="H36" s="30">
        <f>IF(E36&gt;0,G36/E36*100,0)</f>
        <v/>
      </c>
      <c r="I36" s="8" t="n"/>
      <c r="J36" s="8">
        <f>IF(G36="","",G36*I36)</f>
        <v/>
      </c>
    </row>
    <row r="37">
      <c r="A37" s="38" t="n"/>
      <c r="G37">
        <f>IF(F37="","",F37-E37)</f>
        <v/>
      </c>
      <c r="H37" s="30">
        <f>IF(E37&gt;0,G37/E37*100,0)</f>
        <v/>
      </c>
      <c r="I37" s="8" t="n"/>
      <c r="J37" s="8">
        <f>IF(G37="","",G37*I37)</f>
        <v/>
      </c>
    </row>
    <row r="38">
      <c r="A38" s="38" t="n"/>
      <c r="G38">
        <f>IF(F38="","",F38-E38)</f>
        <v/>
      </c>
      <c r="H38" s="30">
        <f>IF(E38&gt;0,G38/E38*100,0)</f>
        <v/>
      </c>
      <c r="I38" s="8" t="n"/>
      <c r="J38" s="8">
        <f>IF(G38="","",G38*I38)</f>
        <v/>
      </c>
    </row>
    <row r="39">
      <c r="A39" s="38" t="n"/>
      <c r="G39">
        <f>IF(F39="","",F39-E39)</f>
        <v/>
      </c>
      <c r="H39" s="30">
        <f>IF(E39&gt;0,G39/E39*100,0)</f>
        <v/>
      </c>
      <c r="I39" s="8" t="n"/>
      <c r="J39" s="8">
        <f>IF(G39="","",G39*I39)</f>
        <v/>
      </c>
    </row>
    <row r="40">
      <c r="A40" s="38" t="n"/>
      <c r="G40">
        <f>IF(F40="","",F40-E40)</f>
        <v/>
      </c>
      <c r="H40" s="30">
        <f>IF(E40&gt;0,G40/E40*100,0)</f>
        <v/>
      </c>
      <c r="I40" s="8" t="n"/>
      <c r="J40" s="8">
        <f>IF(G40="","",G40*I40)</f>
        <v/>
      </c>
    </row>
    <row r="41">
      <c r="A41" s="38" t="n"/>
      <c r="G41">
        <f>IF(F41="","",F41-E41)</f>
        <v/>
      </c>
      <c r="H41" s="30">
        <f>IF(E41&gt;0,G41/E41*100,0)</f>
        <v/>
      </c>
      <c r="I41" s="8" t="n"/>
      <c r="J41" s="8">
        <f>IF(G41="","",G41*I41)</f>
        <v/>
      </c>
    </row>
    <row r="42">
      <c r="A42" s="38" t="n"/>
      <c r="G42">
        <f>IF(F42="","",F42-E42)</f>
        <v/>
      </c>
      <c r="H42" s="30">
        <f>IF(E42&gt;0,G42/E42*100,0)</f>
        <v/>
      </c>
      <c r="I42" s="8" t="n"/>
      <c r="J42" s="8">
        <f>IF(G42="","",G42*I42)</f>
        <v/>
      </c>
    </row>
    <row r="43">
      <c r="A43" s="38" t="n"/>
      <c r="G43">
        <f>IF(F43="","",F43-E43)</f>
        <v/>
      </c>
      <c r="H43" s="30">
        <f>IF(E43&gt;0,G43/E43*100,0)</f>
        <v/>
      </c>
      <c r="I43" s="8" t="n"/>
      <c r="J43" s="8">
        <f>IF(G43="","",G43*I43)</f>
        <v/>
      </c>
    </row>
    <row r="44">
      <c r="A44" s="38" t="n"/>
      <c r="G44">
        <f>IF(F44="","",F44-E44)</f>
        <v/>
      </c>
      <c r="H44" s="30">
        <f>IF(E44&gt;0,G44/E44*100,0)</f>
        <v/>
      </c>
      <c r="I44" s="8" t="n"/>
      <c r="J44" s="8">
        <f>IF(G44="","",G44*I44)</f>
        <v/>
      </c>
    </row>
    <row r="45">
      <c r="A45" s="38" t="n"/>
      <c r="G45">
        <f>IF(F45="","",F45-E45)</f>
        <v/>
      </c>
      <c r="H45" s="30">
        <f>IF(E45&gt;0,G45/E45*100,0)</f>
        <v/>
      </c>
      <c r="I45" s="8" t="n"/>
      <c r="J45" s="8">
        <f>IF(G45="","",G45*I45)</f>
        <v/>
      </c>
    </row>
    <row r="46">
      <c r="A46" s="38" t="n"/>
      <c r="G46">
        <f>IF(F46="","",F46-E46)</f>
        <v/>
      </c>
      <c r="H46" s="30">
        <f>IF(E46&gt;0,G46/E46*100,0)</f>
        <v/>
      </c>
      <c r="I46" s="8" t="n"/>
      <c r="J46" s="8">
        <f>IF(G46="","",G46*I46)</f>
        <v/>
      </c>
    </row>
    <row r="47">
      <c r="A47" s="38" t="n"/>
      <c r="G47">
        <f>IF(F47="","",F47-E47)</f>
        <v/>
      </c>
      <c r="H47" s="30">
        <f>IF(E47&gt;0,G47/E47*100,0)</f>
        <v/>
      </c>
      <c r="I47" s="8" t="n"/>
      <c r="J47" s="8">
        <f>IF(G47="","",G47*I47)</f>
        <v/>
      </c>
    </row>
    <row r="48">
      <c r="A48" s="38" t="n"/>
      <c r="G48">
        <f>IF(F48="","",F48-E48)</f>
        <v/>
      </c>
      <c r="H48" s="30">
        <f>IF(E48&gt;0,G48/E48*100,0)</f>
        <v/>
      </c>
      <c r="I48" s="8" t="n"/>
      <c r="J48" s="8">
        <f>IF(G48="","",G48*I48)</f>
        <v/>
      </c>
    </row>
    <row r="49">
      <c r="A49" s="38" t="n"/>
      <c r="G49">
        <f>IF(F49="","",F49-E49)</f>
        <v/>
      </c>
      <c r="H49" s="30">
        <f>IF(E49&gt;0,G49/E49*100,0)</f>
        <v/>
      </c>
      <c r="I49" s="8" t="n"/>
      <c r="J49" s="8">
        <f>IF(G49="","",G49*I49)</f>
        <v/>
      </c>
    </row>
    <row r="50">
      <c r="A50" s="38" t="n"/>
      <c r="G50">
        <f>IF(F50="","",F50-E50)</f>
        <v/>
      </c>
      <c r="H50" s="30">
        <f>IF(E50&gt;0,G50/E50*100,0)</f>
        <v/>
      </c>
      <c r="I50" s="8" t="n"/>
      <c r="J50" s="8">
        <f>IF(G50="","",G50*I50)</f>
        <v/>
      </c>
    </row>
    <row r="51">
      <c r="A51" s="38" t="n"/>
      <c r="G51">
        <f>IF(F51="","",F51-E51)</f>
        <v/>
      </c>
      <c r="H51" s="30">
        <f>IF(E51&gt;0,G51/E51*100,0)</f>
        <v/>
      </c>
      <c r="I51" s="8" t="n"/>
      <c r="J51" s="8">
        <f>IF(G51="","",G51*I51)</f>
        <v/>
      </c>
    </row>
    <row r="52">
      <c r="A52" s="38" t="n"/>
      <c r="G52">
        <f>IF(F52="","",F52-E52)</f>
        <v/>
      </c>
      <c r="H52" s="30">
        <f>IF(E52&gt;0,G52/E52*100,0)</f>
        <v/>
      </c>
      <c r="I52" s="8" t="n"/>
      <c r="J52" s="8">
        <f>IF(G52="","",G52*I52)</f>
        <v/>
      </c>
    </row>
    <row r="53">
      <c r="A53" s="38" t="n"/>
      <c r="G53">
        <f>IF(F53="","",F53-E53)</f>
        <v/>
      </c>
      <c r="H53" s="30">
        <f>IF(E53&gt;0,G53/E53*100,0)</f>
        <v/>
      </c>
      <c r="I53" s="8" t="n"/>
      <c r="J53" s="8">
        <f>IF(G53="","",G53*I53)</f>
        <v/>
      </c>
    </row>
    <row r="54">
      <c r="A54" s="38" t="n"/>
      <c r="G54">
        <f>IF(F54="","",F54-E54)</f>
        <v/>
      </c>
      <c r="H54" s="30">
        <f>IF(E54&gt;0,G54/E54*100,0)</f>
        <v/>
      </c>
      <c r="I54" s="8" t="n"/>
      <c r="J54" s="8">
        <f>IF(G54="","",G54*I54)</f>
        <v/>
      </c>
    </row>
    <row r="55">
      <c r="A55" s="38" t="n"/>
      <c r="G55">
        <f>IF(F55="","",F55-E55)</f>
        <v/>
      </c>
      <c r="H55" s="30">
        <f>IF(E55&gt;0,G55/E55*100,0)</f>
        <v/>
      </c>
      <c r="I55" s="8" t="n"/>
      <c r="J55" s="8">
        <f>IF(G55="","",G55*I55)</f>
        <v/>
      </c>
    </row>
    <row r="56">
      <c r="A56" s="38" t="n"/>
      <c r="G56">
        <f>IF(F56="","",F56-E56)</f>
        <v/>
      </c>
      <c r="H56" s="30">
        <f>IF(E56&gt;0,G56/E56*100,0)</f>
        <v/>
      </c>
      <c r="I56" s="8" t="n"/>
      <c r="J56" s="8">
        <f>IF(G56="","",G56*I56)</f>
        <v/>
      </c>
    </row>
    <row r="57">
      <c r="A57" s="38" t="n"/>
      <c r="G57">
        <f>IF(F57="","",F57-E57)</f>
        <v/>
      </c>
      <c r="H57" s="30">
        <f>IF(E57&gt;0,G57/E57*100,0)</f>
        <v/>
      </c>
      <c r="I57" s="8" t="n"/>
      <c r="J57" s="8">
        <f>IF(G57="","",G57*I57)</f>
        <v/>
      </c>
    </row>
    <row r="58">
      <c r="A58" s="38" t="n"/>
      <c r="G58">
        <f>IF(F58="","",F58-E58)</f>
        <v/>
      </c>
      <c r="H58" s="30">
        <f>IF(E58&gt;0,G58/E58*100,0)</f>
        <v/>
      </c>
      <c r="I58" s="8" t="n"/>
      <c r="J58" s="8">
        <f>IF(G58="","",G58*I58)</f>
        <v/>
      </c>
    </row>
    <row r="59">
      <c r="A59" s="38" t="n"/>
      <c r="G59">
        <f>IF(F59="","",F59-E59)</f>
        <v/>
      </c>
      <c r="H59" s="30">
        <f>IF(E59&gt;0,G59/E59*100,0)</f>
        <v/>
      </c>
      <c r="I59" s="8" t="n"/>
      <c r="J59" s="8">
        <f>IF(G59="","",G59*I59)</f>
        <v/>
      </c>
    </row>
    <row r="60">
      <c r="A60" s="38" t="n"/>
      <c r="G60">
        <f>IF(F60="","",F60-E60)</f>
        <v/>
      </c>
      <c r="H60" s="30">
        <f>IF(E60&gt;0,G60/E60*100,0)</f>
        <v/>
      </c>
      <c r="I60" s="8" t="n"/>
      <c r="J60" s="8">
        <f>IF(G60="","",G60*I60)</f>
        <v/>
      </c>
    </row>
    <row r="61">
      <c r="A61" s="38" t="n"/>
      <c r="G61">
        <f>IF(F61="","",F61-E61)</f>
        <v/>
      </c>
      <c r="H61" s="30">
        <f>IF(E61&gt;0,G61/E61*100,0)</f>
        <v/>
      </c>
      <c r="I61" s="8" t="n"/>
      <c r="J61" s="8">
        <f>IF(G61="","",G61*I61)</f>
        <v/>
      </c>
    </row>
    <row r="62">
      <c r="A62" s="38" t="n"/>
      <c r="G62">
        <f>IF(F62="","",F62-E62)</f>
        <v/>
      </c>
      <c r="H62" s="30">
        <f>IF(E62&gt;0,G62/E62*100,0)</f>
        <v/>
      </c>
      <c r="I62" s="8" t="n"/>
      <c r="J62" s="8">
        <f>IF(G62="","",G62*I62)</f>
        <v/>
      </c>
    </row>
    <row r="63">
      <c r="A63" s="38" t="n"/>
      <c r="G63">
        <f>IF(F63="","",F63-E63)</f>
        <v/>
      </c>
      <c r="H63" s="30">
        <f>IF(E63&gt;0,G63/E63*100,0)</f>
        <v/>
      </c>
      <c r="I63" s="8" t="n"/>
      <c r="J63" s="8">
        <f>IF(G63="","",G63*I63)</f>
        <v/>
      </c>
    </row>
    <row r="64">
      <c r="A64" s="38" t="n"/>
      <c r="G64">
        <f>IF(F64="","",F64-E64)</f>
        <v/>
      </c>
      <c r="H64" s="30">
        <f>IF(E64&gt;0,G64/E64*100,0)</f>
        <v/>
      </c>
      <c r="I64" s="8" t="n"/>
      <c r="J64" s="8">
        <f>IF(G64="","",G64*I64)</f>
        <v/>
      </c>
    </row>
    <row r="65">
      <c r="A65" s="38" t="n"/>
      <c r="G65">
        <f>IF(F65="","",F65-E65)</f>
        <v/>
      </c>
      <c r="H65" s="30">
        <f>IF(E65&gt;0,G65/E65*100,0)</f>
        <v/>
      </c>
      <c r="I65" s="8" t="n"/>
      <c r="J65" s="8">
        <f>IF(G65="","",G65*I65)</f>
        <v/>
      </c>
    </row>
    <row r="66">
      <c r="A66" s="38" t="n"/>
      <c r="G66">
        <f>IF(F66="","",F66-E66)</f>
        <v/>
      </c>
      <c r="H66" s="30">
        <f>IF(E66&gt;0,G66/E66*100,0)</f>
        <v/>
      </c>
      <c r="I66" s="8" t="n"/>
      <c r="J66" s="8">
        <f>IF(G66="","",G66*I66)</f>
        <v/>
      </c>
    </row>
    <row r="67">
      <c r="A67" s="38" t="n"/>
      <c r="G67">
        <f>IF(F67="","",F67-E67)</f>
        <v/>
      </c>
      <c r="H67" s="30">
        <f>IF(E67&gt;0,G67/E67*100,0)</f>
        <v/>
      </c>
      <c r="I67" s="8" t="n"/>
      <c r="J67" s="8">
        <f>IF(G67="","",G67*I67)</f>
        <v/>
      </c>
    </row>
    <row r="68">
      <c r="A68" s="38" t="n"/>
      <c r="G68">
        <f>IF(F68="","",F68-E68)</f>
        <v/>
      </c>
      <c r="H68" s="30">
        <f>IF(E68&gt;0,G68/E68*100,0)</f>
        <v/>
      </c>
      <c r="I68" s="8" t="n"/>
      <c r="J68" s="8">
        <f>IF(G68="","",G68*I68)</f>
        <v/>
      </c>
    </row>
    <row r="69">
      <c r="A69" s="38" t="n"/>
      <c r="G69">
        <f>IF(F69="","",F69-E69)</f>
        <v/>
      </c>
      <c r="H69" s="30">
        <f>IF(E69&gt;0,G69/E69*100,0)</f>
        <v/>
      </c>
      <c r="I69" s="8" t="n"/>
      <c r="J69" s="8">
        <f>IF(G69="","",G69*I69)</f>
        <v/>
      </c>
    </row>
    <row r="70">
      <c r="A70" s="38" t="n"/>
      <c r="G70">
        <f>IF(F70="","",F70-E70)</f>
        <v/>
      </c>
      <c r="H70" s="30">
        <f>IF(E70&gt;0,G70/E70*100,0)</f>
        <v/>
      </c>
      <c r="I70" s="8" t="n"/>
      <c r="J70" s="8">
        <f>IF(G70="","",G70*I70)</f>
        <v/>
      </c>
    </row>
    <row r="71">
      <c r="A71" s="38" t="n"/>
      <c r="G71">
        <f>IF(F71="","",F71-E71)</f>
        <v/>
      </c>
      <c r="H71" s="30">
        <f>IF(E71&gt;0,G71/E71*100,0)</f>
        <v/>
      </c>
      <c r="I71" s="8" t="n"/>
      <c r="J71" s="8">
        <f>IF(G71="","",G71*I71)</f>
        <v/>
      </c>
    </row>
    <row r="72">
      <c r="A72" s="38" t="n"/>
      <c r="G72">
        <f>IF(F72="","",F72-E72)</f>
        <v/>
      </c>
      <c r="H72" s="30">
        <f>IF(E72&gt;0,G72/E72*100,0)</f>
        <v/>
      </c>
      <c r="I72" s="8" t="n"/>
      <c r="J72" s="8">
        <f>IF(G72="","",G72*I72)</f>
        <v/>
      </c>
    </row>
    <row r="73">
      <c r="A73" s="38" t="n"/>
      <c r="G73">
        <f>IF(F73="","",F73-E73)</f>
        <v/>
      </c>
      <c r="H73" s="30">
        <f>IF(E73&gt;0,G73/E73*100,0)</f>
        <v/>
      </c>
      <c r="I73" s="8" t="n"/>
      <c r="J73" s="8">
        <f>IF(G73="","",G73*I73)</f>
        <v/>
      </c>
    </row>
    <row r="74">
      <c r="A74" s="38" t="n"/>
      <c r="G74">
        <f>IF(F74="","",F74-E74)</f>
        <v/>
      </c>
      <c r="H74" s="30">
        <f>IF(E74&gt;0,G74/E74*100,0)</f>
        <v/>
      </c>
      <c r="I74" s="8" t="n"/>
      <c r="J74" s="8">
        <f>IF(G74="","",G74*I74)</f>
        <v/>
      </c>
    </row>
    <row r="75">
      <c r="A75" s="38" t="n"/>
      <c r="G75">
        <f>IF(F75="","",F75-E75)</f>
        <v/>
      </c>
      <c r="H75" s="30">
        <f>IF(E75&gt;0,G75/E75*100,0)</f>
        <v/>
      </c>
      <c r="I75" s="8" t="n"/>
      <c r="J75" s="8">
        <f>IF(G75="","",G75*I75)</f>
        <v/>
      </c>
    </row>
    <row r="76">
      <c r="A76" s="38" t="n"/>
      <c r="G76">
        <f>IF(F76="","",F76-E76)</f>
        <v/>
      </c>
      <c r="H76" s="30">
        <f>IF(E76&gt;0,G76/E76*100,0)</f>
        <v/>
      </c>
      <c r="I76" s="8" t="n"/>
      <c r="J76" s="8">
        <f>IF(G76="","",G76*I76)</f>
        <v/>
      </c>
    </row>
    <row r="77">
      <c r="A77" s="38" t="n"/>
      <c r="G77">
        <f>IF(F77="","",F77-E77)</f>
        <v/>
      </c>
      <c r="H77" s="30">
        <f>IF(E77&gt;0,G77/E77*100,0)</f>
        <v/>
      </c>
      <c r="I77" s="8" t="n"/>
      <c r="J77" s="8">
        <f>IF(G77="","",G77*I77)</f>
        <v/>
      </c>
    </row>
    <row r="78">
      <c r="A78" s="38" t="n"/>
      <c r="G78">
        <f>IF(F78="","",F78-E78)</f>
        <v/>
      </c>
      <c r="H78" s="30">
        <f>IF(E78&gt;0,G78/E78*100,0)</f>
        <v/>
      </c>
      <c r="I78" s="8" t="n"/>
      <c r="J78" s="8">
        <f>IF(G78="","",G78*I78)</f>
        <v/>
      </c>
    </row>
    <row r="79">
      <c r="A79" s="38" t="n"/>
      <c r="G79">
        <f>IF(F79="","",F79-E79)</f>
        <v/>
      </c>
      <c r="H79" s="30">
        <f>IF(E79&gt;0,G79/E79*100,0)</f>
        <v/>
      </c>
      <c r="I79" s="8" t="n"/>
      <c r="J79" s="8">
        <f>IF(G79="","",G79*I79)</f>
        <v/>
      </c>
    </row>
    <row r="80">
      <c r="A80" s="38" t="n"/>
      <c r="G80">
        <f>IF(F80="","",F80-E80)</f>
        <v/>
      </c>
      <c r="H80" s="30">
        <f>IF(E80&gt;0,G80/E80*100,0)</f>
        <v/>
      </c>
      <c r="I80" s="8" t="n"/>
      <c r="J80" s="8">
        <f>IF(G80="","",G80*I80)</f>
        <v/>
      </c>
    </row>
    <row r="81">
      <c r="A81" s="38" t="n"/>
      <c r="G81">
        <f>IF(F81="","",F81-E81)</f>
        <v/>
      </c>
      <c r="H81" s="30">
        <f>IF(E81&gt;0,G81/E81*100,0)</f>
        <v/>
      </c>
      <c r="I81" s="8" t="n"/>
      <c r="J81" s="8">
        <f>IF(G81="","",G81*I81)</f>
        <v/>
      </c>
    </row>
    <row r="82">
      <c r="A82" s="38" t="n"/>
      <c r="G82">
        <f>IF(F82="","",F82-E82)</f>
        <v/>
      </c>
      <c r="H82" s="30">
        <f>IF(E82&gt;0,G82/E82*100,0)</f>
        <v/>
      </c>
      <c r="I82" s="8" t="n"/>
      <c r="J82" s="8">
        <f>IF(G82="","",G82*I82)</f>
        <v/>
      </c>
    </row>
    <row r="83">
      <c r="A83" s="38" t="n"/>
      <c r="G83">
        <f>IF(F83="","",F83-E83)</f>
        <v/>
      </c>
      <c r="H83" s="30">
        <f>IF(E83&gt;0,G83/E83*100,0)</f>
        <v/>
      </c>
      <c r="I83" s="8" t="n"/>
      <c r="J83" s="8">
        <f>IF(G83="","",G83*I83)</f>
        <v/>
      </c>
    </row>
    <row r="84">
      <c r="A84" s="38" t="n"/>
      <c r="G84">
        <f>IF(F84="","",F84-E84)</f>
        <v/>
      </c>
      <c r="H84" s="30">
        <f>IF(E84&gt;0,G84/E84*100,0)</f>
        <v/>
      </c>
      <c r="I84" s="8" t="n"/>
      <c r="J84" s="8">
        <f>IF(G84="","",G84*I84)</f>
        <v/>
      </c>
    </row>
    <row r="85">
      <c r="A85" s="38" t="n"/>
      <c r="G85">
        <f>IF(F85="","",F85-E85)</f>
        <v/>
      </c>
      <c r="H85" s="30">
        <f>IF(E85&gt;0,G85/E85*100,0)</f>
        <v/>
      </c>
      <c r="I85" s="8" t="n"/>
      <c r="J85" s="8">
        <f>IF(G85="","",G85*I85)</f>
        <v/>
      </c>
    </row>
    <row r="86">
      <c r="A86" s="38" t="n"/>
      <c r="G86">
        <f>IF(F86="","",F86-E86)</f>
        <v/>
      </c>
      <c r="H86" s="30">
        <f>IF(E86&gt;0,G86/E86*100,0)</f>
        <v/>
      </c>
      <c r="I86" s="8" t="n"/>
      <c r="J86" s="8">
        <f>IF(G86="","",G86*I86)</f>
        <v/>
      </c>
    </row>
    <row r="87">
      <c r="A87" s="38" t="n"/>
      <c r="G87">
        <f>IF(F87="","",F87-E87)</f>
        <v/>
      </c>
      <c r="H87" s="30">
        <f>IF(E87&gt;0,G87/E87*100,0)</f>
        <v/>
      </c>
      <c r="I87" s="8" t="n"/>
      <c r="J87" s="8">
        <f>IF(G87="","",G87*I87)</f>
        <v/>
      </c>
    </row>
    <row r="88">
      <c r="A88" s="38" t="n"/>
      <c r="G88">
        <f>IF(F88="","",F88-E88)</f>
        <v/>
      </c>
      <c r="H88" s="30">
        <f>IF(E88&gt;0,G88/E88*100,0)</f>
        <v/>
      </c>
      <c r="I88" s="8" t="n"/>
      <c r="J88" s="8">
        <f>IF(G88="","",G88*I88)</f>
        <v/>
      </c>
    </row>
    <row r="89">
      <c r="A89" s="38" t="n"/>
      <c r="G89">
        <f>IF(F89="","",F89-E89)</f>
        <v/>
      </c>
      <c r="H89" s="30">
        <f>IF(E89&gt;0,G89/E89*100,0)</f>
        <v/>
      </c>
      <c r="I89" s="8" t="n"/>
      <c r="J89" s="8">
        <f>IF(G89="","",G89*I89)</f>
        <v/>
      </c>
    </row>
    <row r="90">
      <c r="A90" s="38" t="n"/>
      <c r="G90">
        <f>IF(F90="","",F90-E90)</f>
        <v/>
      </c>
      <c r="H90" s="30">
        <f>IF(E90&gt;0,G90/E90*100,0)</f>
        <v/>
      </c>
      <c r="I90" s="8" t="n"/>
      <c r="J90" s="8">
        <f>IF(G90="","",G90*I90)</f>
        <v/>
      </c>
    </row>
    <row r="91">
      <c r="A91" s="38" t="n"/>
      <c r="G91">
        <f>IF(F91="","",F91-E91)</f>
        <v/>
      </c>
      <c r="H91" s="30">
        <f>IF(E91&gt;0,G91/E91*100,0)</f>
        <v/>
      </c>
      <c r="I91" s="8" t="n"/>
      <c r="J91" s="8">
        <f>IF(G91="","",G91*I91)</f>
        <v/>
      </c>
    </row>
    <row r="92">
      <c r="A92" s="38" t="n"/>
      <c r="G92">
        <f>IF(F92="","",F92-E92)</f>
        <v/>
      </c>
      <c r="H92" s="30">
        <f>IF(E92&gt;0,G92/E92*100,0)</f>
        <v/>
      </c>
      <c r="I92" s="8" t="n"/>
      <c r="J92" s="8">
        <f>IF(G92="","",G92*I92)</f>
        <v/>
      </c>
    </row>
    <row r="93">
      <c r="A93" s="38" t="n"/>
      <c r="G93">
        <f>IF(F93="","",F93-E93)</f>
        <v/>
      </c>
      <c r="H93" s="30">
        <f>IF(E93&gt;0,G93/E93*100,0)</f>
        <v/>
      </c>
      <c r="I93" s="8" t="n"/>
      <c r="J93" s="8">
        <f>IF(G93="","",G93*I93)</f>
        <v/>
      </c>
    </row>
    <row r="94">
      <c r="A94" s="38" t="n"/>
      <c r="G94">
        <f>IF(F94="","",F94-E94)</f>
        <v/>
      </c>
      <c r="H94" s="30">
        <f>IF(E94&gt;0,G94/E94*100,0)</f>
        <v/>
      </c>
      <c r="I94" s="8" t="n"/>
      <c r="J94" s="8">
        <f>IF(G94="","",G94*I94)</f>
        <v/>
      </c>
    </row>
    <row r="95">
      <c r="A95" s="38" t="n"/>
      <c r="G95">
        <f>IF(F95="","",F95-E95)</f>
        <v/>
      </c>
      <c r="H95" s="30">
        <f>IF(E95&gt;0,G95/E95*100,0)</f>
        <v/>
      </c>
      <c r="I95" s="8" t="n"/>
      <c r="J95" s="8">
        <f>IF(G95="","",G95*I95)</f>
        <v/>
      </c>
    </row>
    <row r="96">
      <c r="A96" s="38" t="n"/>
      <c r="G96">
        <f>IF(F96="","",F96-E96)</f>
        <v/>
      </c>
      <c r="H96" s="30">
        <f>IF(E96&gt;0,G96/E96*100,0)</f>
        <v/>
      </c>
      <c r="I96" s="8" t="n"/>
      <c r="J96" s="8">
        <f>IF(G96="","",G96*I96)</f>
        <v/>
      </c>
    </row>
    <row r="97">
      <c r="A97" s="38" t="n"/>
      <c r="G97">
        <f>IF(F97="","",F97-E97)</f>
        <v/>
      </c>
      <c r="H97" s="30">
        <f>IF(E97&gt;0,G97/E97*100,0)</f>
        <v/>
      </c>
      <c r="I97" s="8" t="n"/>
      <c r="J97" s="8">
        <f>IF(G97="","",G97*I97)</f>
        <v/>
      </c>
    </row>
    <row r="98">
      <c r="A98" s="38" t="n"/>
      <c r="G98">
        <f>IF(F98="","",F98-E98)</f>
        <v/>
      </c>
      <c r="H98" s="30">
        <f>IF(E98&gt;0,G98/E98*100,0)</f>
        <v/>
      </c>
      <c r="I98" s="8" t="n"/>
      <c r="J98" s="8">
        <f>IF(G98="","",G98*I98)</f>
        <v/>
      </c>
    </row>
    <row r="99">
      <c r="A99" s="38" t="n"/>
      <c r="G99">
        <f>IF(F99="","",F99-E99)</f>
        <v/>
      </c>
      <c r="H99" s="30">
        <f>IF(E99&gt;0,G99/E99*100,0)</f>
        <v/>
      </c>
      <c r="I99" s="8" t="n"/>
      <c r="J99" s="8">
        <f>IF(G99="","",G99*I99)</f>
        <v/>
      </c>
    </row>
    <row r="100">
      <c r="A100" s="38" t="n"/>
      <c r="G100">
        <f>IF(F100="","",F100-E100)</f>
        <v/>
      </c>
      <c r="H100" s="30">
        <f>IF(E100&gt;0,G100/E100*100,0)</f>
        <v/>
      </c>
      <c r="I100" s="8" t="n"/>
      <c r="J100" s="8">
        <f>IF(G100="","",G100*I100)</f>
        <v/>
      </c>
    </row>
    <row r="101">
      <c r="A101" s="38" t="n"/>
      <c r="G101">
        <f>IF(F101="","",F101-E101)</f>
        <v/>
      </c>
      <c r="H101" s="30">
        <f>IF(E101&gt;0,G101/E101*100,0)</f>
        <v/>
      </c>
      <c r="I101" s="8" t="n"/>
      <c r="J101" s="8">
        <f>IF(G101="","",G101*I101)</f>
        <v/>
      </c>
    </row>
    <row r="102">
      <c r="A102" s="38" t="n"/>
      <c r="G102">
        <f>IF(F102="","",F102-E102)</f>
        <v/>
      </c>
      <c r="H102" s="30">
        <f>IF(E102&gt;0,G102/E102*100,0)</f>
        <v/>
      </c>
      <c r="I102" s="8" t="n"/>
      <c r="J102" s="8">
        <f>IF(G102="","",G102*I102)</f>
        <v/>
      </c>
    </row>
    <row r="103">
      <c r="A103" s="38" t="n"/>
      <c r="G103">
        <f>IF(F103="","",F103-E103)</f>
        <v/>
      </c>
      <c r="H103" s="30">
        <f>IF(E103&gt;0,G103/E103*100,0)</f>
        <v/>
      </c>
      <c r="I103" s="8" t="n"/>
      <c r="J103" s="8">
        <f>IF(G103="","",G103*I103)</f>
        <v/>
      </c>
    </row>
    <row r="104">
      <c r="A104" s="38" t="n"/>
      <c r="G104">
        <f>IF(F104="","",F104-E104)</f>
        <v/>
      </c>
      <c r="H104" s="30">
        <f>IF(E104&gt;0,G104/E104*100,0)</f>
        <v/>
      </c>
      <c r="I104" s="8" t="n"/>
      <c r="J104" s="8">
        <f>IF(G104="","",G104*I104)</f>
        <v/>
      </c>
    </row>
    <row r="105">
      <c r="A105" s="38" t="n"/>
      <c r="G105">
        <f>IF(F105="","",F105-E105)</f>
        <v/>
      </c>
      <c r="H105" s="30">
        <f>IF(E105&gt;0,G105/E105*100,0)</f>
        <v/>
      </c>
      <c r="I105" s="8" t="n"/>
      <c r="J105" s="8">
        <f>IF(G105="","",G105*I105)</f>
        <v/>
      </c>
    </row>
    <row r="106">
      <c r="A106" s="38" t="n"/>
      <c r="G106">
        <f>IF(F106="","",F106-E106)</f>
        <v/>
      </c>
      <c r="H106" s="30">
        <f>IF(E106&gt;0,G106/E106*100,0)</f>
        <v/>
      </c>
      <c r="I106" s="8" t="n"/>
      <c r="J106" s="8">
        <f>IF(G106="","",G106*I106)</f>
        <v/>
      </c>
    </row>
    <row r="107">
      <c r="A107" s="38" t="n"/>
      <c r="G107">
        <f>IF(F107="","",F107-E107)</f>
        <v/>
      </c>
      <c r="H107" s="30">
        <f>IF(E107&gt;0,G107/E107*100,0)</f>
        <v/>
      </c>
      <c r="I107" s="8" t="n"/>
      <c r="J107" s="8">
        <f>IF(G107="","",G107*I107)</f>
        <v/>
      </c>
    </row>
    <row r="108">
      <c r="A108" s="38" t="n"/>
      <c r="G108">
        <f>IF(F108="","",F108-E108)</f>
        <v/>
      </c>
      <c r="H108" s="30">
        <f>IF(E108&gt;0,G108/E108*100,0)</f>
        <v/>
      </c>
      <c r="I108" s="8" t="n"/>
      <c r="J108" s="8">
        <f>IF(G108="","",G108*I108)</f>
        <v/>
      </c>
    </row>
    <row r="109">
      <c r="A109" s="38" t="n"/>
      <c r="G109">
        <f>IF(F109="","",F109-E109)</f>
        <v/>
      </c>
      <c r="H109" s="30">
        <f>IF(E109&gt;0,G109/E109*100,0)</f>
        <v/>
      </c>
      <c r="I109" s="8" t="n"/>
      <c r="J109" s="8">
        <f>IF(G109="","",G109*I109)</f>
        <v/>
      </c>
    </row>
    <row r="110">
      <c r="A110" s="38" t="n"/>
      <c r="G110">
        <f>IF(F110="","",F110-E110)</f>
        <v/>
      </c>
      <c r="H110" s="30">
        <f>IF(E110&gt;0,G110/E110*100,0)</f>
        <v/>
      </c>
      <c r="I110" s="8" t="n"/>
      <c r="J110" s="8">
        <f>IF(G110="","",G110*I110)</f>
        <v/>
      </c>
    </row>
    <row r="111">
      <c r="A111" s="38" t="n"/>
      <c r="G111">
        <f>IF(F111="","",F111-E111)</f>
        <v/>
      </c>
      <c r="H111" s="30">
        <f>IF(E111&gt;0,G111/E111*100,0)</f>
        <v/>
      </c>
      <c r="I111" s="8" t="n"/>
      <c r="J111" s="8">
        <f>IF(G111="","",G111*I111)</f>
        <v/>
      </c>
    </row>
    <row r="112">
      <c r="A112" s="38" t="n"/>
      <c r="G112">
        <f>IF(F112="","",F112-E112)</f>
        <v/>
      </c>
      <c r="H112" s="30">
        <f>IF(E112&gt;0,G112/E112*100,0)</f>
        <v/>
      </c>
      <c r="I112" s="8" t="n"/>
      <c r="J112" s="8">
        <f>IF(G112="","",G112*I112)</f>
        <v/>
      </c>
    </row>
    <row r="113">
      <c r="A113" s="38" t="n"/>
      <c r="G113">
        <f>IF(F113="","",F113-E113)</f>
        <v/>
      </c>
      <c r="H113" s="30">
        <f>IF(E113&gt;0,G113/E113*100,0)</f>
        <v/>
      </c>
      <c r="I113" s="8" t="n"/>
      <c r="J113" s="8">
        <f>IF(G113="","",G113*I113)</f>
        <v/>
      </c>
    </row>
    <row r="114">
      <c r="A114" s="38" t="n"/>
      <c r="G114">
        <f>IF(F114="","",F114-E114)</f>
        <v/>
      </c>
      <c r="H114" s="30">
        <f>IF(E114&gt;0,G114/E114*100,0)</f>
        <v/>
      </c>
      <c r="I114" s="8" t="n"/>
      <c r="J114" s="8">
        <f>IF(G114="","",G114*I114)</f>
        <v/>
      </c>
    </row>
    <row r="115">
      <c r="A115" s="38" t="n"/>
      <c r="G115">
        <f>IF(F115="","",F115-E115)</f>
        <v/>
      </c>
      <c r="H115" s="30">
        <f>IF(E115&gt;0,G115/E115*100,0)</f>
        <v/>
      </c>
      <c r="I115" s="8" t="n"/>
      <c r="J115" s="8">
        <f>IF(G115="","",G115*I115)</f>
        <v/>
      </c>
    </row>
    <row r="116">
      <c r="A116" s="38" t="n"/>
      <c r="G116">
        <f>IF(F116="","",F116-E116)</f>
        <v/>
      </c>
      <c r="H116" s="30">
        <f>IF(E116&gt;0,G116/E116*100,0)</f>
        <v/>
      </c>
      <c r="I116" s="8" t="n"/>
      <c r="J116" s="8">
        <f>IF(G116="","",G116*I116)</f>
        <v/>
      </c>
    </row>
    <row r="117">
      <c r="A117" s="38" t="n"/>
      <c r="G117">
        <f>IF(F117="","",F117-E117)</f>
        <v/>
      </c>
      <c r="H117" s="30">
        <f>IF(E117&gt;0,G117/E117*100,0)</f>
        <v/>
      </c>
      <c r="I117" s="8" t="n"/>
      <c r="J117" s="8">
        <f>IF(G117="","",G117*I117)</f>
        <v/>
      </c>
    </row>
    <row r="118">
      <c r="A118" s="38" t="n"/>
      <c r="G118">
        <f>IF(F118="","",F118-E118)</f>
        <v/>
      </c>
      <c r="H118" s="30">
        <f>IF(E118&gt;0,G118/E118*100,0)</f>
        <v/>
      </c>
      <c r="I118" s="8" t="n"/>
      <c r="J118" s="8">
        <f>IF(G118="","",G118*I118)</f>
        <v/>
      </c>
    </row>
    <row r="119">
      <c r="A119" s="38" t="n"/>
      <c r="G119">
        <f>IF(F119="","",F119-E119)</f>
        <v/>
      </c>
      <c r="H119" s="30">
        <f>IF(E119&gt;0,G119/E119*100,0)</f>
        <v/>
      </c>
      <c r="I119" s="8" t="n"/>
      <c r="J119" s="8">
        <f>IF(G119="","",G119*I119)</f>
        <v/>
      </c>
    </row>
    <row r="120">
      <c r="A120" s="38" t="n"/>
      <c r="G120">
        <f>IF(F120="","",F120-E120)</f>
        <v/>
      </c>
      <c r="H120" s="30">
        <f>IF(E120&gt;0,G120/E120*100,0)</f>
        <v/>
      </c>
      <c r="I120" s="8" t="n"/>
      <c r="J120" s="8">
        <f>IF(G120="","",G120*I120)</f>
        <v/>
      </c>
    </row>
    <row r="121">
      <c r="A121" s="38" t="n"/>
      <c r="G121">
        <f>IF(F121="","",F121-E121)</f>
        <v/>
      </c>
      <c r="H121" s="30">
        <f>IF(E121&gt;0,G121/E121*100,0)</f>
        <v/>
      </c>
      <c r="I121" s="8" t="n"/>
      <c r="J121" s="8">
        <f>IF(G121="","",G121*I121)</f>
        <v/>
      </c>
    </row>
    <row r="122">
      <c r="A122" s="38" t="n"/>
      <c r="G122">
        <f>IF(F122="","",F122-E122)</f>
        <v/>
      </c>
      <c r="H122" s="30">
        <f>IF(E122&gt;0,G122/E122*100,0)</f>
        <v/>
      </c>
      <c r="I122" s="8" t="n"/>
      <c r="J122" s="8">
        <f>IF(G122="","",G122*I122)</f>
        <v/>
      </c>
    </row>
    <row r="123">
      <c r="A123" s="38" t="n"/>
      <c r="G123">
        <f>IF(F123="","",F123-E123)</f>
        <v/>
      </c>
      <c r="H123" s="30">
        <f>IF(E123&gt;0,G123/E123*100,0)</f>
        <v/>
      </c>
      <c r="I123" s="8" t="n"/>
      <c r="J123" s="8">
        <f>IF(G123="","",G123*I123)</f>
        <v/>
      </c>
    </row>
    <row r="124">
      <c r="A124" s="38" t="n"/>
      <c r="G124">
        <f>IF(F124="","",F124-E124)</f>
        <v/>
      </c>
      <c r="H124" s="30">
        <f>IF(E124&gt;0,G124/E124*100,0)</f>
        <v/>
      </c>
      <c r="I124" s="8" t="n"/>
      <c r="J124" s="8">
        <f>IF(G124="","",G124*I124)</f>
        <v/>
      </c>
    </row>
    <row r="125">
      <c r="A125" s="38" t="n"/>
      <c r="G125">
        <f>IF(F125="","",F125-E125)</f>
        <v/>
      </c>
      <c r="H125" s="30">
        <f>IF(E125&gt;0,G125/E125*100,0)</f>
        <v/>
      </c>
      <c r="I125" s="8" t="n"/>
      <c r="J125" s="8">
        <f>IF(G125="","",G125*I125)</f>
        <v/>
      </c>
    </row>
    <row r="126">
      <c r="A126" s="38" t="n"/>
      <c r="G126">
        <f>IF(F126="","",F126-E126)</f>
        <v/>
      </c>
      <c r="H126" s="30">
        <f>IF(E126&gt;0,G126/E126*100,0)</f>
        <v/>
      </c>
      <c r="I126" s="8" t="n"/>
      <c r="J126" s="8">
        <f>IF(G126="","",G126*I126)</f>
        <v/>
      </c>
    </row>
    <row r="127">
      <c r="A127" s="38" t="n"/>
      <c r="G127">
        <f>IF(F127="","",F127-E127)</f>
        <v/>
      </c>
      <c r="H127" s="30">
        <f>IF(E127&gt;0,G127/E127*100,0)</f>
        <v/>
      </c>
      <c r="I127" s="8" t="n"/>
      <c r="J127" s="8">
        <f>IF(G127="","",G127*I127)</f>
        <v/>
      </c>
    </row>
    <row r="128">
      <c r="A128" s="38" t="n"/>
      <c r="G128">
        <f>IF(F128="","",F128-E128)</f>
        <v/>
      </c>
      <c r="H128" s="30">
        <f>IF(E128&gt;0,G128/E128*100,0)</f>
        <v/>
      </c>
      <c r="I128" s="8" t="n"/>
      <c r="J128" s="8">
        <f>IF(G128="","",G128*I128)</f>
        <v/>
      </c>
    </row>
    <row r="129">
      <c r="A129" s="38" t="n"/>
      <c r="G129">
        <f>IF(F129="","",F129-E129)</f>
        <v/>
      </c>
      <c r="H129" s="30">
        <f>IF(E129&gt;0,G129/E129*100,0)</f>
        <v/>
      </c>
      <c r="I129" s="8" t="n"/>
      <c r="J129" s="8">
        <f>IF(G129="","",G129*I129)</f>
        <v/>
      </c>
    </row>
    <row r="130">
      <c r="A130" s="38" t="n"/>
      <c r="G130">
        <f>IF(F130="","",F130-E130)</f>
        <v/>
      </c>
      <c r="H130" s="30">
        <f>IF(E130&gt;0,G130/E130*100,0)</f>
        <v/>
      </c>
      <c r="I130" s="8" t="n"/>
      <c r="J130" s="8">
        <f>IF(G130="","",G130*I130)</f>
        <v/>
      </c>
    </row>
    <row r="131">
      <c r="A131" s="38" t="n"/>
      <c r="G131">
        <f>IF(F131="","",F131-E131)</f>
        <v/>
      </c>
      <c r="H131" s="30">
        <f>IF(E131&gt;0,G131/E131*100,0)</f>
        <v/>
      </c>
      <c r="I131" s="8" t="n"/>
      <c r="J131" s="8">
        <f>IF(G131="","",G131*I131)</f>
        <v/>
      </c>
    </row>
    <row r="132">
      <c r="A132" s="38" t="n"/>
      <c r="G132">
        <f>IF(F132="","",F132-E132)</f>
        <v/>
      </c>
      <c r="H132" s="30">
        <f>IF(E132&gt;0,G132/E132*100,0)</f>
        <v/>
      </c>
      <c r="I132" s="8" t="n"/>
      <c r="J132" s="8">
        <f>IF(G132="","",G132*I132)</f>
        <v/>
      </c>
    </row>
    <row r="133">
      <c r="A133" s="38" t="n"/>
      <c r="G133">
        <f>IF(F133="","",F133-E133)</f>
        <v/>
      </c>
      <c r="H133" s="30">
        <f>IF(E133&gt;0,G133/E133*100,0)</f>
        <v/>
      </c>
      <c r="I133" s="8" t="n"/>
      <c r="J133" s="8">
        <f>IF(G133="","",G133*I133)</f>
        <v/>
      </c>
    </row>
    <row r="134">
      <c r="A134" s="38" t="n"/>
      <c r="G134">
        <f>IF(F134="","",F134-E134)</f>
        <v/>
      </c>
      <c r="H134" s="30">
        <f>IF(E134&gt;0,G134/E134*100,0)</f>
        <v/>
      </c>
      <c r="I134" s="8" t="n"/>
      <c r="J134" s="8">
        <f>IF(G134="","",G134*I134)</f>
        <v/>
      </c>
    </row>
    <row r="135">
      <c r="A135" s="38" t="n"/>
      <c r="G135">
        <f>IF(F135="","",F135-E135)</f>
        <v/>
      </c>
      <c r="H135" s="30">
        <f>IF(E135&gt;0,G135/E135*100,0)</f>
        <v/>
      </c>
      <c r="I135" s="8" t="n"/>
      <c r="J135" s="8">
        <f>IF(G135="","",G135*I135)</f>
        <v/>
      </c>
    </row>
    <row r="136">
      <c r="A136" s="38" t="n"/>
      <c r="G136">
        <f>IF(F136="","",F136-E136)</f>
        <v/>
      </c>
      <c r="H136" s="30">
        <f>IF(E136&gt;0,G136/E136*100,0)</f>
        <v/>
      </c>
      <c r="I136" s="8" t="n"/>
      <c r="J136" s="8">
        <f>IF(G136="","",G136*I136)</f>
        <v/>
      </c>
    </row>
    <row r="137">
      <c r="A137" s="38" t="n"/>
      <c r="G137">
        <f>IF(F137="","",F137-E137)</f>
        <v/>
      </c>
      <c r="H137" s="30">
        <f>IF(E137&gt;0,G137/E137*100,0)</f>
        <v/>
      </c>
      <c r="I137" s="8" t="n"/>
      <c r="J137" s="8">
        <f>IF(G137="","",G137*I137)</f>
        <v/>
      </c>
    </row>
    <row r="138">
      <c r="A138" s="38" t="n"/>
      <c r="G138">
        <f>IF(F138="","",F138-E138)</f>
        <v/>
      </c>
      <c r="H138" s="30">
        <f>IF(E138&gt;0,G138/E138*100,0)</f>
        <v/>
      </c>
      <c r="I138" s="8" t="n"/>
      <c r="J138" s="8">
        <f>IF(G138="","",G138*I138)</f>
        <v/>
      </c>
    </row>
    <row r="139">
      <c r="A139" s="38" t="n"/>
      <c r="G139">
        <f>IF(F139="","",F139-E139)</f>
        <v/>
      </c>
      <c r="H139" s="30">
        <f>IF(E139&gt;0,G139/E139*100,0)</f>
        <v/>
      </c>
      <c r="I139" s="8" t="n"/>
      <c r="J139" s="8">
        <f>IF(G139="","",G139*I139)</f>
        <v/>
      </c>
    </row>
    <row r="140">
      <c r="A140" s="38" t="n"/>
      <c r="G140">
        <f>IF(F140="","",F140-E140)</f>
        <v/>
      </c>
      <c r="H140" s="30">
        <f>IF(E140&gt;0,G140/E140*100,0)</f>
        <v/>
      </c>
      <c r="I140" s="8" t="n"/>
      <c r="J140" s="8">
        <f>IF(G140="","",G140*I140)</f>
        <v/>
      </c>
    </row>
    <row r="141">
      <c r="A141" s="38" t="n"/>
      <c r="G141">
        <f>IF(F141="","",F141-E141)</f>
        <v/>
      </c>
      <c r="H141" s="30">
        <f>IF(E141&gt;0,G141/E141*100,0)</f>
        <v/>
      </c>
      <c r="I141" s="8" t="n"/>
      <c r="J141" s="8">
        <f>IF(G141="","",G141*I141)</f>
        <v/>
      </c>
    </row>
    <row r="142">
      <c r="A142" s="38" t="n"/>
      <c r="G142">
        <f>IF(F142="","",F142-E142)</f>
        <v/>
      </c>
      <c r="H142" s="30">
        <f>IF(E142&gt;0,G142/E142*100,0)</f>
        <v/>
      </c>
      <c r="I142" s="8" t="n"/>
      <c r="J142" s="8">
        <f>IF(G142="","",G142*I142)</f>
        <v/>
      </c>
    </row>
    <row r="143">
      <c r="A143" s="38" t="n"/>
      <c r="G143">
        <f>IF(F143="","",F143-E143)</f>
        <v/>
      </c>
      <c r="H143" s="30">
        <f>IF(E143&gt;0,G143/E143*100,0)</f>
        <v/>
      </c>
      <c r="I143" s="8" t="n"/>
      <c r="J143" s="8">
        <f>IF(G143="","",G143*I143)</f>
        <v/>
      </c>
    </row>
    <row r="144">
      <c r="A144" s="38" t="n"/>
      <c r="G144">
        <f>IF(F144="","",F144-E144)</f>
        <v/>
      </c>
      <c r="H144" s="30">
        <f>IF(E144&gt;0,G144/E144*100,0)</f>
        <v/>
      </c>
      <c r="I144" s="8" t="n"/>
      <c r="J144" s="8">
        <f>IF(G144="","",G144*I144)</f>
        <v/>
      </c>
    </row>
    <row r="145">
      <c r="A145" s="38" t="n"/>
      <c r="G145">
        <f>IF(F145="","",F145-E145)</f>
        <v/>
      </c>
      <c r="H145" s="30">
        <f>IF(E145&gt;0,G145/E145*100,0)</f>
        <v/>
      </c>
      <c r="I145" s="8" t="n"/>
      <c r="J145" s="8">
        <f>IF(G145="","",G145*I145)</f>
        <v/>
      </c>
    </row>
    <row r="146">
      <c r="A146" s="38" t="n"/>
      <c r="G146">
        <f>IF(F146="","",F146-E146)</f>
        <v/>
      </c>
      <c r="H146" s="30">
        <f>IF(E146&gt;0,G146/E146*100,0)</f>
        <v/>
      </c>
      <c r="I146" s="8" t="n"/>
      <c r="J146" s="8">
        <f>IF(G146="","",G146*I146)</f>
        <v/>
      </c>
    </row>
    <row r="147">
      <c r="A147" s="38" t="n"/>
      <c r="G147">
        <f>IF(F147="","",F147-E147)</f>
        <v/>
      </c>
      <c r="H147" s="30">
        <f>IF(E147&gt;0,G147/E147*100,0)</f>
        <v/>
      </c>
      <c r="I147" s="8" t="n"/>
      <c r="J147" s="8">
        <f>IF(G147="","",G147*I147)</f>
        <v/>
      </c>
    </row>
    <row r="148">
      <c r="A148" s="38" t="n"/>
      <c r="G148">
        <f>IF(F148="","",F148-E148)</f>
        <v/>
      </c>
      <c r="H148" s="30">
        <f>IF(E148&gt;0,G148/E148*100,0)</f>
        <v/>
      </c>
      <c r="I148" s="8" t="n"/>
      <c r="J148" s="8">
        <f>IF(G148="","",G148*I148)</f>
        <v/>
      </c>
    </row>
    <row r="149">
      <c r="A149" s="38" t="n"/>
      <c r="G149">
        <f>IF(F149="","",F149-E149)</f>
        <v/>
      </c>
      <c r="H149" s="30">
        <f>IF(E149&gt;0,G149/E149*100,0)</f>
        <v/>
      </c>
      <c r="I149" s="8" t="n"/>
      <c r="J149" s="8">
        <f>IF(G149="","",G149*I149)</f>
        <v/>
      </c>
    </row>
    <row r="150">
      <c r="A150" s="38" t="n"/>
      <c r="G150">
        <f>IF(F150="","",F150-E150)</f>
        <v/>
      </c>
      <c r="H150" s="30">
        <f>IF(E150&gt;0,G150/E150*100,0)</f>
        <v/>
      </c>
      <c r="I150" s="8" t="n"/>
      <c r="J150" s="8">
        <f>IF(G150="","",G150*I150)</f>
        <v/>
      </c>
    </row>
    <row r="151">
      <c r="A151" s="38" t="n"/>
      <c r="G151">
        <f>IF(F151="","",F151-E151)</f>
        <v/>
      </c>
      <c r="H151" s="30">
        <f>IF(E151&gt;0,G151/E151*100,0)</f>
        <v/>
      </c>
      <c r="I151" s="8" t="n"/>
      <c r="J151" s="8">
        <f>IF(G151="","",G151*I151)</f>
        <v/>
      </c>
    </row>
    <row r="152">
      <c r="A152" s="38" t="n"/>
      <c r="G152">
        <f>IF(F152="","",F152-E152)</f>
        <v/>
      </c>
      <c r="H152" s="30">
        <f>IF(E152&gt;0,G152/E152*100,0)</f>
        <v/>
      </c>
      <c r="I152" s="8" t="n"/>
      <c r="J152" s="8">
        <f>IF(G152="","",G152*I152)</f>
        <v/>
      </c>
    </row>
    <row r="153">
      <c r="A153" s="38" t="n"/>
      <c r="G153">
        <f>IF(F153="","",F153-E153)</f>
        <v/>
      </c>
      <c r="H153" s="30">
        <f>IF(E153&gt;0,G153/E153*100,0)</f>
        <v/>
      </c>
      <c r="I153" s="8" t="n"/>
      <c r="J153" s="8">
        <f>IF(G153="","",G153*I153)</f>
        <v/>
      </c>
    </row>
    <row r="154">
      <c r="A154" s="38" t="n"/>
      <c r="G154">
        <f>IF(F154="","",F154-E154)</f>
        <v/>
      </c>
      <c r="H154" s="30">
        <f>IF(E154&gt;0,G154/E154*100,0)</f>
        <v/>
      </c>
      <c r="I154" s="8" t="n"/>
      <c r="J154" s="8">
        <f>IF(G154="","",G154*I154)</f>
        <v/>
      </c>
    </row>
    <row r="155">
      <c r="A155" s="38" t="n"/>
      <c r="G155">
        <f>IF(F155="","",F155-E155)</f>
        <v/>
      </c>
      <c r="H155" s="30">
        <f>IF(E155&gt;0,G155/E155*100,0)</f>
        <v/>
      </c>
      <c r="I155" s="8" t="n"/>
      <c r="J155" s="8">
        <f>IF(G155="","",G155*I155)</f>
        <v/>
      </c>
    </row>
    <row r="156">
      <c r="A156" s="38" t="n"/>
      <c r="G156">
        <f>IF(F156="","",F156-E156)</f>
        <v/>
      </c>
      <c r="H156" s="30">
        <f>IF(E156&gt;0,G156/E156*100,0)</f>
        <v/>
      </c>
      <c r="I156" s="8" t="n"/>
      <c r="J156" s="8">
        <f>IF(G156="","",G156*I156)</f>
        <v/>
      </c>
    </row>
    <row r="157">
      <c r="A157" s="38" t="n"/>
      <c r="G157">
        <f>IF(F157="","",F157-E157)</f>
        <v/>
      </c>
      <c r="H157" s="30">
        <f>IF(E157&gt;0,G157/E157*100,0)</f>
        <v/>
      </c>
      <c r="I157" s="8" t="n"/>
      <c r="J157" s="8">
        <f>IF(G157="","",G157*I157)</f>
        <v/>
      </c>
    </row>
    <row r="158">
      <c r="A158" s="38" t="n"/>
      <c r="G158">
        <f>IF(F158="","",F158-E158)</f>
        <v/>
      </c>
      <c r="H158" s="30">
        <f>IF(E158&gt;0,G158/E158*100,0)</f>
        <v/>
      </c>
      <c r="I158" s="8" t="n"/>
      <c r="J158" s="8">
        <f>IF(G158="","",G158*I158)</f>
        <v/>
      </c>
    </row>
    <row r="159">
      <c r="A159" s="38" t="n"/>
      <c r="G159">
        <f>IF(F159="","",F159-E159)</f>
        <v/>
      </c>
      <c r="H159" s="30">
        <f>IF(E159&gt;0,G159/E159*100,0)</f>
        <v/>
      </c>
      <c r="I159" s="8" t="n"/>
      <c r="J159" s="8">
        <f>IF(G159="","",G159*I159)</f>
        <v/>
      </c>
    </row>
    <row r="160">
      <c r="A160" s="38" t="n"/>
      <c r="G160">
        <f>IF(F160="","",F160-E160)</f>
        <v/>
      </c>
      <c r="H160" s="30">
        <f>IF(E160&gt;0,G160/E160*100,0)</f>
        <v/>
      </c>
      <c r="I160" s="8" t="n"/>
      <c r="J160" s="8">
        <f>IF(G160="","",G160*I160)</f>
        <v/>
      </c>
    </row>
    <row r="161">
      <c r="A161" s="38" t="n"/>
      <c r="G161">
        <f>IF(F161="","",F161-E161)</f>
        <v/>
      </c>
      <c r="H161" s="30">
        <f>IF(E161&gt;0,G161/E161*100,0)</f>
        <v/>
      </c>
      <c r="I161" s="8" t="n"/>
      <c r="J161" s="8">
        <f>IF(G161="","",G161*I161)</f>
        <v/>
      </c>
    </row>
    <row r="162">
      <c r="A162" s="38" t="n"/>
      <c r="G162">
        <f>IF(F162="","",F162-E162)</f>
        <v/>
      </c>
      <c r="H162" s="30">
        <f>IF(E162&gt;0,G162/E162*100,0)</f>
        <v/>
      </c>
      <c r="I162" s="8" t="n"/>
      <c r="J162" s="8">
        <f>IF(G162="","",G162*I162)</f>
        <v/>
      </c>
    </row>
    <row r="163">
      <c r="A163" s="38" t="n"/>
      <c r="G163">
        <f>IF(F163="","",F163-E163)</f>
        <v/>
      </c>
      <c r="H163" s="30">
        <f>IF(E163&gt;0,G163/E163*100,0)</f>
        <v/>
      </c>
      <c r="I163" s="8" t="n"/>
      <c r="J163" s="8">
        <f>IF(G163="","",G163*I163)</f>
        <v/>
      </c>
    </row>
    <row r="164">
      <c r="A164" s="38" t="n"/>
      <c r="G164">
        <f>IF(F164="","",F164-E164)</f>
        <v/>
      </c>
      <c r="H164" s="30">
        <f>IF(E164&gt;0,G164/E164*100,0)</f>
        <v/>
      </c>
      <c r="I164" s="8" t="n"/>
      <c r="J164" s="8">
        <f>IF(G164="","",G164*I164)</f>
        <v/>
      </c>
    </row>
    <row r="165">
      <c r="A165" s="38" t="n"/>
      <c r="G165">
        <f>IF(F165="","",F165-E165)</f>
        <v/>
      </c>
      <c r="H165" s="30">
        <f>IF(E165&gt;0,G165/E165*100,0)</f>
        <v/>
      </c>
      <c r="I165" s="8" t="n"/>
      <c r="J165" s="8">
        <f>IF(G165="","",G165*I165)</f>
        <v/>
      </c>
    </row>
    <row r="166">
      <c r="A166" s="38" t="n"/>
      <c r="G166">
        <f>IF(F166="","",F166-E166)</f>
        <v/>
      </c>
      <c r="H166" s="30">
        <f>IF(E166&gt;0,G166/E166*100,0)</f>
        <v/>
      </c>
      <c r="I166" s="8" t="n"/>
      <c r="J166" s="8">
        <f>IF(G166="","",G166*I166)</f>
        <v/>
      </c>
    </row>
    <row r="167">
      <c r="A167" s="38" t="n"/>
      <c r="G167">
        <f>IF(F167="","",F167-E167)</f>
        <v/>
      </c>
      <c r="H167" s="30">
        <f>IF(E167&gt;0,G167/E167*100,0)</f>
        <v/>
      </c>
      <c r="I167" s="8" t="n"/>
      <c r="J167" s="8">
        <f>IF(G167="","",G167*I167)</f>
        <v/>
      </c>
    </row>
    <row r="168">
      <c r="A168" s="38" t="n"/>
      <c r="G168">
        <f>IF(F168="","",F168-E168)</f>
        <v/>
      </c>
      <c r="H168" s="30">
        <f>IF(E168&gt;0,G168/E168*100,0)</f>
        <v/>
      </c>
      <c r="I168" s="8" t="n"/>
      <c r="J168" s="8">
        <f>IF(G168="","",G168*I168)</f>
        <v/>
      </c>
    </row>
    <row r="169">
      <c r="A169" s="38" t="n"/>
      <c r="G169">
        <f>IF(F169="","",F169-E169)</f>
        <v/>
      </c>
      <c r="H169" s="30">
        <f>IF(E169&gt;0,G169/E169*100,0)</f>
        <v/>
      </c>
      <c r="I169" s="8" t="n"/>
      <c r="J169" s="8">
        <f>IF(G169="","",G169*I169)</f>
        <v/>
      </c>
    </row>
    <row r="170">
      <c r="A170" s="38" t="n"/>
      <c r="G170">
        <f>IF(F170="","",F170-E170)</f>
        <v/>
      </c>
      <c r="H170" s="30">
        <f>IF(E170&gt;0,G170/E170*100,0)</f>
        <v/>
      </c>
      <c r="I170" s="8" t="n"/>
      <c r="J170" s="8">
        <f>IF(G170="","",G170*I170)</f>
        <v/>
      </c>
    </row>
    <row r="171">
      <c r="A171" s="38" t="n"/>
      <c r="G171">
        <f>IF(F171="","",F171-E171)</f>
        <v/>
      </c>
      <c r="H171" s="30">
        <f>IF(E171&gt;0,G171/E171*100,0)</f>
        <v/>
      </c>
      <c r="I171" s="8" t="n"/>
      <c r="J171" s="8">
        <f>IF(G171="","",G171*I171)</f>
        <v/>
      </c>
    </row>
    <row r="172">
      <c r="A172" s="38" t="n"/>
      <c r="G172">
        <f>IF(F172="","",F172-E172)</f>
        <v/>
      </c>
      <c r="H172" s="30">
        <f>IF(E172&gt;0,G172/E172*100,0)</f>
        <v/>
      </c>
      <c r="I172" s="8" t="n"/>
      <c r="J172" s="8">
        <f>IF(G172="","",G172*I172)</f>
        <v/>
      </c>
    </row>
    <row r="173">
      <c r="A173" s="38" t="n"/>
      <c r="G173">
        <f>IF(F173="","",F173-E173)</f>
        <v/>
      </c>
      <c r="H173" s="30">
        <f>IF(E173&gt;0,G173/E173*100,0)</f>
        <v/>
      </c>
      <c r="I173" s="8" t="n"/>
      <c r="J173" s="8">
        <f>IF(G173="","",G173*I173)</f>
        <v/>
      </c>
    </row>
    <row r="174">
      <c r="A174" s="38" t="n"/>
      <c r="G174">
        <f>IF(F174="","",F174-E174)</f>
        <v/>
      </c>
      <c r="H174" s="30">
        <f>IF(E174&gt;0,G174/E174*100,0)</f>
        <v/>
      </c>
      <c r="I174" s="8" t="n"/>
      <c r="J174" s="8">
        <f>IF(G174="","",G174*I174)</f>
        <v/>
      </c>
    </row>
    <row r="175">
      <c r="A175" s="38" t="n"/>
      <c r="G175">
        <f>IF(F175="","",F175-E175)</f>
        <v/>
      </c>
      <c r="H175" s="30">
        <f>IF(E175&gt;0,G175/E175*100,0)</f>
        <v/>
      </c>
      <c r="I175" s="8" t="n"/>
      <c r="J175" s="8">
        <f>IF(G175="","",G175*I175)</f>
        <v/>
      </c>
    </row>
    <row r="176">
      <c r="A176" s="38" t="n"/>
      <c r="G176">
        <f>IF(F176="","",F176-E176)</f>
        <v/>
      </c>
      <c r="H176" s="30">
        <f>IF(E176&gt;0,G176/E176*100,0)</f>
        <v/>
      </c>
      <c r="I176" s="8" t="n"/>
      <c r="J176" s="8">
        <f>IF(G176="","",G176*I176)</f>
        <v/>
      </c>
    </row>
    <row r="177">
      <c r="A177" s="38" t="n"/>
      <c r="G177">
        <f>IF(F177="","",F177-E177)</f>
        <v/>
      </c>
      <c r="H177" s="30">
        <f>IF(E177&gt;0,G177/E177*100,0)</f>
        <v/>
      </c>
      <c r="I177" s="8" t="n"/>
      <c r="J177" s="8">
        <f>IF(G177="","",G177*I177)</f>
        <v/>
      </c>
    </row>
    <row r="178">
      <c r="A178" s="38" t="n"/>
      <c r="G178">
        <f>IF(F178="","",F178-E178)</f>
        <v/>
      </c>
      <c r="H178" s="30">
        <f>IF(E178&gt;0,G178/E178*100,0)</f>
        <v/>
      </c>
      <c r="I178" s="8" t="n"/>
      <c r="J178" s="8">
        <f>IF(G178="","",G178*I178)</f>
        <v/>
      </c>
    </row>
    <row r="179">
      <c r="A179" s="38" t="n"/>
      <c r="G179">
        <f>IF(F179="","",F179-E179)</f>
        <v/>
      </c>
      <c r="H179" s="30">
        <f>IF(E179&gt;0,G179/E179*100,0)</f>
        <v/>
      </c>
      <c r="I179" s="8" t="n"/>
      <c r="J179" s="8">
        <f>IF(G179="","",G179*I179)</f>
        <v/>
      </c>
    </row>
    <row r="180">
      <c r="A180" s="38" t="n"/>
      <c r="G180">
        <f>IF(F180="","",F180-E180)</f>
        <v/>
      </c>
      <c r="H180" s="30">
        <f>IF(E180&gt;0,G180/E180*100,0)</f>
        <v/>
      </c>
      <c r="I180" s="8" t="n"/>
      <c r="J180" s="8">
        <f>IF(G180="","",G180*I180)</f>
        <v/>
      </c>
    </row>
    <row r="181">
      <c r="A181" s="38" t="n"/>
      <c r="G181">
        <f>IF(F181="","",F181-E181)</f>
        <v/>
      </c>
      <c r="H181" s="30">
        <f>IF(E181&gt;0,G181/E181*100,0)</f>
        <v/>
      </c>
      <c r="I181" s="8" t="n"/>
      <c r="J181" s="8">
        <f>IF(G181="","",G181*I181)</f>
        <v/>
      </c>
    </row>
    <row r="182">
      <c r="A182" s="38" t="n"/>
      <c r="G182">
        <f>IF(F182="","",F182-E182)</f>
        <v/>
      </c>
      <c r="H182" s="30">
        <f>IF(E182&gt;0,G182/E182*100,0)</f>
        <v/>
      </c>
      <c r="I182" s="8" t="n"/>
      <c r="J182" s="8">
        <f>IF(G182="","",G182*I182)</f>
        <v/>
      </c>
    </row>
    <row r="183">
      <c r="A183" s="38" t="n"/>
      <c r="G183">
        <f>IF(F183="","",F183-E183)</f>
        <v/>
      </c>
      <c r="H183" s="30">
        <f>IF(E183&gt;0,G183/E183*100,0)</f>
        <v/>
      </c>
      <c r="I183" s="8" t="n"/>
      <c r="J183" s="8">
        <f>IF(G183="","",G183*I183)</f>
        <v/>
      </c>
    </row>
    <row r="184">
      <c r="A184" s="38" t="n"/>
      <c r="G184">
        <f>IF(F184="","",F184-E184)</f>
        <v/>
      </c>
      <c r="H184" s="30">
        <f>IF(E184&gt;0,G184/E184*100,0)</f>
        <v/>
      </c>
      <c r="I184" s="8" t="n"/>
      <c r="J184" s="8">
        <f>IF(G184="","",G184*I184)</f>
        <v/>
      </c>
    </row>
    <row r="185">
      <c r="A185" s="38" t="n"/>
      <c r="G185">
        <f>IF(F185="","",F185-E185)</f>
        <v/>
      </c>
      <c r="H185" s="30">
        <f>IF(E185&gt;0,G185/E185*100,0)</f>
        <v/>
      </c>
      <c r="I185" s="8" t="n"/>
      <c r="J185" s="8">
        <f>IF(G185="","",G185*I185)</f>
        <v/>
      </c>
    </row>
    <row r="186">
      <c r="A186" s="38" t="n"/>
      <c r="G186">
        <f>IF(F186="","",F186-E186)</f>
        <v/>
      </c>
      <c r="H186" s="30">
        <f>IF(E186&gt;0,G186/E186*100,0)</f>
        <v/>
      </c>
      <c r="I186" s="8" t="n"/>
      <c r="J186" s="8">
        <f>IF(G186="","",G186*I186)</f>
        <v/>
      </c>
    </row>
    <row r="187">
      <c r="A187" s="38" t="n"/>
      <c r="G187">
        <f>IF(F187="","",F187-E187)</f>
        <v/>
      </c>
      <c r="H187" s="30">
        <f>IF(E187&gt;0,G187/E187*100,0)</f>
        <v/>
      </c>
      <c r="I187" s="8" t="n"/>
      <c r="J187" s="8">
        <f>IF(G187="","",G187*I187)</f>
        <v/>
      </c>
    </row>
    <row r="188">
      <c r="A188" s="38" t="n"/>
      <c r="G188">
        <f>IF(F188="","",F188-E188)</f>
        <v/>
      </c>
      <c r="H188" s="30">
        <f>IF(E188&gt;0,G188/E188*100,0)</f>
        <v/>
      </c>
      <c r="I188" s="8" t="n"/>
      <c r="J188" s="8">
        <f>IF(G188="","",G188*I188)</f>
        <v/>
      </c>
    </row>
    <row r="189">
      <c r="A189" s="38" t="n"/>
      <c r="G189">
        <f>IF(F189="","",F189-E189)</f>
        <v/>
      </c>
      <c r="H189" s="30">
        <f>IF(E189&gt;0,G189/E189*100,0)</f>
        <v/>
      </c>
      <c r="I189" s="8" t="n"/>
      <c r="J189" s="8">
        <f>IF(G189="","",G189*I189)</f>
        <v/>
      </c>
    </row>
    <row r="190">
      <c r="A190" s="38" t="n"/>
      <c r="G190">
        <f>IF(F190="","",F190-E190)</f>
        <v/>
      </c>
      <c r="H190" s="30">
        <f>IF(E190&gt;0,G190/E190*100,0)</f>
        <v/>
      </c>
      <c r="I190" s="8" t="n"/>
      <c r="J190" s="8">
        <f>IF(G190="","",G190*I190)</f>
        <v/>
      </c>
    </row>
    <row r="191">
      <c r="A191" s="38" t="n"/>
      <c r="G191">
        <f>IF(F191="","",F191-E191)</f>
        <v/>
      </c>
      <c r="H191" s="30">
        <f>IF(E191&gt;0,G191/E191*100,0)</f>
        <v/>
      </c>
      <c r="I191" s="8" t="n"/>
      <c r="J191" s="8">
        <f>IF(G191="","",G191*I191)</f>
        <v/>
      </c>
    </row>
    <row r="192">
      <c r="A192" s="38" t="n"/>
      <c r="G192">
        <f>IF(F192="","",F192-E192)</f>
        <v/>
      </c>
      <c r="H192" s="30">
        <f>IF(E192&gt;0,G192/E192*100,0)</f>
        <v/>
      </c>
      <c r="I192" s="8" t="n"/>
      <c r="J192" s="8">
        <f>IF(G192="","",G192*I192)</f>
        <v/>
      </c>
    </row>
    <row r="193">
      <c r="A193" s="38" t="n"/>
      <c r="G193">
        <f>IF(F193="","",F193-E193)</f>
        <v/>
      </c>
      <c r="H193" s="30">
        <f>IF(E193&gt;0,G193/E193*100,0)</f>
        <v/>
      </c>
      <c r="I193" s="8" t="n"/>
      <c r="J193" s="8">
        <f>IF(G193="","",G193*I193)</f>
        <v/>
      </c>
    </row>
    <row r="194">
      <c r="A194" s="38" t="n"/>
      <c r="G194">
        <f>IF(F194="","",F194-E194)</f>
        <v/>
      </c>
      <c r="H194" s="30">
        <f>IF(E194&gt;0,G194/E194*100,0)</f>
        <v/>
      </c>
      <c r="I194" s="8" t="n"/>
      <c r="J194" s="8">
        <f>IF(G194="","",G194*I194)</f>
        <v/>
      </c>
    </row>
    <row r="195">
      <c r="A195" s="38" t="n"/>
      <c r="G195">
        <f>IF(F195="","",F195-E195)</f>
        <v/>
      </c>
      <c r="H195" s="30">
        <f>IF(E195&gt;0,G195/E195*100,0)</f>
        <v/>
      </c>
      <c r="I195" s="8" t="n"/>
      <c r="J195" s="8">
        <f>IF(G195="","",G195*I195)</f>
        <v/>
      </c>
    </row>
    <row r="196">
      <c r="A196" s="38" t="n"/>
      <c r="G196">
        <f>IF(F196="","",F196-E196)</f>
        <v/>
      </c>
      <c r="H196" s="30">
        <f>IF(E196&gt;0,G196/E196*100,0)</f>
        <v/>
      </c>
      <c r="I196" s="8" t="n"/>
      <c r="J196" s="8">
        <f>IF(G196="","",G196*I196)</f>
        <v/>
      </c>
    </row>
    <row r="197">
      <c r="A197" s="38" t="n"/>
      <c r="G197">
        <f>IF(F197="","",F197-E197)</f>
        <v/>
      </c>
      <c r="H197" s="30">
        <f>IF(E197&gt;0,G197/E197*100,0)</f>
        <v/>
      </c>
      <c r="I197" s="8" t="n"/>
      <c r="J197" s="8">
        <f>IF(G197="","",G197*I197)</f>
        <v/>
      </c>
    </row>
    <row r="198">
      <c r="A198" s="38" t="n"/>
      <c r="G198">
        <f>IF(F198="","",F198-E198)</f>
        <v/>
      </c>
      <c r="H198" s="30">
        <f>IF(E198&gt;0,G198/E198*100,0)</f>
        <v/>
      </c>
      <c r="I198" s="8" t="n"/>
      <c r="J198" s="8">
        <f>IF(G198="","",G198*I198)</f>
        <v/>
      </c>
    </row>
    <row r="199">
      <c r="A199" s="38" t="n"/>
      <c r="G199">
        <f>IF(F199="","",F199-E199)</f>
        <v/>
      </c>
      <c r="H199" s="30">
        <f>IF(E199&gt;0,G199/E199*100,0)</f>
        <v/>
      </c>
      <c r="I199" s="8" t="n"/>
      <c r="J199" s="8">
        <f>IF(G199="","",G199*I199)</f>
        <v/>
      </c>
    </row>
    <row r="200">
      <c r="A200" s="38" t="n"/>
      <c r="G200">
        <f>IF(F200="","",F200-E200)</f>
        <v/>
      </c>
      <c r="H200" s="30">
        <f>IF(E200&gt;0,G200/E200*100,0)</f>
        <v/>
      </c>
      <c r="I200" s="8" t="n"/>
      <c r="J200" s="8">
        <f>IF(G200="","",G200*I200)</f>
        <v/>
      </c>
    </row>
    <row r="201">
      <c r="A201" s="38" t="n"/>
      <c r="G201">
        <f>IF(F201="","",F201-E201)</f>
        <v/>
      </c>
      <c r="H201" s="30">
        <f>IF(E201&gt;0,G201/E201*100,0)</f>
        <v/>
      </c>
      <c r="I201" s="8" t="n"/>
      <c r="J201" s="8">
        <f>IF(G201="","",G201*I201)</f>
        <v/>
      </c>
    </row>
    <row r="202">
      <c r="A202" s="38" t="n"/>
      <c r="G202">
        <f>IF(F202="","",F202-E202)</f>
        <v/>
      </c>
      <c r="H202" s="30">
        <f>IF(E202&gt;0,G202/E202*100,0)</f>
        <v/>
      </c>
      <c r="I202" s="8" t="n"/>
      <c r="J202" s="8">
        <f>IF(G202="","",G202*I202)</f>
        <v/>
      </c>
    </row>
    <row r="203">
      <c r="A203" s="38" t="n"/>
      <c r="G203">
        <f>IF(F203="","",F203-E203)</f>
        <v/>
      </c>
      <c r="H203" s="30">
        <f>IF(E203&gt;0,G203/E203*100,0)</f>
        <v/>
      </c>
      <c r="I203" s="8" t="n"/>
      <c r="J203" s="8">
        <f>IF(G203="","",G203*I203)</f>
        <v/>
      </c>
    </row>
    <row r="204">
      <c r="A204" s="38" t="n"/>
      <c r="G204">
        <f>IF(F204="","",F204-E204)</f>
        <v/>
      </c>
      <c r="H204" s="30">
        <f>IF(E204&gt;0,G204/E204*100,0)</f>
        <v/>
      </c>
      <c r="I204" s="8" t="n"/>
      <c r="J204" s="8">
        <f>IF(G204="","",G204*I204)</f>
        <v/>
      </c>
    </row>
    <row r="205">
      <c r="A205" s="38" t="n"/>
      <c r="G205">
        <f>IF(F205="","",F205-E205)</f>
        <v/>
      </c>
      <c r="H205" s="30">
        <f>IF(E205&gt;0,G205/E205*100,0)</f>
        <v/>
      </c>
      <c r="I205" s="8" t="n"/>
      <c r="J205" s="8">
        <f>IF(G205="","",G205*I205)</f>
        <v/>
      </c>
    </row>
    <row r="206">
      <c r="A206" s="38" t="n"/>
      <c r="G206">
        <f>IF(F206="","",F206-E206)</f>
        <v/>
      </c>
      <c r="H206" s="30">
        <f>IF(E206&gt;0,G206/E206*100,0)</f>
        <v/>
      </c>
      <c r="I206" s="8" t="n"/>
      <c r="J206" s="8">
        <f>IF(G206="","",G206*I206)</f>
        <v/>
      </c>
    </row>
    <row r="207">
      <c r="A207" s="38" t="n"/>
      <c r="G207">
        <f>IF(F207="","",F207-E207)</f>
        <v/>
      </c>
      <c r="H207" s="30">
        <f>IF(E207&gt;0,G207/E207*100,0)</f>
        <v/>
      </c>
      <c r="I207" s="8" t="n"/>
      <c r="J207" s="8">
        <f>IF(G207="","",G207*I207)</f>
        <v/>
      </c>
    </row>
    <row r="208">
      <c r="A208" s="38" t="n"/>
      <c r="G208">
        <f>IF(F208="","",F208-E208)</f>
        <v/>
      </c>
      <c r="H208" s="30">
        <f>IF(E208&gt;0,G208/E208*100,0)</f>
        <v/>
      </c>
      <c r="I208" s="8" t="n"/>
      <c r="J208" s="8">
        <f>IF(G208="","",G208*I208)</f>
        <v/>
      </c>
    </row>
    <row r="209">
      <c r="A209" s="38" t="n"/>
      <c r="G209">
        <f>IF(F209="","",F209-E209)</f>
        <v/>
      </c>
      <c r="H209" s="30">
        <f>IF(E209&gt;0,G209/E209*100,0)</f>
        <v/>
      </c>
      <c r="I209" s="8" t="n"/>
      <c r="J209" s="8">
        <f>IF(G209="","",G209*I209)</f>
        <v/>
      </c>
    </row>
    <row r="210">
      <c r="A210" s="38" t="n"/>
      <c r="G210">
        <f>IF(F210="","",F210-E210)</f>
        <v/>
      </c>
      <c r="H210" s="30">
        <f>IF(E210&gt;0,G210/E210*100,0)</f>
        <v/>
      </c>
      <c r="I210" s="8" t="n"/>
      <c r="J210" s="8">
        <f>IF(G210="","",G210*I210)</f>
        <v/>
      </c>
    </row>
    <row r="211">
      <c r="A211" s="38" t="n"/>
      <c r="G211">
        <f>IF(F211="","",F211-E211)</f>
        <v/>
      </c>
      <c r="H211" s="30">
        <f>IF(E211&gt;0,G211/E211*100,0)</f>
        <v/>
      </c>
      <c r="I211" s="8" t="n"/>
      <c r="J211" s="8">
        <f>IF(G211="","",G211*I211)</f>
        <v/>
      </c>
    </row>
    <row r="212">
      <c r="A212" s="38" t="n"/>
      <c r="G212">
        <f>IF(F212="","",F212-E212)</f>
        <v/>
      </c>
      <c r="H212" s="30">
        <f>IF(E212&gt;0,G212/E212*100,0)</f>
        <v/>
      </c>
      <c r="I212" s="8" t="n"/>
      <c r="J212" s="8">
        <f>IF(G212="","",G212*I212)</f>
        <v/>
      </c>
    </row>
    <row r="213">
      <c r="A213" s="38" t="n"/>
      <c r="G213">
        <f>IF(F213="","",F213-E213)</f>
        <v/>
      </c>
      <c r="H213" s="30">
        <f>IF(E213&gt;0,G213/E213*100,0)</f>
        <v/>
      </c>
      <c r="I213" s="8" t="n"/>
      <c r="J213" s="8">
        <f>IF(G213="","",G213*I213)</f>
        <v/>
      </c>
    </row>
    <row r="214">
      <c r="A214" s="38" t="n"/>
      <c r="G214">
        <f>IF(F214="","",F214-E214)</f>
        <v/>
      </c>
      <c r="H214" s="30">
        <f>IF(E214&gt;0,G214/E214*100,0)</f>
        <v/>
      </c>
      <c r="I214" s="8" t="n"/>
      <c r="J214" s="8">
        <f>IF(G214="","",G214*I214)</f>
        <v/>
      </c>
    </row>
    <row r="215">
      <c r="A215" s="38" t="n"/>
      <c r="G215">
        <f>IF(F215="","",F215-E215)</f>
        <v/>
      </c>
      <c r="H215" s="30">
        <f>IF(E215&gt;0,G215/E215*100,0)</f>
        <v/>
      </c>
      <c r="I215" s="8" t="n"/>
      <c r="J215" s="8">
        <f>IF(G215="","",G215*I215)</f>
        <v/>
      </c>
    </row>
    <row r="216">
      <c r="A216" s="38" t="n"/>
      <c r="G216">
        <f>IF(F216="","",F216-E216)</f>
        <v/>
      </c>
      <c r="H216" s="30">
        <f>IF(E216&gt;0,G216/E216*100,0)</f>
        <v/>
      </c>
      <c r="I216" s="8" t="n"/>
      <c r="J216" s="8">
        <f>IF(G216="","",G216*I216)</f>
        <v/>
      </c>
    </row>
    <row r="217">
      <c r="A217" s="38" t="n"/>
      <c r="G217">
        <f>IF(F217="","",F217-E217)</f>
        <v/>
      </c>
      <c r="H217" s="30">
        <f>IF(E217&gt;0,G217/E217*100,0)</f>
        <v/>
      </c>
      <c r="I217" s="8" t="n"/>
      <c r="J217" s="8">
        <f>IF(G217="","",G217*I217)</f>
        <v/>
      </c>
    </row>
    <row r="218">
      <c r="A218" s="38" t="n"/>
      <c r="G218">
        <f>IF(F218="","",F218-E218)</f>
        <v/>
      </c>
      <c r="H218" s="30">
        <f>IF(E218&gt;0,G218/E218*100,0)</f>
        <v/>
      </c>
      <c r="I218" s="8" t="n"/>
      <c r="J218" s="8">
        <f>IF(G218="","",G218*I218)</f>
        <v/>
      </c>
    </row>
    <row r="219">
      <c r="A219" s="38" t="n"/>
      <c r="G219">
        <f>IF(F219="","",F219-E219)</f>
        <v/>
      </c>
      <c r="H219" s="30">
        <f>IF(E219&gt;0,G219/E219*100,0)</f>
        <v/>
      </c>
      <c r="I219" s="8" t="n"/>
      <c r="J219" s="8">
        <f>IF(G219="","",G219*I219)</f>
        <v/>
      </c>
    </row>
    <row r="220">
      <c r="A220" s="38" t="n"/>
      <c r="G220">
        <f>IF(F220="","",F220-E220)</f>
        <v/>
      </c>
      <c r="H220" s="30">
        <f>IF(E220&gt;0,G220/E220*100,0)</f>
        <v/>
      </c>
      <c r="I220" s="8" t="n"/>
      <c r="J220" s="8">
        <f>IF(G220="","",G220*I220)</f>
        <v/>
      </c>
    </row>
    <row r="221">
      <c r="A221" s="38" t="n"/>
      <c r="G221">
        <f>IF(F221="","",F221-E221)</f>
        <v/>
      </c>
      <c r="H221" s="30">
        <f>IF(E221&gt;0,G221/E221*100,0)</f>
        <v/>
      </c>
      <c r="I221" s="8" t="n"/>
      <c r="J221" s="8">
        <f>IF(G221="","",G221*I221)</f>
        <v/>
      </c>
    </row>
    <row r="222">
      <c r="A222" s="38" t="n"/>
      <c r="G222">
        <f>IF(F222="","",F222-E222)</f>
        <v/>
      </c>
      <c r="H222" s="30">
        <f>IF(E222&gt;0,G222/E222*100,0)</f>
        <v/>
      </c>
      <c r="I222" s="8" t="n"/>
      <c r="J222" s="8">
        <f>IF(G222="","",G222*I222)</f>
        <v/>
      </c>
    </row>
    <row r="223">
      <c r="A223" s="38" t="n"/>
      <c r="G223">
        <f>IF(F223="","",F223-E223)</f>
        <v/>
      </c>
      <c r="H223" s="30">
        <f>IF(E223&gt;0,G223/E223*100,0)</f>
        <v/>
      </c>
      <c r="I223" s="8" t="n"/>
      <c r="J223" s="8">
        <f>IF(G223="","",G223*I223)</f>
        <v/>
      </c>
    </row>
    <row r="224">
      <c r="A224" s="38" t="n"/>
      <c r="G224">
        <f>IF(F224="","",F224-E224)</f>
        <v/>
      </c>
      <c r="H224" s="30">
        <f>IF(E224&gt;0,G224/E224*100,0)</f>
        <v/>
      </c>
      <c r="I224" s="8" t="n"/>
      <c r="J224" s="8">
        <f>IF(G224="","",G224*I224)</f>
        <v/>
      </c>
    </row>
    <row r="225">
      <c r="A225" s="38" t="n"/>
      <c r="G225">
        <f>IF(F225="","",F225-E225)</f>
        <v/>
      </c>
      <c r="H225" s="30">
        <f>IF(E225&gt;0,G225/E225*100,0)</f>
        <v/>
      </c>
      <c r="I225" s="8" t="n"/>
      <c r="J225" s="8">
        <f>IF(G225="","",G225*I225)</f>
        <v/>
      </c>
    </row>
    <row r="226">
      <c r="A226" s="38" t="n"/>
      <c r="G226">
        <f>IF(F226="","",F226-E226)</f>
        <v/>
      </c>
      <c r="H226" s="30">
        <f>IF(E226&gt;0,G226/E226*100,0)</f>
        <v/>
      </c>
      <c r="I226" s="8" t="n"/>
      <c r="J226" s="8">
        <f>IF(G226="","",G226*I226)</f>
        <v/>
      </c>
    </row>
    <row r="227">
      <c r="A227" s="38" t="n"/>
      <c r="G227">
        <f>IF(F227="","",F227-E227)</f>
        <v/>
      </c>
      <c r="H227" s="30">
        <f>IF(E227&gt;0,G227/E227*100,0)</f>
        <v/>
      </c>
      <c r="I227" s="8" t="n"/>
      <c r="J227" s="8">
        <f>IF(G227="","",G227*I227)</f>
        <v/>
      </c>
    </row>
    <row r="228">
      <c r="A228" s="38" t="n"/>
      <c r="G228">
        <f>IF(F228="","",F228-E228)</f>
        <v/>
      </c>
      <c r="H228" s="30">
        <f>IF(E228&gt;0,G228/E228*100,0)</f>
        <v/>
      </c>
      <c r="I228" s="8" t="n"/>
      <c r="J228" s="8">
        <f>IF(G228="","",G228*I228)</f>
        <v/>
      </c>
    </row>
    <row r="229">
      <c r="A229" s="38" t="n"/>
      <c r="G229">
        <f>IF(F229="","",F229-E229)</f>
        <v/>
      </c>
      <c r="H229" s="30">
        <f>IF(E229&gt;0,G229/E229*100,0)</f>
        <v/>
      </c>
      <c r="I229" s="8" t="n"/>
      <c r="J229" s="8">
        <f>IF(G229="","",G229*I229)</f>
        <v/>
      </c>
    </row>
    <row r="230">
      <c r="A230" s="38" t="n"/>
      <c r="G230">
        <f>IF(F230="","",F230-E230)</f>
        <v/>
      </c>
      <c r="H230" s="30">
        <f>IF(E230&gt;0,G230/E230*100,0)</f>
        <v/>
      </c>
      <c r="I230" s="8" t="n"/>
      <c r="J230" s="8">
        <f>IF(G230="","",G230*I230)</f>
        <v/>
      </c>
    </row>
    <row r="231">
      <c r="A231" s="38" t="n"/>
      <c r="G231">
        <f>IF(F231="","",F231-E231)</f>
        <v/>
      </c>
      <c r="H231" s="30">
        <f>IF(E231&gt;0,G231/E231*100,0)</f>
        <v/>
      </c>
      <c r="I231" s="8" t="n"/>
      <c r="J231" s="8">
        <f>IF(G231="","",G231*I231)</f>
        <v/>
      </c>
    </row>
    <row r="232">
      <c r="A232" s="38" t="n"/>
      <c r="G232">
        <f>IF(F232="","",F232-E232)</f>
        <v/>
      </c>
      <c r="H232" s="30">
        <f>IF(E232&gt;0,G232/E232*100,0)</f>
        <v/>
      </c>
      <c r="I232" s="8" t="n"/>
      <c r="J232" s="8">
        <f>IF(G232="","",G232*I232)</f>
        <v/>
      </c>
    </row>
    <row r="233">
      <c r="A233" s="38" t="n"/>
      <c r="G233">
        <f>IF(F233="","",F233-E233)</f>
        <v/>
      </c>
      <c r="H233" s="30">
        <f>IF(E233&gt;0,G233/E233*100,0)</f>
        <v/>
      </c>
      <c r="I233" s="8" t="n"/>
      <c r="J233" s="8">
        <f>IF(G233="","",G233*I233)</f>
        <v/>
      </c>
    </row>
    <row r="234">
      <c r="A234" s="38" t="n"/>
      <c r="G234">
        <f>IF(F234="","",F234-E234)</f>
        <v/>
      </c>
      <c r="H234" s="30">
        <f>IF(E234&gt;0,G234/E234*100,0)</f>
        <v/>
      </c>
      <c r="I234" s="8" t="n"/>
      <c r="J234" s="8">
        <f>IF(G234="","",G234*I234)</f>
        <v/>
      </c>
    </row>
    <row r="235">
      <c r="A235" s="38" t="n"/>
      <c r="G235">
        <f>IF(F235="","",F235-E235)</f>
        <v/>
      </c>
      <c r="H235" s="30">
        <f>IF(E235&gt;0,G235/E235*100,0)</f>
        <v/>
      </c>
      <c r="I235" s="8" t="n"/>
      <c r="J235" s="8">
        <f>IF(G235="","",G235*I235)</f>
        <v/>
      </c>
    </row>
    <row r="236">
      <c r="A236" s="38" t="n"/>
      <c r="G236">
        <f>IF(F236="","",F236-E236)</f>
        <v/>
      </c>
      <c r="H236" s="30">
        <f>IF(E236&gt;0,G236/E236*100,0)</f>
        <v/>
      </c>
      <c r="I236" s="8" t="n"/>
      <c r="J236" s="8">
        <f>IF(G236="","",G236*I236)</f>
        <v/>
      </c>
    </row>
    <row r="237">
      <c r="A237" s="38" t="n"/>
      <c r="G237">
        <f>IF(F237="","",F237-E237)</f>
        <v/>
      </c>
      <c r="H237" s="30">
        <f>IF(E237&gt;0,G237/E237*100,0)</f>
        <v/>
      </c>
      <c r="I237" s="8" t="n"/>
      <c r="J237" s="8">
        <f>IF(G237="","",G237*I237)</f>
        <v/>
      </c>
    </row>
    <row r="238">
      <c r="A238" s="38" t="n"/>
      <c r="G238">
        <f>IF(F238="","",F238-E238)</f>
        <v/>
      </c>
      <c r="H238" s="30">
        <f>IF(E238&gt;0,G238/E238*100,0)</f>
        <v/>
      </c>
      <c r="I238" s="8" t="n"/>
      <c r="J238" s="8">
        <f>IF(G238="","",G238*I238)</f>
        <v/>
      </c>
    </row>
    <row r="239">
      <c r="A239" s="38" t="n"/>
      <c r="G239">
        <f>IF(F239="","",F239-E239)</f>
        <v/>
      </c>
      <c r="H239" s="30">
        <f>IF(E239&gt;0,G239/E239*100,0)</f>
        <v/>
      </c>
      <c r="I239" s="8" t="n"/>
      <c r="J239" s="8">
        <f>IF(G239="","",G239*I239)</f>
        <v/>
      </c>
    </row>
    <row r="240">
      <c r="A240" s="38" t="n"/>
      <c r="G240">
        <f>IF(F240="","",F240-E240)</f>
        <v/>
      </c>
      <c r="H240" s="30">
        <f>IF(E240&gt;0,G240/E240*100,0)</f>
        <v/>
      </c>
      <c r="I240" s="8" t="n"/>
      <c r="J240" s="8">
        <f>IF(G240="","",G240*I240)</f>
        <v/>
      </c>
    </row>
    <row r="241">
      <c r="A241" s="38" t="n"/>
      <c r="G241">
        <f>IF(F241="","",F241-E241)</f>
        <v/>
      </c>
      <c r="H241" s="30">
        <f>IF(E241&gt;0,G241/E241*100,0)</f>
        <v/>
      </c>
      <c r="I241" s="8" t="n"/>
      <c r="J241" s="8">
        <f>IF(G241="","",G241*I241)</f>
        <v/>
      </c>
    </row>
    <row r="242">
      <c r="A242" s="38" t="n"/>
      <c r="G242">
        <f>IF(F242="","",F242-E242)</f>
        <v/>
      </c>
      <c r="H242" s="30">
        <f>IF(E242&gt;0,G242/E242*100,0)</f>
        <v/>
      </c>
      <c r="I242" s="8" t="n"/>
      <c r="J242" s="8">
        <f>IF(G242="","",G242*I242)</f>
        <v/>
      </c>
    </row>
    <row r="243">
      <c r="A243" s="38" t="n"/>
      <c r="G243">
        <f>IF(F243="","",F243-E243)</f>
        <v/>
      </c>
      <c r="H243" s="30">
        <f>IF(E243&gt;0,G243/E243*100,0)</f>
        <v/>
      </c>
      <c r="I243" s="8" t="n"/>
      <c r="J243" s="8">
        <f>IF(G243="","",G243*I243)</f>
        <v/>
      </c>
    </row>
    <row r="244">
      <c r="A244" s="38" t="n"/>
      <c r="G244">
        <f>IF(F244="","",F244-E244)</f>
        <v/>
      </c>
      <c r="H244" s="30">
        <f>IF(E244&gt;0,G244/E244*100,0)</f>
        <v/>
      </c>
      <c r="I244" s="8" t="n"/>
      <c r="J244" s="8">
        <f>IF(G244="","",G244*I244)</f>
        <v/>
      </c>
    </row>
    <row r="245">
      <c r="A245" s="38" t="n"/>
      <c r="G245">
        <f>IF(F245="","",F245-E245)</f>
        <v/>
      </c>
      <c r="H245" s="30">
        <f>IF(E245&gt;0,G245/E245*100,0)</f>
        <v/>
      </c>
      <c r="I245" s="8" t="n"/>
      <c r="J245" s="8">
        <f>IF(G245="","",G245*I245)</f>
        <v/>
      </c>
    </row>
    <row r="246">
      <c r="A246" s="38" t="n"/>
      <c r="G246">
        <f>IF(F246="","",F246-E246)</f>
        <v/>
      </c>
      <c r="H246" s="30">
        <f>IF(E246&gt;0,G246/E246*100,0)</f>
        <v/>
      </c>
      <c r="I246" s="8" t="n"/>
      <c r="J246" s="8">
        <f>IF(G246="","",G246*I246)</f>
        <v/>
      </c>
    </row>
    <row r="247">
      <c r="A247" s="38" t="n"/>
      <c r="G247">
        <f>IF(F247="","",F247-E247)</f>
        <v/>
      </c>
      <c r="H247" s="30">
        <f>IF(E247&gt;0,G247/E247*100,0)</f>
        <v/>
      </c>
      <c r="I247" s="8" t="n"/>
      <c r="J247" s="8">
        <f>IF(G247="","",G247*I247)</f>
        <v/>
      </c>
    </row>
    <row r="248">
      <c r="A248" s="38" t="n"/>
      <c r="G248">
        <f>IF(F248="","",F248-E248)</f>
        <v/>
      </c>
      <c r="H248" s="30">
        <f>IF(E248&gt;0,G248/E248*100,0)</f>
        <v/>
      </c>
      <c r="I248" s="8" t="n"/>
      <c r="J248" s="8">
        <f>IF(G248="","",G248*I248)</f>
        <v/>
      </c>
    </row>
    <row r="249">
      <c r="A249" s="38" t="n"/>
      <c r="G249">
        <f>IF(F249="","",F249-E249)</f>
        <v/>
      </c>
      <c r="H249" s="30">
        <f>IF(E249&gt;0,G249/E249*100,0)</f>
        <v/>
      </c>
      <c r="I249" s="8" t="n"/>
      <c r="J249" s="8">
        <f>IF(G249="","",G249*I249)</f>
        <v/>
      </c>
    </row>
    <row r="250">
      <c r="A250" s="38" t="n"/>
      <c r="G250">
        <f>IF(F250="","",F250-E250)</f>
        <v/>
      </c>
      <c r="H250" s="30">
        <f>IF(E250&gt;0,G250/E250*100,0)</f>
        <v/>
      </c>
      <c r="I250" s="8" t="n"/>
      <c r="J250" s="8">
        <f>IF(G250="","",G250*I250)</f>
        <v/>
      </c>
    </row>
    <row r="251">
      <c r="A251" s="38" t="n"/>
      <c r="G251">
        <f>IF(F251="","",F251-E251)</f>
        <v/>
      </c>
      <c r="H251" s="30">
        <f>IF(E251&gt;0,G251/E251*100,0)</f>
        <v/>
      </c>
      <c r="I251" s="8" t="n"/>
      <c r="J251" s="8">
        <f>IF(G251="","",G251*I251)</f>
        <v/>
      </c>
    </row>
    <row r="252">
      <c r="A252" s="38" t="n"/>
      <c r="G252">
        <f>IF(F252="","",F252-E252)</f>
        <v/>
      </c>
      <c r="H252" s="30">
        <f>IF(E252&gt;0,G252/E252*100,0)</f>
        <v/>
      </c>
      <c r="I252" s="8" t="n"/>
      <c r="J252" s="8">
        <f>IF(G252="","",G252*I252)</f>
        <v/>
      </c>
    </row>
    <row r="253">
      <c r="A253" s="38" t="n"/>
      <c r="G253">
        <f>IF(F253="","",F253-E253)</f>
        <v/>
      </c>
      <c r="H253" s="30">
        <f>IF(E253&gt;0,G253/E253*100,0)</f>
        <v/>
      </c>
      <c r="I253" s="8" t="n"/>
      <c r="J253" s="8">
        <f>IF(G253="","",G253*I253)</f>
        <v/>
      </c>
    </row>
    <row r="254">
      <c r="A254" s="38" t="n"/>
      <c r="G254">
        <f>IF(F254="","",F254-E254)</f>
        <v/>
      </c>
      <c r="H254" s="30">
        <f>IF(E254&gt;0,G254/E254*100,0)</f>
        <v/>
      </c>
      <c r="I254" s="8" t="n"/>
      <c r="J254" s="8">
        <f>IF(G254="","",G254*I254)</f>
        <v/>
      </c>
    </row>
    <row r="255">
      <c r="A255" s="38" t="n"/>
      <c r="G255">
        <f>IF(F255="","",F255-E255)</f>
        <v/>
      </c>
      <c r="H255" s="30">
        <f>IF(E255&gt;0,G255/E255*100,0)</f>
        <v/>
      </c>
      <c r="I255" s="8" t="n"/>
      <c r="J255" s="8">
        <f>IF(G255="","",G255*I255)</f>
        <v/>
      </c>
    </row>
    <row r="256">
      <c r="A256" s="38" t="n"/>
      <c r="G256">
        <f>IF(F256="","",F256-E256)</f>
        <v/>
      </c>
      <c r="H256" s="30">
        <f>IF(E256&gt;0,G256/E256*100,0)</f>
        <v/>
      </c>
      <c r="I256" s="8" t="n"/>
      <c r="J256" s="8">
        <f>IF(G256="","",G256*I256)</f>
        <v/>
      </c>
    </row>
    <row r="257">
      <c r="A257" s="38" t="n"/>
      <c r="G257">
        <f>IF(F257="","",F257-E257)</f>
        <v/>
      </c>
      <c r="H257" s="30">
        <f>IF(E257&gt;0,G257/E257*100,0)</f>
        <v/>
      </c>
      <c r="I257" s="8" t="n"/>
      <c r="J257" s="8">
        <f>IF(G257="","",G257*I257)</f>
        <v/>
      </c>
    </row>
    <row r="258">
      <c r="A258" s="38" t="n"/>
      <c r="G258">
        <f>IF(F258="","",F258-E258)</f>
        <v/>
      </c>
      <c r="H258" s="30">
        <f>IF(E258&gt;0,G258/E258*100,0)</f>
        <v/>
      </c>
      <c r="I258" s="8" t="n"/>
      <c r="J258" s="8">
        <f>IF(G258="","",G258*I258)</f>
        <v/>
      </c>
    </row>
    <row r="259">
      <c r="A259" s="38" t="n"/>
      <c r="G259">
        <f>IF(F259="","",F259-E259)</f>
        <v/>
      </c>
      <c r="H259" s="30">
        <f>IF(E259&gt;0,G259/E259*100,0)</f>
        <v/>
      </c>
      <c r="I259" s="8" t="n"/>
      <c r="J259" s="8">
        <f>IF(G259="","",G259*I259)</f>
        <v/>
      </c>
    </row>
    <row r="260">
      <c r="A260" s="38" t="n"/>
      <c r="G260">
        <f>IF(F260="","",F260-E260)</f>
        <v/>
      </c>
      <c r="H260" s="30">
        <f>IF(E260&gt;0,G260/E260*100,0)</f>
        <v/>
      </c>
      <c r="I260" s="8" t="n"/>
      <c r="J260" s="8">
        <f>IF(G260="","",G260*I260)</f>
        <v/>
      </c>
    </row>
    <row r="261">
      <c r="A261" s="38" t="n"/>
      <c r="G261">
        <f>IF(F261="","",F261-E261)</f>
        <v/>
      </c>
      <c r="H261" s="30">
        <f>IF(E261&gt;0,G261/E261*100,0)</f>
        <v/>
      </c>
      <c r="I261" s="8" t="n"/>
      <c r="J261" s="8">
        <f>IF(G261="","",G261*I261)</f>
        <v/>
      </c>
    </row>
    <row r="262">
      <c r="A262" s="38" t="n"/>
      <c r="G262">
        <f>IF(F262="","",F262-E262)</f>
        <v/>
      </c>
      <c r="H262" s="30">
        <f>IF(E262&gt;0,G262/E262*100,0)</f>
        <v/>
      </c>
      <c r="I262" s="8" t="n"/>
      <c r="J262" s="8">
        <f>IF(G262="","",G262*I262)</f>
        <v/>
      </c>
    </row>
    <row r="263">
      <c r="A263" s="38" t="n"/>
      <c r="G263">
        <f>IF(F263="","",F263-E263)</f>
        <v/>
      </c>
      <c r="H263" s="30">
        <f>IF(E263&gt;0,G263/E263*100,0)</f>
        <v/>
      </c>
      <c r="I263" s="8" t="n"/>
      <c r="J263" s="8">
        <f>IF(G263="","",G263*I263)</f>
        <v/>
      </c>
    </row>
    <row r="264">
      <c r="A264" s="38" t="n"/>
      <c r="G264">
        <f>IF(F264="","",F264-E264)</f>
        <v/>
      </c>
      <c r="H264" s="30">
        <f>IF(E264&gt;0,G264/E264*100,0)</f>
        <v/>
      </c>
      <c r="I264" s="8" t="n"/>
      <c r="J264" s="8">
        <f>IF(G264="","",G264*I264)</f>
        <v/>
      </c>
    </row>
    <row r="265">
      <c r="A265" s="38" t="n"/>
      <c r="G265">
        <f>IF(F265="","",F265-E265)</f>
        <v/>
      </c>
      <c r="H265" s="30">
        <f>IF(E265&gt;0,G265/E265*100,0)</f>
        <v/>
      </c>
      <c r="I265" s="8" t="n"/>
      <c r="J265" s="8">
        <f>IF(G265="","",G265*I265)</f>
        <v/>
      </c>
    </row>
    <row r="266">
      <c r="A266" s="38" t="n"/>
      <c r="G266">
        <f>IF(F266="","",F266-E266)</f>
        <v/>
      </c>
      <c r="H266" s="30">
        <f>IF(E266&gt;0,G266/E266*100,0)</f>
        <v/>
      </c>
      <c r="I266" s="8" t="n"/>
      <c r="J266" s="8">
        <f>IF(G266="","",G266*I266)</f>
        <v/>
      </c>
    </row>
    <row r="267">
      <c r="A267" s="38" t="n"/>
      <c r="G267">
        <f>IF(F267="","",F267-E267)</f>
        <v/>
      </c>
      <c r="H267" s="30">
        <f>IF(E267&gt;0,G267/E267*100,0)</f>
        <v/>
      </c>
      <c r="I267" s="8" t="n"/>
      <c r="J267" s="8">
        <f>IF(G267="","",G267*I267)</f>
        <v/>
      </c>
    </row>
    <row r="268">
      <c r="A268" s="38" t="n"/>
      <c r="G268">
        <f>IF(F268="","",F268-E268)</f>
        <v/>
      </c>
      <c r="H268" s="30">
        <f>IF(E268&gt;0,G268/E268*100,0)</f>
        <v/>
      </c>
      <c r="I268" s="8" t="n"/>
      <c r="J268" s="8">
        <f>IF(G268="","",G268*I268)</f>
        <v/>
      </c>
    </row>
    <row r="269">
      <c r="A269" s="38" t="n"/>
      <c r="G269">
        <f>IF(F269="","",F269-E269)</f>
        <v/>
      </c>
      <c r="H269" s="30">
        <f>IF(E269&gt;0,G269/E269*100,0)</f>
        <v/>
      </c>
      <c r="I269" s="8" t="n"/>
      <c r="J269" s="8">
        <f>IF(G269="","",G269*I269)</f>
        <v/>
      </c>
    </row>
    <row r="270">
      <c r="A270" s="38" t="n"/>
      <c r="G270">
        <f>IF(F270="","",F270-E270)</f>
        <v/>
      </c>
      <c r="H270" s="30">
        <f>IF(E270&gt;0,G270/E270*100,0)</f>
        <v/>
      </c>
      <c r="I270" s="8" t="n"/>
      <c r="J270" s="8">
        <f>IF(G270="","",G270*I270)</f>
        <v/>
      </c>
    </row>
    <row r="271">
      <c r="A271" s="38" t="n"/>
      <c r="G271">
        <f>IF(F271="","",F271-E271)</f>
        <v/>
      </c>
      <c r="H271" s="30">
        <f>IF(E271&gt;0,G271/E271*100,0)</f>
        <v/>
      </c>
      <c r="I271" s="8" t="n"/>
      <c r="J271" s="8">
        <f>IF(G271="","",G271*I271)</f>
        <v/>
      </c>
    </row>
    <row r="272">
      <c r="A272" s="38" t="n"/>
      <c r="G272">
        <f>IF(F272="","",F272-E272)</f>
        <v/>
      </c>
      <c r="H272" s="30">
        <f>IF(E272&gt;0,G272/E272*100,0)</f>
        <v/>
      </c>
      <c r="I272" s="8" t="n"/>
      <c r="J272" s="8">
        <f>IF(G272="","",G272*I272)</f>
        <v/>
      </c>
    </row>
    <row r="273">
      <c r="A273" s="38" t="n"/>
      <c r="G273">
        <f>IF(F273="","",F273-E273)</f>
        <v/>
      </c>
      <c r="H273" s="30">
        <f>IF(E273&gt;0,G273/E273*100,0)</f>
        <v/>
      </c>
      <c r="I273" s="8" t="n"/>
      <c r="J273" s="8">
        <f>IF(G273="","",G273*I273)</f>
        <v/>
      </c>
    </row>
    <row r="274">
      <c r="A274" s="38" t="n"/>
      <c r="G274">
        <f>IF(F274="","",F274-E274)</f>
        <v/>
      </c>
      <c r="H274" s="30">
        <f>IF(E274&gt;0,G274/E274*100,0)</f>
        <v/>
      </c>
      <c r="I274" s="8" t="n"/>
      <c r="J274" s="8">
        <f>IF(G274="","",G274*I274)</f>
        <v/>
      </c>
    </row>
    <row r="275">
      <c r="A275" s="38" t="n"/>
      <c r="G275">
        <f>IF(F275="","",F275-E275)</f>
        <v/>
      </c>
      <c r="H275" s="30">
        <f>IF(E275&gt;0,G275/E275*100,0)</f>
        <v/>
      </c>
      <c r="I275" s="8" t="n"/>
      <c r="J275" s="8">
        <f>IF(G275="","",G275*I275)</f>
        <v/>
      </c>
    </row>
    <row r="276">
      <c r="A276" s="38" t="n"/>
      <c r="G276">
        <f>IF(F276="","",F276-E276)</f>
        <v/>
      </c>
      <c r="H276" s="30">
        <f>IF(E276&gt;0,G276/E276*100,0)</f>
        <v/>
      </c>
      <c r="I276" s="8" t="n"/>
      <c r="J276" s="8">
        <f>IF(G276="","",G276*I276)</f>
        <v/>
      </c>
    </row>
    <row r="277">
      <c r="A277" s="38" t="n"/>
      <c r="G277">
        <f>IF(F277="","",F277-E277)</f>
        <v/>
      </c>
      <c r="H277" s="30">
        <f>IF(E277&gt;0,G277/E277*100,0)</f>
        <v/>
      </c>
      <c r="I277" s="8" t="n"/>
      <c r="J277" s="8">
        <f>IF(G277="","",G277*I277)</f>
        <v/>
      </c>
    </row>
    <row r="278">
      <c r="A278" s="38" t="n"/>
      <c r="G278">
        <f>IF(F278="","",F278-E278)</f>
        <v/>
      </c>
      <c r="H278" s="30">
        <f>IF(E278&gt;0,G278/E278*100,0)</f>
        <v/>
      </c>
      <c r="I278" s="8" t="n"/>
      <c r="J278" s="8">
        <f>IF(G278="","",G278*I278)</f>
        <v/>
      </c>
    </row>
    <row r="279">
      <c r="A279" s="38" t="n"/>
      <c r="G279">
        <f>IF(F279="","",F279-E279)</f>
        <v/>
      </c>
      <c r="H279" s="30">
        <f>IF(E279&gt;0,G279/E279*100,0)</f>
        <v/>
      </c>
      <c r="I279" s="8" t="n"/>
      <c r="J279" s="8">
        <f>IF(G279="","",G279*I279)</f>
        <v/>
      </c>
    </row>
    <row r="280">
      <c r="A280" s="38" t="n"/>
      <c r="G280">
        <f>IF(F280="","",F280-E280)</f>
        <v/>
      </c>
      <c r="H280" s="30">
        <f>IF(E280&gt;0,G280/E280*100,0)</f>
        <v/>
      </c>
      <c r="I280" s="8" t="n"/>
      <c r="J280" s="8">
        <f>IF(G280="","",G280*I280)</f>
        <v/>
      </c>
    </row>
    <row r="281">
      <c r="A281" s="38" t="n"/>
      <c r="G281">
        <f>IF(F281="","",F281-E281)</f>
        <v/>
      </c>
      <c r="H281" s="30">
        <f>IF(E281&gt;0,G281/E281*100,0)</f>
        <v/>
      </c>
      <c r="I281" s="8" t="n"/>
      <c r="J281" s="8">
        <f>IF(G281="","",G281*I281)</f>
        <v/>
      </c>
    </row>
    <row r="282">
      <c r="A282" s="38" t="n"/>
      <c r="G282">
        <f>IF(F282="","",F282-E282)</f>
        <v/>
      </c>
      <c r="H282" s="30">
        <f>IF(E282&gt;0,G282/E282*100,0)</f>
        <v/>
      </c>
      <c r="I282" s="8" t="n"/>
      <c r="J282" s="8">
        <f>IF(G282="","",G282*I282)</f>
        <v/>
      </c>
    </row>
    <row r="283">
      <c r="A283" s="38" t="n"/>
      <c r="G283">
        <f>IF(F283="","",F283-E283)</f>
        <v/>
      </c>
      <c r="H283" s="30">
        <f>IF(E283&gt;0,G283/E283*100,0)</f>
        <v/>
      </c>
      <c r="I283" s="8" t="n"/>
      <c r="J283" s="8">
        <f>IF(G283="","",G283*I283)</f>
        <v/>
      </c>
    </row>
    <row r="284">
      <c r="A284" s="38" t="n"/>
      <c r="G284">
        <f>IF(F284="","",F284-E284)</f>
        <v/>
      </c>
      <c r="H284" s="30">
        <f>IF(E284&gt;0,G284/E284*100,0)</f>
        <v/>
      </c>
      <c r="I284" s="8" t="n"/>
      <c r="J284" s="8">
        <f>IF(G284="","",G284*I284)</f>
        <v/>
      </c>
    </row>
    <row r="285">
      <c r="A285" s="38" t="n"/>
      <c r="G285">
        <f>IF(F285="","",F285-E285)</f>
        <v/>
      </c>
      <c r="H285" s="30">
        <f>IF(E285&gt;0,G285/E285*100,0)</f>
        <v/>
      </c>
      <c r="I285" s="8" t="n"/>
      <c r="J285" s="8">
        <f>IF(G285="","",G285*I285)</f>
        <v/>
      </c>
    </row>
    <row r="286">
      <c r="A286" s="38" t="n"/>
      <c r="G286">
        <f>IF(F286="","",F286-E286)</f>
        <v/>
      </c>
      <c r="H286" s="30">
        <f>IF(E286&gt;0,G286/E286*100,0)</f>
        <v/>
      </c>
      <c r="I286" s="8" t="n"/>
      <c r="J286" s="8">
        <f>IF(G286="","",G286*I286)</f>
        <v/>
      </c>
    </row>
    <row r="287">
      <c r="A287" s="38" t="n"/>
      <c r="G287">
        <f>IF(F287="","",F287-E287)</f>
        <v/>
      </c>
      <c r="H287" s="30">
        <f>IF(E287&gt;0,G287/E287*100,0)</f>
        <v/>
      </c>
      <c r="I287" s="8" t="n"/>
      <c r="J287" s="8">
        <f>IF(G287="","",G287*I287)</f>
        <v/>
      </c>
    </row>
    <row r="288">
      <c r="A288" s="38" t="n"/>
      <c r="G288">
        <f>IF(F288="","",F288-E288)</f>
        <v/>
      </c>
      <c r="H288" s="30">
        <f>IF(E288&gt;0,G288/E288*100,0)</f>
        <v/>
      </c>
      <c r="I288" s="8" t="n"/>
      <c r="J288" s="8">
        <f>IF(G288="","",G288*I288)</f>
        <v/>
      </c>
    </row>
    <row r="289">
      <c r="A289" s="38" t="n"/>
      <c r="G289">
        <f>IF(F289="","",F289-E289)</f>
        <v/>
      </c>
      <c r="H289" s="30">
        <f>IF(E289&gt;0,G289/E289*100,0)</f>
        <v/>
      </c>
      <c r="I289" s="8" t="n"/>
      <c r="J289" s="8">
        <f>IF(G289="","",G289*I289)</f>
        <v/>
      </c>
    </row>
    <row r="290">
      <c r="A290" s="38" t="n"/>
      <c r="G290">
        <f>IF(F290="","",F290-E290)</f>
        <v/>
      </c>
      <c r="H290" s="30">
        <f>IF(E290&gt;0,G290/E290*100,0)</f>
        <v/>
      </c>
      <c r="I290" s="8" t="n"/>
      <c r="J290" s="8">
        <f>IF(G290="","",G290*I290)</f>
        <v/>
      </c>
    </row>
    <row r="291">
      <c r="A291" s="38" t="n"/>
      <c r="G291">
        <f>IF(F291="","",F291-E291)</f>
        <v/>
      </c>
      <c r="H291" s="30">
        <f>IF(E291&gt;0,G291/E291*100,0)</f>
        <v/>
      </c>
      <c r="I291" s="8" t="n"/>
      <c r="J291" s="8">
        <f>IF(G291="","",G291*I291)</f>
        <v/>
      </c>
    </row>
    <row r="292">
      <c r="A292" s="38" t="n"/>
      <c r="G292">
        <f>IF(F292="","",F292-E292)</f>
        <v/>
      </c>
      <c r="H292" s="30">
        <f>IF(E292&gt;0,G292/E292*100,0)</f>
        <v/>
      </c>
      <c r="I292" s="8" t="n"/>
      <c r="J292" s="8">
        <f>IF(G292="","",G292*I292)</f>
        <v/>
      </c>
    </row>
    <row r="293">
      <c r="A293" s="38" t="n"/>
      <c r="G293">
        <f>IF(F293="","",F293-E293)</f>
        <v/>
      </c>
      <c r="H293" s="30">
        <f>IF(E293&gt;0,G293/E293*100,0)</f>
        <v/>
      </c>
      <c r="I293" s="8" t="n"/>
      <c r="J293" s="8">
        <f>IF(G293="","",G293*I293)</f>
        <v/>
      </c>
    </row>
    <row r="294">
      <c r="A294" s="38" t="n"/>
      <c r="G294">
        <f>IF(F294="","",F294-E294)</f>
        <v/>
      </c>
      <c r="H294" s="30">
        <f>IF(E294&gt;0,G294/E294*100,0)</f>
        <v/>
      </c>
      <c r="I294" s="8" t="n"/>
      <c r="J294" s="8">
        <f>IF(G294="","",G294*I294)</f>
        <v/>
      </c>
    </row>
    <row r="295">
      <c r="A295" s="38" t="n"/>
      <c r="G295">
        <f>IF(F295="","",F295-E295)</f>
        <v/>
      </c>
      <c r="H295" s="30">
        <f>IF(E295&gt;0,G295/E295*100,0)</f>
        <v/>
      </c>
      <c r="I295" s="8" t="n"/>
      <c r="J295" s="8">
        <f>IF(G295="","",G295*I295)</f>
        <v/>
      </c>
    </row>
    <row r="296">
      <c r="A296" s="38" t="n"/>
      <c r="G296">
        <f>IF(F296="","",F296-E296)</f>
        <v/>
      </c>
      <c r="H296" s="30">
        <f>IF(E296&gt;0,G296/E296*100,0)</f>
        <v/>
      </c>
      <c r="I296" s="8" t="n"/>
      <c r="J296" s="8">
        <f>IF(G296="","",G296*I296)</f>
        <v/>
      </c>
    </row>
    <row r="297">
      <c r="A297" s="38" t="n"/>
      <c r="G297">
        <f>IF(F297="","",F297-E297)</f>
        <v/>
      </c>
      <c r="H297" s="30">
        <f>IF(E297&gt;0,G297/E297*100,0)</f>
        <v/>
      </c>
      <c r="I297" s="8" t="n"/>
      <c r="J297" s="8">
        <f>IF(G297="","",G297*I297)</f>
        <v/>
      </c>
    </row>
    <row r="298">
      <c r="A298" s="38" t="n"/>
      <c r="G298">
        <f>IF(F298="","",F298-E298)</f>
        <v/>
      </c>
      <c r="H298" s="30">
        <f>IF(E298&gt;0,G298/E298*100,0)</f>
        <v/>
      </c>
      <c r="I298" s="8" t="n"/>
      <c r="J298" s="8">
        <f>IF(G298="","",G298*I298)</f>
        <v/>
      </c>
    </row>
    <row r="299">
      <c r="A299" s="38" t="n"/>
      <c r="G299">
        <f>IF(F299="","",F299-E299)</f>
        <v/>
      </c>
      <c r="H299" s="30">
        <f>IF(E299&gt;0,G299/E299*100,0)</f>
        <v/>
      </c>
      <c r="I299" s="8" t="n"/>
      <c r="J299" s="8">
        <f>IF(G299="","",G299*I299)</f>
        <v/>
      </c>
    </row>
    <row r="300">
      <c r="A300" s="38" t="n"/>
      <c r="G300">
        <f>IF(F300="","",F300-E300)</f>
        <v/>
      </c>
      <c r="H300" s="30">
        <f>IF(E300&gt;0,G300/E300*100,0)</f>
        <v/>
      </c>
      <c r="I300" s="8" t="n"/>
      <c r="J300" s="8">
        <f>IF(G300="","",G300*I300)</f>
        <v/>
      </c>
    </row>
    <row r="301">
      <c r="A301" s="38" t="n"/>
      <c r="G301">
        <f>IF(F301="","",F301-E301)</f>
        <v/>
      </c>
      <c r="H301" s="30">
        <f>IF(E301&gt;0,G301/E301*100,0)</f>
        <v/>
      </c>
      <c r="I301" s="8" t="n"/>
      <c r="J301" s="8">
        <f>IF(G301="","",G301*I301)</f>
        <v/>
      </c>
    </row>
    <row r="302">
      <c r="A302" s="38" t="n"/>
      <c r="G302">
        <f>IF(F302="","",F302-E302)</f>
        <v/>
      </c>
      <c r="H302" s="30">
        <f>IF(E302&gt;0,G302/E302*100,0)</f>
        <v/>
      </c>
      <c r="I302" s="8" t="n"/>
      <c r="J302" s="8">
        <f>IF(G302="","",G302*I302)</f>
        <v/>
      </c>
    </row>
    <row r="303">
      <c r="A303" s="38" t="n"/>
      <c r="G303">
        <f>IF(F303="","",F303-E303)</f>
        <v/>
      </c>
      <c r="H303" s="30">
        <f>IF(E303&gt;0,G303/E303*100,0)</f>
        <v/>
      </c>
      <c r="I303" s="8" t="n"/>
      <c r="J303" s="8">
        <f>IF(G303="","",G303*I303)</f>
        <v/>
      </c>
    </row>
    <row r="304">
      <c r="A304" s="38" t="n"/>
      <c r="G304">
        <f>IF(F304="","",F304-E304)</f>
        <v/>
      </c>
      <c r="H304" s="30">
        <f>IF(E304&gt;0,G304/E304*100,0)</f>
        <v/>
      </c>
      <c r="I304" s="8" t="n"/>
      <c r="J304" s="8">
        <f>IF(G304="","",G304*I304)</f>
        <v/>
      </c>
    </row>
    <row r="305">
      <c r="A305" s="38" t="n"/>
      <c r="G305">
        <f>IF(F305="","",F305-E305)</f>
        <v/>
      </c>
      <c r="H305" s="30">
        <f>IF(E305&gt;0,G305/E305*100,0)</f>
        <v/>
      </c>
      <c r="I305" s="8" t="n"/>
      <c r="J305" s="8">
        <f>IF(G305="","",G305*I305)</f>
        <v/>
      </c>
    </row>
    <row r="306">
      <c r="A306" s="38" t="n"/>
      <c r="G306">
        <f>IF(F306="","",F306-E306)</f>
        <v/>
      </c>
      <c r="H306" s="30">
        <f>IF(E306&gt;0,G306/E306*100,0)</f>
        <v/>
      </c>
      <c r="I306" s="8" t="n"/>
      <c r="J306" s="8">
        <f>IF(G306="","",G306*I306)</f>
        <v/>
      </c>
    </row>
    <row r="307">
      <c r="A307" s="38" t="n"/>
      <c r="G307">
        <f>IF(F307="","",F307-E307)</f>
        <v/>
      </c>
      <c r="H307" s="30">
        <f>IF(E307&gt;0,G307/E307*100,0)</f>
        <v/>
      </c>
      <c r="I307" s="8" t="n"/>
      <c r="J307" s="8">
        <f>IF(G307="","",G307*I307)</f>
        <v/>
      </c>
    </row>
    <row r="308">
      <c r="A308" s="38" t="n"/>
      <c r="G308">
        <f>IF(F308="","",F308-E308)</f>
        <v/>
      </c>
      <c r="H308" s="30">
        <f>IF(E308&gt;0,G308/E308*100,0)</f>
        <v/>
      </c>
      <c r="I308" s="8" t="n"/>
      <c r="J308" s="8">
        <f>IF(G308="","",G308*I308)</f>
        <v/>
      </c>
    </row>
    <row r="309">
      <c r="A309" s="38" t="n"/>
      <c r="G309">
        <f>IF(F309="","",F309-E309)</f>
        <v/>
      </c>
      <c r="H309" s="30">
        <f>IF(E309&gt;0,G309/E309*100,0)</f>
        <v/>
      </c>
      <c r="I309" s="8" t="n"/>
      <c r="J309" s="8">
        <f>IF(G309="","",G309*I309)</f>
        <v/>
      </c>
    </row>
    <row r="310">
      <c r="A310" s="38" t="n"/>
      <c r="G310">
        <f>IF(F310="","",F310-E310)</f>
        <v/>
      </c>
      <c r="H310" s="30">
        <f>IF(E310&gt;0,G310/E310*100,0)</f>
        <v/>
      </c>
      <c r="I310" s="8" t="n"/>
      <c r="J310" s="8">
        <f>IF(G310="","",G310*I310)</f>
        <v/>
      </c>
    </row>
    <row r="311">
      <c r="A311" s="38" t="n"/>
      <c r="G311">
        <f>IF(F311="","",F311-E311)</f>
        <v/>
      </c>
      <c r="H311" s="30">
        <f>IF(E311&gt;0,G311/E311*100,0)</f>
        <v/>
      </c>
      <c r="I311" s="8" t="n"/>
      <c r="J311" s="8">
        <f>IF(G311="","",G311*I311)</f>
        <v/>
      </c>
    </row>
    <row r="312">
      <c r="A312" s="38" t="n"/>
      <c r="G312">
        <f>IF(F312="","",F312-E312)</f>
        <v/>
      </c>
      <c r="H312" s="30">
        <f>IF(E312&gt;0,G312/E312*100,0)</f>
        <v/>
      </c>
      <c r="I312" s="8" t="n"/>
      <c r="J312" s="8">
        <f>IF(G312="","",G312*I312)</f>
        <v/>
      </c>
    </row>
    <row r="313">
      <c r="A313" s="38" t="n"/>
      <c r="G313">
        <f>IF(F313="","",F313-E313)</f>
        <v/>
      </c>
      <c r="H313" s="30">
        <f>IF(E313&gt;0,G313/E313*100,0)</f>
        <v/>
      </c>
      <c r="I313" s="8" t="n"/>
      <c r="J313" s="8">
        <f>IF(G313="","",G313*I313)</f>
        <v/>
      </c>
    </row>
    <row r="314">
      <c r="A314" s="38" t="n"/>
      <c r="G314">
        <f>IF(F314="","",F314-E314)</f>
        <v/>
      </c>
      <c r="H314" s="30">
        <f>IF(E314&gt;0,G314/E314*100,0)</f>
        <v/>
      </c>
      <c r="I314" s="8" t="n"/>
      <c r="J314" s="8">
        <f>IF(G314="","",G314*I314)</f>
        <v/>
      </c>
    </row>
    <row r="315">
      <c r="A315" s="38" t="n"/>
      <c r="G315">
        <f>IF(F315="","",F315-E315)</f>
        <v/>
      </c>
      <c r="H315" s="30">
        <f>IF(E315&gt;0,G315/E315*100,0)</f>
        <v/>
      </c>
      <c r="I315" s="8" t="n"/>
      <c r="J315" s="8">
        <f>IF(G315="","",G315*I315)</f>
        <v/>
      </c>
    </row>
    <row r="316">
      <c r="A316" s="38" t="n"/>
      <c r="G316">
        <f>IF(F316="","",F316-E316)</f>
        <v/>
      </c>
      <c r="H316" s="30">
        <f>IF(E316&gt;0,G316/E316*100,0)</f>
        <v/>
      </c>
      <c r="I316" s="8" t="n"/>
      <c r="J316" s="8">
        <f>IF(G316="","",G316*I316)</f>
        <v/>
      </c>
    </row>
    <row r="317">
      <c r="A317" s="38" t="n"/>
      <c r="G317">
        <f>IF(F317="","",F317-E317)</f>
        <v/>
      </c>
      <c r="H317" s="30">
        <f>IF(E317&gt;0,G317/E317*100,0)</f>
        <v/>
      </c>
      <c r="I317" s="8" t="n"/>
      <c r="J317" s="8">
        <f>IF(G317="","",G317*I317)</f>
        <v/>
      </c>
    </row>
    <row r="318">
      <c r="A318" s="38" t="n"/>
      <c r="G318">
        <f>IF(F318="","",F318-E318)</f>
        <v/>
      </c>
      <c r="H318" s="30">
        <f>IF(E318&gt;0,G318/E318*100,0)</f>
        <v/>
      </c>
      <c r="I318" s="8" t="n"/>
      <c r="J318" s="8">
        <f>IF(G318="","",G318*I318)</f>
        <v/>
      </c>
    </row>
    <row r="319">
      <c r="A319" s="38" t="n"/>
      <c r="G319">
        <f>IF(F319="","",F319-E319)</f>
        <v/>
      </c>
      <c r="H319" s="30">
        <f>IF(E319&gt;0,G319/E319*100,0)</f>
        <v/>
      </c>
      <c r="I319" s="8" t="n"/>
      <c r="J319" s="8">
        <f>IF(G319="","",G319*I319)</f>
        <v/>
      </c>
    </row>
    <row r="320">
      <c r="A320" s="38" t="n"/>
      <c r="G320">
        <f>IF(F320="","",F320-E320)</f>
        <v/>
      </c>
      <c r="H320" s="30">
        <f>IF(E320&gt;0,G320/E320*100,0)</f>
        <v/>
      </c>
      <c r="I320" s="8" t="n"/>
      <c r="J320" s="8">
        <f>IF(G320="","",G320*I320)</f>
        <v/>
      </c>
    </row>
    <row r="321">
      <c r="A321" s="38" t="n"/>
      <c r="G321">
        <f>IF(F321="","",F321-E321)</f>
        <v/>
      </c>
      <c r="H321" s="30">
        <f>IF(E321&gt;0,G321/E321*100,0)</f>
        <v/>
      </c>
      <c r="I321" s="8" t="n"/>
      <c r="J321" s="8">
        <f>IF(G321="","",G321*I321)</f>
        <v/>
      </c>
    </row>
    <row r="322">
      <c r="A322" s="38" t="n"/>
      <c r="G322">
        <f>IF(F322="","",F322-E322)</f>
        <v/>
      </c>
      <c r="H322" s="30">
        <f>IF(E322&gt;0,G322/E322*100,0)</f>
        <v/>
      </c>
      <c r="I322" s="8" t="n"/>
      <c r="J322" s="8">
        <f>IF(G322="","",G322*I322)</f>
        <v/>
      </c>
    </row>
    <row r="323">
      <c r="A323" s="38" t="n"/>
      <c r="G323">
        <f>IF(F323="","",F323-E323)</f>
        <v/>
      </c>
      <c r="H323" s="30">
        <f>IF(E323&gt;0,G323/E323*100,0)</f>
        <v/>
      </c>
      <c r="I323" s="8" t="n"/>
      <c r="J323" s="8">
        <f>IF(G323="","",G323*I323)</f>
        <v/>
      </c>
    </row>
    <row r="324">
      <c r="A324" s="38" t="n"/>
      <c r="G324">
        <f>IF(F324="","",F324-E324)</f>
        <v/>
      </c>
      <c r="H324" s="30">
        <f>IF(E324&gt;0,G324/E324*100,0)</f>
        <v/>
      </c>
      <c r="I324" s="8" t="n"/>
      <c r="J324" s="8">
        <f>IF(G324="","",G324*I324)</f>
        <v/>
      </c>
    </row>
    <row r="325">
      <c r="A325" s="38" t="n"/>
      <c r="G325">
        <f>IF(F325="","",F325-E325)</f>
        <v/>
      </c>
      <c r="H325" s="30">
        <f>IF(E325&gt;0,G325/E325*100,0)</f>
        <v/>
      </c>
      <c r="I325" s="8" t="n"/>
      <c r="J325" s="8">
        <f>IF(G325="","",G325*I325)</f>
        <v/>
      </c>
    </row>
    <row r="326">
      <c r="A326" s="38" t="n"/>
      <c r="G326">
        <f>IF(F326="","",F326-E326)</f>
        <v/>
      </c>
      <c r="H326" s="30">
        <f>IF(E326&gt;0,G326/E326*100,0)</f>
        <v/>
      </c>
      <c r="I326" s="8" t="n"/>
      <c r="J326" s="8">
        <f>IF(G326="","",G326*I326)</f>
        <v/>
      </c>
    </row>
    <row r="327">
      <c r="A327" s="38" t="n"/>
      <c r="G327">
        <f>IF(F327="","",F327-E327)</f>
        <v/>
      </c>
      <c r="H327" s="30">
        <f>IF(E327&gt;0,G327/E327*100,0)</f>
        <v/>
      </c>
      <c r="I327" s="8" t="n"/>
      <c r="J327" s="8">
        <f>IF(G327="","",G327*I327)</f>
        <v/>
      </c>
    </row>
    <row r="328">
      <c r="A328" s="38" t="n"/>
      <c r="G328">
        <f>IF(F328="","",F328-E328)</f>
        <v/>
      </c>
      <c r="H328" s="30">
        <f>IF(E328&gt;0,G328/E328*100,0)</f>
        <v/>
      </c>
      <c r="I328" s="8" t="n"/>
      <c r="J328" s="8">
        <f>IF(G328="","",G328*I328)</f>
        <v/>
      </c>
    </row>
    <row r="329">
      <c r="A329" s="38" t="n"/>
      <c r="G329">
        <f>IF(F329="","",F329-E329)</f>
        <v/>
      </c>
      <c r="H329" s="30">
        <f>IF(E329&gt;0,G329/E329*100,0)</f>
        <v/>
      </c>
      <c r="I329" s="8" t="n"/>
      <c r="J329" s="8">
        <f>IF(G329="","",G329*I329)</f>
        <v/>
      </c>
    </row>
    <row r="330">
      <c r="A330" s="38" t="n"/>
      <c r="G330">
        <f>IF(F330="","",F330-E330)</f>
        <v/>
      </c>
      <c r="H330" s="30">
        <f>IF(E330&gt;0,G330/E330*100,0)</f>
        <v/>
      </c>
      <c r="I330" s="8" t="n"/>
      <c r="J330" s="8">
        <f>IF(G330="","",G330*I330)</f>
        <v/>
      </c>
    </row>
    <row r="331">
      <c r="A331" s="38" t="n"/>
      <c r="G331">
        <f>IF(F331="","",F331-E331)</f>
        <v/>
      </c>
      <c r="H331" s="30">
        <f>IF(E331&gt;0,G331/E331*100,0)</f>
        <v/>
      </c>
      <c r="I331" s="8" t="n"/>
      <c r="J331" s="8">
        <f>IF(G331="","",G331*I331)</f>
        <v/>
      </c>
    </row>
    <row r="332">
      <c r="A332" s="38" t="n"/>
      <c r="G332">
        <f>IF(F332="","",F332-E332)</f>
        <v/>
      </c>
      <c r="H332" s="30">
        <f>IF(E332&gt;0,G332/E332*100,0)</f>
        <v/>
      </c>
      <c r="I332" s="8" t="n"/>
      <c r="J332" s="8">
        <f>IF(G332="","",G332*I332)</f>
        <v/>
      </c>
    </row>
    <row r="333">
      <c r="A333" s="38" t="n"/>
      <c r="G333">
        <f>IF(F333="","",F333-E333)</f>
        <v/>
      </c>
      <c r="H333" s="30">
        <f>IF(E333&gt;0,G333/E333*100,0)</f>
        <v/>
      </c>
      <c r="I333" s="8" t="n"/>
      <c r="J333" s="8">
        <f>IF(G333="","",G333*I333)</f>
        <v/>
      </c>
    </row>
    <row r="334">
      <c r="A334" s="38" t="n"/>
      <c r="G334">
        <f>IF(F334="","",F334-E334)</f>
        <v/>
      </c>
      <c r="H334" s="30">
        <f>IF(E334&gt;0,G334/E334*100,0)</f>
        <v/>
      </c>
      <c r="I334" s="8" t="n"/>
      <c r="J334" s="8">
        <f>IF(G334="","",G334*I334)</f>
        <v/>
      </c>
    </row>
    <row r="335">
      <c r="A335" s="38" t="n"/>
      <c r="G335">
        <f>IF(F335="","",F335-E335)</f>
        <v/>
      </c>
      <c r="H335" s="30">
        <f>IF(E335&gt;0,G335/E335*100,0)</f>
        <v/>
      </c>
      <c r="I335" s="8" t="n"/>
      <c r="J335" s="8">
        <f>IF(G335="","",G335*I335)</f>
        <v/>
      </c>
    </row>
    <row r="336">
      <c r="A336" s="38" t="n"/>
      <c r="G336">
        <f>IF(F336="","",F336-E336)</f>
        <v/>
      </c>
      <c r="H336" s="30">
        <f>IF(E336&gt;0,G336/E336*100,0)</f>
        <v/>
      </c>
      <c r="I336" s="8" t="n"/>
      <c r="J336" s="8">
        <f>IF(G336="","",G336*I336)</f>
        <v/>
      </c>
    </row>
    <row r="337">
      <c r="A337" s="38" t="n"/>
      <c r="G337">
        <f>IF(F337="","",F337-E337)</f>
        <v/>
      </c>
      <c r="H337" s="30">
        <f>IF(E337&gt;0,G337/E337*100,0)</f>
        <v/>
      </c>
      <c r="I337" s="8" t="n"/>
      <c r="J337" s="8">
        <f>IF(G337="","",G337*I337)</f>
        <v/>
      </c>
    </row>
    <row r="338">
      <c r="A338" s="38" t="n"/>
      <c r="G338">
        <f>IF(F338="","",F338-E338)</f>
        <v/>
      </c>
      <c r="H338" s="30">
        <f>IF(E338&gt;0,G338/E338*100,0)</f>
        <v/>
      </c>
      <c r="I338" s="8" t="n"/>
      <c r="J338" s="8">
        <f>IF(G338="","",G338*I338)</f>
        <v/>
      </c>
    </row>
    <row r="339">
      <c r="A339" s="38" t="n"/>
      <c r="G339">
        <f>IF(F339="","",F339-E339)</f>
        <v/>
      </c>
      <c r="H339" s="30">
        <f>IF(E339&gt;0,G339/E339*100,0)</f>
        <v/>
      </c>
      <c r="I339" s="8" t="n"/>
      <c r="J339" s="8">
        <f>IF(G339="","",G339*I339)</f>
        <v/>
      </c>
    </row>
    <row r="340">
      <c r="A340" s="38" t="n"/>
      <c r="G340">
        <f>IF(F340="","",F340-E340)</f>
        <v/>
      </c>
      <c r="H340" s="30">
        <f>IF(E340&gt;0,G340/E340*100,0)</f>
        <v/>
      </c>
      <c r="I340" s="8" t="n"/>
      <c r="J340" s="8">
        <f>IF(G340="","",G340*I340)</f>
        <v/>
      </c>
    </row>
    <row r="341">
      <c r="A341" s="38" t="n"/>
      <c r="G341">
        <f>IF(F341="","",F341-E341)</f>
        <v/>
      </c>
      <c r="H341" s="30">
        <f>IF(E341&gt;0,G341/E341*100,0)</f>
        <v/>
      </c>
      <c r="I341" s="8" t="n"/>
      <c r="J341" s="8">
        <f>IF(G341="","",G341*I341)</f>
        <v/>
      </c>
    </row>
    <row r="342">
      <c r="A342" s="38" t="n"/>
      <c r="G342">
        <f>IF(F342="","",F342-E342)</f>
        <v/>
      </c>
      <c r="H342" s="30">
        <f>IF(E342&gt;0,G342/E342*100,0)</f>
        <v/>
      </c>
      <c r="I342" s="8" t="n"/>
      <c r="J342" s="8">
        <f>IF(G342="","",G342*I342)</f>
        <v/>
      </c>
    </row>
    <row r="343">
      <c r="A343" s="38" t="n"/>
      <c r="G343">
        <f>IF(F343="","",F343-E343)</f>
        <v/>
      </c>
      <c r="H343" s="30">
        <f>IF(E343&gt;0,G343/E343*100,0)</f>
        <v/>
      </c>
      <c r="I343" s="8" t="n"/>
      <c r="J343" s="8">
        <f>IF(G343="","",G343*I343)</f>
        <v/>
      </c>
    </row>
    <row r="344">
      <c r="A344" s="38" t="n"/>
      <c r="G344">
        <f>IF(F344="","",F344-E344)</f>
        <v/>
      </c>
      <c r="H344" s="30">
        <f>IF(E344&gt;0,G344/E344*100,0)</f>
        <v/>
      </c>
      <c r="I344" s="8" t="n"/>
      <c r="J344" s="8">
        <f>IF(G344="","",G344*I344)</f>
        <v/>
      </c>
    </row>
    <row r="345">
      <c r="A345" s="38" t="n"/>
      <c r="G345">
        <f>IF(F345="","",F345-E345)</f>
        <v/>
      </c>
      <c r="H345" s="30">
        <f>IF(E345&gt;0,G345/E345*100,0)</f>
        <v/>
      </c>
      <c r="I345" s="8" t="n"/>
      <c r="J345" s="8">
        <f>IF(G345="","",G345*I345)</f>
        <v/>
      </c>
    </row>
    <row r="346">
      <c r="A346" s="38" t="n"/>
      <c r="G346">
        <f>IF(F346="","",F346-E346)</f>
        <v/>
      </c>
      <c r="H346" s="30">
        <f>IF(E346&gt;0,G346/E346*100,0)</f>
        <v/>
      </c>
      <c r="I346" s="8" t="n"/>
      <c r="J346" s="8">
        <f>IF(G346="","",G346*I346)</f>
        <v/>
      </c>
    </row>
    <row r="347">
      <c r="A347" s="38" t="n"/>
      <c r="G347">
        <f>IF(F347="","",F347-E347)</f>
        <v/>
      </c>
      <c r="H347" s="30">
        <f>IF(E347&gt;0,G347/E347*100,0)</f>
        <v/>
      </c>
      <c r="I347" s="8" t="n"/>
      <c r="J347" s="8">
        <f>IF(G347="","",G347*I347)</f>
        <v/>
      </c>
    </row>
    <row r="348">
      <c r="A348" s="38" t="n"/>
      <c r="G348">
        <f>IF(F348="","",F348-E348)</f>
        <v/>
      </c>
      <c r="H348" s="30">
        <f>IF(E348&gt;0,G348/E348*100,0)</f>
        <v/>
      </c>
      <c r="I348" s="8" t="n"/>
      <c r="J348" s="8">
        <f>IF(G348="","",G348*I348)</f>
        <v/>
      </c>
    </row>
    <row r="349">
      <c r="A349" s="38" t="n"/>
      <c r="G349">
        <f>IF(F349="","",F349-E349)</f>
        <v/>
      </c>
      <c r="H349" s="30">
        <f>IF(E349&gt;0,G349/E349*100,0)</f>
        <v/>
      </c>
      <c r="I349" s="8" t="n"/>
      <c r="J349" s="8">
        <f>IF(G349="","",G349*I349)</f>
        <v/>
      </c>
    </row>
    <row r="350">
      <c r="A350" s="38" t="n"/>
      <c r="G350">
        <f>IF(F350="","",F350-E350)</f>
        <v/>
      </c>
      <c r="H350" s="30">
        <f>IF(E350&gt;0,G350/E350*100,0)</f>
        <v/>
      </c>
      <c r="I350" s="8" t="n"/>
      <c r="J350" s="8">
        <f>IF(G350="","",G350*I350)</f>
        <v/>
      </c>
    </row>
    <row r="351">
      <c r="A351" s="38" t="n"/>
      <c r="G351">
        <f>IF(F351="","",F351-E351)</f>
        <v/>
      </c>
      <c r="H351" s="30">
        <f>IF(E351&gt;0,G351/E351*100,0)</f>
        <v/>
      </c>
      <c r="I351" s="8" t="n"/>
      <c r="J351" s="8">
        <f>IF(G351="","",G351*I351)</f>
        <v/>
      </c>
    </row>
    <row r="352">
      <c r="A352" s="38" t="n"/>
      <c r="G352">
        <f>IF(F352="","",F352-E352)</f>
        <v/>
      </c>
      <c r="H352" s="30">
        <f>IF(E352&gt;0,G352/E352*100,0)</f>
        <v/>
      </c>
      <c r="I352" s="8" t="n"/>
      <c r="J352" s="8">
        <f>IF(G352="","",G352*I352)</f>
        <v/>
      </c>
    </row>
    <row r="353">
      <c r="A353" s="38" t="n"/>
      <c r="G353">
        <f>IF(F353="","",F353-E353)</f>
        <v/>
      </c>
      <c r="H353" s="30">
        <f>IF(E353&gt;0,G353/E353*100,0)</f>
        <v/>
      </c>
      <c r="I353" s="8" t="n"/>
      <c r="J353" s="8">
        <f>IF(G353="","",G353*I353)</f>
        <v/>
      </c>
    </row>
    <row r="354">
      <c r="A354" s="38" t="n"/>
      <c r="G354">
        <f>IF(F354="","",F354-E354)</f>
        <v/>
      </c>
      <c r="H354" s="30">
        <f>IF(E354&gt;0,G354/E354*100,0)</f>
        <v/>
      </c>
      <c r="I354" s="8" t="n"/>
      <c r="J354" s="8">
        <f>IF(G354="","",G354*I354)</f>
        <v/>
      </c>
    </row>
    <row r="355">
      <c r="A355" s="38" t="n"/>
      <c r="G355">
        <f>IF(F355="","",F355-E355)</f>
        <v/>
      </c>
      <c r="H355" s="30">
        <f>IF(E355&gt;0,G355/E355*100,0)</f>
        <v/>
      </c>
      <c r="I355" s="8" t="n"/>
      <c r="J355" s="8">
        <f>IF(G355="","",G355*I355)</f>
        <v/>
      </c>
    </row>
    <row r="356">
      <c r="A356" s="38" t="n"/>
      <c r="G356">
        <f>IF(F356="","",F356-E356)</f>
        <v/>
      </c>
      <c r="H356" s="30">
        <f>IF(E356&gt;0,G356/E356*100,0)</f>
        <v/>
      </c>
      <c r="I356" s="8" t="n"/>
      <c r="J356" s="8">
        <f>IF(G356="","",G356*I356)</f>
        <v/>
      </c>
    </row>
    <row r="357">
      <c r="A357" s="38" t="n"/>
      <c r="G357">
        <f>IF(F357="","",F357-E357)</f>
        <v/>
      </c>
      <c r="H357" s="30">
        <f>IF(E357&gt;0,G357/E357*100,0)</f>
        <v/>
      </c>
      <c r="I357" s="8" t="n"/>
      <c r="J357" s="8">
        <f>IF(G357="","",G357*I357)</f>
        <v/>
      </c>
    </row>
    <row r="358">
      <c r="A358" s="38" t="n"/>
      <c r="G358">
        <f>IF(F358="","",F358-E358)</f>
        <v/>
      </c>
      <c r="H358" s="30">
        <f>IF(E358&gt;0,G358/E358*100,0)</f>
        <v/>
      </c>
      <c r="I358" s="8" t="n"/>
      <c r="J358" s="8">
        <f>IF(G358="","",G358*I358)</f>
        <v/>
      </c>
    </row>
    <row r="359">
      <c r="A359" s="38" t="n"/>
      <c r="G359">
        <f>IF(F359="","",F359-E359)</f>
        <v/>
      </c>
      <c r="H359" s="30">
        <f>IF(E359&gt;0,G359/E359*100,0)</f>
        <v/>
      </c>
      <c r="I359" s="8" t="n"/>
      <c r="J359" s="8">
        <f>IF(G359="","",G359*I359)</f>
        <v/>
      </c>
    </row>
    <row r="360">
      <c r="A360" s="38" t="n"/>
      <c r="G360">
        <f>IF(F360="","",F360-E360)</f>
        <v/>
      </c>
      <c r="H360" s="30">
        <f>IF(E360&gt;0,G360/E360*100,0)</f>
        <v/>
      </c>
      <c r="I360" s="8" t="n"/>
      <c r="J360" s="8">
        <f>IF(G360="","",G360*I360)</f>
        <v/>
      </c>
    </row>
    <row r="361">
      <c r="A361" s="38" t="n"/>
      <c r="G361">
        <f>IF(F361="","",F361-E361)</f>
        <v/>
      </c>
      <c r="H361" s="30">
        <f>IF(E361&gt;0,G361/E361*100,0)</f>
        <v/>
      </c>
      <c r="I361" s="8" t="n"/>
      <c r="J361" s="8">
        <f>IF(G361="","",G361*I361)</f>
        <v/>
      </c>
    </row>
    <row r="362">
      <c r="A362" s="38" t="n"/>
      <c r="G362">
        <f>IF(F362="","",F362-E362)</f>
        <v/>
      </c>
      <c r="H362" s="30">
        <f>IF(E362&gt;0,G362/E362*100,0)</f>
        <v/>
      </c>
      <c r="I362" s="8" t="n"/>
      <c r="J362" s="8">
        <f>IF(G362="","",G362*I362)</f>
        <v/>
      </c>
    </row>
    <row r="363">
      <c r="A363" s="38" t="n"/>
      <c r="G363">
        <f>IF(F363="","",F363-E363)</f>
        <v/>
      </c>
      <c r="H363" s="30">
        <f>IF(E363&gt;0,G363/E363*100,0)</f>
        <v/>
      </c>
      <c r="I363" s="8" t="n"/>
      <c r="J363" s="8">
        <f>IF(G363="","",G363*I363)</f>
        <v/>
      </c>
    </row>
    <row r="364">
      <c r="A364" s="38" t="n"/>
      <c r="G364">
        <f>IF(F364="","",F364-E364)</f>
        <v/>
      </c>
      <c r="H364" s="30">
        <f>IF(E364&gt;0,G364/E364*100,0)</f>
        <v/>
      </c>
      <c r="I364" s="8" t="n"/>
      <c r="J364" s="8">
        <f>IF(G364="","",G364*I364)</f>
        <v/>
      </c>
    </row>
    <row r="365">
      <c r="A365" s="38" t="n"/>
      <c r="G365">
        <f>IF(F365="","",F365-E365)</f>
        <v/>
      </c>
      <c r="H365" s="30">
        <f>IF(E365&gt;0,G365/E365*100,0)</f>
        <v/>
      </c>
      <c r="I365" s="8" t="n"/>
      <c r="J365" s="8">
        <f>IF(G365="","",G365*I365)</f>
        <v/>
      </c>
    </row>
    <row r="366">
      <c r="A366" s="38" t="n"/>
      <c r="G366">
        <f>IF(F366="","",F366-E366)</f>
        <v/>
      </c>
      <c r="H366" s="30">
        <f>IF(E366&gt;0,G366/E366*100,0)</f>
        <v/>
      </c>
      <c r="I366" s="8" t="n"/>
      <c r="J366" s="8">
        <f>IF(G366="","",G366*I366)</f>
        <v/>
      </c>
    </row>
    <row r="367">
      <c r="A367" s="38" t="n"/>
      <c r="G367">
        <f>IF(F367="","",F367-E367)</f>
        <v/>
      </c>
      <c r="H367" s="30">
        <f>IF(E367&gt;0,G367/E367*100,0)</f>
        <v/>
      </c>
      <c r="I367" s="8" t="n"/>
      <c r="J367" s="8">
        <f>IF(G367="","",G367*I367)</f>
        <v/>
      </c>
    </row>
    <row r="368">
      <c r="A368" s="38" t="n"/>
      <c r="G368">
        <f>IF(F368="","",F368-E368)</f>
        <v/>
      </c>
      <c r="H368" s="30">
        <f>IF(E368&gt;0,G368/E368*100,0)</f>
        <v/>
      </c>
      <c r="I368" s="8" t="n"/>
      <c r="J368" s="8">
        <f>IF(G368="","",G368*I368)</f>
        <v/>
      </c>
    </row>
    <row r="369">
      <c r="A369" s="38" t="n"/>
      <c r="G369">
        <f>IF(F369="","",F369-E369)</f>
        <v/>
      </c>
      <c r="H369" s="30">
        <f>IF(E369&gt;0,G369/E369*100,0)</f>
        <v/>
      </c>
      <c r="I369" s="8" t="n"/>
      <c r="J369" s="8">
        <f>IF(G369="","",G369*I369)</f>
        <v/>
      </c>
    </row>
    <row r="370">
      <c r="A370" s="38" t="n"/>
      <c r="G370">
        <f>IF(F370="","",F370-E370)</f>
        <v/>
      </c>
      <c r="H370" s="30">
        <f>IF(E370&gt;0,G370/E370*100,0)</f>
        <v/>
      </c>
      <c r="I370" s="8" t="n"/>
      <c r="J370" s="8">
        <f>IF(G370="","",G370*I370)</f>
        <v/>
      </c>
    </row>
    <row r="371">
      <c r="A371" s="38" t="n"/>
      <c r="G371">
        <f>IF(F371="","",F371-E371)</f>
        <v/>
      </c>
      <c r="H371" s="30">
        <f>IF(E371&gt;0,G371/E371*100,0)</f>
        <v/>
      </c>
      <c r="I371" s="8" t="n"/>
      <c r="J371" s="8">
        <f>IF(G371="","",G371*I371)</f>
        <v/>
      </c>
    </row>
    <row r="372">
      <c r="A372" s="38" t="n"/>
      <c r="G372">
        <f>IF(F372="","",F372-E372)</f>
        <v/>
      </c>
      <c r="H372" s="30">
        <f>IF(E372&gt;0,G372/E372*100,0)</f>
        <v/>
      </c>
      <c r="I372" s="8" t="n"/>
      <c r="J372" s="8">
        <f>IF(G372="","",G372*I372)</f>
        <v/>
      </c>
    </row>
    <row r="373">
      <c r="A373" s="38" t="n"/>
      <c r="G373">
        <f>IF(F373="","",F373-E373)</f>
        <v/>
      </c>
      <c r="H373" s="30">
        <f>IF(E373&gt;0,G373/E373*100,0)</f>
        <v/>
      </c>
      <c r="I373" s="8" t="n"/>
      <c r="J373" s="8">
        <f>IF(G373="","",G373*I373)</f>
        <v/>
      </c>
    </row>
    <row r="374">
      <c r="A374" s="38" t="n"/>
      <c r="G374">
        <f>IF(F374="","",F374-E374)</f>
        <v/>
      </c>
      <c r="H374" s="30">
        <f>IF(E374&gt;0,G374/E374*100,0)</f>
        <v/>
      </c>
      <c r="I374" s="8" t="n"/>
      <c r="J374" s="8">
        <f>IF(G374="","",G374*I374)</f>
        <v/>
      </c>
    </row>
    <row r="375">
      <c r="A375" s="38" t="n"/>
      <c r="G375">
        <f>IF(F375="","",F375-E375)</f>
        <v/>
      </c>
      <c r="H375" s="30">
        <f>IF(E375&gt;0,G375/E375*100,0)</f>
        <v/>
      </c>
      <c r="I375" s="8" t="n"/>
      <c r="J375" s="8">
        <f>IF(G375="","",G375*I375)</f>
        <v/>
      </c>
    </row>
    <row r="376">
      <c r="A376" s="38" t="n"/>
      <c r="G376">
        <f>IF(F376="","",F376-E376)</f>
        <v/>
      </c>
      <c r="H376" s="30">
        <f>IF(E376&gt;0,G376/E376*100,0)</f>
        <v/>
      </c>
      <c r="I376" s="8" t="n"/>
      <c r="J376" s="8">
        <f>IF(G376="","",G376*I376)</f>
        <v/>
      </c>
    </row>
    <row r="377">
      <c r="A377" s="38" t="n"/>
      <c r="G377">
        <f>IF(F377="","",F377-E377)</f>
        <v/>
      </c>
      <c r="H377" s="30">
        <f>IF(E377&gt;0,G377/E377*100,0)</f>
        <v/>
      </c>
      <c r="I377" s="8" t="n"/>
      <c r="J377" s="8">
        <f>IF(G377="","",G377*I377)</f>
        <v/>
      </c>
    </row>
    <row r="378">
      <c r="A378" s="38" t="n"/>
      <c r="G378">
        <f>IF(F378="","",F378-E378)</f>
        <v/>
      </c>
      <c r="H378" s="30">
        <f>IF(E378&gt;0,G378/E378*100,0)</f>
        <v/>
      </c>
      <c r="I378" s="8" t="n"/>
      <c r="J378" s="8">
        <f>IF(G378="","",G378*I378)</f>
        <v/>
      </c>
    </row>
    <row r="379">
      <c r="A379" s="38" t="n"/>
      <c r="G379">
        <f>IF(F379="","",F379-E379)</f>
        <v/>
      </c>
      <c r="H379" s="30">
        <f>IF(E379&gt;0,G379/E379*100,0)</f>
        <v/>
      </c>
      <c r="I379" s="8" t="n"/>
      <c r="J379" s="8">
        <f>IF(G379="","",G379*I379)</f>
        <v/>
      </c>
    </row>
    <row r="380">
      <c r="A380" s="38" t="n"/>
      <c r="G380">
        <f>IF(F380="","",F380-E380)</f>
        <v/>
      </c>
      <c r="H380" s="30">
        <f>IF(E380&gt;0,G380/E380*100,0)</f>
        <v/>
      </c>
      <c r="I380" s="8" t="n"/>
      <c r="J380" s="8">
        <f>IF(G380="","",G380*I380)</f>
        <v/>
      </c>
    </row>
    <row r="381">
      <c r="A381" s="38" t="n"/>
      <c r="G381">
        <f>IF(F381="","",F381-E381)</f>
        <v/>
      </c>
      <c r="H381" s="30">
        <f>IF(E381&gt;0,G381/E381*100,0)</f>
        <v/>
      </c>
      <c r="I381" s="8" t="n"/>
      <c r="J381" s="8">
        <f>IF(G381="","",G381*I381)</f>
        <v/>
      </c>
    </row>
    <row r="382">
      <c r="A382" s="38" t="n"/>
      <c r="G382">
        <f>IF(F382="","",F382-E382)</f>
        <v/>
      </c>
      <c r="H382" s="30">
        <f>IF(E382&gt;0,G382/E382*100,0)</f>
        <v/>
      </c>
      <c r="I382" s="8" t="n"/>
      <c r="J382" s="8">
        <f>IF(G382="","",G382*I382)</f>
        <v/>
      </c>
    </row>
    <row r="383">
      <c r="A383" s="38" t="n"/>
      <c r="G383">
        <f>IF(F383="","",F383-E383)</f>
        <v/>
      </c>
      <c r="H383" s="30">
        <f>IF(E383&gt;0,G383/E383*100,0)</f>
        <v/>
      </c>
      <c r="I383" s="8" t="n"/>
      <c r="J383" s="8">
        <f>IF(G383="","",G383*I383)</f>
        <v/>
      </c>
    </row>
    <row r="384">
      <c r="A384" s="38" t="n"/>
      <c r="G384">
        <f>IF(F384="","",F384-E384)</f>
        <v/>
      </c>
      <c r="H384" s="30">
        <f>IF(E384&gt;0,G384/E384*100,0)</f>
        <v/>
      </c>
      <c r="I384" s="8" t="n"/>
      <c r="J384" s="8">
        <f>IF(G384="","",G384*I384)</f>
        <v/>
      </c>
    </row>
    <row r="385">
      <c r="A385" s="38" t="n"/>
      <c r="G385">
        <f>IF(F385="","",F385-E385)</f>
        <v/>
      </c>
      <c r="H385" s="30">
        <f>IF(E385&gt;0,G385/E385*100,0)</f>
        <v/>
      </c>
      <c r="I385" s="8" t="n"/>
      <c r="J385" s="8">
        <f>IF(G385="","",G385*I385)</f>
        <v/>
      </c>
    </row>
    <row r="386">
      <c r="A386" s="38" t="n"/>
      <c r="G386">
        <f>IF(F386="","",F386-E386)</f>
        <v/>
      </c>
      <c r="H386" s="30">
        <f>IF(E386&gt;0,G386/E386*100,0)</f>
        <v/>
      </c>
      <c r="I386" s="8" t="n"/>
      <c r="J386" s="8">
        <f>IF(G386="","",G386*I386)</f>
        <v/>
      </c>
    </row>
    <row r="387">
      <c r="A387" s="38" t="n"/>
      <c r="G387">
        <f>IF(F387="","",F387-E387)</f>
        <v/>
      </c>
      <c r="H387" s="30">
        <f>IF(E387&gt;0,G387/E387*100,0)</f>
        <v/>
      </c>
      <c r="I387" s="8" t="n"/>
      <c r="J387" s="8">
        <f>IF(G387="","",G387*I387)</f>
        <v/>
      </c>
    </row>
    <row r="388">
      <c r="A388" s="38" t="n"/>
      <c r="G388">
        <f>IF(F388="","",F388-E388)</f>
        <v/>
      </c>
      <c r="H388" s="30">
        <f>IF(E388&gt;0,G388/E388*100,0)</f>
        <v/>
      </c>
      <c r="I388" s="8" t="n"/>
      <c r="J388" s="8">
        <f>IF(G388="","",G388*I388)</f>
        <v/>
      </c>
    </row>
    <row r="389">
      <c r="A389" s="38" t="n"/>
      <c r="G389">
        <f>IF(F389="","",F389-E389)</f>
        <v/>
      </c>
      <c r="H389" s="30">
        <f>IF(E389&gt;0,G389/E389*100,0)</f>
        <v/>
      </c>
      <c r="I389" s="8" t="n"/>
      <c r="J389" s="8">
        <f>IF(G389="","",G389*I389)</f>
        <v/>
      </c>
    </row>
    <row r="390">
      <c r="A390" s="38" t="n"/>
      <c r="G390">
        <f>IF(F390="","",F390-E390)</f>
        <v/>
      </c>
      <c r="H390" s="30">
        <f>IF(E390&gt;0,G390/E390*100,0)</f>
        <v/>
      </c>
      <c r="I390" s="8" t="n"/>
      <c r="J390" s="8">
        <f>IF(G390="","",G390*I390)</f>
        <v/>
      </c>
    </row>
    <row r="391">
      <c r="A391" s="38" t="n"/>
      <c r="G391">
        <f>IF(F391="","",F391-E391)</f>
        <v/>
      </c>
      <c r="H391" s="30">
        <f>IF(E391&gt;0,G391/E391*100,0)</f>
        <v/>
      </c>
      <c r="I391" s="8" t="n"/>
      <c r="J391" s="8">
        <f>IF(G391="","",G391*I391)</f>
        <v/>
      </c>
    </row>
    <row r="392">
      <c r="A392" s="38" t="n"/>
      <c r="G392">
        <f>IF(F392="","",F392-E392)</f>
        <v/>
      </c>
      <c r="H392" s="30">
        <f>IF(E392&gt;0,G392/E392*100,0)</f>
        <v/>
      </c>
      <c r="I392" s="8" t="n"/>
      <c r="J392" s="8">
        <f>IF(G392="","",G392*I392)</f>
        <v/>
      </c>
    </row>
    <row r="393">
      <c r="A393" s="38" t="n"/>
      <c r="G393">
        <f>IF(F393="","",F393-E393)</f>
        <v/>
      </c>
      <c r="H393" s="30">
        <f>IF(E393&gt;0,G393/E393*100,0)</f>
        <v/>
      </c>
      <c r="I393" s="8" t="n"/>
      <c r="J393" s="8">
        <f>IF(G393="","",G393*I393)</f>
        <v/>
      </c>
    </row>
    <row r="394">
      <c r="A394" s="38" t="n"/>
      <c r="G394">
        <f>IF(F394="","",F394-E394)</f>
        <v/>
      </c>
      <c r="H394" s="30">
        <f>IF(E394&gt;0,G394/E394*100,0)</f>
        <v/>
      </c>
      <c r="I394" s="8" t="n"/>
      <c r="J394" s="8">
        <f>IF(G394="","",G394*I394)</f>
        <v/>
      </c>
    </row>
    <row r="395">
      <c r="A395" s="38" t="n"/>
      <c r="G395">
        <f>IF(F395="","",F395-E395)</f>
        <v/>
      </c>
      <c r="H395" s="30">
        <f>IF(E395&gt;0,G395/E395*100,0)</f>
        <v/>
      </c>
      <c r="I395" s="8" t="n"/>
      <c r="J395" s="8">
        <f>IF(G395="","",G395*I395)</f>
        <v/>
      </c>
    </row>
    <row r="396">
      <c r="A396" s="38" t="n"/>
      <c r="G396">
        <f>IF(F396="","",F396-E396)</f>
        <v/>
      </c>
      <c r="H396" s="30">
        <f>IF(E396&gt;0,G396/E396*100,0)</f>
        <v/>
      </c>
      <c r="I396" s="8" t="n"/>
      <c r="J396" s="8">
        <f>IF(G396="","",G396*I396)</f>
        <v/>
      </c>
    </row>
    <row r="397">
      <c r="A397" s="38" t="n"/>
      <c r="G397">
        <f>IF(F397="","",F397-E397)</f>
        <v/>
      </c>
      <c r="H397" s="30">
        <f>IF(E397&gt;0,G397/E397*100,0)</f>
        <v/>
      </c>
      <c r="I397" s="8" t="n"/>
      <c r="J397" s="8">
        <f>IF(G397="","",G397*I397)</f>
        <v/>
      </c>
    </row>
    <row r="398">
      <c r="A398" s="38" t="n"/>
      <c r="G398">
        <f>IF(F398="","",F398-E398)</f>
        <v/>
      </c>
      <c r="H398" s="30">
        <f>IF(E398&gt;0,G398/E398*100,0)</f>
        <v/>
      </c>
      <c r="I398" s="8" t="n"/>
      <c r="J398" s="8">
        <f>IF(G398="","",G398*I398)</f>
        <v/>
      </c>
    </row>
    <row r="399">
      <c r="A399" s="38" t="n"/>
      <c r="G399">
        <f>IF(F399="","",F399-E399)</f>
        <v/>
      </c>
      <c r="H399" s="30">
        <f>IF(E399&gt;0,G399/E399*100,0)</f>
        <v/>
      </c>
      <c r="I399" s="8" t="n"/>
      <c r="J399" s="8">
        <f>IF(G399="","",G399*I399)</f>
        <v/>
      </c>
    </row>
    <row r="400">
      <c r="A400" s="38" t="n"/>
      <c r="G400">
        <f>IF(F400="","",F400-E400)</f>
        <v/>
      </c>
      <c r="H400" s="30">
        <f>IF(E400&gt;0,G400/E400*100,0)</f>
        <v/>
      </c>
      <c r="I400" s="8" t="n"/>
      <c r="J400" s="8">
        <f>IF(G400="","",G400*I400)</f>
        <v/>
      </c>
    </row>
    <row r="401">
      <c r="A401" s="38" t="n"/>
      <c r="G401">
        <f>IF(F401="","",F401-E401)</f>
        <v/>
      </c>
      <c r="H401" s="30">
        <f>IF(E401&gt;0,G401/E401*100,0)</f>
        <v/>
      </c>
      <c r="I401" s="8" t="n"/>
      <c r="J401" s="8">
        <f>IF(G401="","",G401*I401)</f>
        <v/>
      </c>
    </row>
    <row r="402">
      <c r="A402" s="38" t="n"/>
      <c r="G402">
        <f>IF(F402="","",F402-E402)</f>
        <v/>
      </c>
      <c r="H402" s="30">
        <f>IF(E402&gt;0,G402/E402*100,0)</f>
        <v/>
      </c>
      <c r="I402" s="8" t="n"/>
      <c r="J402" s="8">
        <f>IF(G402="","",G402*I402)</f>
        <v/>
      </c>
    </row>
    <row r="403">
      <c r="A403" s="38" t="n"/>
      <c r="G403">
        <f>IF(F403="","",F403-E403)</f>
        <v/>
      </c>
      <c r="H403" s="30">
        <f>IF(E403&gt;0,G403/E403*100,0)</f>
        <v/>
      </c>
      <c r="I403" s="8" t="n"/>
      <c r="J403" s="8">
        <f>IF(G403="","",G403*I403)</f>
        <v/>
      </c>
    </row>
    <row r="404">
      <c r="A404" s="38" t="n"/>
      <c r="G404">
        <f>IF(F404="","",F404-E404)</f>
        <v/>
      </c>
      <c r="H404" s="30">
        <f>IF(E404&gt;0,G404/E404*100,0)</f>
        <v/>
      </c>
      <c r="I404" s="8" t="n"/>
      <c r="J404" s="8">
        <f>IF(G404="","",G404*I404)</f>
        <v/>
      </c>
    </row>
    <row r="405">
      <c r="A405" s="38" t="n"/>
      <c r="G405">
        <f>IF(F405="","",F405-E405)</f>
        <v/>
      </c>
      <c r="H405" s="30">
        <f>IF(E405&gt;0,G405/E405*100,0)</f>
        <v/>
      </c>
      <c r="I405" s="8" t="n"/>
      <c r="J405" s="8">
        <f>IF(G405="","",G405*I405)</f>
        <v/>
      </c>
    </row>
    <row r="406">
      <c r="A406" s="38" t="n"/>
      <c r="G406">
        <f>IF(F406="","",F406-E406)</f>
        <v/>
      </c>
      <c r="H406" s="30">
        <f>IF(E406&gt;0,G406/E406*100,0)</f>
        <v/>
      </c>
      <c r="I406" s="8" t="n"/>
      <c r="J406" s="8">
        <f>IF(G406="","",G406*I406)</f>
        <v/>
      </c>
    </row>
    <row r="407">
      <c r="A407" s="38" t="n"/>
      <c r="G407">
        <f>IF(F407="","",F407-E407)</f>
        <v/>
      </c>
      <c r="H407" s="30">
        <f>IF(E407&gt;0,G407/E407*100,0)</f>
        <v/>
      </c>
      <c r="I407" s="8" t="n"/>
      <c r="J407" s="8">
        <f>IF(G407="","",G407*I407)</f>
        <v/>
      </c>
    </row>
    <row r="408">
      <c r="A408" s="38" t="n"/>
      <c r="G408">
        <f>IF(F408="","",F408-E408)</f>
        <v/>
      </c>
      <c r="H408" s="30">
        <f>IF(E408&gt;0,G408/E408*100,0)</f>
        <v/>
      </c>
      <c r="I408" s="8" t="n"/>
      <c r="J408" s="8">
        <f>IF(G408="","",G408*I408)</f>
        <v/>
      </c>
    </row>
    <row r="409">
      <c r="A409" s="38" t="n"/>
      <c r="G409">
        <f>IF(F409="","",F409-E409)</f>
        <v/>
      </c>
      <c r="H409" s="30">
        <f>IF(E409&gt;0,G409/E409*100,0)</f>
        <v/>
      </c>
      <c r="I409" s="8" t="n"/>
      <c r="J409" s="8">
        <f>IF(G409="","",G409*I409)</f>
        <v/>
      </c>
    </row>
    <row r="410">
      <c r="A410" s="38" t="n"/>
      <c r="G410">
        <f>IF(F410="","",F410-E410)</f>
        <v/>
      </c>
      <c r="H410" s="30">
        <f>IF(E410&gt;0,G410/E410*100,0)</f>
        <v/>
      </c>
      <c r="I410" s="8" t="n"/>
      <c r="J410" s="8">
        <f>IF(G410="","",G410*I410)</f>
        <v/>
      </c>
    </row>
    <row r="411">
      <c r="A411" s="38" t="n"/>
      <c r="G411">
        <f>IF(F411="","",F411-E411)</f>
        <v/>
      </c>
      <c r="H411" s="30">
        <f>IF(E411&gt;0,G411/E411*100,0)</f>
        <v/>
      </c>
      <c r="I411" s="8" t="n"/>
      <c r="J411" s="8">
        <f>IF(G411="","",G411*I411)</f>
        <v/>
      </c>
    </row>
    <row r="412">
      <c r="A412" s="38" t="n"/>
      <c r="G412">
        <f>IF(F412="","",F412-E412)</f>
        <v/>
      </c>
      <c r="H412" s="30">
        <f>IF(E412&gt;0,G412/E412*100,0)</f>
        <v/>
      </c>
      <c r="I412" s="8" t="n"/>
      <c r="J412" s="8">
        <f>IF(G412="","",G412*I412)</f>
        <v/>
      </c>
    </row>
    <row r="413">
      <c r="A413" s="38" t="n"/>
      <c r="G413">
        <f>IF(F413="","",F413-E413)</f>
        <v/>
      </c>
      <c r="H413" s="30">
        <f>IF(E413&gt;0,G413/E413*100,0)</f>
        <v/>
      </c>
      <c r="I413" s="8" t="n"/>
      <c r="J413" s="8">
        <f>IF(G413="","",G413*I413)</f>
        <v/>
      </c>
    </row>
    <row r="414">
      <c r="A414" s="38" t="n"/>
      <c r="G414">
        <f>IF(F414="","",F414-E414)</f>
        <v/>
      </c>
      <c r="H414" s="30">
        <f>IF(E414&gt;0,G414/E414*100,0)</f>
        <v/>
      </c>
      <c r="I414" s="8" t="n"/>
      <c r="J414" s="8">
        <f>IF(G414="","",G414*I414)</f>
        <v/>
      </c>
    </row>
    <row r="415">
      <c r="A415" s="38" t="n"/>
      <c r="G415">
        <f>IF(F415="","",F415-E415)</f>
        <v/>
      </c>
      <c r="H415" s="30">
        <f>IF(E415&gt;0,G415/E415*100,0)</f>
        <v/>
      </c>
      <c r="I415" s="8" t="n"/>
      <c r="J415" s="8">
        <f>IF(G415="","",G415*I415)</f>
        <v/>
      </c>
    </row>
    <row r="416">
      <c r="A416" s="38" t="n"/>
      <c r="G416">
        <f>IF(F416="","",F416-E416)</f>
        <v/>
      </c>
      <c r="H416" s="30">
        <f>IF(E416&gt;0,G416/E416*100,0)</f>
        <v/>
      </c>
      <c r="I416" s="8" t="n"/>
      <c r="J416" s="8">
        <f>IF(G416="","",G416*I416)</f>
        <v/>
      </c>
    </row>
    <row r="417">
      <c r="A417" s="38" t="n"/>
      <c r="G417">
        <f>IF(F417="","",F417-E417)</f>
        <v/>
      </c>
      <c r="H417" s="30">
        <f>IF(E417&gt;0,G417/E417*100,0)</f>
        <v/>
      </c>
      <c r="I417" s="8" t="n"/>
      <c r="J417" s="8">
        <f>IF(G417="","",G417*I417)</f>
        <v/>
      </c>
    </row>
    <row r="418">
      <c r="A418" s="38" t="n"/>
      <c r="G418">
        <f>IF(F418="","",F418-E418)</f>
        <v/>
      </c>
      <c r="H418" s="30">
        <f>IF(E418&gt;0,G418/E418*100,0)</f>
        <v/>
      </c>
      <c r="I418" s="8" t="n"/>
      <c r="J418" s="8">
        <f>IF(G418="","",G418*I418)</f>
        <v/>
      </c>
    </row>
    <row r="419">
      <c r="A419" s="38" t="n"/>
      <c r="G419">
        <f>IF(F419="","",F419-E419)</f>
        <v/>
      </c>
      <c r="H419" s="30">
        <f>IF(E419&gt;0,G419/E419*100,0)</f>
        <v/>
      </c>
      <c r="I419" s="8" t="n"/>
      <c r="J419" s="8">
        <f>IF(G419="","",G419*I419)</f>
        <v/>
      </c>
    </row>
    <row r="420">
      <c r="A420" s="38" t="n"/>
      <c r="G420">
        <f>IF(F420="","",F420-E420)</f>
        <v/>
      </c>
      <c r="H420" s="30">
        <f>IF(E420&gt;0,G420/E420*100,0)</f>
        <v/>
      </c>
      <c r="I420" s="8" t="n"/>
      <c r="J420" s="8">
        <f>IF(G420="","",G420*I420)</f>
        <v/>
      </c>
    </row>
    <row r="421">
      <c r="A421" s="38" t="n"/>
      <c r="G421">
        <f>IF(F421="","",F421-E421)</f>
        <v/>
      </c>
      <c r="H421" s="30">
        <f>IF(E421&gt;0,G421/E421*100,0)</f>
        <v/>
      </c>
      <c r="I421" s="8" t="n"/>
      <c r="J421" s="8">
        <f>IF(G421="","",G421*I421)</f>
        <v/>
      </c>
    </row>
    <row r="422">
      <c r="A422" s="38" t="n"/>
      <c r="G422">
        <f>IF(F422="","",F422-E422)</f>
        <v/>
      </c>
      <c r="H422" s="30">
        <f>IF(E422&gt;0,G422/E422*100,0)</f>
        <v/>
      </c>
      <c r="I422" s="8" t="n"/>
      <c r="J422" s="8">
        <f>IF(G422="","",G422*I422)</f>
        <v/>
      </c>
    </row>
    <row r="423">
      <c r="A423" s="38" t="n"/>
      <c r="G423">
        <f>IF(F423="","",F423-E423)</f>
        <v/>
      </c>
      <c r="H423" s="30">
        <f>IF(E423&gt;0,G423/E423*100,0)</f>
        <v/>
      </c>
      <c r="I423" s="8" t="n"/>
      <c r="J423" s="8">
        <f>IF(G423="","",G423*I423)</f>
        <v/>
      </c>
    </row>
    <row r="424">
      <c r="A424" s="38" t="n"/>
      <c r="G424">
        <f>IF(F424="","",F424-E424)</f>
        <v/>
      </c>
      <c r="H424" s="30">
        <f>IF(E424&gt;0,G424/E424*100,0)</f>
        <v/>
      </c>
      <c r="I424" s="8" t="n"/>
      <c r="J424" s="8">
        <f>IF(G424="","",G424*I424)</f>
        <v/>
      </c>
    </row>
    <row r="425">
      <c r="A425" s="38" t="n"/>
      <c r="G425">
        <f>IF(F425="","",F425-E425)</f>
        <v/>
      </c>
      <c r="H425" s="30">
        <f>IF(E425&gt;0,G425/E425*100,0)</f>
        <v/>
      </c>
      <c r="I425" s="8" t="n"/>
      <c r="J425" s="8">
        <f>IF(G425="","",G425*I425)</f>
        <v/>
      </c>
    </row>
    <row r="426">
      <c r="A426" s="38" t="n"/>
      <c r="G426">
        <f>IF(F426="","",F426-E426)</f>
        <v/>
      </c>
      <c r="H426" s="30">
        <f>IF(E426&gt;0,G426/E426*100,0)</f>
        <v/>
      </c>
      <c r="I426" s="8" t="n"/>
      <c r="J426" s="8">
        <f>IF(G426="","",G426*I426)</f>
        <v/>
      </c>
    </row>
    <row r="427">
      <c r="A427" s="38" t="n"/>
      <c r="G427">
        <f>IF(F427="","",F427-E427)</f>
        <v/>
      </c>
      <c r="H427" s="30">
        <f>IF(E427&gt;0,G427/E427*100,0)</f>
        <v/>
      </c>
      <c r="I427" s="8" t="n"/>
      <c r="J427" s="8">
        <f>IF(G427="","",G427*I427)</f>
        <v/>
      </c>
    </row>
    <row r="428">
      <c r="A428" s="38" t="n"/>
      <c r="G428">
        <f>IF(F428="","",F428-E428)</f>
        <v/>
      </c>
      <c r="H428" s="30">
        <f>IF(E428&gt;0,G428/E428*100,0)</f>
        <v/>
      </c>
      <c r="I428" s="8" t="n"/>
      <c r="J428" s="8">
        <f>IF(G428="","",G428*I428)</f>
        <v/>
      </c>
    </row>
    <row r="429">
      <c r="A429" s="38" t="n"/>
      <c r="G429">
        <f>IF(F429="","",F429-E429)</f>
        <v/>
      </c>
      <c r="H429" s="30">
        <f>IF(E429&gt;0,G429/E429*100,0)</f>
        <v/>
      </c>
      <c r="I429" s="8" t="n"/>
      <c r="J429" s="8">
        <f>IF(G429="","",G429*I429)</f>
        <v/>
      </c>
    </row>
    <row r="430">
      <c r="A430" s="38" t="n"/>
      <c r="G430">
        <f>IF(F430="","",F430-E430)</f>
        <v/>
      </c>
      <c r="H430" s="30">
        <f>IF(E430&gt;0,G430/E430*100,0)</f>
        <v/>
      </c>
      <c r="I430" s="8" t="n"/>
      <c r="J430" s="8">
        <f>IF(G430="","",G430*I430)</f>
        <v/>
      </c>
    </row>
    <row r="431">
      <c r="A431" s="38" t="n"/>
      <c r="G431">
        <f>IF(F431="","",F431-E431)</f>
        <v/>
      </c>
      <c r="H431" s="30">
        <f>IF(E431&gt;0,G431/E431*100,0)</f>
        <v/>
      </c>
      <c r="I431" s="8" t="n"/>
      <c r="J431" s="8">
        <f>IF(G431="","",G431*I431)</f>
        <v/>
      </c>
    </row>
    <row r="432">
      <c r="A432" s="38" t="n"/>
      <c r="G432">
        <f>IF(F432="","",F432-E432)</f>
        <v/>
      </c>
      <c r="H432" s="30">
        <f>IF(E432&gt;0,G432/E432*100,0)</f>
        <v/>
      </c>
      <c r="I432" s="8" t="n"/>
      <c r="J432" s="8">
        <f>IF(G432="","",G432*I432)</f>
        <v/>
      </c>
    </row>
    <row r="433">
      <c r="A433" s="38" t="n"/>
      <c r="G433">
        <f>IF(F433="","",F433-E433)</f>
        <v/>
      </c>
      <c r="H433" s="30">
        <f>IF(E433&gt;0,G433/E433*100,0)</f>
        <v/>
      </c>
      <c r="I433" s="8" t="n"/>
      <c r="J433" s="8">
        <f>IF(G433="","",G433*I433)</f>
        <v/>
      </c>
    </row>
    <row r="434">
      <c r="A434" s="38" t="n"/>
      <c r="G434">
        <f>IF(F434="","",F434-E434)</f>
        <v/>
      </c>
      <c r="H434" s="30">
        <f>IF(E434&gt;0,G434/E434*100,0)</f>
        <v/>
      </c>
      <c r="I434" s="8" t="n"/>
      <c r="J434" s="8">
        <f>IF(G434="","",G434*I434)</f>
        <v/>
      </c>
    </row>
    <row r="435">
      <c r="A435" s="38" t="n"/>
      <c r="G435">
        <f>IF(F435="","",F435-E435)</f>
        <v/>
      </c>
      <c r="H435" s="30">
        <f>IF(E435&gt;0,G435/E435*100,0)</f>
        <v/>
      </c>
      <c r="I435" s="8" t="n"/>
      <c r="J435" s="8">
        <f>IF(G435="","",G435*I435)</f>
        <v/>
      </c>
    </row>
    <row r="436">
      <c r="A436" s="38" t="n"/>
      <c r="G436">
        <f>IF(F436="","",F436-E436)</f>
        <v/>
      </c>
      <c r="H436" s="30">
        <f>IF(E436&gt;0,G436/E436*100,0)</f>
        <v/>
      </c>
      <c r="I436" s="8" t="n"/>
      <c r="J436" s="8">
        <f>IF(G436="","",G436*I436)</f>
        <v/>
      </c>
    </row>
    <row r="437">
      <c r="A437" s="38" t="n"/>
      <c r="G437">
        <f>IF(F437="","",F437-E437)</f>
        <v/>
      </c>
      <c r="H437" s="30">
        <f>IF(E437&gt;0,G437/E437*100,0)</f>
        <v/>
      </c>
      <c r="I437" s="8" t="n"/>
      <c r="J437" s="8">
        <f>IF(G437="","",G437*I437)</f>
        <v/>
      </c>
    </row>
    <row r="438">
      <c r="A438" s="38" t="n"/>
      <c r="G438">
        <f>IF(F438="","",F438-E438)</f>
        <v/>
      </c>
      <c r="H438" s="30">
        <f>IF(E438&gt;0,G438/E438*100,0)</f>
        <v/>
      </c>
      <c r="I438" s="8" t="n"/>
      <c r="J438" s="8">
        <f>IF(G438="","",G438*I438)</f>
        <v/>
      </c>
    </row>
    <row r="439">
      <c r="A439" s="38" t="n"/>
      <c r="G439">
        <f>IF(F439="","",F439-E439)</f>
        <v/>
      </c>
      <c r="H439" s="30">
        <f>IF(E439&gt;0,G439/E439*100,0)</f>
        <v/>
      </c>
      <c r="I439" s="8" t="n"/>
      <c r="J439" s="8">
        <f>IF(G439="","",G439*I439)</f>
        <v/>
      </c>
    </row>
    <row r="440">
      <c r="A440" s="38" t="n"/>
      <c r="G440">
        <f>IF(F440="","",F440-E440)</f>
        <v/>
      </c>
      <c r="H440" s="30">
        <f>IF(E440&gt;0,G440/E440*100,0)</f>
        <v/>
      </c>
      <c r="I440" s="8" t="n"/>
      <c r="J440" s="8">
        <f>IF(G440="","",G440*I440)</f>
        <v/>
      </c>
    </row>
    <row r="441">
      <c r="A441" s="38" t="n"/>
      <c r="G441">
        <f>IF(F441="","",F441-E441)</f>
        <v/>
      </c>
      <c r="H441" s="30">
        <f>IF(E441&gt;0,G441/E441*100,0)</f>
        <v/>
      </c>
      <c r="I441" s="8" t="n"/>
      <c r="J441" s="8">
        <f>IF(G441="","",G441*I441)</f>
        <v/>
      </c>
    </row>
    <row r="442">
      <c r="A442" s="38" t="n"/>
      <c r="G442">
        <f>IF(F442="","",F442-E442)</f>
        <v/>
      </c>
      <c r="H442" s="30">
        <f>IF(E442&gt;0,G442/E442*100,0)</f>
        <v/>
      </c>
      <c r="I442" s="8" t="n"/>
      <c r="J442" s="8">
        <f>IF(G442="","",G442*I442)</f>
        <v/>
      </c>
    </row>
    <row r="443">
      <c r="A443" s="38" t="n"/>
      <c r="G443">
        <f>IF(F443="","",F443-E443)</f>
        <v/>
      </c>
      <c r="H443" s="30">
        <f>IF(E443&gt;0,G443/E443*100,0)</f>
        <v/>
      </c>
      <c r="I443" s="8" t="n"/>
      <c r="J443" s="8">
        <f>IF(G443="","",G443*I443)</f>
        <v/>
      </c>
    </row>
    <row r="444">
      <c r="A444" s="38" t="n"/>
      <c r="G444">
        <f>IF(F444="","",F444-E444)</f>
        <v/>
      </c>
      <c r="H444" s="30">
        <f>IF(E444&gt;0,G444/E444*100,0)</f>
        <v/>
      </c>
      <c r="I444" s="8" t="n"/>
      <c r="J444" s="8">
        <f>IF(G444="","",G444*I444)</f>
        <v/>
      </c>
    </row>
    <row r="445">
      <c r="A445" s="38" t="n"/>
      <c r="G445">
        <f>IF(F445="","",F445-E445)</f>
        <v/>
      </c>
      <c r="H445" s="30">
        <f>IF(E445&gt;0,G445/E445*100,0)</f>
        <v/>
      </c>
      <c r="I445" s="8" t="n"/>
      <c r="J445" s="8">
        <f>IF(G445="","",G445*I445)</f>
        <v/>
      </c>
    </row>
    <row r="446">
      <c r="A446" s="38" t="n"/>
      <c r="G446">
        <f>IF(F446="","",F446-E446)</f>
        <v/>
      </c>
      <c r="H446" s="30">
        <f>IF(E446&gt;0,G446/E446*100,0)</f>
        <v/>
      </c>
      <c r="I446" s="8" t="n"/>
      <c r="J446" s="8">
        <f>IF(G446="","",G446*I446)</f>
        <v/>
      </c>
    </row>
    <row r="447">
      <c r="A447" s="38" t="n"/>
      <c r="G447">
        <f>IF(F447="","",F447-E447)</f>
        <v/>
      </c>
      <c r="H447" s="30">
        <f>IF(E447&gt;0,G447/E447*100,0)</f>
        <v/>
      </c>
      <c r="I447" s="8" t="n"/>
      <c r="J447" s="8">
        <f>IF(G447="","",G447*I447)</f>
        <v/>
      </c>
    </row>
    <row r="448">
      <c r="A448" s="38" t="n"/>
      <c r="G448">
        <f>IF(F448="","",F448-E448)</f>
        <v/>
      </c>
      <c r="H448" s="30">
        <f>IF(E448&gt;0,G448/E448*100,0)</f>
        <v/>
      </c>
      <c r="I448" s="8" t="n"/>
      <c r="J448" s="8">
        <f>IF(G448="","",G448*I448)</f>
        <v/>
      </c>
    </row>
    <row r="449">
      <c r="A449" s="38" t="n"/>
      <c r="G449">
        <f>IF(F449="","",F449-E449)</f>
        <v/>
      </c>
      <c r="H449" s="30">
        <f>IF(E449&gt;0,G449/E449*100,0)</f>
        <v/>
      </c>
      <c r="I449" s="8" t="n"/>
      <c r="J449" s="8">
        <f>IF(G449="","",G449*I449)</f>
        <v/>
      </c>
    </row>
    <row r="450">
      <c r="A450" s="38" t="n"/>
      <c r="G450">
        <f>IF(F450="","",F450-E450)</f>
        <v/>
      </c>
      <c r="H450" s="30">
        <f>IF(E450&gt;0,G450/E450*100,0)</f>
        <v/>
      </c>
      <c r="I450" s="8" t="n"/>
      <c r="J450" s="8">
        <f>IF(G450="","",G450*I450)</f>
        <v/>
      </c>
    </row>
    <row r="451">
      <c r="A451" s="38" t="n"/>
      <c r="G451">
        <f>IF(F451="","",F451-E451)</f>
        <v/>
      </c>
      <c r="H451" s="30">
        <f>IF(E451&gt;0,G451/E451*100,0)</f>
        <v/>
      </c>
      <c r="I451" s="8" t="n"/>
      <c r="J451" s="8">
        <f>IF(G451="","",G451*I451)</f>
        <v/>
      </c>
    </row>
    <row r="452">
      <c r="A452" s="38" t="n"/>
      <c r="G452">
        <f>IF(F452="","",F452-E452)</f>
        <v/>
      </c>
      <c r="H452" s="30">
        <f>IF(E452&gt;0,G452/E452*100,0)</f>
        <v/>
      </c>
      <c r="I452" s="8" t="n"/>
      <c r="J452" s="8">
        <f>IF(G452="","",G452*I452)</f>
        <v/>
      </c>
    </row>
    <row r="453">
      <c r="A453" s="38" t="n"/>
      <c r="G453">
        <f>IF(F453="","",F453-E453)</f>
        <v/>
      </c>
      <c r="H453" s="30">
        <f>IF(E453&gt;0,G453/E453*100,0)</f>
        <v/>
      </c>
      <c r="I453" s="8" t="n"/>
      <c r="J453" s="8">
        <f>IF(G453="","",G453*I453)</f>
        <v/>
      </c>
    </row>
    <row r="454">
      <c r="A454" s="38" t="n"/>
      <c r="G454">
        <f>IF(F454="","",F454-E454)</f>
        <v/>
      </c>
      <c r="H454" s="30">
        <f>IF(E454&gt;0,G454/E454*100,0)</f>
        <v/>
      </c>
      <c r="I454" s="8" t="n"/>
      <c r="J454" s="8">
        <f>IF(G454="","",G454*I454)</f>
        <v/>
      </c>
    </row>
    <row r="455">
      <c r="A455" s="38" t="n"/>
      <c r="G455">
        <f>IF(F455="","",F455-E455)</f>
        <v/>
      </c>
      <c r="H455" s="30">
        <f>IF(E455&gt;0,G455/E455*100,0)</f>
        <v/>
      </c>
      <c r="I455" s="8" t="n"/>
      <c r="J455" s="8">
        <f>IF(G455="","",G455*I455)</f>
        <v/>
      </c>
    </row>
    <row r="456">
      <c r="A456" s="38" t="n"/>
      <c r="G456">
        <f>IF(F456="","",F456-E456)</f>
        <v/>
      </c>
      <c r="H456" s="30">
        <f>IF(E456&gt;0,G456/E456*100,0)</f>
        <v/>
      </c>
      <c r="I456" s="8" t="n"/>
      <c r="J456" s="8">
        <f>IF(G456="","",G456*I456)</f>
        <v/>
      </c>
    </row>
    <row r="457">
      <c r="A457" s="38" t="n"/>
      <c r="G457">
        <f>IF(F457="","",F457-E457)</f>
        <v/>
      </c>
      <c r="H457" s="30">
        <f>IF(E457&gt;0,G457/E457*100,0)</f>
        <v/>
      </c>
      <c r="I457" s="8" t="n"/>
      <c r="J457" s="8">
        <f>IF(G457="","",G457*I457)</f>
        <v/>
      </c>
    </row>
    <row r="458">
      <c r="A458" s="38" t="n"/>
      <c r="G458">
        <f>IF(F458="","",F458-E458)</f>
        <v/>
      </c>
      <c r="H458" s="30">
        <f>IF(E458&gt;0,G458/E458*100,0)</f>
        <v/>
      </c>
      <c r="I458" s="8" t="n"/>
      <c r="J458" s="8">
        <f>IF(G458="","",G458*I458)</f>
        <v/>
      </c>
    </row>
    <row r="459">
      <c r="A459" s="38" t="n"/>
      <c r="G459">
        <f>IF(F459="","",F459-E459)</f>
        <v/>
      </c>
      <c r="H459" s="30">
        <f>IF(E459&gt;0,G459/E459*100,0)</f>
        <v/>
      </c>
      <c r="I459" s="8" t="n"/>
      <c r="J459" s="8">
        <f>IF(G459="","",G459*I459)</f>
        <v/>
      </c>
    </row>
    <row r="460">
      <c r="A460" s="38" t="n"/>
      <c r="G460">
        <f>IF(F460="","",F460-E460)</f>
        <v/>
      </c>
      <c r="H460" s="30">
        <f>IF(E460&gt;0,G460/E460*100,0)</f>
        <v/>
      </c>
      <c r="I460" s="8" t="n"/>
      <c r="J460" s="8">
        <f>IF(G460="","",G460*I460)</f>
        <v/>
      </c>
    </row>
    <row r="461">
      <c r="A461" s="38" t="n"/>
      <c r="G461">
        <f>IF(F461="","",F461-E461)</f>
        <v/>
      </c>
      <c r="H461" s="30">
        <f>IF(E461&gt;0,G461/E461*100,0)</f>
        <v/>
      </c>
      <c r="I461" s="8" t="n"/>
      <c r="J461" s="8">
        <f>IF(G461="","",G461*I461)</f>
        <v/>
      </c>
    </row>
    <row r="462">
      <c r="A462" s="38" t="n"/>
      <c r="G462">
        <f>IF(F462="","",F462-E462)</f>
        <v/>
      </c>
      <c r="H462" s="30">
        <f>IF(E462&gt;0,G462/E462*100,0)</f>
        <v/>
      </c>
      <c r="I462" s="8" t="n"/>
      <c r="J462" s="8">
        <f>IF(G462="","",G462*I462)</f>
        <v/>
      </c>
    </row>
    <row r="463">
      <c r="A463" s="38" t="n"/>
      <c r="G463">
        <f>IF(F463="","",F463-E463)</f>
        <v/>
      </c>
      <c r="H463" s="30">
        <f>IF(E463&gt;0,G463/E463*100,0)</f>
        <v/>
      </c>
      <c r="I463" s="8" t="n"/>
      <c r="J463" s="8">
        <f>IF(G463="","",G463*I463)</f>
        <v/>
      </c>
    </row>
    <row r="464">
      <c r="A464" s="38" t="n"/>
      <c r="G464">
        <f>IF(F464="","",F464-E464)</f>
        <v/>
      </c>
      <c r="H464" s="30">
        <f>IF(E464&gt;0,G464/E464*100,0)</f>
        <v/>
      </c>
      <c r="I464" s="8" t="n"/>
      <c r="J464" s="8">
        <f>IF(G464="","",G464*I464)</f>
        <v/>
      </c>
    </row>
    <row r="465">
      <c r="A465" s="38" t="n"/>
      <c r="G465">
        <f>IF(F465="","",F465-E465)</f>
        <v/>
      </c>
      <c r="H465" s="30">
        <f>IF(E465&gt;0,G465/E465*100,0)</f>
        <v/>
      </c>
      <c r="I465" s="8" t="n"/>
      <c r="J465" s="8">
        <f>IF(G465="","",G465*I465)</f>
        <v/>
      </c>
    </row>
    <row r="466">
      <c r="A466" s="38" t="n"/>
      <c r="G466">
        <f>IF(F466="","",F466-E466)</f>
        <v/>
      </c>
      <c r="H466" s="30">
        <f>IF(E466&gt;0,G466/E466*100,0)</f>
        <v/>
      </c>
      <c r="I466" s="8" t="n"/>
      <c r="J466" s="8">
        <f>IF(G466="","",G466*I466)</f>
        <v/>
      </c>
    </row>
    <row r="467">
      <c r="A467" s="38" t="n"/>
      <c r="G467">
        <f>IF(F467="","",F467-E467)</f>
        <v/>
      </c>
      <c r="H467" s="30">
        <f>IF(E467&gt;0,G467/E467*100,0)</f>
        <v/>
      </c>
      <c r="I467" s="8" t="n"/>
      <c r="J467" s="8">
        <f>IF(G467="","",G467*I467)</f>
        <v/>
      </c>
    </row>
    <row r="468">
      <c r="A468" s="38" t="n"/>
      <c r="G468">
        <f>IF(F468="","",F468-E468)</f>
        <v/>
      </c>
      <c r="H468" s="30">
        <f>IF(E468&gt;0,G468/E468*100,0)</f>
        <v/>
      </c>
      <c r="I468" s="8" t="n"/>
      <c r="J468" s="8">
        <f>IF(G468="","",G468*I468)</f>
        <v/>
      </c>
    </row>
    <row r="469">
      <c r="A469" s="38" t="n"/>
      <c r="G469">
        <f>IF(F469="","",F469-E469)</f>
        <v/>
      </c>
      <c r="H469" s="30">
        <f>IF(E469&gt;0,G469/E469*100,0)</f>
        <v/>
      </c>
      <c r="I469" s="8" t="n"/>
      <c r="J469" s="8">
        <f>IF(G469="","",G469*I469)</f>
        <v/>
      </c>
    </row>
    <row r="470">
      <c r="A470" s="38" t="n"/>
      <c r="G470">
        <f>IF(F470="","",F470-E470)</f>
        <v/>
      </c>
      <c r="H470" s="30">
        <f>IF(E470&gt;0,G470/E470*100,0)</f>
        <v/>
      </c>
      <c r="I470" s="8" t="n"/>
      <c r="J470" s="8">
        <f>IF(G470="","",G470*I470)</f>
        <v/>
      </c>
    </row>
    <row r="471">
      <c r="A471" s="38" t="n"/>
      <c r="G471">
        <f>IF(F471="","",F471-E471)</f>
        <v/>
      </c>
      <c r="H471" s="30">
        <f>IF(E471&gt;0,G471/E471*100,0)</f>
        <v/>
      </c>
      <c r="I471" s="8" t="n"/>
      <c r="J471" s="8">
        <f>IF(G471="","",G471*I471)</f>
        <v/>
      </c>
    </row>
    <row r="472">
      <c r="A472" s="38" t="n"/>
      <c r="G472">
        <f>IF(F472="","",F472-E472)</f>
        <v/>
      </c>
      <c r="H472" s="30">
        <f>IF(E472&gt;0,G472/E472*100,0)</f>
        <v/>
      </c>
      <c r="I472" s="8" t="n"/>
      <c r="J472" s="8">
        <f>IF(G472="","",G472*I472)</f>
        <v/>
      </c>
    </row>
    <row r="473">
      <c r="A473" s="38" t="n"/>
      <c r="G473">
        <f>IF(F473="","",F473-E473)</f>
        <v/>
      </c>
      <c r="H473" s="30">
        <f>IF(E473&gt;0,G473/E473*100,0)</f>
        <v/>
      </c>
      <c r="I473" s="8" t="n"/>
      <c r="J473" s="8">
        <f>IF(G473="","",G473*I473)</f>
        <v/>
      </c>
    </row>
    <row r="474">
      <c r="A474" s="38" t="n"/>
      <c r="G474">
        <f>IF(F474="","",F474-E474)</f>
        <v/>
      </c>
      <c r="H474" s="30">
        <f>IF(E474&gt;0,G474/E474*100,0)</f>
        <v/>
      </c>
      <c r="I474" s="8" t="n"/>
      <c r="J474" s="8">
        <f>IF(G474="","",G474*I474)</f>
        <v/>
      </c>
    </row>
    <row r="475">
      <c r="A475" s="38" t="n"/>
      <c r="G475">
        <f>IF(F475="","",F475-E475)</f>
        <v/>
      </c>
      <c r="H475" s="30">
        <f>IF(E475&gt;0,G475/E475*100,0)</f>
        <v/>
      </c>
      <c r="I475" s="8" t="n"/>
      <c r="J475" s="8">
        <f>IF(G475="","",G475*I475)</f>
        <v/>
      </c>
    </row>
    <row r="476">
      <c r="A476" s="38" t="n"/>
      <c r="G476">
        <f>IF(F476="","",F476-E476)</f>
        <v/>
      </c>
      <c r="H476" s="30">
        <f>IF(E476&gt;0,G476/E476*100,0)</f>
        <v/>
      </c>
      <c r="I476" s="8" t="n"/>
      <c r="J476" s="8">
        <f>IF(G476="","",G476*I476)</f>
        <v/>
      </c>
    </row>
    <row r="477">
      <c r="A477" s="38" t="n"/>
      <c r="G477">
        <f>IF(F477="","",F477-E477)</f>
        <v/>
      </c>
      <c r="H477" s="30">
        <f>IF(E477&gt;0,G477/E477*100,0)</f>
        <v/>
      </c>
      <c r="I477" s="8" t="n"/>
      <c r="J477" s="8">
        <f>IF(G477="","",G477*I477)</f>
        <v/>
      </c>
    </row>
    <row r="478">
      <c r="A478" s="38" t="n"/>
      <c r="G478">
        <f>IF(F478="","",F478-E478)</f>
        <v/>
      </c>
      <c r="H478" s="30">
        <f>IF(E478&gt;0,G478/E478*100,0)</f>
        <v/>
      </c>
      <c r="I478" s="8" t="n"/>
      <c r="J478" s="8">
        <f>IF(G478="","",G478*I478)</f>
        <v/>
      </c>
    </row>
    <row r="479">
      <c r="A479" s="38" t="n"/>
      <c r="G479">
        <f>IF(F479="","",F479-E479)</f>
        <v/>
      </c>
      <c r="H479" s="30">
        <f>IF(E479&gt;0,G479/E479*100,0)</f>
        <v/>
      </c>
      <c r="I479" s="8" t="n"/>
      <c r="J479" s="8">
        <f>IF(G479="","",G479*I479)</f>
        <v/>
      </c>
    </row>
    <row r="480">
      <c r="A480" s="38" t="n"/>
      <c r="G480">
        <f>IF(F480="","",F480-E480)</f>
        <v/>
      </c>
      <c r="H480" s="30">
        <f>IF(E480&gt;0,G480/E480*100,0)</f>
        <v/>
      </c>
      <c r="I480" s="8" t="n"/>
      <c r="J480" s="8">
        <f>IF(G480="","",G480*I480)</f>
        <v/>
      </c>
    </row>
    <row r="481">
      <c r="A481" s="38" t="n"/>
      <c r="G481">
        <f>IF(F481="","",F481-E481)</f>
        <v/>
      </c>
      <c r="H481" s="30">
        <f>IF(E481&gt;0,G481/E481*100,0)</f>
        <v/>
      </c>
      <c r="I481" s="8" t="n"/>
      <c r="J481" s="8">
        <f>IF(G481="","",G481*I481)</f>
        <v/>
      </c>
    </row>
    <row r="482">
      <c r="A482" s="38" t="n"/>
      <c r="G482">
        <f>IF(F482="","",F482-E482)</f>
        <v/>
      </c>
      <c r="H482" s="30">
        <f>IF(E482&gt;0,G482/E482*100,0)</f>
        <v/>
      </c>
      <c r="I482" s="8" t="n"/>
      <c r="J482" s="8">
        <f>IF(G482="","",G482*I482)</f>
        <v/>
      </c>
    </row>
    <row r="483">
      <c r="A483" s="38" t="n"/>
      <c r="G483">
        <f>IF(F483="","",F483-E483)</f>
        <v/>
      </c>
      <c r="H483" s="30">
        <f>IF(E483&gt;0,G483/E483*100,0)</f>
        <v/>
      </c>
      <c r="I483" s="8" t="n"/>
      <c r="J483" s="8">
        <f>IF(G483="","",G483*I483)</f>
        <v/>
      </c>
    </row>
    <row r="484">
      <c r="A484" s="38" t="n"/>
      <c r="G484">
        <f>IF(F484="","",F484-E484)</f>
        <v/>
      </c>
      <c r="H484" s="30">
        <f>IF(E484&gt;0,G484/E484*100,0)</f>
        <v/>
      </c>
      <c r="I484" s="8" t="n"/>
      <c r="J484" s="8">
        <f>IF(G484="","",G484*I484)</f>
        <v/>
      </c>
    </row>
    <row r="485">
      <c r="A485" s="38" t="n"/>
      <c r="G485">
        <f>IF(F485="","",F485-E485)</f>
        <v/>
      </c>
      <c r="H485" s="30">
        <f>IF(E485&gt;0,G485/E485*100,0)</f>
        <v/>
      </c>
      <c r="I485" s="8" t="n"/>
      <c r="J485" s="8">
        <f>IF(G485="","",G485*I485)</f>
        <v/>
      </c>
    </row>
    <row r="486">
      <c r="A486" s="38" t="n"/>
      <c r="G486">
        <f>IF(F486="","",F486-E486)</f>
        <v/>
      </c>
      <c r="H486" s="30">
        <f>IF(E486&gt;0,G486/E486*100,0)</f>
        <v/>
      </c>
      <c r="I486" s="8" t="n"/>
      <c r="J486" s="8">
        <f>IF(G486="","",G486*I486)</f>
        <v/>
      </c>
    </row>
    <row r="487">
      <c r="A487" s="38" t="n"/>
      <c r="G487">
        <f>IF(F487="","",F487-E487)</f>
        <v/>
      </c>
      <c r="H487" s="30">
        <f>IF(E487&gt;0,G487/E487*100,0)</f>
        <v/>
      </c>
      <c r="I487" s="8" t="n"/>
      <c r="J487" s="8">
        <f>IF(G487="","",G487*I487)</f>
        <v/>
      </c>
    </row>
    <row r="488">
      <c r="A488" s="38" t="n"/>
      <c r="G488">
        <f>IF(F488="","",F488-E488)</f>
        <v/>
      </c>
      <c r="H488" s="30">
        <f>IF(E488&gt;0,G488/E488*100,0)</f>
        <v/>
      </c>
      <c r="I488" s="8" t="n"/>
      <c r="J488" s="8">
        <f>IF(G488="","",G488*I488)</f>
        <v/>
      </c>
    </row>
    <row r="489">
      <c r="A489" s="38" t="n"/>
      <c r="G489">
        <f>IF(F489="","",F489-E489)</f>
        <v/>
      </c>
      <c r="H489" s="30">
        <f>IF(E489&gt;0,G489/E489*100,0)</f>
        <v/>
      </c>
      <c r="I489" s="8" t="n"/>
      <c r="J489" s="8">
        <f>IF(G489="","",G489*I489)</f>
        <v/>
      </c>
    </row>
    <row r="490">
      <c r="A490" s="38" t="n"/>
      <c r="G490">
        <f>IF(F490="","",F490-E490)</f>
        <v/>
      </c>
      <c r="H490" s="30">
        <f>IF(E490&gt;0,G490/E490*100,0)</f>
        <v/>
      </c>
      <c r="I490" s="8" t="n"/>
      <c r="J490" s="8">
        <f>IF(G490="","",G490*I490)</f>
        <v/>
      </c>
    </row>
    <row r="491">
      <c r="A491" s="38" t="n"/>
      <c r="G491">
        <f>IF(F491="","",F491-E491)</f>
        <v/>
      </c>
      <c r="H491" s="30">
        <f>IF(E491&gt;0,G491/E491*100,0)</f>
        <v/>
      </c>
      <c r="I491" s="8" t="n"/>
      <c r="J491" s="8">
        <f>IF(G491="","",G491*I491)</f>
        <v/>
      </c>
    </row>
    <row r="492">
      <c r="A492" s="38" t="n"/>
      <c r="G492">
        <f>IF(F492="","",F492-E492)</f>
        <v/>
      </c>
      <c r="H492" s="30">
        <f>IF(E492&gt;0,G492/E492*100,0)</f>
        <v/>
      </c>
      <c r="I492" s="8" t="n"/>
      <c r="J492" s="8">
        <f>IF(G492="","",G492*I492)</f>
        <v/>
      </c>
    </row>
    <row r="493">
      <c r="A493" s="38" t="n"/>
      <c r="G493">
        <f>IF(F493="","",F493-E493)</f>
        <v/>
      </c>
      <c r="H493" s="30">
        <f>IF(E493&gt;0,G493/E493*100,0)</f>
        <v/>
      </c>
      <c r="I493" s="8" t="n"/>
      <c r="J493" s="8">
        <f>IF(G493="","",G493*I493)</f>
        <v/>
      </c>
    </row>
    <row r="494">
      <c r="A494" s="38" t="n"/>
      <c r="G494">
        <f>IF(F494="","",F494-E494)</f>
        <v/>
      </c>
      <c r="H494" s="30">
        <f>IF(E494&gt;0,G494/E494*100,0)</f>
        <v/>
      </c>
      <c r="I494" s="8" t="n"/>
      <c r="J494" s="8">
        <f>IF(G494="","",G494*I494)</f>
        <v/>
      </c>
    </row>
    <row r="495">
      <c r="A495" s="38" t="n"/>
      <c r="G495">
        <f>IF(F495="","",F495-E495)</f>
        <v/>
      </c>
      <c r="H495" s="30">
        <f>IF(E495&gt;0,G495/E495*100,0)</f>
        <v/>
      </c>
      <c r="I495" s="8" t="n"/>
      <c r="J495" s="8">
        <f>IF(G495="","",G495*I495)</f>
        <v/>
      </c>
    </row>
    <row r="496">
      <c r="A496" s="38" t="n"/>
      <c r="G496">
        <f>IF(F496="","",F496-E496)</f>
        <v/>
      </c>
      <c r="H496" s="30">
        <f>IF(E496&gt;0,G496/E496*100,0)</f>
        <v/>
      </c>
      <c r="I496" s="8" t="n"/>
      <c r="J496" s="8">
        <f>IF(G496="","",G496*I496)</f>
        <v/>
      </c>
    </row>
    <row r="497">
      <c r="A497" s="38" t="n"/>
      <c r="G497">
        <f>IF(F497="","",F497-E497)</f>
        <v/>
      </c>
      <c r="H497" s="30">
        <f>IF(E497&gt;0,G497/E497*100,0)</f>
        <v/>
      </c>
      <c r="I497" s="8" t="n"/>
      <c r="J497" s="8">
        <f>IF(G497="","",G497*I497)</f>
        <v/>
      </c>
    </row>
    <row r="498">
      <c r="A498" s="38" t="n"/>
      <c r="G498">
        <f>IF(F498="","",F498-E498)</f>
        <v/>
      </c>
      <c r="H498" s="30">
        <f>IF(E498&gt;0,G498/E498*100,0)</f>
        <v/>
      </c>
      <c r="I498" s="8" t="n"/>
      <c r="J498" s="8">
        <f>IF(G498="","",G498*I498)</f>
        <v/>
      </c>
    </row>
    <row r="499">
      <c r="A499" s="38" t="n"/>
      <c r="G499">
        <f>IF(F499="","",F499-E499)</f>
        <v/>
      </c>
      <c r="H499" s="30">
        <f>IF(E499&gt;0,G499/E499*100,0)</f>
        <v/>
      </c>
      <c r="I499" s="8" t="n"/>
      <c r="J499" s="8">
        <f>IF(G499="","",G499*I499)</f>
        <v/>
      </c>
    </row>
    <row r="500">
      <c r="A500" s="38" t="n"/>
      <c r="G500">
        <f>IF(F500="","",F500-E500)</f>
        <v/>
      </c>
      <c r="H500" s="30">
        <f>IF(E500&gt;0,G500/E500*100,0)</f>
        <v/>
      </c>
      <c r="I500" s="8" t="n"/>
      <c r="J500" s="8">
        <f>IF(G500="","",G500*I500)</f>
        <v/>
      </c>
    </row>
    <row r="501">
      <c r="A501" s="38" t="n"/>
      <c r="G501">
        <f>IF(F501="","",F501-E501)</f>
        <v/>
      </c>
      <c r="H501" s="30">
        <f>IF(E501&gt;0,G501/E501*100,0)</f>
        <v/>
      </c>
      <c r="I501" s="8" t="n"/>
      <c r="J501" s="8">
        <f>IF(G501="","",G501*I501)</f>
        <v/>
      </c>
    </row>
    <row r="502">
      <c r="A502" s="38" t="n"/>
      <c r="G502">
        <f>IF(F502="","",F502-E502)</f>
        <v/>
      </c>
      <c r="H502" s="30">
        <f>IF(E502&gt;0,G502/E502*100,0)</f>
        <v/>
      </c>
      <c r="I502" s="8" t="n"/>
      <c r="J502" s="8">
        <f>IF(G502="","",G502*I502)</f>
        <v/>
      </c>
    </row>
    <row r="503">
      <c r="A503" s="38" t="n"/>
      <c r="G503">
        <f>IF(F503="","",F503-E503)</f>
        <v/>
      </c>
      <c r="H503" s="30">
        <f>IF(E503&gt;0,G503/E503*100,0)</f>
        <v/>
      </c>
      <c r="I503" s="8" t="n"/>
      <c r="J503" s="8">
        <f>IF(G503="","",G503*I503)</f>
        <v/>
      </c>
    </row>
    <row r="504">
      <c r="A504" s="38" t="n"/>
      <c r="G504">
        <f>IF(F504="","",F504-E504)</f>
        <v/>
      </c>
      <c r="H504" s="30">
        <f>IF(E504&gt;0,G504/E504*100,0)</f>
        <v/>
      </c>
      <c r="I504" s="8" t="n"/>
      <c r="J504" s="8">
        <f>IF(G504="","",G504*I504)</f>
        <v/>
      </c>
    </row>
    <row r="505">
      <c r="A505" s="38" t="n"/>
      <c r="G505">
        <f>IF(F505="","",F505-E505)</f>
        <v/>
      </c>
      <c r="H505" s="30">
        <f>IF(E505&gt;0,G505/E505*100,0)</f>
        <v/>
      </c>
      <c r="I505" s="8" t="n"/>
      <c r="J505" s="8">
        <f>IF(G505="","",G505*I505)</f>
        <v/>
      </c>
    </row>
    <row r="506">
      <c r="A506" s="38" t="n"/>
      <c r="G506">
        <f>IF(F506="","",F506-E506)</f>
        <v/>
      </c>
      <c r="H506" s="30">
        <f>IF(E506&gt;0,G506/E506*100,0)</f>
        <v/>
      </c>
      <c r="I506" s="8" t="n"/>
      <c r="J506" s="8">
        <f>IF(G506="","",G506*I506)</f>
        <v/>
      </c>
    </row>
    <row r="507">
      <c r="A507" s="38" t="n"/>
      <c r="G507">
        <f>IF(F507="","",F507-E507)</f>
        <v/>
      </c>
      <c r="H507" s="30">
        <f>IF(E507&gt;0,G507/E507*100,0)</f>
        <v/>
      </c>
      <c r="I507" s="8" t="n"/>
      <c r="J507" s="8">
        <f>IF(G507="","",G507*I507)</f>
        <v/>
      </c>
    </row>
    <row r="508">
      <c r="A508" s="38" t="n"/>
      <c r="G508">
        <f>IF(F508="","",F508-E508)</f>
        <v/>
      </c>
      <c r="H508" s="30">
        <f>IF(E508&gt;0,G508/E508*100,0)</f>
        <v/>
      </c>
      <c r="I508" s="8" t="n"/>
      <c r="J508" s="8">
        <f>IF(G508="","",G508*I508)</f>
        <v/>
      </c>
    </row>
    <row r="509">
      <c r="A509" s="38" t="n"/>
      <c r="G509">
        <f>IF(F509="","",F509-E509)</f>
        <v/>
      </c>
      <c r="H509" s="30">
        <f>IF(E509&gt;0,G509/E509*100,0)</f>
        <v/>
      </c>
      <c r="I509" s="8" t="n"/>
      <c r="J509" s="8">
        <f>IF(G509="","",G509*I509)</f>
        <v/>
      </c>
    </row>
    <row r="510">
      <c r="A510" s="38" t="n"/>
      <c r="G510">
        <f>IF(F510="","",F510-E510)</f>
        <v/>
      </c>
      <c r="H510" s="30">
        <f>IF(E510&gt;0,G510/E510*100,0)</f>
        <v/>
      </c>
      <c r="I510" s="8" t="n"/>
      <c r="J510" s="8">
        <f>IF(G510="","",G510*I510)</f>
        <v/>
      </c>
    </row>
    <row r="511">
      <c r="A511" s="38" t="n"/>
      <c r="G511">
        <f>IF(F511="","",F511-E511)</f>
        <v/>
      </c>
      <c r="H511" s="30">
        <f>IF(E511&gt;0,G511/E511*100,0)</f>
        <v/>
      </c>
      <c r="I511" s="8" t="n"/>
      <c r="J511" s="8">
        <f>IF(G511="","",G511*I511)</f>
        <v/>
      </c>
    </row>
    <row r="512">
      <c r="A512" s="38" t="n"/>
      <c r="G512">
        <f>IF(F512="","",F512-E512)</f>
        <v/>
      </c>
      <c r="H512" s="30">
        <f>IF(E512&gt;0,G512/E512*100,0)</f>
        <v/>
      </c>
      <c r="I512" s="8" t="n"/>
      <c r="J512" s="8">
        <f>IF(G512="","",G512*I512)</f>
        <v/>
      </c>
    </row>
    <row r="513">
      <c r="A513" s="38" t="n"/>
      <c r="G513">
        <f>IF(F513="","",F513-E513)</f>
        <v/>
      </c>
      <c r="H513" s="30">
        <f>IF(E513&gt;0,G513/E513*100,0)</f>
        <v/>
      </c>
      <c r="I513" s="8" t="n"/>
      <c r="J513" s="8">
        <f>IF(G513="","",G513*I513)</f>
        <v/>
      </c>
    </row>
    <row r="514">
      <c r="A514" s="38" t="n"/>
      <c r="G514">
        <f>IF(F514="","",F514-E514)</f>
        <v/>
      </c>
      <c r="H514" s="30">
        <f>IF(E514&gt;0,G514/E514*100,0)</f>
        <v/>
      </c>
      <c r="I514" s="8" t="n"/>
      <c r="J514" s="8">
        <f>IF(G514="","",G514*I514)</f>
        <v/>
      </c>
    </row>
    <row r="515">
      <c r="A515" s="38" t="n"/>
      <c r="G515">
        <f>IF(F515="","",F515-E515)</f>
        <v/>
      </c>
      <c r="H515" s="30">
        <f>IF(E515&gt;0,G515/E515*100,0)</f>
        <v/>
      </c>
      <c r="I515" s="8" t="n"/>
      <c r="J515" s="8">
        <f>IF(G515="","",G515*I515)</f>
        <v/>
      </c>
    </row>
    <row r="516">
      <c r="A516" s="38" t="n"/>
      <c r="G516">
        <f>IF(F516="","",F516-E516)</f>
        <v/>
      </c>
      <c r="H516" s="30">
        <f>IF(E516&gt;0,G516/E516*100,0)</f>
        <v/>
      </c>
      <c r="I516" s="8" t="n"/>
      <c r="J516" s="8">
        <f>IF(G516="","",G516*I516)</f>
        <v/>
      </c>
    </row>
    <row r="517">
      <c r="A517" s="38" t="n"/>
      <c r="G517">
        <f>IF(F517="","",F517-E517)</f>
        <v/>
      </c>
      <c r="H517" s="30">
        <f>IF(E517&gt;0,G517/E517*100,0)</f>
        <v/>
      </c>
      <c r="I517" s="8" t="n"/>
      <c r="J517" s="8">
        <f>IF(G517="","",G517*I517)</f>
        <v/>
      </c>
    </row>
    <row r="518">
      <c r="A518" s="38" t="n"/>
      <c r="G518">
        <f>IF(F518="","",F518-E518)</f>
        <v/>
      </c>
      <c r="H518" s="30">
        <f>IF(E518&gt;0,G518/E518*100,0)</f>
        <v/>
      </c>
      <c r="I518" s="8" t="n"/>
      <c r="J518" s="8">
        <f>IF(G518="","",G518*I518)</f>
        <v/>
      </c>
    </row>
    <row r="519">
      <c r="A519" s="38" t="n"/>
      <c r="G519">
        <f>IF(F519="","",F519-E519)</f>
        <v/>
      </c>
      <c r="H519" s="30">
        <f>IF(E519&gt;0,G519/E519*100,0)</f>
        <v/>
      </c>
      <c r="I519" s="8" t="n"/>
      <c r="J519" s="8">
        <f>IF(G519="","",G519*I519)</f>
        <v/>
      </c>
    </row>
    <row r="520">
      <c r="A520" s="38" t="n"/>
      <c r="G520">
        <f>IF(F520="","",F520-E520)</f>
        <v/>
      </c>
      <c r="H520" s="30">
        <f>IF(E520&gt;0,G520/E520*100,0)</f>
        <v/>
      </c>
      <c r="I520" s="8" t="n"/>
      <c r="J520" s="8">
        <f>IF(G520="","",G520*I520)</f>
        <v/>
      </c>
    </row>
    <row r="521">
      <c r="A521" s="38" t="n"/>
      <c r="G521">
        <f>IF(F521="","",F521-E521)</f>
        <v/>
      </c>
      <c r="H521" s="30">
        <f>IF(E521&gt;0,G521/E521*100,0)</f>
        <v/>
      </c>
      <c r="I521" s="8" t="n"/>
      <c r="J521" s="8">
        <f>IF(G521="","",G521*I521)</f>
        <v/>
      </c>
    </row>
    <row r="522">
      <c r="A522" s="38" t="n"/>
      <c r="G522">
        <f>IF(F522="","",F522-E522)</f>
        <v/>
      </c>
      <c r="H522" s="30">
        <f>IF(E522&gt;0,G522/E522*100,0)</f>
        <v/>
      </c>
      <c r="I522" s="8" t="n"/>
      <c r="J522" s="8">
        <f>IF(G522="","",G522*I522)</f>
        <v/>
      </c>
    </row>
    <row r="523">
      <c r="A523" s="38" t="n"/>
      <c r="G523">
        <f>IF(F523="","",F523-E523)</f>
        <v/>
      </c>
      <c r="H523" s="30">
        <f>IF(E523&gt;0,G523/E523*100,0)</f>
        <v/>
      </c>
      <c r="I523" s="8" t="n"/>
      <c r="J523" s="8">
        <f>IF(G523="","",G523*I523)</f>
        <v/>
      </c>
    </row>
    <row r="524">
      <c r="A524" s="38" t="n"/>
      <c r="G524">
        <f>IF(F524="","",F524-E524)</f>
        <v/>
      </c>
      <c r="H524" s="30">
        <f>IF(E524&gt;0,G524/E524*100,0)</f>
        <v/>
      </c>
      <c r="I524" s="8" t="n"/>
      <c r="J524" s="8">
        <f>IF(G524="","",G524*I524)</f>
        <v/>
      </c>
    </row>
    <row r="525">
      <c r="A525" s="38" t="n"/>
      <c r="G525">
        <f>IF(F525="","",F525-E525)</f>
        <v/>
      </c>
      <c r="H525" s="30">
        <f>IF(E525&gt;0,G525/E525*100,0)</f>
        <v/>
      </c>
      <c r="I525" s="8" t="n"/>
      <c r="J525" s="8">
        <f>IF(G525="","",G525*I525)</f>
        <v/>
      </c>
    </row>
    <row r="526">
      <c r="A526" s="38" t="n"/>
      <c r="G526">
        <f>IF(F526="","",F526-E526)</f>
        <v/>
      </c>
      <c r="H526" s="30">
        <f>IF(E526&gt;0,G526/E526*100,0)</f>
        <v/>
      </c>
      <c r="I526" s="8" t="n"/>
      <c r="J526" s="8">
        <f>IF(G526="","",G526*I526)</f>
        <v/>
      </c>
    </row>
    <row r="527">
      <c r="A527" s="38" t="n"/>
      <c r="G527">
        <f>IF(F527="","",F527-E527)</f>
        <v/>
      </c>
      <c r="H527" s="30">
        <f>IF(E527&gt;0,G527/E527*100,0)</f>
        <v/>
      </c>
      <c r="I527" s="8" t="n"/>
      <c r="J527" s="8">
        <f>IF(G527="","",G527*I527)</f>
        <v/>
      </c>
    </row>
    <row r="528">
      <c r="A528" s="38" t="n"/>
      <c r="G528">
        <f>IF(F528="","",F528-E528)</f>
        <v/>
      </c>
      <c r="H528" s="30">
        <f>IF(E528&gt;0,G528/E528*100,0)</f>
        <v/>
      </c>
      <c r="I528" s="8" t="n"/>
      <c r="J528" s="8">
        <f>IF(G528="","",G528*I528)</f>
        <v/>
      </c>
    </row>
    <row r="529">
      <c r="A529" s="38" t="n"/>
      <c r="G529">
        <f>IF(F529="","",F529-E529)</f>
        <v/>
      </c>
      <c r="H529" s="30">
        <f>IF(E529&gt;0,G529/E529*100,0)</f>
        <v/>
      </c>
      <c r="I529" s="8" t="n"/>
      <c r="J529" s="8">
        <f>IF(G529="","",G529*I529)</f>
        <v/>
      </c>
    </row>
    <row r="530">
      <c r="A530" s="38" t="n"/>
      <c r="G530">
        <f>IF(F530="","",F530-E530)</f>
        <v/>
      </c>
      <c r="H530" s="30">
        <f>IF(E530&gt;0,G530/E530*100,0)</f>
        <v/>
      </c>
      <c r="I530" s="8" t="n"/>
      <c r="J530" s="8">
        <f>IF(G530="","",G530*I530)</f>
        <v/>
      </c>
    </row>
    <row r="531">
      <c r="A531" s="38" t="n"/>
      <c r="G531">
        <f>IF(F531="","",F531-E531)</f>
        <v/>
      </c>
      <c r="H531" s="30">
        <f>IF(E531&gt;0,G531/E531*100,0)</f>
        <v/>
      </c>
      <c r="I531" s="8" t="n"/>
      <c r="J531" s="8">
        <f>IF(G531="","",G531*I531)</f>
        <v/>
      </c>
    </row>
    <row r="532">
      <c r="A532" s="38" t="n"/>
      <c r="G532">
        <f>IF(F532="","",F532-E532)</f>
        <v/>
      </c>
      <c r="H532" s="30">
        <f>IF(E532&gt;0,G532/E532*100,0)</f>
        <v/>
      </c>
      <c r="I532" s="8" t="n"/>
      <c r="J532" s="8">
        <f>IF(G532="","",G532*I532)</f>
        <v/>
      </c>
    </row>
    <row r="533">
      <c r="A533" s="38" t="n"/>
      <c r="G533">
        <f>IF(F533="","",F533-E533)</f>
        <v/>
      </c>
      <c r="H533" s="30">
        <f>IF(E533&gt;0,G533/E533*100,0)</f>
        <v/>
      </c>
      <c r="I533" s="8" t="n"/>
      <c r="J533" s="8">
        <f>IF(G533="","",G533*I533)</f>
        <v/>
      </c>
    </row>
    <row r="534">
      <c r="A534" s="38" t="n"/>
      <c r="G534">
        <f>IF(F534="","",F534-E534)</f>
        <v/>
      </c>
      <c r="H534" s="30">
        <f>IF(E534&gt;0,G534/E534*100,0)</f>
        <v/>
      </c>
      <c r="I534" s="8" t="n"/>
      <c r="J534" s="8">
        <f>IF(G534="","",G534*I534)</f>
        <v/>
      </c>
    </row>
    <row r="535">
      <c r="A535" s="38" t="n"/>
      <c r="G535">
        <f>IF(F535="","",F535-E535)</f>
        <v/>
      </c>
      <c r="H535" s="30">
        <f>IF(E535&gt;0,G535/E535*100,0)</f>
        <v/>
      </c>
      <c r="I535" s="8" t="n"/>
      <c r="J535" s="8">
        <f>IF(G535="","",G535*I535)</f>
        <v/>
      </c>
    </row>
    <row r="536">
      <c r="A536" s="38" t="n"/>
      <c r="G536">
        <f>IF(F536="","",F536-E536)</f>
        <v/>
      </c>
      <c r="H536" s="30">
        <f>IF(E536&gt;0,G536/E536*100,0)</f>
        <v/>
      </c>
      <c r="I536" s="8" t="n"/>
      <c r="J536" s="8">
        <f>IF(G536="","",G536*I536)</f>
        <v/>
      </c>
    </row>
    <row r="537">
      <c r="A537" s="38" t="n"/>
      <c r="G537">
        <f>IF(F537="","",F537-E537)</f>
        <v/>
      </c>
      <c r="H537" s="30">
        <f>IF(E537&gt;0,G537/E537*100,0)</f>
        <v/>
      </c>
      <c r="I537" s="8" t="n"/>
      <c r="J537" s="8">
        <f>IF(G537="","",G537*I537)</f>
        <v/>
      </c>
    </row>
    <row r="538">
      <c r="A538" s="38" t="n"/>
      <c r="G538">
        <f>IF(F538="","",F538-E538)</f>
        <v/>
      </c>
      <c r="H538" s="30">
        <f>IF(E538&gt;0,G538/E538*100,0)</f>
        <v/>
      </c>
      <c r="I538" s="8" t="n"/>
      <c r="J538" s="8">
        <f>IF(G538="","",G538*I538)</f>
        <v/>
      </c>
    </row>
    <row r="539">
      <c r="A539" s="38" t="n"/>
      <c r="G539">
        <f>IF(F539="","",F539-E539)</f>
        <v/>
      </c>
      <c r="H539" s="30">
        <f>IF(E539&gt;0,G539/E539*100,0)</f>
        <v/>
      </c>
      <c r="I539" s="8" t="n"/>
      <c r="J539" s="8">
        <f>IF(G539="","",G539*I539)</f>
        <v/>
      </c>
    </row>
    <row r="540">
      <c r="A540" s="38" t="n"/>
      <c r="G540">
        <f>IF(F540="","",F540-E540)</f>
        <v/>
      </c>
      <c r="H540" s="30">
        <f>IF(E540&gt;0,G540/E540*100,0)</f>
        <v/>
      </c>
      <c r="I540" s="8" t="n"/>
      <c r="J540" s="8">
        <f>IF(G540="","",G540*I540)</f>
        <v/>
      </c>
    </row>
    <row r="541">
      <c r="A541" s="38" t="n"/>
      <c r="G541">
        <f>IF(F541="","",F541-E541)</f>
        <v/>
      </c>
      <c r="H541" s="30">
        <f>IF(E541&gt;0,G541/E541*100,0)</f>
        <v/>
      </c>
      <c r="I541" s="8" t="n"/>
      <c r="J541" s="8">
        <f>IF(G541="","",G541*I541)</f>
        <v/>
      </c>
    </row>
    <row r="542">
      <c r="A542" s="38" t="n"/>
      <c r="G542">
        <f>IF(F542="","",F542-E542)</f>
        <v/>
      </c>
      <c r="H542" s="30">
        <f>IF(E542&gt;0,G542/E542*100,0)</f>
        <v/>
      </c>
      <c r="I542" s="8" t="n"/>
      <c r="J542" s="8">
        <f>IF(G542="","",G542*I542)</f>
        <v/>
      </c>
    </row>
    <row r="543">
      <c r="A543" s="38" t="n"/>
      <c r="G543">
        <f>IF(F543="","",F543-E543)</f>
        <v/>
      </c>
      <c r="H543" s="30">
        <f>IF(E543&gt;0,G543/E543*100,0)</f>
        <v/>
      </c>
      <c r="I543" s="8" t="n"/>
      <c r="J543" s="8">
        <f>IF(G543="","",G543*I543)</f>
        <v/>
      </c>
    </row>
    <row r="544">
      <c r="A544" s="38" t="n"/>
      <c r="G544">
        <f>IF(F544="","",F544-E544)</f>
        <v/>
      </c>
      <c r="H544" s="30">
        <f>IF(E544&gt;0,G544/E544*100,0)</f>
        <v/>
      </c>
      <c r="I544" s="8" t="n"/>
      <c r="J544" s="8">
        <f>IF(G544="","",G544*I544)</f>
        <v/>
      </c>
    </row>
    <row r="545">
      <c r="A545" s="38" t="n"/>
      <c r="G545">
        <f>IF(F545="","",F545-E545)</f>
        <v/>
      </c>
      <c r="H545" s="30">
        <f>IF(E545&gt;0,G545/E545*100,0)</f>
        <v/>
      </c>
      <c r="I545" s="8" t="n"/>
      <c r="J545" s="8">
        <f>IF(G545="","",G545*I545)</f>
        <v/>
      </c>
    </row>
    <row r="546">
      <c r="A546" s="38" t="n"/>
      <c r="G546">
        <f>IF(F546="","",F546-E546)</f>
        <v/>
      </c>
      <c r="H546" s="30">
        <f>IF(E546&gt;0,G546/E546*100,0)</f>
        <v/>
      </c>
      <c r="I546" s="8" t="n"/>
      <c r="J546" s="8">
        <f>IF(G546="","",G546*I546)</f>
        <v/>
      </c>
    </row>
    <row r="547">
      <c r="A547" s="38" t="n"/>
      <c r="G547">
        <f>IF(F547="","",F547-E547)</f>
        <v/>
      </c>
      <c r="H547" s="30">
        <f>IF(E547&gt;0,G547/E547*100,0)</f>
        <v/>
      </c>
      <c r="I547" s="8" t="n"/>
      <c r="J547" s="8">
        <f>IF(G547="","",G547*I547)</f>
        <v/>
      </c>
    </row>
    <row r="548">
      <c r="A548" s="38" t="n"/>
      <c r="G548">
        <f>IF(F548="","",F548-E548)</f>
        <v/>
      </c>
      <c r="H548" s="30">
        <f>IF(E548&gt;0,G548/E548*100,0)</f>
        <v/>
      </c>
      <c r="I548" s="8" t="n"/>
      <c r="J548" s="8">
        <f>IF(G548="","",G548*I548)</f>
        <v/>
      </c>
    </row>
    <row r="549">
      <c r="A549" s="38" t="n"/>
      <c r="G549">
        <f>IF(F549="","",F549-E549)</f>
        <v/>
      </c>
      <c r="H549" s="30">
        <f>IF(E549&gt;0,G549/E549*100,0)</f>
        <v/>
      </c>
      <c r="I549" s="8" t="n"/>
      <c r="J549" s="8">
        <f>IF(G549="","",G549*I549)</f>
        <v/>
      </c>
    </row>
    <row r="550">
      <c r="A550" s="38" t="n"/>
      <c r="G550">
        <f>IF(F550="","",F550-E550)</f>
        <v/>
      </c>
      <c r="H550" s="30">
        <f>IF(E550&gt;0,G550/E550*100,0)</f>
        <v/>
      </c>
      <c r="I550" s="8" t="n"/>
      <c r="J550" s="8">
        <f>IF(G550="","",G550*I550)</f>
        <v/>
      </c>
    </row>
    <row r="551">
      <c r="A551" s="38" t="n"/>
      <c r="G551">
        <f>IF(F551="","",F551-E551)</f>
        <v/>
      </c>
      <c r="H551" s="30">
        <f>IF(E551&gt;0,G551/E551*100,0)</f>
        <v/>
      </c>
      <c r="I551" s="8" t="n"/>
      <c r="J551" s="8">
        <f>IF(G551="","",G551*I551)</f>
        <v/>
      </c>
    </row>
    <row r="552">
      <c r="A552" s="38" t="n"/>
      <c r="G552">
        <f>IF(F552="","",F552-E552)</f>
        <v/>
      </c>
      <c r="H552" s="30">
        <f>IF(E552&gt;0,G552/E552*100,0)</f>
        <v/>
      </c>
      <c r="I552" s="8" t="n"/>
      <c r="J552" s="8">
        <f>IF(G552="","",G552*I552)</f>
        <v/>
      </c>
    </row>
    <row r="553">
      <c r="A553" s="38" t="n"/>
      <c r="G553">
        <f>IF(F553="","",F553-E553)</f>
        <v/>
      </c>
      <c r="H553" s="30">
        <f>IF(E553&gt;0,G553/E553*100,0)</f>
        <v/>
      </c>
      <c r="I553" s="8" t="n"/>
      <c r="J553" s="8">
        <f>IF(G553="","",G553*I553)</f>
        <v/>
      </c>
    </row>
    <row r="554">
      <c r="A554" s="38" t="n"/>
      <c r="G554">
        <f>IF(F554="","",F554-E554)</f>
        <v/>
      </c>
      <c r="H554" s="30">
        <f>IF(E554&gt;0,G554/E554*100,0)</f>
        <v/>
      </c>
      <c r="I554" s="8" t="n"/>
      <c r="J554" s="8">
        <f>IF(G554="","",G554*I554)</f>
        <v/>
      </c>
    </row>
    <row r="555">
      <c r="A555" s="38" t="n"/>
      <c r="G555">
        <f>IF(F555="","",F555-E555)</f>
        <v/>
      </c>
      <c r="H555" s="30">
        <f>IF(E555&gt;0,G555/E555*100,0)</f>
        <v/>
      </c>
      <c r="I555" s="8" t="n"/>
      <c r="J555" s="8">
        <f>IF(G555="","",G555*I555)</f>
        <v/>
      </c>
    </row>
    <row r="556">
      <c r="A556" s="38" t="n"/>
      <c r="G556">
        <f>IF(F556="","",F556-E556)</f>
        <v/>
      </c>
      <c r="H556" s="30">
        <f>IF(E556&gt;0,G556/E556*100,0)</f>
        <v/>
      </c>
      <c r="I556" s="8" t="n"/>
      <c r="J556" s="8">
        <f>IF(G556="","",G556*I556)</f>
        <v/>
      </c>
    </row>
    <row r="557">
      <c r="A557" s="38" t="n"/>
      <c r="G557">
        <f>IF(F557="","",F557-E557)</f>
        <v/>
      </c>
      <c r="H557" s="30">
        <f>IF(E557&gt;0,G557/E557*100,0)</f>
        <v/>
      </c>
      <c r="I557" s="8" t="n"/>
      <c r="J557" s="8">
        <f>IF(G557="","",G557*I557)</f>
        <v/>
      </c>
    </row>
    <row r="558">
      <c r="A558" s="38" t="n"/>
      <c r="G558">
        <f>IF(F558="","",F558-E558)</f>
        <v/>
      </c>
      <c r="H558" s="30">
        <f>IF(E558&gt;0,G558/E558*100,0)</f>
        <v/>
      </c>
      <c r="I558" s="8" t="n"/>
      <c r="J558" s="8">
        <f>IF(G558="","",G558*I558)</f>
        <v/>
      </c>
    </row>
    <row r="559">
      <c r="A559" s="38" t="n"/>
      <c r="G559">
        <f>IF(F559="","",F559-E559)</f>
        <v/>
      </c>
      <c r="H559" s="30">
        <f>IF(E559&gt;0,G559/E559*100,0)</f>
        <v/>
      </c>
      <c r="I559" s="8" t="n"/>
      <c r="J559" s="8">
        <f>IF(G559="","",G559*I559)</f>
        <v/>
      </c>
    </row>
    <row r="560">
      <c r="A560" s="38" t="n"/>
      <c r="G560">
        <f>IF(F560="","",F560-E560)</f>
        <v/>
      </c>
      <c r="H560" s="30">
        <f>IF(E560&gt;0,G560/E560*100,0)</f>
        <v/>
      </c>
      <c r="I560" s="8" t="n"/>
      <c r="J560" s="8">
        <f>IF(G560="","",G560*I560)</f>
        <v/>
      </c>
    </row>
    <row r="561">
      <c r="A561" s="38" t="n"/>
      <c r="G561">
        <f>IF(F561="","",F561-E561)</f>
        <v/>
      </c>
      <c r="H561" s="30">
        <f>IF(E561&gt;0,G561/E561*100,0)</f>
        <v/>
      </c>
      <c r="I561" s="8" t="n"/>
      <c r="J561" s="8">
        <f>IF(G561="","",G561*I561)</f>
        <v/>
      </c>
    </row>
    <row r="562">
      <c r="A562" s="38" t="n"/>
      <c r="G562">
        <f>IF(F562="","",F562-E562)</f>
        <v/>
      </c>
      <c r="H562" s="30">
        <f>IF(E562&gt;0,G562/E562*100,0)</f>
        <v/>
      </c>
      <c r="I562" s="8" t="n"/>
      <c r="J562" s="8">
        <f>IF(G562="","",G562*I562)</f>
        <v/>
      </c>
    </row>
    <row r="563">
      <c r="A563" s="38" t="n"/>
      <c r="G563">
        <f>IF(F563="","",F563-E563)</f>
        <v/>
      </c>
      <c r="H563" s="30">
        <f>IF(E563&gt;0,G563/E563*100,0)</f>
        <v/>
      </c>
      <c r="I563" s="8" t="n"/>
      <c r="J563" s="8">
        <f>IF(G563="","",G563*I563)</f>
        <v/>
      </c>
    </row>
    <row r="564">
      <c r="A564" s="38" t="n"/>
      <c r="G564">
        <f>IF(F564="","",F564-E564)</f>
        <v/>
      </c>
      <c r="H564" s="30">
        <f>IF(E564&gt;0,G564/E564*100,0)</f>
        <v/>
      </c>
      <c r="I564" s="8" t="n"/>
      <c r="J564" s="8">
        <f>IF(G564="","",G564*I564)</f>
        <v/>
      </c>
    </row>
    <row r="565">
      <c r="A565" s="38" t="n"/>
      <c r="G565">
        <f>IF(F565="","",F565-E565)</f>
        <v/>
      </c>
      <c r="H565" s="30">
        <f>IF(E565&gt;0,G565/E565*100,0)</f>
        <v/>
      </c>
      <c r="I565" s="8" t="n"/>
      <c r="J565" s="8">
        <f>IF(G565="","",G565*I565)</f>
        <v/>
      </c>
    </row>
    <row r="566">
      <c r="A566" s="38" t="n"/>
      <c r="G566">
        <f>IF(F566="","",F566-E566)</f>
        <v/>
      </c>
      <c r="H566" s="30">
        <f>IF(E566&gt;0,G566/E566*100,0)</f>
        <v/>
      </c>
      <c r="I566" s="8" t="n"/>
      <c r="J566" s="8">
        <f>IF(G566="","",G566*I566)</f>
        <v/>
      </c>
    </row>
    <row r="567">
      <c r="A567" s="38" t="n"/>
      <c r="G567">
        <f>IF(F567="","",F567-E567)</f>
        <v/>
      </c>
      <c r="H567" s="30">
        <f>IF(E567&gt;0,G567/E567*100,0)</f>
        <v/>
      </c>
      <c r="I567" s="8" t="n"/>
      <c r="J567" s="8">
        <f>IF(G567="","",G567*I567)</f>
        <v/>
      </c>
    </row>
    <row r="568">
      <c r="A568" s="38" t="n"/>
      <c r="G568">
        <f>IF(F568="","",F568-E568)</f>
        <v/>
      </c>
      <c r="H568" s="30">
        <f>IF(E568&gt;0,G568/E568*100,0)</f>
        <v/>
      </c>
      <c r="I568" s="8" t="n"/>
      <c r="J568" s="8">
        <f>IF(G568="","",G568*I568)</f>
        <v/>
      </c>
    </row>
    <row r="569">
      <c r="A569" s="38" t="n"/>
      <c r="G569">
        <f>IF(F569="","",F569-E569)</f>
        <v/>
      </c>
      <c r="H569" s="30">
        <f>IF(E569&gt;0,G569/E569*100,0)</f>
        <v/>
      </c>
      <c r="I569" s="8" t="n"/>
      <c r="J569" s="8">
        <f>IF(G569="","",G569*I569)</f>
        <v/>
      </c>
    </row>
    <row r="570">
      <c r="A570" s="38" t="n"/>
      <c r="G570">
        <f>IF(F570="","",F570-E570)</f>
        <v/>
      </c>
      <c r="H570" s="30">
        <f>IF(E570&gt;0,G570/E570*100,0)</f>
        <v/>
      </c>
      <c r="I570" s="8" t="n"/>
      <c r="J570" s="8">
        <f>IF(G570="","",G570*I570)</f>
        <v/>
      </c>
    </row>
    <row r="571">
      <c r="A571" s="38" t="n"/>
      <c r="G571">
        <f>IF(F571="","",F571-E571)</f>
        <v/>
      </c>
      <c r="H571" s="30">
        <f>IF(E571&gt;0,G571/E571*100,0)</f>
        <v/>
      </c>
      <c r="I571" s="8" t="n"/>
      <c r="J571" s="8">
        <f>IF(G571="","",G571*I571)</f>
        <v/>
      </c>
    </row>
    <row r="572">
      <c r="A572" s="38" t="n"/>
      <c r="G572">
        <f>IF(F572="","",F572-E572)</f>
        <v/>
      </c>
      <c r="H572" s="30">
        <f>IF(E572&gt;0,G572/E572*100,0)</f>
        <v/>
      </c>
      <c r="I572" s="8" t="n"/>
      <c r="J572" s="8">
        <f>IF(G572="","",G572*I572)</f>
        <v/>
      </c>
    </row>
    <row r="573">
      <c r="A573" s="38" t="n"/>
      <c r="G573">
        <f>IF(F573="","",F573-E573)</f>
        <v/>
      </c>
      <c r="H573" s="30">
        <f>IF(E573&gt;0,G573/E573*100,0)</f>
        <v/>
      </c>
      <c r="I573" s="8" t="n"/>
      <c r="J573" s="8">
        <f>IF(G573="","",G573*I573)</f>
        <v/>
      </c>
    </row>
    <row r="574">
      <c r="A574" s="38" t="n"/>
      <c r="G574">
        <f>IF(F574="","",F574-E574)</f>
        <v/>
      </c>
      <c r="H574" s="30">
        <f>IF(E574&gt;0,G574/E574*100,0)</f>
        <v/>
      </c>
      <c r="I574" s="8" t="n"/>
      <c r="J574" s="8">
        <f>IF(G574="","",G574*I574)</f>
        <v/>
      </c>
    </row>
    <row r="575">
      <c r="A575" s="38" t="n"/>
      <c r="G575">
        <f>IF(F575="","",F575-E575)</f>
        <v/>
      </c>
      <c r="H575" s="30">
        <f>IF(E575&gt;0,G575/E575*100,0)</f>
        <v/>
      </c>
      <c r="I575" s="8" t="n"/>
      <c r="J575" s="8">
        <f>IF(G575="","",G575*I575)</f>
        <v/>
      </c>
    </row>
    <row r="576">
      <c r="A576" s="38" t="n"/>
      <c r="G576">
        <f>IF(F576="","",F576-E576)</f>
        <v/>
      </c>
      <c r="H576" s="30">
        <f>IF(E576&gt;0,G576/E576*100,0)</f>
        <v/>
      </c>
      <c r="I576" s="8" t="n"/>
      <c r="J576" s="8">
        <f>IF(G576="","",G576*I576)</f>
        <v/>
      </c>
    </row>
    <row r="577">
      <c r="A577" s="38" t="n"/>
      <c r="G577">
        <f>IF(F577="","",F577-E577)</f>
        <v/>
      </c>
      <c r="H577" s="30">
        <f>IF(E577&gt;0,G577/E577*100,0)</f>
        <v/>
      </c>
      <c r="I577" s="8" t="n"/>
      <c r="J577" s="8">
        <f>IF(G577="","",G577*I577)</f>
        <v/>
      </c>
    </row>
    <row r="578">
      <c r="A578" s="38" t="n"/>
      <c r="G578">
        <f>IF(F578="","",F578-E578)</f>
        <v/>
      </c>
      <c r="H578" s="30">
        <f>IF(E578&gt;0,G578/E578*100,0)</f>
        <v/>
      </c>
      <c r="I578" s="8" t="n"/>
      <c r="J578" s="8">
        <f>IF(G578="","",G578*I578)</f>
        <v/>
      </c>
    </row>
    <row r="579">
      <c r="A579" s="38" t="n"/>
      <c r="G579">
        <f>IF(F579="","",F579-E579)</f>
        <v/>
      </c>
      <c r="H579" s="30">
        <f>IF(E579&gt;0,G579/E579*100,0)</f>
        <v/>
      </c>
      <c r="I579" s="8" t="n"/>
      <c r="J579" s="8">
        <f>IF(G579="","",G579*I579)</f>
        <v/>
      </c>
    </row>
    <row r="580">
      <c r="A580" s="38" t="n"/>
      <c r="G580">
        <f>IF(F580="","",F580-E580)</f>
        <v/>
      </c>
      <c r="H580" s="30">
        <f>IF(E580&gt;0,G580/E580*100,0)</f>
        <v/>
      </c>
      <c r="I580" s="8" t="n"/>
      <c r="J580" s="8">
        <f>IF(G580="","",G580*I580)</f>
        <v/>
      </c>
    </row>
    <row r="581">
      <c r="A581" s="38" t="n"/>
      <c r="G581">
        <f>IF(F581="","",F581-E581)</f>
        <v/>
      </c>
      <c r="H581" s="30">
        <f>IF(E581&gt;0,G581/E581*100,0)</f>
        <v/>
      </c>
      <c r="I581" s="8" t="n"/>
      <c r="J581" s="8">
        <f>IF(G581="","",G581*I581)</f>
        <v/>
      </c>
    </row>
    <row r="582">
      <c r="A582" s="38" t="n"/>
      <c r="G582">
        <f>IF(F582="","",F582-E582)</f>
        <v/>
      </c>
      <c r="H582" s="30">
        <f>IF(E582&gt;0,G582/E582*100,0)</f>
        <v/>
      </c>
      <c r="I582" s="8" t="n"/>
      <c r="J582" s="8">
        <f>IF(G582="","",G582*I582)</f>
        <v/>
      </c>
    </row>
    <row r="583">
      <c r="A583" s="38" t="n"/>
      <c r="G583">
        <f>IF(F583="","",F583-E583)</f>
        <v/>
      </c>
      <c r="H583" s="30">
        <f>IF(E583&gt;0,G583/E583*100,0)</f>
        <v/>
      </c>
      <c r="I583" s="8" t="n"/>
      <c r="J583" s="8">
        <f>IF(G583="","",G583*I583)</f>
        <v/>
      </c>
    </row>
    <row r="584">
      <c r="A584" s="38" t="n"/>
      <c r="G584">
        <f>IF(F584="","",F584-E584)</f>
        <v/>
      </c>
      <c r="H584" s="30">
        <f>IF(E584&gt;0,G584/E584*100,0)</f>
        <v/>
      </c>
      <c r="I584" s="8" t="n"/>
      <c r="J584" s="8">
        <f>IF(G584="","",G584*I584)</f>
        <v/>
      </c>
    </row>
    <row r="585">
      <c r="A585" s="38" t="n"/>
      <c r="G585">
        <f>IF(F585="","",F585-E585)</f>
        <v/>
      </c>
      <c r="H585" s="30">
        <f>IF(E585&gt;0,G585/E585*100,0)</f>
        <v/>
      </c>
      <c r="I585" s="8" t="n"/>
      <c r="J585" s="8">
        <f>IF(G585="","",G585*I585)</f>
        <v/>
      </c>
    </row>
    <row r="586">
      <c r="A586" s="38" t="n"/>
      <c r="G586">
        <f>IF(F586="","",F586-E586)</f>
        <v/>
      </c>
      <c r="H586" s="30">
        <f>IF(E586&gt;0,G586/E586*100,0)</f>
        <v/>
      </c>
      <c r="I586" s="8" t="n"/>
      <c r="J586" s="8">
        <f>IF(G586="","",G586*I586)</f>
        <v/>
      </c>
    </row>
    <row r="587">
      <c r="A587" s="38" t="n"/>
      <c r="G587">
        <f>IF(F587="","",F587-E587)</f>
        <v/>
      </c>
      <c r="H587" s="30">
        <f>IF(E587&gt;0,G587/E587*100,0)</f>
        <v/>
      </c>
      <c r="I587" s="8" t="n"/>
      <c r="J587" s="8">
        <f>IF(G587="","",G587*I587)</f>
        <v/>
      </c>
    </row>
    <row r="588">
      <c r="A588" s="38" t="n"/>
      <c r="G588">
        <f>IF(F588="","",F588-E588)</f>
        <v/>
      </c>
      <c r="H588" s="30">
        <f>IF(E588&gt;0,G588/E588*100,0)</f>
        <v/>
      </c>
      <c r="I588" s="8" t="n"/>
      <c r="J588" s="8">
        <f>IF(G588="","",G588*I588)</f>
        <v/>
      </c>
    </row>
    <row r="589">
      <c r="A589" s="38" t="n"/>
      <c r="G589">
        <f>IF(F589="","",F589-E589)</f>
        <v/>
      </c>
      <c r="H589" s="30">
        <f>IF(E589&gt;0,G589/E589*100,0)</f>
        <v/>
      </c>
      <c r="I589" s="8" t="n"/>
      <c r="J589" s="8">
        <f>IF(G589="","",G589*I589)</f>
        <v/>
      </c>
    </row>
    <row r="590">
      <c r="A590" s="38" t="n"/>
      <c r="G590">
        <f>IF(F590="","",F590-E590)</f>
        <v/>
      </c>
      <c r="H590" s="30">
        <f>IF(E590&gt;0,G590/E590*100,0)</f>
        <v/>
      </c>
      <c r="I590" s="8" t="n"/>
      <c r="J590" s="8">
        <f>IF(G590="","",G590*I590)</f>
        <v/>
      </c>
    </row>
    <row r="591">
      <c r="A591" s="38" t="n"/>
      <c r="G591">
        <f>IF(F591="","",F591-E591)</f>
        <v/>
      </c>
      <c r="H591" s="30">
        <f>IF(E591&gt;0,G591/E591*100,0)</f>
        <v/>
      </c>
      <c r="I591" s="8" t="n"/>
      <c r="J591" s="8">
        <f>IF(G591="","",G591*I591)</f>
        <v/>
      </c>
    </row>
    <row r="592">
      <c r="A592" s="38" t="n"/>
      <c r="G592">
        <f>IF(F592="","",F592-E592)</f>
        <v/>
      </c>
      <c r="H592" s="30">
        <f>IF(E592&gt;0,G592/E592*100,0)</f>
        <v/>
      </c>
      <c r="I592" s="8" t="n"/>
      <c r="J592" s="8">
        <f>IF(G592="","",G592*I592)</f>
        <v/>
      </c>
    </row>
    <row r="593">
      <c r="A593" s="38" t="n"/>
      <c r="G593">
        <f>IF(F593="","",F593-E593)</f>
        <v/>
      </c>
      <c r="H593" s="30">
        <f>IF(E593&gt;0,G593/E593*100,0)</f>
        <v/>
      </c>
      <c r="I593" s="8" t="n"/>
      <c r="J593" s="8">
        <f>IF(G593="","",G593*I593)</f>
        <v/>
      </c>
    </row>
    <row r="594">
      <c r="A594" s="38" t="n"/>
      <c r="G594">
        <f>IF(F594="","",F594-E594)</f>
        <v/>
      </c>
      <c r="H594" s="30">
        <f>IF(E594&gt;0,G594/E594*100,0)</f>
        <v/>
      </c>
      <c r="I594" s="8" t="n"/>
      <c r="J594" s="8">
        <f>IF(G594="","",G594*I594)</f>
        <v/>
      </c>
    </row>
    <row r="595">
      <c r="A595" s="38" t="n"/>
      <c r="G595">
        <f>IF(F595="","",F595-E595)</f>
        <v/>
      </c>
      <c r="H595" s="30">
        <f>IF(E595&gt;0,G595/E595*100,0)</f>
        <v/>
      </c>
      <c r="I595" s="8" t="n"/>
      <c r="J595" s="8">
        <f>IF(G595="","",G595*I595)</f>
        <v/>
      </c>
    </row>
    <row r="596">
      <c r="A596" s="38" t="n"/>
      <c r="G596">
        <f>IF(F596="","",F596-E596)</f>
        <v/>
      </c>
      <c r="H596" s="30">
        <f>IF(E596&gt;0,G596/E596*100,0)</f>
        <v/>
      </c>
      <c r="I596" s="8" t="n"/>
      <c r="J596" s="8">
        <f>IF(G596="","",G596*I596)</f>
        <v/>
      </c>
    </row>
    <row r="597">
      <c r="A597" s="38" t="n"/>
      <c r="G597">
        <f>IF(F597="","",F597-E597)</f>
        <v/>
      </c>
      <c r="H597" s="30">
        <f>IF(E597&gt;0,G597/E597*100,0)</f>
        <v/>
      </c>
      <c r="I597" s="8" t="n"/>
      <c r="J597" s="8">
        <f>IF(G597="","",G597*I597)</f>
        <v/>
      </c>
    </row>
    <row r="598">
      <c r="A598" s="38" t="n"/>
      <c r="G598">
        <f>IF(F598="","",F598-E598)</f>
        <v/>
      </c>
      <c r="H598" s="30">
        <f>IF(E598&gt;0,G598/E598*100,0)</f>
        <v/>
      </c>
      <c r="I598" s="8" t="n"/>
      <c r="J598" s="8">
        <f>IF(G598="","",G598*I598)</f>
        <v/>
      </c>
    </row>
    <row r="599">
      <c r="A599" s="38" t="n"/>
      <c r="G599">
        <f>IF(F599="","",F599-E599)</f>
        <v/>
      </c>
      <c r="H599" s="30">
        <f>IF(E599&gt;0,G599/E599*100,0)</f>
        <v/>
      </c>
      <c r="I599" s="8" t="n"/>
      <c r="J599" s="8">
        <f>IF(G599="","",G599*I599)</f>
        <v/>
      </c>
    </row>
    <row r="600">
      <c r="A600" s="38" t="n"/>
      <c r="G600">
        <f>IF(F600="","",F600-E600)</f>
        <v/>
      </c>
      <c r="H600" s="30">
        <f>IF(E600&gt;0,G600/E600*100,0)</f>
        <v/>
      </c>
      <c r="I600" s="8" t="n"/>
      <c r="J600" s="8">
        <f>IF(G600="","",G600*I600)</f>
        <v/>
      </c>
    </row>
    <row r="601">
      <c r="A601" s="38" t="n"/>
      <c r="G601">
        <f>IF(F601="","",F601-E601)</f>
        <v/>
      </c>
      <c r="H601" s="30">
        <f>IF(E601&gt;0,G601/E601*100,0)</f>
        <v/>
      </c>
      <c r="I601" s="8" t="n"/>
      <c r="J601" s="8">
        <f>IF(G601="","",G601*I601)</f>
        <v/>
      </c>
    </row>
    <row r="602">
      <c r="A602" s="38" t="n"/>
      <c r="G602">
        <f>IF(F602="","",F602-E602)</f>
        <v/>
      </c>
      <c r="H602" s="30">
        <f>IF(E602&gt;0,G602/E602*100,0)</f>
        <v/>
      </c>
      <c r="I602" s="8" t="n"/>
      <c r="J602" s="8">
        <f>IF(G602="","",G602*I602)</f>
        <v/>
      </c>
    </row>
    <row r="603">
      <c r="A603" s="38" t="n"/>
      <c r="G603">
        <f>IF(F603="","",F603-E603)</f>
        <v/>
      </c>
      <c r="H603" s="30">
        <f>IF(E603&gt;0,G603/E603*100,0)</f>
        <v/>
      </c>
      <c r="I603" s="8" t="n"/>
      <c r="J603" s="8">
        <f>IF(G603="","",G603*I603)</f>
        <v/>
      </c>
    </row>
    <row r="604">
      <c r="A604" s="38" t="n"/>
      <c r="G604">
        <f>IF(F604="","",F604-E604)</f>
        <v/>
      </c>
      <c r="H604" s="30">
        <f>IF(E604&gt;0,G604/E604*100,0)</f>
        <v/>
      </c>
      <c r="I604" s="8" t="n"/>
      <c r="J604" s="8">
        <f>IF(G604="","",G604*I604)</f>
        <v/>
      </c>
    </row>
    <row r="605">
      <c r="A605" s="38" t="n"/>
      <c r="G605">
        <f>IF(F605="","",F605-E605)</f>
        <v/>
      </c>
      <c r="H605" s="30">
        <f>IF(E605&gt;0,G605/E605*100,0)</f>
        <v/>
      </c>
      <c r="I605" s="8" t="n"/>
      <c r="J605" s="8">
        <f>IF(G605="","",G605*I605)</f>
        <v/>
      </c>
    </row>
    <row r="606">
      <c r="A606" s="38" t="n"/>
      <c r="G606">
        <f>IF(F606="","",F606-E606)</f>
        <v/>
      </c>
      <c r="H606" s="30">
        <f>IF(E606&gt;0,G606/E606*100,0)</f>
        <v/>
      </c>
      <c r="I606" s="8" t="n"/>
      <c r="J606" s="8">
        <f>IF(G606="","",G606*I606)</f>
        <v/>
      </c>
    </row>
    <row r="607">
      <c r="A607" s="38" t="n"/>
      <c r="G607">
        <f>IF(F607="","",F607-E607)</f>
        <v/>
      </c>
      <c r="H607" s="30">
        <f>IF(E607&gt;0,G607/E607*100,0)</f>
        <v/>
      </c>
      <c r="I607" s="8" t="n"/>
      <c r="J607" s="8">
        <f>IF(G607="","",G607*I607)</f>
        <v/>
      </c>
    </row>
    <row r="608">
      <c r="A608" s="38" t="n"/>
      <c r="G608">
        <f>IF(F608="","",F608-E608)</f>
        <v/>
      </c>
      <c r="H608" s="30">
        <f>IF(E608&gt;0,G608/E608*100,0)</f>
        <v/>
      </c>
      <c r="I608" s="8" t="n"/>
      <c r="J608" s="8">
        <f>IF(G608="","",G608*I608)</f>
        <v/>
      </c>
    </row>
    <row r="609">
      <c r="A609" s="38" t="n"/>
      <c r="G609">
        <f>IF(F609="","",F609-E609)</f>
        <v/>
      </c>
      <c r="H609" s="30">
        <f>IF(E609&gt;0,G609/E609*100,0)</f>
        <v/>
      </c>
      <c r="I609" s="8" t="n"/>
      <c r="J609" s="8">
        <f>IF(G609="","",G609*I609)</f>
        <v/>
      </c>
    </row>
    <row r="610">
      <c r="A610" s="38" t="n"/>
      <c r="G610">
        <f>IF(F610="","",F610-E610)</f>
        <v/>
      </c>
      <c r="H610" s="30">
        <f>IF(E610&gt;0,G610/E610*100,0)</f>
        <v/>
      </c>
      <c r="I610" s="8" t="n"/>
      <c r="J610" s="8">
        <f>IF(G610="","",G610*I610)</f>
        <v/>
      </c>
    </row>
    <row r="611">
      <c r="A611" s="38" t="n"/>
      <c r="G611">
        <f>IF(F611="","",F611-E611)</f>
        <v/>
      </c>
      <c r="H611" s="30">
        <f>IF(E611&gt;0,G611/E611*100,0)</f>
        <v/>
      </c>
      <c r="I611" s="8" t="n"/>
      <c r="J611" s="8">
        <f>IF(G611="","",G611*I611)</f>
        <v/>
      </c>
    </row>
    <row r="612">
      <c r="A612" s="38" t="n"/>
      <c r="G612">
        <f>IF(F612="","",F612-E612)</f>
        <v/>
      </c>
      <c r="H612" s="30">
        <f>IF(E612&gt;0,G612/E612*100,0)</f>
        <v/>
      </c>
      <c r="I612" s="8" t="n"/>
      <c r="J612" s="8">
        <f>IF(G612="","",G612*I612)</f>
        <v/>
      </c>
    </row>
    <row r="613">
      <c r="A613" s="38" t="n"/>
      <c r="G613">
        <f>IF(F613="","",F613-E613)</f>
        <v/>
      </c>
      <c r="H613" s="30">
        <f>IF(E613&gt;0,G613/E613*100,0)</f>
        <v/>
      </c>
      <c r="I613" s="8" t="n"/>
      <c r="J613" s="8">
        <f>IF(G613="","",G613*I613)</f>
        <v/>
      </c>
    </row>
    <row r="614">
      <c r="A614" s="38" t="n"/>
      <c r="G614">
        <f>IF(F614="","",F614-E614)</f>
        <v/>
      </c>
      <c r="H614" s="30">
        <f>IF(E614&gt;0,G614/E614*100,0)</f>
        <v/>
      </c>
      <c r="I614" s="8" t="n"/>
      <c r="J614" s="8">
        <f>IF(G614="","",G614*I614)</f>
        <v/>
      </c>
    </row>
    <row r="615">
      <c r="A615" s="38" t="n"/>
      <c r="G615">
        <f>IF(F615="","",F615-E615)</f>
        <v/>
      </c>
      <c r="H615" s="30">
        <f>IF(E615&gt;0,G615/E615*100,0)</f>
        <v/>
      </c>
      <c r="I615" s="8" t="n"/>
      <c r="J615" s="8">
        <f>IF(G615="","",G615*I615)</f>
        <v/>
      </c>
    </row>
    <row r="616">
      <c r="A616" s="38" t="n"/>
      <c r="G616">
        <f>IF(F616="","",F616-E616)</f>
        <v/>
      </c>
      <c r="H616" s="30">
        <f>IF(E616&gt;0,G616/E616*100,0)</f>
        <v/>
      </c>
      <c r="I616" s="8" t="n"/>
      <c r="J616" s="8">
        <f>IF(G616="","",G616*I616)</f>
        <v/>
      </c>
    </row>
    <row r="617">
      <c r="A617" s="38" t="n"/>
      <c r="G617">
        <f>IF(F617="","",F617-E617)</f>
        <v/>
      </c>
      <c r="H617" s="30">
        <f>IF(E617&gt;0,G617/E617*100,0)</f>
        <v/>
      </c>
      <c r="I617" s="8" t="n"/>
      <c r="J617" s="8">
        <f>IF(G617="","",G617*I617)</f>
        <v/>
      </c>
    </row>
    <row r="618">
      <c r="A618" s="38" t="n"/>
      <c r="G618">
        <f>IF(F618="","",F618-E618)</f>
        <v/>
      </c>
      <c r="H618" s="30">
        <f>IF(E618&gt;0,G618/E618*100,0)</f>
        <v/>
      </c>
      <c r="I618" s="8" t="n"/>
      <c r="J618" s="8">
        <f>IF(G618="","",G618*I618)</f>
        <v/>
      </c>
    </row>
    <row r="619">
      <c r="A619" s="38" t="n"/>
      <c r="G619">
        <f>IF(F619="","",F619-E619)</f>
        <v/>
      </c>
      <c r="H619" s="30">
        <f>IF(E619&gt;0,G619/E619*100,0)</f>
        <v/>
      </c>
      <c r="I619" s="8" t="n"/>
      <c r="J619" s="8">
        <f>IF(G619="","",G619*I619)</f>
        <v/>
      </c>
    </row>
    <row r="620">
      <c r="A620" s="38" t="n"/>
      <c r="G620">
        <f>IF(F620="","",F620-E620)</f>
        <v/>
      </c>
      <c r="H620" s="30">
        <f>IF(E620&gt;0,G620/E620*100,0)</f>
        <v/>
      </c>
      <c r="I620" s="8" t="n"/>
      <c r="J620" s="8">
        <f>IF(G620="","",G620*I620)</f>
        <v/>
      </c>
    </row>
    <row r="621">
      <c r="A621" s="38" t="n"/>
      <c r="G621">
        <f>IF(F621="","",F621-E621)</f>
        <v/>
      </c>
      <c r="H621" s="30">
        <f>IF(E621&gt;0,G621/E621*100,0)</f>
        <v/>
      </c>
      <c r="I621" s="8" t="n"/>
      <c r="J621" s="8">
        <f>IF(G621="","",G621*I621)</f>
        <v/>
      </c>
    </row>
    <row r="622">
      <c r="A622" s="38" t="n"/>
      <c r="G622">
        <f>IF(F622="","",F622-E622)</f>
        <v/>
      </c>
      <c r="H622" s="30">
        <f>IF(E622&gt;0,G622/E622*100,0)</f>
        <v/>
      </c>
      <c r="I622" s="8" t="n"/>
      <c r="J622" s="8">
        <f>IF(G622="","",G622*I622)</f>
        <v/>
      </c>
    </row>
    <row r="623">
      <c r="A623" s="38" t="n"/>
      <c r="G623">
        <f>IF(F623="","",F623-E623)</f>
        <v/>
      </c>
      <c r="H623" s="30">
        <f>IF(E623&gt;0,G623/E623*100,0)</f>
        <v/>
      </c>
      <c r="I623" s="8" t="n"/>
      <c r="J623" s="8">
        <f>IF(G623="","",G623*I623)</f>
        <v/>
      </c>
    </row>
    <row r="624">
      <c r="A624" s="38" t="n"/>
      <c r="G624">
        <f>IF(F624="","",F624-E624)</f>
        <v/>
      </c>
      <c r="H624" s="30">
        <f>IF(E624&gt;0,G624/E624*100,0)</f>
        <v/>
      </c>
      <c r="I624" s="8" t="n"/>
      <c r="J624" s="8">
        <f>IF(G624="","",G624*I624)</f>
        <v/>
      </c>
    </row>
    <row r="625">
      <c r="A625" s="38" t="n"/>
      <c r="G625">
        <f>IF(F625="","",F625-E625)</f>
        <v/>
      </c>
      <c r="H625" s="30">
        <f>IF(E625&gt;0,G625/E625*100,0)</f>
        <v/>
      </c>
      <c r="I625" s="8" t="n"/>
      <c r="J625" s="8">
        <f>IF(G625="","",G625*I625)</f>
        <v/>
      </c>
    </row>
    <row r="626">
      <c r="A626" s="38" t="n"/>
      <c r="G626">
        <f>IF(F626="","",F626-E626)</f>
        <v/>
      </c>
      <c r="H626" s="30">
        <f>IF(E626&gt;0,G626/E626*100,0)</f>
        <v/>
      </c>
      <c r="I626" s="8" t="n"/>
      <c r="J626" s="8">
        <f>IF(G626="","",G626*I626)</f>
        <v/>
      </c>
    </row>
    <row r="627">
      <c r="A627" s="38" t="n"/>
      <c r="G627">
        <f>IF(F627="","",F627-E627)</f>
        <v/>
      </c>
      <c r="H627" s="30">
        <f>IF(E627&gt;0,G627/E627*100,0)</f>
        <v/>
      </c>
      <c r="I627" s="8" t="n"/>
      <c r="J627" s="8">
        <f>IF(G627="","",G627*I627)</f>
        <v/>
      </c>
    </row>
    <row r="628">
      <c r="A628" s="38" t="n"/>
      <c r="G628">
        <f>IF(F628="","",F628-E628)</f>
        <v/>
      </c>
      <c r="H628" s="30">
        <f>IF(E628&gt;0,G628/E628*100,0)</f>
        <v/>
      </c>
      <c r="I628" s="8" t="n"/>
      <c r="J628" s="8">
        <f>IF(G628="","",G628*I628)</f>
        <v/>
      </c>
    </row>
    <row r="629">
      <c r="A629" s="38" t="n"/>
      <c r="G629">
        <f>IF(F629="","",F629-E629)</f>
        <v/>
      </c>
      <c r="H629" s="30">
        <f>IF(E629&gt;0,G629/E629*100,0)</f>
        <v/>
      </c>
      <c r="I629" s="8" t="n"/>
      <c r="J629" s="8">
        <f>IF(G629="","",G629*I629)</f>
        <v/>
      </c>
    </row>
    <row r="630">
      <c r="A630" s="38" t="n"/>
      <c r="G630">
        <f>IF(F630="","",F630-E630)</f>
        <v/>
      </c>
      <c r="H630" s="30">
        <f>IF(E630&gt;0,G630/E630*100,0)</f>
        <v/>
      </c>
      <c r="I630" s="8" t="n"/>
      <c r="J630" s="8">
        <f>IF(G630="","",G630*I630)</f>
        <v/>
      </c>
    </row>
    <row r="631">
      <c r="A631" s="38" t="n"/>
      <c r="G631">
        <f>IF(F631="","",F631-E631)</f>
        <v/>
      </c>
      <c r="H631" s="30">
        <f>IF(E631&gt;0,G631/E631*100,0)</f>
        <v/>
      </c>
      <c r="I631" s="8" t="n"/>
      <c r="J631" s="8">
        <f>IF(G631="","",G631*I631)</f>
        <v/>
      </c>
    </row>
    <row r="632">
      <c r="A632" s="38" t="n"/>
      <c r="G632">
        <f>IF(F632="","",F632-E632)</f>
        <v/>
      </c>
      <c r="H632" s="30">
        <f>IF(E632&gt;0,G632/E632*100,0)</f>
        <v/>
      </c>
      <c r="I632" s="8" t="n"/>
      <c r="J632" s="8">
        <f>IF(G632="","",G632*I632)</f>
        <v/>
      </c>
    </row>
    <row r="633">
      <c r="A633" s="38" t="n"/>
      <c r="G633">
        <f>IF(F633="","",F633-E633)</f>
        <v/>
      </c>
      <c r="H633" s="30">
        <f>IF(E633&gt;0,G633/E633*100,0)</f>
        <v/>
      </c>
      <c r="I633" s="8" t="n"/>
      <c r="J633" s="8">
        <f>IF(G633="","",G633*I633)</f>
        <v/>
      </c>
    </row>
    <row r="634">
      <c r="A634" s="38" t="n"/>
      <c r="G634">
        <f>IF(F634="","",F634-E634)</f>
        <v/>
      </c>
      <c r="H634" s="30">
        <f>IF(E634&gt;0,G634/E634*100,0)</f>
        <v/>
      </c>
      <c r="I634" s="8" t="n"/>
      <c r="J634" s="8">
        <f>IF(G634="","",G634*I634)</f>
        <v/>
      </c>
    </row>
    <row r="635">
      <c r="A635" s="38" t="n"/>
      <c r="G635">
        <f>IF(F635="","",F635-E635)</f>
        <v/>
      </c>
      <c r="H635" s="30">
        <f>IF(E635&gt;0,G635/E635*100,0)</f>
        <v/>
      </c>
      <c r="I635" s="8" t="n"/>
      <c r="J635" s="8">
        <f>IF(G635="","",G635*I635)</f>
        <v/>
      </c>
    </row>
    <row r="636">
      <c r="A636" s="38" t="n"/>
      <c r="G636">
        <f>IF(F636="","",F636-E636)</f>
        <v/>
      </c>
      <c r="H636" s="30">
        <f>IF(E636&gt;0,G636/E636*100,0)</f>
        <v/>
      </c>
      <c r="I636" s="8" t="n"/>
      <c r="J636" s="8">
        <f>IF(G636="","",G636*I636)</f>
        <v/>
      </c>
    </row>
    <row r="637">
      <c r="A637" s="38" t="n"/>
      <c r="G637">
        <f>IF(F637="","",F637-E637)</f>
        <v/>
      </c>
      <c r="H637" s="30">
        <f>IF(E637&gt;0,G637/E637*100,0)</f>
        <v/>
      </c>
      <c r="I637" s="8" t="n"/>
      <c r="J637" s="8">
        <f>IF(G637="","",G637*I637)</f>
        <v/>
      </c>
    </row>
    <row r="638">
      <c r="A638" s="38" t="n"/>
      <c r="G638">
        <f>IF(F638="","",F638-E638)</f>
        <v/>
      </c>
      <c r="H638" s="30">
        <f>IF(E638&gt;0,G638/E638*100,0)</f>
        <v/>
      </c>
      <c r="I638" s="8" t="n"/>
      <c r="J638" s="8">
        <f>IF(G638="","",G638*I638)</f>
        <v/>
      </c>
    </row>
    <row r="639">
      <c r="A639" s="38" t="n"/>
      <c r="G639">
        <f>IF(F639="","",F639-E639)</f>
        <v/>
      </c>
      <c r="H639" s="30">
        <f>IF(E639&gt;0,G639/E639*100,0)</f>
        <v/>
      </c>
      <c r="I639" s="8" t="n"/>
      <c r="J639" s="8">
        <f>IF(G639="","",G639*I639)</f>
        <v/>
      </c>
    </row>
    <row r="640">
      <c r="A640" s="38" t="n"/>
      <c r="G640">
        <f>IF(F640="","",F640-E640)</f>
        <v/>
      </c>
      <c r="H640" s="30">
        <f>IF(E640&gt;0,G640/E640*100,0)</f>
        <v/>
      </c>
      <c r="I640" s="8" t="n"/>
      <c r="J640" s="8">
        <f>IF(G640="","",G640*I640)</f>
        <v/>
      </c>
    </row>
    <row r="641">
      <c r="A641" s="38" t="n"/>
      <c r="G641">
        <f>IF(F641="","",F641-E641)</f>
        <v/>
      </c>
      <c r="H641" s="30">
        <f>IF(E641&gt;0,G641/E641*100,0)</f>
        <v/>
      </c>
      <c r="I641" s="8" t="n"/>
      <c r="J641" s="8">
        <f>IF(G641="","",G641*I641)</f>
        <v/>
      </c>
    </row>
    <row r="642">
      <c r="A642" s="38" t="n"/>
      <c r="G642">
        <f>IF(F642="","",F642-E642)</f>
        <v/>
      </c>
      <c r="H642" s="30">
        <f>IF(E642&gt;0,G642/E642*100,0)</f>
        <v/>
      </c>
      <c r="I642" s="8" t="n"/>
      <c r="J642" s="8">
        <f>IF(G642="","",G642*I642)</f>
        <v/>
      </c>
    </row>
    <row r="643">
      <c r="A643" s="38" t="n"/>
      <c r="G643">
        <f>IF(F643="","",F643-E643)</f>
        <v/>
      </c>
      <c r="H643" s="30">
        <f>IF(E643&gt;0,G643/E643*100,0)</f>
        <v/>
      </c>
      <c r="I643" s="8" t="n"/>
      <c r="J643" s="8">
        <f>IF(G643="","",G643*I643)</f>
        <v/>
      </c>
    </row>
    <row r="644">
      <c r="A644" s="38" t="n"/>
      <c r="G644">
        <f>IF(F644="","",F644-E644)</f>
        <v/>
      </c>
      <c r="H644" s="30">
        <f>IF(E644&gt;0,G644/E644*100,0)</f>
        <v/>
      </c>
      <c r="I644" s="8" t="n"/>
      <c r="J644" s="8">
        <f>IF(G644="","",G644*I644)</f>
        <v/>
      </c>
    </row>
    <row r="645">
      <c r="A645" s="38" t="n"/>
      <c r="G645">
        <f>IF(F645="","",F645-E645)</f>
        <v/>
      </c>
      <c r="H645" s="30">
        <f>IF(E645&gt;0,G645/E645*100,0)</f>
        <v/>
      </c>
      <c r="I645" s="8" t="n"/>
      <c r="J645" s="8">
        <f>IF(G645="","",G645*I645)</f>
        <v/>
      </c>
    </row>
    <row r="646">
      <c r="A646" s="38" t="n"/>
      <c r="G646">
        <f>IF(F646="","",F646-E646)</f>
        <v/>
      </c>
      <c r="H646" s="30">
        <f>IF(E646&gt;0,G646/E646*100,0)</f>
        <v/>
      </c>
      <c r="I646" s="8" t="n"/>
      <c r="J646" s="8">
        <f>IF(G646="","",G646*I646)</f>
        <v/>
      </c>
    </row>
    <row r="647">
      <c r="A647" s="38" t="n"/>
      <c r="G647">
        <f>IF(F647="","",F647-E647)</f>
        <v/>
      </c>
      <c r="H647" s="30">
        <f>IF(E647&gt;0,G647/E647*100,0)</f>
        <v/>
      </c>
      <c r="I647" s="8" t="n"/>
      <c r="J647" s="8">
        <f>IF(G647="","",G647*I647)</f>
        <v/>
      </c>
    </row>
    <row r="648">
      <c r="A648" s="38" t="n"/>
      <c r="G648">
        <f>IF(F648="","",F648-E648)</f>
        <v/>
      </c>
      <c r="H648" s="30">
        <f>IF(E648&gt;0,G648/E648*100,0)</f>
        <v/>
      </c>
      <c r="I648" s="8" t="n"/>
      <c r="J648" s="8">
        <f>IF(G648="","",G648*I648)</f>
        <v/>
      </c>
    </row>
    <row r="649">
      <c r="A649" s="38" t="n"/>
      <c r="G649">
        <f>IF(F649="","",F649-E649)</f>
        <v/>
      </c>
      <c r="H649" s="30">
        <f>IF(E649&gt;0,G649/E649*100,0)</f>
        <v/>
      </c>
      <c r="I649" s="8" t="n"/>
      <c r="J649" s="8">
        <f>IF(G649="","",G649*I649)</f>
        <v/>
      </c>
    </row>
    <row r="650">
      <c r="A650" s="38" t="n"/>
      <c r="G650">
        <f>IF(F650="","",F650-E650)</f>
        <v/>
      </c>
      <c r="H650" s="30">
        <f>IF(E650&gt;0,G650/E650*100,0)</f>
        <v/>
      </c>
      <c r="I650" s="8" t="n"/>
      <c r="J650" s="8">
        <f>IF(G650="","",G650*I650)</f>
        <v/>
      </c>
    </row>
    <row r="651">
      <c r="A651" s="38" t="n"/>
      <c r="G651">
        <f>IF(F651="","",F651-E651)</f>
        <v/>
      </c>
      <c r="H651" s="30">
        <f>IF(E651&gt;0,G651/E651*100,0)</f>
        <v/>
      </c>
      <c r="I651" s="8" t="n"/>
      <c r="J651" s="8">
        <f>IF(G651="","",G651*I651)</f>
        <v/>
      </c>
    </row>
    <row r="652">
      <c r="A652" s="38" t="n"/>
      <c r="G652">
        <f>IF(F652="","",F652-E652)</f>
        <v/>
      </c>
      <c r="H652" s="30">
        <f>IF(E652&gt;0,G652/E652*100,0)</f>
        <v/>
      </c>
      <c r="I652" s="8" t="n"/>
      <c r="J652" s="8">
        <f>IF(G652="","",G652*I652)</f>
        <v/>
      </c>
    </row>
    <row r="653">
      <c r="A653" s="38" t="n"/>
      <c r="G653">
        <f>IF(F653="","",F653-E653)</f>
        <v/>
      </c>
      <c r="H653" s="30">
        <f>IF(E653&gt;0,G653/E653*100,0)</f>
        <v/>
      </c>
      <c r="I653" s="8" t="n"/>
      <c r="J653" s="8">
        <f>IF(G653="","",G653*I653)</f>
        <v/>
      </c>
    </row>
    <row r="654">
      <c r="A654" s="38" t="n"/>
      <c r="G654">
        <f>IF(F654="","",F654-E654)</f>
        <v/>
      </c>
      <c r="H654" s="30">
        <f>IF(E654&gt;0,G654/E654*100,0)</f>
        <v/>
      </c>
      <c r="I654" s="8" t="n"/>
      <c r="J654" s="8">
        <f>IF(G654="","",G654*I654)</f>
        <v/>
      </c>
    </row>
    <row r="655">
      <c r="A655" s="38" t="n"/>
      <c r="G655">
        <f>IF(F655="","",F655-E655)</f>
        <v/>
      </c>
      <c r="H655" s="30">
        <f>IF(E655&gt;0,G655/E655*100,0)</f>
        <v/>
      </c>
      <c r="I655" s="8" t="n"/>
      <c r="J655" s="8">
        <f>IF(G655="","",G655*I655)</f>
        <v/>
      </c>
    </row>
    <row r="656">
      <c r="A656" s="38" t="n"/>
      <c r="G656">
        <f>IF(F656="","",F656-E656)</f>
        <v/>
      </c>
      <c r="H656" s="30">
        <f>IF(E656&gt;0,G656/E656*100,0)</f>
        <v/>
      </c>
      <c r="I656" s="8" t="n"/>
      <c r="J656" s="8">
        <f>IF(G656="","",G656*I656)</f>
        <v/>
      </c>
    </row>
    <row r="657">
      <c r="A657" s="38" t="n"/>
      <c r="G657">
        <f>IF(F657="","",F657-E657)</f>
        <v/>
      </c>
      <c r="H657" s="30">
        <f>IF(E657&gt;0,G657/E657*100,0)</f>
        <v/>
      </c>
      <c r="I657" s="8" t="n"/>
      <c r="J657" s="8">
        <f>IF(G657="","",G657*I657)</f>
        <v/>
      </c>
    </row>
    <row r="658">
      <c r="A658" s="38" t="n"/>
      <c r="G658">
        <f>IF(F658="","",F658-E658)</f>
        <v/>
      </c>
      <c r="H658" s="30">
        <f>IF(E658&gt;0,G658/E658*100,0)</f>
        <v/>
      </c>
      <c r="I658" s="8" t="n"/>
      <c r="J658" s="8">
        <f>IF(G658="","",G658*I658)</f>
        <v/>
      </c>
    </row>
    <row r="659">
      <c r="A659" s="38" t="n"/>
      <c r="G659">
        <f>IF(F659="","",F659-E659)</f>
        <v/>
      </c>
      <c r="H659" s="30">
        <f>IF(E659&gt;0,G659/E659*100,0)</f>
        <v/>
      </c>
      <c r="I659" s="8" t="n"/>
      <c r="J659" s="8">
        <f>IF(G659="","",G659*I659)</f>
        <v/>
      </c>
    </row>
    <row r="660">
      <c r="A660" s="38" t="n"/>
      <c r="G660">
        <f>IF(F660="","",F660-E660)</f>
        <v/>
      </c>
      <c r="H660" s="30">
        <f>IF(E660&gt;0,G660/E660*100,0)</f>
        <v/>
      </c>
      <c r="I660" s="8" t="n"/>
      <c r="J660" s="8">
        <f>IF(G660="","",G660*I660)</f>
        <v/>
      </c>
    </row>
    <row r="661">
      <c r="A661" s="38" t="n"/>
      <c r="G661">
        <f>IF(F661="","",F661-E661)</f>
        <v/>
      </c>
      <c r="H661" s="30">
        <f>IF(E661&gt;0,G661/E661*100,0)</f>
        <v/>
      </c>
      <c r="I661" s="8" t="n"/>
      <c r="J661" s="8">
        <f>IF(G661="","",G661*I661)</f>
        <v/>
      </c>
    </row>
    <row r="662">
      <c r="A662" s="38" t="n"/>
      <c r="G662">
        <f>IF(F662="","",F662-E662)</f>
        <v/>
      </c>
      <c r="H662" s="30">
        <f>IF(E662&gt;0,G662/E662*100,0)</f>
        <v/>
      </c>
      <c r="I662" s="8" t="n"/>
      <c r="J662" s="8">
        <f>IF(G662="","",G662*I662)</f>
        <v/>
      </c>
    </row>
    <row r="663">
      <c r="A663" s="38" t="n"/>
      <c r="G663">
        <f>IF(F663="","",F663-E663)</f>
        <v/>
      </c>
      <c r="H663" s="30">
        <f>IF(E663&gt;0,G663/E663*100,0)</f>
        <v/>
      </c>
      <c r="I663" s="8" t="n"/>
      <c r="J663" s="8">
        <f>IF(G663="","",G663*I663)</f>
        <v/>
      </c>
    </row>
    <row r="664">
      <c r="A664" s="38" t="n"/>
      <c r="G664">
        <f>IF(F664="","",F664-E664)</f>
        <v/>
      </c>
      <c r="H664" s="30">
        <f>IF(E664&gt;0,G664/E664*100,0)</f>
        <v/>
      </c>
      <c r="I664" s="8" t="n"/>
      <c r="J664" s="8">
        <f>IF(G664="","",G664*I664)</f>
        <v/>
      </c>
    </row>
    <row r="665">
      <c r="A665" s="38" t="n"/>
      <c r="G665">
        <f>IF(F665="","",F665-E665)</f>
        <v/>
      </c>
      <c r="H665" s="30">
        <f>IF(E665&gt;0,G665/E665*100,0)</f>
        <v/>
      </c>
      <c r="I665" s="8" t="n"/>
      <c r="J665" s="8">
        <f>IF(G665="","",G665*I665)</f>
        <v/>
      </c>
    </row>
    <row r="666">
      <c r="A666" s="38" t="n"/>
      <c r="G666">
        <f>IF(F666="","",F666-E666)</f>
        <v/>
      </c>
      <c r="H666" s="30">
        <f>IF(E666&gt;0,G666/E666*100,0)</f>
        <v/>
      </c>
      <c r="I666" s="8" t="n"/>
      <c r="J666" s="8">
        <f>IF(G666="","",G666*I666)</f>
        <v/>
      </c>
    </row>
    <row r="667">
      <c r="A667" s="38" t="n"/>
      <c r="G667">
        <f>IF(F667="","",F667-E667)</f>
        <v/>
      </c>
      <c r="H667" s="30">
        <f>IF(E667&gt;0,G667/E667*100,0)</f>
        <v/>
      </c>
      <c r="I667" s="8" t="n"/>
      <c r="J667" s="8">
        <f>IF(G667="","",G667*I667)</f>
        <v/>
      </c>
    </row>
    <row r="668">
      <c r="A668" s="38" t="n"/>
      <c r="G668">
        <f>IF(F668="","",F668-E668)</f>
        <v/>
      </c>
      <c r="H668" s="30">
        <f>IF(E668&gt;0,G668/E668*100,0)</f>
        <v/>
      </c>
      <c r="I668" s="8" t="n"/>
      <c r="J668" s="8">
        <f>IF(G668="","",G668*I668)</f>
        <v/>
      </c>
    </row>
    <row r="669">
      <c r="A669" s="38" t="n"/>
      <c r="G669">
        <f>IF(F669="","",F669-E669)</f>
        <v/>
      </c>
      <c r="H669" s="30">
        <f>IF(E669&gt;0,G669/E669*100,0)</f>
        <v/>
      </c>
      <c r="I669" s="8" t="n"/>
      <c r="J669" s="8">
        <f>IF(G669="","",G669*I669)</f>
        <v/>
      </c>
    </row>
    <row r="670">
      <c r="A670" s="38" t="n"/>
      <c r="G670">
        <f>IF(F670="","",F670-E670)</f>
        <v/>
      </c>
      <c r="H670" s="30">
        <f>IF(E670&gt;0,G670/E670*100,0)</f>
        <v/>
      </c>
      <c r="I670" s="8" t="n"/>
      <c r="J670" s="8">
        <f>IF(G670="","",G670*I670)</f>
        <v/>
      </c>
    </row>
    <row r="671">
      <c r="A671" s="38" t="n"/>
      <c r="G671">
        <f>IF(F671="","",F671-E671)</f>
        <v/>
      </c>
      <c r="H671" s="30">
        <f>IF(E671&gt;0,G671/E671*100,0)</f>
        <v/>
      </c>
      <c r="I671" s="8" t="n"/>
      <c r="J671" s="8">
        <f>IF(G671="","",G671*I671)</f>
        <v/>
      </c>
    </row>
    <row r="672">
      <c r="A672" s="38" t="n"/>
      <c r="G672">
        <f>IF(F672="","",F672-E672)</f>
        <v/>
      </c>
      <c r="H672" s="30">
        <f>IF(E672&gt;0,G672/E672*100,0)</f>
        <v/>
      </c>
      <c r="I672" s="8" t="n"/>
      <c r="J672" s="8">
        <f>IF(G672="","",G672*I672)</f>
        <v/>
      </c>
    </row>
    <row r="673">
      <c r="A673" s="38" t="n"/>
      <c r="G673">
        <f>IF(F673="","",F673-E673)</f>
        <v/>
      </c>
      <c r="H673" s="30">
        <f>IF(E673&gt;0,G673/E673*100,0)</f>
        <v/>
      </c>
      <c r="I673" s="8" t="n"/>
      <c r="J673" s="8">
        <f>IF(G673="","",G673*I673)</f>
        <v/>
      </c>
    </row>
    <row r="674">
      <c r="A674" s="38" t="n"/>
      <c r="G674">
        <f>IF(F674="","",F674-E674)</f>
        <v/>
      </c>
      <c r="H674" s="30">
        <f>IF(E674&gt;0,G674/E674*100,0)</f>
        <v/>
      </c>
      <c r="I674" s="8" t="n"/>
      <c r="J674" s="8">
        <f>IF(G674="","",G674*I674)</f>
        <v/>
      </c>
    </row>
    <row r="675">
      <c r="A675" s="38" t="n"/>
      <c r="G675">
        <f>IF(F675="","",F675-E675)</f>
        <v/>
      </c>
      <c r="H675" s="30">
        <f>IF(E675&gt;0,G675/E675*100,0)</f>
        <v/>
      </c>
      <c r="I675" s="8" t="n"/>
      <c r="J675" s="8">
        <f>IF(G675="","",G675*I675)</f>
        <v/>
      </c>
    </row>
    <row r="676">
      <c r="A676" s="38" t="n"/>
      <c r="G676">
        <f>IF(F676="","",F676-E676)</f>
        <v/>
      </c>
      <c r="H676" s="30">
        <f>IF(E676&gt;0,G676/E676*100,0)</f>
        <v/>
      </c>
      <c r="I676" s="8" t="n"/>
      <c r="J676" s="8">
        <f>IF(G676="","",G676*I676)</f>
        <v/>
      </c>
    </row>
    <row r="677">
      <c r="A677" s="38" t="n"/>
      <c r="G677">
        <f>IF(F677="","",F677-E677)</f>
        <v/>
      </c>
      <c r="H677" s="30">
        <f>IF(E677&gt;0,G677/E677*100,0)</f>
        <v/>
      </c>
      <c r="I677" s="8" t="n"/>
      <c r="J677" s="8">
        <f>IF(G677="","",G677*I677)</f>
        <v/>
      </c>
    </row>
    <row r="678">
      <c r="A678" s="38" t="n"/>
      <c r="G678">
        <f>IF(F678="","",F678-E678)</f>
        <v/>
      </c>
      <c r="H678" s="30">
        <f>IF(E678&gt;0,G678/E678*100,0)</f>
        <v/>
      </c>
      <c r="I678" s="8" t="n"/>
      <c r="J678" s="8">
        <f>IF(G678="","",G678*I678)</f>
        <v/>
      </c>
    </row>
    <row r="679">
      <c r="A679" s="38" t="n"/>
      <c r="G679">
        <f>IF(F679="","",F679-E679)</f>
        <v/>
      </c>
      <c r="H679" s="30">
        <f>IF(E679&gt;0,G679/E679*100,0)</f>
        <v/>
      </c>
      <c r="I679" s="8" t="n"/>
      <c r="J679" s="8">
        <f>IF(G679="","",G679*I679)</f>
        <v/>
      </c>
    </row>
    <row r="680">
      <c r="A680" s="38" t="n"/>
      <c r="G680">
        <f>IF(F680="","",F680-E680)</f>
        <v/>
      </c>
      <c r="H680" s="30">
        <f>IF(E680&gt;0,G680/E680*100,0)</f>
        <v/>
      </c>
      <c r="I680" s="8" t="n"/>
      <c r="J680" s="8">
        <f>IF(G680="","",G680*I680)</f>
        <v/>
      </c>
    </row>
    <row r="681">
      <c r="A681" s="38" t="n"/>
      <c r="G681">
        <f>IF(F681="","",F681-E681)</f>
        <v/>
      </c>
      <c r="H681" s="30">
        <f>IF(E681&gt;0,G681/E681*100,0)</f>
        <v/>
      </c>
      <c r="I681" s="8" t="n"/>
      <c r="J681" s="8">
        <f>IF(G681="","",G681*I681)</f>
        <v/>
      </c>
    </row>
    <row r="682">
      <c r="A682" s="38" t="n"/>
      <c r="G682">
        <f>IF(F682="","",F682-E682)</f>
        <v/>
      </c>
      <c r="H682" s="30">
        <f>IF(E682&gt;0,G682/E682*100,0)</f>
        <v/>
      </c>
      <c r="I682" s="8" t="n"/>
      <c r="J682" s="8">
        <f>IF(G682="","",G682*I682)</f>
        <v/>
      </c>
    </row>
    <row r="683">
      <c r="A683" s="38" t="n"/>
      <c r="G683">
        <f>IF(F683="","",F683-E683)</f>
        <v/>
      </c>
      <c r="H683" s="30">
        <f>IF(E683&gt;0,G683/E683*100,0)</f>
        <v/>
      </c>
      <c r="I683" s="8" t="n"/>
      <c r="J683" s="8">
        <f>IF(G683="","",G683*I683)</f>
        <v/>
      </c>
    </row>
    <row r="684">
      <c r="A684" s="38" t="n"/>
      <c r="G684">
        <f>IF(F684="","",F684-E684)</f>
        <v/>
      </c>
      <c r="H684" s="30">
        <f>IF(E684&gt;0,G684/E684*100,0)</f>
        <v/>
      </c>
      <c r="I684" s="8" t="n"/>
      <c r="J684" s="8">
        <f>IF(G684="","",G684*I684)</f>
        <v/>
      </c>
    </row>
    <row r="685">
      <c r="A685" s="38" t="n"/>
      <c r="G685">
        <f>IF(F685="","",F685-E685)</f>
        <v/>
      </c>
      <c r="H685" s="30">
        <f>IF(E685&gt;0,G685/E685*100,0)</f>
        <v/>
      </c>
      <c r="I685" s="8" t="n"/>
      <c r="J685" s="8">
        <f>IF(G685="","",G685*I685)</f>
        <v/>
      </c>
    </row>
    <row r="686">
      <c r="A686" s="38" t="n"/>
      <c r="G686">
        <f>IF(F686="","",F686-E686)</f>
        <v/>
      </c>
      <c r="H686" s="30">
        <f>IF(E686&gt;0,G686/E686*100,0)</f>
        <v/>
      </c>
      <c r="I686" s="8" t="n"/>
      <c r="J686" s="8">
        <f>IF(G686="","",G686*I686)</f>
        <v/>
      </c>
    </row>
    <row r="687">
      <c r="A687" s="38" t="n"/>
      <c r="G687">
        <f>IF(F687="","",F687-E687)</f>
        <v/>
      </c>
      <c r="H687" s="30">
        <f>IF(E687&gt;0,G687/E687*100,0)</f>
        <v/>
      </c>
      <c r="I687" s="8" t="n"/>
      <c r="J687" s="8">
        <f>IF(G687="","",G687*I687)</f>
        <v/>
      </c>
    </row>
    <row r="688">
      <c r="A688" s="38" t="n"/>
      <c r="G688">
        <f>IF(F688="","",F688-E688)</f>
        <v/>
      </c>
      <c r="H688" s="30">
        <f>IF(E688&gt;0,G688/E688*100,0)</f>
        <v/>
      </c>
      <c r="I688" s="8" t="n"/>
      <c r="J688" s="8">
        <f>IF(G688="","",G688*I688)</f>
        <v/>
      </c>
    </row>
    <row r="689">
      <c r="A689" s="38" t="n"/>
      <c r="G689">
        <f>IF(F689="","",F689-E689)</f>
        <v/>
      </c>
      <c r="H689" s="30">
        <f>IF(E689&gt;0,G689/E689*100,0)</f>
        <v/>
      </c>
      <c r="I689" s="8" t="n"/>
      <c r="J689" s="8">
        <f>IF(G689="","",G689*I689)</f>
        <v/>
      </c>
    </row>
    <row r="690">
      <c r="A690" s="38" t="n"/>
      <c r="G690">
        <f>IF(F690="","",F690-E690)</f>
        <v/>
      </c>
      <c r="H690" s="30">
        <f>IF(E690&gt;0,G690/E690*100,0)</f>
        <v/>
      </c>
      <c r="I690" s="8" t="n"/>
      <c r="J690" s="8">
        <f>IF(G690="","",G690*I690)</f>
        <v/>
      </c>
    </row>
    <row r="691">
      <c r="A691" s="38" t="n"/>
      <c r="G691">
        <f>IF(F691="","",F691-E691)</f>
        <v/>
      </c>
      <c r="H691" s="30">
        <f>IF(E691&gt;0,G691/E691*100,0)</f>
        <v/>
      </c>
      <c r="I691" s="8" t="n"/>
      <c r="J691" s="8">
        <f>IF(G691="","",G691*I691)</f>
        <v/>
      </c>
    </row>
    <row r="692">
      <c r="A692" s="38" t="n"/>
      <c r="G692">
        <f>IF(F692="","",F692-E692)</f>
        <v/>
      </c>
      <c r="H692" s="30">
        <f>IF(E692&gt;0,G692/E692*100,0)</f>
        <v/>
      </c>
      <c r="I692" s="8" t="n"/>
      <c r="J692" s="8">
        <f>IF(G692="","",G692*I692)</f>
        <v/>
      </c>
    </row>
    <row r="693">
      <c r="A693" s="38" t="n"/>
      <c r="G693">
        <f>IF(F693="","",F693-E693)</f>
        <v/>
      </c>
      <c r="H693" s="30">
        <f>IF(E693&gt;0,G693/E693*100,0)</f>
        <v/>
      </c>
      <c r="I693" s="8" t="n"/>
      <c r="J693" s="8">
        <f>IF(G693="","",G693*I693)</f>
        <v/>
      </c>
    </row>
    <row r="694">
      <c r="A694" s="38" t="n"/>
      <c r="G694">
        <f>IF(F694="","",F694-E694)</f>
        <v/>
      </c>
      <c r="H694" s="30">
        <f>IF(E694&gt;0,G694/E694*100,0)</f>
        <v/>
      </c>
      <c r="I694" s="8" t="n"/>
      <c r="J694" s="8">
        <f>IF(G694="","",G694*I694)</f>
        <v/>
      </c>
    </row>
    <row r="695">
      <c r="A695" s="38" t="n"/>
      <c r="G695">
        <f>IF(F695="","",F695-E695)</f>
        <v/>
      </c>
      <c r="H695" s="30">
        <f>IF(E695&gt;0,G695/E695*100,0)</f>
        <v/>
      </c>
      <c r="I695" s="8" t="n"/>
      <c r="J695" s="8">
        <f>IF(G695="","",G695*I695)</f>
        <v/>
      </c>
    </row>
    <row r="696">
      <c r="A696" s="38" t="n"/>
      <c r="G696">
        <f>IF(F696="","",F696-E696)</f>
        <v/>
      </c>
      <c r="H696" s="30">
        <f>IF(E696&gt;0,G696/E696*100,0)</f>
        <v/>
      </c>
      <c r="I696" s="8" t="n"/>
      <c r="J696" s="8">
        <f>IF(G696="","",G696*I696)</f>
        <v/>
      </c>
    </row>
    <row r="697">
      <c r="A697" s="38" t="n"/>
      <c r="G697">
        <f>IF(F697="","",F697-E697)</f>
        <v/>
      </c>
      <c r="H697" s="30">
        <f>IF(E697&gt;0,G697/E697*100,0)</f>
        <v/>
      </c>
      <c r="I697" s="8" t="n"/>
      <c r="J697" s="8">
        <f>IF(G697="","",G697*I697)</f>
        <v/>
      </c>
    </row>
    <row r="698">
      <c r="A698" s="38" t="n"/>
      <c r="G698">
        <f>IF(F698="","",F698-E698)</f>
        <v/>
      </c>
      <c r="H698" s="30">
        <f>IF(E698&gt;0,G698/E698*100,0)</f>
        <v/>
      </c>
      <c r="I698" s="8" t="n"/>
      <c r="J698" s="8">
        <f>IF(G698="","",G698*I698)</f>
        <v/>
      </c>
    </row>
    <row r="699">
      <c r="A699" s="38" t="n"/>
      <c r="G699">
        <f>IF(F699="","",F699-E699)</f>
        <v/>
      </c>
      <c r="H699" s="30">
        <f>IF(E699&gt;0,G699/E699*100,0)</f>
        <v/>
      </c>
      <c r="I699" s="8" t="n"/>
      <c r="J699" s="8">
        <f>IF(G699="","",G699*I699)</f>
        <v/>
      </c>
    </row>
    <row r="700">
      <c r="A700" s="38" t="n"/>
      <c r="G700">
        <f>IF(F700="","",F700-E700)</f>
        <v/>
      </c>
      <c r="H700" s="30">
        <f>IF(E700&gt;0,G700/E700*100,0)</f>
        <v/>
      </c>
      <c r="I700" s="8" t="n"/>
      <c r="J700" s="8">
        <f>IF(G700="","",G700*I700)</f>
        <v/>
      </c>
    </row>
    <row r="701">
      <c r="A701" s="38" t="n"/>
      <c r="G701">
        <f>IF(F701="","",F701-E701)</f>
        <v/>
      </c>
      <c r="H701" s="30">
        <f>IF(E701&gt;0,G701/E701*100,0)</f>
        <v/>
      </c>
      <c r="I701" s="8" t="n"/>
      <c r="J701" s="8">
        <f>IF(G701="","",G701*I701)</f>
        <v/>
      </c>
    </row>
    <row r="702">
      <c r="A702" s="38" t="n"/>
      <c r="G702">
        <f>IF(F702="","",F702-E702)</f>
        <v/>
      </c>
      <c r="H702" s="30">
        <f>IF(E702&gt;0,G702/E702*100,0)</f>
        <v/>
      </c>
      <c r="I702" s="8" t="n"/>
      <c r="J702" s="8">
        <f>IF(G702="","",G702*I702)</f>
        <v/>
      </c>
    </row>
    <row r="703">
      <c r="A703" s="38" t="n"/>
      <c r="G703">
        <f>IF(F703="","",F703-E703)</f>
        <v/>
      </c>
      <c r="H703" s="30">
        <f>IF(E703&gt;0,G703/E703*100,0)</f>
        <v/>
      </c>
      <c r="I703" s="8" t="n"/>
      <c r="J703" s="8">
        <f>IF(G703="","",G703*I703)</f>
        <v/>
      </c>
    </row>
    <row r="704">
      <c r="A704" s="38" t="n"/>
      <c r="G704">
        <f>IF(F704="","",F704-E704)</f>
        <v/>
      </c>
      <c r="H704" s="30">
        <f>IF(E704&gt;0,G704/E704*100,0)</f>
        <v/>
      </c>
      <c r="I704" s="8" t="n"/>
      <c r="J704" s="8">
        <f>IF(G704="","",G704*I704)</f>
        <v/>
      </c>
    </row>
    <row r="705">
      <c r="A705" s="38" t="n"/>
      <c r="G705">
        <f>IF(F705="","",F705-E705)</f>
        <v/>
      </c>
      <c r="H705" s="30">
        <f>IF(E705&gt;0,G705/E705*100,0)</f>
        <v/>
      </c>
      <c r="I705" s="8" t="n"/>
      <c r="J705" s="8">
        <f>IF(G705="","",G705*I705)</f>
        <v/>
      </c>
    </row>
    <row r="706">
      <c r="A706" s="38" t="n"/>
      <c r="G706">
        <f>IF(F706="","",F706-E706)</f>
        <v/>
      </c>
      <c r="H706" s="30">
        <f>IF(E706&gt;0,G706/E706*100,0)</f>
        <v/>
      </c>
      <c r="I706" s="8" t="n"/>
      <c r="J706" s="8">
        <f>IF(G706="","",G706*I706)</f>
        <v/>
      </c>
    </row>
    <row r="707">
      <c r="A707" s="38" t="n"/>
      <c r="G707">
        <f>IF(F707="","",F707-E707)</f>
        <v/>
      </c>
      <c r="H707" s="30">
        <f>IF(E707&gt;0,G707/E707*100,0)</f>
        <v/>
      </c>
      <c r="I707" s="8" t="n"/>
      <c r="J707" s="8">
        <f>IF(G707="","",G707*I707)</f>
        <v/>
      </c>
    </row>
    <row r="708">
      <c r="A708" s="38" t="n"/>
      <c r="G708">
        <f>IF(F708="","",F708-E708)</f>
        <v/>
      </c>
      <c r="H708" s="30">
        <f>IF(E708&gt;0,G708/E708*100,0)</f>
        <v/>
      </c>
      <c r="I708" s="8" t="n"/>
      <c r="J708" s="8">
        <f>IF(G708="","",G708*I708)</f>
        <v/>
      </c>
    </row>
    <row r="709">
      <c r="A709" s="38" t="n"/>
      <c r="G709">
        <f>IF(F709="","",F709-E709)</f>
        <v/>
      </c>
      <c r="H709" s="30">
        <f>IF(E709&gt;0,G709/E709*100,0)</f>
        <v/>
      </c>
      <c r="I709" s="8" t="n"/>
      <c r="J709" s="8">
        <f>IF(G709="","",G709*I709)</f>
        <v/>
      </c>
    </row>
    <row r="710">
      <c r="A710" s="38" t="n"/>
      <c r="G710">
        <f>IF(F710="","",F710-E710)</f>
        <v/>
      </c>
      <c r="H710" s="30">
        <f>IF(E710&gt;0,G710/E710*100,0)</f>
        <v/>
      </c>
      <c r="I710" s="8" t="n"/>
      <c r="J710" s="8">
        <f>IF(G710="","",G710*I710)</f>
        <v/>
      </c>
    </row>
    <row r="711">
      <c r="A711" s="38" t="n"/>
      <c r="G711">
        <f>IF(F711="","",F711-E711)</f>
        <v/>
      </c>
      <c r="H711" s="30">
        <f>IF(E711&gt;0,G711/E711*100,0)</f>
        <v/>
      </c>
      <c r="I711" s="8" t="n"/>
      <c r="J711" s="8">
        <f>IF(G711="","",G711*I711)</f>
        <v/>
      </c>
    </row>
    <row r="712">
      <c r="A712" s="38" t="n"/>
      <c r="G712">
        <f>IF(F712="","",F712-E712)</f>
        <v/>
      </c>
      <c r="H712" s="30">
        <f>IF(E712&gt;0,G712/E712*100,0)</f>
        <v/>
      </c>
      <c r="I712" s="8" t="n"/>
      <c r="J712" s="8">
        <f>IF(G712="","",G712*I712)</f>
        <v/>
      </c>
    </row>
    <row r="713">
      <c r="A713" s="38" t="n"/>
      <c r="G713">
        <f>IF(F713="","",F713-E713)</f>
        <v/>
      </c>
      <c r="H713" s="30">
        <f>IF(E713&gt;0,G713/E713*100,0)</f>
        <v/>
      </c>
      <c r="I713" s="8" t="n"/>
      <c r="J713" s="8">
        <f>IF(G713="","",G713*I713)</f>
        <v/>
      </c>
    </row>
    <row r="714">
      <c r="A714" s="38" t="n"/>
      <c r="G714">
        <f>IF(F714="","",F714-E714)</f>
        <v/>
      </c>
      <c r="H714" s="30">
        <f>IF(E714&gt;0,G714/E714*100,0)</f>
        <v/>
      </c>
      <c r="I714" s="8" t="n"/>
      <c r="J714" s="8">
        <f>IF(G714="","",G714*I714)</f>
        <v/>
      </c>
    </row>
    <row r="715">
      <c r="A715" s="38" t="n"/>
      <c r="G715">
        <f>IF(F715="","",F715-E715)</f>
        <v/>
      </c>
      <c r="H715" s="30">
        <f>IF(E715&gt;0,G715/E715*100,0)</f>
        <v/>
      </c>
      <c r="I715" s="8" t="n"/>
      <c r="J715" s="8">
        <f>IF(G715="","",G715*I715)</f>
        <v/>
      </c>
    </row>
    <row r="716">
      <c r="A716" s="38" t="n"/>
      <c r="G716">
        <f>IF(F716="","",F716-E716)</f>
        <v/>
      </c>
      <c r="H716" s="30">
        <f>IF(E716&gt;0,G716/E716*100,0)</f>
        <v/>
      </c>
      <c r="I716" s="8" t="n"/>
      <c r="J716" s="8">
        <f>IF(G716="","",G716*I716)</f>
        <v/>
      </c>
    </row>
    <row r="717">
      <c r="A717" s="38" t="n"/>
      <c r="G717">
        <f>IF(F717="","",F717-E717)</f>
        <v/>
      </c>
      <c r="H717" s="30">
        <f>IF(E717&gt;0,G717/E717*100,0)</f>
        <v/>
      </c>
      <c r="I717" s="8" t="n"/>
      <c r="J717" s="8">
        <f>IF(G717="","",G717*I717)</f>
        <v/>
      </c>
    </row>
    <row r="718">
      <c r="A718" s="38" t="n"/>
      <c r="G718">
        <f>IF(F718="","",F718-E718)</f>
        <v/>
      </c>
      <c r="H718" s="30">
        <f>IF(E718&gt;0,G718/E718*100,0)</f>
        <v/>
      </c>
      <c r="I718" s="8" t="n"/>
      <c r="J718" s="8">
        <f>IF(G718="","",G718*I718)</f>
        <v/>
      </c>
    </row>
    <row r="719">
      <c r="A719" s="38" t="n"/>
      <c r="G719">
        <f>IF(F719="","",F719-E719)</f>
        <v/>
      </c>
      <c r="H719" s="30">
        <f>IF(E719&gt;0,G719/E719*100,0)</f>
        <v/>
      </c>
      <c r="I719" s="8" t="n"/>
      <c r="J719" s="8">
        <f>IF(G719="","",G719*I719)</f>
        <v/>
      </c>
    </row>
    <row r="720">
      <c r="A720" s="38" t="n"/>
      <c r="G720">
        <f>IF(F720="","",F720-E720)</f>
        <v/>
      </c>
      <c r="H720" s="30">
        <f>IF(E720&gt;0,G720/E720*100,0)</f>
        <v/>
      </c>
      <c r="I720" s="8" t="n"/>
      <c r="J720" s="8">
        <f>IF(G720="","",G720*I720)</f>
        <v/>
      </c>
    </row>
    <row r="721">
      <c r="A721" s="38" t="n"/>
      <c r="G721">
        <f>IF(F721="","",F721-E721)</f>
        <v/>
      </c>
      <c r="H721" s="30">
        <f>IF(E721&gt;0,G721/E721*100,0)</f>
        <v/>
      </c>
      <c r="I721" s="8" t="n"/>
      <c r="J721" s="8">
        <f>IF(G721="","",G721*I721)</f>
        <v/>
      </c>
    </row>
    <row r="722">
      <c r="A722" s="38" t="n"/>
      <c r="G722">
        <f>IF(F722="","",F722-E722)</f>
        <v/>
      </c>
      <c r="H722" s="30">
        <f>IF(E722&gt;0,G722/E722*100,0)</f>
        <v/>
      </c>
      <c r="I722" s="8" t="n"/>
      <c r="J722" s="8">
        <f>IF(G722="","",G722*I722)</f>
        <v/>
      </c>
    </row>
    <row r="723">
      <c r="A723" s="38" t="n"/>
      <c r="G723">
        <f>IF(F723="","",F723-E723)</f>
        <v/>
      </c>
      <c r="H723" s="30">
        <f>IF(E723&gt;0,G723/E723*100,0)</f>
        <v/>
      </c>
      <c r="I723" s="8" t="n"/>
      <c r="J723" s="8">
        <f>IF(G723="","",G723*I723)</f>
        <v/>
      </c>
    </row>
    <row r="724">
      <c r="A724" s="38" t="n"/>
      <c r="G724">
        <f>IF(F724="","",F724-E724)</f>
        <v/>
      </c>
      <c r="H724" s="30">
        <f>IF(E724&gt;0,G724/E724*100,0)</f>
        <v/>
      </c>
      <c r="I724" s="8" t="n"/>
      <c r="J724" s="8">
        <f>IF(G724="","",G724*I724)</f>
        <v/>
      </c>
    </row>
    <row r="725">
      <c r="A725" s="38" t="n"/>
      <c r="G725">
        <f>IF(F725="","",F725-E725)</f>
        <v/>
      </c>
      <c r="H725" s="30">
        <f>IF(E725&gt;0,G725/E725*100,0)</f>
        <v/>
      </c>
      <c r="I725" s="8" t="n"/>
      <c r="J725" s="8">
        <f>IF(G725="","",G725*I725)</f>
        <v/>
      </c>
    </row>
    <row r="726">
      <c r="A726" s="38" t="n"/>
      <c r="G726">
        <f>IF(F726="","",F726-E726)</f>
        <v/>
      </c>
      <c r="H726" s="30">
        <f>IF(E726&gt;0,G726/E726*100,0)</f>
        <v/>
      </c>
      <c r="I726" s="8" t="n"/>
      <c r="J726" s="8">
        <f>IF(G726="","",G726*I726)</f>
        <v/>
      </c>
    </row>
    <row r="727">
      <c r="A727" s="38" t="n"/>
      <c r="G727">
        <f>IF(F727="","",F727-E727)</f>
        <v/>
      </c>
      <c r="H727" s="30">
        <f>IF(E727&gt;0,G727/E727*100,0)</f>
        <v/>
      </c>
      <c r="I727" s="8" t="n"/>
      <c r="J727" s="8">
        <f>IF(G727="","",G727*I727)</f>
        <v/>
      </c>
    </row>
    <row r="728">
      <c r="A728" s="38" t="n"/>
      <c r="G728">
        <f>IF(F728="","",F728-E728)</f>
        <v/>
      </c>
      <c r="H728" s="30">
        <f>IF(E728&gt;0,G728/E728*100,0)</f>
        <v/>
      </c>
      <c r="I728" s="8" t="n"/>
      <c r="J728" s="8">
        <f>IF(G728="","",G728*I728)</f>
        <v/>
      </c>
    </row>
    <row r="729">
      <c r="A729" s="38" t="n"/>
      <c r="G729">
        <f>IF(F729="","",F729-E729)</f>
        <v/>
      </c>
      <c r="H729" s="30">
        <f>IF(E729&gt;0,G729/E729*100,0)</f>
        <v/>
      </c>
      <c r="I729" s="8" t="n"/>
      <c r="J729" s="8">
        <f>IF(G729="","",G729*I729)</f>
        <v/>
      </c>
    </row>
    <row r="730">
      <c r="A730" s="38" t="n"/>
      <c r="G730">
        <f>IF(F730="","",F730-E730)</f>
        <v/>
      </c>
      <c r="H730" s="30">
        <f>IF(E730&gt;0,G730/E730*100,0)</f>
        <v/>
      </c>
      <c r="I730" s="8" t="n"/>
      <c r="J730" s="8">
        <f>IF(G730="","",G730*I730)</f>
        <v/>
      </c>
    </row>
    <row r="731">
      <c r="A731" s="38" t="n"/>
      <c r="G731">
        <f>IF(F731="","",F731-E731)</f>
        <v/>
      </c>
      <c r="H731" s="30">
        <f>IF(E731&gt;0,G731/E731*100,0)</f>
        <v/>
      </c>
      <c r="I731" s="8" t="n"/>
      <c r="J731" s="8">
        <f>IF(G731="","",G731*I731)</f>
        <v/>
      </c>
    </row>
    <row r="732">
      <c r="A732" s="38" t="n"/>
      <c r="G732">
        <f>IF(F732="","",F732-E732)</f>
        <v/>
      </c>
      <c r="H732" s="30">
        <f>IF(E732&gt;0,G732/E732*100,0)</f>
        <v/>
      </c>
      <c r="I732" s="8" t="n"/>
      <c r="J732" s="8">
        <f>IF(G732="","",G732*I732)</f>
        <v/>
      </c>
    </row>
    <row r="733">
      <c r="A733" s="38" t="n"/>
      <c r="G733">
        <f>IF(F733="","",F733-E733)</f>
        <v/>
      </c>
      <c r="H733" s="30">
        <f>IF(E733&gt;0,G733/E733*100,0)</f>
        <v/>
      </c>
      <c r="I733" s="8" t="n"/>
      <c r="J733" s="8">
        <f>IF(G733="","",G733*I733)</f>
        <v/>
      </c>
    </row>
    <row r="734">
      <c r="A734" s="38" t="n"/>
      <c r="G734">
        <f>IF(F734="","",F734-E734)</f>
        <v/>
      </c>
      <c r="H734" s="30">
        <f>IF(E734&gt;0,G734/E734*100,0)</f>
        <v/>
      </c>
      <c r="I734" s="8" t="n"/>
      <c r="J734" s="8">
        <f>IF(G734="","",G734*I734)</f>
        <v/>
      </c>
    </row>
    <row r="735">
      <c r="A735" s="38" t="n"/>
      <c r="G735">
        <f>IF(F735="","",F735-E735)</f>
        <v/>
      </c>
      <c r="H735" s="30">
        <f>IF(E735&gt;0,G735/E735*100,0)</f>
        <v/>
      </c>
      <c r="I735" s="8" t="n"/>
      <c r="J735" s="8">
        <f>IF(G735="","",G735*I735)</f>
        <v/>
      </c>
    </row>
    <row r="736">
      <c r="A736" s="38" t="n"/>
      <c r="G736">
        <f>IF(F736="","",F736-E736)</f>
        <v/>
      </c>
      <c r="H736" s="30">
        <f>IF(E736&gt;0,G736/E736*100,0)</f>
        <v/>
      </c>
      <c r="I736" s="8" t="n"/>
      <c r="J736" s="8">
        <f>IF(G736="","",G736*I736)</f>
        <v/>
      </c>
    </row>
    <row r="737">
      <c r="A737" s="38" t="n"/>
      <c r="G737">
        <f>IF(F737="","",F737-E737)</f>
        <v/>
      </c>
      <c r="H737" s="30">
        <f>IF(E737&gt;0,G737/E737*100,0)</f>
        <v/>
      </c>
      <c r="I737" s="8" t="n"/>
      <c r="J737" s="8">
        <f>IF(G737="","",G737*I737)</f>
        <v/>
      </c>
    </row>
    <row r="738">
      <c r="A738" s="38" t="n"/>
      <c r="G738">
        <f>IF(F738="","",F738-E738)</f>
        <v/>
      </c>
      <c r="H738" s="30">
        <f>IF(E738&gt;0,G738/E738*100,0)</f>
        <v/>
      </c>
      <c r="I738" s="8" t="n"/>
      <c r="J738" s="8">
        <f>IF(G738="","",G738*I738)</f>
        <v/>
      </c>
    </row>
    <row r="739">
      <c r="A739" s="38" t="n"/>
      <c r="G739">
        <f>IF(F739="","",F739-E739)</f>
        <v/>
      </c>
      <c r="H739" s="30">
        <f>IF(E739&gt;0,G739/E739*100,0)</f>
        <v/>
      </c>
      <c r="I739" s="8" t="n"/>
      <c r="J739" s="8">
        <f>IF(G739="","",G739*I739)</f>
        <v/>
      </c>
    </row>
    <row r="740">
      <c r="A740" s="38" t="n"/>
      <c r="G740">
        <f>IF(F740="","",F740-E740)</f>
        <v/>
      </c>
      <c r="H740" s="30">
        <f>IF(E740&gt;0,G740/E740*100,0)</f>
        <v/>
      </c>
      <c r="I740" s="8" t="n"/>
      <c r="J740" s="8">
        <f>IF(G740="","",G740*I740)</f>
        <v/>
      </c>
    </row>
    <row r="741">
      <c r="A741" s="38" t="n"/>
      <c r="G741">
        <f>IF(F741="","",F741-E741)</f>
        <v/>
      </c>
      <c r="H741" s="30">
        <f>IF(E741&gt;0,G741/E741*100,0)</f>
        <v/>
      </c>
      <c r="I741" s="8" t="n"/>
      <c r="J741" s="8">
        <f>IF(G741="","",G741*I741)</f>
        <v/>
      </c>
    </row>
    <row r="742">
      <c r="A742" s="38" t="n"/>
      <c r="G742">
        <f>IF(F742="","",F742-E742)</f>
        <v/>
      </c>
      <c r="H742" s="30">
        <f>IF(E742&gt;0,G742/E742*100,0)</f>
        <v/>
      </c>
      <c r="I742" s="8" t="n"/>
      <c r="J742" s="8">
        <f>IF(G742="","",G742*I742)</f>
        <v/>
      </c>
    </row>
    <row r="743">
      <c r="A743" s="38" t="n"/>
      <c r="G743">
        <f>IF(F743="","",F743-E743)</f>
        <v/>
      </c>
      <c r="H743" s="30">
        <f>IF(E743&gt;0,G743/E743*100,0)</f>
        <v/>
      </c>
      <c r="I743" s="8" t="n"/>
      <c r="J743" s="8">
        <f>IF(G743="","",G743*I743)</f>
        <v/>
      </c>
    </row>
    <row r="744">
      <c r="A744" s="38" t="n"/>
      <c r="G744">
        <f>IF(F744="","",F744-E744)</f>
        <v/>
      </c>
      <c r="H744" s="30">
        <f>IF(E744&gt;0,G744/E744*100,0)</f>
        <v/>
      </c>
      <c r="I744" s="8" t="n"/>
      <c r="J744" s="8">
        <f>IF(G744="","",G744*I744)</f>
        <v/>
      </c>
    </row>
    <row r="745">
      <c r="A745" s="38" t="n"/>
      <c r="G745">
        <f>IF(F745="","",F745-E745)</f>
        <v/>
      </c>
      <c r="H745" s="30">
        <f>IF(E745&gt;0,G745/E745*100,0)</f>
        <v/>
      </c>
      <c r="I745" s="8" t="n"/>
      <c r="J745" s="8">
        <f>IF(G745="","",G745*I745)</f>
        <v/>
      </c>
    </row>
    <row r="746">
      <c r="A746" s="38" t="n"/>
      <c r="G746">
        <f>IF(F746="","",F746-E746)</f>
        <v/>
      </c>
      <c r="H746" s="30">
        <f>IF(E746&gt;0,G746/E746*100,0)</f>
        <v/>
      </c>
      <c r="I746" s="8" t="n"/>
      <c r="J746" s="8">
        <f>IF(G746="","",G746*I746)</f>
        <v/>
      </c>
    </row>
    <row r="747">
      <c r="A747" s="38" t="n"/>
      <c r="G747">
        <f>IF(F747="","",F747-E747)</f>
        <v/>
      </c>
      <c r="H747" s="30">
        <f>IF(E747&gt;0,G747/E747*100,0)</f>
        <v/>
      </c>
      <c r="I747" s="8" t="n"/>
      <c r="J747" s="8">
        <f>IF(G747="","",G747*I747)</f>
        <v/>
      </c>
    </row>
    <row r="748">
      <c r="A748" s="38" t="n"/>
      <c r="G748">
        <f>IF(F748="","",F748-E748)</f>
        <v/>
      </c>
      <c r="H748" s="30">
        <f>IF(E748&gt;0,G748/E748*100,0)</f>
        <v/>
      </c>
      <c r="I748" s="8" t="n"/>
      <c r="J748" s="8">
        <f>IF(G748="","",G748*I748)</f>
        <v/>
      </c>
    </row>
    <row r="749">
      <c r="A749" s="38" t="n"/>
      <c r="G749">
        <f>IF(F749="","",F749-E749)</f>
        <v/>
      </c>
      <c r="H749" s="30">
        <f>IF(E749&gt;0,G749/E749*100,0)</f>
        <v/>
      </c>
      <c r="I749" s="8" t="n"/>
      <c r="J749" s="8">
        <f>IF(G749="","",G749*I749)</f>
        <v/>
      </c>
    </row>
    <row r="750">
      <c r="A750" s="38" t="n"/>
      <c r="G750">
        <f>IF(F750="","",F750-E750)</f>
        <v/>
      </c>
      <c r="H750" s="30">
        <f>IF(E750&gt;0,G750/E750*100,0)</f>
        <v/>
      </c>
      <c r="I750" s="8" t="n"/>
      <c r="J750" s="8">
        <f>IF(G750="","",G750*I750)</f>
        <v/>
      </c>
    </row>
    <row r="751">
      <c r="A751" s="38" t="n"/>
      <c r="G751">
        <f>IF(F751="","",F751-E751)</f>
        <v/>
      </c>
      <c r="H751" s="30">
        <f>IF(E751&gt;0,G751/E751*100,0)</f>
        <v/>
      </c>
      <c r="I751" s="8" t="n"/>
      <c r="J751" s="8">
        <f>IF(G751="","",G751*I751)</f>
        <v/>
      </c>
    </row>
    <row r="752">
      <c r="A752" s="38" t="n"/>
      <c r="G752">
        <f>IF(F752="","",F752-E752)</f>
        <v/>
      </c>
      <c r="H752" s="30">
        <f>IF(E752&gt;0,G752/E752*100,0)</f>
        <v/>
      </c>
      <c r="I752" s="8" t="n"/>
      <c r="J752" s="8">
        <f>IF(G752="","",G752*I752)</f>
        <v/>
      </c>
    </row>
    <row r="753">
      <c r="A753" s="38" t="n"/>
      <c r="G753">
        <f>IF(F753="","",F753-E753)</f>
        <v/>
      </c>
      <c r="H753" s="30">
        <f>IF(E753&gt;0,G753/E753*100,0)</f>
        <v/>
      </c>
      <c r="I753" s="8" t="n"/>
      <c r="J753" s="8">
        <f>IF(G753="","",G753*I753)</f>
        <v/>
      </c>
    </row>
    <row r="754">
      <c r="A754" s="38" t="n"/>
      <c r="G754">
        <f>IF(F754="","",F754-E754)</f>
        <v/>
      </c>
      <c r="H754" s="30">
        <f>IF(E754&gt;0,G754/E754*100,0)</f>
        <v/>
      </c>
      <c r="I754" s="8" t="n"/>
      <c r="J754" s="8">
        <f>IF(G754="","",G754*I754)</f>
        <v/>
      </c>
    </row>
    <row r="755">
      <c r="A755" s="38" t="n"/>
      <c r="G755">
        <f>IF(F755="","",F755-E755)</f>
        <v/>
      </c>
      <c r="H755" s="30">
        <f>IF(E755&gt;0,G755/E755*100,0)</f>
        <v/>
      </c>
      <c r="I755" s="8" t="n"/>
      <c r="J755" s="8">
        <f>IF(G755="","",G755*I755)</f>
        <v/>
      </c>
    </row>
    <row r="756">
      <c r="A756" s="38" t="n"/>
      <c r="G756">
        <f>IF(F756="","",F756-E756)</f>
        <v/>
      </c>
      <c r="H756" s="30">
        <f>IF(E756&gt;0,G756/E756*100,0)</f>
        <v/>
      </c>
      <c r="I756" s="8" t="n"/>
      <c r="J756" s="8">
        <f>IF(G756="","",G756*I756)</f>
        <v/>
      </c>
    </row>
    <row r="757">
      <c r="A757" s="38" t="n"/>
      <c r="G757">
        <f>IF(F757="","",F757-E757)</f>
        <v/>
      </c>
      <c r="H757" s="30">
        <f>IF(E757&gt;0,G757/E757*100,0)</f>
        <v/>
      </c>
      <c r="I757" s="8" t="n"/>
      <c r="J757" s="8">
        <f>IF(G757="","",G757*I757)</f>
        <v/>
      </c>
    </row>
    <row r="758">
      <c r="A758" s="38" t="n"/>
      <c r="G758">
        <f>IF(F758="","",F758-E758)</f>
        <v/>
      </c>
      <c r="H758" s="30">
        <f>IF(E758&gt;0,G758/E758*100,0)</f>
        <v/>
      </c>
      <c r="I758" s="8" t="n"/>
      <c r="J758" s="8">
        <f>IF(G758="","",G758*I758)</f>
        <v/>
      </c>
    </row>
    <row r="759">
      <c r="A759" s="38" t="n"/>
      <c r="G759">
        <f>IF(F759="","",F759-E759)</f>
        <v/>
      </c>
      <c r="H759" s="30">
        <f>IF(E759&gt;0,G759/E759*100,0)</f>
        <v/>
      </c>
      <c r="I759" s="8" t="n"/>
      <c r="J759" s="8">
        <f>IF(G759="","",G759*I759)</f>
        <v/>
      </c>
    </row>
    <row r="760">
      <c r="A760" s="38" t="n"/>
      <c r="G760">
        <f>IF(F760="","",F760-E760)</f>
        <v/>
      </c>
      <c r="H760" s="30">
        <f>IF(E760&gt;0,G760/E760*100,0)</f>
        <v/>
      </c>
      <c r="I760" s="8" t="n"/>
      <c r="J760" s="8">
        <f>IF(G760="","",G760*I760)</f>
        <v/>
      </c>
    </row>
    <row r="761">
      <c r="A761" s="38" t="n"/>
      <c r="G761">
        <f>IF(F761="","",F761-E761)</f>
        <v/>
      </c>
      <c r="H761" s="30">
        <f>IF(E761&gt;0,G761/E761*100,0)</f>
        <v/>
      </c>
      <c r="I761" s="8" t="n"/>
      <c r="J761" s="8">
        <f>IF(G761="","",G761*I761)</f>
        <v/>
      </c>
    </row>
    <row r="762">
      <c r="A762" s="38" t="n"/>
      <c r="G762">
        <f>IF(F762="","",F762-E762)</f>
        <v/>
      </c>
      <c r="H762" s="30">
        <f>IF(E762&gt;0,G762/E762*100,0)</f>
        <v/>
      </c>
      <c r="I762" s="8" t="n"/>
      <c r="J762" s="8">
        <f>IF(G762="","",G762*I762)</f>
        <v/>
      </c>
    </row>
    <row r="763">
      <c r="A763" s="38" t="n"/>
      <c r="G763">
        <f>IF(F763="","",F763-E763)</f>
        <v/>
      </c>
      <c r="H763" s="30">
        <f>IF(E763&gt;0,G763/E763*100,0)</f>
        <v/>
      </c>
      <c r="I763" s="8" t="n"/>
      <c r="J763" s="8">
        <f>IF(G763="","",G763*I763)</f>
        <v/>
      </c>
    </row>
    <row r="764">
      <c r="A764" s="38" t="n"/>
      <c r="G764">
        <f>IF(F764="","",F764-E764)</f>
        <v/>
      </c>
      <c r="H764" s="30">
        <f>IF(E764&gt;0,G764/E764*100,0)</f>
        <v/>
      </c>
      <c r="I764" s="8" t="n"/>
      <c r="J764" s="8">
        <f>IF(G764="","",G764*I764)</f>
        <v/>
      </c>
    </row>
    <row r="765">
      <c r="A765" s="38" t="n"/>
      <c r="G765">
        <f>IF(F765="","",F765-E765)</f>
        <v/>
      </c>
      <c r="H765" s="30">
        <f>IF(E765&gt;0,G765/E765*100,0)</f>
        <v/>
      </c>
      <c r="I765" s="8" t="n"/>
      <c r="J765" s="8">
        <f>IF(G765="","",G765*I765)</f>
        <v/>
      </c>
    </row>
    <row r="766">
      <c r="A766" s="38" t="n"/>
      <c r="G766">
        <f>IF(F766="","",F766-E766)</f>
        <v/>
      </c>
      <c r="H766" s="30">
        <f>IF(E766&gt;0,G766/E766*100,0)</f>
        <v/>
      </c>
      <c r="I766" s="8" t="n"/>
      <c r="J766" s="8">
        <f>IF(G766="","",G766*I766)</f>
        <v/>
      </c>
    </row>
    <row r="767">
      <c r="A767" s="38" t="n"/>
      <c r="G767">
        <f>IF(F767="","",F767-E767)</f>
        <v/>
      </c>
      <c r="H767" s="30">
        <f>IF(E767&gt;0,G767/E767*100,0)</f>
        <v/>
      </c>
      <c r="I767" s="8" t="n"/>
      <c r="J767" s="8">
        <f>IF(G767="","",G767*I767)</f>
        <v/>
      </c>
    </row>
    <row r="768">
      <c r="A768" s="38" t="n"/>
      <c r="G768">
        <f>IF(F768="","",F768-E768)</f>
        <v/>
      </c>
      <c r="H768" s="30">
        <f>IF(E768&gt;0,G768/E768*100,0)</f>
        <v/>
      </c>
      <c r="I768" s="8" t="n"/>
      <c r="J768" s="8">
        <f>IF(G768="","",G768*I768)</f>
        <v/>
      </c>
    </row>
    <row r="769">
      <c r="A769" s="38" t="n"/>
      <c r="G769">
        <f>IF(F769="","",F769-E769)</f>
        <v/>
      </c>
      <c r="H769" s="30">
        <f>IF(E769&gt;0,G769/E769*100,0)</f>
        <v/>
      </c>
      <c r="I769" s="8" t="n"/>
      <c r="J769" s="8">
        <f>IF(G769="","",G769*I769)</f>
        <v/>
      </c>
    </row>
    <row r="770">
      <c r="A770" s="38" t="n"/>
      <c r="G770">
        <f>IF(F770="","",F770-E770)</f>
        <v/>
      </c>
      <c r="H770" s="30">
        <f>IF(E770&gt;0,G770/E770*100,0)</f>
        <v/>
      </c>
      <c r="I770" s="8" t="n"/>
      <c r="J770" s="8">
        <f>IF(G770="","",G770*I770)</f>
        <v/>
      </c>
    </row>
    <row r="771">
      <c r="A771" s="38" t="n"/>
      <c r="G771">
        <f>IF(F771="","",F771-E771)</f>
        <v/>
      </c>
      <c r="H771" s="30">
        <f>IF(E771&gt;0,G771/E771*100,0)</f>
        <v/>
      </c>
      <c r="I771" s="8" t="n"/>
      <c r="J771" s="8">
        <f>IF(G771="","",G771*I771)</f>
        <v/>
      </c>
    </row>
    <row r="772">
      <c r="A772" s="38" t="n"/>
      <c r="G772">
        <f>IF(F772="","",F772-E772)</f>
        <v/>
      </c>
      <c r="H772" s="30">
        <f>IF(E772&gt;0,G772/E772*100,0)</f>
        <v/>
      </c>
      <c r="I772" s="8" t="n"/>
      <c r="J772" s="8">
        <f>IF(G772="","",G772*I772)</f>
        <v/>
      </c>
    </row>
    <row r="773">
      <c r="A773" s="38" t="n"/>
      <c r="G773">
        <f>IF(F773="","",F773-E773)</f>
        <v/>
      </c>
      <c r="H773" s="30">
        <f>IF(E773&gt;0,G773/E773*100,0)</f>
        <v/>
      </c>
      <c r="I773" s="8" t="n"/>
      <c r="J773" s="8">
        <f>IF(G773="","",G773*I773)</f>
        <v/>
      </c>
    </row>
    <row r="774">
      <c r="A774" s="38" t="n"/>
      <c r="G774">
        <f>IF(F774="","",F774-E774)</f>
        <v/>
      </c>
      <c r="H774" s="30">
        <f>IF(E774&gt;0,G774/E774*100,0)</f>
        <v/>
      </c>
      <c r="I774" s="8" t="n"/>
      <c r="J774" s="8">
        <f>IF(G774="","",G774*I774)</f>
        <v/>
      </c>
    </row>
    <row r="775">
      <c r="A775" s="38" t="n"/>
      <c r="G775">
        <f>IF(F775="","",F775-E775)</f>
        <v/>
      </c>
      <c r="H775" s="30">
        <f>IF(E775&gt;0,G775/E775*100,0)</f>
        <v/>
      </c>
      <c r="I775" s="8" t="n"/>
      <c r="J775" s="8">
        <f>IF(G775="","",G775*I775)</f>
        <v/>
      </c>
    </row>
    <row r="776">
      <c r="A776" s="38" t="n"/>
      <c r="G776">
        <f>IF(F776="","",F776-E776)</f>
        <v/>
      </c>
      <c r="H776" s="30">
        <f>IF(E776&gt;0,G776/E776*100,0)</f>
        <v/>
      </c>
      <c r="I776" s="8" t="n"/>
      <c r="J776" s="8">
        <f>IF(G776="","",G776*I776)</f>
        <v/>
      </c>
    </row>
    <row r="777">
      <c r="A777" s="38" t="n"/>
      <c r="G777">
        <f>IF(F777="","",F777-E777)</f>
        <v/>
      </c>
      <c r="H777" s="30">
        <f>IF(E777&gt;0,G777/E777*100,0)</f>
        <v/>
      </c>
      <c r="I777" s="8" t="n"/>
      <c r="J777" s="8">
        <f>IF(G777="","",G777*I777)</f>
        <v/>
      </c>
    </row>
    <row r="778">
      <c r="A778" s="38" t="n"/>
      <c r="G778">
        <f>IF(F778="","",F778-E778)</f>
        <v/>
      </c>
      <c r="H778" s="30">
        <f>IF(E778&gt;0,G778/E778*100,0)</f>
        <v/>
      </c>
      <c r="I778" s="8" t="n"/>
      <c r="J778" s="8">
        <f>IF(G778="","",G778*I778)</f>
        <v/>
      </c>
    </row>
    <row r="779">
      <c r="A779" s="38" t="n"/>
      <c r="G779">
        <f>IF(F779="","",F779-E779)</f>
        <v/>
      </c>
      <c r="H779" s="30">
        <f>IF(E779&gt;0,G779/E779*100,0)</f>
        <v/>
      </c>
      <c r="I779" s="8" t="n"/>
      <c r="J779" s="8">
        <f>IF(G779="","",G779*I779)</f>
        <v/>
      </c>
    </row>
    <row r="780">
      <c r="A780" s="38" t="n"/>
      <c r="G780">
        <f>IF(F780="","",F780-E780)</f>
        <v/>
      </c>
      <c r="H780" s="30">
        <f>IF(E780&gt;0,G780/E780*100,0)</f>
        <v/>
      </c>
      <c r="I780" s="8" t="n"/>
      <c r="J780" s="8">
        <f>IF(G780="","",G780*I780)</f>
        <v/>
      </c>
    </row>
    <row r="781">
      <c r="A781" s="38" t="n"/>
      <c r="G781">
        <f>IF(F781="","",F781-E781)</f>
        <v/>
      </c>
      <c r="H781" s="30">
        <f>IF(E781&gt;0,G781/E781*100,0)</f>
        <v/>
      </c>
      <c r="I781" s="8" t="n"/>
      <c r="J781" s="8">
        <f>IF(G781="","",G781*I781)</f>
        <v/>
      </c>
    </row>
    <row r="782">
      <c r="A782" s="38" t="n"/>
      <c r="G782">
        <f>IF(F782="","",F782-E782)</f>
        <v/>
      </c>
      <c r="H782" s="30">
        <f>IF(E782&gt;0,G782/E782*100,0)</f>
        <v/>
      </c>
      <c r="I782" s="8" t="n"/>
      <c r="J782" s="8">
        <f>IF(G782="","",G782*I782)</f>
        <v/>
      </c>
    </row>
    <row r="783">
      <c r="A783" s="38" t="n"/>
      <c r="G783">
        <f>IF(F783="","",F783-E783)</f>
        <v/>
      </c>
      <c r="H783" s="30">
        <f>IF(E783&gt;0,G783/E783*100,0)</f>
        <v/>
      </c>
      <c r="I783" s="8" t="n"/>
      <c r="J783" s="8">
        <f>IF(G783="","",G783*I783)</f>
        <v/>
      </c>
    </row>
    <row r="784">
      <c r="A784" s="38" t="n"/>
      <c r="G784">
        <f>IF(F784="","",F784-E784)</f>
        <v/>
      </c>
      <c r="H784" s="30">
        <f>IF(E784&gt;0,G784/E784*100,0)</f>
        <v/>
      </c>
      <c r="I784" s="8" t="n"/>
      <c r="J784" s="8">
        <f>IF(G784="","",G784*I784)</f>
        <v/>
      </c>
    </row>
    <row r="785">
      <c r="A785" s="38" t="n"/>
      <c r="G785">
        <f>IF(F785="","",F785-E785)</f>
        <v/>
      </c>
      <c r="H785" s="30">
        <f>IF(E785&gt;0,G785/E785*100,0)</f>
        <v/>
      </c>
      <c r="I785" s="8" t="n"/>
      <c r="J785" s="8">
        <f>IF(G785="","",G785*I785)</f>
        <v/>
      </c>
    </row>
    <row r="786">
      <c r="A786" s="38" t="n"/>
      <c r="G786">
        <f>IF(F786="","",F786-E786)</f>
        <v/>
      </c>
      <c r="H786" s="30">
        <f>IF(E786&gt;0,G786/E786*100,0)</f>
        <v/>
      </c>
      <c r="I786" s="8" t="n"/>
      <c r="J786" s="8">
        <f>IF(G786="","",G786*I786)</f>
        <v/>
      </c>
    </row>
    <row r="787">
      <c r="A787" s="38" t="n"/>
      <c r="G787">
        <f>IF(F787="","",F787-E787)</f>
        <v/>
      </c>
      <c r="H787" s="30">
        <f>IF(E787&gt;0,G787/E787*100,0)</f>
        <v/>
      </c>
      <c r="I787" s="8" t="n"/>
      <c r="J787" s="8">
        <f>IF(G787="","",G787*I787)</f>
        <v/>
      </c>
    </row>
    <row r="788">
      <c r="A788" s="38" t="n"/>
      <c r="G788">
        <f>IF(F788="","",F788-E788)</f>
        <v/>
      </c>
      <c r="H788" s="30">
        <f>IF(E788&gt;0,G788/E788*100,0)</f>
        <v/>
      </c>
      <c r="I788" s="8" t="n"/>
      <c r="J788" s="8">
        <f>IF(G788="","",G788*I788)</f>
        <v/>
      </c>
    </row>
    <row r="789">
      <c r="A789" s="38" t="n"/>
      <c r="G789">
        <f>IF(F789="","",F789-E789)</f>
        <v/>
      </c>
      <c r="H789" s="30">
        <f>IF(E789&gt;0,G789/E789*100,0)</f>
        <v/>
      </c>
      <c r="I789" s="8" t="n"/>
      <c r="J789" s="8">
        <f>IF(G789="","",G789*I789)</f>
        <v/>
      </c>
    </row>
    <row r="790">
      <c r="A790" s="38" t="n"/>
      <c r="G790">
        <f>IF(F790="","",F790-E790)</f>
        <v/>
      </c>
      <c r="H790" s="30">
        <f>IF(E790&gt;0,G790/E790*100,0)</f>
        <v/>
      </c>
      <c r="I790" s="8" t="n"/>
      <c r="J790" s="8">
        <f>IF(G790="","",G790*I790)</f>
        <v/>
      </c>
    </row>
    <row r="791">
      <c r="A791" s="38" t="n"/>
      <c r="G791">
        <f>IF(F791="","",F791-E791)</f>
        <v/>
      </c>
      <c r="H791" s="30">
        <f>IF(E791&gt;0,G791/E791*100,0)</f>
        <v/>
      </c>
      <c r="I791" s="8" t="n"/>
      <c r="J791" s="8">
        <f>IF(G791="","",G791*I791)</f>
        <v/>
      </c>
    </row>
    <row r="792">
      <c r="A792" s="38" t="n"/>
      <c r="G792">
        <f>IF(F792="","",F792-E792)</f>
        <v/>
      </c>
      <c r="H792" s="30">
        <f>IF(E792&gt;0,G792/E792*100,0)</f>
        <v/>
      </c>
      <c r="I792" s="8" t="n"/>
      <c r="J792" s="8">
        <f>IF(G792="","",G792*I792)</f>
        <v/>
      </c>
    </row>
    <row r="793">
      <c r="A793" s="38" t="n"/>
      <c r="G793">
        <f>IF(F793="","",F793-E793)</f>
        <v/>
      </c>
      <c r="H793" s="30">
        <f>IF(E793&gt;0,G793/E793*100,0)</f>
        <v/>
      </c>
      <c r="I793" s="8" t="n"/>
      <c r="J793" s="8">
        <f>IF(G793="","",G793*I793)</f>
        <v/>
      </c>
    </row>
    <row r="794">
      <c r="A794" s="38" t="n"/>
      <c r="G794">
        <f>IF(F794="","",F794-E794)</f>
        <v/>
      </c>
      <c r="H794" s="30">
        <f>IF(E794&gt;0,G794/E794*100,0)</f>
        <v/>
      </c>
      <c r="I794" s="8" t="n"/>
      <c r="J794" s="8">
        <f>IF(G794="","",G794*I794)</f>
        <v/>
      </c>
    </row>
    <row r="795">
      <c r="A795" s="38" t="n"/>
      <c r="G795">
        <f>IF(F795="","",F795-E795)</f>
        <v/>
      </c>
      <c r="H795" s="30">
        <f>IF(E795&gt;0,G795/E795*100,0)</f>
        <v/>
      </c>
      <c r="I795" s="8" t="n"/>
      <c r="J795" s="8">
        <f>IF(G795="","",G795*I795)</f>
        <v/>
      </c>
    </row>
    <row r="796">
      <c r="A796" s="38" t="n"/>
      <c r="G796">
        <f>IF(F796="","",F796-E796)</f>
        <v/>
      </c>
      <c r="H796" s="30">
        <f>IF(E796&gt;0,G796/E796*100,0)</f>
        <v/>
      </c>
      <c r="I796" s="8" t="n"/>
      <c r="J796" s="8">
        <f>IF(G796="","",G796*I796)</f>
        <v/>
      </c>
    </row>
    <row r="797">
      <c r="A797" s="38" t="n"/>
      <c r="G797">
        <f>IF(F797="","",F797-E797)</f>
        <v/>
      </c>
      <c r="H797" s="30">
        <f>IF(E797&gt;0,G797/E797*100,0)</f>
        <v/>
      </c>
      <c r="I797" s="8" t="n"/>
      <c r="J797" s="8">
        <f>IF(G797="","",G797*I797)</f>
        <v/>
      </c>
    </row>
    <row r="798">
      <c r="A798" s="38" t="n"/>
      <c r="G798">
        <f>IF(F798="","",F798-E798)</f>
        <v/>
      </c>
      <c r="H798" s="30">
        <f>IF(E798&gt;0,G798/E798*100,0)</f>
        <v/>
      </c>
      <c r="I798" s="8" t="n"/>
      <c r="J798" s="8">
        <f>IF(G798="","",G798*I798)</f>
        <v/>
      </c>
    </row>
    <row r="799">
      <c r="A799" s="38" t="n"/>
      <c r="G799">
        <f>IF(F799="","",F799-E799)</f>
        <v/>
      </c>
      <c r="H799" s="30">
        <f>IF(E799&gt;0,G799/E799*100,0)</f>
        <v/>
      </c>
      <c r="I799" s="8" t="n"/>
      <c r="J799" s="8">
        <f>IF(G799="","",G799*I799)</f>
        <v/>
      </c>
    </row>
    <row r="800">
      <c r="A800" s="38" t="n"/>
      <c r="G800">
        <f>IF(F800="","",F800-E800)</f>
        <v/>
      </c>
      <c r="H800" s="30">
        <f>IF(E800&gt;0,G800/E800*100,0)</f>
        <v/>
      </c>
      <c r="I800" s="8" t="n"/>
      <c r="J800" s="8">
        <f>IF(G800="","",G800*I800)</f>
        <v/>
      </c>
    </row>
    <row r="801">
      <c r="A801" s="38" t="n"/>
      <c r="G801">
        <f>IF(F801="","",F801-E801)</f>
        <v/>
      </c>
      <c r="H801" s="30">
        <f>IF(E801&gt;0,G801/E801*100,0)</f>
        <v/>
      </c>
      <c r="I801" s="8" t="n"/>
      <c r="J801" s="8">
        <f>IF(G801="","",G801*I801)</f>
        <v/>
      </c>
    </row>
    <row r="802">
      <c r="A802" s="38" t="n"/>
      <c r="G802">
        <f>IF(F802="","",F802-E802)</f>
        <v/>
      </c>
      <c r="H802" s="30">
        <f>IF(E802&gt;0,G802/E802*100,0)</f>
        <v/>
      </c>
      <c r="I802" s="8" t="n"/>
      <c r="J802" s="8">
        <f>IF(G802="","",G802*I802)</f>
        <v/>
      </c>
    </row>
    <row r="803">
      <c r="A803" s="38" t="n"/>
      <c r="G803">
        <f>IF(F803="","",F803-E803)</f>
        <v/>
      </c>
      <c r="H803" s="30">
        <f>IF(E803&gt;0,G803/E803*100,0)</f>
        <v/>
      </c>
      <c r="I803" s="8" t="n"/>
      <c r="J803" s="8">
        <f>IF(G803="","",G803*I803)</f>
        <v/>
      </c>
    </row>
    <row r="804">
      <c r="A804" s="38" t="n"/>
      <c r="G804">
        <f>IF(F804="","",F804-E804)</f>
        <v/>
      </c>
      <c r="H804" s="30">
        <f>IF(E804&gt;0,G804/E804*100,0)</f>
        <v/>
      </c>
      <c r="I804" s="8" t="n"/>
      <c r="J804" s="8">
        <f>IF(G804="","",G804*I804)</f>
        <v/>
      </c>
    </row>
    <row r="805">
      <c r="A805" s="38" t="n"/>
      <c r="G805">
        <f>IF(F805="","",F805-E805)</f>
        <v/>
      </c>
      <c r="H805" s="30">
        <f>IF(E805&gt;0,G805/E805*100,0)</f>
        <v/>
      </c>
      <c r="I805" s="8" t="n"/>
      <c r="J805" s="8">
        <f>IF(G805="","",G805*I805)</f>
        <v/>
      </c>
    </row>
    <row r="806">
      <c r="A806" s="38" t="n"/>
      <c r="G806">
        <f>IF(F806="","",F806-E806)</f>
        <v/>
      </c>
      <c r="H806" s="30">
        <f>IF(E806&gt;0,G806/E806*100,0)</f>
        <v/>
      </c>
      <c r="I806" s="8" t="n"/>
      <c r="J806" s="8">
        <f>IF(G806="","",G806*I806)</f>
        <v/>
      </c>
    </row>
    <row r="807">
      <c r="A807" s="38" t="n"/>
      <c r="G807">
        <f>IF(F807="","",F807-E807)</f>
        <v/>
      </c>
      <c r="H807" s="30">
        <f>IF(E807&gt;0,G807/E807*100,0)</f>
        <v/>
      </c>
      <c r="I807" s="8" t="n"/>
      <c r="J807" s="8">
        <f>IF(G807="","",G807*I807)</f>
        <v/>
      </c>
    </row>
    <row r="808">
      <c r="A808" s="38" t="n"/>
      <c r="G808">
        <f>IF(F808="","",F808-E808)</f>
        <v/>
      </c>
      <c r="H808" s="30">
        <f>IF(E808&gt;0,G808/E808*100,0)</f>
        <v/>
      </c>
      <c r="I808" s="8" t="n"/>
      <c r="J808" s="8">
        <f>IF(G808="","",G808*I808)</f>
        <v/>
      </c>
    </row>
    <row r="809">
      <c r="A809" s="38" t="n"/>
      <c r="G809">
        <f>IF(F809="","",F809-E809)</f>
        <v/>
      </c>
      <c r="H809" s="30">
        <f>IF(E809&gt;0,G809/E809*100,0)</f>
        <v/>
      </c>
      <c r="I809" s="8" t="n"/>
      <c r="J809" s="8">
        <f>IF(G809="","",G809*I809)</f>
        <v/>
      </c>
    </row>
    <row r="810">
      <c r="A810" s="38" t="n"/>
      <c r="G810">
        <f>IF(F810="","",F810-E810)</f>
        <v/>
      </c>
      <c r="H810" s="30">
        <f>IF(E810&gt;0,G810/E810*100,0)</f>
        <v/>
      </c>
      <c r="I810" s="8" t="n"/>
      <c r="J810" s="8">
        <f>IF(G810="","",G810*I810)</f>
        <v/>
      </c>
    </row>
    <row r="811">
      <c r="A811" s="38" t="n"/>
      <c r="G811">
        <f>IF(F811="","",F811-E811)</f>
        <v/>
      </c>
      <c r="H811" s="30">
        <f>IF(E811&gt;0,G811/E811*100,0)</f>
        <v/>
      </c>
      <c r="I811" s="8" t="n"/>
      <c r="J811" s="8">
        <f>IF(G811="","",G811*I811)</f>
        <v/>
      </c>
    </row>
    <row r="812">
      <c r="A812" s="38" t="n"/>
      <c r="G812">
        <f>IF(F812="","",F812-E812)</f>
        <v/>
      </c>
      <c r="H812" s="30">
        <f>IF(E812&gt;0,G812/E812*100,0)</f>
        <v/>
      </c>
      <c r="I812" s="8" t="n"/>
      <c r="J812" s="8">
        <f>IF(G812="","",G812*I812)</f>
        <v/>
      </c>
    </row>
    <row r="813">
      <c r="A813" s="38" t="n"/>
      <c r="G813">
        <f>IF(F813="","",F813-E813)</f>
        <v/>
      </c>
      <c r="H813" s="30">
        <f>IF(E813&gt;0,G813/E813*100,0)</f>
        <v/>
      </c>
      <c r="I813" s="8" t="n"/>
      <c r="J813" s="8">
        <f>IF(G813="","",G813*I813)</f>
        <v/>
      </c>
    </row>
    <row r="814">
      <c r="A814" s="38" t="n"/>
      <c r="G814">
        <f>IF(F814="","",F814-E814)</f>
        <v/>
      </c>
      <c r="H814" s="30">
        <f>IF(E814&gt;0,G814/E814*100,0)</f>
        <v/>
      </c>
      <c r="I814" s="8" t="n"/>
      <c r="J814" s="8">
        <f>IF(G814="","",G814*I814)</f>
        <v/>
      </c>
    </row>
    <row r="815">
      <c r="A815" s="38" t="n"/>
      <c r="G815">
        <f>IF(F815="","",F815-E815)</f>
        <v/>
      </c>
      <c r="H815" s="30">
        <f>IF(E815&gt;0,G815/E815*100,0)</f>
        <v/>
      </c>
      <c r="I815" s="8" t="n"/>
      <c r="J815" s="8">
        <f>IF(G815="","",G815*I815)</f>
        <v/>
      </c>
    </row>
    <row r="816">
      <c r="A816" s="38" t="n"/>
      <c r="G816">
        <f>IF(F816="","",F816-E816)</f>
        <v/>
      </c>
      <c r="H816" s="30">
        <f>IF(E816&gt;0,G816/E816*100,0)</f>
        <v/>
      </c>
      <c r="I816" s="8" t="n"/>
      <c r="J816" s="8">
        <f>IF(G816="","",G816*I816)</f>
        <v/>
      </c>
    </row>
    <row r="817">
      <c r="A817" s="38" t="n"/>
      <c r="G817">
        <f>IF(F817="","",F817-E817)</f>
        <v/>
      </c>
      <c r="H817" s="30">
        <f>IF(E817&gt;0,G817/E817*100,0)</f>
        <v/>
      </c>
      <c r="I817" s="8" t="n"/>
      <c r="J817" s="8">
        <f>IF(G817="","",G817*I817)</f>
        <v/>
      </c>
    </row>
    <row r="818">
      <c r="A818" s="38" t="n"/>
      <c r="G818">
        <f>IF(F818="","",F818-E818)</f>
        <v/>
      </c>
      <c r="H818" s="30">
        <f>IF(E818&gt;0,G818/E818*100,0)</f>
        <v/>
      </c>
      <c r="I818" s="8" t="n"/>
      <c r="J818" s="8">
        <f>IF(G818="","",G818*I818)</f>
        <v/>
      </c>
    </row>
    <row r="819">
      <c r="A819" s="38" t="n"/>
      <c r="G819">
        <f>IF(F819="","",F819-E819)</f>
        <v/>
      </c>
      <c r="H819" s="30">
        <f>IF(E819&gt;0,G819/E819*100,0)</f>
        <v/>
      </c>
      <c r="I819" s="8" t="n"/>
      <c r="J819" s="8">
        <f>IF(G819="","",G819*I819)</f>
        <v/>
      </c>
    </row>
    <row r="820">
      <c r="A820" s="38" t="n"/>
      <c r="G820">
        <f>IF(F820="","",F820-E820)</f>
        <v/>
      </c>
      <c r="H820" s="30">
        <f>IF(E820&gt;0,G820/E820*100,0)</f>
        <v/>
      </c>
      <c r="I820" s="8" t="n"/>
      <c r="J820" s="8">
        <f>IF(G820="","",G820*I820)</f>
        <v/>
      </c>
    </row>
    <row r="821">
      <c r="A821" s="38" t="n"/>
      <c r="G821">
        <f>IF(F821="","",F821-E821)</f>
        <v/>
      </c>
      <c r="H821" s="30">
        <f>IF(E821&gt;0,G821/E821*100,0)</f>
        <v/>
      </c>
      <c r="I821" s="8" t="n"/>
      <c r="J821" s="8">
        <f>IF(G821="","",G821*I821)</f>
        <v/>
      </c>
    </row>
    <row r="822">
      <c r="A822" s="38" t="n"/>
      <c r="G822">
        <f>IF(F822="","",F822-E822)</f>
        <v/>
      </c>
      <c r="H822" s="30">
        <f>IF(E822&gt;0,G822/E822*100,0)</f>
        <v/>
      </c>
      <c r="I822" s="8" t="n"/>
      <c r="J822" s="8">
        <f>IF(G822="","",G822*I822)</f>
        <v/>
      </c>
    </row>
    <row r="823">
      <c r="A823" s="38" t="n"/>
      <c r="G823">
        <f>IF(F823="","",F823-E823)</f>
        <v/>
      </c>
      <c r="H823" s="30">
        <f>IF(E823&gt;0,G823/E823*100,0)</f>
        <v/>
      </c>
      <c r="I823" s="8" t="n"/>
      <c r="J823" s="8">
        <f>IF(G823="","",G823*I823)</f>
        <v/>
      </c>
    </row>
    <row r="824">
      <c r="A824" s="38" t="n"/>
      <c r="G824">
        <f>IF(F824="","",F824-E824)</f>
        <v/>
      </c>
      <c r="H824" s="30">
        <f>IF(E824&gt;0,G824/E824*100,0)</f>
        <v/>
      </c>
      <c r="I824" s="8" t="n"/>
      <c r="J824" s="8">
        <f>IF(G824="","",G824*I824)</f>
        <v/>
      </c>
    </row>
    <row r="825">
      <c r="A825" s="38" t="n"/>
      <c r="G825">
        <f>IF(F825="","",F825-E825)</f>
        <v/>
      </c>
      <c r="H825" s="30">
        <f>IF(E825&gt;0,G825/E825*100,0)</f>
        <v/>
      </c>
      <c r="I825" s="8" t="n"/>
      <c r="J825" s="8">
        <f>IF(G825="","",G825*I825)</f>
        <v/>
      </c>
    </row>
    <row r="826">
      <c r="A826" s="38" t="n"/>
      <c r="G826">
        <f>IF(F826="","",F826-E826)</f>
        <v/>
      </c>
      <c r="H826" s="30">
        <f>IF(E826&gt;0,G826/E826*100,0)</f>
        <v/>
      </c>
      <c r="I826" s="8" t="n"/>
      <c r="J826" s="8">
        <f>IF(G826="","",G826*I826)</f>
        <v/>
      </c>
    </row>
    <row r="827">
      <c r="A827" s="38" t="n"/>
      <c r="G827">
        <f>IF(F827="","",F827-E827)</f>
        <v/>
      </c>
      <c r="H827" s="30">
        <f>IF(E827&gt;0,G827/E827*100,0)</f>
        <v/>
      </c>
      <c r="I827" s="8" t="n"/>
      <c r="J827" s="8">
        <f>IF(G827="","",G827*I827)</f>
        <v/>
      </c>
    </row>
    <row r="828">
      <c r="A828" s="38" t="n"/>
      <c r="G828">
        <f>IF(F828="","",F828-E828)</f>
        <v/>
      </c>
      <c r="H828" s="30">
        <f>IF(E828&gt;0,G828/E828*100,0)</f>
        <v/>
      </c>
      <c r="I828" s="8" t="n"/>
      <c r="J828" s="8">
        <f>IF(G828="","",G828*I828)</f>
        <v/>
      </c>
    </row>
    <row r="829">
      <c r="A829" s="38" t="n"/>
      <c r="G829">
        <f>IF(F829="","",F829-E829)</f>
        <v/>
      </c>
      <c r="H829" s="30">
        <f>IF(E829&gt;0,G829/E829*100,0)</f>
        <v/>
      </c>
      <c r="I829" s="8" t="n"/>
      <c r="J829" s="8">
        <f>IF(G829="","",G829*I829)</f>
        <v/>
      </c>
    </row>
    <row r="830">
      <c r="A830" s="38" t="n"/>
      <c r="G830">
        <f>IF(F830="","",F830-E830)</f>
        <v/>
      </c>
      <c r="H830" s="30">
        <f>IF(E830&gt;0,G830/E830*100,0)</f>
        <v/>
      </c>
      <c r="I830" s="8" t="n"/>
      <c r="J830" s="8">
        <f>IF(G830="","",G830*I830)</f>
        <v/>
      </c>
    </row>
    <row r="831">
      <c r="A831" s="38" t="n"/>
      <c r="G831">
        <f>IF(F831="","",F831-E831)</f>
        <v/>
      </c>
      <c r="H831" s="30">
        <f>IF(E831&gt;0,G831/E831*100,0)</f>
        <v/>
      </c>
      <c r="I831" s="8" t="n"/>
      <c r="J831" s="8">
        <f>IF(G831="","",G831*I831)</f>
        <v/>
      </c>
    </row>
    <row r="832">
      <c r="A832" s="38" t="n"/>
      <c r="G832">
        <f>IF(F832="","",F832-E832)</f>
        <v/>
      </c>
      <c r="H832" s="30">
        <f>IF(E832&gt;0,G832/E832*100,0)</f>
        <v/>
      </c>
      <c r="I832" s="8" t="n"/>
      <c r="J832" s="8">
        <f>IF(G832="","",G832*I832)</f>
        <v/>
      </c>
    </row>
    <row r="833">
      <c r="A833" s="38" t="n"/>
      <c r="G833">
        <f>IF(F833="","",F833-E833)</f>
        <v/>
      </c>
      <c r="H833" s="30">
        <f>IF(E833&gt;0,G833/E833*100,0)</f>
        <v/>
      </c>
      <c r="I833" s="8" t="n"/>
      <c r="J833" s="8">
        <f>IF(G833="","",G833*I833)</f>
        <v/>
      </c>
    </row>
    <row r="834">
      <c r="A834" s="38" t="n"/>
      <c r="G834">
        <f>IF(F834="","",F834-E834)</f>
        <v/>
      </c>
      <c r="H834" s="30">
        <f>IF(E834&gt;0,G834/E834*100,0)</f>
        <v/>
      </c>
      <c r="I834" s="8" t="n"/>
      <c r="J834" s="8">
        <f>IF(G834="","",G834*I834)</f>
        <v/>
      </c>
    </row>
    <row r="835">
      <c r="A835" s="38" t="n"/>
      <c r="G835">
        <f>IF(F835="","",F835-E835)</f>
        <v/>
      </c>
      <c r="H835" s="30">
        <f>IF(E835&gt;0,G835/E835*100,0)</f>
        <v/>
      </c>
      <c r="I835" s="8" t="n"/>
      <c r="J835" s="8">
        <f>IF(G835="","",G835*I835)</f>
        <v/>
      </c>
    </row>
    <row r="836">
      <c r="A836" s="38" t="n"/>
      <c r="G836">
        <f>IF(F836="","",F836-E836)</f>
        <v/>
      </c>
      <c r="H836" s="30">
        <f>IF(E836&gt;0,G836/E836*100,0)</f>
        <v/>
      </c>
      <c r="I836" s="8" t="n"/>
      <c r="J836" s="8">
        <f>IF(G836="","",G836*I836)</f>
        <v/>
      </c>
    </row>
    <row r="837">
      <c r="A837" s="38" t="n"/>
      <c r="G837">
        <f>IF(F837="","",F837-E837)</f>
        <v/>
      </c>
      <c r="H837" s="30">
        <f>IF(E837&gt;0,G837/E837*100,0)</f>
        <v/>
      </c>
      <c r="I837" s="8" t="n"/>
      <c r="J837" s="8">
        <f>IF(G837="","",G837*I837)</f>
        <v/>
      </c>
    </row>
    <row r="838">
      <c r="A838" s="38" t="n"/>
      <c r="G838">
        <f>IF(F838="","",F838-E838)</f>
        <v/>
      </c>
      <c r="H838" s="30">
        <f>IF(E838&gt;0,G838/E838*100,0)</f>
        <v/>
      </c>
      <c r="I838" s="8" t="n"/>
      <c r="J838" s="8">
        <f>IF(G838="","",G838*I838)</f>
        <v/>
      </c>
    </row>
    <row r="839">
      <c r="A839" s="38" t="n"/>
      <c r="G839">
        <f>IF(F839="","",F839-E839)</f>
        <v/>
      </c>
      <c r="H839" s="30">
        <f>IF(E839&gt;0,G839/E839*100,0)</f>
        <v/>
      </c>
      <c r="I839" s="8" t="n"/>
      <c r="J839" s="8">
        <f>IF(G839="","",G839*I839)</f>
        <v/>
      </c>
    </row>
    <row r="840">
      <c r="A840" s="38" t="n"/>
      <c r="G840">
        <f>IF(F840="","",F840-E840)</f>
        <v/>
      </c>
      <c r="H840" s="30">
        <f>IF(E840&gt;0,G840/E840*100,0)</f>
        <v/>
      </c>
      <c r="I840" s="8" t="n"/>
      <c r="J840" s="8">
        <f>IF(G840="","",G840*I840)</f>
        <v/>
      </c>
    </row>
    <row r="841">
      <c r="A841" s="38" t="n"/>
      <c r="G841">
        <f>IF(F841="","",F841-E841)</f>
        <v/>
      </c>
      <c r="H841" s="30">
        <f>IF(E841&gt;0,G841/E841*100,0)</f>
        <v/>
      </c>
      <c r="I841" s="8" t="n"/>
      <c r="J841" s="8">
        <f>IF(G841="","",G841*I841)</f>
        <v/>
      </c>
    </row>
    <row r="842">
      <c r="A842" s="38" t="n"/>
      <c r="G842">
        <f>IF(F842="","",F842-E842)</f>
        <v/>
      </c>
      <c r="H842" s="30">
        <f>IF(E842&gt;0,G842/E842*100,0)</f>
        <v/>
      </c>
      <c r="I842" s="8" t="n"/>
      <c r="J842" s="8">
        <f>IF(G842="","",G842*I842)</f>
        <v/>
      </c>
    </row>
    <row r="843">
      <c r="A843" s="38" t="n"/>
      <c r="G843">
        <f>IF(F843="","",F843-E843)</f>
        <v/>
      </c>
      <c r="H843" s="30">
        <f>IF(E843&gt;0,G843/E843*100,0)</f>
        <v/>
      </c>
      <c r="I843" s="8" t="n"/>
      <c r="J843" s="8">
        <f>IF(G843="","",G843*I843)</f>
        <v/>
      </c>
    </row>
    <row r="844">
      <c r="A844" s="38" t="n"/>
      <c r="G844">
        <f>IF(F844="","",F844-E844)</f>
        <v/>
      </c>
      <c r="H844" s="30">
        <f>IF(E844&gt;0,G844/E844*100,0)</f>
        <v/>
      </c>
      <c r="I844" s="8" t="n"/>
      <c r="J844" s="8">
        <f>IF(G844="","",G844*I844)</f>
        <v/>
      </c>
    </row>
    <row r="845">
      <c r="A845" s="38" t="n"/>
      <c r="G845">
        <f>IF(F845="","",F845-E845)</f>
        <v/>
      </c>
      <c r="H845" s="30">
        <f>IF(E845&gt;0,G845/E845*100,0)</f>
        <v/>
      </c>
      <c r="I845" s="8" t="n"/>
      <c r="J845" s="8">
        <f>IF(G845="","",G845*I845)</f>
        <v/>
      </c>
    </row>
    <row r="846">
      <c r="A846" s="38" t="n"/>
      <c r="G846">
        <f>IF(F846="","",F846-E846)</f>
        <v/>
      </c>
      <c r="H846" s="30">
        <f>IF(E846&gt;0,G846/E846*100,0)</f>
        <v/>
      </c>
      <c r="I846" s="8" t="n"/>
      <c r="J846" s="8">
        <f>IF(G846="","",G846*I846)</f>
        <v/>
      </c>
    </row>
    <row r="847">
      <c r="A847" s="38" t="n"/>
      <c r="G847">
        <f>IF(F847="","",F847-E847)</f>
        <v/>
      </c>
      <c r="H847" s="30">
        <f>IF(E847&gt;0,G847/E847*100,0)</f>
        <v/>
      </c>
      <c r="I847" s="8" t="n"/>
      <c r="J847" s="8">
        <f>IF(G847="","",G847*I847)</f>
        <v/>
      </c>
    </row>
    <row r="848">
      <c r="A848" s="38" t="n"/>
      <c r="G848">
        <f>IF(F848="","",F848-E848)</f>
        <v/>
      </c>
      <c r="H848" s="30">
        <f>IF(E848&gt;0,G848/E848*100,0)</f>
        <v/>
      </c>
      <c r="I848" s="8" t="n"/>
      <c r="J848" s="8">
        <f>IF(G848="","",G848*I848)</f>
        <v/>
      </c>
    </row>
    <row r="849">
      <c r="A849" s="38" t="n"/>
      <c r="G849">
        <f>IF(F849="","",F849-E849)</f>
        <v/>
      </c>
      <c r="H849" s="30">
        <f>IF(E849&gt;0,G849/E849*100,0)</f>
        <v/>
      </c>
      <c r="I849" s="8" t="n"/>
      <c r="J849" s="8">
        <f>IF(G849="","",G849*I849)</f>
        <v/>
      </c>
    </row>
    <row r="850">
      <c r="A850" s="38" t="n"/>
      <c r="G850">
        <f>IF(F850="","",F850-E850)</f>
        <v/>
      </c>
      <c r="H850" s="30">
        <f>IF(E850&gt;0,G850/E850*100,0)</f>
        <v/>
      </c>
      <c r="I850" s="8" t="n"/>
      <c r="J850" s="8">
        <f>IF(G850="","",G850*I850)</f>
        <v/>
      </c>
    </row>
    <row r="851">
      <c r="A851" s="38" t="n"/>
      <c r="G851">
        <f>IF(F851="","",F851-E851)</f>
        <v/>
      </c>
      <c r="H851" s="30">
        <f>IF(E851&gt;0,G851/E851*100,0)</f>
        <v/>
      </c>
      <c r="I851" s="8" t="n"/>
      <c r="J851" s="8">
        <f>IF(G851="","",G851*I851)</f>
        <v/>
      </c>
    </row>
    <row r="852">
      <c r="A852" s="38" t="n"/>
      <c r="G852">
        <f>IF(F852="","",F852-E852)</f>
        <v/>
      </c>
      <c r="H852" s="30">
        <f>IF(E852&gt;0,G852/E852*100,0)</f>
        <v/>
      </c>
      <c r="I852" s="8" t="n"/>
      <c r="J852" s="8">
        <f>IF(G852="","",G852*I852)</f>
        <v/>
      </c>
    </row>
    <row r="853">
      <c r="A853" s="38" t="n"/>
      <c r="G853">
        <f>IF(F853="","",F853-E853)</f>
        <v/>
      </c>
      <c r="H853" s="30">
        <f>IF(E853&gt;0,G853/E853*100,0)</f>
        <v/>
      </c>
      <c r="I853" s="8" t="n"/>
      <c r="J853" s="8">
        <f>IF(G853="","",G853*I853)</f>
        <v/>
      </c>
    </row>
    <row r="854">
      <c r="A854" s="38" t="n"/>
      <c r="G854">
        <f>IF(F854="","",F854-E854)</f>
        <v/>
      </c>
      <c r="H854" s="30">
        <f>IF(E854&gt;0,G854/E854*100,0)</f>
        <v/>
      </c>
      <c r="I854" s="8" t="n"/>
      <c r="J854" s="8">
        <f>IF(G854="","",G854*I854)</f>
        <v/>
      </c>
    </row>
    <row r="855">
      <c r="A855" s="38" t="n"/>
      <c r="G855">
        <f>IF(F855="","",F855-E855)</f>
        <v/>
      </c>
      <c r="H855" s="30">
        <f>IF(E855&gt;0,G855/E855*100,0)</f>
        <v/>
      </c>
      <c r="I855" s="8" t="n"/>
      <c r="J855" s="8">
        <f>IF(G855="","",G855*I855)</f>
        <v/>
      </c>
    </row>
    <row r="856">
      <c r="A856" s="38" t="n"/>
      <c r="G856">
        <f>IF(F856="","",F856-E856)</f>
        <v/>
      </c>
      <c r="H856" s="30">
        <f>IF(E856&gt;0,G856/E856*100,0)</f>
        <v/>
      </c>
      <c r="I856" s="8" t="n"/>
      <c r="J856" s="8">
        <f>IF(G856="","",G856*I856)</f>
        <v/>
      </c>
    </row>
    <row r="857">
      <c r="A857" s="38" t="n"/>
      <c r="G857">
        <f>IF(F857="","",F857-E857)</f>
        <v/>
      </c>
      <c r="H857" s="30">
        <f>IF(E857&gt;0,G857/E857*100,0)</f>
        <v/>
      </c>
      <c r="I857" s="8" t="n"/>
      <c r="J857" s="8">
        <f>IF(G857="","",G857*I857)</f>
        <v/>
      </c>
    </row>
    <row r="858">
      <c r="A858" s="38" t="n"/>
      <c r="G858">
        <f>IF(F858="","",F858-E858)</f>
        <v/>
      </c>
      <c r="H858" s="30">
        <f>IF(E858&gt;0,G858/E858*100,0)</f>
        <v/>
      </c>
      <c r="I858" s="8" t="n"/>
      <c r="J858" s="8">
        <f>IF(G858="","",G858*I858)</f>
        <v/>
      </c>
    </row>
    <row r="859">
      <c r="A859" s="38" t="n"/>
      <c r="G859">
        <f>IF(F859="","",F859-E859)</f>
        <v/>
      </c>
      <c r="H859" s="30">
        <f>IF(E859&gt;0,G859/E859*100,0)</f>
        <v/>
      </c>
      <c r="I859" s="8" t="n"/>
      <c r="J859" s="8">
        <f>IF(G859="","",G859*I859)</f>
        <v/>
      </c>
    </row>
    <row r="860">
      <c r="A860" s="38" t="n"/>
      <c r="G860">
        <f>IF(F860="","",F860-E860)</f>
        <v/>
      </c>
      <c r="H860" s="30">
        <f>IF(E860&gt;0,G860/E860*100,0)</f>
        <v/>
      </c>
      <c r="I860" s="8" t="n"/>
      <c r="J860" s="8">
        <f>IF(G860="","",G860*I860)</f>
        <v/>
      </c>
    </row>
    <row r="861">
      <c r="A861" s="38" t="n"/>
      <c r="G861">
        <f>IF(F861="","",F861-E861)</f>
        <v/>
      </c>
      <c r="H861" s="30">
        <f>IF(E861&gt;0,G861/E861*100,0)</f>
        <v/>
      </c>
      <c r="I861" s="8" t="n"/>
      <c r="J861" s="8">
        <f>IF(G861="","",G861*I861)</f>
        <v/>
      </c>
    </row>
    <row r="862">
      <c r="A862" s="38" t="n"/>
      <c r="G862">
        <f>IF(F862="","",F862-E862)</f>
        <v/>
      </c>
      <c r="H862" s="30">
        <f>IF(E862&gt;0,G862/E862*100,0)</f>
        <v/>
      </c>
      <c r="I862" s="8" t="n"/>
      <c r="J862" s="8">
        <f>IF(G862="","",G862*I862)</f>
        <v/>
      </c>
    </row>
    <row r="863">
      <c r="A863" s="38" t="n"/>
      <c r="G863">
        <f>IF(F863="","",F863-E863)</f>
        <v/>
      </c>
      <c r="H863" s="30">
        <f>IF(E863&gt;0,G863/E863*100,0)</f>
        <v/>
      </c>
      <c r="I863" s="8" t="n"/>
      <c r="J863" s="8">
        <f>IF(G863="","",G863*I863)</f>
        <v/>
      </c>
    </row>
    <row r="864">
      <c r="A864" s="38" t="n"/>
      <c r="G864">
        <f>IF(F864="","",F864-E864)</f>
        <v/>
      </c>
      <c r="H864" s="30">
        <f>IF(E864&gt;0,G864/E864*100,0)</f>
        <v/>
      </c>
      <c r="I864" s="8" t="n"/>
      <c r="J864" s="8">
        <f>IF(G864="","",G864*I864)</f>
        <v/>
      </c>
    </row>
    <row r="865">
      <c r="A865" s="38" t="n"/>
      <c r="G865">
        <f>IF(F865="","",F865-E865)</f>
        <v/>
      </c>
      <c r="H865" s="30">
        <f>IF(E865&gt;0,G865/E865*100,0)</f>
        <v/>
      </c>
      <c r="I865" s="8" t="n"/>
      <c r="J865" s="8">
        <f>IF(G865="","",G865*I865)</f>
        <v/>
      </c>
    </row>
    <row r="866">
      <c r="A866" s="38" t="n"/>
      <c r="G866">
        <f>IF(F866="","",F866-E866)</f>
        <v/>
      </c>
      <c r="H866" s="30">
        <f>IF(E866&gt;0,G866/E866*100,0)</f>
        <v/>
      </c>
      <c r="I866" s="8" t="n"/>
      <c r="J866" s="8">
        <f>IF(G866="","",G866*I866)</f>
        <v/>
      </c>
    </row>
    <row r="867">
      <c r="A867" s="38" t="n"/>
      <c r="G867">
        <f>IF(F867="","",F867-E867)</f>
        <v/>
      </c>
      <c r="H867" s="30">
        <f>IF(E867&gt;0,G867/E867*100,0)</f>
        <v/>
      </c>
      <c r="I867" s="8" t="n"/>
      <c r="J867" s="8">
        <f>IF(G867="","",G867*I867)</f>
        <v/>
      </c>
    </row>
    <row r="868">
      <c r="A868" s="38" t="n"/>
      <c r="G868">
        <f>IF(F868="","",F868-E868)</f>
        <v/>
      </c>
      <c r="H868" s="30">
        <f>IF(E868&gt;0,G868/E868*100,0)</f>
        <v/>
      </c>
      <c r="I868" s="8" t="n"/>
      <c r="J868" s="8">
        <f>IF(G868="","",G868*I868)</f>
        <v/>
      </c>
    </row>
    <row r="869">
      <c r="A869" s="38" t="n"/>
      <c r="G869">
        <f>IF(F869="","",F869-E869)</f>
        <v/>
      </c>
      <c r="H869" s="30">
        <f>IF(E869&gt;0,G869/E869*100,0)</f>
        <v/>
      </c>
      <c r="I869" s="8" t="n"/>
      <c r="J869" s="8">
        <f>IF(G869="","",G869*I869)</f>
        <v/>
      </c>
    </row>
    <row r="870">
      <c r="A870" s="38" t="n"/>
      <c r="G870">
        <f>IF(F870="","",F870-E870)</f>
        <v/>
      </c>
      <c r="H870" s="30">
        <f>IF(E870&gt;0,G870/E870*100,0)</f>
        <v/>
      </c>
      <c r="I870" s="8" t="n"/>
      <c r="J870" s="8">
        <f>IF(G870="","",G870*I870)</f>
        <v/>
      </c>
    </row>
    <row r="871">
      <c r="A871" s="38" t="n"/>
      <c r="G871">
        <f>IF(F871="","",F871-E871)</f>
        <v/>
      </c>
      <c r="H871" s="30">
        <f>IF(E871&gt;0,G871/E871*100,0)</f>
        <v/>
      </c>
      <c r="I871" s="8" t="n"/>
      <c r="J871" s="8">
        <f>IF(G871="","",G871*I871)</f>
        <v/>
      </c>
    </row>
    <row r="872">
      <c r="A872" s="38" t="n"/>
      <c r="G872">
        <f>IF(F872="","",F872-E872)</f>
        <v/>
      </c>
      <c r="H872" s="30">
        <f>IF(E872&gt;0,G872/E872*100,0)</f>
        <v/>
      </c>
      <c r="I872" s="8" t="n"/>
      <c r="J872" s="8">
        <f>IF(G872="","",G872*I872)</f>
        <v/>
      </c>
    </row>
    <row r="873">
      <c r="A873" s="38" t="n"/>
      <c r="G873">
        <f>IF(F873="","",F873-E873)</f>
        <v/>
      </c>
      <c r="H873" s="30">
        <f>IF(E873&gt;0,G873/E873*100,0)</f>
        <v/>
      </c>
      <c r="I873" s="8" t="n"/>
      <c r="J873" s="8">
        <f>IF(G873="","",G873*I873)</f>
        <v/>
      </c>
    </row>
    <row r="874">
      <c r="A874" s="38" t="n"/>
      <c r="G874">
        <f>IF(F874="","",F874-E874)</f>
        <v/>
      </c>
      <c r="H874" s="30">
        <f>IF(E874&gt;0,G874/E874*100,0)</f>
        <v/>
      </c>
      <c r="I874" s="8" t="n"/>
      <c r="J874" s="8">
        <f>IF(G874="","",G874*I874)</f>
        <v/>
      </c>
    </row>
    <row r="875">
      <c r="A875" s="38" t="n"/>
      <c r="G875">
        <f>IF(F875="","",F875-E875)</f>
        <v/>
      </c>
      <c r="H875" s="30">
        <f>IF(E875&gt;0,G875/E875*100,0)</f>
        <v/>
      </c>
      <c r="I875" s="8" t="n"/>
      <c r="J875" s="8">
        <f>IF(G875="","",G875*I875)</f>
        <v/>
      </c>
    </row>
    <row r="876">
      <c r="A876" s="38" t="n"/>
      <c r="G876">
        <f>IF(F876="","",F876-E876)</f>
        <v/>
      </c>
      <c r="H876" s="30">
        <f>IF(E876&gt;0,G876/E876*100,0)</f>
        <v/>
      </c>
      <c r="I876" s="8" t="n"/>
      <c r="J876" s="8">
        <f>IF(G876="","",G876*I876)</f>
        <v/>
      </c>
    </row>
    <row r="877">
      <c r="A877" s="38" t="n"/>
      <c r="G877">
        <f>IF(F877="","",F877-E877)</f>
        <v/>
      </c>
      <c r="H877" s="30">
        <f>IF(E877&gt;0,G877/E877*100,0)</f>
        <v/>
      </c>
      <c r="I877" s="8" t="n"/>
      <c r="J877" s="8">
        <f>IF(G877="","",G877*I877)</f>
        <v/>
      </c>
    </row>
    <row r="878">
      <c r="A878" s="38" t="n"/>
      <c r="G878">
        <f>IF(F878="","",F878-E878)</f>
        <v/>
      </c>
      <c r="H878" s="30">
        <f>IF(E878&gt;0,G878/E878*100,0)</f>
        <v/>
      </c>
      <c r="I878" s="8" t="n"/>
      <c r="J878" s="8">
        <f>IF(G878="","",G878*I878)</f>
        <v/>
      </c>
    </row>
    <row r="879">
      <c r="A879" s="38" t="n"/>
      <c r="G879">
        <f>IF(F879="","",F879-E879)</f>
        <v/>
      </c>
      <c r="H879" s="30">
        <f>IF(E879&gt;0,G879/E879*100,0)</f>
        <v/>
      </c>
      <c r="I879" s="8" t="n"/>
      <c r="J879" s="8">
        <f>IF(G879="","",G879*I879)</f>
        <v/>
      </c>
    </row>
    <row r="880">
      <c r="A880" s="38" t="n"/>
      <c r="G880">
        <f>IF(F880="","",F880-E880)</f>
        <v/>
      </c>
      <c r="H880" s="30">
        <f>IF(E880&gt;0,G880/E880*100,0)</f>
        <v/>
      </c>
      <c r="I880" s="8" t="n"/>
      <c r="J880" s="8">
        <f>IF(G880="","",G880*I880)</f>
        <v/>
      </c>
    </row>
    <row r="881">
      <c r="A881" s="38" t="n"/>
      <c r="G881">
        <f>IF(F881="","",F881-E881)</f>
        <v/>
      </c>
      <c r="H881" s="30">
        <f>IF(E881&gt;0,G881/E881*100,0)</f>
        <v/>
      </c>
      <c r="I881" s="8" t="n"/>
      <c r="J881" s="8">
        <f>IF(G881="","",G881*I881)</f>
        <v/>
      </c>
    </row>
    <row r="882">
      <c r="A882" s="38" t="n"/>
      <c r="G882">
        <f>IF(F882="","",F882-E882)</f>
        <v/>
      </c>
      <c r="H882" s="30">
        <f>IF(E882&gt;0,G882/E882*100,0)</f>
        <v/>
      </c>
      <c r="I882" s="8" t="n"/>
      <c r="J882" s="8">
        <f>IF(G882="","",G882*I882)</f>
        <v/>
      </c>
    </row>
    <row r="883">
      <c r="A883" s="38" t="n"/>
      <c r="G883">
        <f>IF(F883="","",F883-E883)</f>
        <v/>
      </c>
      <c r="H883" s="30">
        <f>IF(E883&gt;0,G883/E883*100,0)</f>
        <v/>
      </c>
      <c r="I883" s="8" t="n"/>
      <c r="J883" s="8">
        <f>IF(G883="","",G883*I883)</f>
        <v/>
      </c>
    </row>
    <row r="884">
      <c r="A884" s="38" t="n"/>
      <c r="G884">
        <f>IF(F884="","",F884-E884)</f>
        <v/>
      </c>
      <c r="H884" s="30">
        <f>IF(E884&gt;0,G884/E884*100,0)</f>
        <v/>
      </c>
      <c r="I884" s="8" t="n"/>
      <c r="J884" s="8">
        <f>IF(G884="","",G884*I884)</f>
        <v/>
      </c>
    </row>
    <row r="885">
      <c r="A885" s="38" t="n"/>
      <c r="G885">
        <f>IF(F885="","",F885-E885)</f>
        <v/>
      </c>
      <c r="H885" s="30">
        <f>IF(E885&gt;0,G885/E885*100,0)</f>
        <v/>
      </c>
      <c r="I885" s="8" t="n"/>
      <c r="J885" s="8">
        <f>IF(G885="","",G885*I885)</f>
        <v/>
      </c>
    </row>
    <row r="886">
      <c r="A886" s="38" t="n"/>
      <c r="G886">
        <f>IF(F886="","",F886-E886)</f>
        <v/>
      </c>
      <c r="H886" s="30">
        <f>IF(E886&gt;0,G886/E886*100,0)</f>
        <v/>
      </c>
      <c r="I886" s="8" t="n"/>
      <c r="J886" s="8">
        <f>IF(G886="","",G886*I886)</f>
        <v/>
      </c>
    </row>
    <row r="887">
      <c r="A887" s="38" t="n"/>
      <c r="G887">
        <f>IF(F887="","",F887-E887)</f>
        <v/>
      </c>
      <c r="H887" s="30">
        <f>IF(E887&gt;0,G887/E887*100,0)</f>
        <v/>
      </c>
      <c r="I887" s="8" t="n"/>
      <c r="J887" s="8">
        <f>IF(G887="","",G887*I887)</f>
        <v/>
      </c>
    </row>
    <row r="888">
      <c r="A888" s="38" t="n"/>
      <c r="G888">
        <f>IF(F888="","",F888-E888)</f>
        <v/>
      </c>
      <c r="H888" s="30">
        <f>IF(E888&gt;0,G888/E888*100,0)</f>
        <v/>
      </c>
      <c r="I888" s="8" t="n"/>
      <c r="J888" s="8">
        <f>IF(G888="","",G888*I888)</f>
        <v/>
      </c>
    </row>
    <row r="889">
      <c r="A889" s="38" t="n"/>
      <c r="G889">
        <f>IF(F889="","",F889-E889)</f>
        <v/>
      </c>
      <c r="H889" s="30">
        <f>IF(E889&gt;0,G889/E889*100,0)</f>
        <v/>
      </c>
      <c r="I889" s="8" t="n"/>
      <c r="J889" s="8">
        <f>IF(G889="","",G889*I889)</f>
        <v/>
      </c>
    </row>
    <row r="890">
      <c r="A890" s="38" t="n"/>
      <c r="G890">
        <f>IF(F890="","",F890-E890)</f>
        <v/>
      </c>
      <c r="H890" s="30">
        <f>IF(E890&gt;0,G890/E890*100,0)</f>
        <v/>
      </c>
      <c r="I890" s="8" t="n"/>
      <c r="J890" s="8">
        <f>IF(G890="","",G890*I890)</f>
        <v/>
      </c>
    </row>
    <row r="891">
      <c r="A891" s="38" t="n"/>
      <c r="G891">
        <f>IF(F891="","",F891-E891)</f>
        <v/>
      </c>
      <c r="H891" s="30">
        <f>IF(E891&gt;0,G891/E891*100,0)</f>
        <v/>
      </c>
      <c r="I891" s="8" t="n"/>
      <c r="J891" s="8">
        <f>IF(G891="","",G891*I891)</f>
        <v/>
      </c>
    </row>
    <row r="892">
      <c r="A892" s="38" t="n"/>
      <c r="G892">
        <f>IF(F892="","",F892-E892)</f>
        <v/>
      </c>
      <c r="H892" s="30">
        <f>IF(E892&gt;0,G892/E892*100,0)</f>
        <v/>
      </c>
      <c r="I892" s="8" t="n"/>
      <c r="J892" s="8">
        <f>IF(G892="","",G892*I892)</f>
        <v/>
      </c>
    </row>
    <row r="893">
      <c r="A893" s="38" t="n"/>
      <c r="G893">
        <f>IF(F893="","",F893-E893)</f>
        <v/>
      </c>
      <c r="H893" s="30">
        <f>IF(E893&gt;0,G893/E893*100,0)</f>
        <v/>
      </c>
      <c r="I893" s="8" t="n"/>
      <c r="J893" s="8">
        <f>IF(G893="","",G893*I893)</f>
        <v/>
      </c>
    </row>
    <row r="894">
      <c r="A894" s="38" t="n"/>
      <c r="G894">
        <f>IF(F894="","",F894-E894)</f>
        <v/>
      </c>
      <c r="H894" s="30">
        <f>IF(E894&gt;0,G894/E894*100,0)</f>
        <v/>
      </c>
      <c r="I894" s="8" t="n"/>
      <c r="J894" s="8">
        <f>IF(G894="","",G894*I894)</f>
        <v/>
      </c>
    </row>
    <row r="895">
      <c r="A895" s="38" t="n"/>
      <c r="G895">
        <f>IF(F895="","",F895-E895)</f>
        <v/>
      </c>
      <c r="H895" s="30">
        <f>IF(E895&gt;0,G895/E895*100,0)</f>
        <v/>
      </c>
      <c r="I895" s="8" t="n"/>
      <c r="J895" s="8">
        <f>IF(G895="","",G895*I895)</f>
        <v/>
      </c>
    </row>
    <row r="896">
      <c r="A896" s="38" t="n"/>
      <c r="G896">
        <f>IF(F896="","",F896-E896)</f>
        <v/>
      </c>
      <c r="H896" s="30">
        <f>IF(E896&gt;0,G896/E896*100,0)</f>
        <v/>
      </c>
      <c r="I896" s="8" t="n"/>
      <c r="J896" s="8">
        <f>IF(G896="","",G896*I896)</f>
        <v/>
      </c>
    </row>
    <row r="897">
      <c r="A897" s="38" t="n"/>
      <c r="G897">
        <f>IF(F897="","",F897-E897)</f>
        <v/>
      </c>
      <c r="H897" s="30">
        <f>IF(E897&gt;0,G897/E897*100,0)</f>
        <v/>
      </c>
      <c r="I897" s="8" t="n"/>
      <c r="J897" s="8">
        <f>IF(G897="","",G897*I897)</f>
        <v/>
      </c>
    </row>
    <row r="898">
      <c r="A898" s="38" t="n"/>
      <c r="G898">
        <f>IF(F898="","",F898-E898)</f>
        <v/>
      </c>
      <c r="H898" s="30">
        <f>IF(E898&gt;0,G898/E898*100,0)</f>
        <v/>
      </c>
      <c r="I898" s="8" t="n"/>
      <c r="J898" s="8">
        <f>IF(G898="","",G898*I898)</f>
        <v/>
      </c>
    </row>
    <row r="899">
      <c r="A899" s="38" t="n"/>
      <c r="G899">
        <f>IF(F899="","",F899-E899)</f>
        <v/>
      </c>
      <c r="H899" s="30">
        <f>IF(E899&gt;0,G899/E899*100,0)</f>
        <v/>
      </c>
      <c r="I899" s="8" t="n"/>
      <c r="J899" s="8">
        <f>IF(G899="","",G899*I899)</f>
        <v/>
      </c>
    </row>
    <row r="900">
      <c r="A900" s="38" t="n"/>
      <c r="G900">
        <f>IF(F900="","",F900-E900)</f>
        <v/>
      </c>
      <c r="H900" s="30">
        <f>IF(E900&gt;0,G900/E900*100,0)</f>
        <v/>
      </c>
      <c r="I900" s="8" t="n"/>
      <c r="J900" s="8">
        <f>IF(G900="","",G900*I900)</f>
        <v/>
      </c>
    </row>
    <row r="901">
      <c r="A901" s="38" t="n"/>
      <c r="G901">
        <f>IF(F901="","",F901-E901)</f>
        <v/>
      </c>
      <c r="H901" s="30">
        <f>IF(E901&gt;0,G901/E901*100,0)</f>
        <v/>
      </c>
      <c r="I901" s="8" t="n"/>
      <c r="J901" s="8">
        <f>IF(G901="","",G901*I901)</f>
        <v/>
      </c>
    </row>
    <row r="902">
      <c r="A902" s="38" t="n"/>
      <c r="G902">
        <f>IF(F902="","",F902-E902)</f>
        <v/>
      </c>
      <c r="H902" s="30">
        <f>IF(E902&gt;0,G902/E902*100,0)</f>
        <v/>
      </c>
      <c r="I902" s="8" t="n"/>
      <c r="J902" s="8">
        <f>IF(G902="","",G902*I902)</f>
        <v/>
      </c>
    </row>
    <row r="903">
      <c r="A903" s="38" t="n"/>
      <c r="G903">
        <f>IF(F903="","",F903-E903)</f>
        <v/>
      </c>
      <c r="H903" s="30">
        <f>IF(E903&gt;0,G903/E903*100,0)</f>
        <v/>
      </c>
      <c r="I903" s="8" t="n"/>
      <c r="J903" s="8">
        <f>IF(G903="","",G903*I903)</f>
        <v/>
      </c>
    </row>
    <row r="904">
      <c r="A904" s="38" t="n"/>
      <c r="G904">
        <f>IF(F904="","",F904-E904)</f>
        <v/>
      </c>
      <c r="H904" s="30">
        <f>IF(E904&gt;0,G904/E904*100,0)</f>
        <v/>
      </c>
      <c r="I904" s="8" t="n"/>
      <c r="J904" s="8">
        <f>IF(G904="","",G904*I904)</f>
        <v/>
      </c>
    </row>
    <row r="905">
      <c r="A905" s="38" t="n"/>
      <c r="G905">
        <f>IF(F905="","",F905-E905)</f>
        <v/>
      </c>
      <c r="H905" s="30">
        <f>IF(E905&gt;0,G905/E905*100,0)</f>
        <v/>
      </c>
      <c r="I905" s="8" t="n"/>
      <c r="J905" s="8">
        <f>IF(G905="","",G905*I905)</f>
        <v/>
      </c>
    </row>
    <row r="906">
      <c r="A906" s="38" t="n"/>
      <c r="G906">
        <f>IF(F906="","",F906-E906)</f>
        <v/>
      </c>
      <c r="H906" s="30">
        <f>IF(E906&gt;0,G906/E906*100,0)</f>
        <v/>
      </c>
      <c r="I906" s="8" t="n"/>
      <c r="J906" s="8">
        <f>IF(G906="","",G906*I906)</f>
        <v/>
      </c>
    </row>
    <row r="907">
      <c r="A907" s="38" t="n"/>
      <c r="G907">
        <f>IF(F907="","",F907-E907)</f>
        <v/>
      </c>
      <c r="H907" s="30">
        <f>IF(E907&gt;0,G907/E907*100,0)</f>
        <v/>
      </c>
      <c r="I907" s="8" t="n"/>
      <c r="J907" s="8">
        <f>IF(G907="","",G907*I907)</f>
        <v/>
      </c>
    </row>
    <row r="908">
      <c r="A908" s="38" t="n"/>
      <c r="G908">
        <f>IF(F908="","",F908-E908)</f>
        <v/>
      </c>
      <c r="H908" s="30">
        <f>IF(E908&gt;0,G908/E908*100,0)</f>
        <v/>
      </c>
      <c r="I908" s="8" t="n"/>
      <c r="J908" s="8">
        <f>IF(G908="","",G908*I908)</f>
        <v/>
      </c>
    </row>
    <row r="909">
      <c r="A909" s="38" t="n"/>
      <c r="G909">
        <f>IF(F909="","",F909-E909)</f>
        <v/>
      </c>
      <c r="H909" s="30">
        <f>IF(E909&gt;0,G909/E909*100,0)</f>
        <v/>
      </c>
      <c r="I909" s="8" t="n"/>
      <c r="J909" s="8">
        <f>IF(G909="","",G909*I909)</f>
        <v/>
      </c>
    </row>
    <row r="910">
      <c r="A910" s="38" t="n"/>
      <c r="G910">
        <f>IF(F910="","",F910-E910)</f>
        <v/>
      </c>
      <c r="H910" s="30">
        <f>IF(E910&gt;0,G910/E910*100,0)</f>
        <v/>
      </c>
      <c r="I910" s="8" t="n"/>
      <c r="J910" s="8">
        <f>IF(G910="","",G910*I910)</f>
        <v/>
      </c>
    </row>
    <row r="911">
      <c r="A911" s="38" t="n"/>
      <c r="G911">
        <f>IF(F911="","",F911-E911)</f>
        <v/>
      </c>
      <c r="H911" s="30">
        <f>IF(E911&gt;0,G911/E911*100,0)</f>
        <v/>
      </c>
      <c r="I911" s="8" t="n"/>
      <c r="J911" s="8">
        <f>IF(G911="","",G911*I911)</f>
        <v/>
      </c>
    </row>
    <row r="912">
      <c r="A912" s="38" t="n"/>
      <c r="G912">
        <f>IF(F912="","",F912-E912)</f>
        <v/>
      </c>
      <c r="H912" s="30">
        <f>IF(E912&gt;0,G912/E912*100,0)</f>
        <v/>
      </c>
      <c r="I912" s="8" t="n"/>
      <c r="J912" s="8">
        <f>IF(G912="","",G912*I912)</f>
        <v/>
      </c>
    </row>
    <row r="913">
      <c r="A913" s="38" t="n"/>
      <c r="G913">
        <f>IF(F913="","",F913-E913)</f>
        <v/>
      </c>
      <c r="H913" s="30">
        <f>IF(E913&gt;0,G913/E913*100,0)</f>
        <v/>
      </c>
      <c r="I913" s="8" t="n"/>
      <c r="J913" s="8">
        <f>IF(G913="","",G913*I913)</f>
        <v/>
      </c>
    </row>
    <row r="914">
      <c r="A914" s="38" t="n"/>
      <c r="G914">
        <f>IF(F914="","",F914-E914)</f>
        <v/>
      </c>
      <c r="H914" s="30">
        <f>IF(E914&gt;0,G914/E914*100,0)</f>
        <v/>
      </c>
      <c r="I914" s="8" t="n"/>
      <c r="J914" s="8">
        <f>IF(G914="","",G914*I914)</f>
        <v/>
      </c>
    </row>
    <row r="915">
      <c r="A915" s="38" t="n"/>
      <c r="G915">
        <f>IF(F915="","",F915-E915)</f>
        <v/>
      </c>
      <c r="H915" s="30">
        <f>IF(E915&gt;0,G915/E915*100,0)</f>
        <v/>
      </c>
      <c r="I915" s="8" t="n"/>
      <c r="J915" s="8">
        <f>IF(G915="","",G915*I915)</f>
        <v/>
      </c>
    </row>
    <row r="916">
      <c r="A916" s="38" t="n"/>
      <c r="G916">
        <f>IF(F916="","",F916-E916)</f>
        <v/>
      </c>
      <c r="H916" s="30">
        <f>IF(E916&gt;0,G916/E916*100,0)</f>
        <v/>
      </c>
      <c r="I916" s="8" t="n"/>
      <c r="J916" s="8">
        <f>IF(G916="","",G916*I916)</f>
        <v/>
      </c>
    </row>
    <row r="917">
      <c r="A917" s="38" t="n"/>
      <c r="G917">
        <f>IF(F917="","",F917-E917)</f>
        <v/>
      </c>
      <c r="H917" s="30">
        <f>IF(E917&gt;0,G917/E917*100,0)</f>
        <v/>
      </c>
      <c r="I917" s="8" t="n"/>
      <c r="J917" s="8">
        <f>IF(G917="","",G917*I917)</f>
        <v/>
      </c>
    </row>
    <row r="918">
      <c r="A918" s="38" t="n"/>
      <c r="G918">
        <f>IF(F918="","",F918-E918)</f>
        <v/>
      </c>
      <c r="H918" s="30">
        <f>IF(E918&gt;0,G918/E918*100,0)</f>
        <v/>
      </c>
      <c r="I918" s="8" t="n"/>
      <c r="J918" s="8">
        <f>IF(G918="","",G918*I918)</f>
        <v/>
      </c>
    </row>
    <row r="919">
      <c r="A919" s="38" t="n"/>
      <c r="G919">
        <f>IF(F919="","",F919-E919)</f>
        <v/>
      </c>
      <c r="H919" s="30">
        <f>IF(E919&gt;0,G919/E919*100,0)</f>
        <v/>
      </c>
      <c r="I919" s="8" t="n"/>
      <c r="J919" s="8">
        <f>IF(G919="","",G919*I919)</f>
        <v/>
      </c>
    </row>
    <row r="920">
      <c r="A920" s="38" t="n"/>
      <c r="G920">
        <f>IF(F920="","",F920-E920)</f>
        <v/>
      </c>
      <c r="H920" s="30">
        <f>IF(E920&gt;0,G920/E920*100,0)</f>
        <v/>
      </c>
      <c r="I920" s="8" t="n"/>
      <c r="J920" s="8">
        <f>IF(G920="","",G920*I920)</f>
        <v/>
      </c>
    </row>
    <row r="921">
      <c r="A921" s="38" t="n"/>
      <c r="G921">
        <f>IF(F921="","",F921-E921)</f>
        <v/>
      </c>
      <c r="H921" s="30">
        <f>IF(E921&gt;0,G921/E921*100,0)</f>
        <v/>
      </c>
      <c r="I921" s="8" t="n"/>
      <c r="J921" s="8">
        <f>IF(G921="","",G921*I921)</f>
        <v/>
      </c>
    </row>
    <row r="922">
      <c r="A922" s="38" t="n"/>
      <c r="G922">
        <f>IF(F922="","",F922-E922)</f>
        <v/>
      </c>
      <c r="H922" s="30">
        <f>IF(E922&gt;0,G922/E922*100,0)</f>
        <v/>
      </c>
      <c r="I922" s="8" t="n"/>
      <c r="J922" s="8">
        <f>IF(G922="","",G922*I922)</f>
        <v/>
      </c>
    </row>
    <row r="923">
      <c r="A923" s="38" t="n"/>
      <c r="G923">
        <f>IF(F923="","",F923-E923)</f>
        <v/>
      </c>
      <c r="H923" s="30">
        <f>IF(E923&gt;0,G923/E923*100,0)</f>
        <v/>
      </c>
      <c r="I923" s="8" t="n"/>
      <c r="J923" s="8">
        <f>IF(G923="","",G923*I923)</f>
        <v/>
      </c>
    </row>
    <row r="924">
      <c r="A924" s="38" t="n"/>
      <c r="G924">
        <f>IF(F924="","",F924-E924)</f>
        <v/>
      </c>
      <c r="H924" s="30">
        <f>IF(E924&gt;0,G924/E924*100,0)</f>
        <v/>
      </c>
      <c r="I924" s="8" t="n"/>
      <c r="J924" s="8">
        <f>IF(G924="","",G924*I924)</f>
        <v/>
      </c>
    </row>
    <row r="925">
      <c r="A925" s="38" t="n"/>
      <c r="G925">
        <f>IF(F925="","",F925-E925)</f>
        <v/>
      </c>
      <c r="H925" s="30">
        <f>IF(E925&gt;0,G925/E925*100,0)</f>
        <v/>
      </c>
      <c r="I925" s="8" t="n"/>
      <c r="J925" s="8">
        <f>IF(G925="","",G925*I925)</f>
        <v/>
      </c>
    </row>
    <row r="926">
      <c r="A926" s="38" t="n"/>
      <c r="G926">
        <f>IF(F926="","",F926-E926)</f>
        <v/>
      </c>
      <c r="H926" s="30">
        <f>IF(E926&gt;0,G926/E926*100,0)</f>
        <v/>
      </c>
      <c r="I926" s="8" t="n"/>
      <c r="J926" s="8">
        <f>IF(G926="","",G926*I926)</f>
        <v/>
      </c>
    </row>
    <row r="927">
      <c r="A927" s="38" t="n"/>
      <c r="G927">
        <f>IF(F927="","",F927-E927)</f>
        <v/>
      </c>
      <c r="H927" s="30">
        <f>IF(E927&gt;0,G927/E927*100,0)</f>
        <v/>
      </c>
      <c r="I927" s="8" t="n"/>
      <c r="J927" s="8">
        <f>IF(G927="","",G927*I927)</f>
        <v/>
      </c>
    </row>
    <row r="928">
      <c r="A928" s="38" t="n"/>
      <c r="G928">
        <f>IF(F928="","",F928-E928)</f>
        <v/>
      </c>
      <c r="H928" s="30">
        <f>IF(E928&gt;0,G928/E928*100,0)</f>
        <v/>
      </c>
      <c r="I928" s="8" t="n"/>
      <c r="J928" s="8">
        <f>IF(G928="","",G928*I928)</f>
        <v/>
      </c>
    </row>
    <row r="929">
      <c r="A929" s="38" t="n"/>
      <c r="G929">
        <f>IF(F929="","",F929-E929)</f>
        <v/>
      </c>
      <c r="H929" s="30">
        <f>IF(E929&gt;0,G929/E929*100,0)</f>
        <v/>
      </c>
      <c r="I929" s="8" t="n"/>
      <c r="J929" s="8">
        <f>IF(G929="","",G929*I929)</f>
        <v/>
      </c>
    </row>
    <row r="930">
      <c r="A930" s="38" t="n"/>
      <c r="G930">
        <f>IF(F930="","",F930-E930)</f>
        <v/>
      </c>
      <c r="H930" s="30">
        <f>IF(E930&gt;0,G930/E930*100,0)</f>
        <v/>
      </c>
      <c r="I930" s="8" t="n"/>
      <c r="J930" s="8">
        <f>IF(G930="","",G930*I930)</f>
        <v/>
      </c>
    </row>
    <row r="931">
      <c r="A931" s="38" t="n"/>
      <c r="G931">
        <f>IF(F931="","",F931-E931)</f>
        <v/>
      </c>
      <c r="H931" s="30">
        <f>IF(E931&gt;0,G931/E931*100,0)</f>
        <v/>
      </c>
      <c r="I931" s="8" t="n"/>
      <c r="J931" s="8">
        <f>IF(G931="","",G931*I931)</f>
        <v/>
      </c>
    </row>
    <row r="932">
      <c r="A932" s="38" t="n"/>
      <c r="G932">
        <f>IF(F932="","",F932-E932)</f>
        <v/>
      </c>
      <c r="H932" s="30">
        <f>IF(E932&gt;0,G932/E932*100,0)</f>
        <v/>
      </c>
      <c r="I932" s="8" t="n"/>
      <c r="J932" s="8">
        <f>IF(G932="","",G932*I932)</f>
        <v/>
      </c>
    </row>
    <row r="933">
      <c r="A933" s="38" t="n"/>
      <c r="G933">
        <f>IF(F933="","",F933-E933)</f>
        <v/>
      </c>
      <c r="H933" s="30">
        <f>IF(E933&gt;0,G933/E933*100,0)</f>
        <v/>
      </c>
      <c r="I933" s="8" t="n"/>
      <c r="J933" s="8">
        <f>IF(G933="","",G933*I933)</f>
        <v/>
      </c>
    </row>
    <row r="934">
      <c r="A934" s="38" t="n"/>
      <c r="G934">
        <f>IF(F934="","",F934-E934)</f>
        <v/>
      </c>
      <c r="H934" s="30">
        <f>IF(E934&gt;0,G934/E934*100,0)</f>
        <v/>
      </c>
      <c r="I934" s="8" t="n"/>
      <c r="J934" s="8">
        <f>IF(G934="","",G934*I934)</f>
        <v/>
      </c>
    </row>
    <row r="935">
      <c r="A935" s="38" t="n"/>
      <c r="G935">
        <f>IF(F935="","",F935-E935)</f>
        <v/>
      </c>
      <c r="H935" s="30">
        <f>IF(E935&gt;0,G935/E935*100,0)</f>
        <v/>
      </c>
      <c r="I935" s="8" t="n"/>
      <c r="J935" s="8">
        <f>IF(G935="","",G935*I935)</f>
        <v/>
      </c>
    </row>
    <row r="936">
      <c r="A936" s="38" t="n"/>
      <c r="G936">
        <f>IF(F936="","",F936-E936)</f>
        <v/>
      </c>
      <c r="H936" s="30">
        <f>IF(E936&gt;0,G936/E936*100,0)</f>
        <v/>
      </c>
      <c r="I936" s="8" t="n"/>
      <c r="J936" s="8">
        <f>IF(G936="","",G936*I936)</f>
        <v/>
      </c>
    </row>
    <row r="937">
      <c r="A937" s="38" t="n"/>
      <c r="G937">
        <f>IF(F937="","",F937-E937)</f>
        <v/>
      </c>
      <c r="H937" s="30">
        <f>IF(E937&gt;0,G937/E937*100,0)</f>
        <v/>
      </c>
      <c r="I937" s="8" t="n"/>
      <c r="J937" s="8">
        <f>IF(G937="","",G937*I937)</f>
        <v/>
      </c>
    </row>
    <row r="938">
      <c r="A938" s="38" t="n"/>
      <c r="G938">
        <f>IF(F938="","",F938-E938)</f>
        <v/>
      </c>
      <c r="H938" s="30">
        <f>IF(E938&gt;0,G938/E938*100,0)</f>
        <v/>
      </c>
      <c r="I938" s="8" t="n"/>
      <c r="J938" s="8">
        <f>IF(G938="","",G938*I938)</f>
        <v/>
      </c>
    </row>
    <row r="939">
      <c r="A939" s="38" t="n"/>
      <c r="G939">
        <f>IF(F939="","",F939-E939)</f>
        <v/>
      </c>
      <c r="H939" s="30">
        <f>IF(E939&gt;0,G939/E939*100,0)</f>
        <v/>
      </c>
      <c r="I939" s="8" t="n"/>
      <c r="J939" s="8">
        <f>IF(G939="","",G939*I939)</f>
        <v/>
      </c>
    </row>
    <row r="940">
      <c r="A940" s="38" t="n"/>
      <c r="G940">
        <f>IF(F940="","",F940-E940)</f>
        <v/>
      </c>
      <c r="H940" s="30">
        <f>IF(E940&gt;0,G940/E940*100,0)</f>
        <v/>
      </c>
      <c r="I940" s="8" t="n"/>
      <c r="J940" s="8">
        <f>IF(G940="","",G940*I940)</f>
        <v/>
      </c>
    </row>
    <row r="941">
      <c r="A941" s="38" t="n"/>
      <c r="G941">
        <f>IF(F941="","",F941-E941)</f>
        <v/>
      </c>
      <c r="H941" s="30">
        <f>IF(E941&gt;0,G941/E941*100,0)</f>
        <v/>
      </c>
      <c r="I941" s="8" t="n"/>
      <c r="J941" s="8">
        <f>IF(G941="","",G941*I941)</f>
        <v/>
      </c>
    </row>
    <row r="942">
      <c r="A942" s="38" t="n"/>
      <c r="G942">
        <f>IF(F942="","",F942-E942)</f>
        <v/>
      </c>
      <c r="H942" s="30">
        <f>IF(E942&gt;0,G942/E942*100,0)</f>
        <v/>
      </c>
      <c r="I942" s="8" t="n"/>
      <c r="J942" s="8">
        <f>IF(G942="","",G942*I942)</f>
        <v/>
      </c>
    </row>
    <row r="943">
      <c r="A943" s="38" t="n"/>
      <c r="G943">
        <f>IF(F943="","",F943-E943)</f>
        <v/>
      </c>
      <c r="H943" s="30">
        <f>IF(E943&gt;0,G943/E943*100,0)</f>
        <v/>
      </c>
      <c r="I943" s="8" t="n"/>
      <c r="J943" s="8">
        <f>IF(G943="","",G943*I943)</f>
        <v/>
      </c>
    </row>
    <row r="944">
      <c r="A944" s="38" t="n"/>
      <c r="G944">
        <f>IF(F944="","",F944-E944)</f>
        <v/>
      </c>
      <c r="H944" s="30">
        <f>IF(E944&gt;0,G944/E944*100,0)</f>
        <v/>
      </c>
      <c r="I944" s="8" t="n"/>
      <c r="J944" s="8">
        <f>IF(G944="","",G944*I944)</f>
        <v/>
      </c>
    </row>
    <row r="945">
      <c r="A945" s="38" t="n"/>
      <c r="G945">
        <f>IF(F945="","",F945-E945)</f>
        <v/>
      </c>
      <c r="H945" s="30">
        <f>IF(E945&gt;0,G945/E945*100,0)</f>
        <v/>
      </c>
      <c r="I945" s="8" t="n"/>
      <c r="J945" s="8">
        <f>IF(G945="","",G945*I945)</f>
        <v/>
      </c>
    </row>
    <row r="946">
      <c r="A946" s="38" t="n"/>
      <c r="G946">
        <f>IF(F946="","",F946-E946)</f>
        <v/>
      </c>
      <c r="H946" s="30">
        <f>IF(E946&gt;0,G946/E946*100,0)</f>
        <v/>
      </c>
      <c r="I946" s="8" t="n"/>
      <c r="J946" s="8">
        <f>IF(G946="","",G946*I946)</f>
        <v/>
      </c>
    </row>
    <row r="947">
      <c r="A947" s="38" t="n"/>
      <c r="G947">
        <f>IF(F947="","",F947-E947)</f>
        <v/>
      </c>
      <c r="H947" s="30">
        <f>IF(E947&gt;0,G947/E947*100,0)</f>
        <v/>
      </c>
      <c r="I947" s="8" t="n"/>
      <c r="J947" s="8">
        <f>IF(G947="","",G947*I947)</f>
        <v/>
      </c>
    </row>
    <row r="948">
      <c r="A948" s="38" t="n"/>
      <c r="G948">
        <f>IF(F948="","",F948-E948)</f>
        <v/>
      </c>
      <c r="H948" s="30">
        <f>IF(E948&gt;0,G948/E948*100,0)</f>
        <v/>
      </c>
      <c r="I948" s="8" t="n"/>
      <c r="J948" s="8">
        <f>IF(G948="","",G948*I948)</f>
        <v/>
      </c>
    </row>
    <row r="949">
      <c r="A949" s="38" t="n"/>
      <c r="G949">
        <f>IF(F949="","",F949-E949)</f>
        <v/>
      </c>
      <c r="H949" s="30">
        <f>IF(E949&gt;0,G949/E949*100,0)</f>
        <v/>
      </c>
      <c r="I949" s="8" t="n"/>
      <c r="J949" s="8">
        <f>IF(G949="","",G949*I949)</f>
        <v/>
      </c>
    </row>
    <row r="950">
      <c r="A950" s="38" t="n"/>
      <c r="G950">
        <f>IF(F950="","",F950-E950)</f>
        <v/>
      </c>
      <c r="H950" s="30">
        <f>IF(E950&gt;0,G950/E950*100,0)</f>
        <v/>
      </c>
      <c r="I950" s="8" t="n"/>
      <c r="J950" s="8">
        <f>IF(G950="","",G950*I950)</f>
        <v/>
      </c>
    </row>
    <row r="951">
      <c r="A951" s="38" t="n"/>
      <c r="G951">
        <f>IF(F951="","",F951-E951)</f>
        <v/>
      </c>
      <c r="H951" s="30">
        <f>IF(E951&gt;0,G951/E951*100,0)</f>
        <v/>
      </c>
      <c r="I951" s="8" t="n"/>
      <c r="J951" s="8">
        <f>IF(G951="","",G951*I951)</f>
        <v/>
      </c>
    </row>
    <row r="952">
      <c r="A952" s="38" t="n"/>
      <c r="G952">
        <f>IF(F952="","",F952-E952)</f>
        <v/>
      </c>
      <c r="H952" s="30">
        <f>IF(E952&gt;0,G952/E952*100,0)</f>
        <v/>
      </c>
      <c r="I952" s="8" t="n"/>
      <c r="J952" s="8">
        <f>IF(G952="","",G952*I952)</f>
        <v/>
      </c>
    </row>
    <row r="953">
      <c r="A953" s="38" t="n"/>
      <c r="G953">
        <f>IF(F953="","",F953-E953)</f>
        <v/>
      </c>
      <c r="H953" s="30">
        <f>IF(E953&gt;0,G953/E953*100,0)</f>
        <v/>
      </c>
      <c r="I953" s="8" t="n"/>
      <c r="J953" s="8">
        <f>IF(G953="","",G953*I953)</f>
        <v/>
      </c>
    </row>
    <row r="954">
      <c r="A954" s="38" t="n"/>
      <c r="G954">
        <f>IF(F954="","",F954-E954)</f>
        <v/>
      </c>
      <c r="H954" s="30">
        <f>IF(E954&gt;0,G954/E954*100,0)</f>
        <v/>
      </c>
      <c r="I954" s="8" t="n"/>
      <c r="J954" s="8">
        <f>IF(G954="","",G954*I954)</f>
        <v/>
      </c>
    </row>
    <row r="955">
      <c r="A955" s="38" t="n"/>
      <c r="G955">
        <f>IF(F955="","",F955-E955)</f>
        <v/>
      </c>
      <c r="H955" s="30">
        <f>IF(E955&gt;0,G955/E955*100,0)</f>
        <v/>
      </c>
      <c r="I955" s="8" t="n"/>
      <c r="J955" s="8">
        <f>IF(G955="","",G955*I955)</f>
        <v/>
      </c>
    </row>
    <row r="956">
      <c r="A956" s="38" t="n"/>
      <c r="G956">
        <f>IF(F956="","",F956-E956)</f>
        <v/>
      </c>
      <c r="H956" s="30">
        <f>IF(E956&gt;0,G956/E956*100,0)</f>
        <v/>
      </c>
      <c r="I956" s="8" t="n"/>
      <c r="J956" s="8">
        <f>IF(G956="","",G956*I956)</f>
        <v/>
      </c>
    </row>
    <row r="957">
      <c r="A957" s="38" t="n"/>
      <c r="G957">
        <f>IF(F957="","",F957-E957)</f>
        <v/>
      </c>
      <c r="H957" s="30">
        <f>IF(E957&gt;0,G957/E957*100,0)</f>
        <v/>
      </c>
      <c r="I957" s="8" t="n"/>
      <c r="J957" s="8">
        <f>IF(G957="","",G957*I957)</f>
        <v/>
      </c>
    </row>
    <row r="958">
      <c r="A958" s="38" t="n"/>
      <c r="G958">
        <f>IF(F958="","",F958-E958)</f>
        <v/>
      </c>
      <c r="H958" s="30">
        <f>IF(E958&gt;0,G958/E958*100,0)</f>
        <v/>
      </c>
      <c r="I958" s="8" t="n"/>
      <c r="J958" s="8">
        <f>IF(G958="","",G958*I958)</f>
        <v/>
      </c>
    </row>
    <row r="959">
      <c r="A959" s="38" t="n"/>
      <c r="G959">
        <f>IF(F959="","",F959-E959)</f>
        <v/>
      </c>
      <c r="H959" s="30">
        <f>IF(E959&gt;0,G959/E959*100,0)</f>
        <v/>
      </c>
      <c r="I959" s="8" t="n"/>
      <c r="J959" s="8">
        <f>IF(G959="","",G959*I959)</f>
        <v/>
      </c>
    </row>
    <row r="960">
      <c r="A960" s="38" t="n"/>
      <c r="G960">
        <f>IF(F960="","",F960-E960)</f>
        <v/>
      </c>
      <c r="H960" s="30">
        <f>IF(E960&gt;0,G960/E960*100,0)</f>
        <v/>
      </c>
      <c r="I960" s="8" t="n"/>
      <c r="J960" s="8">
        <f>IF(G960="","",G960*I960)</f>
        <v/>
      </c>
    </row>
    <row r="961">
      <c r="A961" s="38" t="n"/>
      <c r="G961">
        <f>IF(F961="","",F961-E961)</f>
        <v/>
      </c>
      <c r="H961" s="30">
        <f>IF(E961&gt;0,G961/E961*100,0)</f>
        <v/>
      </c>
      <c r="I961" s="8" t="n"/>
      <c r="J961" s="8">
        <f>IF(G961="","",G961*I961)</f>
        <v/>
      </c>
    </row>
    <row r="962">
      <c r="A962" s="38" t="n"/>
      <c r="G962">
        <f>IF(F962="","",F962-E962)</f>
        <v/>
      </c>
      <c r="H962" s="30">
        <f>IF(E962&gt;0,G962/E962*100,0)</f>
        <v/>
      </c>
      <c r="I962" s="8" t="n"/>
      <c r="J962" s="8">
        <f>IF(G962="","",G962*I962)</f>
        <v/>
      </c>
    </row>
    <row r="963">
      <c r="A963" s="38" t="n"/>
      <c r="G963">
        <f>IF(F963="","",F963-E963)</f>
        <v/>
      </c>
      <c r="H963" s="30">
        <f>IF(E963&gt;0,G963/E963*100,0)</f>
        <v/>
      </c>
      <c r="I963" s="8" t="n"/>
      <c r="J963" s="8">
        <f>IF(G963="","",G963*I963)</f>
        <v/>
      </c>
    </row>
    <row r="964">
      <c r="A964" s="38" t="n"/>
      <c r="G964">
        <f>IF(F964="","",F964-E964)</f>
        <v/>
      </c>
      <c r="H964" s="30">
        <f>IF(E964&gt;0,G964/E964*100,0)</f>
        <v/>
      </c>
      <c r="I964" s="8" t="n"/>
      <c r="J964" s="8">
        <f>IF(G964="","",G964*I964)</f>
        <v/>
      </c>
    </row>
    <row r="965">
      <c r="A965" s="38" t="n"/>
      <c r="G965">
        <f>IF(F965="","",F965-E965)</f>
        <v/>
      </c>
      <c r="H965" s="30">
        <f>IF(E965&gt;0,G965/E965*100,0)</f>
        <v/>
      </c>
      <c r="I965" s="8" t="n"/>
      <c r="J965" s="8">
        <f>IF(G965="","",G965*I965)</f>
        <v/>
      </c>
    </row>
    <row r="966">
      <c r="A966" s="38" t="n"/>
      <c r="G966">
        <f>IF(F966="","",F966-E966)</f>
        <v/>
      </c>
      <c r="H966" s="30">
        <f>IF(E966&gt;0,G966/E966*100,0)</f>
        <v/>
      </c>
      <c r="I966" s="8" t="n"/>
      <c r="J966" s="8">
        <f>IF(G966="","",G966*I966)</f>
        <v/>
      </c>
    </row>
    <row r="967">
      <c r="A967" s="38" t="n"/>
      <c r="G967">
        <f>IF(F967="","",F967-E967)</f>
        <v/>
      </c>
      <c r="H967" s="30">
        <f>IF(E967&gt;0,G967/E967*100,0)</f>
        <v/>
      </c>
      <c r="I967" s="8" t="n"/>
      <c r="J967" s="8">
        <f>IF(G967="","",G967*I967)</f>
        <v/>
      </c>
    </row>
    <row r="968">
      <c r="A968" s="38" t="n"/>
      <c r="G968">
        <f>IF(F968="","",F968-E968)</f>
        <v/>
      </c>
      <c r="H968" s="30">
        <f>IF(E968&gt;0,G968/E968*100,0)</f>
        <v/>
      </c>
      <c r="I968" s="8" t="n"/>
      <c r="J968" s="8">
        <f>IF(G968="","",G968*I968)</f>
        <v/>
      </c>
    </row>
    <row r="969">
      <c r="A969" s="38" t="n"/>
      <c r="G969">
        <f>IF(F969="","",F969-E969)</f>
        <v/>
      </c>
      <c r="H969" s="30">
        <f>IF(E969&gt;0,G969/E969*100,0)</f>
        <v/>
      </c>
      <c r="I969" s="8" t="n"/>
      <c r="J969" s="8">
        <f>IF(G969="","",G969*I969)</f>
        <v/>
      </c>
    </row>
    <row r="970">
      <c r="A970" s="38" t="n"/>
      <c r="G970">
        <f>IF(F970="","",F970-E970)</f>
        <v/>
      </c>
      <c r="H970" s="30">
        <f>IF(E970&gt;0,G970/E970*100,0)</f>
        <v/>
      </c>
      <c r="I970" s="8" t="n"/>
      <c r="J970" s="8">
        <f>IF(G970="","",G970*I970)</f>
        <v/>
      </c>
    </row>
    <row r="971">
      <c r="A971" s="38" t="n"/>
      <c r="G971">
        <f>IF(F971="","",F971-E971)</f>
        <v/>
      </c>
      <c r="H971" s="30">
        <f>IF(E971&gt;0,G971/E971*100,0)</f>
        <v/>
      </c>
      <c r="I971" s="8" t="n"/>
      <c r="J971" s="8">
        <f>IF(G971="","",G971*I971)</f>
        <v/>
      </c>
    </row>
    <row r="972">
      <c r="A972" s="38" t="n"/>
      <c r="G972">
        <f>IF(F972="","",F972-E972)</f>
        <v/>
      </c>
      <c r="H972" s="30">
        <f>IF(E972&gt;0,G972/E972*100,0)</f>
        <v/>
      </c>
      <c r="I972" s="8" t="n"/>
      <c r="J972" s="8">
        <f>IF(G972="","",G972*I972)</f>
        <v/>
      </c>
    </row>
    <row r="973">
      <c r="A973" s="38" t="n"/>
      <c r="G973">
        <f>IF(F973="","",F973-E973)</f>
        <v/>
      </c>
      <c r="H973" s="30">
        <f>IF(E973&gt;0,G973/E973*100,0)</f>
        <v/>
      </c>
      <c r="I973" s="8" t="n"/>
      <c r="J973" s="8">
        <f>IF(G973="","",G973*I973)</f>
        <v/>
      </c>
    </row>
    <row r="974">
      <c r="A974" s="38" t="n"/>
      <c r="G974">
        <f>IF(F974="","",F974-E974)</f>
        <v/>
      </c>
      <c r="H974" s="30">
        <f>IF(E974&gt;0,G974/E974*100,0)</f>
        <v/>
      </c>
      <c r="I974" s="8" t="n"/>
      <c r="J974" s="8">
        <f>IF(G974="","",G974*I974)</f>
        <v/>
      </c>
    </row>
    <row r="975">
      <c r="A975" s="38" t="n"/>
      <c r="G975">
        <f>IF(F975="","",F975-E975)</f>
        <v/>
      </c>
      <c r="H975" s="30">
        <f>IF(E975&gt;0,G975/E975*100,0)</f>
        <v/>
      </c>
      <c r="I975" s="8" t="n"/>
      <c r="J975" s="8">
        <f>IF(G975="","",G975*I975)</f>
        <v/>
      </c>
    </row>
    <row r="976">
      <c r="A976" s="38" t="n"/>
      <c r="G976">
        <f>IF(F976="","",F976-E976)</f>
        <v/>
      </c>
      <c r="H976" s="30">
        <f>IF(E976&gt;0,G976/E976*100,0)</f>
        <v/>
      </c>
      <c r="I976" s="8" t="n"/>
      <c r="J976" s="8">
        <f>IF(G976="","",G976*I976)</f>
        <v/>
      </c>
    </row>
    <row r="977">
      <c r="A977" s="38" t="n"/>
      <c r="G977">
        <f>IF(F977="","",F977-E977)</f>
        <v/>
      </c>
      <c r="H977" s="30">
        <f>IF(E977&gt;0,G977/E977*100,0)</f>
        <v/>
      </c>
      <c r="I977" s="8" t="n"/>
      <c r="J977" s="8">
        <f>IF(G977="","",G977*I977)</f>
        <v/>
      </c>
    </row>
    <row r="978">
      <c r="A978" s="38" t="n"/>
      <c r="G978">
        <f>IF(F978="","",F978-E978)</f>
        <v/>
      </c>
      <c r="H978" s="30">
        <f>IF(E978&gt;0,G978/E978*100,0)</f>
        <v/>
      </c>
      <c r="I978" s="8" t="n"/>
      <c r="J978" s="8">
        <f>IF(G978="","",G978*I978)</f>
        <v/>
      </c>
    </row>
    <row r="979">
      <c r="A979" s="38" t="n"/>
      <c r="G979">
        <f>IF(F979="","",F979-E979)</f>
        <v/>
      </c>
      <c r="H979" s="30">
        <f>IF(E979&gt;0,G979/E979*100,0)</f>
        <v/>
      </c>
      <c r="I979" s="8" t="n"/>
      <c r="J979" s="8">
        <f>IF(G979="","",G979*I979)</f>
        <v/>
      </c>
    </row>
    <row r="980">
      <c r="A980" s="38" t="n"/>
      <c r="G980">
        <f>IF(F980="","",F980-E980)</f>
        <v/>
      </c>
      <c r="H980" s="30">
        <f>IF(E980&gt;0,G980/E980*100,0)</f>
        <v/>
      </c>
      <c r="I980" s="8" t="n"/>
      <c r="J980" s="8">
        <f>IF(G980="","",G980*I980)</f>
        <v/>
      </c>
    </row>
    <row r="981">
      <c r="A981" s="38" t="n"/>
      <c r="G981">
        <f>IF(F981="","",F981-E981)</f>
        <v/>
      </c>
      <c r="H981" s="30">
        <f>IF(E981&gt;0,G981/E981*100,0)</f>
        <v/>
      </c>
      <c r="I981" s="8" t="n"/>
      <c r="J981" s="8">
        <f>IF(G981="","",G981*I981)</f>
        <v/>
      </c>
    </row>
    <row r="982">
      <c r="A982" s="38" t="n"/>
      <c r="G982">
        <f>IF(F982="","",F982-E982)</f>
        <v/>
      </c>
      <c r="H982" s="30">
        <f>IF(E982&gt;0,G982/E982*100,0)</f>
        <v/>
      </c>
      <c r="I982" s="8" t="n"/>
      <c r="J982" s="8">
        <f>IF(G982="","",G982*I982)</f>
        <v/>
      </c>
    </row>
    <row r="983">
      <c r="A983" s="38" t="n"/>
      <c r="G983">
        <f>IF(F983="","",F983-E983)</f>
        <v/>
      </c>
      <c r="H983" s="30">
        <f>IF(E983&gt;0,G983/E983*100,0)</f>
        <v/>
      </c>
      <c r="I983" s="8" t="n"/>
      <c r="J983" s="8">
        <f>IF(G983="","",G983*I983)</f>
        <v/>
      </c>
    </row>
    <row r="984">
      <c r="A984" s="38" t="n"/>
      <c r="G984">
        <f>IF(F984="","",F984-E984)</f>
        <v/>
      </c>
      <c r="H984" s="30">
        <f>IF(E984&gt;0,G984/E984*100,0)</f>
        <v/>
      </c>
      <c r="I984" s="8" t="n"/>
      <c r="J984" s="8">
        <f>IF(G984="","",G984*I984)</f>
        <v/>
      </c>
    </row>
    <row r="985">
      <c r="A985" s="38" t="n"/>
      <c r="G985">
        <f>IF(F985="","",F985-E985)</f>
        <v/>
      </c>
      <c r="H985" s="30">
        <f>IF(E985&gt;0,G985/E985*100,0)</f>
        <v/>
      </c>
      <c r="I985" s="8" t="n"/>
      <c r="J985" s="8">
        <f>IF(G985="","",G985*I985)</f>
        <v/>
      </c>
    </row>
    <row r="986">
      <c r="A986" s="38" t="n"/>
      <c r="G986">
        <f>IF(F986="","",F986-E986)</f>
        <v/>
      </c>
      <c r="H986" s="30">
        <f>IF(E986&gt;0,G986/E986*100,0)</f>
        <v/>
      </c>
      <c r="I986" s="8" t="n"/>
      <c r="J986" s="8">
        <f>IF(G986="","",G986*I986)</f>
        <v/>
      </c>
    </row>
    <row r="987">
      <c r="A987" s="38" t="n"/>
      <c r="G987">
        <f>IF(F987="","",F987-E987)</f>
        <v/>
      </c>
      <c r="H987" s="30">
        <f>IF(E987&gt;0,G987/E987*100,0)</f>
        <v/>
      </c>
      <c r="I987" s="8" t="n"/>
      <c r="J987" s="8">
        <f>IF(G987="","",G987*I987)</f>
        <v/>
      </c>
    </row>
    <row r="988">
      <c r="A988" s="38" t="n"/>
      <c r="G988">
        <f>IF(F988="","",F988-E988)</f>
        <v/>
      </c>
      <c r="H988" s="30">
        <f>IF(E988&gt;0,G988/E988*100,0)</f>
        <v/>
      </c>
      <c r="I988" s="8" t="n"/>
      <c r="J988" s="8">
        <f>IF(G988="","",G988*I988)</f>
        <v/>
      </c>
    </row>
    <row r="989">
      <c r="A989" s="38" t="n"/>
      <c r="G989">
        <f>IF(F989="","",F989-E989)</f>
        <v/>
      </c>
      <c r="H989" s="30">
        <f>IF(E989&gt;0,G989/E989*100,0)</f>
        <v/>
      </c>
      <c r="I989" s="8" t="n"/>
      <c r="J989" s="8">
        <f>IF(G989="","",G989*I989)</f>
        <v/>
      </c>
    </row>
    <row r="990">
      <c r="A990" s="38" t="n"/>
      <c r="G990">
        <f>IF(F990="","",F990-E990)</f>
        <v/>
      </c>
      <c r="H990" s="30">
        <f>IF(E990&gt;0,G990/E990*100,0)</f>
        <v/>
      </c>
      <c r="I990" s="8" t="n"/>
      <c r="J990" s="8">
        <f>IF(G990="","",G990*I990)</f>
        <v/>
      </c>
    </row>
    <row r="991">
      <c r="A991" s="38" t="n"/>
      <c r="G991">
        <f>IF(F991="","",F991-E991)</f>
        <v/>
      </c>
      <c r="H991" s="30">
        <f>IF(E991&gt;0,G991/E991*100,0)</f>
        <v/>
      </c>
      <c r="I991" s="8" t="n"/>
      <c r="J991" s="8">
        <f>IF(G991="","",G991*I991)</f>
        <v/>
      </c>
    </row>
    <row r="992">
      <c r="A992" s="38" t="n"/>
      <c r="G992">
        <f>IF(F992="","",F992-E992)</f>
        <v/>
      </c>
      <c r="H992" s="30">
        <f>IF(E992&gt;0,G992/E992*100,0)</f>
        <v/>
      </c>
      <c r="I992" s="8" t="n"/>
      <c r="J992" s="8">
        <f>IF(G992="","",G992*I992)</f>
        <v/>
      </c>
    </row>
    <row r="993">
      <c r="A993" s="38" t="n"/>
      <c r="G993">
        <f>IF(F993="","",F993-E993)</f>
        <v/>
      </c>
      <c r="H993" s="30">
        <f>IF(E993&gt;0,G993/E993*100,0)</f>
        <v/>
      </c>
      <c r="I993" s="8" t="n"/>
      <c r="J993" s="8">
        <f>IF(G993="","",G993*I993)</f>
        <v/>
      </c>
    </row>
    <row r="994">
      <c r="A994" s="38" t="n"/>
      <c r="G994">
        <f>IF(F994="","",F994-E994)</f>
        <v/>
      </c>
      <c r="H994" s="30">
        <f>IF(E994&gt;0,G994/E994*100,0)</f>
        <v/>
      </c>
      <c r="I994" s="8" t="n"/>
      <c r="J994" s="8">
        <f>IF(G994="","",G994*I994)</f>
        <v/>
      </c>
    </row>
    <row r="995">
      <c r="A995" s="38" t="n"/>
      <c r="G995">
        <f>IF(F995="","",F995-E995)</f>
        <v/>
      </c>
      <c r="H995" s="30">
        <f>IF(E995&gt;0,G995/E995*100,0)</f>
        <v/>
      </c>
      <c r="I995" s="8" t="n"/>
      <c r="J995" s="8">
        <f>IF(G995="","",G995*I995)</f>
        <v/>
      </c>
    </row>
    <row r="996">
      <c r="A996" s="38" t="n"/>
      <c r="G996">
        <f>IF(F996="","",F996-E996)</f>
        <v/>
      </c>
      <c r="H996" s="30">
        <f>IF(E996&gt;0,G996/E996*100,0)</f>
        <v/>
      </c>
      <c r="I996" s="8" t="n"/>
      <c r="J996" s="8">
        <f>IF(G996="","",G996*I996)</f>
        <v/>
      </c>
    </row>
    <row r="997">
      <c r="A997" s="38" t="n"/>
      <c r="G997">
        <f>IF(F997="","",F997-E997)</f>
        <v/>
      </c>
      <c r="H997" s="30">
        <f>IF(E997&gt;0,G997/E997*100,0)</f>
        <v/>
      </c>
      <c r="I997" s="8" t="n"/>
      <c r="J997" s="8">
        <f>IF(G997="","",G997*I997)</f>
        <v/>
      </c>
    </row>
    <row r="998">
      <c r="A998" s="38" t="n"/>
      <c r="G998">
        <f>IF(F998="","",F998-E998)</f>
        <v/>
      </c>
      <c r="H998" s="30">
        <f>IF(E998&gt;0,G998/E998*100,0)</f>
        <v/>
      </c>
      <c r="I998" s="8" t="n"/>
      <c r="J998" s="8">
        <f>IF(G998="","",G998*I998)</f>
        <v/>
      </c>
    </row>
    <row r="999">
      <c r="A999" s="38" t="n"/>
      <c r="G999">
        <f>IF(F999="","",F999-E999)</f>
        <v/>
      </c>
      <c r="H999" s="30">
        <f>IF(E999&gt;0,G999/E999*100,0)</f>
        <v/>
      </c>
      <c r="I999" s="8" t="n"/>
      <c r="J999" s="8">
        <f>IF(G999="","",G999*I999)</f>
        <v/>
      </c>
    </row>
  </sheetData>
  <mergeCells count="2">
    <mergeCell ref="A3:L3"/>
    <mergeCell ref="A1:L1"/>
  </mergeCells>
  <conditionalFormatting sqref="H5:H1000">
    <cfRule type="cellIs" priority="1" operator="lessThan" dxfId="0">
      <formula>-5</formula>
    </cfRule>
    <cfRule type="cellIs" priority="2" operator="greaterThan" dxfId="2">
      <formula>0</formula>
    </cfRule>
  </conditionalFormatting>
  <dataValidations count="2">
    <dataValidation sqref="K5:K1000" showDropDown="0" showInputMessage="0" showErrorMessage="0" allowBlank="0" type="list">
      <formula1>"-,Périmé,Perte cuisine,Erreur comptage,Vol/Perte,Casse,Offert,Échantillon,Autre"</formula1>
    </dataValidation>
    <dataValidation sqref="M5:M1000" showDropDown="0" showInputMessage="0" showErrorMessage="0" allowBlank="0" type="list">
      <formula1>"Oui,Non,En attente"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5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2" t="inlineStr">
        <is>
          <t>📉 TABLEAUX DE BORD ANALYTIQUES</t>
        </is>
      </c>
    </row>
    <row r="3">
      <c r="A3" t="inlineStr">
        <is>
          <t>Période d'analyse:</t>
        </is>
      </c>
      <c r="C3" t="inlineStr">
        <is>
          <t>Mois en cours</t>
        </is>
      </c>
      <c r="D3" t="inlineStr">
        <is>
          <t>Trimestre</t>
        </is>
      </c>
      <c r="E3" t="inlineStr">
        <is>
          <t>Année</t>
        </is>
      </c>
      <c r="F3" t="inlineStr">
        <is>
          <t>Personnalisé</t>
        </is>
      </c>
    </row>
    <row r="5">
      <c r="A5" s="13" t="inlineStr">
        <is>
          <t>📊 PERFORMANCE COMMERCIALE</t>
        </is>
      </c>
      <c r="J5" s="39" t="inlineStr">
        <is>
          <t>📈 ANALYSE PAR CATÉGORIE</t>
        </is>
      </c>
    </row>
    <row r="6">
      <c r="A6" s="40" t="inlineStr">
        <is>
          <t>Chiffre d'Affaires</t>
        </is>
      </c>
      <c r="C6" s="41">
        <f>SUM(VENTES!G:G)</f>
        <v/>
      </c>
      <c r="J6" s="37" t="inlineStr">
        <is>
          <t>Catégorie</t>
        </is>
      </c>
      <c r="K6" s="37" t="inlineStr">
        <is>
          <t>CA HT</t>
        </is>
      </c>
      <c r="L6" s="37" t="inlineStr">
        <is>
          <t>% CA</t>
        </is>
      </c>
      <c r="M6" s="37" t="inlineStr">
        <is>
          <t>Marge</t>
        </is>
      </c>
      <c r="N6" s="37" t="inlineStr">
        <is>
          <t>% Marge</t>
        </is>
      </c>
      <c r="O6" s="37" t="inlineStr">
        <is>
          <t>Nb Ventes</t>
        </is>
      </c>
      <c r="P6" s="37" t="inlineStr">
        <is>
          <t>Panier Moyen</t>
        </is>
      </c>
      <c r="Q6" s="37" t="inlineStr">
        <is>
          <t>Performance</t>
        </is>
      </c>
    </row>
    <row r="7">
      <c r="A7" s="40" t="inlineStr">
        <is>
          <t>Marge Brute</t>
        </is>
      </c>
      <c r="C7" s="41">
        <f>SUM(VENTES!H:H)</f>
        <v/>
      </c>
      <c r="J7" t="inlineStr">
        <is>
          <t>Entrées</t>
        </is>
      </c>
      <c r="K7" s="8">
        <f>SUMIF(VENTES!L:L, "Entrées", VENTES!G:G)</f>
        <v/>
      </c>
      <c r="L7" s="30">
        <f>IF(SUM(VENTES!G:G)&gt;0,K7/SUM(VENTES!G:G)*100,0)</f>
        <v/>
      </c>
      <c r="M7" s="8">
        <f>SUMIF(VENTES!L:L, "Entrées", VENTES!H:H)</f>
        <v/>
      </c>
      <c r="N7" s="30">
        <f>IF(K7&gt;0,L7/K7*100,0)</f>
        <v/>
      </c>
      <c r="O7">
        <f>COUNTIF(VENTES!L:L, "Entrées")</f>
        <v/>
      </c>
      <c r="P7" s="8">
        <f>IF(O7&gt;0,K7/O7,0)</f>
        <v/>
      </c>
      <c r="Q7">
        <f>IF(M7&gt;30,"🌟 Excellent",IF(M7&gt;20,"✓ Bon",IF(M7&gt;10,"⚠️ Moyen","🔴 Faible")))</f>
        <v/>
      </c>
    </row>
    <row r="8">
      <c r="A8" s="40" t="inlineStr">
        <is>
          <t>Taux de Marge</t>
        </is>
      </c>
      <c r="C8" s="42">
        <f>IF(SUM(VENTES!G:G)&gt;0,SUM(VENTES!H:H)/SUM(VENTES!G:G)*100,0)</f>
        <v/>
      </c>
      <c r="J8" t="inlineStr">
        <is>
          <t>Plats Principaux</t>
        </is>
      </c>
      <c r="K8" s="8">
        <f>SUMIF(VENTES!L:L, "Plats Principaux", VENTES!G:G)</f>
        <v/>
      </c>
      <c r="L8" s="30">
        <f>IF(SUM(VENTES!G:G)&gt;0,K8/SUM(VENTES!G:G)*100,0)</f>
        <v/>
      </c>
      <c r="M8" s="8">
        <f>SUMIF(VENTES!L:L, "Plats Principaux", VENTES!H:H)</f>
        <v/>
      </c>
      <c r="N8" s="30">
        <f>IF(K8&gt;0,L8/K8*100,0)</f>
        <v/>
      </c>
      <c r="O8">
        <f>COUNTIF(VENTES!L:L, "Plats Principaux")</f>
        <v/>
      </c>
      <c r="P8" s="8">
        <f>IF(O8&gt;0,K8/O8,0)</f>
        <v/>
      </c>
      <c r="Q8">
        <f>IF(M8&gt;30,"🌟 Excellent",IF(M8&gt;20,"✓ Bon",IF(M8&gt;10,"⚠️ Moyen","🔴 Faible")))</f>
        <v/>
      </c>
    </row>
    <row r="9">
      <c r="A9" s="40" t="inlineStr">
        <is>
          <t>Nombre de Couverts</t>
        </is>
      </c>
      <c r="C9" s="43">
        <f>COUNTA(VENTES!A:A)-1</f>
        <v/>
      </c>
      <c r="J9" t="inlineStr">
        <is>
          <t>Desserts</t>
        </is>
      </c>
      <c r="K9" s="8">
        <f>SUMIF(VENTES!L:L, "Desserts", VENTES!G:G)</f>
        <v/>
      </c>
      <c r="L9" s="30">
        <f>IF(SUM(VENTES!G:G)&gt;0,K9/SUM(VENTES!G:G)*100,0)</f>
        <v/>
      </c>
      <c r="M9" s="8">
        <f>SUMIF(VENTES!L:L, "Desserts", VENTES!H:H)</f>
        <v/>
      </c>
      <c r="N9" s="30">
        <f>IF(K9&gt;0,L9/K9*100,0)</f>
        <v/>
      </c>
      <c r="O9">
        <f>COUNTIF(VENTES!L:L, "Desserts")</f>
        <v/>
      </c>
      <c r="P9" s="8">
        <f>IF(O9&gt;0,K9/O9,0)</f>
        <v/>
      </c>
      <c r="Q9">
        <f>IF(M9&gt;30,"🌟 Excellent",IF(M9&gt;20,"✓ Bon",IF(M9&gt;10,"⚠️ Moyen","🔴 Faible")))</f>
        <v/>
      </c>
    </row>
    <row r="10">
      <c r="A10" s="40" t="inlineStr">
        <is>
          <t>Panier Moyen</t>
        </is>
      </c>
      <c r="C10" s="41">
        <f>IF(COUNTA(VENTES!A:A)&gt;1,SUM(VENTES!G:G)/(COUNTA(VENTES!A:A)-1),0)</f>
        <v/>
      </c>
      <c r="J10" t="inlineStr">
        <is>
          <t>Boissons</t>
        </is>
      </c>
      <c r="K10" s="8">
        <f>SUMIF(VENTES!L:L, "Boissons", VENTES!G:G)</f>
        <v/>
      </c>
      <c r="L10" s="30">
        <f>IF(SUM(VENTES!G:G)&gt;0,K10/SUM(VENTES!G:G)*100,0)</f>
        <v/>
      </c>
      <c r="M10" s="8">
        <f>SUMIF(VENTES!L:L, "Boissons", VENTES!H:H)</f>
        <v/>
      </c>
      <c r="N10" s="30">
        <f>IF(K10&gt;0,L10/K10*100,0)</f>
        <v/>
      </c>
      <c r="O10">
        <f>COUNTIF(VENTES!L:L, "Boissons")</f>
        <v/>
      </c>
      <c r="P10" s="8">
        <f>IF(O10&gt;0,K10/O10,0)</f>
        <v/>
      </c>
      <c r="Q10">
        <f>IF(M10&gt;30,"🌟 Excellent",IF(M10&gt;20,"✓ Bon",IF(M10&gt;10,"⚠️ Moyen","🔴 Faible")))</f>
        <v/>
      </c>
    </row>
    <row r="11">
      <c r="A11" s="40" t="inlineStr">
        <is>
          <t>Coût Matière Total</t>
        </is>
      </c>
      <c r="C11" s="41">
        <f>SUM(VENTES!I:I)</f>
        <v/>
      </c>
      <c r="J11" t="inlineStr">
        <is>
          <t>Cafés</t>
        </is>
      </c>
      <c r="K11" s="8">
        <f>SUMIF(VENTES!L:L, "Cafés", VENTES!G:G)</f>
        <v/>
      </c>
      <c r="L11" s="30">
        <f>IF(SUM(VENTES!G:G)&gt;0,K11/SUM(VENTES!G:G)*100,0)</f>
        <v/>
      </c>
      <c r="M11" s="8">
        <f>SUMIF(VENTES!L:L, "Cafés", VENTES!H:H)</f>
        <v/>
      </c>
      <c r="N11" s="30">
        <f>IF(K11&gt;0,L11/K11*100,0)</f>
        <v/>
      </c>
      <c r="O11">
        <f>COUNTIF(VENTES!L:L, "Cafés")</f>
        <v/>
      </c>
      <c r="P11" s="8">
        <f>IF(O11&gt;0,K11/O11,0)</f>
        <v/>
      </c>
      <c r="Q11">
        <f>IF(M11&gt;30,"🌟 Excellent",IF(M11&gt;20,"✓ Bon",IF(M11&gt;10,"⚠️ Moyen","🔴 Faible")))</f>
        <v/>
      </c>
    </row>
    <row r="12">
      <c r="A12" s="40" t="inlineStr">
        <is>
          <t>Taux Coût Matière</t>
        </is>
      </c>
      <c r="C12" s="42">
        <f>IF(SUM(VENTES!G:G)&gt;0,SUM(VENTES!I:I)/SUM(VENTES!G:G)*100,0)</f>
        <v/>
      </c>
      <c r="J12" t="inlineStr">
        <is>
          <t>Vins</t>
        </is>
      </c>
      <c r="K12" s="8">
        <f>SUMIF(VENTES!L:L, "Vins", VENTES!G:G)</f>
        <v/>
      </c>
      <c r="L12" s="30">
        <f>IF(SUM(VENTES!G:G)&gt;0,K12/SUM(VENTES!G:G)*100,0)</f>
        <v/>
      </c>
      <c r="M12" s="8">
        <f>SUMIF(VENTES!L:L, "Vins", VENTES!H:H)</f>
        <v/>
      </c>
      <c r="N12" s="30">
        <f>IF(K12&gt;0,L12/K12*100,0)</f>
        <v/>
      </c>
      <c r="O12">
        <f>COUNTIF(VENTES!L:L, "Vins")</f>
        <v/>
      </c>
      <c r="P12" s="8">
        <f>IF(O12&gt;0,K12/O12,0)</f>
        <v/>
      </c>
      <c r="Q12">
        <f>IF(M12&gt;30,"🌟 Excellent",IF(M12&gt;20,"✓ Bon",IF(M12&gt;10,"⚠️ Moyen","🔴 Faible")))</f>
        <v/>
      </c>
    </row>
    <row r="13">
      <c r="A13" s="40" t="inlineStr">
        <is>
          <t>TVA Collectée</t>
        </is>
      </c>
      <c r="C13" s="41">
        <f>SUM(VENTES!J:J)</f>
        <v/>
      </c>
      <c r="J13" t="inlineStr">
        <is>
          <t>Autres</t>
        </is>
      </c>
      <c r="K13" s="8">
        <f>SUMIF(VENTES!L:L, "Autres", VENTES!G:G)</f>
        <v/>
      </c>
      <c r="L13" s="30">
        <f>IF(SUM(VENTES!G:G)&gt;0,K13/SUM(VENTES!G:G)*100,0)</f>
        <v/>
      </c>
      <c r="M13" s="8">
        <f>SUMIF(VENTES!L:L, "Autres", VENTES!H:H)</f>
        <v/>
      </c>
      <c r="N13" s="30">
        <f>IF(K13&gt;0,L13/K13*100,0)</f>
        <v/>
      </c>
      <c r="O13">
        <f>COUNTIF(VENTES!L:L, "Autres")</f>
        <v/>
      </c>
      <c r="P13" s="8">
        <f>IF(O13&gt;0,K13/O13,0)</f>
        <v/>
      </c>
      <c r="Q13">
        <f>IF(M13&gt;30,"🌟 Excellent",IF(M13&gt;20,"✓ Bon",IF(M13&gt;10,"⚠️ Moyen","🔴 Faible")))</f>
        <v/>
      </c>
    </row>
    <row r="18">
      <c r="A18" s="44" t="inlineStr">
        <is>
          <t>⏰ ANALYSE TEMPORELLE</t>
        </is>
      </c>
      <c r="J18" s="45" t="inlineStr">
        <is>
          <t>⚙️ INDICATEURS OPÉRATIONNELS</t>
        </is>
      </c>
    </row>
    <row r="19">
      <c r="A19" s="37" t="inlineStr">
        <is>
          <t>Jour</t>
        </is>
      </c>
      <c r="B19" s="37" t="inlineStr">
        <is>
          <t>CA HT</t>
        </is>
      </c>
      <c r="C19" s="37" t="inlineStr">
        <is>
          <t>Marge</t>
        </is>
      </c>
      <c r="D19" s="37" t="inlineStr">
        <is>
          <t>Nb Ventes</t>
        </is>
      </c>
      <c r="E19" s="37" t="inlineStr">
        <is>
          <t>Panier Moyen</t>
        </is>
      </c>
      <c r="F19" s="37" t="inlineStr">
        <is>
          <t>Service</t>
        </is>
      </c>
      <c r="G19" s="37" t="inlineStr">
        <is>
          <t>Meilleur Produit</t>
        </is>
      </c>
      <c r="H19" s="37" t="inlineStr">
        <is>
          <t>Observation</t>
        </is>
      </c>
      <c r="J19" s="46" t="inlineStr">
        <is>
          <t>Taux de Rotation Stock</t>
        </is>
      </c>
      <c r="L19" s="47">
        <f>IF(SUM(PRODUITS!G:G)&gt;0,SUM(VENTES!I:I)/SUM(PRODUITS!G:G)*12,0)</f>
        <v/>
      </c>
    </row>
    <row r="20">
      <c r="A20" t="inlineStr">
        <is>
          <t>Lundi</t>
        </is>
      </c>
      <c r="B20" s="8">
        <f>SUMIFS(VENTES!G:G, VENTES!A:A, "*")</f>
        <v/>
      </c>
      <c r="C20" s="8">
        <f>SUMIFS(VENTES!H:H, VENTES!A:A, "*")</f>
        <v/>
      </c>
      <c r="D20">
        <f>COUNTIFS(VENTES!A:A, "*")</f>
        <v/>
      </c>
      <c r="E20" s="8">
        <f>IF(D20&gt;0,B20/D20,0)</f>
        <v/>
      </c>
      <c r="F20" t="inlineStr">
        <is>
          <t>Mixte</t>
        </is>
      </c>
      <c r="G20" t="inlineStr">
        <is>
          <t>-</t>
        </is>
      </c>
      <c r="H20" t="inlineStr">
        <is>
          <t>-</t>
        </is>
      </c>
      <c r="J20" s="46" t="inlineStr">
        <is>
          <t>Durée Moyenne Stock</t>
        </is>
      </c>
      <c r="L20" s="47">
        <f>IF(Q21&gt;0,365/Q21,0)</f>
        <v/>
      </c>
    </row>
    <row r="21">
      <c r="A21" t="inlineStr">
        <is>
          <t>Mardi</t>
        </is>
      </c>
      <c r="B21" s="8">
        <f>SUMIFS(VENTES!G:G, VENTES!A:A, "*")</f>
        <v/>
      </c>
      <c r="C21" s="8">
        <f>SUMIFS(VENTES!H:H, VENTES!A:A, "*")</f>
        <v/>
      </c>
      <c r="D21">
        <f>COUNTIFS(VENTES!A:A, "*")</f>
        <v/>
      </c>
      <c r="E21" s="8">
        <f>IF(D21&gt;0,B21/D21,0)</f>
        <v/>
      </c>
      <c r="F21" t="inlineStr">
        <is>
          <t>Mixte</t>
        </is>
      </c>
      <c r="G21" t="inlineStr">
        <is>
          <t>-</t>
        </is>
      </c>
      <c r="H21" t="inlineStr">
        <is>
          <t>-</t>
        </is>
      </c>
      <c r="J21" s="46" t="inlineStr">
        <is>
          <t>Taux de Perte</t>
        </is>
      </c>
      <c r="L21" s="48">
        <f>IF(SUM(VENTES!G:G)&gt;0,ABS(SUM(INVENTAIRES!J:J))/SUM(VENTES!G:G)*100,0)</f>
        <v/>
      </c>
    </row>
    <row r="22">
      <c r="A22" t="inlineStr">
        <is>
          <t>Mercredi</t>
        </is>
      </c>
      <c r="B22" s="8">
        <f>SUMIFS(VENTES!G:G, VENTES!A:A, "*")</f>
        <v/>
      </c>
      <c r="C22" s="8">
        <f>SUMIFS(VENTES!H:H, VENTES!A:A, "*")</f>
        <v/>
      </c>
      <c r="D22">
        <f>COUNTIFS(VENTES!A:A, "*")</f>
        <v/>
      </c>
      <c r="E22" s="8">
        <f>IF(D22&gt;0,B22/D22,0)</f>
        <v/>
      </c>
      <c r="F22" t="inlineStr">
        <is>
          <t>Mixte</t>
        </is>
      </c>
      <c r="G22" t="inlineStr">
        <is>
          <t>-</t>
        </is>
      </c>
      <c r="H22" t="inlineStr">
        <is>
          <t>-</t>
        </is>
      </c>
      <c r="J22" s="46" t="inlineStr">
        <is>
          <t>Coût Personnel/CA</t>
        </is>
      </c>
      <c r="L22" s="48">
        <f>0</f>
        <v/>
      </c>
    </row>
    <row r="23">
      <c r="A23" t="inlineStr">
        <is>
          <t>Jeudi</t>
        </is>
      </c>
      <c r="B23" s="8">
        <f>SUMIFS(VENTES!G:G, VENTES!A:A, "*")</f>
        <v/>
      </c>
      <c r="C23" s="8">
        <f>SUMIFS(VENTES!H:H, VENTES!A:A, "*")</f>
        <v/>
      </c>
      <c r="D23">
        <f>COUNTIFS(VENTES!A:A, "*")</f>
        <v/>
      </c>
      <c r="E23" s="8">
        <f>IF(D23&gt;0,B23/D23,0)</f>
        <v/>
      </c>
      <c r="F23" t="inlineStr">
        <is>
          <t>Mixte</t>
        </is>
      </c>
      <c r="G23" t="inlineStr">
        <is>
          <t>-</t>
        </is>
      </c>
      <c r="H23" t="inlineStr">
        <is>
          <t>-</t>
        </is>
      </c>
      <c r="J23" s="46" t="inlineStr">
        <is>
          <t>Taux de Service</t>
        </is>
      </c>
      <c r="L23" s="48">
        <f>IF(COUNTA(VENTES!A:A)&gt;1,(COUNTA(VENTES!A:A)-COUNTIF(VENTES!P:P,"✗ Annulé"))/(COUNTA(VENTES!A:A)-1)*100,0)</f>
        <v/>
      </c>
    </row>
    <row r="24">
      <c r="A24" t="inlineStr">
        <is>
          <t>Vendredi</t>
        </is>
      </c>
      <c r="B24" s="8">
        <f>SUMIFS(VENTES!G:G, VENTES!A:A, "*")</f>
        <v/>
      </c>
      <c r="C24" s="8">
        <f>SUMIFS(VENTES!H:H, VENTES!A:A, "*")</f>
        <v/>
      </c>
      <c r="D24">
        <f>COUNTIFS(VENTES!A:A, "*")</f>
        <v/>
      </c>
      <c r="E24" s="8">
        <f>IF(D24&gt;0,B24/D24,0)</f>
        <v/>
      </c>
      <c r="F24" t="inlineStr">
        <is>
          <t>Mixte</t>
        </is>
      </c>
      <c r="G24" t="inlineStr">
        <is>
          <t>-</t>
        </is>
      </c>
      <c r="H24" t="inlineStr">
        <is>
          <t>-</t>
        </is>
      </c>
      <c r="J24" s="46" t="inlineStr">
        <is>
          <t>Produits en Rupture</t>
        </is>
      </c>
      <c r="L24" s="47">
        <f>COUNTIF(PRODUITS!N:N, "⚠️ RUPTURE")</f>
        <v/>
      </c>
    </row>
    <row r="25">
      <c r="A25" t="inlineStr">
        <is>
          <t>Samedi</t>
        </is>
      </c>
      <c r="B25" s="8">
        <f>SUMIFS(VENTES!G:G, VENTES!A:A, "*")</f>
        <v/>
      </c>
      <c r="C25" s="8">
        <f>SUMIFS(VENTES!H:H, VENTES!A:A, "*")</f>
        <v/>
      </c>
      <c r="D25">
        <f>COUNTIFS(VENTES!A:A, "*")</f>
        <v/>
      </c>
      <c r="E25" s="8">
        <f>IF(D25&gt;0,B25/D25,0)</f>
        <v/>
      </c>
      <c r="F25" t="inlineStr">
        <is>
          <t>Mixte</t>
        </is>
      </c>
      <c r="G25" t="inlineStr">
        <is>
          <t>-</t>
        </is>
      </c>
      <c r="H25" t="inlineStr">
        <is>
          <t>-</t>
        </is>
      </c>
      <c r="J25" s="46" t="inlineStr">
        <is>
          <t>Commandes en Retard</t>
        </is>
      </c>
      <c r="L25" s="47">
        <f>COUNTIF(FOURNISSEURS!U:U, "En attente")</f>
        <v/>
      </c>
    </row>
    <row r="26">
      <c r="A26" t="inlineStr">
        <is>
          <t>Dimanche</t>
        </is>
      </c>
      <c r="B26" s="8">
        <f>SUMIFS(VENTES!G:G, VENTES!A:A, "*")</f>
        <v/>
      </c>
      <c r="C26" s="8">
        <f>SUMIFS(VENTES!H:H, VENTES!A:A, "*")</f>
        <v/>
      </c>
      <c r="D26">
        <f>COUNTIFS(VENTES!A:A, "*")</f>
        <v/>
      </c>
      <c r="E26" s="8">
        <f>IF(D26&gt;0,B26/D26,0)</f>
        <v/>
      </c>
      <c r="F26" t="inlineStr">
        <is>
          <t>Mixte</t>
        </is>
      </c>
      <c r="G26" t="inlineStr">
        <is>
          <t>-</t>
        </is>
      </c>
      <c r="H26" t="inlineStr">
        <is>
          <t>-</t>
        </is>
      </c>
      <c r="J26" s="46" t="inlineStr">
        <is>
          <t>Fournisseurs Actifs</t>
        </is>
      </c>
      <c r="L26" s="47">
        <f>COUNTIF(FOURNISSEURS!N:N, "✓ Actif")</f>
        <v/>
      </c>
    </row>
    <row r="30">
      <c r="A30" s="49" t="inlineStr">
        <is>
          <t>💡 RECOMMANDATIONS AUTOMATIQUES</t>
        </is>
      </c>
    </row>
    <row r="31">
      <c r="A31" s="50">
        <f>IF(Q22&gt;60,"📦 Réduire les niveaux de stock - Durée trop longue","✓ Niveau de stock optimal")</f>
        <v/>
      </c>
    </row>
    <row r="32">
      <c r="A32" s="50">
        <f>IF(Q23&gt;5,"⚠️ Taux de perte élevé - Renforcer les contrôles","✓ Taux de perte acceptable")</f>
        <v/>
      </c>
    </row>
    <row r="33">
      <c r="A33" s="50">
        <f>IF(COUNTIF(PRODUITS!N:N,"⚠️ RUPTURE")&gt;3,"🔴 Multiples ruptures - Revoir les stocks minimum","✓ Pas de rupture critique")</f>
        <v/>
      </c>
    </row>
    <row r="34">
      <c r="A34" s="50">
        <f>IF(SUM(VENTES!H:H)/SUM(VENTES!G:G)&lt;0.3,"⚠️ Marge insuffisante - Revoir les prix ou coûts","✓ Marge satisfaisante")</f>
        <v/>
      </c>
    </row>
    <row r="35">
      <c r="A35" s="50">
        <f>IF(COUNTIF(FOURNISSEURS!U:U,"En attente")&gt;5,"📋 Nombreuses commandes en attente - Suivre les livraisons","✓ Commandes sous contrôle")</f>
        <v/>
      </c>
    </row>
  </sheetData>
  <mergeCells count="6">
    <mergeCell ref="A18:H18"/>
    <mergeCell ref="A30:H30"/>
    <mergeCell ref="A1:Z1"/>
    <mergeCell ref="J5:Q5"/>
    <mergeCell ref="A5:H5"/>
    <mergeCell ref="J18:Q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2026-05-26T10:41:44Z</dcterms:created>
  <dcterms:modified xmlns:dcterms="http://purl.org/dc/terms/" xmlns:xsi="http://www.w3.org/2001/XMLSchema-instance" xsi:type="dcterms:W3CDTF">2026-05-26T10:41:45Z</dcterms:modified>
</cp:coreProperties>
</file>