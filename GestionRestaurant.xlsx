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LATS" sheetId="3" state="visible" r:id="rId3"/>
    <sheet xmlns:r="http://schemas.openxmlformats.org/officeDocument/2006/relationships" name="STOCK_CUISINE" sheetId="4" state="visible" r:id="rId4"/>
    <sheet xmlns:r="http://schemas.openxmlformats.org/officeDocument/2006/relationships" name="VENTES" sheetId="5" state="visible" r:id="rId5"/>
    <sheet xmlns:r="http://schemas.openxmlformats.org/officeDocument/2006/relationships" name="RECAP_VENTES" sheetId="6" state="visible" r:id="rId6"/>
    <sheet xmlns:r="http://schemas.openxmlformats.org/officeDocument/2006/relationships" name="AIDE" sheetId="7" state="visible" r:id="rId7"/>
  </sheets>
  <definedNames>
    <definedName name="ListePlats">none</definedName>
    <definedName name="NomsPlatsComplets">none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3">
    <font>
      <name val="Calibri"/>
      <family val="2"/>
      <color theme="1"/>
      <sz val="11"/>
      <scheme val="minor"/>
    </font>
    <font>
      <b val="1"/>
      <color rgb="002C3E50"/>
      <sz val="24"/>
    </font>
    <font>
      <color rgb="007F8C8D"/>
      <sz val="16"/>
    </font>
    <font>
      <b val="1"/>
      <color rgb="002C3E50"/>
      <sz val="14"/>
    </font>
    <font>
      <color rgb="002980B9"/>
      <sz val="12"/>
      <u val="single"/>
    </font>
    <font>
      <name val="Calibri"/>
      <family val="2"/>
      <color theme="10"/>
      <sz val="12"/>
      <scheme val="minor"/>
    </font>
    <font>
      <b val="1"/>
      <color rgb="00E74C3C"/>
      <sz val="14"/>
    </font>
    <font>
      <color rgb="007F8C8D"/>
      <sz val="10"/>
    </font>
    <font>
      <color rgb="007F8C8D"/>
      <sz val="12"/>
    </font>
    <font>
      <b val="1"/>
      <color rgb="0034495E"/>
      <sz val="12"/>
    </font>
    <font>
      <b val="1"/>
      <color rgb="0027AE60"/>
      <sz val="18"/>
    </font>
    <font>
      <b val="1"/>
    </font>
    <font>
      <b val="1"/>
      <color rgb="002C3E50"/>
      <sz val="20"/>
    </font>
    <font>
      <b val="1"/>
      <color rgb="007F8C8D"/>
      <sz val="14"/>
    </font>
    <font>
      <b val="1"/>
      <color rgb="00FFFFFF"/>
    </font>
    <font>
      <b val="1"/>
      <color rgb="002C3E50"/>
      <sz val="12"/>
    </font>
    <font>
      <b val="1"/>
      <color rgb="00FFFFFF"/>
      <sz val="10"/>
    </font>
    <font>
      <b val="1"/>
      <color rgb="0027AE60"/>
      <sz val="12"/>
    </font>
    <font>
      <color rgb="007F8C8D"/>
      <sz val="11"/>
    </font>
    <font>
      <color rgb="00E74C3C"/>
      <sz val="11"/>
    </font>
    <font>
      <b val="1"/>
      <color rgb="002C3E50"/>
    </font>
    <font>
      <color rgb="0034495E"/>
      <sz val="10"/>
    </font>
    <font>
      <color rgb="0034495E"/>
      <sz val="11"/>
    </font>
  </fonts>
  <fills count="6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8F9FA"/>
        <bgColor rgb="00F8F9FA"/>
      </patternFill>
    </fill>
    <fill>
      <patternFill patternType="solid">
        <fgColor rgb="00FFFFFF"/>
        <bgColor rgb="00FFFFFF"/>
      </patternFill>
    </fill>
    <fill>
      <patternFill patternType="solid">
        <fgColor rgb="0034495E"/>
        <bgColor rgb="0034495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1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3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3" borderId="1" pivotButton="0" quotePrefix="0" xfId="0"/>
    <xf numFmtId="0" fontId="0" fillId="4" borderId="1" pivotButton="0" quotePrefix="0" xfId="0"/>
    <xf numFmtId="0" fontId="14" fillId="2" borderId="0" pivotButton="0" quotePrefix="0" xfId="0"/>
    <xf numFmtId="164" fontId="0" fillId="0" borderId="0" pivotButton="0" quotePrefix="0" xfId="0"/>
    <xf numFmtId="0" fontId="15" fillId="0" borderId="0" pivotButton="0" quotePrefix="0" xfId="0"/>
    <xf numFmtId="0" fontId="16" fillId="5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5" fontId="0" fillId="0" borderId="0" pivotButton="0" quotePrefix="0" xfId="0"/>
    <xf numFmtId="3" fontId="17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14" fillId="2" borderId="0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</cellXfs>
  <cellStyles count="2">
    <cellStyle name="Normal" xfId="0" builtinId="0" hidden="0"/>
    <cellStyle name="Hyperlink" xfId="1" builtinId="8" hidden="0"/>
  </cellStyles>
  <dxfs count="4">
    <dxf>
      <font>
        <b val="1"/>
      </font>
      <fill>
        <patternFill patternType="solid">
          <fgColor rgb="00FFCCCC"/>
          <bgColor rgb="00FFCCCC"/>
        </patternFill>
      </fill>
    </dxf>
    <dxf>
      <font>
        <b val="1"/>
      </font>
      <fill>
        <patternFill patternType="solid">
          <fgColor rgb="00FFE5CC"/>
          <bgColor rgb="00FFE5CC"/>
        </patternFill>
      </fill>
    </dxf>
    <dxf>
      <font>
        <b val="1"/>
      </font>
      <fill>
        <patternFill patternType="solid">
          <fgColor rgb="00FFF2CC"/>
          <bgColor rgb="00FFF2CC"/>
        </patternFill>
      </fill>
    </dxf>
    <dxf>
      <fill>
        <patternFill patternType="solid">
          <fgColor rgb="00CCFFCC"/>
          <b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PLATS'!A1" TargetMode="External" Id="rId2"/><Relationship Type="http://schemas.openxmlformats.org/officeDocument/2006/relationships/hyperlink" Target="#'STOCK_CUISINE'!A1" TargetMode="External" Id="rId3"/><Relationship Type="http://schemas.openxmlformats.org/officeDocument/2006/relationships/hyperlink" Target="#'VENTES'!A1" TargetMode="External" Id="rId4"/><Relationship Type="http://schemas.openxmlformats.org/officeDocument/2006/relationships/hyperlink" Target="#'RECAP_VENTES'!A1" TargetMode="External" Id="rId5"/><Relationship Type="http://schemas.openxmlformats.org/officeDocument/2006/relationships/hyperlink" Target="#'RECETTES'!A1" TargetMode="External" Id="rId6"/><Relationship Type="http://schemas.openxmlformats.org/officeDocument/2006/relationships/hyperlink" Target="#'FOURNISSEURS'!A1" TargetMode="External" Id="rId7"/><Relationship Type="http://schemas.openxmlformats.org/officeDocument/2006/relationships/hyperlink" Target="#'INVENTAIRES'!A1" TargetMode="External" Id="rId8"/><Relationship Type="http://schemas.openxmlformats.org/officeDocument/2006/relationships/hyperlink" Target="#'TABLEAUX_BORD'!A1" TargetMode="External" Id="rId9"/><Relationship Type="http://schemas.openxmlformats.org/officeDocument/2006/relationships/hyperlink" Target="#'AIDE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5" customWidth="1" min="3" max="3"/>
    <col width="5" customWidth="1" min="4" max="4"/>
    <col width="5" customWidth="1" min="5" max="5"/>
    <col width="5" customWidth="1" min="6" max="6"/>
    <col width="25" customWidth="1" min="7" max="7"/>
    <col width="40" customWidth="1" min="8" max="8"/>
  </cols>
  <sheetData>
    <row r="1">
      <c r="A1" s="1" t="inlineStr">
        <is>
          <t>🍽️ GESTION DU RESTAURANT</t>
        </is>
      </c>
    </row>
    <row r="3">
      <c r="A3" s="2" t="inlineStr">
        <is>
          <t>Tableau de Bord de Gestion</t>
        </is>
      </c>
    </row>
    <row r="5">
      <c r="A5" s="3" t="inlineStr">
        <is>
          <t>📋 MENU PRINCIPAL</t>
        </is>
      </c>
      <c r="G5" s="4" t="inlineStr">
        <is>
          <t>⚠️ ALERTES IMPORTANTES</t>
        </is>
      </c>
    </row>
    <row r="7">
      <c r="B7" s="5" t="inlineStr">
        <is>
          <t>📊 Dashboard</t>
        </is>
      </c>
      <c r="G7" t="inlineStr">
        <is>
          <t>Stocks critiques:</t>
        </is>
      </c>
      <c r="H7">
        <f>SI(NB.SI(STOCK_CUISINE!G:G; "&lt;5")&gt;0; NB.SI(STOCK_CUISINE!G:G; "&lt;5") &amp; " articles en stock faible"; "✓ Aucun")</f>
        <v/>
      </c>
    </row>
    <row r="8">
      <c r="B8" s="5" t="inlineStr">
        <is>
          <t>🍳 Plats &amp; Menu</t>
        </is>
      </c>
    </row>
    <row r="9">
      <c r="B9" s="5" t="inlineStr">
        <is>
          <t>📦 Stocks Cuisine</t>
        </is>
      </c>
      <c r="G9" t="inlineStr">
        <is>
          <t>Ventes du jour:</t>
        </is>
      </c>
      <c r="H9">
        <f>SI(SOMME(VENTES!D:D)&gt;0; SOMME(VENTES!D:D) &amp; " FCFA"; "Aucune vente")</f>
        <v/>
      </c>
    </row>
    <row r="10">
      <c r="B10" s="5" t="inlineStr">
        <is>
          <t>💰 Ventes Journalières</t>
        </is>
      </c>
    </row>
    <row r="11">
      <c r="B11" s="5" t="inlineStr">
        <is>
          <t>📈 Récapitulatif Ventes</t>
        </is>
      </c>
      <c r="G11" t="inlineStr">
        <is>
          <t>Plats vendus aujourd'hui:</t>
        </is>
      </c>
      <c r="H11">
        <f>SI(NB(VENTES!B:B)&gt;0; NB(VENTES!B:B); "Aucun")</f>
        <v/>
      </c>
    </row>
    <row r="12">
      <c r="B12" s="5" t="inlineStr">
        <is>
          <t>🍳 Recettes</t>
        </is>
      </c>
    </row>
    <row r="13">
      <c r="B13" s="5" t="inlineStr">
        <is>
          <t>🚚 Fournisseurs</t>
        </is>
      </c>
    </row>
    <row r="14">
      <c r="B14" s="5" t="inlineStr">
        <is>
          <t>📝 Inventaires</t>
        </is>
      </c>
    </row>
    <row r="15">
      <c r="B15" s="5" t="inlineStr">
        <is>
          <t>📉 Tableaux de Bord</t>
        </is>
      </c>
    </row>
    <row r="16">
      <c r="B16" s="5" t="inlineStr">
        <is>
          <t>❓ Aide</t>
        </is>
      </c>
    </row>
    <row r="20">
      <c r="A20" s="6" t="inlineStr">
        <is>
          <t>Dernière mise à jour: 26/05/2026 12:13</t>
        </is>
      </c>
    </row>
    <row r="21">
      <c r="A21" s="6" t="inlineStr">
        <is>
          <t>Version 4.1 - Application Excel de Gestion de Restaurant</t>
        </is>
      </c>
    </row>
  </sheetData>
  <mergeCells count="2">
    <mergeCell ref="A1:E1"/>
    <mergeCell ref="A3:E3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  <hyperlink xmlns:r="http://schemas.openxmlformats.org/officeDocument/2006/relationships" ref="B16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</cols>
  <sheetData>
    <row r="1">
      <c r="A1" s="1" t="inlineStr">
        <is>
          <t>📊 TABLEAU DE BORD</t>
        </is>
      </c>
    </row>
    <row r="2">
      <c r="A2" s="7" t="inlineStr">
        <is>
          <t>Date: =AUJOURDHUI()</t>
        </is>
      </c>
    </row>
    <row r="5">
      <c r="A5" s="8" t="inlineStr">
        <is>
          <t>💰 Ventes du Jour</t>
        </is>
      </c>
      <c r="B5" s="9">
        <f>SOMME(VENTES!E:E)</f>
        <v/>
      </c>
      <c r="C5" s="6" t="inlineStr">
        <is>
          <t>FCFA</t>
        </is>
      </c>
    </row>
    <row r="8">
      <c r="A8" s="8" t="inlineStr">
        <is>
          <t>🍽️ Plats Vendus</t>
        </is>
      </c>
      <c r="B8" s="9">
        <f>SOMME(VENTES!C:C)</f>
        <v/>
      </c>
      <c r="C8" s="6" t="inlineStr">
        <is>
          <t>unités</t>
        </is>
      </c>
    </row>
    <row r="11">
      <c r="A11" s="8" t="inlineStr">
        <is>
          <t>📦 Articles en Stock Critique</t>
        </is>
      </c>
      <c r="B11" s="9">
        <f>NB.SI(STOCK_CUISINE!G:G; "⚠️ CRITIQUE") + NB.SI(STOCK_CUISINE!G:G; "⚠️ RUPTURE")</f>
        <v/>
      </c>
      <c r="C11" s="6" t="inlineStr">
        <is>
          <t>articles</t>
        </is>
      </c>
    </row>
    <row r="14">
      <c r="A14" s="8" t="inlineStr">
        <is>
          <t>📋 Total Plats au Menu</t>
        </is>
      </c>
      <c r="B14" s="9">
        <f>NBVAL(PLATS!A:A)-5</f>
        <v/>
      </c>
      <c r="C14" s="6" t="inlineStr">
        <is>
          <t>plats</t>
        </is>
      </c>
    </row>
    <row r="15">
      <c r="A15" s="3" t="inlineStr">
        <is>
          <t>📦 ÉTAT DES STOCKS</t>
        </is>
      </c>
    </row>
    <row r="17">
      <c r="A17" t="inlineStr">
        <is>
          <t>Stocks Rupture</t>
        </is>
      </c>
      <c r="B17" s="10">
        <f>NB.SI(STOCK_CUISINE!G:G; "⚠️ RUPTURE")</f>
        <v/>
      </c>
    </row>
    <row r="18">
      <c r="A18" t="inlineStr">
        <is>
          <t>Stocks Critiques</t>
        </is>
      </c>
      <c r="B18" s="10">
        <f>NB.SI(STOCK_CUISINE!G:G; "⚠️ CRITIQUE")</f>
        <v/>
      </c>
    </row>
    <row r="19">
      <c r="A19" t="inlineStr">
        <is>
          <t>Stocks Attention</t>
        </is>
      </c>
      <c r="B19" s="10">
        <f>NB.SI(STOCK_CUISINE!G:G; "⚡ ATTENTION")</f>
        <v/>
      </c>
    </row>
    <row r="20">
      <c r="A20" t="inlineStr">
        <is>
          <t>Stocks OK</t>
        </is>
      </c>
      <c r="B20" s="10">
        <f>NB.SI(STOCK_CUISINE!G:G; "✓ OK")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5" customWidth="1" min="3" max="3"/>
    <col width="25" customWidth="1" min="4" max="4"/>
  </cols>
  <sheetData>
    <row r="1">
      <c r="A1" s="11" t="inlineStr">
        <is>
          <t>🍳 GESTION DES PLATS</t>
        </is>
      </c>
    </row>
    <row r="3">
      <c r="A3" s="12" t="inlineStr">
        <is>
          <t>Liste des Plats</t>
        </is>
      </c>
    </row>
    <row r="5">
      <c r="A5" s="13" t="inlineStr">
        <is>
          <t>Plat</t>
        </is>
      </c>
      <c r="B5" s="13" t="inlineStr">
        <is>
          <t>Variante</t>
        </is>
      </c>
      <c r="C5" s="13" t="inlineStr">
        <is>
          <t>Prix (FCFA)</t>
        </is>
      </c>
      <c r="D5" s="13" t="inlineStr">
        <is>
          <t>Observation</t>
        </is>
      </c>
    </row>
    <row r="6">
      <c r="A6" s="14" t="inlineStr">
        <is>
          <t>Burger</t>
        </is>
      </c>
      <c r="B6" s="14" t="inlineStr">
        <is>
          <t>Chicken Burger</t>
        </is>
      </c>
      <c r="C6" s="14" t="n">
        <v>3500</v>
      </c>
      <c r="D6" s="14" t="inlineStr"/>
    </row>
    <row r="7">
      <c r="A7" s="15" t="inlineStr">
        <is>
          <t>Burger</t>
        </is>
      </c>
      <c r="B7" s="15" t="inlineStr">
        <is>
          <t>Burger Normal</t>
        </is>
      </c>
      <c r="C7" s="15" t="n">
        <v>3500</v>
      </c>
      <c r="D7" s="15" t="inlineStr"/>
    </row>
    <row r="8">
      <c r="A8" s="14" t="inlineStr">
        <is>
          <t>Brochette de porc</t>
        </is>
      </c>
      <c r="B8" s="14" t="inlineStr"/>
      <c r="C8" s="14" t="n">
        <v>3000</v>
      </c>
      <c r="D8" s="14" t="inlineStr">
        <is>
          <t>Trois Brochettes</t>
        </is>
      </c>
    </row>
    <row r="9">
      <c r="A9" s="15" t="inlineStr">
        <is>
          <t>Ndole Royal</t>
        </is>
      </c>
      <c r="B9" s="15" t="inlineStr">
        <is>
          <t>Viande</t>
        </is>
      </c>
      <c r="C9" s="15" t="n">
        <v>3500</v>
      </c>
      <c r="D9" s="15" t="inlineStr"/>
    </row>
    <row r="10">
      <c r="A10" s="14" t="inlineStr">
        <is>
          <t>Ndole Royal</t>
        </is>
      </c>
      <c r="B10" s="14" t="inlineStr">
        <is>
          <t>Poisson fumé</t>
        </is>
      </c>
      <c r="C10" s="14" t="n">
        <v>3500</v>
      </c>
      <c r="D10" s="14" t="inlineStr"/>
    </row>
    <row r="11">
      <c r="A11" s="15" t="inlineStr">
        <is>
          <t>Ndole Royal</t>
        </is>
      </c>
      <c r="B11" s="15" t="inlineStr">
        <is>
          <t>Crevette</t>
        </is>
      </c>
      <c r="C11" s="15" t="n">
        <v>3500</v>
      </c>
      <c r="D11" s="15" t="inlineStr"/>
    </row>
    <row r="12">
      <c r="A12" s="14" t="inlineStr">
        <is>
          <t>Ndole Royal</t>
        </is>
      </c>
      <c r="B12" s="14" t="inlineStr">
        <is>
          <t>Portion</t>
        </is>
      </c>
      <c r="C12" s="14" t="n">
        <v>1000</v>
      </c>
      <c r="D12" s="14" t="inlineStr"/>
    </row>
    <row r="13">
      <c r="A13" s="15" t="inlineStr">
        <is>
          <t>Free Rice</t>
        </is>
      </c>
      <c r="B13" s="15" t="inlineStr">
        <is>
          <t>Crevette</t>
        </is>
      </c>
      <c r="C13" s="15" t="n">
        <v>4000</v>
      </c>
      <c r="D13" s="15" t="inlineStr"/>
    </row>
    <row r="14">
      <c r="A14" s="14" t="inlineStr">
        <is>
          <t>Free Rice</t>
        </is>
      </c>
      <c r="B14" s="14" t="inlineStr">
        <is>
          <t>Poulet</t>
        </is>
      </c>
      <c r="C14" s="14" t="n">
        <v>3500</v>
      </c>
      <c r="D14" s="14" t="inlineStr"/>
    </row>
    <row r="15">
      <c r="A15" s="15" t="inlineStr">
        <is>
          <t>Poulet</t>
        </is>
      </c>
      <c r="B15" s="15" t="inlineStr">
        <is>
          <t>Pané</t>
        </is>
      </c>
      <c r="C15" s="15" t="n">
        <v>3500</v>
      </c>
      <c r="D15" s="15" t="inlineStr">
        <is>
          <t>un quart</t>
        </is>
      </c>
    </row>
    <row r="16">
      <c r="A16" s="14" t="inlineStr">
        <is>
          <t>Poulet</t>
        </is>
      </c>
      <c r="B16" s="14" t="inlineStr">
        <is>
          <t>Braisé</t>
        </is>
      </c>
      <c r="C16" s="14" t="n">
        <v>3000</v>
      </c>
      <c r="D16" s="14" t="inlineStr">
        <is>
          <t>un quart</t>
        </is>
      </c>
    </row>
    <row r="17">
      <c r="A17" s="15" t="inlineStr">
        <is>
          <t>Porc</t>
        </is>
      </c>
      <c r="B17" s="15" t="inlineStr">
        <is>
          <t>Moutarde</t>
        </is>
      </c>
      <c r="C17" s="15" t="n">
        <v>3500</v>
      </c>
      <c r="D17" s="15" t="inlineStr"/>
    </row>
    <row r="18">
      <c r="A18" s="14" t="inlineStr">
        <is>
          <t>Porc</t>
        </is>
      </c>
      <c r="B18" s="14" t="inlineStr">
        <is>
          <t>Braisé</t>
        </is>
      </c>
      <c r="C18" s="14" t="n">
        <v>3000</v>
      </c>
      <c r="D18" s="14" t="inlineStr"/>
    </row>
    <row r="19">
      <c r="A19" s="15" t="inlineStr">
        <is>
          <t>Gambas</t>
        </is>
      </c>
      <c r="B19" s="15" t="inlineStr">
        <is>
          <t>À l'ail</t>
        </is>
      </c>
      <c r="C19" s="15" t="n">
        <v>6500</v>
      </c>
      <c r="D19" s="15" t="inlineStr">
        <is>
          <t>6500/10000</t>
        </is>
      </c>
    </row>
    <row r="20">
      <c r="A20" s="14" t="inlineStr">
        <is>
          <t>Gambas</t>
        </is>
      </c>
      <c r="B20" s="14" t="inlineStr">
        <is>
          <t>Braisé</t>
        </is>
      </c>
      <c r="C20" s="14" t="n">
        <v>6500</v>
      </c>
      <c r="D20" s="14" t="inlineStr">
        <is>
          <t>6500/10000</t>
        </is>
      </c>
    </row>
    <row r="21">
      <c r="A21" s="15" t="inlineStr">
        <is>
          <t>Saucisse</t>
        </is>
      </c>
      <c r="B21" s="15" t="inlineStr"/>
      <c r="C21" s="15" t="n">
        <v>3500</v>
      </c>
      <c r="D21" s="15" t="inlineStr">
        <is>
          <t>x 2</t>
        </is>
      </c>
    </row>
    <row r="22">
      <c r="A22" s="14" t="inlineStr">
        <is>
          <t>Tacos</t>
        </is>
      </c>
      <c r="B22" s="14" t="inlineStr">
        <is>
          <t>Poulet</t>
        </is>
      </c>
      <c r="C22" s="14" t="n">
        <v>4000</v>
      </c>
      <c r="D22" s="14" t="inlineStr"/>
    </row>
    <row r="23">
      <c r="A23" s="15" t="inlineStr">
        <is>
          <t>Tacos</t>
        </is>
      </c>
      <c r="B23" s="15" t="inlineStr">
        <is>
          <t>Viande</t>
        </is>
      </c>
      <c r="C23" s="15" t="n">
        <v>3500</v>
      </c>
      <c r="D23" s="15" t="inlineStr"/>
    </row>
    <row r="24">
      <c r="A24" s="14" t="inlineStr">
        <is>
          <t>Pizza</t>
        </is>
      </c>
      <c r="B24" s="14" t="inlineStr">
        <is>
          <t>Seven - Solo</t>
        </is>
      </c>
      <c r="C24" s="14" t="n">
        <v>3500</v>
      </c>
      <c r="D24" s="14" t="inlineStr"/>
    </row>
    <row r="25">
      <c r="A25" s="15" t="inlineStr">
        <is>
          <t>Pizza</t>
        </is>
      </c>
      <c r="B25" s="15" t="inlineStr">
        <is>
          <t>Seven - Duo</t>
        </is>
      </c>
      <c r="C25" s="15" t="n">
        <v>7000</v>
      </c>
      <c r="D25" s="15" t="inlineStr"/>
    </row>
    <row r="26">
      <c r="A26" s="14" t="inlineStr">
        <is>
          <t>Pizza</t>
        </is>
      </c>
      <c r="B26" s="14" t="inlineStr">
        <is>
          <t>Seven - Familiale</t>
        </is>
      </c>
      <c r="C26" s="14" t="n">
        <v>13500</v>
      </c>
      <c r="D26" s="14" t="inlineStr"/>
    </row>
    <row r="27">
      <c r="A27" s="15" t="inlineStr">
        <is>
          <t>Pizza</t>
        </is>
      </c>
      <c r="B27" s="15" t="inlineStr">
        <is>
          <t>Spices Bonita - Solo</t>
        </is>
      </c>
      <c r="C27" s="15" t="n">
        <v>3000</v>
      </c>
      <c r="D27" s="15" t="inlineStr"/>
    </row>
    <row r="28">
      <c r="A28" s="14" t="inlineStr">
        <is>
          <t>Pizza</t>
        </is>
      </c>
      <c r="B28" s="14" t="inlineStr">
        <is>
          <t>Spices Bonita - Duo</t>
        </is>
      </c>
      <c r="C28" s="14" t="n">
        <v>6000</v>
      </c>
      <c r="D28" s="14" t="inlineStr"/>
    </row>
    <row r="29">
      <c r="A29" s="15" t="inlineStr">
        <is>
          <t>Pizza</t>
        </is>
      </c>
      <c r="B29" s="15" t="inlineStr">
        <is>
          <t>Spices Bonita - Familiale</t>
        </is>
      </c>
      <c r="C29" s="15" t="n">
        <v>12000</v>
      </c>
      <c r="D29" s="15" t="inlineStr"/>
    </row>
    <row r="30">
      <c r="A30" s="14" t="inlineStr">
        <is>
          <t>Pizza</t>
        </is>
      </c>
      <c r="B30" s="14" t="inlineStr">
        <is>
          <t>Bimbia Cheese - Solo</t>
        </is>
      </c>
      <c r="C30" s="14" t="n">
        <v>2500</v>
      </c>
      <c r="D30" s="14" t="inlineStr"/>
    </row>
    <row r="31">
      <c r="A31" s="15" t="inlineStr">
        <is>
          <t>Pizza</t>
        </is>
      </c>
      <c r="B31" s="15" t="inlineStr">
        <is>
          <t>Bimbia Cheese - Duo</t>
        </is>
      </c>
      <c r="C31" s="15" t="n">
        <v>4500</v>
      </c>
      <c r="D31" s="15" t="inlineStr"/>
    </row>
    <row r="32">
      <c r="A32" s="14" t="inlineStr">
        <is>
          <t>Pizza</t>
        </is>
      </c>
      <c r="B32" s="14" t="inlineStr">
        <is>
          <t>Bimbia Cheese - Familiale</t>
        </is>
      </c>
      <c r="C32" s="14" t="n">
        <v>10000</v>
      </c>
      <c r="D32" s="14" t="inlineStr"/>
    </row>
    <row r="33">
      <c r="A33" s="15" t="inlineStr">
        <is>
          <t>Pizza</t>
        </is>
      </c>
      <c r="B33" s="15" t="inlineStr">
        <is>
          <t>Végétarienne - Solo</t>
        </is>
      </c>
      <c r="C33" s="15" t="n">
        <v>2500</v>
      </c>
      <c r="D33" s="15" t="inlineStr"/>
    </row>
    <row r="34">
      <c r="A34" s="14" t="inlineStr">
        <is>
          <t>Pizza</t>
        </is>
      </c>
      <c r="B34" s="14" t="inlineStr">
        <is>
          <t>Végétarienne - Duo</t>
        </is>
      </c>
      <c r="C34" s="14" t="n">
        <v>5000</v>
      </c>
      <c r="D34" s="14" t="inlineStr"/>
    </row>
    <row r="35">
      <c r="A35" s="15" t="inlineStr">
        <is>
          <t>Pizza</t>
        </is>
      </c>
      <c r="B35" s="15" t="inlineStr">
        <is>
          <t>Végétarienne - Familiale</t>
        </is>
      </c>
      <c r="C35" s="15" t="n">
        <v>11000</v>
      </c>
      <c r="D35" s="15" t="inlineStr"/>
    </row>
    <row r="36">
      <c r="A36" s="14" t="inlineStr">
        <is>
          <t>Poisson</t>
        </is>
      </c>
      <c r="B36" s="14" t="inlineStr">
        <is>
          <t>Carpe</t>
        </is>
      </c>
      <c r="C36" s="14" t="n">
        <v>5000</v>
      </c>
      <c r="D36" s="14" t="inlineStr">
        <is>
          <t>5000-8000</t>
        </is>
      </c>
    </row>
    <row r="37">
      <c r="A37" s="15" t="inlineStr">
        <is>
          <t>Poisson</t>
        </is>
      </c>
      <c r="B37" s="15" t="inlineStr">
        <is>
          <t>Sole</t>
        </is>
      </c>
      <c r="C37" s="15" t="n">
        <v>9000</v>
      </c>
      <c r="D37" s="15" t="inlineStr">
        <is>
          <t>9000-11000</t>
        </is>
      </c>
    </row>
    <row r="38">
      <c r="A38" s="14" t="inlineStr">
        <is>
          <t>Poisson</t>
        </is>
      </c>
      <c r="B38" s="14" t="inlineStr">
        <is>
          <t>Bar</t>
        </is>
      </c>
      <c r="C38" s="14" t="n">
        <v>7000</v>
      </c>
      <c r="D38" s="14" t="inlineStr">
        <is>
          <t>7000-10000</t>
        </is>
      </c>
    </row>
    <row r="39">
      <c r="A39" s="15" t="inlineStr">
        <is>
          <t>Jus Naturel / Bissap</t>
        </is>
      </c>
      <c r="B39" s="15" t="inlineStr">
        <is>
          <t>Litre</t>
        </is>
      </c>
      <c r="C39" s="15" t="n">
        <v>2000</v>
      </c>
      <c r="D39" s="15" t="inlineStr">
        <is>
          <t>Conso à 1000</t>
        </is>
      </c>
    </row>
    <row r="40">
      <c r="A40" s="14" t="inlineStr">
        <is>
          <t>Jus Naturel / Bissap</t>
        </is>
      </c>
      <c r="B40" s="14" t="inlineStr">
        <is>
          <t>Fruit de Saison</t>
        </is>
      </c>
      <c r="C40" s="14" t="n">
        <v>3500</v>
      </c>
      <c r="D40" s="14" t="inlineStr">
        <is>
          <t>En litre</t>
        </is>
      </c>
    </row>
    <row r="41">
      <c r="A41" s="15" t="inlineStr">
        <is>
          <t>Accompagnement</t>
        </is>
      </c>
      <c r="B41" s="15" t="inlineStr">
        <is>
          <t>Riz</t>
        </is>
      </c>
      <c r="C41" s="15" t="n">
        <v>0</v>
      </c>
      <c r="D41" s="15" t="inlineStr">
        <is>
          <t>Pour chaque plat</t>
        </is>
      </c>
    </row>
    <row r="42">
      <c r="A42" s="14" t="inlineStr">
        <is>
          <t>Accompagnement</t>
        </is>
      </c>
      <c r="B42" s="14" t="inlineStr">
        <is>
          <t>Frites</t>
        </is>
      </c>
      <c r="C42" s="14" t="n">
        <v>0</v>
      </c>
      <c r="D42" s="14" t="inlineStr">
        <is>
          <t>Pour chaque plat</t>
        </is>
      </c>
    </row>
    <row r="43">
      <c r="A43" s="15" t="inlineStr">
        <is>
          <t>Accompagnement</t>
        </is>
      </c>
      <c r="B43" s="15" t="inlineStr">
        <is>
          <t>Plantain</t>
        </is>
      </c>
      <c r="C43" s="15" t="n">
        <v>0</v>
      </c>
      <c r="D43" s="15" t="inlineStr">
        <is>
          <t>Pour chaque plat</t>
        </is>
      </c>
    </row>
    <row r="44">
      <c r="A44" s="14" t="inlineStr">
        <is>
          <t>Accompagnement</t>
        </is>
      </c>
      <c r="B44" s="14" t="inlineStr">
        <is>
          <t>Miondo</t>
        </is>
      </c>
      <c r="C44" s="14" t="n">
        <v>0</v>
      </c>
      <c r="D44" s="14" t="inlineStr">
        <is>
          <t>Pour chaque plat</t>
        </is>
      </c>
    </row>
    <row r="45">
      <c r="A45" s="12" t="inlineStr">
        <is>
          <t>📦 PACKS</t>
        </is>
      </c>
    </row>
    <row r="47">
      <c r="A47" s="16" t="inlineStr">
        <is>
          <t>Pack</t>
        </is>
      </c>
      <c r="B47" s="16" t="inlineStr">
        <is>
          <t>Composition</t>
        </is>
      </c>
      <c r="C47" s="16" t="inlineStr">
        <is>
          <t>Prix (FCFA)</t>
        </is>
      </c>
    </row>
    <row r="48">
      <c r="A48" t="inlineStr">
        <is>
          <t>Pack Brise Snack</t>
        </is>
      </c>
      <c r="B48" t="inlineStr">
        <is>
          <t>Deux morceaux de poulet, portion de frit, un verre de jus</t>
        </is>
      </c>
      <c r="C48" t="n">
        <v>4000</v>
      </c>
    </row>
    <row r="49">
      <c r="A49" t="inlineStr">
        <is>
          <t>Pack Sunset Combo</t>
        </is>
      </c>
      <c r="B49" t="inlineStr">
        <is>
          <t>Un burger, un morceau de poulet, portion de frit, un verre de fruit</t>
        </is>
      </c>
      <c r="C49" t="n">
        <v>6000</v>
      </c>
    </row>
    <row r="50">
      <c r="A50" t="inlineStr">
        <is>
          <t>Pack Ocean Duo</t>
        </is>
      </c>
      <c r="B50" t="inlineStr">
        <is>
          <t>Double cheese burger, un tacos, portion de frit, jus Top</t>
        </is>
      </c>
      <c r="C50" t="n">
        <v>8500</v>
      </c>
    </row>
    <row r="51">
      <c r="A51" s="12" t="inlineStr">
        <is>
          <t>🍽️ PLANCHES</t>
        </is>
      </c>
      <c r="B51" t="inlineStr">
        <is>
          <t>Un demi poulet pané, deux burgers, un litre de jus, deux portions de frit</t>
        </is>
      </c>
      <c r="C51" t="n">
        <v>15000</v>
      </c>
    </row>
    <row r="53">
      <c r="A53" s="16" t="inlineStr">
        <is>
          <t>Nom recommandé</t>
        </is>
      </c>
      <c r="B53" s="16" t="inlineStr">
        <is>
          <t>Prix (FCFA)</t>
        </is>
      </c>
    </row>
    <row r="54">
      <c r="A54" t="inlineStr">
        <is>
          <t>Planche Brise Marine</t>
        </is>
      </c>
      <c r="B54" t="n">
        <v>10000</v>
      </c>
    </row>
    <row r="55">
      <c r="A55" t="inlineStr">
        <is>
          <t>Planche Sunset</t>
        </is>
      </c>
      <c r="B55" t="n">
        <v>25000</v>
      </c>
    </row>
    <row r="56">
      <c r="A56" t="inlineStr">
        <is>
          <t>Planche Océan Royale</t>
        </is>
      </c>
      <c r="B56" t="n">
        <v>50000</v>
      </c>
    </row>
    <row r="57">
      <c r="A57" t="inlineStr">
        <is>
          <t>Planche Paradise</t>
        </is>
      </c>
      <c r="B57" t="n">
        <v>75000</v>
      </c>
    </row>
    <row r="58">
      <c r="A58" t="inlineStr">
        <is>
          <t>Planche Isla Prestige</t>
        </is>
      </c>
      <c r="B58" t="n">
        <v>100000</v>
      </c>
    </row>
    <row r="59">
      <c r="A59" t="inlineStr">
        <is>
          <t>Planche Bonita Supreme</t>
        </is>
      </c>
      <c r="B59" t="n">
        <v>200000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2" customWidth="1" min="4" max="4"/>
    <col width="12" customWidth="1" min="5" max="5"/>
    <col width="15" customWidth="1" min="6" max="6"/>
    <col width="12" customWidth="1" min="7" max="7"/>
  </cols>
  <sheetData>
    <row r="1">
      <c r="A1" s="11" t="inlineStr">
        <is>
          <t>📦 SUIVI STOCK CUISINE</t>
        </is>
      </c>
      <c r="F1" t="inlineStr">
        <is>
          <t>Date:</t>
        </is>
      </c>
      <c r="G1" s="17">
        <f>AUJOURDHUI()</f>
        <v/>
      </c>
    </row>
    <row r="3">
      <c r="A3" s="18" t="inlineStr">
        <is>
          <t>🥩 Viandes</t>
        </is>
      </c>
    </row>
    <row r="4">
      <c r="A4" s="19" t="inlineStr">
        <is>
          <t>Sous-catégorie</t>
        </is>
      </c>
      <c r="B4" s="19" t="inlineStr">
        <is>
          <t>Unité</t>
        </is>
      </c>
      <c r="C4" s="19" t="inlineStr">
        <is>
          <t>Stock Initial</t>
        </is>
      </c>
      <c r="D4" s="19" t="inlineStr">
        <is>
          <t>Entrées</t>
        </is>
      </c>
      <c r="E4" s="19" t="inlineStr">
        <is>
          <t>Sorties</t>
        </is>
      </c>
      <c r="F4" s="19" t="inlineStr">
        <is>
          <t>Stock Final</t>
        </is>
      </c>
      <c r="G4" s="19" t="inlineStr">
        <is>
          <t>Statut</t>
        </is>
      </c>
    </row>
    <row r="5">
      <c r="A5" s="20" t="inlineStr">
        <is>
          <t>Poulet entier</t>
        </is>
      </c>
      <c r="B5" s="20" t="inlineStr">
        <is>
          <t>Morceau</t>
        </is>
      </c>
      <c r="C5" s="21" t="n"/>
      <c r="D5" s="21" t="n"/>
      <c r="E5" s="21" t="n"/>
      <c r="F5" s="21">
        <f>C5+D5-E5</f>
        <v/>
      </c>
      <c r="G5" s="21">
        <f>SI(F5&lt;=0;"⚠️ RUPTURE";SI(F5&lt;5;"⚠️ CRITIQUE";SI(F5&lt;10;"⚡ ATTENTION";"✓ OK")))</f>
        <v/>
      </c>
    </row>
    <row r="6">
      <c r="A6" s="20" t="inlineStr">
        <is>
          <t>Aile de Poulet</t>
        </is>
      </c>
      <c r="B6" s="20" t="inlineStr">
        <is>
          <t>Morceau</t>
        </is>
      </c>
      <c r="C6" s="21" t="n"/>
      <c r="D6" s="21" t="n"/>
      <c r="E6" s="21" t="n"/>
      <c r="F6" s="21">
        <f>C6+D6-E6</f>
        <v/>
      </c>
      <c r="G6" s="21">
        <f>SI(F6&lt;=0;"⚠️ RUPTURE";SI(F6&lt;5;"⚠️ CRITIQUE";SI(F6&lt;10;"⚡ ATTENTION";"✓ OK")))</f>
        <v/>
      </c>
    </row>
    <row r="7">
      <c r="A7" s="20" t="inlineStr">
        <is>
          <t>Cuisse de poulet</t>
        </is>
      </c>
      <c r="B7" s="20" t="inlineStr">
        <is>
          <t>Morceau</t>
        </is>
      </c>
      <c r="C7" s="21" t="n"/>
      <c r="D7" s="21" t="n"/>
      <c r="E7" s="21" t="n"/>
      <c r="F7" s="21">
        <f>C7+D7-E7</f>
        <v/>
      </c>
      <c r="G7" s="21">
        <f>SI(F7&lt;=0;"⚠️ RUPTURE";SI(F7&lt;5;"⚠️ CRITIQUE";SI(F7&lt;10;"⚡ ATTENTION";"✓ OK")))</f>
        <v/>
      </c>
    </row>
    <row r="8">
      <c r="A8" s="20" t="inlineStr">
        <is>
          <t>Bœuf</t>
        </is>
      </c>
      <c r="B8" s="20" t="inlineStr">
        <is>
          <t>Morceau</t>
        </is>
      </c>
      <c r="C8" s="21" t="n"/>
      <c r="D8" s="21" t="n"/>
      <c r="E8" s="21" t="n"/>
      <c r="F8" s="21">
        <f>C8+D8-E8</f>
        <v/>
      </c>
      <c r="G8" s="21">
        <f>SI(F8&lt;=0;"⚠️ RUPTURE";SI(F8&lt;5;"⚠️ CRITIQUE";SI(F8&lt;10;"⚡ ATTENTION";"✓ OK")))</f>
        <v/>
      </c>
    </row>
    <row r="9">
      <c r="A9" s="20" t="inlineStr">
        <is>
          <t>Saucisse</t>
        </is>
      </c>
      <c r="B9" s="20" t="inlineStr">
        <is>
          <t>Pièce</t>
        </is>
      </c>
      <c r="C9" s="21" t="n"/>
      <c r="D9" s="21" t="n"/>
      <c r="E9" s="21" t="n"/>
      <c r="F9" s="21">
        <f>C9+D9-E9</f>
        <v/>
      </c>
      <c r="G9" s="21">
        <f>SI(F9&lt;=0;"⚠️ RUPTURE";SI(F9&lt;5;"⚠️ CRITIQUE";SI(F9&lt;10;"⚡ ATTENTION";"✓ OK")))</f>
        <v/>
      </c>
    </row>
    <row r="10">
      <c r="A10" s="20" t="inlineStr">
        <is>
          <t>Porc</t>
        </is>
      </c>
      <c r="B10" s="20" t="inlineStr">
        <is>
          <t>Morceau</t>
        </is>
      </c>
      <c r="C10" s="21" t="n"/>
      <c r="D10" s="21" t="n"/>
      <c r="E10" s="21" t="n"/>
      <c r="F10" s="21">
        <f>C10+D10-E10</f>
        <v/>
      </c>
      <c r="G10" s="21">
        <f>SI(F10&lt;=0;"⚠️ RUPTURE";SI(F10&lt;5;"⚠️ CRITIQUE";SI(F10&lt;10;"⚡ ATTENTION";"✓ OK")))</f>
        <v/>
      </c>
    </row>
    <row r="11">
      <c r="A11" s="20" t="inlineStr">
        <is>
          <t>Œuf</t>
        </is>
      </c>
      <c r="B11" s="20" t="inlineStr">
        <is>
          <t>Alvéole</t>
        </is>
      </c>
      <c r="C11" s="21" t="n"/>
      <c r="D11" s="21" t="n"/>
      <c r="E11" s="21" t="n"/>
      <c r="F11" s="21">
        <f>C11+D11-E11</f>
        <v/>
      </c>
      <c r="G11" s="21">
        <f>SI(F11&lt;=0;"⚠️ RUPTURE";SI(F11&lt;5;"⚠️ CRITIQUE";SI(F11&lt;10;"⚡ ATTENTION";"✓ OK")))</f>
        <v/>
      </c>
    </row>
    <row r="12">
      <c r="A12" s="20" t="inlineStr">
        <is>
          <t>Viandes hachées</t>
        </is>
      </c>
      <c r="B12" s="20" t="inlineStr">
        <is>
          <t>Pièce</t>
        </is>
      </c>
      <c r="C12" s="21" t="n"/>
      <c r="D12" s="21" t="n"/>
      <c r="E12" s="21" t="n"/>
      <c r="F12" s="21">
        <f>C12+D12-E12</f>
        <v/>
      </c>
      <c r="G12" s="21">
        <f>SI(F12&lt;=0;"⚠️ RUPTURE";SI(F12&lt;5;"⚠️ CRITIQUE";SI(F12&lt;10;"⚡ ATTENTION";"✓ OK")))</f>
        <v/>
      </c>
    </row>
    <row r="14">
      <c r="A14" s="18" t="inlineStr">
        <is>
          <t>🐟 Poissons &amp; Fruits de mer</t>
        </is>
      </c>
    </row>
    <row r="15">
      <c r="A15" s="19" t="inlineStr">
        <is>
          <t>Sous-catégorie</t>
        </is>
      </c>
      <c r="B15" s="19" t="inlineStr">
        <is>
          <t>Unité</t>
        </is>
      </c>
      <c r="C15" s="19" t="inlineStr">
        <is>
          <t>Stock Initial</t>
        </is>
      </c>
      <c r="D15" s="19" t="inlineStr">
        <is>
          <t>Entrées</t>
        </is>
      </c>
      <c r="E15" s="19" t="inlineStr">
        <is>
          <t>Sorties</t>
        </is>
      </c>
      <c r="F15" s="19" t="inlineStr">
        <is>
          <t>Stock Final</t>
        </is>
      </c>
      <c r="G15" s="19" t="inlineStr">
        <is>
          <t>Statut</t>
        </is>
      </c>
    </row>
    <row r="16">
      <c r="A16" s="20" t="inlineStr">
        <is>
          <t>Carpe</t>
        </is>
      </c>
      <c r="B16" s="20" t="inlineStr">
        <is>
          <t>Pièce</t>
        </is>
      </c>
      <c r="C16" s="21" t="n"/>
      <c r="D16" s="21" t="n"/>
      <c r="E16" s="21" t="n"/>
      <c r="F16" s="21">
        <f>C16+D16-E16</f>
        <v/>
      </c>
      <c r="G16" s="21">
        <f>SI(F16&lt;=0;"⚠️ RUPTURE";SI(F16&lt;5;"⚠️ CRITIQUE";SI(F16&lt;10;"⚡ ATTENTION";"✓ OK")))</f>
        <v/>
      </c>
    </row>
    <row r="17">
      <c r="A17" s="20" t="inlineStr">
        <is>
          <t>Sole</t>
        </is>
      </c>
      <c r="B17" s="20" t="inlineStr">
        <is>
          <t>Pièce</t>
        </is>
      </c>
      <c r="C17" s="21" t="n"/>
      <c r="D17" s="21" t="n"/>
      <c r="E17" s="21" t="n"/>
      <c r="F17" s="21">
        <f>C17+D17-E17</f>
        <v/>
      </c>
      <c r="G17" s="21">
        <f>SI(F17&lt;=0;"⚠️ RUPTURE";SI(F17&lt;5;"⚠️ CRITIQUE";SI(F17&lt;10;"⚡ ATTENTION";"✓ OK")))</f>
        <v/>
      </c>
    </row>
    <row r="18">
      <c r="A18" s="20" t="inlineStr">
        <is>
          <t>Bar</t>
        </is>
      </c>
      <c r="B18" s="20" t="inlineStr">
        <is>
          <t>Pièce</t>
        </is>
      </c>
      <c r="C18" s="21" t="n"/>
      <c r="D18" s="21" t="n"/>
      <c r="E18" s="21" t="n"/>
      <c r="F18" s="21">
        <f>C18+D18-E18</f>
        <v/>
      </c>
      <c r="G18" s="21">
        <f>SI(F18&lt;=0;"⚠️ RUPTURE";SI(F18&lt;5;"⚠️ CRITIQUE";SI(F18&lt;10;"⚡ ATTENTION";"✓ OK")))</f>
        <v/>
      </c>
    </row>
    <row r="19">
      <c r="A19" s="20" t="inlineStr">
        <is>
          <t>Gambas</t>
        </is>
      </c>
      <c r="B19" s="20" t="inlineStr">
        <is>
          <t>Pièce</t>
        </is>
      </c>
      <c r="C19" s="21" t="n"/>
      <c r="D19" s="21" t="n"/>
      <c r="E19" s="21" t="n"/>
      <c r="F19" s="21">
        <f>C19+D19-E19</f>
        <v/>
      </c>
      <c r="G19" s="21">
        <f>SI(F19&lt;=0;"⚠️ RUPTURE";SI(F19&lt;5;"⚠️ CRITIQUE";SI(F19&lt;10;"⚡ ATTENTION";"✓ OK")))</f>
        <v/>
      </c>
    </row>
    <row r="20">
      <c r="A20" s="20" t="inlineStr">
        <is>
          <t>Crevette</t>
        </is>
      </c>
      <c r="B20" s="20" t="inlineStr">
        <is>
          <t>Pièce</t>
        </is>
      </c>
      <c r="C20" s="21" t="n"/>
      <c r="D20" s="21" t="n"/>
      <c r="E20" s="21" t="n"/>
      <c r="F20" s="21">
        <f>C20+D20-E20</f>
        <v/>
      </c>
      <c r="G20" s="21">
        <f>SI(F20&lt;=0;"⚠️ RUPTURE";SI(F20&lt;5;"⚠️ CRITIQUE";SI(F20&lt;10;"⚡ ATTENTION";"✓ OK")))</f>
        <v/>
      </c>
    </row>
    <row r="22">
      <c r="A22" s="18" t="inlineStr">
        <is>
          <t>🥬 Légumes frais</t>
        </is>
      </c>
    </row>
    <row r="23">
      <c r="A23" s="19" t="inlineStr">
        <is>
          <t>Sous-catégorie</t>
        </is>
      </c>
      <c r="B23" s="19" t="inlineStr">
        <is>
          <t>Unité</t>
        </is>
      </c>
      <c r="C23" s="19" t="inlineStr">
        <is>
          <t>Stock Initial</t>
        </is>
      </c>
      <c r="D23" s="19" t="inlineStr">
        <is>
          <t>Entrées</t>
        </is>
      </c>
      <c r="E23" s="19" t="inlineStr">
        <is>
          <t>Sorties</t>
        </is>
      </c>
      <c r="F23" s="19" t="inlineStr">
        <is>
          <t>Stock Final</t>
        </is>
      </c>
      <c r="G23" s="19" t="inlineStr">
        <is>
          <t>Statut</t>
        </is>
      </c>
    </row>
    <row r="24">
      <c r="A24" s="20" t="inlineStr">
        <is>
          <t>Carottes</t>
        </is>
      </c>
      <c r="B24" s="20" t="inlineStr">
        <is>
          <t>Lot</t>
        </is>
      </c>
      <c r="C24" s="21" t="n"/>
      <c r="D24" s="21" t="n"/>
      <c r="E24" s="21" t="n"/>
      <c r="F24" s="21">
        <f>C24+D24-E24</f>
        <v/>
      </c>
      <c r="G24" s="21">
        <f>SI(F24&lt;=0;"⚠️ RUPTURE";SI(F24&lt;5;"⚠️ CRITIQUE";SI(F24&lt;10;"⚡ ATTENTION";"✓ OK")))</f>
        <v/>
      </c>
    </row>
    <row r="25">
      <c r="A25" s="20" t="inlineStr">
        <is>
          <t>Pommes de terre</t>
        </is>
      </c>
      <c r="B25" s="20" t="inlineStr">
        <is>
          <t>Lot</t>
        </is>
      </c>
      <c r="C25" s="21" t="n"/>
      <c r="D25" s="21" t="n"/>
      <c r="E25" s="21" t="n"/>
      <c r="F25" s="21">
        <f>C25+D25-E25</f>
        <v/>
      </c>
      <c r="G25" s="21">
        <f>SI(F25&lt;=0;"⚠️ RUPTURE";SI(F25&lt;5;"⚠️ CRITIQUE";SI(F25&lt;10;"⚡ ATTENTION";"✓ OK")))</f>
        <v/>
      </c>
    </row>
    <row r="26">
      <c r="A26" s="20" t="inlineStr">
        <is>
          <t>Gingembre</t>
        </is>
      </c>
      <c r="B26" s="20" t="inlineStr">
        <is>
          <t>Lot</t>
        </is>
      </c>
      <c r="C26" s="21" t="n"/>
      <c r="D26" s="21" t="n"/>
      <c r="E26" s="21" t="n"/>
      <c r="F26" s="21">
        <f>C26+D26-E26</f>
        <v/>
      </c>
      <c r="G26" s="21">
        <f>SI(F26&lt;=0;"⚠️ RUPTURE";SI(F26&lt;5;"⚠️ CRITIQUE";SI(F26&lt;10;"⚡ ATTENTION";"✓ OK")))</f>
        <v/>
      </c>
    </row>
    <row r="27">
      <c r="A27" s="20" t="inlineStr">
        <is>
          <t>Choux</t>
        </is>
      </c>
      <c r="B27" s="20" t="inlineStr">
        <is>
          <t>Lot</t>
        </is>
      </c>
      <c r="C27" s="21" t="n"/>
      <c r="D27" s="21" t="n"/>
      <c r="E27" s="21" t="n"/>
      <c r="F27" s="21">
        <f>C27+D27-E27</f>
        <v/>
      </c>
      <c r="G27" s="21">
        <f>SI(F27&lt;=0;"⚠️ RUPTURE";SI(F27&lt;5;"⚠️ CRITIQUE";SI(F27&lt;10;"⚡ ATTENTION";"✓ OK")))</f>
        <v/>
      </c>
    </row>
    <row r="28">
      <c r="A28" s="20" t="inlineStr">
        <is>
          <t>Salade</t>
        </is>
      </c>
      <c r="B28" s="20" t="inlineStr">
        <is>
          <t>Lot</t>
        </is>
      </c>
      <c r="C28" s="21" t="n"/>
      <c r="D28" s="21" t="n"/>
      <c r="E28" s="21" t="n"/>
      <c r="F28" s="21">
        <f>C28+D28-E28</f>
        <v/>
      </c>
      <c r="G28" s="21">
        <f>SI(F28&lt;=0;"⚠️ RUPTURE";SI(F28&lt;5;"⚠️ CRITIQUE";SI(F28&lt;10;"⚡ ATTENTION";"✓ OK")))</f>
        <v/>
      </c>
    </row>
    <row r="29">
      <c r="A29" s="20" t="inlineStr">
        <is>
          <t>Tomates</t>
        </is>
      </c>
      <c r="B29" s="20" t="inlineStr">
        <is>
          <t>Cageot</t>
        </is>
      </c>
      <c r="C29" s="21" t="n"/>
      <c r="D29" s="21" t="n"/>
      <c r="E29" s="21" t="n"/>
      <c r="F29" s="21">
        <f>C29+D29-E29</f>
        <v/>
      </c>
      <c r="G29" s="21">
        <f>SI(F29&lt;=0;"⚠️ RUPTURE";SI(F29&lt;5;"⚠️ CRITIQUE";SI(F29&lt;10;"⚡ ATTENTION";"✓ OK")))</f>
        <v/>
      </c>
    </row>
    <row r="30">
      <c r="A30" s="20" t="inlineStr">
        <is>
          <t>Poivrons</t>
        </is>
      </c>
      <c r="B30" s="20" t="inlineStr">
        <is>
          <t>Lot</t>
        </is>
      </c>
      <c r="C30" s="21" t="n"/>
      <c r="D30" s="21" t="n"/>
      <c r="E30" s="21" t="n"/>
      <c r="F30" s="21">
        <f>C30+D30-E30</f>
        <v/>
      </c>
      <c r="G30" s="21">
        <f>SI(F30&lt;=0;"⚠️ RUPTURE";SI(F30&lt;5;"⚠️ CRITIQUE";SI(F30&lt;10;"⚡ ATTENTION";"✓ OK")))</f>
        <v/>
      </c>
    </row>
    <row r="31">
      <c r="A31" s="20" t="inlineStr">
        <is>
          <t>Aubergines</t>
        </is>
      </c>
      <c r="B31" s="20" t="inlineStr">
        <is>
          <t>Lot</t>
        </is>
      </c>
      <c r="C31" s="21" t="n"/>
      <c r="D31" s="21" t="n"/>
      <c r="E31" s="21" t="n"/>
      <c r="F31" s="21">
        <f>C31+D31-E31</f>
        <v/>
      </c>
      <c r="G31" s="21">
        <f>SI(F31&lt;=0;"⚠️ RUPTURE";SI(F31&lt;5;"⚠️ CRITIQUE";SI(F31&lt;10;"⚡ ATTENTION";"✓ OK")))</f>
        <v/>
      </c>
    </row>
    <row r="32">
      <c r="A32" s="20" t="inlineStr">
        <is>
          <t>Oignons</t>
        </is>
      </c>
      <c r="B32" s="20" t="inlineStr">
        <is>
          <t>Lot</t>
        </is>
      </c>
      <c r="C32" s="21" t="n"/>
      <c r="D32" s="21" t="n"/>
      <c r="E32" s="21" t="n"/>
      <c r="F32" s="21">
        <f>C32+D32-E32</f>
        <v/>
      </c>
      <c r="G32" s="21">
        <f>SI(F32&lt;=0;"⚠️ RUPTURE";SI(F32&lt;5;"⚠️ CRITIQUE";SI(F32&lt;10;"⚡ ATTENTION";"✓ OK")))</f>
        <v/>
      </c>
    </row>
    <row r="33">
      <c r="A33" s="20" t="inlineStr">
        <is>
          <t>Ail</t>
        </is>
      </c>
      <c r="B33" s="20" t="inlineStr">
        <is>
          <t>Lot</t>
        </is>
      </c>
      <c r="C33" s="21" t="n"/>
      <c r="D33" s="21" t="n"/>
      <c r="E33" s="21" t="n"/>
      <c r="F33" s="21">
        <f>C33+D33-E33</f>
        <v/>
      </c>
      <c r="G33" s="21">
        <f>SI(F33&lt;=0;"⚠️ RUPTURE";SI(F33&lt;5;"⚠️ CRITIQUE";SI(F33&lt;10;"⚡ ATTENTION";"✓ OK")))</f>
        <v/>
      </c>
    </row>
    <row r="34">
      <c r="A34" s="20" t="inlineStr">
        <is>
          <t>Poireaux</t>
        </is>
      </c>
      <c r="B34" s="20" t="inlineStr">
        <is>
          <t>Lot</t>
        </is>
      </c>
      <c r="C34" s="21" t="n"/>
      <c r="D34" s="21" t="n"/>
      <c r="E34" s="21" t="n"/>
      <c r="F34" s="21">
        <f>C34+D34-E34</f>
        <v/>
      </c>
      <c r="G34" s="21">
        <f>SI(F34&lt;=0;"⚠️ RUPTURE";SI(F34&lt;5;"⚠️ CRITIQUE";SI(F34&lt;10;"⚡ ATTENTION";"✓ OK")))</f>
        <v/>
      </c>
    </row>
    <row r="35">
      <c r="A35" s="20" t="inlineStr">
        <is>
          <t>Haricots verts</t>
        </is>
      </c>
      <c r="B35" s="20" t="inlineStr">
        <is>
          <t>Lot</t>
        </is>
      </c>
      <c r="C35" s="21" t="n"/>
      <c r="D35" s="21" t="n"/>
      <c r="E35" s="21" t="n"/>
      <c r="F35" s="21">
        <f>C35+D35-E35</f>
        <v/>
      </c>
      <c r="G35" s="21">
        <f>SI(F35&lt;=0;"⚠️ RUPTURE";SI(F35&lt;5;"⚠️ CRITIQUE";SI(F35&lt;10;"⚡ ATTENTION";"✓ OK")))</f>
        <v/>
      </c>
    </row>
    <row r="36">
      <c r="A36" s="20" t="inlineStr">
        <is>
          <t>Persil</t>
        </is>
      </c>
      <c r="B36" s="20" t="inlineStr">
        <is>
          <t>Lot</t>
        </is>
      </c>
      <c r="C36" s="21" t="n"/>
      <c r="D36" s="21" t="n"/>
      <c r="E36" s="21" t="n"/>
      <c r="F36" s="21">
        <f>C36+D36-E36</f>
        <v/>
      </c>
      <c r="G36" s="21">
        <f>SI(F36&lt;=0;"⚠️ RUPTURE";SI(F36&lt;5;"⚠️ CRITIQUE";SI(F36&lt;10;"⚡ ATTENTION";"✓ OK")))</f>
        <v/>
      </c>
    </row>
    <row r="37">
      <c r="A37" s="20" t="inlineStr">
        <is>
          <t>Curcuma</t>
        </is>
      </c>
      <c r="B37" s="20" t="inlineStr">
        <is>
          <t>Boite</t>
        </is>
      </c>
      <c r="C37" s="21" t="n"/>
      <c r="D37" s="21" t="n"/>
      <c r="E37" s="21" t="n"/>
      <c r="F37" s="21">
        <f>C37+D37-E37</f>
        <v/>
      </c>
      <c r="G37" s="21">
        <f>SI(F37&lt;=0;"⚠️ RUPTURE";SI(F37&lt;5;"⚠️ CRITIQUE";SI(F37&lt;10;"⚡ ATTENTION";"✓ OK")))</f>
        <v/>
      </c>
    </row>
    <row r="38">
      <c r="A38" s="20" t="inlineStr">
        <is>
          <t>Poivre</t>
        </is>
      </c>
      <c r="B38" s="20" t="inlineStr">
        <is>
          <t>Lot</t>
        </is>
      </c>
      <c r="C38" s="21" t="n"/>
      <c r="D38" s="21" t="n"/>
      <c r="E38" s="21" t="n"/>
      <c r="F38" s="21">
        <f>C38+D38-E38</f>
        <v/>
      </c>
      <c r="G38" s="21">
        <f>SI(F38&lt;=0;"⚠️ RUPTURE";SI(F38&lt;5;"⚠️ CRITIQUE";SI(F38&lt;10;"⚡ ATTENTION";"✓ OK")))</f>
        <v/>
      </c>
    </row>
    <row r="39">
      <c r="A39" s="20" t="inlineStr">
        <is>
          <t>Courgettes</t>
        </is>
      </c>
      <c r="B39" s="20" t="inlineStr">
        <is>
          <t>Lot</t>
        </is>
      </c>
      <c r="C39" s="21" t="n"/>
      <c r="D39" s="21" t="n"/>
      <c r="E39" s="21" t="n"/>
      <c r="F39" s="21">
        <f>C39+D39-E39</f>
        <v/>
      </c>
      <c r="G39" s="21">
        <f>SI(F39&lt;=0;"⚠️ RUPTURE";SI(F39&lt;5;"⚠️ CRITIQUE";SI(F39&lt;10;"⚡ ATTENTION";"✓ OK")))</f>
        <v/>
      </c>
    </row>
    <row r="40">
      <c r="A40" s="20" t="inlineStr">
        <is>
          <t>Piments</t>
        </is>
      </c>
      <c r="B40" s="20" t="inlineStr">
        <is>
          <t>Lot</t>
        </is>
      </c>
      <c r="C40" s="21" t="n"/>
      <c r="D40" s="21" t="n"/>
      <c r="E40" s="21" t="n"/>
      <c r="F40" s="21">
        <f>C40+D40-E40</f>
        <v/>
      </c>
      <c r="G40" s="21">
        <f>SI(F40&lt;=0;"⚠️ RUPTURE";SI(F40&lt;5;"⚠️ CRITIQUE";SI(F40&lt;10;"⚡ ATTENTION";"✓ OK")))</f>
        <v/>
      </c>
    </row>
    <row r="42">
      <c r="A42" s="18" t="inlineStr">
        <is>
          <t>🍊 Fruits frais</t>
        </is>
      </c>
    </row>
    <row r="43">
      <c r="A43" s="19" t="inlineStr">
        <is>
          <t>Sous-catégorie</t>
        </is>
      </c>
      <c r="B43" s="19" t="inlineStr">
        <is>
          <t>Unité</t>
        </is>
      </c>
      <c r="C43" s="19" t="inlineStr">
        <is>
          <t>Stock Initial</t>
        </is>
      </c>
      <c r="D43" s="19" t="inlineStr">
        <is>
          <t>Entrées</t>
        </is>
      </c>
      <c r="E43" s="19" t="inlineStr">
        <is>
          <t>Sorties</t>
        </is>
      </c>
      <c r="F43" s="19" t="inlineStr">
        <is>
          <t>Stock Final</t>
        </is>
      </c>
      <c r="G43" s="19" t="inlineStr">
        <is>
          <t>Statut</t>
        </is>
      </c>
    </row>
    <row r="44">
      <c r="A44" s="20" t="inlineStr">
        <is>
          <t>Orange</t>
        </is>
      </c>
      <c r="B44" s="20" t="inlineStr">
        <is>
          <t>Pièce</t>
        </is>
      </c>
      <c r="C44" s="21" t="n"/>
      <c r="D44" s="21" t="n"/>
      <c r="E44" s="21" t="n"/>
      <c r="F44" s="21">
        <f>C44+D44-E44</f>
        <v/>
      </c>
      <c r="G44" s="21">
        <f>SI(F44&lt;=0;"⚠️ RUPTURE";SI(F44&lt;5;"⚠️ CRITIQUE";SI(F44&lt;10;"⚡ ATTENTION";"✓ OK")))</f>
        <v/>
      </c>
    </row>
    <row r="45">
      <c r="A45" s="20" t="inlineStr">
        <is>
          <t>Papaye</t>
        </is>
      </c>
      <c r="B45" s="20" t="inlineStr">
        <is>
          <t>Pièce</t>
        </is>
      </c>
      <c r="C45" s="21" t="n"/>
      <c r="D45" s="21" t="n"/>
      <c r="E45" s="21" t="n"/>
      <c r="F45" s="21">
        <f>C45+D45-E45</f>
        <v/>
      </c>
      <c r="G45" s="21">
        <f>SI(F45&lt;=0;"⚠️ RUPTURE";SI(F45&lt;5;"⚠️ CRITIQUE";SI(F45&lt;10;"⚡ ATTENTION";"✓ OK")))</f>
        <v/>
      </c>
    </row>
    <row r="46">
      <c r="A46" s="20" t="inlineStr">
        <is>
          <t>Mangue</t>
        </is>
      </c>
      <c r="B46" s="20" t="inlineStr">
        <is>
          <t>Pièce</t>
        </is>
      </c>
      <c r="C46" s="21" t="n"/>
      <c r="D46" s="21" t="n"/>
      <c r="E46" s="21" t="n"/>
      <c r="F46" s="21">
        <f>C46+D46-E46</f>
        <v/>
      </c>
      <c r="G46" s="21">
        <f>SI(F46&lt;=0;"⚠️ RUPTURE";SI(F46&lt;5;"⚠️ CRITIQUE";SI(F46&lt;10;"⚡ ATTENTION";"✓ OK")))</f>
        <v/>
      </c>
    </row>
    <row r="47">
      <c r="A47" s="20" t="inlineStr">
        <is>
          <t>Citron</t>
        </is>
      </c>
      <c r="B47" s="20" t="inlineStr">
        <is>
          <t>Pièce</t>
        </is>
      </c>
      <c r="C47" s="21" t="n"/>
      <c r="D47" s="21" t="n"/>
      <c r="E47" s="21" t="n"/>
      <c r="F47" s="21">
        <f>C47+D47-E47</f>
        <v/>
      </c>
      <c r="G47" s="21">
        <f>SI(F47&lt;=0;"⚠️ RUPTURE";SI(F47&lt;5;"⚠️ CRITIQUE";SI(F47&lt;10;"⚡ ATTENTION";"✓ OK")))</f>
        <v/>
      </c>
    </row>
    <row r="48">
      <c r="A48" s="20" t="inlineStr">
        <is>
          <t>Goyave</t>
        </is>
      </c>
      <c r="B48" s="20" t="inlineStr">
        <is>
          <t>Pièce</t>
        </is>
      </c>
      <c r="C48" s="21" t="n"/>
      <c r="D48" s="21" t="n"/>
      <c r="E48" s="21" t="n"/>
      <c r="F48" s="21">
        <f>C48+D48-E48</f>
        <v/>
      </c>
      <c r="G48" s="21">
        <f>SI(F48&lt;=0;"⚠️ RUPTURE";SI(F48&lt;5;"⚠️ CRITIQUE";SI(F48&lt;10;"⚡ ATTENTION";"✓ OK")))</f>
        <v/>
      </c>
    </row>
    <row r="49">
      <c r="A49" s="20" t="inlineStr">
        <is>
          <t>Mandarine</t>
        </is>
      </c>
      <c r="B49" s="20" t="inlineStr">
        <is>
          <t>Pièce</t>
        </is>
      </c>
      <c r="C49" s="21" t="n"/>
      <c r="D49" s="21" t="n"/>
      <c r="E49" s="21" t="n"/>
      <c r="F49" s="21">
        <f>C49+D49-E49</f>
        <v/>
      </c>
      <c r="G49" s="21">
        <f>SI(F49&lt;=0;"⚠️ RUPTURE";SI(F49&lt;5;"⚠️ CRITIQUE";SI(F49&lt;10;"⚡ ATTENTION";"✓ OK")))</f>
        <v/>
      </c>
    </row>
    <row r="50">
      <c r="A50" s="20" t="inlineStr">
        <is>
          <t>Pastèque</t>
        </is>
      </c>
      <c r="B50" s="20" t="inlineStr">
        <is>
          <t>Pièce</t>
        </is>
      </c>
      <c r="C50" s="21" t="n"/>
      <c r="D50" s="21" t="n"/>
      <c r="E50" s="21" t="n"/>
      <c r="F50" s="21">
        <f>C50+D50-E50</f>
        <v/>
      </c>
      <c r="G50" s="21">
        <f>SI(F50&lt;=0;"⚠️ RUPTURE";SI(F50&lt;5;"⚠️ CRITIQUE";SI(F50&lt;10;"⚡ ATTENTION";"✓ OK")))</f>
        <v/>
      </c>
    </row>
    <row r="51">
      <c r="A51" s="20" t="inlineStr">
        <is>
          <t>Pamplemousse</t>
        </is>
      </c>
      <c r="B51" s="20" t="inlineStr">
        <is>
          <t>Pièce</t>
        </is>
      </c>
      <c r="C51" s="21" t="n"/>
      <c r="D51" s="21" t="n"/>
      <c r="E51" s="21" t="n"/>
      <c r="F51" s="21">
        <f>C51+D51-E51</f>
        <v/>
      </c>
      <c r="G51" s="21">
        <f>SI(F51&lt;=0;"⚠️ RUPTURE";SI(F51&lt;5;"⚠️ CRITIQUE";SI(F51&lt;10;"⚡ ATTENTION";"✓ OK")))</f>
        <v/>
      </c>
    </row>
    <row r="52">
      <c r="A52" s="20" t="inlineStr">
        <is>
          <t>Fruits pour jus</t>
        </is>
      </c>
      <c r="B52" s="20" t="inlineStr">
        <is>
          <t>Pièce</t>
        </is>
      </c>
      <c r="C52" s="21" t="n"/>
      <c r="D52" s="21" t="n"/>
      <c r="E52" s="21" t="n"/>
      <c r="F52" s="21">
        <f>C52+D52-E52</f>
        <v/>
      </c>
      <c r="G52" s="21">
        <f>SI(F52&lt;=0;"⚠️ RUPTURE";SI(F52&lt;5;"⚠️ CRITIQUE";SI(F52&lt;10;"⚡ ATTENTION";"✓ OK")))</f>
        <v/>
      </c>
    </row>
    <row r="54">
      <c r="A54" s="18" t="inlineStr">
        <is>
          <t>🍚 Produits secs &amp; épicerie</t>
        </is>
      </c>
    </row>
    <row r="55">
      <c r="A55" s="19" t="inlineStr">
        <is>
          <t>Sous-catégorie</t>
        </is>
      </c>
      <c r="B55" s="19" t="inlineStr">
        <is>
          <t>Unité</t>
        </is>
      </c>
      <c r="C55" s="19" t="inlineStr">
        <is>
          <t>Stock Initial</t>
        </is>
      </c>
      <c r="D55" s="19" t="inlineStr">
        <is>
          <t>Entrées</t>
        </is>
      </c>
      <c r="E55" s="19" t="inlineStr">
        <is>
          <t>Sorties</t>
        </is>
      </c>
      <c r="F55" s="19" t="inlineStr">
        <is>
          <t>Stock Final</t>
        </is>
      </c>
      <c r="G55" s="19" t="inlineStr">
        <is>
          <t>Statut</t>
        </is>
      </c>
    </row>
    <row r="56">
      <c r="A56" s="20" t="inlineStr">
        <is>
          <t>Riz</t>
        </is>
      </c>
      <c r="B56" s="20" t="inlineStr">
        <is>
          <t>Kg</t>
        </is>
      </c>
      <c r="C56" s="21" t="n"/>
      <c r="D56" s="21" t="n"/>
      <c r="E56" s="21" t="n"/>
      <c r="F56" s="21">
        <f>C56+D56-E56</f>
        <v/>
      </c>
      <c r="G56" s="21">
        <f>SI(F56&lt;=0;"⚠️ RUPTURE";SI(F56&lt;5;"⚠️ CRITIQUE";SI(F56&lt;10;"⚡ ATTENTION";"✓ OK")))</f>
        <v/>
      </c>
    </row>
    <row r="57">
      <c r="A57" s="20" t="inlineStr">
        <is>
          <t>Pâtes</t>
        </is>
      </c>
      <c r="B57" s="20" t="inlineStr">
        <is>
          <t>Kg</t>
        </is>
      </c>
      <c r="C57" s="21" t="n"/>
      <c r="D57" s="21" t="n"/>
      <c r="E57" s="21" t="n"/>
      <c r="F57" s="21">
        <f>C57+D57-E57</f>
        <v/>
      </c>
      <c r="G57" s="21">
        <f>SI(F57&lt;=0;"⚠️ RUPTURE";SI(F57&lt;5;"⚠️ CRITIQUE";SI(F57&lt;10;"⚡ ATTENTION";"✓ OK")))</f>
        <v/>
      </c>
    </row>
    <row r="58">
      <c r="A58" s="20" t="inlineStr">
        <is>
          <t>Haricots</t>
        </is>
      </c>
      <c r="B58" s="20" t="inlineStr">
        <is>
          <t>Kg</t>
        </is>
      </c>
      <c r="C58" s="21" t="n"/>
      <c r="D58" s="21" t="n"/>
      <c r="E58" s="21" t="n"/>
      <c r="F58" s="21">
        <f>C58+D58-E58</f>
        <v/>
      </c>
      <c r="G58" s="21">
        <f>SI(F58&lt;=0;"⚠️ RUPTURE";SI(F58&lt;5;"⚠️ CRITIQUE";SI(F58&lt;10;"⚡ ATTENTION";"✓ OK")))</f>
        <v/>
      </c>
    </row>
    <row r="59">
      <c r="A59" s="20" t="inlineStr">
        <is>
          <t>Farines</t>
        </is>
      </c>
      <c r="B59" s="20" t="inlineStr">
        <is>
          <t>Kg</t>
        </is>
      </c>
      <c r="C59" s="21" t="n"/>
      <c r="D59" s="21" t="n"/>
      <c r="E59" s="21" t="n"/>
      <c r="F59" s="21">
        <f>C59+D59-E59</f>
        <v/>
      </c>
      <c r="G59" s="21">
        <f>SI(F59&lt;=0;"⚠️ RUPTURE";SI(F59&lt;5;"⚠️ CRITIQUE";SI(F59&lt;10;"⚡ ATTENTION";"✓ OK")))</f>
        <v/>
      </c>
    </row>
    <row r="60">
      <c r="A60" s="20" t="inlineStr">
        <is>
          <t>Sucres</t>
        </is>
      </c>
      <c r="B60" s="20" t="inlineStr">
        <is>
          <t>Kg</t>
        </is>
      </c>
      <c r="C60" s="21" t="n"/>
      <c r="D60" s="21" t="n"/>
      <c r="E60" s="21" t="n"/>
      <c r="F60" s="21">
        <f>C60+D60-E60</f>
        <v/>
      </c>
      <c r="G60" s="21">
        <f>SI(F60&lt;=0;"⚠️ RUPTURE";SI(F60&lt;5;"⚠️ CRITIQUE";SI(F60&lt;10;"⚡ ATTENTION";"✓ OK")))</f>
        <v/>
      </c>
    </row>
    <row r="61">
      <c r="A61" s="20" t="inlineStr">
        <is>
          <t>Sel</t>
        </is>
      </c>
      <c r="B61" s="20" t="inlineStr">
        <is>
          <t>Kg</t>
        </is>
      </c>
      <c r="C61" s="21" t="n"/>
      <c r="D61" s="21" t="n"/>
      <c r="E61" s="21" t="n"/>
      <c r="F61" s="21">
        <f>C61+D61-E61</f>
        <v/>
      </c>
      <c r="G61" s="21">
        <f>SI(F61&lt;=0;"⚠️ RUPTURE";SI(F61&lt;5;"⚠️ CRITIQUE";SI(F61&lt;10;"⚡ ATTENTION";"✓ OK")))</f>
        <v/>
      </c>
    </row>
    <row r="62">
      <c r="A62" s="20" t="inlineStr">
        <is>
          <t>Bouillons &amp; cubes</t>
        </is>
      </c>
      <c r="B62" s="20" t="inlineStr">
        <is>
          <t>Paquet</t>
        </is>
      </c>
      <c r="C62" s="21" t="n"/>
      <c r="D62" s="21" t="n"/>
      <c r="E62" s="21" t="n"/>
      <c r="F62" s="21">
        <f>C62+D62-E62</f>
        <v/>
      </c>
      <c r="G62" s="21">
        <f>SI(F62&lt;=0;"⚠️ RUPTURE";SI(F62&lt;5;"⚠️ CRITIQUE";SI(F62&lt;10;"⚡ ATTENTION";"✓ OK")))</f>
        <v/>
      </c>
    </row>
    <row r="64">
      <c r="A64" s="18" t="inlineStr">
        <is>
          <t>🧀 Produits laitiers &amp; fromages</t>
        </is>
      </c>
    </row>
    <row r="65">
      <c r="A65" s="19" t="inlineStr">
        <is>
          <t>Sous-catégorie</t>
        </is>
      </c>
      <c r="B65" s="19" t="inlineStr">
        <is>
          <t>Unité</t>
        </is>
      </c>
      <c r="C65" s="19" t="inlineStr">
        <is>
          <t>Stock Initial</t>
        </is>
      </c>
      <c r="D65" s="19" t="inlineStr">
        <is>
          <t>Entrées</t>
        </is>
      </c>
      <c r="E65" s="19" t="inlineStr">
        <is>
          <t>Sorties</t>
        </is>
      </c>
      <c r="F65" s="19" t="inlineStr">
        <is>
          <t>Stock Final</t>
        </is>
      </c>
      <c r="G65" s="19" t="inlineStr">
        <is>
          <t>Statut</t>
        </is>
      </c>
    </row>
    <row r="66">
      <c r="A66" s="20" t="inlineStr">
        <is>
          <t>Lait &amp; crème</t>
        </is>
      </c>
      <c r="B66" s="20" t="inlineStr">
        <is>
          <t>Litre</t>
        </is>
      </c>
      <c r="C66" s="21" t="n"/>
      <c r="D66" s="21" t="n"/>
      <c r="E66" s="21" t="n"/>
      <c r="F66" s="21">
        <f>C66+D66-E66</f>
        <v/>
      </c>
      <c r="G66" s="21">
        <f>SI(F66&lt;=0;"⚠️ RUPTURE";SI(F66&lt;5;"⚠️ CRITIQUE";SI(F66&lt;10;"⚡ ATTENTION";"✓ OK")))</f>
        <v/>
      </c>
    </row>
    <row r="67">
      <c r="A67" s="20" t="inlineStr">
        <is>
          <t>Beurres &amp; margarines</t>
        </is>
      </c>
      <c r="B67" s="20" t="inlineStr">
        <is>
          <t>Boite</t>
        </is>
      </c>
      <c r="C67" s="21" t="n"/>
      <c r="D67" s="21" t="n"/>
      <c r="E67" s="21" t="n"/>
      <c r="F67" s="21">
        <f>C67+D67-E67</f>
        <v/>
      </c>
      <c r="G67" s="21">
        <f>SI(F67&lt;=0;"⚠️ RUPTURE";SI(F67&lt;5;"⚠️ CRITIQUE";SI(F67&lt;10;"⚡ ATTENTION";"✓ OK")))</f>
        <v/>
      </c>
    </row>
    <row r="68">
      <c r="A68" s="20" t="inlineStr">
        <is>
          <t>Fromages tranchés</t>
        </is>
      </c>
      <c r="B68" s="20" t="inlineStr">
        <is>
          <t>Pièce</t>
        </is>
      </c>
      <c r="C68" s="21" t="n"/>
      <c r="D68" s="21" t="n"/>
      <c r="E68" s="21" t="n"/>
      <c r="F68" s="21">
        <f>C68+D68-E68</f>
        <v/>
      </c>
      <c r="G68" s="21">
        <f>SI(F68&lt;=0;"⚠️ RUPTURE";SI(F68&lt;5;"⚠️ CRITIQUE";SI(F68&lt;10;"⚡ ATTENTION";"✓ OK")))</f>
        <v/>
      </c>
    </row>
    <row r="69">
      <c r="A69" s="20" t="inlineStr">
        <is>
          <t>Fromages râpés</t>
        </is>
      </c>
      <c r="B69" s="20" t="inlineStr">
        <is>
          <t>Pièce</t>
        </is>
      </c>
      <c r="C69" s="21" t="n"/>
      <c r="D69" s="21" t="n"/>
      <c r="E69" s="21" t="n"/>
      <c r="F69" s="21">
        <f>C69+D69-E69</f>
        <v/>
      </c>
      <c r="G69" s="21">
        <f>SI(F69&lt;=0;"⚠️ RUPTURE";SI(F69&lt;5;"⚠️ CRITIQUE";SI(F69&lt;10;"⚡ ATTENTION";"✓ OK")))</f>
        <v/>
      </c>
    </row>
    <row r="70">
      <c r="A70" s="20" t="inlineStr">
        <is>
          <t>Fromages en bloc</t>
        </is>
      </c>
      <c r="B70" s="20" t="inlineStr">
        <is>
          <t>Pièce</t>
        </is>
      </c>
      <c r="C70" s="21" t="n"/>
      <c r="D70" s="21" t="n"/>
      <c r="E70" s="21" t="n"/>
      <c r="F70" s="21">
        <f>C70+D70-E70</f>
        <v/>
      </c>
      <c r="G70" s="21">
        <f>SI(F70&lt;=0;"⚠️ RUPTURE";SI(F70&lt;5;"⚠️ CRITIQUE";SI(F70&lt;10;"⚡ ATTENTION";"✓ OK")))</f>
        <v/>
      </c>
    </row>
    <row r="71">
      <c r="A71" s="20" t="inlineStr">
        <is>
          <t>Yaourts</t>
        </is>
      </c>
      <c r="B71" s="20" t="inlineStr">
        <is>
          <t>Litre</t>
        </is>
      </c>
      <c r="C71" s="21" t="n"/>
      <c r="D71" s="21" t="n"/>
      <c r="E71" s="21" t="n"/>
      <c r="F71" s="21">
        <f>C71+D71-E71</f>
        <v/>
      </c>
      <c r="G71" s="21">
        <f>SI(F71&lt;=0;"⚠️ RUPTURE";SI(F71&lt;5;"⚠️ CRITIQUE";SI(F71&lt;10;"⚡ ATTENTION";"✓ OK")))</f>
        <v/>
      </c>
    </row>
    <row r="73">
      <c r="A73" s="18" t="inlineStr">
        <is>
          <t>🥓 Charcuterie</t>
        </is>
      </c>
    </row>
    <row r="74">
      <c r="A74" s="19" t="inlineStr">
        <is>
          <t>Sous-catégorie</t>
        </is>
      </c>
      <c r="B74" s="19" t="inlineStr">
        <is>
          <t>Unité</t>
        </is>
      </c>
      <c r="C74" s="19" t="inlineStr">
        <is>
          <t>Stock Initial</t>
        </is>
      </c>
      <c r="D74" s="19" t="inlineStr">
        <is>
          <t>Entrées</t>
        </is>
      </c>
      <c r="E74" s="19" t="inlineStr">
        <is>
          <t>Sorties</t>
        </is>
      </c>
      <c r="F74" s="19" t="inlineStr">
        <is>
          <t>Stock Final</t>
        </is>
      </c>
      <c r="G74" s="19" t="inlineStr">
        <is>
          <t>Statut</t>
        </is>
      </c>
    </row>
    <row r="75">
      <c r="A75" s="20" t="inlineStr">
        <is>
          <t>Jambons</t>
        </is>
      </c>
      <c r="B75" s="20" t="inlineStr">
        <is>
          <t>Tranche</t>
        </is>
      </c>
      <c r="C75" s="21" t="n"/>
      <c r="D75" s="21" t="n"/>
      <c r="E75" s="21" t="n"/>
      <c r="F75" s="21">
        <f>C75+D75-E75</f>
        <v/>
      </c>
      <c r="G75" s="21">
        <f>SI(F75&lt;=0;"⚠️ RUPTURE";SI(F75&lt;5;"⚠️ CRITIQUE";SI(F75&lt;10;"⚡ ATTENTION";"✓ OK")))</f>
        <v/>
      </c>
    </row>
    <row r="76">
      <c r="A76" s="20" t="inlineStr">
        <is>
          <t>Bacons</t>
        </is>
      </c>
      <c r="B76" s="20" t="inlineStr">
        <is>
          <t>Tranche</t>
        </is>
      </c>
      <c r="C76" s="21" t="n"/>
      <c r="D76" s="21" t="n"/>
      <c r="E76" s="21" t="n"/>
      <c r="F76" s="21">
        <f>C76+D76-E76</f>
        <v/>
      </c>
      <c r="G76" s="21">
        <f>SI(F76&lt;=0;"⚠️ RUPTURE";SI(F76&lt;5;"⚠️ CRITIQUE";SI(F76&lt;10;"⚡ ATTENTION";"✓ OK")))</f>
        <v/>
      </c>
    </row>
    <row r="77">
      <c r="A77" s="20" t="inlineStr">
        <is>
          <t>Saucissons</t>
        </is>
      </c>
      <c r="B77" s="20" t="inlineStr">
        <is>
          <t>Tranche</t>
        </is>
      </c>
      <c r="C77" s="21" t="n"/>
      <c r="D77" s="21" t="n"/>
      <c r="E77" s="21" t="n"/>
      <c r="F77" s="21">
        <f>C77+D77-E77</f>
        <v/>
      </c>
      <c r="G77" s="21">
        <f>SI(F77&lt;=0;"⚠️ RUPTURE";SI(F77&lt;5;"⚠️ CRITIQUE";SI(F77&lt;10;"⚡ ATTENTION";"✓ OK")))</f>
        <v/>
      </c>
    </row>
    <row r="78">
      <c r="A78" s="20" t="inlineStr">
        <is>
          <t>Pepperoni</t>
        </is>
      </c>
      <c r="B78" s="20" t="inlineStr">
        <is>
          <t>Tranche</t>
        </is>
      </c>
      <c r="C78" s="21" t="n"/>
      <c r="D78" s="21" t="n"/>
      <c r="E78" s="21" t="n"/>
      <c r="F78" s="21">
        <f>C78+D78-E78</f>
        <v/>
      </c>
      <c r="G78" s="21">
        <f>SI(F78&lt;=0;"⚠️ RUPTURE";SI(F78&lt;5;"⚠️ CRITIQUE";SI(F78&lt;10;"⚡ ATTENTION";"✓ OK")))</f>
        <v/>
      </c>
    </row>
    <row r="80">
      <c r="A80" s="18" t="inlineStr">
        <is>
          <t>❄️ Surgelés</t>
        </is>
      </c>
    </row>
    <row r="81">
      <c r="A81" s="19" t="inlineStr">
        <is>
          <t>Sous-catégorie</t>
        </is>
      </c>
      <c r="B81" s="19" t="inlineStr">
        <is>
          <t>Unité</t>
        </is>
      </c>
      <c r="C81" s="19" t="inlineStr">
        <is>
          <t>Stock Initial</t>
        </is>
      </c>
      <c r="D81" s="19" t="inlineStr">
        <is>
          <t>Entrées</t>
        </is>
      </c>
      <c r="E81" s="19" t="inlineStr">
        <is>
          <t>Sorties</t>
        </is>
      </c>
      <c r="F81" s="19" t="inlineStr">
        <is>
          <t>Stock Final</t>
        </is>
      </c>
      <c r="G81" s="19" t="inlineStr">
        <is>
          <t>Statut</t>
        </is>
      </c>
    </row>
    <row r="82">
      <c r="A82" s="20" t="inlineStr">
        <is>
          <t>Frites surgelées</t>
        </is>
      </c>
      <c r="B82" s="20" t="inlineStr">
        <is>
          <t>Paquet</t>
        </is>
      </c>
      <c r="C82" s="21" t="n"/>
      <c r="D82" s="21" t="n"/>
      <c r="E82" s="21" t="n"/>
      <c r="F82" s="21">
        <f>C82+D82-E82</f>
        <v/>
      </c>
      <c r="G82" s="21">
        <f>SI(F82&lt;=0;"⚠️ RUPTURE";SI(F82&lt;5;"⚠️ CRITIQUE";SI(F82&lt;10;"⚡ ATTENTION";"✓ OK")))</f>
        <v/>
      </c>
    </row>
    <row r="83">
      <c r="A83" s="20" t="inlineStr">
        <is>
          <t>Légumes surgelés</t>
        </is>
      </c>
      <c r="B83" s="20" t="inlineStr">
        <is>
          <t>Paquet</t>
        </is>
      </c>
      <c r="C83" s="21" t="n"/>
      <c r="D83" s="21" t="n"/>
      <c r="E83" s="21" t="n"/>
      <c r="F83" s="21">
        <f>C83+D83-E83</f>
        <v/>
      </c>
      <c r="G83" s="21">
        <f>SI(F83&lt;=0;"⚠️ RUPTURE";SI(F83&lt;5;"⚠️ CRITIQUE";SI(F83&lt;10;"⚡ ATTENTION";"✓ OK")))</f>
        <v/>
      </c>
    </row>
    <row r="84">
      <c r="A84" s="20" t="inlineStr">
        <is>
          <t>Viandes surgelées</t>
        </is>
      </c>
      <c r="B84" s="20" t="inlineStr">
        <is>
          <t>Paquet</t>
        </is>
      </c>
      <c r="C84" s="21" t="n"/>
      <c r="D84" s="21" t="n"/>
      <c r="E84" s="21" t="n"/>
      <c r="F84" s="21">
        <f>C84+D84-E84</f>
        <v/>
      </c>
      <c r="G84" s="21">
        <f>SI(F84&lt;=0;"⚠️ RUPTURE";SI(F84&lt;5;"⚠️ CRITIQUE";SI(F84&lt;10;"⚡ ATTENTION";"✓ OK")))</f>
        <v/>
      </c>
    </row>
    <row r="85">
      <c r="A85" s="20" t="inlineStr">
        <is>
          <t>Poissons surgelés</t>
        </is>
      </c>
      <c r="B85" s="20" t="inlineStr">
        <is>
          <t>Paquet</t>
        </is>
      </c>
      <c r="C85" s="21" t="n"/>
      <c r="D85" s="21" t="n"/>
      <c r="E85" s="21" t="n"/>
      <c r="F85" s="21">
        <f>C85+D85-E85</f>
        <v/>
      </c>
      <c r="G85" s="21">
        <f>SI(F85&lt;=0;"⚠️ RUPTURE";SI(F85&lt;5;"⚠️ CRITIQUE";SI(F85&lt;10;"⚡ ATTENTION";"✓ OK")))</f>
        <v/>
      </c>
    </row>
    <row r="87">
      <c r="A87" s="18" t="inlineStr">
        <is>
          <t>🥫 Sauces &amp; condiments</t>
        </is>
      </c>
    </row>
    <row r="88">
      <c r="A88" s="19" t="inlineStr">
        <is>
          <t>Sous-catégorie</t>
        </is>
      </c>
      <c r="B88" s="19" t="inlineStr">
        <is>
          <t>Unité</t>
        </is>
      </c>
      <c r="C88" s="19" t="inlineStr">
        <is>
          <t>Stock Initial</t>
        </is>
      </c>
      <c r="D88" s="19" t="inlineStr">
        <is>
          <t>Entrées</t>
        </is>
      </c>
      <c r="E88" s="19" t="inlineStr">
        <is>
          <t>Sorties</t>
        </is>
      </c>
      <c r="F88" s="19" t="inlineStr">
        <is>
          <t>Stock Final</t>
        </is>
      </c>
      <c r="G88" s="19" t="inlineStr">
        <is>
          <t>Statut</t>
        </is>
      </c>
    </row>
    <row r="89">
      <c r="A89" s="20" t="inlineStr">
        <is>
          <t>Ketchup</t>
        </is>
      </c>
      <c r="B89" s="20" t="inlineStr">
        <is>
          <t>Bouteille</t>
        </is>
      </c>
      <c r="C89" s="21" t="n"/>
      <c r="D89" s="21" t="n"/>
      <c r="E89" s="21" t="n"/>
      <c r="F89" s="21">
        <f>C89+D89-E89</f>
        <v/>
      </c>
      <c r="G89" s="21">
        <f>SI(F89&lt;=0;"⚠️ RUPTURE";SI(F89&lt;5;"⚠️ CRITIQUE";SI(F89&lt;10;"⚡ ATTENTION";"✓ OK")))</f>
        <v/>
      </c>
    </row>
    <row r="90">
      <c r="A90" s="20" t="inlineStr">
        <is>
          <t>Mayonnaise</t>
        </is>
      </c>
      <c r="B90" s="20" t="inlineStr">
        <is>
          <t>Bouteille</t>
        </is>
      </c>
      <c r="C90" s="21" t="n"/>
      <c r="D90" s="21" t="n"/>
      <c r="E90" s="21" t="n"/>
      <c r="F90" s="21">
        <f>C90+D90-E90</f>
        <v/>
      </c>
      <c r="G90" s="21">
        <f>SI(F90&lt;=0;"⚠️ RUPTURE";SI(F90&lt;5;"⚠️ CRITIQUE";SI(F90&lt;10;"⚡ ATTENTION";"✓ OK")))</f>
        <v/>
      </c>
    </row>
    <row r="91">
      <c r="A91" s="20" t="inlineStr">
        <is>
          <t>Moutarde</t>
        </is>
      </c>
      <c r="B91" s="20" t="inlineStr">
        <is>
          <t>Bouteille</t>
        </is>
      </c>
      <c r="C91" s="21" t="n"/>
      <c r="D91" s="21" t="n"/>
      <c r="E91" s="21" t="n"/>
      <c r="F91" s="21">
        <f>C91+D91-E91</f>
        <v/>
      </c>
      <c r="G91" s="21">
        <f>SI(F91&lt;=0;"⚠️ RUPTURE";SI(F91&lt;5;"⚠️ CRITIQUE";SI(F91&lt;10;"⚡ ATTENTION";"✓ OK")))</f>
        <v/>
      </c>
    </row>
    <row r="92">
      <c r="A92" s="20" t="inlineStr">
        <is>
          <t>Vinaigres</t>
        </is>
      </c>
      <c r="B92" s="20" t="inlineStr">
        <is>
          <t>Bouteille</t>
        </is>
      </c>
      <c r="C92" s="21" t="n"/>
      <c r="D92" s="21" t="n"/>
      <c r="E92" s="21" t="n"/>
      <c r="F92" s="21">
        <f>C92+D92-E92</f>
        <v/>
      </c>
      <c r="G92" s="21">
        <f>SI(F92&lt;=0;"⚠️ RUPTURE";SI(F92&lt;5;"⚠️ CRITIQUE";SI(F92&lt;10;"⚡ ATTENTION";"✓ OK")))</f>
        <v/>
      </c>
    </row>
    <row r="93">
      <c r="A93" s="20" t="inlineStr">
        <is>
          <t>Marinades</t>
        </is>
      </c>
      <c r="B93" s="20" t="inlineStr">
        <is>
          <t>Bouteille</t>
        </is>
      </c>
      <c r="C93" s="21" t="n"/>
      <c r="D93" s="21" t="n"/>
      <c r="E93" s="21" t="n"/>
      <c r="F93" s="21">
        <f>C93+D93-E93</f>
        <v/>
      </c>
      <c r="G93" s="21">
        <f>SI(F93&lt;=0;"⚠️ RUPTURE";SI(F93&lt;5;"⚠️ CRITIQUE";SI(F93&lt;10;"⚡ ATTENTION";"✓ OK")))</f>
        <v/>
      </c>
    </row>
    <row r="95">
      <c r="A95" s="18" t="inlineStr">
        <is>
          <t>🍞 Boulangerie &amp; pains</t>
        </is>
      </c>
    </row>
    <row r="96">
      <c r="A96" s="19" t="inlineStr">
        <is>
          <t>Sous-catégorie</t>
        </is>
      </c>
      <c r="B96" s="19" t="inlineStr">
        <is>
          <t>Unité</t>
        </is>
      </c>
      <c r="C96" s="19" t="inlineStr">
        <is>
          <t>Stock Initial</t>
        </is>
      </c>
      <c r="D96" s="19" t="inlineStr">
        <is>
          <t>Entrées</t>
        </is>
      </c>
      <c r="E96" s="19" t="inlineStr">
        <is>
          <t>Sorties</t>
        </is>
      </c>
      <c r="F96" s="19" t="inlineStr">
        <is>
          <t>Stock Final</t>
        </is>
      </c>
      <c r="G96" s="19" t="inlineStr">
        <is>
          <t>Statut</t>
        </is>
      </c>
    </row>
    <row r="97">
      <c r="A97" s="20" t="inlineStr">
        <is>
          <t>Pains burgers</t>
        </is>
      </c>
      <c r="B97" s="20" t="inlineStr">
        <is>
          <t>Nombre</t>
        </is>
      </c>
      <c r="C97" s="21" t="n"/>
      <c r="D97" s="21" t="n"/>
      <c r="E97" s="21" t="n"/>
      <c r="F97" s="21">
        <f>C97+D97-E97</f>
        <v/>
      </c>
      <c r="G97" s="21">
        <f>SI(F97&lt;=0;"⚠️ RUPTURE";SI(F97&lt;5;"⚠️ CRITIQUE";SI(F97&lt;10;"⚡ ATTENTION";"✓ OK")))</f>
        <v/>
      </c>
    </row>
    <row r="98">
      <c r="A98" s="20" t="inlineStr">
        <is>
          <t>Pains hot-dog</t>
        </is>
      </c>
      <c r="B98" s="20" t="inlineStr">
        <is>
          <t>Nombre</t>
        </is>
      </c>
      <c r="C98" s="21" t="n"/>
      <c r="D98" s="21" t="n"/>
      <c r="E98" s="21" t="n"/>
      <c r="F98" s="21">
        <f>C98+D98-E98</f>
        <v/>
      </c>
      <c r="G98" s="21">
        <f>SI(F98&lt;=0;"⚠️ RUPTURE";SI(F98&lt;5;"⚠️ CRITIQUE";SI(F98&lt;10;"⚡ ATTENTION";"✓ OK")))</f>
        <v/>
      </c>
    </row>
    <row r="99">
      <c r="A99" s="20" t="inlineStr">
        <is>
          <t>Pains sandwich</t>
        </is>
      </c>
      <c r="B99" s="20" t="inlineStr">
        <is>
          <t>Nombre</t>
        </is>
      </c>
      <c r="C99" s="21" t="n"/>
      <c r="D99" s="21" t="n"/>
      <c r="E99" s="21" t="n"/>
      <c r="F99" s="21">
        <f>C99+D99-E99</f>
        <v/>
      </c>
      <c r="G99" s="21">
        <f>SI(F99&lt;=0;"⚠️ RUPTURE";SI(F99&lt;5;"⚠️ CRITIQUE";SI(F99&lt;10;"⚡ ATTENTION";"✓ OK")))</f>
        <v/>
      </c>
    </row>
    <row r="100">
      <c r="A100" s="20" t="inlineStr">
        <is>
          <t>Baguettes</t>
        </is>
      </c>
      <c r="B100" s="20" t="inlineStr">
        <is>
          <t>Nombre</t>
        </is>
      </c>
      <c r="C100" s="21" t="n"/>
      <c r="D100" s="21" t="n"/>
      <c r="E100" s="21" t="n"/>
      <c r="F100" s="21">
        <f>C100+D100-E100</f>
        <v/>
      </c>
      <c r="G100" s="21">
        <f>SI(F100&lt;=0;"⚠️ RUPTURE";SI(F100&lt;5;"⚠️ CRITIQUE";SI(F100&lt;10;"⚡ ATTENTION";"✓ OK")))</f>
        <v/>
      </c>
    </row>
    <row r="101">
      <c r="A101" s="20" t="inlineStr">
        <is>
          <t>Tortillas / wraps</t>
        </is>
      </c>
      <c r="B101" s="20" t="inlineStr">
        <is>
          <t>Nombre</t>
        </is>
      </c>
      <c r="C101" s="21" t="n"/>
      <c r="D101" s="21" t="n"/>
      <c r="E101" s="21" t="n"/>
      <c r="F101" s="21">
        <f>C101+D101-E101</f>
        <v/>
      </c>
      <c r="G101" s="21">
        <f>SI(F101&lt;=0;"⚠️ RUPTURE";SI(F101&lt;5;"⚠️ CRITIQUE";SI(F101&lt;10;"⚡ ATTENTION";"✓ OK")))</f>
        <v/>
      </c>
    </row>
    <row r="103">
      <c r="A103" s="18" t="inlineStr">
        <is>
          <t>🌿 Herbes &amp; épices</t>
        </is>
      </c>
    </row>
    <row r="104">
      <c r="A104" s="19" t="inlineStr">
        <is>
          <t>Sous-catégorie</t>
        </is>
      </c>
      <c r="B104" s="19" t="inlineStr">
        <is>
          <t>Unité</t>
        </is>
      </c>
      <c r="C104" s="19" t="inlineStr">
        <is>
          <t>Stock Initial</t>
        </is>
      </c>
      <c r="D104" s="19" t="inlineStr">
        <is>
          <t>Entrées</t>
        </is>
      </c>
      <c r="E104" s="19" t="inlineStr">
        <is>
          <t>Sorties</t>
        </is>
      </c>
      <c r="F104" s="19" t="inlineStr">
        <is>
          <t>Stock Final</t>
        </is>
      </c>
      <c r="G104" s="19" t="inlineStr">
        <is>
          <t>Statut</t>
        </is>
      </c>
    </row>
    <row r="105">
      <c r="A105" s="20" t="inlineStr">
        <is>
          <t>Herbes fraîches</t>
        </is>
      </c>
      <c r="B105" s="20" t="inlineStr">
        <is>
          <t>Bouquet</t>
        </is>
      </c>
      <c r="C105" s="21" t="n"/>
      <c r="D105" s="21" t="n"/>
      <c r="E105" s="21" t="n"/>
      <c r="F105" s="21">
        <f>C105+D105-E105</f>
        <v/>
      </c>
      <c r="G105" s="21">
        <f>SI(F105&lt;=0;"⚠️ RUPTURE";SI(F105&lt;5;"⚠️ CRITIQUE";SI(F105&lt;10;"⚡ ATTENTION";"✓ OK")))</f>
        <v/>
      </c>
    </row>
    <row r="106">
      <c r="A106" s="20" t="inlineStr">
        <is>
          <t>Herbes sèches</t>
        </is>
      </c>
      <c r="B106" s="20" t="inlineStr">
        <is>
          <t>Bouquet</t>
        </is>
      </c>
      <c r="C106" s="21" t="n"/>
      <c r="D106" s="21" t="n"/>
      <c r="E106" s="21" t="n"/>
      <c r="F106" s="21">
        <f>C106+D106-E106</f>
        <v/>
      </c>
      <c r="G106" s="21">
        <f>SI(F106&lt;=0;"⚠️ RUPTURE";SI(F106&lt;5;"⚠️ CRITIQUE";SI(F106&lt;10;"⚡ ATTENTION";"✓ OK")))</f>
        <v/>
      </c>
    </row>
    <row r="107">
      <c r="A107" s="20" t="inlineStr">
        <is>
          <t>Épices moulues</t>
        </is>
      </c>
      <c r="B107" s="20" t="inlineStr">
        <is>
          <t>Boite</t>
        </is>
      </c>
      <c r="C107" s="21" t="n"/>
      <c r="D107" s="21" t="n"/>
      <c r="E107" s="21" t="n"/>
      <c r="F107" s="21">
        <f>C107+D107-E107</f>
        <v/>
      </c>
      <c r="G107" s="21">
        <f>SI(F107&lt;=0;"⚠️ RUPTURE";SI(F107&lt;5;"⚠️ CRITIQUE";SI(F107&lt;10;"⚡ ATTENTION";"✓ OK")))</f>
        <v/>
      </c>
    </row>
    <row r="108">
      <c r="A108" s="20" t="inlineStr">
        <is>
          <t>Épices entières</t>
        </is>
      </c>
      <c r="B108" s="20" t="inlineStr">
        <is>
          <t>Boite</t>
        </is>
      </c>
      <c r="C108" s="21" t="n"/>
      <c r="D108" s="21" t="n"/>
      <c r="E108" s="21" t="n"/>
      <c r="F108" s="21">
        <f>C108+D108-E108</f>
        <v/>
      </c>
      <c r="G108" s="21">
        <f>SI(F108&lt;=0;"⚠️ RUPTURE";SI(F108&lt;5;"⚠️ CRITIQUE";SI(F108&lt;10;"⚡ ATTENTION";"✓ OK")))</f>
        <v/>
      </c>
    </row>
    <row r="110">
      <c r="A110" s="18" t="inlineStr">
        <is>
          <t>🧈 Huiles &amp; matières grasses</t>
        </is>
      </c>
    </row>
    <row r="111">
      <c r="A111" s="19" t="inlineStr">
        <is>
          <t>Sous-catégorie</t>
        </is>
      </c>
      <c r="B111" s="19" t="inlineStr">
        <is>
          <t>Unité</t>
        </is>
      </c>
      <c r="C111" s="19" t="inlineStr">
        <is>
          <t>Stock Initial</t>
        </is>
      </c>
      <c r="D111" s="19" t="inlineStr">
        <is>
          <t>Entrées</t>
        </is>
      </c>
      <c r="E111" s="19" t="inlineStr">
        <is>
          <t>Sorties</t>
        </is>
      </c>
      <c r="F111" s="19" t="inlineStr">
        <is>
          <t>Stock Final</t>
        </is>
      </c>
      <c r="G111" s="19" t="inlineStr">
        <is>
          <t>Statut</t>
        </is>
      </c>
    </row>
    <row r="112">
      <c r="A112" s="20" t="inlineStr">
        <is>
          <t>Huiles végétales</t>
        </is>
      </c>
      <c r="B112" s="20" t="inlineStr">
        <is>
          <t>Litre</t>
        </is>
      </c>
      <c r="C112" s="21" t="n"/>
      <c r="D112" s="21" t="n"/>
      <c r="E112" s="21" t="n"/>
      <c r="F112" s="21">
        <f>C112+D112-E112</f>
        <v/>
      </c>
      <c r="G112" s="21">
        <f>SI(F112&lt;=0;"⚠️ RUPTURE";SI(F112&lt;5;"⚠️ CRITIQUE";SI(F112&lt;10;"⚡ ATTENTION";"✓ OK")))</f>
        <v/>
      </c>
    </row>
    <row r="113">
      <c r="A113" s="20" t="inlineStr">
        <is>
          <t>Huile d'olive</t>
        </is>
      </c>
      <c r="B113" s="20" t="inlineStr">
        <is>
          <t>Litre</t>
        </is>
      </c>
      <c r="C113" s="21" t="n"/>
      <c r="D113" s="21" t="n"/>
      <c r="E113" s="21" t="n"/>
      <c r="F113" s="21">
        <f>C113+D113-E113</f>
        <v/>
      </c>
      <c r="G113" s="21">
        <f>SI(F113&lt;=0;"⚠️ RUPTURE";SI(F113&lt;5;"⚠️ CRITIQUE";SI(F113&lt;10;"⚡ ATTENTION";"✓ OK")))</f>
        <v/>
      </c>
    </row>
    <row r="114">
      <c r="A114" s="20" t="inlineStr">
        <is>
          <t>Beurres</t>
        </is>
      </c>
      <c r="B114" s="20" t="inlineStr">
        <is>
          <t>Kg</t>
        </is>
      </c>
      <c r="C114" s="21" t="n"/>
      <c r="D114" s="21" t="n"/>
      <c r="E114" s="21" t="n"/>
      <c r="F114" s="21">
        <f>C114+D114-E114</f>
        <v/>
      </c>
      <c r="G114" s="21">
        <f>SI(F114&lt;=0;"⚠️ RUPTURE";SI(F114&lt;5;"⚠️ CRITIQUE";SI(F114&lt;10;"⚡ ATTENTION";"✓ OK")))</f>
        <v/>
      </c>
    </row>
    <row r="115">
      <c r="A115" s="20" t="inlineStr">
        <is>
          <t>Margarines</t>
        </is>
      </c>
      <c r="B115" s="20" t="inlineStr">
        <is>
          <t>Kg</t>
        </is>
      </c>
      <c r="C115" s="21" t="n"/>
      <c r="D115" s="21" t="n"/>
      <c r="E115" s="21" t="n"/>
      <c r="F115" s="21">
        <f>C115+D115-E115</f>
        <v/>
      </c>
      <c r="G115" s="21">
        <f>SI(F115&lt;=0;"⚠️ RUPTURE";SI(F115&lt;5;"⚠️ CRITIQUE";SI(F115&lt;10;"⚡ ATTENTION";"✓ OK")))</f>
        <v/>
      </c>
    </row>
    <row r="117">
      <c r="A117" s="18" t="inlineStr">
        <is>
          <t>🧼 Produits de nettoyage</t>
        </is>
      </c>
    </row>
    <row r="118">
      <c r="A118" s="19" t="inlineStr">
        <is>
          <t>Sous-catégorie</t>
        </is>
      </c>
      <c r="B118" s="19" t="inlineStr">
        <is>
          <t>Unité</t>
        </is>
      </c>
      <c r="C118" s="19" t="inlineStr">
        <is>
          <t>Stock Initial</t>
        </is>
      </c>
      <c r="D118" s="19" t="inlineStr">
        <is>
          <t>Entrées</t>
        </is>
      </c>
      <c r="E118" s="19" t="inlineStr">
        <is>
          <t>Sorties</t>
        </is>
      </c>
      <c r="F118" s="19" t="inlineStr">
        <is>
          <t>Stock Final</t>
        </is>
      </c>
      <c r="G118" s="19" t="inlineStr">
        <is>
          <t>Statut</t>
        </is>
      </c>
    </row>
    <row r="119">
      <c r="A119" s="20" t="inlineStr">
        <is>
          <t>Détergents</t>
        </is>
      </c>
      <c r="B119" s="20" t="inlineStr">
        <is>
          <t>Bouteille</t>
        </is>
      </c>
      <c r="C119" s="21" t="n"/>
      <c r="D119" s="21" t="n"/>
      <c r="E119" s="21" t="n"/>
      <c r="F119" s="21">
        <f>C119+D119-E119</f>
        <v/>
      </c>
      <c r="G119" s="21">
        <f>SI(F119&lt;=0;"⚠️ RUPTURE";SI(F119&lt;5;"⚠️ CRITIQUE";SI(F119&lt;10;"⚡ ATTENTION";"✓ OK")))</f>
        <v/>
      </c>
    </row>
    <row r="120">
      <c r="A120" s="20" t="inlineStr">
        <is>
          <t>Désinfectants</t>
        </is>
      </c>
      <c r="B120" s="20" t="inlineStr">
        <is>
          <t>Bouteille</t>
        </is>
      </c>
      <c r="C120" s="21" t="n"/>
      <c r="D120" s="21" t="n"/>
      <c r="E120" s="21" t="n"/>
      <c r="F120" s="21">
        <f>C120+D120-E120</f>
        <v/>
      </c>
      <c r="G120" s="21">
        <f>SI(F120&lt;=0;"⚠️ RUPTURE";SI(F120&lt;5;"⚠️ CRITIQUE";SI(F120&lt;10;"⚡ ATTENTION";"✓ OK")))</f>
        <v/>
      </c>
    </row>
    <row r="121">
      <c r="A121" s="20" t="inlineStr">
        <is>
          <t>Produits vaisselle</t>
        </is>
      </c>
      <c r="B121" s="20" t="inlineStr">
        <is>
          <t>Bouteille</t>
        </is>
      </c>
      <c r="C121" s="21" t="n"/>
      <c r="D121" s="21" t="n"/>
      <c r="E121" s="21" t="n"/>
      <c r="F121" s="21">
        <f>C121+D121-E121</f>
        <v/>
      </c>
      <c r="G121" s="21">
        <f>SI(F121&lt;=0;"⚠️ RUPTURE";SI(F121&lt;5;"⚠️ CRITIQUE";SI(F121&lt;10;"⚡ ATTENTION";"✓ OK")))</f>
        <v/>
      </c>
    </row>
    <row r="122">
      <c r="A122" s="20" t="inlineStr">
        <is>
          <t>Éponges</t>
        </is>
      </c>
      <c r="B122" s="20" t="inlineStr">
        <is>
          <t>Pièce</t>
        </is>
      </c>
      <c r="C122" s="21" t="n"/>
      <c r="D122" s="21" t="n"/>
      <c r="E122" s="21" t="n"/>
      <c r="F122" s="21">
        <f>C122+D122-E122</f>
        <v/>
      </c>
      <c r="G122" s="21">
        <f>SI(F122&lt;=0;"⚠️ RUPTURE";SI(F122&lt;5;"⚠️ CRITIQUE";SI(F122&lt;10;"⚡ ATTENTION";"✓ OK")))</f>
        <v/>
      </c>
    </row>
    <row r="124">
      <c r="A124" s="18" t="inlineStr">
        <is>
          <t>📦 Emballages &amp; Divers</t>
        </is>
      </c>
    </row>
    <row r="125">
      <c r="A125" s="19" t="inlineStr">
        <is>
          <t>Sous-catégorie</t>
        </is>
      </c>
      <c r="B125" s="19" t="inlineStr">
        <is>
          <t>Unité</t>
        </is>
      </c>
      <c r="C125" s="19" t="inlineStr">
        <is>
          <t>Stock Initial</t>
        </is>
      </c>
      <c r="D125" s="19" t="inlineStr">
        <is>
          <t>Entrées</t>
        </is>
      </c>
      <c r="E125" s="19" t="inlineStr">
        <is>
          <t>Sorties</t>
        </is>
      </c>
      <c r="F125" s="19" t="inlineStr">
        <is>
          <t>Stock Final</t>
        </is>
      </c>
      <c r="G125" s="19" t="inlineStr">
        <is>
          <t>Statut</t>
        </is>
      </c>
    </row>
    <row r="126">
      <c r="A126" s="20" t="inlineStr">
        <is>
          <t>Barquettes</t>
        </is>
      </c>
      <c r="B126" s="20" t="inlineStr">
        <is>
          <t>Lot</t>
        </is>
      </c>
      <c r="C126" s="21" t="n"/>
      <c r="D126" s="21" t="n"/>
      <c r="E126" s="21" t="n"/>
      <c r="F126" s="21">
        <f>C126+D126-E126</f>
        <v/>
      </c>
      <c r="G126" s="21">
        <f>SI(F126&lt;=0;"⚠️ RUPTURE";SI(F126&lt;5;"⚠️ CRITIQUE";SI(F126&lt;10;"⚡ ATTENTION";"✓ OK")))</f>
        <v/>
      </c>
    </row>
    <row r="127">
      <c r="A127" s="20" t="inlineStr">
        <is>
          <t>Boîtes</t>
        </is>
      </c>
      <c r="B127" s="20" t="inlineStr">
        <is>
          <t>Lot</t>
        </is>
      </c>
      <c r="C127" s="21" t="n"/>
      <c r="D127" s="21" t="n"/>
      <c r="E127" s="21" t="n"/>
      <c r="F127" s="21">
        <f>C127+D127-E127</f>
        <v/>
      </c>
      <c r="G127" s="21">
        <f>SI(F127&lt;=0;"⚠️ RUPTURE";SI(F127&lt;5;"⚠️ CRITIQUE";SI(F127&lt;10;"⚡ ATTENTION";"✓ OK")))</f>
        <v/>
      </c>
    </row>
    <row r="128">
      <c r="A128" s="20" t="inlineStr">
        <is>
          <t>Films alimentaires</t>
        </is>
      </c>
      <c r="B128" s="20" t="inlineStr">
        <is>
          <t>Rouleau</t>
        </is>
      </c>
      <c r="C128" s="21" t="n"/>
      <c r="D128" s="21" t="n"/>
      <c r="E128" s="21" t="n"/>
      <c r="F128" s="21">
        <f>C128+D128-E128</f>
        <v/>
      </c>
      <c r="G128" s="21">
        <f>SI(F128&lt;=0;"⚠️ RUPTURE";SI(F128&lt;5;"⚠️ CRITIQUE";SI(F128&lt;10;"⚡ ATTENTION";"✓ OK")))</f>
        <v/>
      </c>
    </row>
    <row r="129">
      <c r="A129" s="20" t="inlineStr">
        <is>
          <t>Sacs kraft</t>
        </is>
      </c>
      <c r="B129" s="20" t="inlineStr">
        <is>
          <t>Lot</t>
        </is>
      </c>
      <c r="C129" s="21" t="n"/>
      <c r="D129" s="21" t="n"/>
      <c r="E129" s="21" t="n"/>
      <c r="F129" s="21">
        <f>C129+D129-E129</f>
        <v/>
      </c>
      <c r="G129" s="21">
        <f>SI(F129&lt;=0;"⚠️ RUPTURE";SI(F129&lt;5;"⚠️ CRITIQUE";SI(F129&lt;10;"⚡ ATTENTION";"✓ OK")))</f>
        <v/>
      </c>
    </row>
    <row r="130">
      <c r="A130" s="20" t="inlineStr">
        <is>
          <t>Bouteille de Gaz</t>
        </is>
      </c>
      <c r="B130" s="20" t="inlineStr">
        <is>
          <t>Pièce</t>
        </is>
      </c>
      <c r="C130" s="21" t="n"/>
      <c r="D130" s="21" t="n"/>
      <c r="E130" s="21" t="n"/>
      <c r="F130" s="21">
        <f>C130+D130-E130</f>
        <v/>
      </c>
      <c r="G130" s="21">
        <f>SI(F130&lt;=0;"⚠️ RUPTURE";SI(F130&lt;5;"⚠️ CRITIQUE";SI(F130&lt;10;"⚡ ATTENTION";"✓ OK")))</f>
        <v/>
      </c>
    </row>
    <row r="131">
      <c r="A131" s="20" t="inlineStr">
        <is>
          <t>Couverts jetables</t>
        </is>
      </c>
      <c r="B131" s="20" t="inlineStr">
        <is>
          <t>Lot</t>
        </is>
      </c>
      <c r="C131" s="21" t="n"/>
      <c r="D131" s="21" t="n"/>
      <c r="E131" s="21" t="n"/>
      <c r="F131" s="21">
        <f>C131+D131-E131</f>
        <v/>
      </c>
      <c r="G131" s="21">
        <f>SI(F131&lt;=0;"⚠️ RUPTURE";SI(F131&lt;5;"⚠️ CRITIQUE";SI(F131&lt;10;"⚡ ATTENTION";"✓ OK")))</f>
        <v/>
      </c>
    </row>
    <row r="132">
      <c r="A132" s="20" t="inlineStr">
        <is>
          <t>Charbon</t>
        </is>
      </c>
      <c r="B132" s="20" t="inlineStr">
        <is>
          <t>Sac</t>
        </is>
      </c>
      <c r="C132" s="21" t="n"/>
      <c r="D132" s="21" t="n"/>
      <c r="E132" s="21" t="n"/>
      <c r="F132" s="21">
        <f>C132+D132-E132</f>
        <v/>
      </c>
      <c r="G132" s="21">
        <f>SI(F132&lt;=0;"⚠️ RUPTURE";SI(F132&lt;5;"⚠️ CRITIQUE";SI(F132&lt;10;"⚡ ATTENTION";"✓ OK")))</f>
        <v/>
      </c>
    </row>
  </sheetData>
  <conditionalFormatting sqref="G4:G200">
    <cfRule type="cellIs" priority="1" operator="equal" dxfId="0">
      <formula>"⚠️ RUPTURE"</formula>
    </cfRule>
    <cfRule type="cellIs" priority="2" operator="equal" dxfId="1">
      <formula>"⚠️ CRITIQUE"</formula>
    </cfRule>
    <cfRule type="cellIs" priority="3" operator="equal" dxfId="2">
      <formula>"⚡ ATTENTION"</formula>
    </cfRule>
    <cfRule type="cellIs" priority="4" operator="equal" dxfId="3">
      <formula>"✓ 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2" customWidth="1" min="3" max="3"/>
    <col width="18" customWidth="1" min="4" max="4"/>
    <col width="18" customWidth="1" min="5" max="5"/>
    <col width="25" customWidth="1" min="6" max="6"/>
  </cols>
  <sheetData>
    <row r="1">
      <c r="A1" s="11" t="inlineStr">
        <is>
          <t>💰 VENTES JOURNALIÈRES</t>
        </is>
      </c>
    </row>
    <row r="3">
      <c r="A3" t="inlineStr">
        <is>
          <t>Date:</t>
        </is>
      </c>
      <c r="B3" s="17">
        <f>AUJOURDHUI()</f>
        <v/>
      </c>
      <c r="D3" t="inlineStr">
        <is>
          <t>Heure début:</t>
        </is>
      </c>
      <c r="E3" s="22" t="inlineStr"/>
      <c r="G3" t="inlineStr">
        <is>
          <t>Heure fin:</t>
        </is>
      </c>
      <c r="H3" s="22" t="inlineStr"/>
    </row>
    <row r="5">
      <c r="A5" s="13" t="inlineStr">
        <is>
          <t>N°</t>
        </is>
      </c>
      <c r="B5" s="13" t="inlineStr">
        <is>
          <t>Plat Vendu</t>
        </is>
      </c>
      <c r="C5" s="13" t="inlineStr">
        <is>
          <t>Quantité</t>
        </is>
      </c>
      <c r="D5" s="13" t="inlineStr">
        <is>
          <t>Prix Unitaire (FCFA)</t>
        </is>
      </c>
      <c r="E5" s="13" t="inlineStr">
        <is>
          <t>Total (FCFA)</t>
        </is>
      </c>
      <c r="F5" s="13" t="inlineStr">
        <is>
          <t>Observation</t>
        </is>
      </c>
    </row>
    <row r="6">
      <c r="A6" s="20" t="n">
        <v>1</v>
      </c>
      <c r="B6" s="20" t="n"/>
      <c r="C6" s="21" t="inlineStr"/>
      <c r="D6" s="21">
        <f>SI(B6=""; ""; SIERROR(RECHERCHEV(B6; PLATS!$A$6:$C$50; 3; FAUX); ""))</f>
        <v/>
      </c>
      <c r="E6" s="21">
        <f>SI(ET(C6&gt;0; D6&gt;0); C6*D6; "")</f>
        <v/>
      </c>
      <c r="F6" s="20" t="inlineStr"/>
    </row>
    <row r="7">
      <c r="A7" s="20" t="n">
        <v>2</v>
      </c>
      <c r="B7" s="20" t="n"/>
      <c r="C7" s="21" t="inlineStr"/>
      <c r="D7" s="21">
        <f>SI(B7=""; ""; SIERROR(RECHERCHEV(B7; PLATS!$A$6:$C$50; 3; FAUX); ""))</f>
        <v/>
      </c>
      <c r="E7" s="21">
        <f>SI(ET(C7&gt;0; D7&gt;0); C7*D7; "")</f>
        <v/>
      </c>
      <c r="F7" s="20" t="inlineStr"/>
    </row>
    <row r="8">
      <c r="A8" s="20" t="n">
        <v>3</v>
      </c>
      <c r="B8" s="20" t="n"/>
      <c r="C8" s="21" t="inlineStr"/>
      <c r="D8" s="21">
        <f>SI(B8=""; ""; SIERROR(RECHERCHEV(B8; PLATS!$A$6:$C$50; 3; FAUX); ""))</f>
        <v/>
      </c>
      <c r="E8" s="21">
        <f>SI(ET(C8&gt;0; D8&gt;0); C8*D8; "")</f>
        <v/>
      </c>
      <c r="F8" s="20" t="inlineStr"/>
    </row>
    <row r="9">
      <c r="A9" s="20" t="n">
        <v>4</v>
      </c>
      <c r="B9" s="20" t="n"/>
      <c r="C9" s="21" t="inlineStr"/>
      <c r="D9" s="21">
        <f>SI(B9=""; ""; SIERROR(RECHERCHEV(B9; PLATS!$A$6:$C$50; 3; FAUX); ""))</f>
        <v/>
      </c>
      <c r="E9" s="21">
        <f>SI(ET(C9&gt;0; D9&gt;0); C9*D9; "")</f>
        <v/>
      </c>
      <c r="F9" s="20" t="inlineStr"/>
    </row>
    <row r="10">
      <c r="A10" s="20" t="n">
        <v>5</v>
      </c>
      <c r="B10" s="20" t="n"/>
      <c r="C10" s="21" t="inlineStr"/>
      <c r="D10" s="21">
        <f>SI(B10=""; ""; SIERROR(RECHERCHEV(B10; PLATS!$A$6:$C$50; 3; FAUX); ""))</f>
        <v/>
      </c>
      <c r="E10" s="21">
        <f>SI(ET(C10&gt;0; D10&gt;0); C10*D10; "")</f>
        <v/>
      </c>
      <c r="F10" s="20" t="inlineStr"/>
    </row>
    <row r="11">
      <c r="A11" s="20" t="n">
        <v>6</v>
      </c>
      <c r="B11" s="20" t="n"/>
      <c r="C11" s="21" t="inlineStr"/>
      <c r="D11" s="21">
        <f>SI(B11=""; ""; SIERROR(RECHERCHEV(B11; PLATS!$A$6:$C$50; 3; FAUX); ""))</f>
        <v/>
      </c>
      <c r="E11" s="21">
        <f>SI(ET(C11&gt;0; D11&gt;0); C11*D11; "")</f>
        <v/>
      </c>
      <c r="F11" s="20" t="inlineStr"/>
    </row>
    <row r="12">
      <c r="A12" s="20" t="n">
        <v>7</v>
      </c>
      <c r="B12" s="20" t="n"/>
      <c r="C12" s="21" t="inlineStr"/>
      <c r="D12" s="21">
        <f>SI(B12=""; ""; SIERROR(RECHERCHEV(B12; PLATS!$A$6:$C$50; 3; FAUX); ""))</f>
        <v/>
      </c>
      <c r="E12" s="21">
        <f>SI(ET(C12&gt;0; D12&gt;0); C12*D12; "")</f>
        <v/>
      </c>
      <c r="F12" s="20" t="inlineStr"/>
    </row>
    <row r="13">
      <c r="A13" s="20" t="n">
        <v>8</v>
      </c>
      <c r="B13" s="20" t="n"/>
      <c r="C13" s="21" t="inlineStr"/>
      <c r="D13" s="21">
        <f>SI(B13=""; ""; SIERROR(RECHERCHEV(B13; PLATS!$A$6:$C$50; 3; FAUX); ""))</f>
        <v/>
      </c>
      <c r="E13" s="21">
        <f>SI(ET(C13&gt;0; D13&gt;0); C13*D13; "")</f>
        <v/>
      </c>
      <c r="F13" s="20" t="inlineStr"/>
    </row>
    <row r="14">
      <c r="A14" s="20" t="n">
        <v>9</v>
      </c>
      <c r="B14" s="20" t="n"/>
      <c r="C14" s="21" t="inlineStr"/>
      <c r="D14" s="21">
        <f>SI(B14=""; ""; SIERROR(RECHERCHEV(B14; PLATS!$A$6:$C$50; 3; FAUX); ""))</f>
        <v/>
      </c>
      <c r="E14" s="21">
        <f>SI(ET(C14&gt;0; D14&gt;0); C14*D14; "")</f>
        <v/>
      </c>
      <c r="F14" s="20" t="inlineStr"/>
    </row>
    <row r="15">
      <c r="A15" s="20" t="n">
        <v>10</v>
      </c>
      <c r="B15" s="20" t="n"/>
      <c r="C15" s="21" t="inlineStr"/>
      <c r="D15" s="21">
        <f>SI(B15=""; ""; SIERROR(RECHERCHEV(B15; PLATS!$A$6:$C$50; 3; FAUX); ""))</f>
        <v/>
      </c>
      <c r="E15" s="21">
        <f>SI(ET(C15&gt;0; D15&gt;0); C15*D15; "")</f>
        <v/>
      </c>
      <c r="F15" s="20" t="inlineStr"/>
    </row>
    <row r="16">
      <c r="A16" s="20" t="n">
        <v>11</v>
      </c>
      <c r="B16" s="20" t="n"/>
      <c r="C16" s="21" t="inlineStr"/>
      <c r="D16" s="21">
        <f>SI(B16=""; ""; SIERROR(RECHERCHEV(B16; PLATS!$A$6:$C$50; 3; FAUX); ""))</f>
        <v/>
      </c>
      <c r="E16" s="21">
        <f>SI(ET(C16&gt;0; D16&gt;0); C16*D16; "")</f>
        <v/>
      </c>
      <c r="F16" s="20" t="inlineStr"/>
    </row>
    <row r="17">
      <c r="A17" s="20" t="n">
        <v>12</v>
      </c>
      <c r="B17" s="20" t="n"/>
      <c r="C17" s="21" t="inlineStr"/>
      <c r="D17" s="21">
        <f>SI(B17=""; ""; SIERROR(RECHERCHEV(B17; PLATS!$A$6:$C$50; 3; FAUX); ""))</f>
        <v/>
      </c>
      <c r="E17" s="21">
        <f>SI(ET(C17&gt;0; D17&gt;0); C17*D17; "")</f>
        <v/>
      </c>
      <c r="F17" s="20" t="inlineStr"/>
    </row>
    <row r="18">
      <c r="A18" s="20" t="n">
        <v>13</v>
      </c>
      <c r="B18" s="20" t="n"/>
      <c r="C18" s="21" t="inlineStr"/>
      <c r="D18" s="21">
        <f>SI(B18=""; ""; SIERROR(RECHERCHEV(B18; PLATS!$A$6:$C$50; 3; FAUX); ""))</f>
        <v/>
      </c>
      <c r="E18" s="21">
        <f>SI(ET(C18&gt;0; D18&gt;0); C18*D18; "")</f>
        <v/>
      </c>
      <c r="F18" s="20" t="inlineStr"/>
    </row>
    <row r="19">
      <c r="A19" s="20" t="n">
        <v>14</v>
      </c>
      <c r="B19" s="20" t="n"/>
      <c r="C19" s="21" t="inlineStr"/>
      <c r="D19" s="21">
        <f>SI(B19=""; ""; SIERROR(RECHERCHEV(B19; PLATS!$A$6:$C$50; 3; FAUX); ""))</f>
        <v/>
      </c>
      <c r="E19" s="21">
        <f>SI(ET(C19&gt;0; D19&gt;0); C19*D19; "")</f>
        <v/>
      </c>
      <c r="F19" s="20" t="inlineStr"/>
    </row>
    <row r="20">
      <c r="A20" s="20" t="n">
        <v>15</v>
      </c>
      <c r="B20" s="20" t="n"/>
      <c r="C20" s="21" t="inlineStr"/>
      <c r="D20" s="21">
        <f>SI(B20=""; ""; SIERROR(RECHERCHEV(B20; PLATS!$A$6:$C$50; 3; FAUX); ""))</f>
        <v/>
      </c>
      <c r="E20" s="21">
        <f>SI(ET(C20&gt;0; D20&gt;0); C20*D20; "")</f>
        <v/>
      </c>
      <c r="F20" s="20" t="inlineStr"/>
    </row>
    <row r="21">
      <c r="A21" s="20" t="n">
        <v>16</v>
      </c>
      <c r="B21" s="20" t="n"/>
      <c r="C21" s="21" t="inlineStr"/>
      <c r="D21" s="21">
        <f>SI(B21=""; ""; SIERROR(RECHERCHEV(B21; PLATS!$A$6:$C$50; 3; FAUX); ""))</f>
        <v/>
      </c>
      <c r="E21" s="21">
        <f>SI(ET(C21&gt;0; D21&gt;0); C21*D21; "")</f>
        <v/>
      </c>
      <c r="F21" s="20" t="inlineStr"/>
    </row>
    <row r="22">
      <c r="A22" s="20" t="n">
        <v>17</v>
      </c>
      <c r="B22" s="20" t="n"/>
      <c r="C22" s="21" t="inlineStr"/>
      <c r="D22" s="21">
        <f>SI(B22=""; ""; SIERROR(RECHERCHEV(B22; PLATS!$A$6:$C$50; 3; FAUX); ""))</f>
        <v/>
      </c>
      <c r="E22" s="21">
        <f>SI(ET(C22&gt;0; D22&gt;0); C22*D22; "")</f>
        <v/>
      </c>
      <c r="F22" s="20" t="inlineStr"/>
    </row>
    <row r="23">
      <c r="A23" s="20" t="n">
        <v>18</v>
      </c>
      <c r="B23" s="20" t="n"/>
      <c r="C23" s="21" t="inlineStr"/>
      <c r="D23" s="21">
        <f>SI(B23=""; ""; SIERROR(RECHERCHEV(B23; PLATS!$A$6:$C$50; 3; FAUX); ""))</f>
        <v/>
      </c>
      <c r="E23" s="21">
        <f>SI(ET(C23&gt;0; D23&gt;0); C23*D23; "")</f>
        <v/>
      </c>
      <c r="F23" s="20" t="inlineStr"/>
    </row>
    <row r="24">
      <c r="A24" s="20" t="n">
        <v>19</v>
      </c>
      <c r="B24" s="20" t="n"/>
      <c r="C24" s="21" t="inlineStr"/>
      <c r="D24" s="21">
        <f>SI(B24=""; ""; SIERROR(RECHERCHEV(B24; PLATS!$A$6:$C$50; 3; FAUX); ""))</f>
        <v/>
      </c>
      <c r="E24" s="21">
        <f>SI(ET(C24&gt;0; D24&gt;0); C24*D24; "")</f>
        <v/>
      </c>
      <c r="F24" s="20" t="inlineStr"/>
    </row>
    <row r="25">
      <c r="A25" s="20" t="n">
        <v>20</v>
      </c>
      <c r="B25" s="20" t="n"/>
      <c r="C25" s="21" t="inlineStr"/>
      <c r="D25" s="21">
        <f>SI(B25=""; ""; SIERROR(RECHERCHEV(B25; PLATS!$A$6:$C$50; 3; FAUX); ""))</f>
        <v/>
      </c>
      <c r="E25" s="21">
        <f>SI(ET(C25&gt;0; D25&gt;0); C25*D25; "")</f>
        <v/>
      </c>
      <c r="F25" s="20" t="inlineStr"/>
    </row>
    <row r="26">
      <c r="A26" s="20" t="n">
        <v>21</v>
      </c>
      <c r="B26" s="20" t="n"/>
      <c r="C26" s="21" t="inlineStr"/>
      <c r="D26" s="21">
        <f>SI(B26=""; ""; SIERROR(RECHERCHEV(B26; PLATS!$A$6:$C$50; 3; FAUX); ""))</f>
        <v/>
      </c>
      <c r="E26" s="21">
        <f>SI(ET(C26&gt;0; D26&gt;0); C26*D26; "")</f>
        <v/>
      </c>
      <c r="F26" s="20" t="inlineStr"/>
    </row>
    <row r="27">
      <c r="A27" s="20" t="n">
        <v>22</v>
      </c>
      <c r="B27" s="20" t="n"/>
      <c r="C27" s="21" t="inlineStr"/>
      <c r="D27" s="21">
        <f>SI(B27=""; ""; SIERROR(RECHERCHEV(B27; PLATS!$A$6:$C$50; 3; FAUX); ""))</f>
        <v/>
      </c>
      <c r="E27" s="21">
        <f>SI(ET(C27&gt;0; D27&gt;0); C27*D27; "")</f>
        <v/>
      </c>
      <c r="F27" s="20" t="inlineStr"/>
    </row>
    <row r="28">
      <c r="A28" s="20" t="n">
        <v>23</v>
      </c>
      <c r="B28" s="20" t="n"/>
      <c r="C28" s="21" t="inlineStr"/>
      <c r="D28" s="21">
        <f>SI(B28=""; ""; SIERROR(RECHERCHEV(B28; PLATS!$A$6:$C$50; 3; FAUX); ""))</f>
        <v/>
      </c>
      <c r="E28" s="21">
        <f>SI(ET(C28&gt;0; D28&gt;0); C28*D28; "")</f>
        <v/>
      </c>
      <c r="F28" s="20" t="inlineStr"/>
    </row>
    <row r="29">
      <c r="A29" s="20" t="n">
        <v>24</v>
      </c>
      <c r="B29" s="20" t="n"/>
      <c r="C29" s="21" t="inlineStr"/>
      <c r="D29" s="21">
        <f>SI(B29=""; ""; SIERROR(RECHERCHEV(B29; PLATS!$A$6:$C$50; 3; FAUX); ""))</f>
        <v/>
      </c>
      <c r="E29" s="21">
        <f>SI(ET(C29&gt;0; D29&gt;0); C29*D29; "")</f>
        <v/>
      </c>
      <c r="F29" s="20" t="inlineStr"/>
    </row>
    <row r="30">
      <c r="A30" s="20" t="n">
        <v>25</v>
      </c>
      <c r="B30" s="20" t="n"/>
      <c r="C30" s="21" t="inlineStr"/>
      <c r="D30" s="21">
        <f>SI(B30=""; ""; SIERROR(RECHERCHEV(B30; PLATS!$A$6:$C$50; 3; FAUX); ""))</f>
        <v/>
      </c>
      <c r="E30" s="21">
        <f>SI(ET(C30&gt;0; D30&gt;0); C30*D30; "")</f>
        <v/>
      </c>
      <c r="F30" s="20" t="inlineStr"/>
    </row>
    <row r="31">
      <c r="A31" s="20" t="n">
        <v>26</v>
      </c>
      <c r="B31" s="20" t="n"/>
      <c r="C31" s="21" t="inlineStr"/>
      <c r="D31" s="21">
        <f>SI(B31=""; ""; SIERROR(RECHERCHEV(B31; PLATS!$A$6:$C$50; 3; FAUX); ""))</f>
        <v/>
      </c>
      <c r="E31" s="21">
        <f>SI(ET(C31&gt;0; D31&gt;0); C31*D31; "")</f>
        <v/>
      </c>
      <c r="F31" s="20" t="inlineStr"/>
    </row>
    <row r="32">
      <c r="A32" s="20" t="n">
        <v>27</v>
      </c>
      <c r="B32" s="20" t="n"/>
      <c r="C32" s="21" t="inlineStr"/>
      <c r="D32" s="21">
        <f>SI(B32=""; ""; SIERROR(RECHERCHEV(B32; PLATS!$A$6:$C$50; 3; FAUX); ""))</f>
        <v/>
      </c>
      <c r="E32" s="21">
        <f>SI(ET(C32&gt;0; D32&gt;0); C32*D32; "")</f>
        <v/>
      </c>
      <c r="F32" s="20" t="inlineStr"/>
    </row>
    <row r="33">
      <c r="A33" s="20" t="n">
        <v>28</v>
      </c>
      <c r="B33" s="20" t="n"/>
      <c r="C33" s="21" t="inlineStr"/>
      <c r="D33" s="21">
        <f>SI(B33=""; ""; SIERROR(RECHERCHEV(B33; PLATS!$A$6:$C$50; 3; FAUX); ""))</f>
        <v/>
      </c>
      <c r="E33" s="21">
        <f>SI(ET(C33&gt;0; D33&gt;0); C33*D33; "")</f>
        <v/>
      </c>
      <c r="F33" s="20" t="inlineStr"/>
    </row>
    <row r="34">
      <c r="A34" s="20" t="n">
        <v>29</v>
      </c>
      <c r="B34" s="20" t="n"/>
      <c r="C34" s="21" t="inlineStr"/>
      <c r="D34" s="21">
        <f>SI(B34=""; ""; SIERROR(RECHERCHEV(B34; PLATS!$A$6:$C$50; 3; FAUX); ""))</f>
        <v/>
      </c>
      <c r="E34" s="21">
        <f>SI(ET(C34&gt;0; D34&gt;0); C34*D34; "")</f>
        <v/>
      </c>
      <c r="F34" s="20" t="inlineStr"/>
    </row>
    <row r="35">
      <c r="A35" s="20" t="n">
        <v>30</v>
      </c>
      <c r="B35" s="20" t="n"/>
      <c r="C35" s="21" t="inlineStr"/>
      <c r="D35" s="21">
        <f>SI(B35=""; ""; SIERROR(RECHERCHEV(B35; PLATS!$A$6:$C$50; 3; FAUX); ""))</f>
        <v/>
      </c>
      <c r="E35" s="21">
        <f>SI(ET(C35&gt;0; D35&gt;0); C35*D35; "")</f>
        <v/>
      </c>
      <c r="F35" s="20" t="inlineStr"/>
    </row>
    <row r="36">
      <c r="A36" s="20" t="n">
        <v>31</v>
      </c>
      <c r="B36" s="20" t="n"/>
      <c r="C36" s="21" t="inlineStr"/>
      <c r="D36" s="21">
        <f>SI(B36=""; ""; SIERROR(RECHERCHEV(B36; PLATS!$A$6:$C$50; 3; FAUX); ""))</f>
        <v/>
      </c>
      <c r="E36" s="21">
        <f>SI(ET(C36&gt;0; D36&gt;0); C36*D36; "")</f>
        <v/>
      </c>
      <c r="F36" s="20" t="inlineStr"/>
    </row>
    <row r="37">
      <c r="A37" s="20" t="n">
        <v>32</v>
      </c>
      <c r="B37" s="20" t="n"/>
      <c r="C37" s="21" t="inlineStr"/>
      <c r="D37" s="21">
        <f>SI(B37=""; ""; SIERROR(RECHERCHEV(B37; PLATS!$A$6:$C$50; 3; FAUX); ""))</f>
        <v/>
      </c>
      <c r="E37" s="21">
        <f>SI(ET(C37&gt;0; D37&gt;0); C37*D37; "")</f>
        <v/>
      </c>
      <c r="F37" s="20" t="inlineStr"/>
    </row>
    <row r="38">
      <c r="A38" s="20" t="n">
        <v>33</v>
      </c>
      <c r="B38" s="20" t="n"/>
      <c r="C38" s="21" t="inlineStr"/>
      <c r="D38" s="21">
        <f>SI(B38=""; ""; SIERROR(RECHERCHEV(B38; PLATS!$A$6:$C$50; 3; FAUX); ""))</f>
        <v/>
      </c>
      <c r="E38" s="21">
        <f>SI(ET(C38&gt;0; D38&gt;0); C38*D38; "")</f>
        <v/>
      </c>
      <c r="F38" s="20" t="inlineStr"/>
    </row>
    <row r="39">
      <c r="A39" s="20" t="n">
        <v>34</v>
      </c>
      <c r="B39" s="20" t="n"/>
      <c r="C39" s="21" t="inlineStr"/>
      <c r="D39" s="21">
        <f>SI(B39=""; ""; SIERROR(RECHERCHEV(B39; PLATS!$A$6:$C$50; 3; FAUX); ""))</f>
        <v/>
      </c>
      <c r="E39" s="21">
        <f>SI(ET(C39&gt;0; D39&gt;0); C39*D39; "")</f>
        <v/>
      </c>
      <c r="F39" s="20" t="inlineStr"/>
    </row>
    <row r="40">
      <c r="A40" s="20" t="n">
        <v>35</v>
      </c>
      <c r="B40" s="20" t="n"/>
      <c r="C40" s="21" t="inlineStr"/>
      <c r="D40" s="21">
        <f>SI(B40=""; ""; SIERROR(RECHERCHEV(B40; PLATS!$A$6:$C$50; 3; FAUX); ""))</f>
        <v/>
      </c>
      <c r="E40" s="21">
        <f>SI(ET(C40&gt;0; D40&gt;0); C40*D40; "")</f>
        <v/>
      </c>
      <c r="F40" s="20" t="inlineStr"/>
    </row>
    <row r="41">
      <c r="A41" s="20" t="n">
        <v>36</v>
      </c>
      <c r="B41" s="20" t="n"/>
      <c r="C41" s="21" t="inlineStr"/>
      <c r="D41" s="21">
        <f>SI(B41=""; ""; SIERROR(RECHERCHEV(B41; PLATS!$A$6:$C$50; 3; FAUX); ""))</f>
        <v/>
      </c>
      <c r="E41" s="21">
        <f>SI(ET(C41&gt;0; D41&gt;0); C41*D41; "")</f>
        <v/>
      </c>
      <c r="F41" s="20" t="inlineStr"/>
    </row>
    <row r="42">
      <c r="A42" s="20" t="n">
        <v>37</v>
      </c>
      <c r="B42" s="20" t="n"/>
      <c r="C42" s="21" t="inlineStr"/>
      <c r="D42" s="21">
        <f>SI(B42=""; ""; SIERROR(RECHERCHEV(B42; PLATS!$A$6:$C$50; 3; FAUX); ""))</f>
        <v/>
      </c>
      <c r="E42" s="21">
        <f>SI(ET(C42&gt;0; D42&gt;0); C42*D42; "")</f>
        <v/>
      </c>
      <c r="F42" s="20" t="inlineStr"/>
    </row>
    <row r="43">
      <c r="A43" s="20" t="n">
        <v>38</v>
      </c>
      <c r="B43" s="20" t="n"/>
      <c r="C43" s="21" t="inlineStr"/>
      <c r="D43" s="21">
        <f>SI(B43=""; ""; SIERROR(RECHERCHEV(B43; PLATS!$A$6:$C$50; 3; FAUX); ""))</f>
        <v/>
      </c>
      <c r="E43" s="21">
        <f>SI(ET(C43&gt;0; D43&gt;0); C43*D43; "")</f>
        <v/>
      </c>
      <c r="F43" s="20" t="inlineStr"/>
    </row>
    <row r="44">
      <c r="A44" s="20" t="n">
        <v>39</v>
      </c>
      <c r="B44" s="20" t="n"/>
      <c r="C44" s="21" t="inlineStr"/>
      <c r="D44" s="21">
        <f>SI(B44=""; ""; SIERROR(RECHERCHEV(B44; PLATS!$A$6:$C$50; 3; FAUX); ""))</f>
        <v/>
      </c>
      <c r="E44" s="21">
        <f>SI(ET(C44&gt;0; D44&gt;0); C44*D44; "")</f>
        <v/>
      </c>
      <c r="F44" s="20" t="inlineStr"/>
    </row>
    <row r="45">
      <c r="A45" s="20" t="n">
        <v>40</v>
      </c>
      <c r="B45" s="20" t="n"/>
      <c r="C45" s="21" t="inlineStr"/>
      <c r="D45" s="21">
        <f>SI(B45=""; ""; SIERROR(RECHERCHEV(B45; PLATS!$A$6:$C$50; 3; FAUX); ""))</f>
        <v/>
      </c>
      <c r="E45" s="21">
        <f>SI(ET(C45&gt;0; D45&gt;0); C45*D45; "")</f>
        <v/>
      </c>
      <c r="F45" s="20" t="inlineStr"/>
    </row>
    <row r="46">
      <c r="A46" s="20" t="n">
        <v>41</v>
      </c>
      <c r="B46" s="20" t="n"/>
      <c r="C46" s="21" t="inlineStr"/>
      <c r="D46" s="21">
        <f>SI(B46=""; ""; SIERROR(RECHERCHEV(B46; PLATS!$A$6:$C$50; 3; FAUX); ""))</f>
        <v/>
      </c>
      <c r="E46" s="21">
        <f>SI(ET(C46&gt;0; D46&gt;0); C46*D46; "")</f>
        <v/>
      </c>
      <c r="F46" s="20" t="inlineStr"/>
    </row>
    <row r="47">
      <c r="A47" s="20" t="n">
        <v>42</v>
      </c>
      <c r="B47" s="20" t="n"/>
      <c r="C47" s="21" t="inlineStr"/>
      <c r="D47" s="21">
        <f>SI(B47=""; ""; SIERROR(RECHERCHEV(B47; PLATS!$A$6:$C$50; 3; FAUX); ""))</f>
        <v/>
      </c>
      <c r="E47" s="21">
        <f>SI(ET(C47&gt;0; D47&gt;0); C47*D47; "")</f>
        <v/>
      </c>
      <c r="F47" s="20" t="inlineStr"/>
    </row>
    <row r="48">
      <c r="A48" s="20" t="n">
        <v>43</v>
      </c>
      <c r="B48" s="20" t="n"/>
      <c r="C48" s="21" t="inlineStr"/>
      <c r="D48" s="21">
        <f>SI(B48=""; ""; SIERROR(RECHERCHEV(B48; PLATS!$A$6:$C$50; 3; FAUX); ""))</f>
        <v/>
      </c>
      <c r="E48" s="21">
        <f>SI(ET(C48&gt;0; D48&gt;0); C48*D48; "")</f>
        <v/>
      </c>
      <c r="F48" s="20" t="inlineStr"/>
    </row>
    <row r="49">
      <c r="A49" s="20" t="n">
        <v>44</v>
      </c>
      <c r="B49" s="20" t="n"/>
      <c r="C49" s="21" t="inlineStr"/>
      <c r="D49" s="21">
        <f>SI(B49=""; ""; SIERROR(RECHERCHEV(B49; PLATS!$A$6:$C$50; 3; FAUX); ""))</f>
        <v/>
      </c>
      <c r="E49" s="21">
        <f>SI(ET(C49&gt;0; D49&gt;0); C49*D49; "")</f>
        <v/>
      </c>
      <c r="F49" s="20" t="inlineStr"/>
    </row>
    <row r="50">
      <c r="A50" s="20" t="n">
        <v>45</v>
      </c>
      <c r="B50" s="20" t="n"/>
      <c r="C50" s="21" t="inlineStr"/>
      <c r="D50" s="21">
        <f>SI(B50=""; ""; SIERROR(RECHERCHEV(B50; PLATS!$A$6:$C$50; 3; FAUX); ""))</f>
        <v/>
      </c>
      <c r="E50" s="21">
        <f>SI(ET(C50&gt;0; D50&gt;0); C50*D50; "")</f>
        <v/>
      </c>
      <c r="F50" s="20" t="inlineStr"/>
    </row>
    <row r="51">
      <c r="A51" s="20" t="n">
        <v>46</v>
      </c>
      <c r="B51" s="20" t="n"/>
      <c r="C51" s="21" t="inlineStr"/>
      <c r="D51" s="21">
        <f>SI(B51=""; ""; SIERROR(RECHERCHEV(B51; PLATS!$A$6:$C$50; 3; FAUX); ""))</f>
        <v/>
      </c>
      <c r="E51" s="21">
        <f>SI(ET(C51&gt;0; D51&gt;0); C51*D51; "")</f>
        <v/>
      </c>
      <c r="F51" s="20" t="inlineStr"/>
    </row>
    <row r="52">
      <c r="A52" s="20" t="n">
        <v>47</v>
      </c>
      <c r="B52" s="20" t="n"/>
      <c r="C52" s="21" t="inlineStr"/>
      <c r="D52" s="21">
        <f>SI(B52=""; ""; SIERROR(RECHERCHEV(B52; PLATS!$A$6:$C$50; 3; FAUX); ""))</f>
        <v/>
      </c>
      <c r="E52" s="21">
        <f>SI(ET(C52&gt;0; D52&gt;0); C52*D52; "")</f>
        <v/>
      </c>
      <c r="F52" s="20" t="inlineStr"/>
    </row>
    <row r="53">
      <c r="A53" s="20" t="n">
        <v>48</v>
      </c>
      <c r="B53" s="20" t="n"/>
      <c r="C53" s="21" t="inlineStr"/>
      <c r="D53" s="21">
        <f>SI(B53=""; ""; SIERROR(RECHERCHEV(B53; PLATS!$A$6:$C$50; 3; FAUX); ""))</f>
        <v/>
      </c>
      <c r="E53" s="21">
        <f>SI(ET(C53&gt;0; D53&gt;0); C53*D53; "")</f>
        <v/>
      </c>
      <c r="F53" s="20" t="inlineStr"/>
    </row>
    <row r="54">
      <c r="A54" s="20" t="n">
        <v>49</v>
      </c>
      <c r="B54" s="20" t="n"/>
      <c r="C54" s="21" t="inlineStr"/>
      <c r="D54" s="21">
        <f>SI(B54=""; ""; SIERROR(RECHERCHEV(B54; PLATS!$A$6:$C$50; 3; FAUX); ""))</f>
        <v/>
      </c>
      <c r="E54" s="21">
        <f>SI(ET(C54&gt;0; D54&gt;0); C54*D54; "")</f>
        <v/>
      </c>
      <c r="F54" s="20" t="inlineStr"/>
    </row>
    <row r="55">
      <c r="A55" s="20" t="n">
        <v>50</v>
      </c>
      <c r="B55" s="20" t="n"/>
      <c r="C55" s="21" t="inlineStr"/>
      <c r="D55" s="21">
        <f>SI(B55=""; ""; SIERROR(RECHERCHEV(B55; PLATS!$A$6:$C$50; 3; FAUX); ""))</f>
        <v/>
      </c>
      <c r="E55" s="21">
        <f>SI(ET(C55&gt;0; D55&gt;0); C55*D55; "")</f>
        <v/>
      </c>
      <c r="F55" s="20" t="inlineStr"/>
    </row>
    <row r="57">
      <c r="A57" s="3" t="inlineStr">
        <is>
          <t>📊 TOTAUX DE LA JOURNÉE</t>
        </is>
      </c>
    </row>
    <row r="58">
      <c r="A58" s="10" t="inlineStr">
        <is>
          <t>Total Ventes (FCFA):</t>
        </is>
      </c>
      <c r="B58" s="23">
        <f>SOMME(E6:E55)</f>
        <v/>
      </c>
    </row>
    <row r="59">
      <c r="A59" s="10" t="inlineStr">
        <is>
          <t>Nombre de plats vendus:</t>
        </is>
      </c>
      <c r="B59">
        <f>SOMME(C6:C55)</f>
        <v/>
      </c>
    </row>
    <row r="60">
      <c r="A60" s="10" t="inlineStr">
        <is>
          <t>Panier moyen (FCFA):</t>
        </is>
      </c>
      <c r="B60" s="24">
        <f>SI(B58&gt;0; B57/B59; "")</f>
        <v/>
      </c>
    </row>
    <row r="63">
      <c r="A63" s="3" t="inlineStr">
        <is>
          <t>✅ VALIDATION</t>
        </is>
      </c>
    </row>
    <row r="64">
      <c r="A64" t="inlineStr">
        <is>
          <t>Signature:</t>
        </is>
      </c>
      <c r="B64" t="inlineStr"/>
    </row>
    <row r="65">
      <c r="A65" t="inlineStr">
        <is>
          <t>Date de validation:</t>
        </is>
      </c>
      <c r="B65" s="17">
        <f>AUJOURDHUI()</f>
        <v/>
      </c>
    </row>
    <row r="66">
      <c r="A66" t="inlineStr">
        <is>
          <t>Statut:</t>
        </is>
      </c>
      <c r="B66" s="10">
        <f>SI(ET(B3&lt;&gt;""; B57&gt;0); "✅ Validé"; "⏳ En attente")</f>
        <v/>
      </c>
    </row>
  </sheetData>
  <dataValidations count="1">
    <dataValidation sqref="B6:B55" showDropDown="0" showInputMessage="0" showErrorMessage="0" allowBlank="1" errorTitle="Plat invalide" error="Veuillez sélectionner un plat dans la liste" type="list">
      <formula1>PLATS!$A$6:$A$50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1" t="inlineStr">
        <is>
          <t>📈 RÉCAPITULATIF DES VENTES</t>
        </is>
      </c>
    </row>
    <row r="3">
      <c r="A3" s="25" t="inlineStr">
        <is>
          <t>Cette feuille génère automatiquement le récapitulatif des plats vendus</t>
        </is>
      </c>
    </row>
    <row r="5">
      <c r="A5" s="26" t="inlineStr">
        <is>
          <t>Plat</t>
        </is>
      </c>
      <c r="B5" s="26" t="inlineStr">
        <is>
          <t>Variante</t>
        </is>
      </c>
      <c r="C5" s="26" t="inlineStr">
        <is>
          <t>Quantité Totale</t>
        </is>
      </c>
      <c r="D5" s="26" t="inlineStr">
        <is>
          <t>Prix Unitaire</t>
        </is>
      </c>
      <c r="E5" s="26" t="inlineStr">
        <is>
          <t>Total Ventes</t>
        </is>
      </c>
      <c r="F5" s="26" t="inlineStr">
        <is>
          <t>Pourcentage</t>
        </is>
      </c>
    </row>
    <row r="7">
      <c r="A7" s="27" t="inlineStr">
        <is>
          <t>Les formules de tableau dynamique seront générées ici</t>
        </is>
      </c>
    </row>
    <row r="8">
      <c r="A8" s="6" t="inlineStr">
        <is>
          <t>Utilisez un tableau croisé dynamique basé sur la feuille VENTES pour obtenir ces données</t>
        </is>
      </c>
    </row>
    <row r="10">
      <c r="A10" s="28" t="inlineStr">
        <is>
          <t>Instructions pour créer le récapitulatif:</t>
        </is>
      </c>
    </row>
    <row r="12">
      <c r="A12" s="29" t="inlineStr">
        <is>
          <t xml:space="preserve">   • 1. Sélectionnez les données dans la feuille VENTES</t>
        </is>
      </c>
    </row>
    <row r="13">
      <c r="A13" s="29" t="inlineStr">
        <is>
          <t xml:space="preserve">   • 2. Allez dans Insertion &gt; Tableau Croisé Dynamique</t>
        </is>
      </c>
    </row>
    <row r="14">
      <c r="A14" s="29" t="inlineStr">
        <is>
          <t xml:space="preserve">   • 3. Placez 'Plat Vendu' dans les Lignes</t>
        </is>
      </c>
    </row>
    <row r="15">
      <c r="A15" s="29" t="inlineStr">
        <is>
          <t xml:space="preserve">   • 4. Placez 'Quantité' dans les Valeurs (Somme)</t>
        </is>
      </c>
    </row>
    <row r="16">
      <c r="A16" s="29" t="inlineStr">
        <is>
          <t xml:space="preserve">   • 5. Placez 'Total' dans les Valeurs (Somme)</t>
        </is>
      </c>
    </row>
    <row r="17">
      <c r="A17" s="29" t="inlineStr">
        <is>
          <t xml:space="preserve">   • 6. Filtrez par date si nécessaire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1" t="inlineStr">
        <is>
          <t>❓ AIDE &amp; GUIDE D'UTILISATION</t>
        </is>
      </c>
    </row>
    <row r="3">
      <c r="A3" s="3" t="inlineStr">
        <is>
          <t>🎯 Premiers Pas</t>
        </is>
      </c>
    </row>
    <row r="4">
      <c r="A4" s="30" t="inlineStr">
        <is>
          <t xml:space="preserve">   1. Commencez par vérifier les stocks dans STOCK_CUISINE</t>
        </is>
      </c>
    </row>
    <row r="5">
      <c r="A5" s="30" t="inlineStr">
        <is>
          <t xml:space="preserve">   2. Consultez la liste des plats dans PLATS</t>
        </is>
      </c>
    </row>
    <row r="6">
      <c r="A6" s="30" t="inlineStr">
        <is>
          <t xml:space="preserve">   3. Enregistrez vos ventes dans VENTES</t>
        </is>
      </c>
    </row>
    <row r="7">
      <c r="A7" s="30" t="inlineStr">
        <is>
          <t xml:space="preserve">   4. Consultez le DASHBOARD pour les indicateurs</t>
        </is>
      </c>
    </row>
    <row r="9">
      <c r="A9" s="3" t="inlineStr">
        <is>
          <t>📝 Saisie des Ventes</t>
        </is>
      </c>
    </row>
    <row r="10">
      <c r="A10" s="30" t="inlineStr">
        <is>
          <t xml:space="preserve">   • Sélectionnez un plat dans la liste déroulante</t>
        </is>
      </c>
    </row>
    <row r="11">
      <c r="A11" s="30" t="inlineStr">
        <is>
          <t xml:space="preserve">   • Entrez la quantité vendue</t>
        </is>
      </c>
    </row>
    <row r="12">
      <c r="A12" s="30" t="inlineStr">
        <is>
          <t xml:space="preserve">   • Le prix et le total se calculent automatiquement</t>
        </is>
      </c>
    </row>
    <row r="13">
      <c r="A13" s="30" t="inlineStr">
        <is>
          <t xml:space="preserve">   • Validez en bas de page en fin de service</t>
        </is>
      </c>
    </row>
    <row r="15">
      <c r="A15" s="3" t="inlineStr">
        <is>
          <t>📦 Gestion des Stocks</t>
        </is>
      </c>
    </row>
    <row r="16">
      <c r="A16" s="30" t="inlineStr">
        <is>
          <t xml:space="preserve">   • Mettez à jour les entrées et sorties quotidiennement</t>
        </is>
      </c>
    </row>
    <row r="17">
      <c r="A17" s="30" t="inlineStr">
        <is>
          <t xml:space="preserve">   • Les alertes apparaissent automatiquement</t>
        </is>
      </c>
    </row>
    <row r="18">
      <c r="A18" s="30" t="inlineStr">
        <is>
          <t xml:space="preserve">   • Rouge = Rupture, Orange = Critique, Jaune = Attention</t>
        </is>
      </c>
    </row>
    <row r="20">
      <c r="A20" s="3" t="inlineStr">
        <is>
          <t>🔒 Sécurité</t>
        </is>
      </c>
    </row>
    <row r="21">
      <c r="A21" s="30" t="inlineStr">
        <is>
          <t xml:space="preserve">   • Sauvegardez régulièrement votre fichier</t>
        </is>
      </c>
    </row>
    <row r="22">
      <c r="A22" s="30" t="inlineStr">
        <is>
          <t xml:space="preserve">   • Ne modifiez pas les formules dans les colonnes calculées</t>
        </is>
      </c>
    </row>
    <row r="23">
      <c r="A23" s="30" t="inlineStr">
        <is>
          <t xml:space="preserve">   • Protégez les feuilles sensibles si nécessaire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2026-05-26T12:13:12Z</dcterms:created>
  <dcterms:modified xmlns:dcterms="http://purl.org/dc/terms/" xmlns:xsi="http://www.w3.org/2001/XMLSchema-instance" xsi:type="dcterms:W3CDTF">2026-05-26T12:13:13Z</dcterms:modified>
</cp:coreProperties>
</file>