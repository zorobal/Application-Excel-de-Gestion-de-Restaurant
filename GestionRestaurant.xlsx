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ENTES" sheetId="3" state="visible" r:id="rId3"/>
    <sheet xmlns:r="http://schemas.openxmlformats.org/officeDocument/2006/relationships" name="FOURNISSEURS" sheetId="4" state="visible" r:id="rId4"/>
    <sheet xmlns:r="http://schemas.openxmlformats.org/officeDocument/2006/relationships" name="STOCK_CUISINE" sheetId="5" state="visible" r:id="rId5"/>
    <sheet xmlns:r="http://schemas.openxmlformats.org/officeDocument/2006/relationships" name="INGREDIENTS" sheetId="6" state="visible" r:id="rId6"/>
    <sheet xmlns:r="http://schemas.openxmlformats.org/officeDocument/2006/relationships" name="INVENTAIRES" sheetId="7" state="visible" r:id="rId7"/>
    <sheet xmlns:r="http://schemas.openxmlformats.org/officeDocument/2006/relationships" name="RECETTES" sheetId="8" state="visible" r:id="rId8"/>
    <sheet xmlns:r="http://schemas.openxmlformats.org/officeDocument/2006/relationships" name="PLATS" sheetId="9" state="visible" r:id="rId9"/>
    <sheet xmlns:r="http://schemas.openxmlformats.org/officeDocument/2006/relationships" name="AIDE" sheetId="10" state="visible" r:id="rId10"/>
    <sheet xmlns:r="http://schemas.openxmlformats.org/officeDocument/2006/relationships" name="MATIERES_PREMIERES" sheetId="11" state="visible" r:id="rId11"/>
    <sheet xmlns:r="http://schemas.openxmlformats.org/officeDocument/2006/relationships" name="TABLEAUX_BORD" sheetId="12" state="visible" r:id="rId12"/>
    <sheet xmlns:r="http://schemas.openxmlformats.org/officeDocument/2006/relationships" name="CATEGORIES" sheetId="13" state="visible" r:id="rId13"/>
    <sheet xmlns:r="http://schemas.openxmlformats.org/officeDocument/2006/relationships" name="PRODUI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 FCFA"/>
  </numFmts>
  <fonts count="21">
    <font>
      <name val="Calibri"/>
      <family val="2"/>
      <color theme="1"/>
      <sz val="11"/>
      <scheme val="minor"/>
    </font>
    <font>
      <name val="Calibri"/>
      <b val="1"/>
      <color rgb="002C3E50"/>
      <sz val="20"/>
    </font>
    <font>
      <name val="Calibri"/>
      <color rgb="002C3E50"/>
      <sz val="11"/>
    </font>
    <font>
      <name val="Calibri"/>
      <b val="1"/>
      <color rgb="0034495E"/>
      <sz val="14"/>
    </font>
    <font>
      <name val="Calibri"/>
      <color rgb="000066CC"/>
      <sz val="11"/>
      <u val="single"/>
    </font>
    <font>
      <name val="Calibri"/>
      <b val="1"/>
      <color rgb="002C3E50"/>
      <sz val="11"/>
    </font>
    <font>
      <name val="Calibri"/>
      <b val="1"/>
      <color rgb="00FFFFFF"/>
      <sz val="11"/>
    </font>
    <font>
      <b val="1"/>
      <color rgb="002ECC71"/>
      <sz val="16"/>
    </font>
    <font>
      <b val="1"/>
      <color rgb="0034495E"/>
      <sz val="16"/>
    </font>
    <font>
      <b val="1"/>
      <color rgb="00F39C12"/>
      <sz val="16"/>
    </font>
    <font>
      <b val="1"/>
      <color rgb="00E74C3C"/>
      <sz val="16"/>
    </font>
    <font>
      <name val="Arial"/>
      <b val="1"/>
      <color rgb="00FFFFFF"/>
      <sz val="20"/>
    </font>
    <font>
      <name val="Arial"/>
      <b val="1"/>
      <color rgb="002C3E50"/>
      <sz val="14"/>
    </font>
    <font>
      <name val="Arial"/>
      <b val="1"/>
      <color rgb="00FFFFFF"/>
      <sz val="12"/>
    </font>
    <font>
      <name val="Arial"/>
      <sz val="11"/>
    </font>
    <font>
      <b val="1"/>
      <color rgb="00FFFFFF"/>
    </font>
    <font>
      <b val="1"/>
      <color rgb="00FFFFFF"/>
      <sz val="14"/>
    </font>
    <font>
      <b val="1"/>
      <color rgb="002ECC71"/>
      <sz val="13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ECF0F1"/>
        <bgColor rgb="00ECF0F1"/>
      </patternFill>
    </fill>
    <fill>
      <patternFill patternType="solid">
        <fgColor rgb="002C3E50"/>
        <bgColor rgb="002C3E50"/>
      </patternFill>
    </fill>
    <fill>
      <patternFill patternType="solid">
        <fgColor rgb="002ECC71"/>
        <bgColor rgb="002ECC7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6" fontId="0" fillId="0" borderId="0" pivotButton="0" quotePrefix="0" xfId="0"/>
    <xf numFmtId="0" fontId="11" fillId="3" borderId="0" pivotButton="0" quotePrefix="0" xfId="0"/>
    <xf numFmtId="0" fontId="13" fillId="3" borderId="0" applyAlignment="1" pivotButton="0" quotePrefix="0" xfId="0">
      <alignment horizontal="center" vertical="center"/>
    </xf>
    <xf numFmtId="0" fontId="18" fillId="0" borderId="0" pivotButton="0" quotePrefix="0" xfId="0"/>
    <xf numFmtId="1" fontId="0" fillId="0" borderId="0" pivotButton="0" quotePrefix="0" xfId="0"/>
    <xf numFmtId="0" fontId="16" fillId="3" borderId="0" pivotButton="0" quotePrefix="0" xfId="0"/>
    <xf numFmtId="166" fontId="19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6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EBEE"/>
          <bgColor rgb="00FFEBE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40" customWidth="1" min="8" max="8"/>
  </cols>
  <sheetData>
    <row r="1">
      <c r="A1" s="1" t="inlineStr">
        <is>
          <t>🍽️ GESTION DU RESTAURANT</t>
        </is>
      </c>
    </row>
    <row r="2">
      <c r="A2" s="2" t="inlineStr">
        <is>
          <t>Application Professionnelle de Gestion - Version 3.0</t>
        </is>
      </c>
    </row>
    <row r="4">
      <c r="A4" s="3" t="inlineStr">
        <is>
          <t>📂 MODULES PRINCIPAUX</t>
        </is>
      </c>
      <c r="H4" s="3" t="inlineStr">
        <is>
          <t>🔔 ALERTES EN TEMPS RÉEL</t>
        </is>
      </c>
    </row>
    <row r="6">
      <c r="B6" s="4" t="inlineStr">
        <is>
          <t xml:space="preserve">  📊 Dashboard  </t>
        </is>
      </c>
      <c r="H6" s="5" t="inlineStr">
        <is>
          <t>⚠️ Ruptures de stock</t>
        </is>
      </c>
    </row>
    <row r="7">
      <c r="B7" s="4" t="inlineStr">
        <is>
          <t xml:space="preserve">  🍔 Carte &amp; Produits  </t>
        </is>
      </c>
      <c r="H7" s="2" t="inlineStr">
        <is>
          <t>• Aucun produit en rupture actuellement</t>
        </is>
      </c>
    </row>
    <row r="8">
      <c r="B8" s="4" t="inlineStr">
        <is>
          <t xml:space="preserve">  📦 Matières Premières &amp; Stocks  </t>
        </is>
      </c>
    </row>
    <row r="9">
      <c r="B9" s="4" t="inlineStr">
        <is>
          <t xml:space="preserve">  👨‍🍳 Recettes &amp; Coûts  </t>
        </is>
      </c>
      <c r="H9" s="5" t="inlineStr">
        <is>
          <t>📉 Ventes du jour</t>
        </is>
      </c>
    </row>
    <row r="10">
      <c r="B10" s="4" t="inlineStr">
        <is>
          <t xml:space="preserve">  💰 Ventes Journalières  </t>
        </is>
      </c>
      <c r="H10" s="2" t="inlineStr">
        <is>
          <t>• En attente de saisie</t>
        </is>
      </c>
    </row>
    <row r="11">
      <c r="B11" s="4" t="inlineStr">
        <is>
          <t xml:space="preserve">  🚚 Fournisseurs &amp; Achats  </t>
        </is>
      </c>
    </row>
    <row r="12">
      <c r="B12" s="4" t="inlineStr">
        <is>
          <t xml:space="preserve">  📝 Inventaires  </t>
        </is>
      </c>
    </row>
    <row r="13">
      <c r="B13" s="4" t="inlineStr">
        <is>
          <t xml:space="preserve">  📈 Tableaux de Bord  </t>
        </is>
      </c>
    </row>
    <row r="14">
      <c r="B14" s="4" t="inlineStr">
        <is>
          <t xml:space="preserve">  ⚙️ Catégories  </t>
        </is>
      </c>
    </row>
    <row r="15">
      <c r="B15" s="4" t="inlineStr">
        <is>
          <t xml:space="preserve">  ❓ Aide  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2" max="2"/>
    <col width="20" customWidth="1" min="6" max="6"/>
  </cols>
  <sheetData>
    <row r="1">
      <c r="A1" s="1" t="inlineStr">
        <is>
          <t>📊 TABLEAU DE BORD</t>
        </is>
      </c>
    </row>
    <row r="4">
      <c r="B4" s="11" t="inlineStr">
        <is>
          <t>Ventes du Jour</t>
        </is>
      </c>
      <c r="C4" s="12" t="n"/>
      <c r="D4" s="12" t="n"/>
      <c r="F4" s="11" t="inlineStr">
        <is>
          <t>Marge Estimée</t>
        </is>
      </c>
      <c r="G4" s="12" t="n"/>
      <c r="H4" s="12" t="n"/>
    </row>
    <row r="5">
      <c r="B5" s="13" t="inlineStr">
        <is>
          <t>VENTES!F26</t>
        </is>
      </c>
      <c r="C5" s="12" t="n"/>
      <c r="D5" s="12" t="n"/>
      <c r="F5" s="14" t="inlineStr">
        <is>
          <t>0 FCFA</t>
        </is>
      </c>
      <c r="G5" s="12" t="n"/>
      <c r="H5" s="12" t="n"/>
    </row>
    <row r="6">
      <c r="B6" s="12" t="n"/>
      <c r="C6" s="12" t="n"/>
      <c r="D6" s="12" t="n"/>
      <c r="F6" s="12" t="n"/>
      <c r="G6" s="12" t="n"/>
      <c r="H6" s="12" t="n"/>
    </row>
    <row r="8">
      <c r="B8" s="11" t="inlineStr">
        <is>
          <t>Nombre de Ventes</t>
        </is>
      </c>
      <c r="C8" s="12" t="n"/>
      <c r="D8" s="12" t="n"/>
      <c r="F8" s="11" t="inlineStr">
        <is>
          <t>Alertes Stock</t>
        </is>
      </c>
      <c r="G8" s="12" t="n"/>
      <c r="H8" s="12" t="n"/>
    </row>
    <row r="9">
      <c r="B9" s="15" t="inlineStr">
        <is>
          <t>0</t>
        </is>
      </c>
      <c r="C9" s="12" t="n"/>
      <c r="D9" s="12" t="n"/>
      <c r="F9" s="16" t="inlineStr">
        <is>
          <t>Voir Onglet Stocks</t>
        </is>
      </c>
      <c r="G9" s="12" t="n"/>
      <c r="H9" s="12" t="n"/>
    </row>
    <row r="10">
      <c r="B10" s="12" t="n"/>
      <c r="C10" s="12" t="n"/>
      <c r="D10" s="12" t="n"/>
      <c r="F10" s="12" t="n"/>
      <c r="G10" s="12" t="n"/>
      <c r="H10" s="12" t="n"/>
    </row>
    <row r="15">
      <c r="A15" t="inlineStr">
        <is>
          <t>Ventes du jour (nouveau):</t>
        </is>
      </c>
      <c r="B15" s="17">
        <f>VENTES!C31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8" customWidth="1" min="4" max="4"/>
    <col width="25" customWidth="1" min="5" max="5"/>
    <col width="15" customWidth="1" min="6" max="6"/>
  </cols>
  <sheetData>
    <row r="1">
      <c r="A1" s="18" t="inlineStr">
        <is>
          <t>VENTES JOURNALIÈRES RESTAURANT</t>
        </is>
      </c>
    </row>
    <row r="3">
      <c r="A3" t="inlineStr">
        <is>
          <t>Date:</t>
        </is>
      </c>
      <c r="B3" s="9">
        <f>AUJOURDHUI()</f>
        <v/>
      </c>
      <c r="D3" t="inlineStr">
        <is>
          <t>Heure début:</t>
        </is>
      </c>
      <c r="E3" t="inlineStr"/>
    </row>
    <row r="4">
      <c r="A4" t="inlineStr">
        <is>
          <t>Heure fin:</t>
        </is>
      </c>
      <c r="B4" t="inlineStr"/>
    </row>
    <row r="6">
      <c r="A6" s="19" t="inlineStr">
        <is>
          <t>Plat vendu</t>
        </is>
      </c>
      <c r="B6" s="19" t="inlineStr">
        <is>
          <t>Quantité vendue</t>
        </is>
      </c>
      <c r="C6" s="19" t="inlineStr">
        <is>
          <t>Prix Unitaire</t>
        </is>
      </c>
      <c r="D6" s="19" t="inlineStr">
        <is>
          <t>Total</t>
        </is>
      </c>
      <c r="E6" s="19" t="inlineStr">
        <is>
          <t>Observation</t>
        </is>
      </c>
      <c r="F6" s="19" t="inlineStr">
        <is>
          <t>Statut Stock</t>
        </is>
      </c>
    </row>
    <row r="8">
      <c r="A8" s="20" t="inlineStr"/>
      <c r="B8" s="21" t="n">
        <v>0</v>
      </c>
      <c r="C8">
        <f>SI(A8=""; ""; RECHERCHEV(A8; PLATS!A:C; 3; FAUX))</f>
        <v/>
      </c>
      <c r="D8" s="17">
        <f>B8*C8</f>
        <v/>
      </c>
      <c r="E8" t="inlineStr"/>
      <c r="F8">
        <f>SI(A8=""; ""; SI(B8&gt;10; "⚠️ Vérifier stock"; "✓ OK"))</f>
        <v/>
      </c>
    </row>
    <row r="9">
      <c r="A9" t="inlineStr"/>
      <c r="B9" s="21" t="n">
        <v>0</v>
      </c>
      <c r="C9">
        <f>SI(A9=""; ""; RECHERCHEV(A9; PLATS!A:C; 3; FAUX))</f>
        <v/>
      </c>
      <c r="D9" s="17">
        <f>B9*C9</f>
        <v/>
      </c>
      <c r="E9" t="inlineStr"/>
      <c r="F9">
        <f>SI(A9=""; ""; SI(B9&gt;10; "⚠️ Vérifier stock"; "✓ OK"))</f>
        <v/>
      </c>
    </row>
    <row r="10">
      <c r="A10" t="inlineStr"/>
      <c r="B10" s="21" t="n">
        <v>0</v>
      </c>
      <c r="C10">
        <f>SI(A10=""; ""; RECHERCHEV(A10; PLATS!A:C; 3; FAUX))</f>
        <v/>
      </c>
      <c r="D10" s="17">
        <f>B10*C10</f>
        <v/>
      </c>
      <c r="E10" t="inlineStr"/>
      <c r="F10">
        <f>SI(A10=""; ""; SI(B10&gt;10; "⚠️ Vérifier stock"; "✓ OK"))</f>
        <v/>
      </c>
    </row>
    <row r="11">
      <c r="A11" t="inlineStr"/>
      <c r="B11" s="21" t="n">
        <v>0</v>
      </c>
      <c r="C11">
        <f>SI(A11=""; ""; RECHERCHEV(A11; PLATS!A:C; 3; FAUX))</f>
        <v/>
      </c>
      <c r="D11" s="17">
        <f>B11*C11</f>
        <v/>
      </c>
      <c r="E11" t="inlineStr"/>
      <c r="F11">
        <f>SI(A11=""; ""; SI(B11&gt;10; "⚠️ Vérifier stock"; "✓ OK"))</f>
        <v/>
      </c>
    </row>
    <row r="12">
      <c r="A12" t="inlineStr"/>
      <c r="B12" s="21" t="n">
        <v>0</v>
      </c>
      <c r="C12">
        <f>SI(A12=""; ""; RECHERCHEV(A12; PLATS!A:C; 3; FAUX))</f>
        <v/>
      </c>
      <c r="D12" s="17">
        <f>B12*C12</f>
        <v/>
      </c>
      <c r="E12" t="inlineStr"/>
      <c r="F12">
        <f>SI(A12=""; ""; SI(B12&gt;10; "⚠️ Vérifier stock"; "✓ OK"))</f>
        <v/>
      </c>
    </row>
    <row r="13">
      <c r="A13" t="inlineStr"/>
      <c r="B13" s="21" t="n">
        <v>0</v>
      </c>
      <c r="C13">
        <f>SI(A13=""; ""; RECHERCHEV(A13; PLATS!A:C; 3; FAUX))</f>
        <v/>
      </c>
      <c r="D13" s="17">
        <f>B13*C13</f>
        <v/>
      </c>
      <c r="E13" t="inlineStr"/>
      <c r="F13">
        <f>SI(A13=""; ""; SI(B13&gt;10; "⚠️ Vérifier stock"; "✓ OK"))</f>
        <v/>
      </c>
    </row>
    <row r="14">
      <c r="A14" t="inlineStr"/>
      <c r="B14" s="21" t="n">
        <v>0</v>
      </c>
      <c r="C14">
        <f>SI(A14=""; ""; RECHERCHEV(A14; PLATS!A:C; 3; FAUX))</f>
        <v/>
      </c>
      <c r="D14" s="17">
        <f>B14*C14</f>
        <v/>
      </c>
      <c r="E14" t="inlineStr"/>
      <c r="F14">
        <f>SI(A14=""; ""; SI(B14&gt;10; "⚠️ Vérifier stock"; "✓ OK"))</f>
        <v/>
      </c>
    </row>
    <row r="15">
      <c r="A15" t="inlineStr"/>
      <c r="B15" s="21" t="n">
        <v>0</v>
      </c>
      <c r="C15">
        <f>SI(A15=""; ""; RECHERCHEV(A15; PLATS!A:C; 3; FAUX))</f>
        <v/>
      </c>
      <c r="D15" s="17">
        <f>B15*C15</f>
        <v/>
      </c>
      <c r="E15" t="inlineStr"/>
      <c r="F15">
        <f>SI(A15=""; ""; SI(B15&gt;10; "⚠️ Vérifier stock"; "✓ OK"))</f>
        <v/>
      </c>
    </row>
    <row r="16">
      <c r="A16" t="inlineStr"/>
      <c r="B16" s="21" t="n">
        <v>0</v>
      </c>
      <c r="C16">
        <f>SI(A16=""; ""; RECHERCHEV(A16; PLATS!A:C; 3; FAUX))</f>
        <v/>
      </c>
      <c r="D16" s="17">
        <f>B16*C16</f>
        <v/>
      </c>
      <c r="E16" t="inlineStr"/>
      <c r="F16">
        <f>SI(A16=""; ""; SI(B16&gt;10; "⚠️ Vérifier stock"; "✓ OK"))</f>
        <v/>
      </c>
    </row>
    <row r="17">
      <c r="A17" t="inlineStr"/>
      <c r="B17" s="21" t="n">
        <v>0</v>
      </c>
      <c r="C17">
        <f>SI(A17=""; ""; RECHERCHEV(A17; PLATS!A:C; 3; FAUX))</f>
        <v/>
      </c>
      <c r="D17" s="17">
        <f>B17*C17</f>
        <v/>
      </c>
      <c r="E17" t="inlineStr"/>
      <c r="F17">
        <f>SI(A17=""; ""; SI(B17&gt;10; "⚠️ Vérifier stock"; "✓ OK"))</f>
        <v/>
      </c>
    </row>
    <row r="18">
      <c r="A18" t="inlineStr"/>
      <c r="B18" s="21" t="n">
        <v>0</v>
      </c>
      <c r="C18">
        <f>SI(A18=""; ""; RECHERCHEV(A18; PLATS!A:C; 3; FAUX))</f>
        <v/>
      </c>
      <c r="D18" s="17">
        <f>B18*C18</f>
        <v/>
      </c>
      <c r="E18" t="inlineStr"/>
      <c r="F18">
        <f>SI(A18=""; ""; SI(B18&gt;10; "⚠️ Vérifier stock"; "✓ OK"))</f>
        <v/>
      </c>
    </row>
    <row r="19">
      <c r="A19" t="inlineStr"/>
      <c r="B19" s="21" t="n">
        <v>0</v>
      </c>
      <c r="C19">
        <f>SI(A19=""; ""; RECHERCHEV(A19; PLATS!A:C; 3; FAUX))</f>
        <v/>
      </c>
      <c r="D19" s="17">
        <f>B19*C19</f>
        <v/>
      </c>
      <c r="E19" t="inlineStr"/>
      <c r="F19">
        <f>SI(A19=""; ""; SI(B19&gt;10; "⚠️ Vérifier stock"; "✓ OK"))</f>
        <v/>
      </c>
    </row>
    <row r="20">
      <c r="A20" t="inlineStr"/>
      <c r="B20" s="21" t="n">
        <v>0</v>
      </c>
      <c r="C20">
        <f>SI(A20=""; ""; RECHERCHEV(A20; PLATS!A:C; 3; FAUX))</f>
        <v/>
      </c>
      <c r="D20" s="17">
        <f>B20*C20</f>
        <v/>
      </c>
      <c r="E20" t="inlineStr"/>
      <c r="F20">
        <f>SI(A20=""; ""; SI(B20&gt;10; "⚠️ Vérifier stock"; "✓ OK"))</f>
        <v/>
      </c>
    </row>
    <row r="21">
      <c r="A21" t="inlineStr"/>
      <c r="B21" s="21" t="n">
        <v>0</v>
      </c>
      <c r="C21">
        <f>SI(A21=""; ""; RECHERCHEV(A21; PLATS!A:C; 3; FAUX))</f>
        <v/>
      </c>
      <c r="D21" s="17">
        <f>B21*C21</f>
        <v/>
      </c>
      <c r="E21" t="inlineStr"/>
      <c r="F21">
        <f>SI(A21=""; ""; SI(B21&gt;10; "⚠️ Vérifier stock"; "✓ OK"))</f>
        <v/>
      </c>
    </row>
    <row r="22">
      <c r="A22" t="inlineStr"/>
      <c r="B22" s="21" t="n">
        <v>0</v>
      </c>
      <c r="C22">
        <f>SI(A22=""; ""; RECHERCHEV(A22; PLATS!A:C; 3; FAUX))</f>
        <v/>
      </c>
      <c r="D22" s="17">
        <f>B22*C22</f>
        <v/>
      </c>
      <c r="E22" t="inlineStr"/>
      <c r="F22">
        <f>SI(A22=""; ""; SI(B22&gt;10; "⚠️ Vérifier stock"; "✓ OK"))</f>
        <v/>
      </c>
    </row>
    <row r="23">
      <c r="A23" t="inlineStr"/>
      <c r="B23" s="21" t="n">
        <v>0</v>
      </c>
      <c r="C23">
        <f>SI(A23=""; ""; RECHERCHEV(A23; PLATS!A:C; 3; FAUX))</f>
        <v/>
      </c>
      <c r="D23" s="17">
        <f>B23*C23</f>
        <v/>
      </c>
      <c r="E23" t="inlineStr"/>
      <c r="F23">
        <f>SI(A23=""; ""; SI(B23&gt;10; "⚠️ Vérifier stock"; "✓ OK"))</f>
        <v/>
      </c>
    </row>
    <row r="24">
      <c r="A24" t="inlineStr"/>
      <c r="B24" s="21" t="n">
        <v>0</v>
      </c>
      <c r="C24">
        <f>SI(A24=""; ""; RECHERCHEV(A24; PLATS!A:C; 3; FAUX))</f>
        <v/>
      </c>
      <c r="D24" s="17">
        <f>B24*C24</f>
        <v/>
      </c>
      <c r="E24" t="inlineStr"/>
      <c r="F24">
        <f>SI(A24=""; ""; SI(B24&gt;10; "⚠️ Vérifier stock"; "✓ OK"))</f>
        <v/>
      </c>
    </row>
    <row r="25">
      <c r="A25" t="inlineStr"/>
      <c r="B25" s="21" t="n">
        <v>0</v>
      </c>
      <c r="C25">
        <f>SI(A25=""; ""; RECHERCHEV(A25; PLATS!A:C; 3; FAUX))</f>
        <v/>
      </c>
      <c r="D25" s="17">
        <f>B25*C25</f>
        <v/>
      </c>
      <c r="E25" t="inlineStr"/>
      <c r="F25">
        <f>SI(A25=""; ""; SI(B25&gt;10; "⚠️ Vérifier stock"; "✓ OK"))</f>
        <v/>
      </c>
    </row>
    <row r="26">
      <c r="A26" t="inlineStr"/>
      <c r="B26" s="21" t="n">
        <v>0</v>
      </c>
      <c r="C26">
        <f>SI(A26=""; ""; RECHERCHEV(A26; PLATS!A:C; 3; FAUX))</f>
        <v/>
      </c>
      <c r="D26" s="17">
        <f>B26*C26</f>
        <v/>
      </c>
      <c r="E26" t="inlineStr"/>
      <c r="F26">
        <f>SI(A26=""; ""; SI(B26&gt;10; "⚠️ Vérifier stock"; "✓ OK"))</f>
        <v/>
      </c>
    </row>
    <row r="27">
      <c r="A27" t="inlineStr"/>
      <c r="B27" s="21" t="n">
        <v>0</v>
      </c>
      <c r="C27">
        <f>SI(A27=""; ""; RECHERCHEV(A27; PLATS!A:C; 3; FAUX))</f>
        <v/>
      </c>
      <c r="D27" s="17">
        <f>B27*C27</f>
        <v/>
      </c>
      <c r="E27" t="inlineStr"/>
      <c r="F27">
        <f>SI(A27=""; ""; SI(B27&gt;10; "⚠️ Vérifier stock"; "✓ OK"))</f>
        <v/>
      </c>
    </row>
    <row r="30">
      <c r="A30" s="22" t="inlineStr">
        <is>
          <t>TOTAUX</t>
        </is>
      </c>
    </row>
    <row r="31">
      <c r="B31" t="inlineStr">
        <is>
          <t>Total Ventes:</t>
        </is>
      </c>
      <c r="C31" s="23">
        <f>SOMME(D8:D27)</f>
        <v/>
      </c>
    </row>
    <row r="32">
      <c r="B32" t="inlineStr">
        <is>
          <t>Nombre de plats vendus:</t>
        </is>
      </c>
      <c r="C32" s="24">
        <f>SOMME(B8:B27)</f>
        <v/>
      </c>
    </row>
    <row r="33">
      <c r="B33" t="inlineStr">
        <is>
          <t>Panier moyen:</t>
        </is>
      </c>
      <c r="C33" s="17">
        <f>SI(C32&gt;0; C31/C32; 0)</f>
        <v/>
      </c>
    </row>
    <row r="36">
      <c r="A36" s="25" t="inlineStr">
        <is>
          <t>Signature pour validation:</t>
        </is>
      </c>
      <c r="B36" t="inlineStr"/>
    </row>
    <row r="38">
      <c r="A38" s="26" t="inlineStr">
        <is>
          <t>VALIDER</t>
        </is>
      </c>
    </row>
  </sheetData>
  <mergeCells count="2">
    <mergeCell ref="A38:C38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G3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25" customWidth="1" min="3" max="3"/>
    <col width="15" customWidth="1" min="4" max="4"/>
    <col width="25" customWidth="1" min="5" max="5"/>
    <col width="30" customWidth="1" min="6" max="6"/>
    <col width="20" customWidth="1" min="7" max="7"/>
  </cols>
  <sheetData>
    <row r="3">
      <c r="A3" s="6" t="inlineStr">
        <is>
          <t>ID</t>
        </is>
      </c>
      <c r="B3" s="6" t="inlineStr">
        <is>
          <t>Nom Fournisseur</t>
        </is>
      </c>
      <c r="C3" s="6" t="inlineStr">
        <is>
          <t>Contact</t>
        </is>
      </c>
      <c r="D3" s="6" t="inlineStr">
        <is>
          <t>Téléphone</t>
        </is>
      </c>
      <c r="E3" s="6" t="inlineStr">
        <is>
          <t>Email</t>
        </is>
      </c>
      <c r="F3" s="6" t="inlineStr">
        <is>
          <t>Adresse</t>
        </is>
      </c>
      <c r="G3" s="6" t="inlineStr">
        <is>
          <t>Spécialité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2" customWidth="1" min="4" max="4"/>
    <col width="12" customWidth="1" min="5" max="5"/>
    <col width="15" customWidth="1" min="6" max="6"/>
    <col width="15" customWidth="1" min="7" max="7"/>
  </cols>
  <sheetData>
    <row r="1">
      <c r="A1" s="18" t="inlineStr">
        <is>
          <t>SUIVI STOCK EN CUISINE</t>
        </is>
      </c>
    </row>
    <row r="2">
      <c r="C2" t="inlineStr">
        <is>
          <t>Date:</t>
        </is>
      </c>
      <c r="D2" s="9">
        <f>AUJOURDHUI()</f>
        <v/>
      </c>
    </row>
    <row r="4">
      <c r="A4" s="27" t="inlineStr">
        <is>
          <t>VIANDES</t>
        </is>
      </c>
    </row>
    <row r="5">
      <c r="A5" s="19" t="inlineStr">
        <is>
          <t>Sous-catégorie</t>
        </is>
      </c>
      <c r="B5" s="19" t="inlineStr">
        <is>
          <t>Unité</t>
        </is>
      </c>
      <c r="C5" s="19" t="inlineStr">
        <is>
          <t>Stock initial</t>
        </is>
      </c>
      <c r="D5" s="19" t="inlineStr">
        <is>
          <t>Entrées</t>
        </is>
      </c>
      <c r="E5" s="19" t="inlineStr">
        <is>
          <t>Sorties</t>
        </is>
      </c>
      <c r="F5" s="19" t="inlineStr">
        <is>
          <t>Stock final</t>
        </is>
      </c>
      <c r="G5" s="19" t="inlineStr">
        <is>
          <t>Alerte</t>
        </is>
      </c>
    </row>
    <row r="6">
      <c r="A6" s="28" t="inlineStr">
        <is>
          <t>Poulet entier</t>
        </is>
      </c>
      <c r="B6" s="28" t="inlineStr">
        <is>
          <t>Morceau</t>
        </is>
      </c>
      <c r="C6" s="21" t="n">
        <v>0</v>
      </c>
      <c r="D6" s="21" t="n">
        <v>0</v>
      </c>
      <c r="E6" s="21" t="n">
        <v>0</v>
      </c>
      <c r="F6" s="21">
        <f>C6+D6-E6</f>
        <v/>
      </c>
      <c r="G6">
        <f>SI(OU(F6&lt;5; F6&lt;C6*0,1); "⚠️ CRITIQUE"; "✓ OK")</f>
        <v/>
      </c>
    </row>
    <row r="7">
      <c r="A7" s="28" t="inlineStr">
        <is>
          <t>Aile de Poulet</t>
        </is>
      </c>
      <c r="B7" s="28" t="inlineStr">
        <is>
          <t>Morceau</t>
        </is>
      </c>
      <c r="C7" s="21" t="n">
        <v>0</v>
      </c>
      <c r="D7" s="21" t="n">
        <v>0</v>
      </c>
      <c r="E7" s="21" t="n">
        <v>0</v>
      </c>
      <c r="F7" s="21">
        <f>C7+D7-E7</f>
        <v/>
      </c>
      <c r="G7">
        <f>SI(OU(F7&lt;5; F7&lt;C7*0,1); "⚠️ CRITIQUE"; "✓ OK")</f>
        <v/>
      </c>
    </row>
    <row r="8">
      <c r="A8" s="28" t="inlineStr">
        <is>
          <t>Cuisse de poulet</t>
        </is>
      </c>
      <c r="B8" s="28" t="inlineStr">
        <is>
          <t>Morceau</t>
        </is>
      </c>
      <c r="C8" s="21" t="n">
        <v>0</v>
      </c>
      <c r="D8" s="21" t="n">
        <v>0</v>
      </c>
      <c r="E8" s="21" t="n">
        <v>0</v>
      </c>
      <c r="F8" s="21">
        <f>C8+D8-E8</f>
        <v/>
      </c>
      <c r="G8">
        <f>SI(OU(F8&lt;5; F8&lt;C8*0,1); "⚠️ CRITIQUE"; "✓ OK")</f>
        <v/>
      </c>
    </row>
    <row r="9">
      <c r="A9" s="28" t="inlineStr">
        <is>
          <t>Bœuf</t>
        </is>
      </c>
      <c r="B9" s="28" t="inlineStr">
        <is>
          <t>Morceau</t>
        </is>
      </c>
      <c r="C9" s="21" t="n">
        <v>0</v>
      </c>
      <c r="D9" s="21" t="n">
        <v>0</v>
      </c>
      <c r="E9" s="21" t="n">
        <v>0</v>
      </c>
      <c r="F9" s="21">
        <f>C9+D9-E9</f>
        <v/>
      </c>
      <c r="G9">
        <f>SI(OU(F9&lt;5; F9&lt;C9*0,1); "⚠️ CRITIQUE"; "✓ OK")</f>
        <v/>
      </c>
    </row>
    <row r="10">
      <c r="A10" s="28" t="inlineStr">
        <is>
          <t>Saucisse</t>
        </is>
      </c>
      <c r="B10" s="28" t="inlineStr">
        <is>
          <t>Pièce</t>
        </is>
      </c>
      <c r="C10" s="21" t="n">
        <v>0</v>
      </c>
      <c r="D10" s="21" t="n">
        <v>0</v>
      </c>
      <c r="E10" s="21" t="n">
        <v>0</v>
      </c>
      <c r="F10" s="21">
        <f>C10+D10-E10</f>
        <v/>
      </c>
      <c r="G10">
        <f>SI(OU(F10&lt;5; F10&lt;C10*0,1); "⚠️ CRITIQUE"; "✓ OK")</f>
        <v/>
      </c>
    </row>
    <row r="11">
      <c r="A11" s="28" t="inlineStr">
        <is>
          <t>Porc</t>
        </is>
      </c>
      <c r="B11" s="28" t="inlineStr">
        <is>
          <t>Morceau</t>
        </is>
      </c>
      <c r="C11" s="21" t="n">
        <v>0</v>
      </c>
      <c r="D11" s="21" t="n">
        <v>0</v>
      </c>
      <c r="E11" s="21" t="n">
        <v>0</v>
      </c>
      <c r="F11" s="21">
        <f>C11+D11-E11</f>
        <v/>
      </c>
      <c r="G11">
        <f>SI(OU(F11&lt;5; F11&lt;C11*0,1); "⚠️ CRITIQUE"; "✓ OK")</f>
        <v/>
      </c>
    </row>
    <row r="12">
      <c r="A12" s="28" t="inlineStr">
        <is>
          <t>Œuf</t>
        </is>
      </c>
      <c r="B12" s="28" t="inlineStr">
        <is>
          <t>Alvéole</t>
        </is>
      </c>
      <c r="C12" s="21" t="n">
        <v>0</v>
      </c>
      <c r="D12" s="21" t="n">
        <v>0</v>
      </c>
      <c r="E12" s="21" t="n">
        <v>0</v>
      </c>
      <c r="F12" s="21">
        <f>C12+D12-E12</f>
        <v/>
      </c>
      <c r="G12">
        <f>SI(OU(F12&lt;5; F12&lt;C12*0,1); "⚠️ CRITIQUE"; "✓ OK")</f>
        <v/>
      </c>
    </row>
    <row r="13">
      <c r="A13" s="28" t="inlineStr">
        <is>
          <t>Viandes hachées</t>
        </is>
      </c>
      <c r="B13" s="28" t="inlineStr">
        <is>
          <t>Pièce</t>
        </is>
      </c>
      <c r="C13" s="21" t="n">
        <v>0</v>
      </c>
      <c r="D13" s="21" t="n">
        <v>0</v>
      </c>
      <c r="E13" s="21" t="n">
        <v>0</v>
      </c>
      <c r="F13" s="21">
        <f>C13+D13-E13</f>
        <v/>
      </c>
      <c r="G13">
        <f>SI(OU(F13&lt;5; F13&lt;C13*0,1); "⚠️ CRITIQUE"; "✓ OK")</f>
        <v/>
      </c>
    </row>
    <row r="15">
      <c r="A15" s="27" t="inlineStr">
        <is>
          <t>POISSONS &amp; FRUITS DE MER</t>
        </is>
      </c>
    </row>
    <row r="16">
      <c r="A16" s="19" t="inlineStr">
        <is>
          <t>Sous-catégorie</t>
        </is>
      </c>
      <c r="B16" s="19" t="inlineStr">
        <is>
          <t>Unité</t>
        </is>
      </c>
      <c r="C16" s="19" t="inlineStr">
        <is>
          <t>Stock initial</t>
        </is>
      </c>
      <c r="D16" s="19" t="inlineStr">
        <is>
          <t>Entrées</t>
        </is>
      </c>
      <c r="E16" s="19" t="inlineStr">
        <is>
          <t>Sorties</t>
        </is>
      </c>
      <c r="F16" s="19" t="inlineStr">
        <is>
          <t>Stock final</t>
        </is>
      </c>
      <c r="G16" s="19" t="inlineStr">
        <is>
          <t>Alerte</t>
        </is>
      </c>
    </row>
    <row r="17">
      <c r="A17" s="28" t="inlineStr">
        <is>
          <t>Carpe</t>
        </is>
      </c>
      <c r="B17" s="28" t="inlineStr">
        <is>
          <t>Pièce</t>
        </is>
      </c>
      <c r="C17" s="21" t="n">
        <v>0</v>
      </c>
      <c r="D17" s="21" t="n">
        <v>0</v>
      </c>
      <c r="E17" s="21" t="n">
        <v>0</v>
      </c>
      <c r="F17" s="21">
        <f>C17+D17-E17</f>
        <v/>
      </c>
      <c r="G17">
        <f>SI(OU(F17&lt;5; F17&lt;C17*0,1); "⚠️ CRITIQUE"; "✓ OK")</f>
        <v/>
      </c>
    </row>
    <row r="18">
      <c r="A18" s="28" t="inlineStr">
        <is>
          <t>Sole</t>
        </is>
      </c>
      <c r="B18" s="28" t="inlineStr">
        <is>
          <t>Pièce</t>
        </is>
      </c>
      <c r="C18" s="21" t="n">
        <v>0</v>
      </c>
      <c r="D18" s="21" t="n">
        <v>0</v>
      </c>
      <c r="E18" s="21" t="n">
        <v>0</v>
      </c>
      <c r="F18" s="21">
        <f>C18+D18-E18</f>
        <v/>
      </c>
      <c r="G18">
        <f>SI(OU(F18&lt;5; F18&lt;C18*0,1); "⚠️ CRITIQUE"; "✓ OK")</f>
        <v/>
      </c>
    </row>
    <row r="19">
      <c r="A19" s="28" t="inlineStr">
        <is>
          <t>Bar</t>
        </is>
      </c>
      <c r="B19" s="28" t="inlineStr">
        <is>
          <t>Pièce</t>
        </is>
      </c>
      <c r="C19" s="21" t="n">
        <v>0</v>
      </c>
      <c r="D19" s="21" t="n">
        <v>0</v>
      </c>
      <c r="E19" s="21" t="n">
        <v>0</v>
      </c>
      <c r="F19" s="21">
        <f>C19+D19-E19</f>
        <v/>
      </c>
      <c r="G19">
        <f>SI(OU(F19&lt;5; F19&lt;C19*0,1); "⚠️ CRITIQUE"; "✓ OK")</f>
        <v/>
      </c>
    </row>
    <row r="20">
      <c r="A20" s="28" t="inlineStr">
        <is>
          <t>Gambas</t>
        </is>
      </c>
      <c r="B20" s="28" t="inlineStr">
        <is>
          <t>Pièce</t>
        </is>
      </c>
      <c r="C20" s="21" t="n">
        <v>0</v>
      </c>
      <c r="D20" s="21" t="n">
        <v>0</v>
      </c>
      <c r="E20" s="21" t="n">
        <v>0</v>
      </c>
      <c r="F20" s="21">
        <f>C20+D20-E20</f>
        <v/>
      </c>
      <c r="G20">
        <f>SI(OU(F20&lt;5; F20&lt;C20*0,1); "⚠️ CRITIQUE"; "✓ OK")</f>
        <v/>
      </c>
    </row>
    <row r="21">
      <c r="A21" s="28" t="inlineStr">
        <is>
          <t>Crevette</t>
        </is>
      </c>
      <c r="B21" s="28" t="inlineStr">
        <is>
          <t>Pièce</t>
        </is>
      </c>
      <c r="C21" s="21" t="n">
        <v>0</v>
      </c>
      <c r="D21" s="21" t="n">
        <v>0</v>
      </c>
      <c r="E21" s="21" t="n">
        <v>0</v>
      </c>
      <c r="F21" s="21">
        <f>C21+D21-E21</f>
        <v/>
      </c>
      <c r="G21">
        <f>SI(OU(F21&lt;5; F21&lt;C21*0,1); "⚠️ CRITIQUE"; "✓ OK")</f>
        <v/>
      </c>
    </row>
    <row r="23">
      <c r="A23" s="27" t="inlineStr">
        <is>
          <t>LÉGUMES FRAIS</t>
        </is>
      </c>
    </row>
    <row r="24">
      <c r="A24" s="19" t="inlineStr">
        <is>
          <t>Sous-catégorie</t>
        </is>
      </c>
      <c r="B24" s="19" t="inlineStr">
        <is>
          <t>Unité</t>
        </is>
      </c>
      <c r="C24" s="19" t="inlineStr">
        <is>
          <t>Stock initial</t>
        </is>
      </c>
      <c r="D24" s="19" t="inlineStr">
        <is>
          <t>Entrées</t>
        </is>
      </c>
      <c r="E24" s="19" t="inlineStr">
        <is>
          <t>Sorties</t>
        </is>
      </c>
      <c r="F24" s="19" t="inlineStr">
        <is>
          <t>Stock final</t>
        </is>
      </c>
      <c r="G24" s="19" t="inlineStr">
        <is>
          <t>Alerte</t>
        </is>
      </c>
    </row>
    <row r="25">
      <c r="A25" s="28" t="inlineStr">
        <is>
          <t>Carottes</t>
        </is>
      </c>
      <c r="B25" s="28" t="inlineStr">
        <is>
          <t>Lot</t>
        </is>
      </c>
      <c r="C25" s="21" t="n">
        <v>0</v>
      </c>
      <c r="D25" s="21" t="n">
        <v>0</v>
      </c>
      <c r="E25" s="21" t="n">
        <v>0</v>
      </c>
      <c r="F25" s="21">
        <f>C25+D25-E25</f>
        <v/>
      </c>
      <c r="G25">
        <f>SI(OU(F25&lt;5; F25&lt;C25*0,1); "⚠️ CRITIQUE"; "✓ OK")</f>
        <v/>
      </c>
    </row>
    <row r="26">
      <c r="A26" s="28" t="inlineStr">
        <is>
          <t>Pommes de terre</t>
        </is>
      </c>
      <c r="B26" s="28" t="inlineStr">
        <is>
          <t>Lot</t>
        </is>
      </c>
      <c r="C26" s="21" t="n">
        <v>0</v>
      </c>
      <c r="D26" s="21" t="n">
        <v>0</v>
      </c>
      <c r="E26" s="21" t="n">
        <v>0</v>
      </c>
      <c r="F26" s="21">
        <f>C26+D26-E26</f>
        <v/>
      </c>
      <c r="G26">
        <f>SI(OU(F26&lt;5; F26&lt;C26*0,1); "⚠️ CRITIQUE"; "✓ OK")</f>
        <v/>
      </c>
    </row>
    <row r="27">
      <c r="A27" s="28" t="inlineStr">
        <is>
          <t>Gingembre</t>
        </is>
      </c>
      <c r="B27" s="28" t="inlineStr">
        <is>
          <t>Lot</t>
        </is>
      </c>
      <c r="C27" s="21" t="n">
        <v>0</v>
      </c>
      <c r="D27" s="21" t="n">
        <v>0</v>
      </c>
      <c r="E27" s="21" t="n">
        <v>0</v>
      </c>
      <c r="F27" s="21">
        <f>C27+D27-E27</f>
        <v/>
      </c>
      <c r="G27">
        <f>SI(OU(F27&lt;5; F27&lt;C27*0,1); "⚠️ CRITIQUE"; "✓ OK")</f>
        <v/>
      </c>
    </row>
    <row r="28">
      <c r="A28" s="28" t="inlineStr">
        <is>
          <t>Choux</t>
        </is>
      </c>
      <c r="B28" s="28" t="inlineStr">
        <is>
          <t>Lot</t>
        </is>
      </c>
      <c r="C28" s="21" t="n">
        <v>0</v>
      </c>
      <c r="D28" s="21" t="n">
        <v>0</v>
      </c>
      <c r="E28" s="21" t="n">
        <v>0</v>
      </c>
      <c r="F28" s="21">
        <f>C28+D28-E28</f>
        <v/>
      </c>
      <c r="G28">
        <f>SI(OU(F28&lt;5; F28&lt;C28*0,1); "⚠️ CRITIQUE"; "✓ OK")</f>
        <v/>
      </c>
    </row>
    <row r="29">
      <c r="A29" s="28" t="inlineStr">
        <is>
          <t>Salade</t>
        </is>
      </c>
      <c r="B29" s="28" t="inlineStr">
        <is>
          <t>Lot</t>
        </is>
      </c>
      <c r="C29" s="21" t="n">
        <v>0</v>
      </c>
      <c r="D29" s="21" t="n">
        <v>0</v>
      </c>
      <c r="E29" s="21" t="n">
        <v>0</v>
      </c>
      <c r="F29" s="21">
        <f>C29+D29-E29</f>
        <v/>
      </c>
      <c r="G29">
        <f>SI(OU(F29&lt;5; F29&lt;C29*0,1); "⚠️ CRITIQUE"; "✓ OK")</f>
        <v/>
      </c>
    </row>
    <row r="30">
      <c r="A30" s="28" t="inlineStr">
        <is>
          <t>Tomates</t>
        </is>
      </c>
      <c r="B30" s="28" t="inlineStr">
        <is>
          <t>Cageot</t>
        </is>
      </c>
      <c r="C30" s="21" t="n">
        <v>0</v>
      </c>
      <c r="D30" s="21" t="n">
        <v>0</v>
      </c>
      <c r="E30" s="21" t="n">
        <v>0</v>
      </c>
      <c r="F30" s="21">
        <f>C30+D30-E30</f>
        <v/>
      </c>
      <c r="G30">
        <f>SI(OU(F30&lt;5; F30&lt;C30*0,1); "⚠️ CRITIQUE"; "✓ OK")</f>
        <v/>
      </c>
    </row>
    <row r="31">
      <c r="A31" s="28" t="inlineStr">
        <is>
          <t>Poivrons</t>
        </is>
      </c>
      <c r="B31" s="28" t="inlineStr">
        <is>
          <t>Lot</t>
        </is>
      </c>
      <c r="C31" s="21" t="n">
        <v>0</v>
      </c>
      <c r="D31" s="21" t="n">
        <v>0</v>
      </c>
      <c r="E31" s="21" t="n">
        <v>0</v>
      </c>
      <c r="F31" s="21">
        <f>C31+D31-E31</f>
        <v/>
      </c>
      <c r="G31">
        <f>SI(OU(F31&lt;5; F31&lt;C31*0,1); "⚠️ CRITIQUE"; "✓ OK")</f>
        <v/>
      </c>
    </row>
    <row r="32">
      <c r="A32" s="28" t="inlineStr">
        <is>
          <t>Aubergines</t>
        </is>
      </c>
      <c r="B32" s="28" t="inlineStr">
        <is>
          <t>Lot</t>
        </is>
      </c>
      <c r="C32" s="21" t="n">
        <v>0</v>
      </c>
      <c r="D32" s="21" t="n">
        <v>0</v>
      </c>
      <c r="E32" s="21" t="n">
        <v>0</v>
      </c>
      <c r="F32" s="21">
        <f>C32+D32-E32</f>
        <v/>
      </c>
      <c r="G32">
        <f>SI(OU(F32&lt;5; F32&lt;C32*0,1); "⚠️ CRITIQUE"; "✓ OK")</f>
        <v/>
      </c>
    </row>
    <row r="33">
      <c r="A33" s="28" t="inlineStr">
        <is>
          <t>Oignons</t>
        </is>
      </c>
      <c r="B33" s="28" t="inlineStr">
        <is>
          <t>Lot</t>
        </is>
      </c>
      <c r="C33" s="21" t="n">
        <v>0</v>
      </c>
      <c r="D33" s="21" t="n">
        <v>0</v>
      </c>
      <c r="E33" s="21" t="n">
        <v>0</v>
      </c>
      <c r="F33" s="21">
        <f>C33+D33-E33</f>
        <v/>
      </c>
      <c r="G33">
        <f>SI(OU(F33&lt;5; F33&lt;C33*0,1); "⚠️ CRITIQUE"; "✓ OK")</f>
        <v/>
      </c>
    </row>
    <row r="34">
      <c r="A34" s="28" t="inlineStr">
        <is>
          <t>Ail</t>
        </is>
      </c>
      <c r="B34" s="28" t="inlineStr">
        <is>
          <t>Lot</t>
        </is>
      </c>
      <c r="C34" s="21" t="n">
        <v>0</v>
      </c>
      <c r="D34" s="21" t="n">
        <v>0</v>
      </c>
      <c r="E34" s="21" t="n">
        <v>0</v>
      </c>
      <c r="F34" s="21">
        <f>C34+D34-E34</f>
        <v/>
      </c>
      <c r="G34">
        <f>SI(OU(F34&lt;5; F34&lt;C34*0,1); "⚠️ CRITIQUE"; "✓ OK")</f>
        <v/>
      </c>
    </row>
    <row r="35">
      <c r="A35" s="28" t="inlineStr">
        <is>
          <t>Poireaux</t>
        </is>
      </c>
      <c r="B35" s="28" t="inlineStr">
        <is>
          <t>Lot</t>
        </is>
      </c>
      <c r="C35" s="21" t="n">
        <v>0</v>
      </c>
      <c r="D35" s="21" t="n">
        <v>0</v>
      </c>
      <c r="E35" s="21" t="n">
        <v>0</v>
      </c>
      <c r="F35" s="21">
        <f>C35+D35-E35</f>
        <v/>
      </c>
      <c r="G35">
        <f>SI(OU(F35&lt;5; F35&lt;C35*0,1); "⚠️ CRITIQUE"; "✓ OK")</f>
        <v/>
      </c>
    </row>
    <row r="36">
      <c r="A36" s="28" t="inlineStr">
        <is>
          <t>Haricots verts</t>
        </is>
      </c>
      <c r="B36" s="28" t="inlineStr">
        <is>
          <t>Lot</t>
        </is>
      </c>
      <c r="C36" s="21" t="n">
        <v>0</v>
      </c>
      <c r="D36" s="21" t="n">
        <v>0</v>
      </c>
      <c r="E36" s="21" t="n">
        <v>0</v>
      </c>
      <c r="F36" s="21">
        <f>C36+D36-E36</f>
        <v/>
      </c>
      <c r="G36">
        <f>SI(OU(F36&lt;5; F36&lt;C36*0,1); "⚠️ CRITIQUE"; "✓ OK")</f>
        <v/>
      </c>
    </row>
    <row r="37">
      <c r="A37" s="28" t="inlineStr">
        <is>
          <t>Persil</t>
        </is>
      </c>
      <c r="B37" s="28" t="inlineStr">
        <is>
          <t>Lot</t>
        </is>
      </c>
      <c r="C37" s="21" t="n">
        <v>0</v>
      </c>
      <c r="D37" s="21" t="n">
        <v>0</v>
      </c>
      <c r="E37" s="21" t="n">
        <v>0</v>
      </c>
      <c r="F37" s="21">
        <f>C37+D37-E37</f>
        <v/>
      </c>
      <c r="G37">
        <f>SI(OU(F37&lt;5; F37&lt;C37*0,1); "⚠️ CRITIQUE"; "✓ OK")</f>
        <v/>
      </c>
    </row>
    <row r="38">
      <c r="A38" s="28" t="inlineStr">
        <is>
          <t>Curcuma</t>
        </is>
      </c>
      <c r="B38" s="28" t="inlineStr">
        <is>
          <t>Boite</t>
        </is>
      </c>
      <c r="C38" s="21" t="n">
        <v>0</v>
      </c>
      <c r="D38" s="21" t="n">
        <v>0</v>
      </c>
      <c r="E38" s="21" t="n">
        <v>0</v>
      </c>
      <c r="F38" s="21">
        <f>C38+D38-E38</f>
        <v/>
      </c>
      <c r="G38">
        <f>SI(OU(F38&lt;5; F38&lt;C38*0,1); "⚠️ CRITIQUE"; "✓ OK")</f>
        <v/>
      </c>
    </row>
    <row r="39">
      <c r="A39" s="28" t="inlineStr">
        <is>
          <t>Poivre</t>
        </is>
      </c>
      <c r="B39" s="28" t="inlineStr">
        <is>
          <t>Lot</t>
        </is>
      </c>
      <c r="C39" s="21" t="n">
        <v>0</v>
      </c>
      <c r="D39" s="21" t="n">
        <v>0</v>
      </c>
      <c r="E39" s="21" t="n">
        <v>0</v>
      </c>
      <c r="F39" s="21">
        <f>C39+D39-E39</f>
        <v/>
      </c>
      <c r="G39">
        <f>SI(OU(F39&lt;5; F39&lt;C39*0,1); "⚠️ CRITIQUE"; "✓ OK")</f>
        <v/>
      </c>
    </row>
    <row r="40">
      <c r="A40" s="28" t="inlineStr">
        <is>
          <t>Courgettes</t>
        </is>
      </c>
      <c r="B40" s="28" t="inlineStr">
        <is>
          <t>Lot</t>
        </is>
      </c>
      <c r="C40" s="21" t="n">
        <v>0</v>
      </c>
      <c r="D40" s="21" t="n">
        <v>0</v>
      </c>
      <c r="E40" s="21" t="n">
        <v>0</v>
      </c>
      <c r="F40" s="21">
        <f>C40+D40-E40</f>
        <v/>
      </c>
      <c r="G40">
        <f>SI(OU(F40&lt;5; F40&lt;C40*0,1); "⚠️ CRITIQUE"; "✓ OK")</f>
        <v/>
      </c>
    </row>
    <row r="41">
      <c r="A41" s="28" t="inlineStr">
        <is>
          <t>Piments</t>
        </is>
      </c>
      <c r="B41" s="28" t="inlineStr">
        <is>
          <t>Lot</t>
        </is>
      </c>
      <c r="C41" s="21" t="n">
        <v>0</v>
      </c>
      <c r="D41" s="21" t="n">
        <v>0</v>
      </c>
      <c r="E41" s="21" t="n">
        <v>0</v>
      </c>
      <c r="F41" s="21">
        <f>C41+D41-E41</f>
        <v/>
      </c>
      <c r="G41">
        <f>SI(OU(F41&lt;5; F41&lt;C41*0,1); "⚠️ CRITIQUE"; "✓ OK")</f>
        <v/>
      </c>
    </row>
    <row r="43">
      <c r="A43" s="27" t="inlineStr">
        <is>
          <t>FRUITS FRAIS</t>
        </is>
      </c>
    </row>
    <row r="44">
      <c r="A44" s="19" t="inlineStr">
        <is>
          <t>Sous-catégorie</t>
        </is>
      </c>
      <c r="B44" s="19" t="inlineStr">
        <is>
          <t>Unité</t>
        </is>
      </c>
      <c r="C44" s="19" t="inlineStr">
        <is>
          <t>Stock initial</t>
        </is>
      </c>
      <c r="D44" s="19" t="inlineStr">
        <is>
          <t>Entrées</t>
        </is>
      </c>
      <c r="E44" s="19" t="inlineStr">
        <is>
          <t>Sorties</t>
        </is>
      </c>
      <c r="F44" s="19" t="inlineStr">
        <is>
          <t>Stock final</t>
        </is>
      </c>
      <c r="G44" s="19" t="inlineStr">
        <is>
          <t>Alerte</t>
        </is>
      </c>
    </row>
    <row r="45">
      <c r="A45" s="28" t="inlineStr">
        <is>
          <t>Orange</t>
        </is>
      </c>
      <c r="B45" s="28" t="inlineStr">
        <is>
          <t>Pièce</t>
        </is>
      </c>
      <c r="C45" s="21" t="n">
        <v>0</v>
      </c>
      <c r="D45" s="21" t="n">
        <v>0</v>
      </c>
      <c r="E45" s="21" t="n">
        <v>0</v>
      </c>
      <c r="F45" s="21">
        <f>C45+D45-E45</f>
        <v/>
      </c>
      <c r="G45">
        <f>SI(OU(F45&lt;5; F45&lt;C45*0,1); "⚠️ CRITIQUE"; "✓ OK")</f>
        <v/>
      </c>
    </row>
    <row r="46">
      <c r="A46" s="28" t="inlineStr">
        <is>
          <t>Papaye</t>
        </is>
      </c>
      <c r="B46" s="28" t="inlineStr">
        <is>
          <t>Pièce</t>
        </is>
      </c>
      <c r="C46" s="21" t="n">
        <v>0</v>
      </c>
      <c r="D46" s="21" t="n">
        <v>0</v>
      </c>
      <c r="E46" s="21" t="n">
        <v>0</v>
      </c>
      <c r="F46" s="21">
        <f>C46+D46-E46</f>
        <v/>
      </c>
      <c r="G46">
        <f>SI(OU(F46&lt;5; F46&lt;C46*0,1); "⚠️ CRITIQUE"; "✓ OK")</f>
        <v/>
      </c>
    </row>
    <row r="47">
      <c r="A47" s="28" t="inlineStr">
        <is>
          <t>Mangue</t>
        </is>
      </c>
      <c r="B47" s="28" t="inlineStr">
        <is>
          <t>Pièce</t>
        </is>
      </c>
      <c r="C47" s="21" t="n">
        <v>0</v>
      </c>
      <c r="D47" s="21" t="n">
        <v>0</v>
      </c>
      <c r="E47" s="21" t="n">
        <v>0</v>
      </c>
      <c r="F47" s="21">
        <f>C47+D47-E47</f>
        <v/>
      </c>
      <c r="G47">
        <f>SI(OU(F47&lt;5; F47&lt;C47*0,1); "⚠️ CRITIQUE"; "✓ OK")</f>
        <v/>
      </c>
    </row>
    <row r="48">
      <c r="A48" s="28" t="inlineStr">
        <is>
          <t>Citron</t>
        </is>
      </c>
      <c r="B48" s="28" t="inlineStr">
        <is>
          <t>Pièce</t>
        </is>
      </c>
      <c r="C48" s="21" t="n">
        <v>0</v>
      </c>
      <c r="D48" s="21" t="n">
        <v>0</v>
      </c>
      <c r="E48" s="21" t="n">
        <v>0</v>
      </c>
      <c r="F48" s="21">
        <f>C48+D48-E48</f>
        <v/>
      </c>
      <c r="G48">
        <f>SI(OU(F48&lt;5; F48&lt;C48*0,1); "⚠️ CRITIQUE"; "✓ OK")</f>
        <v/>
      </c>
    </row>
    <row r="49">
      <c r="A49" s="28" t="inlineStr">
        <is>
          <t>Goyave</t>
        </is>
      </c>
      <c r="B49" s="28" t="inlineStr">
        <is>
          <t>Pièce</t>
        </is>
      </c>
      <c r="C49" s="21" t="n">
        <v>0</v>
      </c>
      <c r="D49" s="21" t="n">
        <v>0</v>
      </c>
      <c r="E49" s="21" t="n">
        <v>0</v>
      </c>
      <c r="F49" s="21">
        <f>C49+D49-E49</f>
        <v/>
      </c>
      <c r="G49">
        <f>SI(OU(F49&lt;5; F49&lt;C49*0,1); "⚠️ CRITIQUE"; "✓ OK")</f>
        <v/>
      </c>
    </row>
    <row r="50">
      <c r="A50" s="28" t="inlineStr">
        <is>
          <t>Mandarine</t>
        </is>
      </c>
      <c r="B50" s="28" t="inlineStr">
        <is>
          <t>Pièce</t>
        </is>
      </c>
      <c r="C50" s="21" t="n">
        <v>0</v>
      </c>
      <c r="D50" s="21" t="n">
        <v>0</v>
      </c>
      <c r="E50" s="21" t="n">
        <v>0</v>
      </c>
      <c r="F50" s="21">
        <f>C50+D50-E50</f>
        <v/>
      </c>
      <c r="G50">
        <f>SI(OU(F50&lt;5; F50&lt;C50*0,1); "⚠️ CRITIQUE"; "✓ OK")</f>
        <v/>
      </c>
    </row>
    <row r="51">
      <c r="A51" s="28" t="inlineStr">
        <is>
          <t>Pastèque</t>
        </is>
      </c>
      <c r="B51" s="28" t="inlineStr">
        <is>
          <t>Pièce</t>
        </is>
      </c>
      <c r="C51" s="21" t="n">
        <v>0</v>
      </c>
      <c r="D51" s="21" t="n">
        <v>0</v>
      </c>
      <c r="E51" s="21" t="n">
        <v>0</v>
      </c>
      <c r="F51" s="21">
        <f>C51+D51-E51</f>
        <v/>
      </c>
      <c r="G51">
        <f>SI(OU(F51&lt;5; F51&lt;C51*0,1); "⚠️ CRITIQUE"; "✓ OK")</f>
        <v/>
      </c>
    </row>
    <row r="52">
      <c r="A52" s="28" t="inlineStr">
        <is>
          <t>Pamplemousse</t>
        </is>
      </c>
      <c r="B52" s="28" t="inlineStr">
        <is>
          <t>Pièce</t>
        </is>
      </c>
      <c r="C52" s="21" t="n">
        <v>0</v>
      </c>
      <c r="D52" s="21" t="n">
        <v>0</v>
      </c>
      <c r="E52" s="21" t="n">
        <v>0</v>
      </c>
      <c r="F52" s="21">
        <f>C52+D52-E52</f>
        <v/>
      </c>
      <c r="G52">
        <f>SI(OU(F52&lt;5; F52&lt;C52*0,1); "⚠️ CRITIQUE"; "✓ OK")</f>
        <v/>
      </c>
    </row>
    <row r="53">
      <c r="A53" s="28" t="inlineStr">
        <is>
          <t>Fruits pour jus</t>
        </is>
      </c>
      <c r="B53" s="28" t="inlineStr">
        <is>
          <t>Pièce</t>
        </is>
      </c>
      <c r="C53" s="21" t="n">
        <v>0</v>
      </c>
      <c r="D53" s="21" t="n">
        <v>0</v>
      </c>
      <c r="E53" s="21" t="n">
        <v>0</v>
      </c>
      <c r="F53" s="21">
        <f>C53+D53-E53</f>
        <v/>
      </c>
      <c r="G53">
        <f>SI(OU(F53&lt;5; F53&lt;C53*0,1); "⚠️ CRITIQUE"; "✓ OK")</f>
        <v/>
      </c>
    </row>
    <row r="55">
      <c r="A55" s="27" t="inlineStr">
        <is>
          <t>PRODUITS SECS &amp; ÉPICERIE</t>
        </is>
      </c>
    </row>
    <row r="56">
      <c r="A56" s="19" t="inlineStr">
        <is>
          <t>Sous-catégorie</t>
        </is>
      </c>
      <c r="B56" s="19" t="inlineStr">
        <is>
          <t>Unité</t>
        </is>
      </c>
      <c r="C56" s="19" t="inlineStr">
        <is>
          <t>Stock initial</t>
        </is>
      </c>
      <c r="D56" s="19" t="inlineStr">
        <is>
          <t>Entrées</t>
        </is>
      </c>
      <c r="E56" s="19" t="inlineStr">
        <is>
          <t>Sorties</t>
        </is>
      </c>
      <c r="F56" s="19" t="inlineStr">
        <is>
          <t>Stock final</t>
        </is>
      </c>
      <c r="G56" s="19" t="inlineStr">
        <is>
          <t>Alerte</t>
        </is>
      </c>
    </row>
    <row r="57">
      <c r="A57" s="28" t="inlineStr">
        <is>
          <t>Riz</t>
        </is>
      </c>
      <c r="B57" s="28" t="inlineStr">
        <is>
          <t>Kg</t>
        </is>
      </c>
      <c r="C57" s="21" t="n">
        <v>0</v>
      </c>
      <c r="D57" s="21" t="n">
        <v>0</v>
      </c>
      <c r="E57" s="21" t="n">
        <v>0</v>
      </c>
      <c r="F57" s="21">
        <f>C57+D57-E57</f>
        <v/>
      </c>
      <c r="G57">
        <f>SI(OU(F57&lt;5; F57&lt;C57*0,1); "⚠️ CRITIQUE"; "✓ OK")</f>
        <v/>
      </c>
    </row>
    <row r="58">
      <c r="A58" s="28" t="inlineStr">
        <is>
          <t>Pâtes</t>
        </is>
      </c>
      <c r="B58" s="28" t="inlineStr">
        <is>
          <t>Kg</t>
        </is>
      </c>
      <c r="C58" s="21" t="n">
        <v>0</v>
      </c>
      <c r="D58" s="21" t="n">
        <v>0</v>
      </c>
      <c r="E58" s="21" t="n">
        <v>0</v>
      </c>
      <c r="F58" s="21">
        <f>C58+D58-E58</f>
        <v/>
      </c>
      <c r="G58">
        <f>SI(OU(F58&lt;5; F58&lt;C58*0,1); "⚠️ CRITIQUE"; "✓ OK")</f>
        <v/>
      </c>
    </row>
    <row r="59">
      <c r="A59" s="28" t="inlineStr">
        <is>
          <t>Haricots</t>
        </is>
      </c>
      <c r="B59" s="28" t="inlineStr">
        <is>
          <t>Kg</t>
        </is>
      </c>
      <c r="C59" s="21" t="n">
        <v>0</v>
      </c>
      <c r="D59" s="21" t="n">
        <v>0</v>
      </c>
      <c r="E59" s="21" t="n">
        <v>0</v>
      </c>
      <c r="F59" s="21">
        <f>C59+D59-E59</f>
        <v/>
      </c>
      <c r="G59">
        <f>SI(OU(F59&lt;5; F59&lt;C59*0,1); "⚠️ CRITIQUE"; "✓ OK")</f>
        <v/>
      </c>
    </row>
    <row r="60">
      <c r="A60" s="28" t="inlineStr">
        <is>
          <t>Farines</t>
        </is>
      </c>
      <c r="B60" s="28" t="inlineStr">
        <is>
          <t>Kg</t>
        </is>
      </c>
      <c r="C60" s="21" t="n">
        <v>0</v>
      </c>
      <c r="D60" s="21" t="n">
        <v>0</v>
      </c>
      <c r="E60" s="21" t="n">
        <v>0</v>
      </c>
      <c r="F60" s="21">
        <f>C60+D60-E60</f>
        <v/>
      </c>
      <c r="G60">
        <f>SI(OU(F60&lt;5; F60&lt;C60*0,1); "⚠️ CRITIQUE"; "✓ OK")</f>
        <v/>
      </c>
    </row>
    <row r="61">
      <c r="A61" s="28" t="inlineStr">
        <is>
          <t>Sucres</t>
        </is>
      </c>
      <c r="B61" s="28" t="inlineStr">
        <is>
          <t>Kg</t>
        </is>
      </c>
      <c r="C61" s="21" t="n">
        <v>0</v>
      </c>
      <c r="D61" s="21" t="n">
        <v>0</v>
      </c>
      <c r="E61" s="21" t="n">
        <v>0</v>
      </c>
      <c r="F61" s="21">
        <f>C61+D61-E61</f>
        <v/>
      </c>
      <c r="G61">
        <f>SI(OU(F61&lt;5; F61&lt;C61*0,1); "⚠️ CRITIQUE"; "✓ OK")</f>
        <v/>
      </c>
    </row>
    <row r="62">
      <c r="A62" s="28" t="inlineStr">
        <is>
          <t>Sel</t>
        </is>
      </c>
      <c r="B62" s="28" t="inlineStr">
        <is>
          <t>Kg</t>
        </is>
      </c>
      <c r="C62" s="21" t="n">
        <v>0</v>
      </c>
      <c r="D62" s="21" t="n">
        <v>0</v>
      </c>
      <c r="E62" s="21" t="n">
        <v>0</v>
      </c>
      <c r="F62" s="21">
        <f>C62+D62-E62</f>
        <v/>
      </c>
      <c r="G62">
        <f>SI(OU(F62&lt;5; F62&lt;C62*0,1); "⚠️ CRITIQUE"; "✓ OK")</f>
        <v/>
      </c>
    </row>
    <row r="63">
      <c r="A63" s="28" t="inlineStr">
        <is>
          <t>Bouillons &amp; cubes</t>
        </is>
      </c>
      <c r="B63" s="28" t="inlineStr">
        <is>
          <t>Paquet</t>
        </is>
      </c>
      <c r="C63" s="21" t="n">
        <v>0</v>
      </c>
      <c r="D63" s="21" t="n">
        <v>0</v>
      </c>
      <c r="E63" s="21" t="n">
        <v>0</v>
      </c>
      <c r="F63" s="21">
        <f>C63+D63-E63</f>
        <v/>
      </c>
      <c r="G63">
        <f>SI(OU(F63&lt;5; F63&lt;C63*0,1); "⚠️ CRITIQUE"; "✓ OK")</f>
        <v/>
      </c>
    </row>
    <row r="64">
      <c r="A64" s="28" t="inlineStr">
        <is>
          <t>Semoule</t>
        </is>
      </c>
      <c r="B64" s="28" t="inlineStr">
        <is>
          <t>Kg</t>
        </is>
      </c>
      <c r="C64" s="21" t="n">
        <v>0</v>
      </c>
      <c r="D64" s="21" t="n">
        <v>0</v>
      </c>
      <c r="E64" s="21" t="n">
        <v>0</v>
      </c>
      <c r="F64" s="21">
        <f>C64+D64-E64</f>
        <v/>
      </c>
      <c r="G64">
        <f>SI(OU(F64&lt;5; F64&lt;C64*0,1); "⚠️ CRITIQUE"; "✓ OK")</f>
        <v/>
      </c>
    </row>
    <row r="66">
      <c r="A66" s="27" t="inlineStr">
        <is>
          <t>PRODUITS LAITIERS &amp; FROMAGES</t>
        </is>
      </c>
    </row>
    <row r="67">
      <c r="A67" s="19" t="inlineStr">
        <is>
          <t>Sous-catégorie</t>
        </is>
      </c>
      <c r="B67" s="19" t="inlineStr">
        <is>
          <t>Unité</t>
        </is>
      </c>
      <c r="C67" s="19" t="inlineStr">
        <is>
          <t>Stock initial</t>
        </is>
      </c>
      <c r="D67" s="19" t="inlineStr">
        <is>
          <t>Entrées</t>
        </is>
      </c>
      <c r="E67" s="19" t="inlineStr">
        <is>
          <t>Sorties</t>
        </is>
      </c>
      <c r="F67" s="19" t="inlineStr">
        <is>
          <t>Stock final</t>
        </is>
      </c>
      <c r="G67" s="19" t="inlineStr">
        <is>
          <t>Alerte</t>
        </is>
      </c>
    </row>
    <row r="68">
      <c r="A68" s="28" t="inlineStr">
        <is>
          <t>Lait &amp; crème</t>
        </is>
      </c>
      <c r="B68" s="28" t="inlineStr">
        <is>
          <t>Litre</t>
        </is>
      </c>
      <c r="C68" s="21" t="n">
        <v>0</v>
      </c>
      <c r="D68" s="21" t="n">
        <v>0</v>
      </c>
      <c r="E68" s="21" t="n">
        <v>0</v>
      </c>
      <c r="F68" s="21">
        <f>C68+D68-E68</f>
        <v/>
      </c>
      <c r="G68">
        <f>SI(OU(F68&lt;5; F68&lt;C68*0,1); "⚠️ CRITIQUE"; "✓ OK")</f>
        <v/>
      </c>
    </row>
    <row r="69">
      <c r="A69" s="28" t="inlineStr">
        <is>
          <t>Beurres &amp; margarines</t>
        </is>
      </c>
      <c r="B69" s="28" t="inlineStr">
        <is>
          <t>Boite</t>
        </is>
      </c>
      <c r="C69" s="21" t="n">
        <v>0</v>
      </c>
      <c r="D69" s="21" t="n">
        <v>0</v>
      </c>
      <c r="E69" s="21" t="n">
        <v>0</v>
      </c>
      <c r="F69" s="21">
        <f>C69+D69-E69</f>
        <v/>
      </c>
      <c r="G69">
        <f>SI(OU(F69&lt;5; F69&lt;C69*0,1); "⚠️ CRITIQUE"; "✓ OK")</f>
        <v/>
      </c>
    </row>
    <row r="70">
      <c r="A70" s="28" t="inlineStr">
        <is>
          <t>Fromages tranchés</t>
        </is>
      </c>
      <c r="B70" s="28" t="inlineStr">
        <is>
          <t>Pièce</t>
        </is>
      </c>
      <c r="C70" s="21" t="n">
        <v>0</v>
      </c>
      <c r="D70" s="21" t="n">
        <v>0</v>
      </c>
      <c r="E70" s="21" t="n">
        <v>0</v>
      </c>
      <c r="F70" s="21">
        <f>C70+D70-E70</f>
        <v/>
      </c>
      <c r="G70">
        <f>SI(OU(F70&lt;5; F70&lt;C70*0,1); "⚠️ CRITIQUE"; "✓ OK")</f>
        <v/>
      </c>
    </row>
    <row r="71">
      <c r="A71" s="28" t="inlineStr">
        <is>
          <t>Fromages râpés</t>
        </is>
      </c>
      <c r="B71" s="28" t="inlineStr">
        <is>
          <t>Pièce</t>
        </is>
      </c>
      <c r="C71" s="21" t="n">
        <v>0</v>
      </c>
      <c r="D71" s="21" t="n">
        <v>0</v>
      </c>
      <c r="E71" s="21" t="n">
        <v>0</v>
      </c>
      <c r="F71" s="21">
        <f>C71+D71-E71</f>
        <v/>
      </c>
      <c r="G71">
        <f>SI(OU(F71&lt;5; F71&lt;C71*0,1); "⚠️ CRITIQUE"; "✓ OK")</f>
        <v/>
      </c>
    </row>
    <row r="72">
      <c r="A72" s="28" t="inlineStr">
        <is>
          <t>Fromages en bloc</t>
        </is>
      </c>
      <c r="B72" s="28" t="inlineStr">
        <is>
          <t>Pièce</t>
        </is>
      </c>
      <c r="C72" s="21" t="n">
        <v>0</v>
      </c>
      <c r="D72" s="21" t="n">
        <v>0</v>
      </c>
      <c r="E72" s="21" t="n">
        <v>0</v>
      </c>
      <c r="F72" s="21">
        <f>C72+D72-E72</f>
        <v/>
      </c>
      <c r="G72">
        <f>SI(OU(F72&lt;5; F72&lt;C72*0,1); "⚠️ CRITIQUE"; "✓ OK")</f>
        <v/>
      </c>
    </row>
    <row r="73">
      <c r="A73" s="28" t="inlineStr">
        <is>
          <t>Yaourts</t>
        </is>
      </c>
      <c r="B73" s="28" t="inlineStr">
        <is>
          <t>Litre</t>
        </is>
      </c>
      <c r="C73" s="21" t="n">
        <v>0</v>
      </c>
      <c r="D73" s="21" t="n">
        <v>0</v>
      </c>
      <c r="E73" s="21" t="n">
        <v>0</v>
      </c>
      <c r="F73" s="21">
        <f>C73+D73-E73</f>
        <v/>
      </c>
      <c r="G73">
        <f>SI(OU(F73&lt;5; F73&lt;C73*0,1); "⚠️ CRITIQUE"; "✓ OK")</f>
        <v/>
      </c>
    </row>
    <row r="75">
      <c r="A75" s="27" t="inlineStr">
        <is>
          <t>CHARCUTERIE</t>
        </is>
      </c>
    </row>
    <row r="76">
      <c r="A76" s="19" t="inlineStr">
        <is>
          <t>Sous-catégorie</t>
        </is>
      </c>
      <c r="B76" s="19" t="inlineStr">
        <is>
          <t>Unité</t>
        </is>
      </c>
      <c r="C76" s="19" t="inlineStr">
        <is>
          <t>Stock initial</t>
        </is>
      </c>
      <c r="D76" s="19" t="inlineStr">
        <is>
          <t>Entrées</t>
        </is>
      </c>
      <c r="E76" s="19" t="inlineStr">
        <is>
          <t>Sorties</t>
        </is>
      </c>
      <c r="F76" s="19" t="inlineStr">
        <is>
          <t>Stock final</t>
        </is>
      </c>
      <c r="G76" s="19" t="inlineStr">
        <is>
          <t>Alerte</t>
        </is>
      </c>
    </row>
    <row r="77">
      <c r="A77" s="28" t="inlineStr">
        <is>
          <t>Jambons</t>
        </is>
      </c>
      <c r="B77" s="28" t="inlineStr">
        <is>
          <t>Tranche</t>
        </is>
      </c>
      <c r="C77" s="21" t="n">
        <v>0</v>
      </c>
      <c r="D77" s="21" t="n">
        <v>0</v>
      </c>
      <c r="E77" s="21" t="n">
        <v>0</v>
      </c>
      <c r="F77" s="21">
        <f>C77+D77-E77</f>
        <v/>
      </c>
      <c r="G77">
        <f>SI(OU(F77&lt;5; F77&lt;C77*0,1); "⚠️ CRITIQUE"; "✓ OK")</f>
        <v/>
      </c>
    </row>
    <row r="78">
      <c r="A78" s="28" t="inlineStr">
        <is>
          <t>Bacons</t>
        </is>
      </c>
      <c r="B78" s="28" t="inlineStr">
        <is>
          <t>Tranche</t>
        </is>
      </c>
      <c r="C78" s="21" t="n">
        <v>0</v>
      </c>
      <c r="D78" s="21" t="n">
        <v>0</v>
      </c>
      <c r="E78" s="21" t="n">
        <v>0</v>
      </c>
      <c r="F78" s="21">
        <f>C78+D78-E78</f>
        <v/>
      </c>
      <c r="G78">
        <f>SI(OU(F78&lt;5; F78&lt;C78*0,1); "⚠️ CRITIQUE"; "✓ OK")</f>
        <v/>
      </c>
    </row>
    <row r="79">
      <c r="A79" s="28" t="inlineStr">
        <is>
          <t>Saucissons</t>
        </is>
      </c>
      <c r="B79" s="28" t="inlineStr">
        <is>
          <t>Tranche</t>
        </is>
      </c>
      <c r="C79" s="21" t="n">
        <v>0</v>
      </c>
      <c r="D79" s="21" t="n">
        <v>0</v>
      </c>
      <c r="E79" s="21" t="n">
        <v>0</v>
      </c>
      <c r="F79" s="21">
        <f>C79+D79-E79</f>
        <v/>
      </c>
      <c r="G79">
        <f>SI(OU(F79&lt;5; F79&lt;C79*0,1); "⚠️ CRITIQUE"; "✓ OK")</f>
        <v/>
      </c>
    </row>
    <row r="80">
      <c r="A80" s="28" t="inlineStr">
        <is>
          <t>Pepperoni</t>
        </is>
      </c>
      <c r="B80" s="28" t="inlineStr">
        <is>
          <t>Tranche</t>
        </is>
      </c>
      <c r="C80" s="21" t="n">
        <v>0</v>
      </c>
      <c r="D80" s="21" t="n">
        <v>0</v>
      </c>
      <c r="E80" s="21" t="n">
        <v>0</v>
      </c>
      <c r="F80" s="21">
        <f>C80+D80-E80</f>
        <v/>
      </c>
      <c r="G80">
        <f>SI(OU(F80&lt;5; F80&lt;C80*0,1); "⚠️ CRITIQUE"; "✓ OK")</f>
        <v/>
      </c>
    </row>
    <row r="81">
      <c r="A81" s="28" t="inlineStr">
        <is>
          <t>Charcuterie cuite</t>
        </is>
      </c>
      <c r="B81" s="28" t="inlineStr">
        <is>
          <t>Tranche</t>
        </is>
      </c>
      <c r="C81" s="21" t="n">
        <v>0</v>
      </c>
      <c r="D81" s="21" t="n">
        <v>0</v>
      </c>
      <c r="E81" s="21" t="n">
        <v>0</v>
      </c>
      <c r="F81" s="21">
        <f>C81+D81-E81</f>
        <v/>
      </c>
      <c r="G81">
        <f>SI(OU(F81&lt;5; F81&lt;C81*0,1); "⚠️ CRITIQUE"; "✓ OK")</f>
        <v/>
      </c>
    </row>
    <row r="82">
      <c r="A82" s="28" t="inlineStr">
        <is>
          <t>Charcuterie fumée</t>
        </is>
      </c>
      <c r="B82" s="28" t="inlineStr">
        <is>
          <t>Tranche</t>
        </is>
      </c>
      <c r="C82" s="21" t="n">
        <v>0</v>
      </c>
      <c r="D82" s="21" t="n">
        <v>0</v>
      </c>
      <c r="E82" s="21" t="n">
        <v>0</v>
      </c>
      <c r="F82" s="21">
        <f>C82+D82-E82</f>
        <v/>
      </c>
      <c r="G82">
        <f>SI(OU(F82&lt;5; F82&lt;C82*0,1); "⚠️ CRITIQUE"; "✓ OK")</f>
        <v/>
      </c>
    </row>
    <row r="84">
      <c r="A84" s="27" t="inlineStr">
        <is>
          <t>SURGELÉS</t>
        </is>
      </c>
    </row>
    <row r="85">
      <c r="A85" s="19" t="inlineStr">
        <is>
          <t>Sous-catégorie</t>
        </is>
      </c>
      <c r="B85" s="19" t="inlineStr">
        <is>
          <t>Unité</t>
        </is>
      </c>
      <c r="C85" s="19" t="inlineStr">
        <is>
          <t>Stock initial</t>
        </is>
      </c>
      <c r="D85" s="19" t="inlineStr">
        <is>
          <t>Entrées</t>
        </is>
      </c>
      <c r="E85" s="19" t="inlineStr">
        <is>
          <t>Sorties</t>
        </is>
      </c>
      <c r="F85" s="19" t="inlineStr">
        <is>
          <t>Stock final</t>
        </is>
      </c>
      <c r="G85" s="19" t="inlineStr">
        <is>
          <t>Alerte</t>
        </is>
      </c>
    </row>
    <row r="86">
      <c r="A86" s="28" t="inlineStr">
        <is>
          <t>Frites surgelées</t>
        </is>
      </c>
      <c r="B86" s="28" t="inlineStr">
        <is>
          <t>Paquet</t>
        </is>
      </c>
      <c r="C86" s="21" t="n">
        <v>0</v>
      </c>
      <c r="D86" s="21" t="n">
        <v>0</v>
      </c>
      <c r="E86" s="21" t="n">
        <v>0</v>
      </c>
      <c r="F86" s="21">
        <f>C86+D86-E86</f>
        <v/>
      </c>
      <c r="G86">
        <f>SI(OU(F86&lt;5; F86&lt;C86*0,1); "⚠️ CRITIQUE"; "✓ OK")</f>
        <v/>
      </c>
    </row>
    <row r="87">
      <c r="A87" s="28" t="inlineStr">
        <is>
          <t>Légumes surgelés</t>
        </is>
      </c>
      <c r="B87" s="28" t="inlineStr">
        <is>
          <t>Paquet</t>
        </is>
      </c>
      <c r="C87" s="21" t="n">
        <v>0</v>
      </c>
      <c r="D87" s="21" t="n">
        <v>0</v>
      </c>
      <c r="E87" s="21" t="n">
        <v>0</v>
      </c>
      <c r="F87" s="21">
        <f>C87+D87-E87</f>
        <v/>
      </c>
      <c r="G87">
        <f>SI(OU(F87&lt;5; F87&lt;C87*0,1); "⚠️ CRITIQUE"; "✓ OK")</f>
        <v/>
      </c>
    </row>
    <row r="88">
      <c r="A88" s="28" t="inlineStr">
        <is>
          <t>Viandes surgelées</t>
        </is>
      </c>
      <c r="B88" s="28" t="inlineStr">
        <is>
          <t>Paquet</t>
        </is>
      </c>
      <c r="C88" s="21" t="n">
        <v>0</v>
      </c>
      <c r="D88" s="21" t="n">
        <v>0</v>
      </c>
      <c r="E88" s="21" t="n">
        <v>0</v>
      </c>
      <c r="F88" s="21">
        <f>C88+D88-E88</f>
        <v/>
      </c>
      <c r="G88">
        <f>SI(OU(F88&lt;5; F88&lt;C88*0,1); "⚠️ CRITIQUE"; "✓ OK")</f>
        <v/>
      </c>
    </row>
    <row r="89">
      <c r="A89" s="28" t="inlineStr">
        <is>
          <t>Poissons surgelés</t>
        </is>
      </c>
      <c r="B89" s="28" t="inlineStr">
        <is>
          <t>Paquet</t>
        </is>
      </c>
      <c r="C89" s="21" t="n">
        <v>0</v>
      </c>
      <c r="D89" s="21" t="n">
        <v>0</v>
      </c>
      <c r="E89" s="21" t="n">
        <v>0</v>
      </c>
      <c r="F89" s="21">
        <f>C89+D89-E89</f>
        <v/>
      </c>
      <c r="G89">
        <f>SI(OU(F89&lt;5; F89&lt;C89*0,1); "⚠️ CRITIQUE"; "✓ OK")</f>
        <v/>
      </c>
    </row>
    <row r="90">
      <c r="A90" s="28" t="inlineStr">
        <is>
          <t>Produits panés</t>
        </is>
      </c>
      <c r="B90" s="28" t="inlineStr">
        <is>
          <t>Paquet</t>
        </is>
      </c>
      <c r="C90" s="21" t="n">
        <v>0</v>
      </c>
      <c r="D90" s="21" t="n">
        <v>0</v>
      </c>
      <c r="E90" s="21" t="n">
        <v>0</v>
      </c>
      <c r="F90" s="21">
        <f>C90+D90-E90</f>
        <v/>
      </c>
      <c r="G90">
        <f>SI(OU(F90&lt;5; F90&lt;C90*0,1); "⚠️ CRITIQUE"; "✓ OK")</f>
        <v/>
      </c>
    </row>
    <row r="91">
      <c r="A91" s="28" t="inlineStr">
        <is>
          <t>Pâtes surgelées</t>
        </is>
      </c>
      <c r="B91" s="28" t="inlineStr">
        <is>
          <t>Paquet</t>
        </is>
      </c>
      <c r="C91" s="21" t="n">
        <v>0</v>
      </c>
      <c r="D91" s="21" t="n">
        <v>0</v>
      </c>
      <c r="E91" s="21" t="n">
        <v>0</v>
      </c>
      <c r="F91" s="21">
        <f>C91+D91-E91</f>
        <v/>
      </c>
      <c r="G91">
        <f>SI(OU(F91&lt;5; F91&lt;C91*0,1); "⚠️ CRITIQUE"; "✓ OK")</f>
        <v/>
      </c>
    </row>
    <row r="93">
      <c r="A93" s="27" t="inlineStr">
        <is>
          <t>SAUCES &amp; CONDIMENTS</t>
        </is>
      </c>
    </row>
    <row r="94">
      <c r="A94" s="19" t="inlineStr">
        <is>
          <t>Sous-catégorie</t>
        </is>
      </c>
      <c r="B94" s="19" t="inlineStr">
        <is>
          <t>Unité</t>
        </is>
      </c>
      <c r="C94" s="19" t="inlineStr">
        <is>
          <t>Stock initial</t>
        </is>
      </c>
      <c r="D94" s="19" t="inlineStr">
        <is>
          <t>Entrées</t>
        </is>
      </c>
      <c r="E94" s="19" t="inlineStr">
        <is>
          <t>Sorties</t>
        </is>
      </c>
      <c r="F94" s="19" t="inlineStr">
        <is>
          <t>Stock final</t>
        </is>
      </c>
      <c r="G94" s="19" t="inlineStr">
        <is>
          <t>Alerte</t>
        </is>
      </c>
    </row>
    <row r="95">
      <c r="A95" s="28" t="inlineStr">
        <is>
          <t>Ketchup</t>
        </is>
      </c>
      <c r="B95" s="28" t="inlineStr">
        <is>
          <t>Bouteille</t>
        </is>
      </c>
      <c r="C95" s="21" t="n">
        <v>0</v>
      </c>
      <c r="D95" s="21" t="n">
        <v>0</v>
      </c>
      <c r="E95" s="21" t="n">
        <v>0</v>
      </c>
      <c r="F95" s="21">
        <f>C95+D95-E95</f>
        <v/>
      </c>
      <c r="G95">
        <f>SI(OU(F95&lt;5; F95&lt;C95*0,1); "⚠️ CRITIQUE"; "✓ OK")</f>
        <v/>
      </c>
    </row>
    <row r="96">
      <c r="A96" s="28" t="inlineStr">
        <is>
          <t>Mayonnaise</t>
        </is>
      </c>
      <c r="B96" s="28" t="inlineStr">
        <is>
          <t>Bouteille</t>
        </is>
      </c>
      <c r="C96" s="21" t="n">
        <v>0</v>
      </c>
      <c r="D96" s="21" t="n">
        <v>0</v>
      </c>
      <c r="E96" s="21" t="n">
        <v>0</v>
      </c>
      <c r="F96" s="21">
        <f>C96+D96-E96</f>
        <v/>
      </c>
      <c r="G96">
        <f>SI(OU(F96&lt;5; F96&lt;C96*0,1); "⚠️ CRITIQUE"; "✓ OK")</f>
        <v/>
      </c>
    </row>
    <row r="97">
      <c r="A97" s="28" t="inlineStr">
        <is>
          <t>Moutarde</t>
        </is>
      </c>
      <c r="B97" s="28" t="inlineStr">
        <is>
          <t>Bouteille</t>
        </is>
      </c>
      <c r="C97" s="21" t="n">
        <v>0</v>
      </c>
      <c r="D97" s="21" t="n">
        <v>0</v>
      </c>
      <c r="E97" s="21" t="n">
        <v>0</v>
      </c>
      <c r="F97" s="21">
        <f>C97+D97-E97</f>
        <v/>
      </c>
      <c r="G97">
        <f>SI(OU(F97&lt;5; F97&lt;C97*0,1); "⚠️ CRITIQUE"; "✓ OK")</f>
        <v/>
      </c>
    </row>
    <row r="98">
      <c r="A98" s="28" t="inlineStr">
        <is>
          <t>Vinaigres</t>
        </is>
      </c>
      <c r="B98" s="28" t="inlineStr">
        <is>
          <t>Bouteille</t>
        </is>
      </c>
      <c r="C98" s="21" t="n">
        <v>0</v>
      </c>
      <c r="D98" s="21" t="n">
        <v>0</v>
      </c>
      <c r="E98" s="21" t="n">
        <v>0</v>
      </c>
      <c r="F98" s="21">
        <f>C98+D98-E98</f>
        <v/>
      </c>
      <c r="G98">
        <f>SI(OU(F98&lt;5; F98&lt;C98*0,1); "⚠️ CRITIQUE"; "✓ OK")</f>
        <v/>
      </c>
    </row>
    <row r="99">
      <c r="A99" s="28" t="inlineStr">
        <is>
          <t>Marinades</t>
        </is>
      </c>
      <c r="B99" s="28" t="inlineStr">
        <is>
          <t>Bouteille</t>
        </is>
      </c>
      <c r="C99" s="21" t="n">
        <v>0</v>
      </c>
      <c r="D99" s="21" t="n">
        <v>0</v>
      </c>
      <c r="E99" s="21" t="n">
        <v>0</v>
      </c>
      <c r="F99" s="21">
        <f>C99+D99-E99</f>
        <v/>
      </c>
      <c r="G99">
        <f>SI(OU(F99&lt;5; F99&lt;C99*0,1); "⚠️ CRITIQUE"; "✓ OK")</f>
        <v/>
      </c>
    </row>
    <row r="100">
      <c r="A100" s="28" t="inlineStr">
        <is>
          <t>Bouillons liquides</t>
        </is>
      </c>
      <c r="B100" s="28" t="inlineStr">
        <is>
          <t>Bouteille</t>
        </is>
      </c>
      <c r="C100" s="21" t="n">
        <v>0</v>
      </c>
      <c r="D100" s="21" t="n">
        <v>0</v>
      </c>
      <c r="E100" s="21" t="n">
        <v>0</v>
      </c>
      <c r="F100" s="21">
        <f>C100+D100-E100</f>
        <v/>
      </c>
      <c r="G100">
        <f>SI(OU(F100&lt;5; F100&lt;C100*0,1); "⚠️ CRITIQUE"; "✓ OK")</f>
        <v/>
      </c>
    </row>
    <row r="102">
      <c r="A102" s="27" t="inlineStr">
        <is>
          <t>BOULANGERIE &amp; PAINS</t>
        </is>
      </c>
    </row>
    <row r="103">
      <c r="A103" s="19" t="inlineStr">
        <is>
          <t>Sous-catégorie</t>
        </is>
      </c>
      <c r="B103" s="19" t="inlineStr">
        <is>
          <t>Unité</t>
        </is>
      </c>
      <c r="C103" s="19" t="inlineStr">
        <is>
          <t>Stock initial</t>
        </is>
      </c>
      <c r="D103" s="19" t="inlineStr">
        <is>
          <t>Entrées</t>
        </is>
      </c>
      <c r="E103" s="19" t="inlineStr">
        <is>
          <t>Sorties</t>
        </is>
      </c>
      <c r="F103" s="19" t="inlineStr">
        <is>
          <t>Stock final</t>
        </is>
      </c>
      <c r="G103" s="19" t="inlineStr">
        <is>
          <t>Alerte</t>
        </is>
      </c>
    </row>
    <row r="104">
      <c r="A104" s="28" t="inlineStr">
        <is>
          <t>Pains burgers</t>
        </is>
      </c>
      <c r="B104" s="28" t="inlineStr">
        <is>
          <t>Nombre</t>
        </is>
      </c>
      <c r="C104" s="21" t="n">
        <v>0</v>
      </c>
      <c r="D104" s="21" t="n">
        <v>0</v>
      </c>
      <c r="E104" s="21" t="n">
        <v>0</v>
      </c>
      <c r="F104" s="21">
        <f>C104+D104-E104</f>
        <v/>
      </c>
      <c r="G104">
        <f>SI(OU(F104&lt;5; F104&lt;C104*0,1); "⚠️ CRITIQUE"; "✓ OK")</f>
        <v/>
      </c>
    </row>
    <row r="105">
      <c r="A105" s="28" t="inlineStr">
        <is>
          <t>Pains hot-dog</t>
        </is>
      </c>
      <c r="B105" s="28" t="inlineStr">
        <is>
          <t>Nombre</t>
        </is>
      </c>
      <c r="C105" s="21" t="n">
        <v>0</v>
      </c>
      <c r="D105" s="21" t="n">
        <v>0</v>
      </c>
      <c r="E105" s="21" t="n">
        <v>0</v>
      </c>
      <c r="F105" s="21">
        <f>C105+D105-E105</f>
        <v/>
      </c>
      <c r="G105">
        <f>SI(OU(F105&lt;5; F105&lt;C105*0,1); "⚠️ CRITIQUE"; "✓ OK")</f>
        <v/>
      </c>
    </row>
    <row r="106">
      <c r="A106" s="28" t="inlineStr">
        <is>
          <t>Pains sandwich</t>
        </is>
      </c>
      <c r="B106" s="28" t="inlineStr">
        <is>
          <t>Nombre</t>
        </is>
      </c>
      <c r="C106" s="21" t="n">
        <v>0</v>
      </c>
      <c r="D106" s="21" t="n">
        <v>0</v>
      </c>
      <c r="E106" s="21" t="n">
        <v>0</v>
      </c>
      <c r="F106" s="21">
        <f>C106+D106-E106</f>
        <v/>
      </c>
      <c r="G106">
        <f>SI(OU(F106&lt;5; F106&lt;C106*0,1); "⚠️ CRITIQUE"; "✓ OK")</f>
        <v/>
      </c>
    </row>
    <row r="107">
      <c r="A107" s="28" t="inlineStr">
        <is>
          <t>Baguettes</t>
        </is>
      </c>
      <c r="B107" s="28" t="inlineStr">
        <is>
          <t>Nombre</t>
        </is>
      </c>
      <c r="C107" s="21" t="n">
        <v>0</v>
      </c>
      <c r="D107" s="21" t="n">
        <v>0</v>
      </c>
      <c r="E107" s="21" t="n">
        <v>0</v>
      </c>
      <c r="F107" s="21">
        <f>C107+D107-E107</f>
        <v/>
      </c>
      <c r="G107">
        <f>SI(OU(F107&lt;5; F107&lt;C107*0,1); "⚠️ CRITIQUE"; "✓ OK")</f>
        <v/>
      </c>
    </row>
    <row r="108">
      <c r="A108" s="28" t="inlineStr">
        <is>
          <t>Tortillas / wraps</t>
        </is>
      </c>
      <c r="B108" s="28" t="inlineStr">
        <is>
          <t>Nombre</t>
        </is>
      </c>
      <c r="C108" s="21" t="n">
        <v>0</v>
      </c>
      <c r="D108" s="21" t="n">
        <v>0</v>
      </c>
      <c r="E108" s="21" t="n">
        <v>0</v>
      </c>
      <c r="F108" s="21">
        <f>C108+D108-E108</f>
        <v/>
      </c>
      <c r="G108">
        <f>SI(OU(F108&lt;5; F108&lt;C108*0,1); "⚠️ CRITIQUE"; "✓ OK")</f>
        <v/>
      </c>
    </row>
    <row r="109">
      <c r="A109" s="28" t="inlineStr">
        <is>
          <t>Pain spécial</t>
        </is>
      </c>
      <c r="B109" s="28" t="inlineStr">
        <is>
          <t>Nombre</t>
        </is>
      </c>
      <c r="C109" s="21" t="n">
        <v>0</v>
      </c>
      <c r="D109" s="21" t="n">
        <v>0</v>
      </c>
      <c r="E109" s="21" t="n">
        <v>0</v>
      </c>
      <c r="F109" s="21">
        <f>C109+D109-E109</f>
        <v/>
      </c>
      <c r="G109">
        <f>SI(OU(F109&lt;5; F109&lt;C109*0,1); "⚠️ CRITIQUE"; "✓ OK")</f>
        <v/>
      </c>
    </row>
    <row r="111">
      <c r="A111" s="27" t="inlineStr">
        <is>
          <t>HERBES &amp; ÉPICES</t>
        </is>
      </c>
    </row>
    <row r="112">
      <c r="A112" s="19" t="inlineStr">
        <is>
          <t>Sous-catégorie</t>
        </is>
      </c>
      <c r="B112" s="19" t="inlineStr">
        <is>
          <t>Unité</t>
        </is>
      </c>
      <c r="C112" s="19" t="inlineStr">
        <is>
          <t>Stock initial</t>
        </is>
      </c>
      <c r="D112" s="19" t="inlineStr">
        <is>
          <t>Entrées</t>
        </is>
      </c>
      <c r="E112" s="19" t="inlineStr">
        <is>
          <t>Sorties</t>
        </is>
      </c>
      <c r="F112" s="19" t="inlineStr">
        <is>
          <t>Stock final</t>
        </is>
      </c>
      <c r="G112" s="19" t="inlineStr">
        <is>
          <t>Alerte</t>
        </is>
      </c>
    </row>
    <row r="113">
      <c r="A113" s="28" t="inlineStr">
        <is>
          <t>Herbes fraîches</t>
        </is>
      </c>
      <c r="B113" s="28" t="inlineStr">
        <is>
          <t>Bouquet</t>
        </is>
      </c>
      <c r="C113" s="21" t="n">
        <v>0</v>
      </c>
      <c r="D113" s="21" t="n">
        <v>0</v>
      </c>
      <c r="E113" s="21" t="n">
        <v>0</v>
      </c>
      <c r="F113" s="21">
        <f>C113+D113-E113</f>
        <v/>
      </c>
      <c r="G113">
        <f>SI(OU(F113&lt;5; F113&lt;C113*0,1); "⚠️ CRITIQUE"; "✓ OK")</f>
        <v/>
      </c>
    </row>
    <row r="114">
      <c r="A114" s="28" t="inlineStr">
        <is>
          <t>Herbes sèches</t>
        </is>
      </c>
      <c r="B114" s="28" t="inlineStr">
        <is>
          <t>Bouquet</t>
        </is>
      </c>
      <c r="C114" s="21" t="n">
        <v>0</v>
      </c>
      <c r="D114" s="21" t="n">
        <v>0</v>
      </c>
      <c r="E114" s="21" t="n">
        <v>0</v>
      </c>
      <c r="F114" s="21">
        <f>C114+D114-E114</f>
        <v/>
      </c>
      <c r="G114">
        <f>SI(OU(F114&lt;5; F114&lt;C114*0,1); "⚠️ CRITIQUE"; "✓ OK")</f>
        <v/>
      </c>
    </row>
    <row r="115">
      <c r="A115" s="28" t="inlineStr">
        <is>
          <t>Épices moulues</t>
        </is>
      </c>
      <c r="B115" s="28" t="inlineStr">
        <is>
          <t>Sachet</t>
        </is>
      </c>
      <c r="C115" s="21" t="n">
        <v>0</v>
      </c>
      <c r="D115" s="21" t="n">
        <v>0</v>
      </c>
      <c r="E115" s="21" t="n">
        <v>0</v>
      </c>
      <c r="F115" s="21">
        <f>C115+D115-E115</f>
        <v/>
      </c>
      <c r="G115">
        <f>SI(OU(F115&lt;5; F115&lt;C115*0,1); "⚠️ CRITIQUE"; "✓ OK")</f>
        <v/>
      </c>
    </row>
    <row r="116">
      <c r="A116" s="28" t="inlineStr">
        <is>
          <t>Épices entières</t>
        </is>
      </c>
      <c r="B116" s="28" t="inlineStr">
        <is>
          <t>Sachet</t>
        </is>
      </c>
      <c r="C116" s="21" t="n">
        <v>0</v>
      </c>
      <c r="D116" s="21" t="n">
        <v>0</v>
      </c>
      <c r="E116" s="21" t="n">
        <v>0</v>
      </c>
      <c r="F116" s="21">
        <f>C116+D116-E116</f>
        <v/>
      </c>
      <c r="G116">
        <f>SI(OU(F116&lt;5; F116&lt;C116*0,1); "⚠️ CRITIQUE"; "✓ OK")</f>
        <v/>
      </c>
    </row>
    <row r="117">
      <c r="A117" s="28" t="inlineStr">
        <is>
          <t>Mélanges d'épices</t>
        </is>
      </c>
      <c r="B117" s="28" t="inlineStr">
        <is>
          <t>Sachet</t>
        </is>
      </c>
      <c r="C117" s="21" t="n">
        <v>0</v>
      </c>
      <c r="D117" s="21" t="n">
        <v>0</v>
      </c>
      <c r="E117" s="21" t="n">
        <v>0</v>
      </c>
      <c r="F117" s="21">
        <f>C117+D117-E117</f>
        <v/>
      </c>
      <c r="G117">
        <f>SI(OU(F117&lt;5; F117&lt;C117*0,1); "⚠️ CRITIQUE"; "✓ OK")</f>
        <v/>
      </c>
    </row>
    <row r="119">
      <c r="A119" s="27" t="inlineStr">
        <is>
          <t>PRODUITS DE PÂTISSERIE</t>
        </is>
      </c>
    </row>
    <row r="120">
      <c r="A120" s="19" t="inlineStr">
        <is>
          <t>Sous-catégorie</t>
        </is>
      </c>
      <c r="B120" s="19" t="inlineStr">
        <is>
          <t>Unité</t>
        </is>
      </c>
      <c r="C120" s="19" t="inlineStr">
        <is>
          <t>Stock initial</t>
        </is>
      </c>
      <c r="D120" s="19" t="inlineStr">
        <is>
          <t>Entrées</t>
        </is>
      </c>
      <c r="E120" s="19" t="inlineStr">
        <is>
          <t>Sorties</t>
        </is>
      </c>
      <c r="F120" s="19" t="inlineStr">
        <is>
          <t>Stock final</t>
        </is>
      </c>
      <c r="G120" s="19" t="inlineStr">
        <is>
          <t>Alerte</t>
        </is>
      </c>
    </row>
    <row r="121">
      <c r="A121" s="28" t="inlineStr">
        <is>
          <t>Chocolats</t>
        </is>
      </c>
      <c r="B121" s="28" t="inlineStr">
        <is>
          <t>Boite</t>
        </is>
      </c>
      <c r="C121" s="21" t="n">
        <v>0</v>
      </c>
      <c r="D121" s="21" t="n">
        <v>0</v>
      </c>
      <c r="E121" s="21" t="n">
        <v>0</v>
      </c>
      <c r="F121" s="21">
        <f>C121+D121-E121</f>
        <v/>
      </c>
      <c r="G121">
        <f>SI(OU(F121&lt;5; F121&lt;C121*0,1); "⚠️ CRITIQUE"; "✓ OK")</f>
        <v/>
      </c>
    </row>
    <row r="122">
      <c r="A122" s="28" t="inlineStr">
        <is>
          <t>Levures</t>
        </is>
      </c>
      <c r="B122" s="28" t="inlineStr">
        <is>
          <t>Sachet</t>
        </is>
      </c>
      <c r="C122" s="21" t="n">
        <v>0</v>
      </c>
      <c r="D122" s="21" t="n">
        <v>0</v>
      </c>
      <c r="E122" s="21" t="n">
        <v>0</v>
      </c>
      <c r="F122" s="21">
        <f>C122+D122-E122</f>
        <v/>
      </c>
      <c r="G122">
        <f>SI(OU(F122&lt;5; F122&lt;C122*0,1); "⚠️ CRITIQUE"; "✓ OK")</f>
        <v/>
      </c>
    </row>
    <row r="123">
      <c r="A123" s="28" t="inlineStr">
        <is>
          <t>Arômes</t>
        </is>
      </c>
      <c r="B123" s="28" t="inlineStr">
        <is>
          <t>Bouteille</t>
        </is>
      </c>
      <c r="C123" s="21" t="n">
        <v>0</v>
      </c>
      <c r="D123" s="21" t="n">
        <v>0</v>
      </c>
      <c r="E123" s="21" t="n">
        <v>0</v>
      </c>
      <c r="F123" s="21">
        <f>C123+D123-E123</f>
        <v/>
      </c>
      <c r="G123">
        <f>SI(OU(F123&lt;5; F123&lt;C123*0,1); "⚠️ CRITIQUE"; "✓ OK")</f>
        <v/>
      </c>
    </row>
    <row r="124">
      <c r="A124" s="28" t="inlineStr">
        <is>
          <t>Sucre glace</t>
        </is>
      </c>
      <c r="B124" s="28" t="inlineStr">
        <is>
          <t>Kg</t>
        </is>
      </c>
      <c r="C124" s="21" t="n">
        <v>0</v>
      </c>
      <c r="D124" s="21" t="n">
        <v>0</v>
      </c>
      <c r="E124" s="21" t="n">
        <v>0</v>
      </c>
      <c r="F124" s="21">
        <f>C124+D124-E124</f>
        <v/>
      </c>
      <c r="G124">
        <f>SI(OU(F124&lt;5; F124&lt;C124*0,1); "⚠️ CRITIQUE"; "✓ OK")</f>
        <v/>
      </c>
    </row>
    <row r="125">
      <c r="A125" s="28" t="inlineStr">
        <is>
          <t>Cacao</t>
        </is>
      </c>
      <c r="B125" s="28" t="inlineStr">
        <is>
          <t>Kg</t>
        </is>
      </c>
      <c r="C125" s="21" t="n">
        <v>0</v>
      </c>
      <c r="D125" s="21" t="n">
        <v>0</v>
      </c>
      <c r="E125" s="21" t="n">
        <v>0</v>
      </c>
      <c r="F125" s="21">
        <f>C125+D125-E125</f>
        <v/>
      </c>
      <c r="G125">
        <f>SI(OU(F125&lt;5; F125&lt;C125*0,1); "⚠️ CRITIQUE"; "✓ OK")</f>
        <v/>
      </c>
    </row>
    <row r="126">
      <c r="A126" s="28" t="inlineStr">
        <is>
          <t>Fruits secs</t>
        </is>
      </c>
      <c r="B126" s="28" t="inlineStr">
        <is>
          <t>Kg</t>
        </is>
      </c>
      <c r="C126" s="21" t="n">
        <v>0</v>
      </c>
      <c r="D126" s="21" t="n">
        <v>0</v>
      </c>
      <c r="E126" s="21" t="n">
        <v>0</v>
      </c>
      <c r="F126" s="21">
        <f>C126+D126-E126</f>
        <v/>
      </c>
      <c r="G126">
        <f>SI(OU(F126&lt;5; F126&lt;C126*0,1); "⚠️ CRITIQUE"; "✓ OK")</f>
        <v/>
      </c>
    </row>
    <row r="128">
      <c r="A128" s="27" t="inlineStr">
        <is>
          <t>HUILES &amp; MATIÈRES GRASSES</t>
        </is>
      </c>
    </row>
    <row r="129">
      <c r="A129" s="19" t="inlineStr">
        <is>
          <t>Sous-catégorie</t>
        </is>
      </c>
      <c r="B129" s="19" t="inlineStr">
        <is>
          <t>Unité</t>
        </is>
      </c>
      <c r="C129" s="19" t="inlineStr">
        <is>
          <t>Stock initial</t>
        </is>
      </c>
      <c r="D129" s="19" t="inlineStr">
        <is>
          <t>Entrées</t>
        </is>
      </c>
      <c r="E129" s="19" t="inlineStr">
        <is>
          <t>Sorties</t>
        </is>
      </c>
      <c r="F129" s="19" t="inlineStr">
        <is>
          <t>Stock final</t>
        </is>
      </c>
      <c r="G129" s="19" t="inlineStr">
        <is>
          <t>Alerte</t>
        </is>
      </c>
    </row>
    <row r="130">
      <c r="A130" s="28" t="inlineStr">
        <is>
          <t>Huiles végétales</t>
        </is>
      </c>
      <c r="B130" s="28" t="inlineStr">
        <is>
          <t>Litre</t>
        </is>
      </c>
      <c r="C130" s="21" t="n">
        <v>0</v>
      </c>
      <c r="D130" s="21" t="n">
        <v>0</v>
      </c>
      <c r="E130" s="21" t="n">
        <v>0</v>
      </c>
      <c r="F130" s="21">
        <f>C130+D130-E130</f>
        <v/>
      </c>
      <c r="G130">
        <f>SI(OU(F130&lt;5; F130&lt;C130*0,1); "⚠️ CRITIQUE"; "✓ OK")</f>
        <v/>
      </c>
    </row>
    <row r="131">
      <c r="A131" s="28" t="inlineStr">
        <is>
          <t>Huiles spéciales</t>
        </is>
      </c>
      <c r="B131" s="28" t="inlineStr">
        <is>
          <t>Litre</t>
        </is>
      </c>
      <c r="C131" s="21" t="n">
        <v>0</v>
      </c>
      <c r="D131" s="21" t="n">
        <v>0</v>
      </c>
      <c r="E131" s="21" t="n">
        <v>0</v>
      </c>
      <c r="F131" s="21">
        <f>C131+D131-E131</f>
        <v/>
      </c>
      <c r="G131">
        <f>SI(OU(F131&lt;5; F131&lt;C131*0,1); "⚠️ CRITIQUE"; "✓ OK")</f>
        <v/>
      </c>
    </row>
    <row r="132">
      <c r="A132" s="28" t="inlineStr">
        <is>
          <t>Beurres</t>
        </is>
      </c>
      <c r="B132" s="28" t="inlineStr">
        <is>
          <t>Kg</t>
        </is>
      </c>
      <c r="C132" s="21" t="n">
        <v>0</v>
      </c>
      <c r="D132" s="21" t="n">
        <v>0</v>
      </c>
      <c r="E132" s="21" t="n">
        <v>0</v>
      </c>
      <c r="F132" s="21">
        <f>C132+D132-E132</f>
        <v/>
      </c>
      <c r="G132">
        <f>SI(OU(F132&lt;5; F132&lt;C132*0,1); "⚠️ CRITIQUE"; "✓ OK")</f>
        <v/>
      </c>
    </row>
    <row r="133">
      <c r="A133" s="28" t="inlineStr">
        <is>
          <t>Margarines</t>
        </is>
      </c>
      <c r="B133" s="28" t="inlineStr">
        <is>
          <t>Kg</t>
        </is>
      </c>
      <c r="C133" s="21" t="n">
        <v>0</v>
      </c>
      <c r="D133" s="21" t="n">
        <v>0</v>
      </c>
      <c r="E133" s="21" t="n">
        <v>0</v>
      </c>
      <c r="F133" s="21">
        <f>C133+D133-E133</f>
        <v/>
      </c>
      <c r="G133">
        <f>SI(OU(F133&lt;5; F133&lt;C133*0,1); "⚠️ CRITIQUE"; "✓ OK")</f>
        <v/>
      </c>
    </row>
    <row r="134">
      <c r="A134" s="28" t="inlineStr">
        <is>
          <t>Graisses de friture</t>
        </is>
      </c>
      <c r="B134" s="28" t="inlineStr">
        <is>
          <t>Litre</t>
        </is>
      </c>
      <c r="C134" s="21" t="n">
        <v>0</v>
      </c>
      <c r="D134" s="21" t="n">
        <v>0</v>
      </c>
      <c r="E134" s="21" t="n">
        <v>0</v>
      </c>
      <c r="F134" s="21">
        <f>C134+D134-E134</f>
        <v/>
      </c>
      <c r="G134">
        <f>SI(OU(F134&lt;5; F134&lt;C134*0,1); "⚠️ CRITIQUE"; "✓ OK")</f>
        <v/>
      </c>
    </row>
    <row r="136">
      <c r="A136" s="27" t="inlineStr">
        <is>
          <t>PRODUITS DE NETTOYAGE</t>
        </is>
      </c>
    </row>
    <row r="137">
      <c r="A137" s="19" t="inlineStr">
        <is>
          <t>Sous-catégorie</t>
        </is>
      </c>
      <c r="B137" s="19" t="inlineStr">
        <is>
          <t>Unité</t>
        </is>
      </c>
      <c r="C137" s="19" t="inlineStr">
        <is>
          <t>Stock initial</t>
        </is>
      </c>
      <c r="D137" s="19" t="inlineStr">
        <is>
          <t>Entrées</t>
        </is>
      </c>
      <c r="E137" s="19" t="inlineStr">
        <is>
          <t>Sorties</t>
        </is>
      </c>
      <c r="F137" s="19" t="inlineStr">
        <is>
          <t>Stock final</t>
        </is>
      </c>
      <c r="G137" s="19" t="inlineStr">
        <is>
          <t>Alerte</t>
        </is>
      </c>
    </row>
    <row r="138">
      <c r="A138" s="28" t="inlineStr">
        <is>
          <t>Détergents</t>
        </is>
      </c>
      <c r="B138" s="28" t="inlineStr">
        <is>
          <t>Bouteille</t>
        </is>
      </c>
      <c r="C138" s="21" t="n">
        <v>0</v>
      </c>
      <c r="D138" s="21" t="n">
        <v>0</v>
      </c>
      <c r="E138" s="21" t="n">
        <v>0</v>
      </c>
      <c r="F138" s="21">
        <f>C138+D138-E138</f>
        <v/>
      </c>
      <c r="G138">
        <f>SI(OU(F138&lt;5; F138&lt;C138*0,1); "⚠️ CRITIQUE"; "✓ OK")</f>
        <v/>
      </c>
    </row>
    <row r="139">
      <c r="A139" s="28" t="inlineStr">
        <is>
          <t>Désinfectants</t>
        </is>
      </c>
      <c r="B139" s="28" t="inlineStr">
        <is>
          <t>Bouteille</t>
        </is>
      </c>
      <c r="C139" s="21" t="n">
        <v>0</v>
      </c>
      <c r="D139" s="21" t="n">
        <v>0</v>
      </c>
      <c r="E139" s="21" t="n">
        <v>0</v>
      </c>
      <c r="F139" s="21">
        <f>C139+D139-E139</f>
        <v/>
      </c>
      <c r="G139">
        <f>SI(OU(F139&lt;5; F139&lt;C139*0,1); "⚠️ CRITIQUE"; "✓ OK")</f>
        <v/>
      </c>
    </row>
    <row r="140">
      <c r="A140" s="28" t="inlineStr">
        <is>
          <t>Produits vaisselle</t>
        </is>
      </c>
      <c r="B140" s="28" t="inlineStr">
        <is>
          <t>Bouteille</t>
        </is>
      </c>
      <c r="C140" s="21" t="n">
        <v>0</v>
      </c>
      <c r="D140" s="21" t="n">
        <v>0</v>
      </c>
      <c r="E140" s="21" t="n">
        <v>0</v>
      </c>
      <c r="F140" s="21">
        <f>C140+D140-E140</f>
        <v/>
      </c>
      <c r="G140">
        <f>SI(OU(F140&lt;5; F140&lt;C140*0,1); "⚠️ CRITIQUE"; "✓ OK")</f>
        <v/>
      </c>
    </row>
    <row r="141">
      <c r="A141" s="28" t="inlineStr">
        <is>
          <t>Produits sol</t>
        </is>
      </c>
      <c r="B141" s="28" t="inlineStr">
        <is>
          <t>Bouteille</t>
        </is>
      </c>
      <c r="C141" s="21" t="n">
        <v>0</v>
      </c>
      <c r="D141" s="21" t="n">
        <v>0</v>
      </c>
      <c r="E141" s="21" t="n">
        <v>0</v>
      </c>
      <c r="F141" s="21">
        <f>C141+D141-E141</f>
        <v/>
      </c>
      <c r="G141">
        <f>SI(OU(F141&lt;5; F141&lt;C141*0,1); "⚠️ CRITIQUE"; "✓ OK")</f>
        <v/>
      </c>
    </row>
    <row r="142">
      <c r="A142" s="28" t="inlineStr">
        <is>
          <t>Éponges, gants</t>
        </is>
      </c>
      <c r="B142" s="28" t="inlineStr">
        <is>
          <t>Lot</t>
        </is>
      </c>
      <c r="C142" s="21" t="n">
        <v>0</v>
      </c>
      <c r="D142" s="21" t="n">
        <v>0</v>
      </c>
      <c r="E142" s="21" t="n">
        <v>0</v>
      </c>
      <c r="F142" s="21">
        <f>C142+D142-E142</f>
        <v/>
      </c>
      <c r="G142">
        <f>SI(OU(F142&lt;5; F142&lt;C142*0,1); "⚠️ CRITIQUE"; "✓ OK")</f>
        <v/>
      </c>
    </row>
    <row r="144">
      <c r="A144" s="27" t="inlineStr">
        <is>
          <t>EMBALLAGES CUISINE</t>
        </is>
      </c>
    </row>
    <row r="145">
      <c r="A145" s="19" t="inlineStr">
        <is>
          <t>Sous-catégorie</t>
        </is>
      </c>
      <c r="B145" s="19" t="inlineStr">
        <is>
          <t>Unité</t>
        </is>
      </c>
      <c r="C145" s="19" t="inlineStr">
        <is>
          <t>Stock initial</t>
        </is>
      </c>
      <c r="D145" s="19" t="inlineStr">
        <is>
          <t>Entrées</t>
        </is>
      </c>
      <c r="E145" s="19" t="inlineStr">
        <is>
          <t>Sorties</t>
        </is>
      </c>
      <c r="F145" s="19" t="inlineStr">
        <is>
          <t>Stock final</t>
        </is>
      </c>
      <c r="G145" s="19" t="inlineStr">
        <is>
          <t>Alerte</t>
        </is>
      </c>
    </row>
    <row r="146">
      <c r="A146" s="28" t="inlineStr">
        <is>
          <t>Barquettes</t>
        </is>
      </c>
      <c r="B146" s="28" t="inlineStr">
        <is>
          <t>Lot</t>
        </is>
      </c>
      <c r="C146" s="21" t="n">
        <v>0</v>
      </c>
      <c r="D146" s="21" t="n">
        <v>0</v>
      </c>
      <c r="E146" s="21" t="n">
        <v>0</v>
      </c>
      <c r="F146" s="21">
        <f>C146+D146-E146</f>
        <v/>
      </c>
      <c r="G146">
        <f>SI(OU(F146&lt;5; F146&lt;C146*0,1); "⚠️ CRITIQUE"; "✓ OK")</f>
        <v/>
      </c>
    </row>
    <row r="147">
      <c r="A147" s="28" t="inlineStr">
        <is>
          <t>Boîtes</t>
        </is>
      </c>
      <c r="B147" s="28" t="inlineStr">
        <is>
          <t>Lot</t>
        </is>
      </c>
      <c r="C147" s="21" t="n">
        <v>0</v>
      </c>
      <c r="D147" s="21" t="n">
        <v>0</v>
      </c>
      <c r="E147" s="21" t="n">
        <v>0</v>
      </c>
      <c r="F147" s="21">
        <f>C147+D147-E147</f>
        <v/>
      </c>
      <c r="G147">
        <f>SI(OU(F147&lt;5; F147&lt;C147*0,1); "⚠️ CRITIQUE"; "✓ OK")</f>
        <v/>
      </c>
    </row>
    <row r="148">
      <c r="A148" s="28" t="inlineStr">
        <is>
          <t>Films alimentaires</t>
        </is>
      </c>
      <c r="B148" s="28" t="inlineStr">
        <is>
          <t>Rouleau</t>
        </is>
      </c>
      <c r="C148" s="21" t="n">
        <v>0</v>
      </c>
      <c r="D148" s="21" t="n">
        <v>0</v>
      </c>
      <c r="E148" s="21" t="n">
        <v>0</v>
      </c>
      <c r="F148" s="21">
        <f>C148+D148-E148</f>
        <v/>
      </c>
      <c r="G148">
        <f>SI(OU(F148&lt;5; F148&lt;C148*0,1); "⚠️ CRITIQUE"; "✓ OK")</f>
        <v/>
      </c>
    </row>
    <row r="149">
      <c r="A149" s="28" t="inlineStr">
        <is>
          <t>Sacs kraft</t>
        </is>
      </c>
      <c r="B149" s="28" t="inlineStr">
        <is>
          <t>Lot</t>
        </is>
      </c>
      <c r="C149" s="21" t="n">
        <v>0</v>
      </c>
      <c r="D149" s="21" t="n">
        <v>0</v>
      </c>
      <c r="E149" s="21" t="n">
        <v>0</v>
      </c>
      <c r="F149" s="21">
        <f>C149+D149-E149</f>
        <v/>
      </c>
      <c r="G149">
        <f>SI(OU(F149&lt;5; F149&lt;C149*0,1); "⚠️ CRITIQUE"; "✓ OK")</f>
        <v/>
      </c>
    </row>
    <row r="150">
      <c r="A150" s="28" t="inlineStr">
        <is>
          <t>Bouteille de Gaz</t>
        </is>
      </c>
      <c r="B150" s="28" t="inlineStr">
        <is>
          <t>Pièce</t>
        </is>
      </c>
      <c r="C150" s="21" t="n">
        <v>0</v>
      </c>
      <c r="D150" s="21" t="n">
        <v>0</v>
      </c>
      <c r="E150" s="21" t="n">
        <v>0</v>
      </c>
      <c r="F150" s="21">
        <f>C150+D150-E150</f>
        <v/>
      </c>
      <c r="G150">
        <f>SI(OU(F150&lt;5; F150&lt;C150*0,1); "⚠️ CRITIQUE"; "✓ OK")</f>
        <v/>
      </c>
    </row>
    <row r="151">
      <c r="A151" s="28" t="inlineStr">
        <is>
          <t>Couverts jetables</t>
        </is>
      </c>
      <c r="B151" s="28" t="inlineStr">
        <is>
          <t>Lot</t>
        </is>
      </c>
      <c r="C151" s="21" t="n">
        <v>0</v>
      </c>
      <c r="D151" s="21" t="n">
        <v>0</v>
      </c>
      <c r="E151" s="21" t="n">
        <v>0</v>
      </c>
      <c r="F151" s="21">
        <f>C151+D151-E151</f>
        <v/>
      </c>
      <c r="G151">
        <f>SI(OU(F151&lt;5; F151&lt;C151*0,1); "⚠️ CRITIQUE"; "✓ OK")</f>
        <v/>
      </c>
    </row>
    <row r="152">
      <c r="A152" s="28" t="inlineStr">
        <is>
          <t>Charbon</t>
        </is>
      </c>
      <c r="B152" s="28" t="inlineStr">
        <is>
          <t>Sac</t>
        </is>
      </c>
      <c r="C152" s="21" t="n">
        <v>0</v>
      </c>
      <c r="D152" s="21" t="n">
        <v>0</v>
      </c>
      <c r="E152" s="21" t="n">
        <v>0</v>
      </c>
      <c r="F152" s="21">
        <f>C152+D152-E152</f>
        <v/>
      </c>
      <c r="G152">
        <f>SI(OU(F152&lt;5; F152&lt;C152*0,1); "⚠️ CRITIQUE"; "✓ OK")</f>
        <v/>
      </c>
    </row>
  </sheetData>
  <mergeCells count="1">
    <mergeCell ref="A1:G1"/>
  </mergeCells>
  <conditionalFormatting sqref="G6:G200">
    <cfRule type="expression" priority="1" dxfId="1">
      <formula>ISNUMBER(SEARCH("CRITIQUE", G6))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F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0" customWidth="1" min="4" max="4"/>
    <col width="15" customWidth="1" min="5" max="5"/>
    <col width="15" customWidth="1" min="6" max="6"/>
  </cols>
  <sheetData>
    <row r="3">
      <c r="A3" s="6" t="inlineStr">
        <is>
          <t>Recette</t>
        </is>
      </c>
      <c r="B3" s="6" t="inlineStr">
        <is>
          <t>Matière Première</t>
        </is>
      </c>
      <c r="C3" s="6" t="inlineStr">
        <is>
          <t>Quantité Requise</t>
        </is>
      </c>
      <c r="D3" s="6" t="inlineStr">
        <is>
          <t>Unité</t>
        </is>
      </c>
      <c r="E3" s="6" t="inlineStr">
        <is>
          <t>Coût Unitaire MP</t>
        </is>
      </c>
      <c r="F3" s="6" t="inlineStr">
        <is>
          <t>Coût Ligne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0" customWidth="1" min="3" max="3"/>
    <col width="15" customWidth="1" min="4" max="4"/>
    <col width="15" customWidth="1" min="5" max="5"/>
    <col width="10" customWidth="1" min="6" max="6"/>
    <col width="12" customWidth="1" min="7" max="7"/>
    <col width="15" customWidth="1" min="8" max="8"/>
    <col width="15" customWidth="1" min="9" max="9"/>
  </cols>
  <sheetData>
    <row r="1">
      <c r="A1" s="1" t="inlineStr">
        <is>
          <t>📝 FICHE INVENTAIRE PÉRIODIQUE</t>
        </is>
      </c>
    </row>
    <row r="2">
      <c r="A2" s="5" t="inlineStr">
        <is>
          <t>Date :</t>
        </is>
      </c>
      <c r="B2" s="9" t="n">
        <v>46168</v>
      </c>
    </row>
    <row r="4">
      <c r="A4" s="6" t="inlineStr">
        <is>
          <t>Matière</t>
        </is>
      </c>
      <c r="B4" s="6" t="inlineStr">
        <is>
          <t>Catégorie</t>
        </is>
      </c>
      <c r="C4" s="6" t="inlineStr">
        <is>
          <t>Unité</t>
        </is>
      </c>
      <c r="D4" s="6" t="inlineStr">
        <is>
          <t>Stock Théorique</t>
        </is>
      </c>
      <c r="E4" s="6" t="inlineStr">
        <is>
          <t>Stock Réel</t>
        </is>
      </c>
      <c r="F4" s="6" t="inlineStr">
        <is>
          <t>Écart</t>
        </is>
      </c>
      <c r="G4" s="6" t="inlineStr">
        <is>
          <t>Type Écart</t>
        </is>
      </c>
      <c r="H4" s="6" t="inlineStr">
        <is>
          <t>Coût Unitaire</t>
        </is>
      </c>
      <c r="I4" s="6" t="inlineStr">
        <is>
          <t>Valeur Écart</t>
        </is>
      </c>
    </row>
    <row r="5">
      <c r="B5" t="inlineStr">
        <is>
          <t>À sélectionner</t>
        </is>
      </c>
      <c r="D5" t="n">
        <v>0</v>
      </c>
      <c r="E5" t="n">
        <v>0</v>
      </c>
      <c r="F5">
        <f>E5-D5</f>
        <v/>
      </c>
      <c r="G5">
        <f>SI(F5=0; "OK"; SI(F5&gt;0; "Excédent"; "Perte"))</f>
        <v/>
      </c>
      <c r="H5" t="n">
        <v>0</v>
      </c>
      <c r="I5">
        <f>F5*H5</f>
        <v/>
      </c>
    </row>
    <row r="6">
      <c r="B6" t="inlineStr">
        <is>
          <t>À sélectionner</t>
        </is>
      </c>
      <c r="D6" t="n">
        <v>0</v>
      </c>
      <c r="E6" t="n">
        <v>0</v>
      </c>
      <c r="F6">
        <f>E6-D6</f>
        <v/>
      </c>
      <c r="G6">
        <f>SI(F6=0; "OK"; SI(F6&gt;0; "Excédent"; "Perte"))</f>
        <v/>
      </c>
      <c r="H6" t="n">
        <v>0</v>
      </c>
      <c r="I6">
        <f>F6*H6</f>
        <v/>
      </c>
    </row>
    <row r="7">
      <c r="B7" t="inlineStr">
        <is>
          <t>À sélectionner</t>
        </is>
      </c>
      <c r="D7" t="n">
        <v>0</v>
      </c>
      <c r="E7" t="n">
        <v>0</v>
      </c>
      <c r="F7">
        <f>E7-D7</f>
        <v/>
      </c>
      <c r="G7">
        <f>SI(F7=0; "OK"; SI(F7&gt;0; "Excédent"; "Perte"))</f>
        <v/>
      </c>
      <c r="H7" t="n">
        <v>0</v>
      </c>
      <c r="I7">
        <f>F7*H7</f>
        <v/>
      </c>
    </row>
    <row r="8">
      <c r="B8" t="inlineStr">
        <is>
          <t>À sélectionner</t>
        </is>
      </c>
      <c r="D8" t="n">
        <v>0</v>
      </c>
      <c r="E8" t="n">
        <v>0</v>
      </c>
      <c r="F8">
        <f>E8-D8</f>
        <v/>
      </c>
      <c r="G8">
        <f>SI(F8=0; "OK"; SI(F8&gt;0; "Excédent"; "Perte"))</f>
        <v/>
      </c>
      <c r="H8" t="n">
        <v>0</v>
      </c>
      <c r="I8">
        <f>F8*H8</f>
        <v/>
      </c>
    </row>
    <row r="9">
      <c r="B9" t="inlineStr">
        <is>
          <t>À sélectionner</t>
        </is>
      </c>
      <c r="D9" t="n">
        <v>0</v>
      </c>
      <c r="E9" t="n">
        <v>0</v>
      </c>
      <c r="F9">
        <f>E9-D9</f>
        <v/>
      </c>
      <c r="G9">
        <f>SI(F9=0; "OK"; SI(F9&gt;0; "Excédent"; "Perte"))</f>
        <v/>
      </c>
      <c r="H9" t="n">
        <v>0</v>
      </c>
      <c r="I9">
        <f>F9*H9</f>
        <v/>
      </c>
    </row>
    <row r="10">
      <c r="B10" t="inlineStr">
        <is>
          <t>À sélectionner</t>
        </is>
      </c>
      <c r="D10" t="n">
        <v>0</v>
      </c>
      <c r="E10" t="n">
        <v>0</v>
      </c>
      <c r="F10">
        <f>E10-D10</f>
        <v/>
      </c>
      <c r="G10">
        <f>SI(F10=0; "OK"; SI(F10&gt;0; "Excédent"; "Perte"))</f>
        <v/>
      </c>
      <c r="H10" t="n">
        <v>0</v>
      </c>
      <c r="I10">
        <f>F10*H10</f>
        <v/>
      </c>
    </row>
    <row r="11">
      <c r="B11" t="inlineStr">
        <is>
          <t>À sélectionner</t>
        </is>
      </c>
      <c r="D11" t="n">
        <v>0</v>
      </c>
      <c r="E11" t="n">
        <v>0</v>
      </c>
      <c r="F11">
        <f>E11-D11</f>
        <v/>
      </c>
      <c r="G11">
        <f>SI(F11=0; "OK"; SI(F11&gt;0; "Excédent"; "Perte"))</f>
        <v/>
      </c>
      <c r="H11" t="n">
        <v>0</v>
      </c>
      <c r="I11">
        <f>F11*H11</f>
        <v/>
      </c>
    </row>
    <row r="12">
      <c r="B12" t="inlineStr">
        <is>
          <t>À sélectionner</t>
        </is>
      </c>
      <c r="D12" t="n">
        <v>0</v>
      </c>
      <c r="E12" t="n">
        <v>0</v>
      </c>
      <c r="F12">
        <f>E12-D12</f>
        <v/>
      </c>
      <c r="G12">
        <f>SI(F12=0; "OK"; SI(F12&gt;0; "Excédent"; "Perte"))</f>
        <v/>
      </c>
      <c r="H12" t="n">
        <v>0</v>
      </c>
      <c r="I12">
        <f>F12*H12</f>
        <v/>
      </c>
    </row>
    <row r="13">
      <c r="B13" t="inlineStr">
        <is>
          <t>À sélectionner</t>
        </is>
      </c>
      <c r="D13" t="n">
        <v>0</v>
      </c>
      <c r="E13" t="n">
        <v>0</v>
      </c>
      <c r="F13">
        <f>E13-D13</f>
        <v/>
      </c>
      <c r="G13">
        <f>SI(F13=0; "OK"; SI(F13&gt;0; "Excédent"; "Perte"))</f>
        <v/>
      </c>
      <c r="H13" t="n">
        <v>0</v>
      </c>
      <c r="I13">
        <f>F13*H13</f>
        <v/>
      </c>
    </row>
    <row r="14">
      <c r="B14" t="inlineStr">
        <is>
          <t>À sélectionner</t>
        </is>
      </c>
      <c r="D14" t="n">
        <v>0</v>
      </c>
      <c r="E14" t="n">
        <v>0</v>
      </c>
      <c r="F14">
        <f>E14-D14</f>
        <v/>
      </c>
      <c r="G14">
        <f>SI(F14=0; "OK"; SI(F14&gt;0; "Excédent"; "Perte"))</f>
        <v/>
      </c>
      <c r="H14" t="n">
        <v>0</v>
      </c>
      <c r="I14">
        <f>F14*H14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G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0" customWidth="1" min="7" max="7"/>
  </cols>
  <sheetData>
    <row r="3">
      <c r="A3" s="6" t="inlineStr">
        <is>
          <t>ID</t>
        </is>
      </c>
      <c r="B3" s="6" t="inlineStr">
        <is>
          <t>Nom de la Recette</t>
        </is>
      </c>
      <c r="C3" s="6" t="inlineStr">
        <is>
          <t>Catégorie</t>
        </is>
      </c>
      <c r="D3" s="6" t="inlineStr">
        <is>
          <t>Coût Matière Total</t>
        </is>
      </c>
      <c r="E3" s="6" t="inlineStr">
        <is>
          <t>Prix Vente Conseillé</t>
        </is>
      </c>
      <c r="F3" s="6" t="inlineStr">
        <is>
          <t>Marge Brute</t>
        </is>
      </c>
      <c r="G3" s="6" t="inlineStr">
        <is>
          <t>% Marge</t>
        </is>
      </c>
    </row>
    <row r="4">
      <c r="A4" t="n">
        <v>1</v>
      </c>
      <c r="B4" t="inlineStr">
        <is>
          <t>Chicken Burger</t>
        </is>
      </c>
      <c r="C4" t="inlineStr">
        <is>
          <t>Burger</t>
        </is>
      </c>
      <c r="D4" t="n">
        <v>0</v>
      </c>
      <c r="E4" t="n">
        <v>3500</v>
      </c>
      <c r="F4">
        <f>E4-D4</f>
        <v/>
      </c>
      <c r="G4">
        <f>SI(E4&gt;0; F4/E4; 0)</f>
        <v/>
      </c>
    </row>
    <row r="5">
      <c r="A5" t="n">
        <v>2</v>
      </c>
      <c r="B5" t="inlineStr">
        <is>
          <t>Burger Normal</t>
        </is>
      </c>
      <c r="C5" t="inlineStr">
        <is>
          <t>Burger</t>
        </is>
      </c>
      <c r="D5" t="n">
        <v>0</v>
      </c>
      <c r="E5" t="n">
        <v>3500</v>
      </c>
      <c r="F5">
        <f>E5-D5</f>
        <v/>
      </c>
      <c r="G5">
        <f>SI(E5&gt;0; F5/E5; 0)</f>
        <v/>
      </c>
    </row>
    <row r="6">
      <c r="A6" t="n">
        <v>3</v>
      </c>
      <c r="B6" t="inlineStr">
        <is>
          <t>Brochette de porc</t>
        </is>
      </c>
      <c r="C6" t="inlineStr">
        <is>
          <t>Brochette</t>
        </is>
      </c>
      <c r="D6" t="n">
        <v>0</v>
      </c>
      <c r="E6" t="n">
        <v>3000</v>
      </c>
      <c r="F6">
        <f>E6-D6</f>
        <v/>
      </c>
      <c r="G6">
        <f>SI(E6&gt;0; F6/E6; 0)</f>
        <v/>
      </c>
    </row>
    <row r="7">
      <c r="A7" t="n">
        <v>4</v>
      </c>
      <c r="B7" t="inlineStr">
        <is>
          <t>Ndole Royal (Viande/Poisson/Crevette)</t>
        </is>
      </c>
      <c r="C7" t="inlineStr">
        <is>
          <t>Plat Principal</t>
        </is>
      </c>
      <c r="D7" t="n">
        <v>0</v>
      </c>
      <c r="E7" t="n">
        <v>3500</v>
      </c>
      <c r="F7">
        <f>E7-D7</f>
        <v/>
      </c>
      <c r="G7">
        <f>SI(E7&gt;0; F7/E7; 0)</f>
        <v/>
      </c>
    </row>
    <row r="8">
      <c r="A8" t="n">
        <v>5</v>
      </c>
      <c r="B8" t="inlineStr">
        <is>
          <t>Portion Ndole</t>
        </is>
      </c>
      <c r="C8" t="inlineStr">
        <is>
          <t>Plat Principal</t>
        </is>
      </c>
      <c r="D8" t="n">
        <v>0</v>
      </c>
      <c r="E8" t="n">
        <v>1000</v>
      </c>
      <c r="F8">
        <f>E8-D8</f>
        <v/>
      </c>
      <c r="G8">
        <f>SI(E8&gt;0; F8/E8; 0)</f>
        <v/>
      </c>
    </row>
    <row r="9">
      <c r="A9" t="n">
        <v>6</v>
      </c>
      <c r="B9" t="inlineStr">
        <is>
          <t>Free Rice Crevette</t>
        </is>
      </c>
      <c r="C9" t="inlineStr">
        <is>
          <t>Riz Accompagné</t>
        </is>
      </c>
      <c r="D9" t="n">
        <v>0</v>
      </c>
      <c r="E9" t="n">
        <v>4000</v>
      </c>
      <c r="F9">
        <f>E9-D9</f>
        <v/>
      </c>
      <c r="G9">
        <f>SI(E9&gt;0; F9/E9; 0)</f>
        <v/>
      </c>
    </row>
    <row r="10">
      <c r="A10" t="n">
        <v>7</v>
      </c>
      <c r="B10" t="inlineStr">
        <is>
          <t>Free Rice Poulet</t>
        </is>
      </c>
      <c r="C10" t="inlineStr">
        <is>
          <t>Riz Accompagné</t>
        </is>
      </c>
      <c r="D10" t="n">
        <v>0</v>
      </c>
      <c r="E10" t="n">
        <v>3500</v>
      </c>
      <c r="F10">
        <f>E10-D10</f>
        <v/>
      </c>
      <c r="G10">
        <f>SI(E10&gt;0; F10/E10; 0)</f>
        <v/>
      </c>
    </row>
    <row r="11">
      <c r="A11" t="n">
        <v>8</v>
      </c>
      <c r="B11" t="inlineStr">
        <is>
          <t>Poulet Pané (1/4)</t>
        </is>
      </c>
      <c r="C11" t="inlineStr">
        <is>
          <t>Poulet</t>
        </is>
      </c>
      <c r="D11" t="n">
        <v>0</v>
      </c>
      <c r="E11" t="n">
        <v>3500</v>
      </c>
      <c r="F11">
        <f>E11-D11</f>
        <v/>
      </c>
      <c r="G11">
        <f>SI(E11&gt;0; F11/E11; 0)</f>
        <v/>
      </c>
    </row>
    <row r="12">
      <c r="A12" t="n">
        <v>9</v>
      </c>
      <c r="B12" t="inlineStr">
        <is>
          <t>Poulet Braisé (1/4)</t>
        </is>
      </c>
      <c r="C12" t="inlineStr">
        <is>
          <t>Poulet</t>
        </is>
      </c>
      <c r="D12" t="n">
        <v>0</v>
      </c>
      <c r="E12" t="n">
        <v>3000</v>
      </c>
      <c r="F12">
        <f>E12-D12</f>
        <v/>
      </c>
      <c r="G12">
        <f>SI(E12&gt;0; F12/E12; 0)</f>
        <v/>
      </c>
    </row>
    <row r="13">
      <c r="A13" t="n">
        <v>10</v>
      </c>
      <c r="B13" t="inlineStr">
        <is>
          <t>Porc Moutarde</t>
        </is>
      </c>
      <c r="C13" t="inlineStr">
        <is>
          <t>Porc</t>
        </is>
      </c>
      <c r="D13" t="n">
        <v>0</v>
      </c>
      <c r="E13" t="n">
        <v>3500</v>
      </c>
      <c r="F13">
        <f>E13-D13</f>
        <v/>
      </c>
      <c r="G13">
        <f>SI(E13&gt;0; F13/E13;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25" customWidth="1" min="4" max="4"/>
  </cols>
  <sheetData>
    <row r="1">
      <c r="A1" s="18" t="inlineStr">
        <is>
          <t>GESTION DES PLATS</t>
        </is>
      </c>
    </row>
    <row r="3">
      <c r="A3" s="29" t="inlineStr">
        <is>
          <t>Liste des Plats</t>
        </is>
      </c>
    </row>
    <row r="5">
      <c r="A5" s="19" t="inlineStr">
        <is>
          <t>Plat</t>
        </is>
      </c>
      <c r="B5" s="19" t="inlineStr">
        <is>
          <t>Variante</t>
        </is>
      </c>
      <c r="C5" s="19" t="inlineStr">
        <is>
          <t>Prix (FCFA)</t>
        </is>
      </c>
      <c r="D5" s="19" t="inlineStr">
        <is>
          <t>Observation</t>
        </is>
      </c>
    </row>
    <row r="6">
      <c r="A6" s="28" t="inlineStr">
        <is>
          <t>Burger</t>
        </is>
      </c>
      <c r="B6" s="28" t="inlineStr">
        <is>
          <t>Chicken Burger</t>
        </is>
      </c>
      <c r="C6" s="28" t="n">
        <v>3500</v>
      </c>
      <c r="D6" s="28" t="inlineStr"/>
    </row>
    <row r="7">
      <c r="A7" s="28" t="inlineStr">
        <is>
          <t>Burger</t>
        </is>
      </c>
      <c r="B7" s="28" t="inlineStr">
        <is>
          <t>Burger Normal</t>
        </is>
      </c>
      <c r="C7" s="28" t="n">
        <v>3500</v>
      </c>
      <c r="D7" s="28" t="inlineStr"/>
    </row>
    <row r="8">
      <c r="A8" s="28" t="inlineStr">
        <is>
          <t>Brochette de porc</t>
        </is>
      </c>
      <c r="B8" s="28" t="inlineStr"/>
      <c r="C8" s="28" t="n">
        <v>3000</v>
      </c>
      <c r="D8" s="28" t="inlineStr">
        <is>
          <t>Trois Brochettes</t>
        </is>
      </c>
    </row>
    <row r="9">
      <c r="A9" s="28" t="inlineStr">
        <is>
          <t>Ndole Royal</t>
        </is>
      </c>
      <c r="B9" s="28" t="inlineStr">
        <is>
          <t>Viande</t>
        </is>
      </c>
      <c r="C9" s="28" t="n">
        <v>3500</v>
      </c>
      <c r="D9" s="28" t="inlineStr"/>
    </row>
    <row r="10">
      <c r="A10" s="28" t="inlineStr">
        <is>
          <t>Ndole Royal</t>
        </is>
      </c>
      <c r="B10" s="28" t="inlineStr">
        <is>
          <t>Poisson fumé</t>
        </is>
      </c>
      <c r="C10" s="28" t="n">
        <v>3500</v>
      </c>
      <c r="D10" s="28" t="inlineStr"/>
    </row>
    <row r="11">
      <c r="A11" s="28" t="inlineStr">
        <is>
          <t>Ndole Royal</t>
        </is>
      </c>
      <c r="B11" s="28" t="inlineStr">
        <is>
          <t>Crevette</t>
        </is>
      </c>
      <c r="C11" s="28" t="n">
        <v>3500</v>
      </c>
      <c r="D11" s="28" t="inlineStr"/>
    </row>
    <row r="12">
      <c r="A12" s="28" t="inlineStr">
        <is>
          <t>Ndole Royal</t>
        </is>
      </c>
      <c r="B12" s="28" t="inlineStr">
        <is>
          <t>Portion</t>
        </is>
      </c>
      <c r="C12" s="28" t="n">
        <v>1000</v>
      </c>
      <c r="D12" s="28" t="inlineStr"/>
    </row>
    <row r="13">
      <c r="A13" s="28" t="inlineStr">
        <is>
          <t>Free Rice</t>
        </is>
      </c>
      <c r="B13" s="28" t="inlineStr">
        <is>
          <t>Crevette</t>
        </is>
      </c>
      <c r="C13" s="28" t="n">
        <v>4000</v>
      </c>
      <c r="D13" s="28" t="inlineStr"/>
    </row>
    <row r="14">
      <c r="A14" s="28" t="inlineStr">
        <is>
          <t>Free Rice</t>
        </is>
      </c>
      <c r="B14" s="28" t="inlineStr">
        <is>
          <t>Poulet</t>
        </is>
      </c>
      <c r="C14" s="28" t="n">
        <v>3500</v>
      </c>
      <c r="D14" s="28" t="inlineStr"/>
    </row>
    <row r="15">
      <c r="A15" s="28" t="inlineStr">
        <is>
          <t>Poulet</t>
        </is>
      </c>
      <c r="B15" s="28" t="inlineStr">
        <is>
          <t>Pané</t>
        </is>
      </c>
      <c r="C15" s="28" t="n">
        <v>3500</v>
      </c>
      <c r="D15" s="28" t="inlineStr">
        <is>
          <t>un quart</t>
        </is>
      </c>
    </row>
    <row r="16">
      <c r="A16" s="28" t="inlineStr">
        <is>
          <t>Poulet</t>
        </is>
      </c>
      <c r="B16" s="28" t="inlineStr">
        <is>
          <t>Braisé</t>
        </is>
      </c>
      <c r="C16" s="28" t="n">
        <v>3000</v>
      </c>
      <c r="D16" s="28" t="inlineStr">
        <is>
          <t>un quart</t>
        </is>
      </c>
    </row>
    <row r="17">
      <c r="A17" s="28" t="inlineStr">
        <is>
          <t>Porc</t>
        </is>
      </c>
      <c r="B17" s="28" t="inlineStr">
        <is>
          <t>Moutarde</t>
        </is>
      </c>
      <c r="C17" s="28" t="n">
        <v>3500</v>
      </c>
      <c r="D17" s="28" t="inlineStr"/>
    </row>
    <row r="18">
      <c r="A18" s="28" t="inlineStr">
        <is>
          <t>Porc</t>
        </is>
      </c>
      <c r="B18" s="28" t="inlineStr">
        <is>
          <t>Braisé</t>
        </is>
      </c>
      <c r="C18" s="28" t="n">
        <v>3000</v>
      </c>
      <c r="D18" s="28" t="inlineStr"/>
    </row>
    <row r="19">
      <c r="A19" s="28" t="inlineStr">
        <is>
          <t>Gambas</t>
        </is>
      </c>
      <c r="B19" s="28" t="inlineStr">
        <is>
          <t>À l'ail</t>
        </is>
      </c>
      <c r="C19" s="28" t="n">
        <v>6500</v>
      </c>
      <c r="D19" s="28" t="inlineStr">
        <is>
          <t>6500/10000</t>
        </is>
      </c>
    </row>
    <row r="20">
      <c r="A20" s="28" t="inlineStr">
        <is>
          <t>Gambas</t>
        </is>
      </c>
      <c r="B20" s="28" t="inlineStr">
        <is>
          <t>Braisé</t>
        </is>
      </c>
      <c r="C20" s="28" t="n">
        <v>6500</v>
      </c>
      <c r="D20" s="28" t="inlineStr">
        <is>
          <t>6500/10000</t>
        </is>
      </c>
    </row>
    <row r="21">
      <c r="A21" s="28" t="inlineStr">
        <is>
          <t>Saucisse</t>
        </is>
      </c>
      <c r="B21" s="28" t="inlineStr"/>
      <c r="C21" s="28" t="n">
        <v>3500</v>
      </c>
      <c r="D21" s="28" t="inlineStr">
        <is>
          <t>x 2</t>
        </is>
      </c>
    </row>
    <row r="22">
      <c r="A22" s="28" t="inlineStr">
        <is>
          <t>Tacos</t>
        </is>
      </c>
      <c r="B22" s="28" t="inlineStr">
        <is>
          <t>Poulet</t>
        </is>
      </c>
      <c r="C22" s="28" t="n">
        <v>4000</v>
      </c>
      <c r="D22" s="28" t="inlineStr"/>
    </row>
    <row r="23">
      <c r="A23" s="28" t="inlineStr">
        <is>
          <t>Tacos</t>
        </is>
      </c>
      <c r="B23" s="28" t="inlineStr">
        <is>
          <t>Viande</t>
        </is>
      </c>
      <c r="C23" s="28" t="n">
        <v>3500</v>
      </c>
      <c r="D23" s="28" t="inlineStr"/>
    </row>
    <row r="24">
      <c r="A24" s="28" t="inlineStr">
        <is>
          <t>Pizza</t>
        </is>
      </c>
      <c r="B24" s="28" t="inlineStr">
        <is>
          <t>Seven - Solo</t>
        </is>
      </c>
      <c r="C24" s="28" t="n">
        <v>3500</v>
      </c>
      <c r="D24" s="28" t="inlineStr"/>
    </row>
    <row r="25">
      <c r="A25" s="28" t="inlineStr">
        <is>
          <t>Pizza</t>
        </is>
      </c>
      <c r="B25" s="28" t="inlineStr">
        <is>
          <t>Seven - Duo</t>
        </is>
      </c>
      <c r="C25" s="28" t="n">
        <v>7000</v>
      </c>
      <c r="D25" s="28" t="inlineStr"/>
    </row>
    <row r="26">
      <c r="A26" s="28" t="inlineStr">
        <is>
          <t>Pizza</t>
        </is>
      </c>
      <c r="B26" s="28" t="inlineStr">
        <is>
          <t>Seven - Familiale</t>
        </is>
      </c>
      <c r="C26" s="28" t="n">
        <v>13500</v>
      </c>
      <c r="D26" s="28" t="inlineStr"/>
    </row>
    <row r="27">
      <c r="A27" s="28" t="inlineStr">
        <is>
          <t>Pizza</t>
        </is>
      </c>
      <c r="B27" s="28" t="inlineStr">
        <is>
          <t>Spices Bonita - Solo</t>
        </is>
      </c>
      <c r="C27" s="28" t="n">
        <v>3000</v>
      </c>
      <c r="D27" s="28" t="inlineStr"/>
    </row>
    <row r="28">
      <c r="A28" s="28" t="inlineStr">
        <is>
          <t>Pizza</t>
        </is>
      </c>
      <c r="B28" s="28" t="inlineStr">
        <is>
          <t>Spices Bonita - Duo</t>
        </is>
      </c>
      <c r="C28" s="28" t="n">
        <v>6000</v>
      </c>
      <c r="D28" s="28" t="inlineStr"/>
    </row>
    <row r="29">
      <c r="A29" s="28" t="inlineStr">
        <is>
          <t>Pizza</t>
        </is>
      </c>
      <c r="B29" s="28" t="inlineStr">
        <is>
          <t>Spices Bonita - Familiale</t>
        </is>
      </c>
      <c r="C29" s="28" t="n">
        <v>12000</v>
      </c>
      <c r="D29" s="28" t="inlineStr"/>
    </row>
    <row r="30">
      <c r="A30" s="28" t="inlineStr">
        <is>
          <t>Pizza</t>
        </is>
      </c>
      <c r="B30" s="28" t="inlineStr">
        <is>
          <t>Bimbia Cheese - Solo</t>
        </is>
      </c>
      <c r="C30" s="28" t="n">
        <v>2500</v>
      </c>
      <c r="D30" s="28" t="inlineStr"/>
    </row>
    <row r="31">
      <c r="A31" s="28" t="inlineStr">
        <is>
          <t>Pizza</t>
        </is>
      </c>
      <c r="B31" s="28" t="inlineStr">
        <is>
          <t>Bimbia Cheese - Duo</t>
        </is>
      </c>
      <c r="C31" s="28" t="n">
        <v>4500</v>
      </c>
      <c r="D31" s="28" t="inlineStr"/>
    </row>
    <row r="32">
      <c r="A32" s="28" t="inlineStr">
        <is>
          <t>Pizza</t>
        </is>
      </c>
      <c r="B32" s="28" t="inlineStr">
        <is>
          <t>Bimbia Cheese - Familiale</t>
        </is>
      </c>
      <c r="C32" s="28" t="n">
        <v>10000</v>
      </c>
      <c r="D32" s="28" t="inlineStr"/>
    </row>
    <row r="33">
      <c r="A33" s="28" t="inlineStr">
        <is>
          <t>Pizza</t>
        </is>
      </c>
      <c r="B33" s="28" t="inlineStr">
        <is>
          <t>Végétarienne - Solo</t>
        </is>
      </c>
      <c r="C33" s="28" t="n">
        <v>2500</v>
      </c>
      <c r="D33" s="28" t="inlineStr"/>
    </row>
    <row r="34">
      <c r="A34" s="28" t="inlineStr">
        <is>
          <t>Pizza</t>
        </is>
      </c>
      <c r="B34" s="28" t="inlineStr">
        <is>
          <t>Végétarienne - Duo</t>
        </is>
      </c>
      <c r="C34" s="28" t="n">
        <v>5000</v>
      </c>
      <c r="D34" s="28" t="inlineStr"/>
    </row>
    <row r="35">
      <c r="A35" s="28" t="inlineStr">
        <is>
          <t>Pizza</t>
        </is>
      </c>
      <c r="B35" s="28" t="inlineStr">
        <is>
          <t>Végétarienne - Familiale</t>
        </is>
      </c>
      <c r="C35" s="28" t="n">
        <v>11000</v>
      </c>
      <c r="D35" s="28" t="inlineStr"/>
    </row>
    <row r="36">
      <c r="A36" s="28" t="inlineStr">
        <is>
          <t>Poisson</t>
        </is>
      </c>
      <c r="B36" s="28" t="inlineStr">
        <is>
          <t>Carpe</t>
        </is>
      </c>
      <c r="C36" s="28" t="n">
        <v>5000</v>
      </c>
      <c r="D36" s="28" t="inlineStr">
        <is>
          <t>5000-8000</t>
        </is>
      </c>
    </row>
    <row r="37">
      <c r="A37" s="28" t="inlineStr">
        <is>
          <t>Poisson</t>
        </is>
      </c>
      <c r="B37" s="28" t="inlineStr">
        <is>
          <t>Sole</t>
        </is>
      </c>
      <c r="C37" s="28" t="n">
        <v>9000</v>
      </c>
      <c r="D37" s="28" t="inlineStr">
        <is>
          <t>9000-11000</t>
        </is>
      </c>
    </row>
    <row r="38">
      <c r="A38" s="28" t="inlineStr">
        <is>
          <t>Poisson</t>
        </is>
      </c>
      <c r="B38" s="28" t="inlineStr">
        <is>
          <t>Bar</t>
        </is>
      </c>
      <c r="C38" s="28" t="n">
        <v>7000</v>
      </c>
      <c r="D38" s="28" t="inlineStr">
        <is>
          <t>7000-10000</t>
        </is>
      </c>
    </row>
    <row r="39">
      <c r="A39" s="28" t="inlineStr">
        <is>
          <t>Jus Naturel / Bissap</t>
        </is>
      </c>
      <c r="B39" s="28" t="inlineStr">
        <is>
          <t>Litre</t>
        </is>
      </c>
      <c r="C39" s="28" t="n">
        <v>2000</v>
      </c>
      <c r="D39" s="28" t="inlineStr">
        <is>
          <t>Conso à 1000</t>
        </is>
      </c>
    </row>
    <row r="40">
      <c r="A40" s="28" t="inlineStr">
        <is>
          <t>Jus Naturel / Bissap</t>
        </is>
      </c>
      <c r="B40" s="28" t="inlineStr">
        <is>
          <t>Fruit de Saison</t>
        </is>
      </c>
      <c r="C40" s="28" t="n">
        <v>3500</v>
      </c>
      <c r="D40" s="28" t="inlineStr">
        <is>
          <t>En litre</t>
        </is>
      </c>
    </row>
    <row r="41">
      <c r="A41" s="28" t="inlineStr">
        <is>
          <t>Accompagnement</t>
        </is>
      </c>
      <c r="B41" s="28" t="inlineStr">
        <is>
          <t>Riz</t>
        </is>
      </c>
      <c r="C41" s="28" t="n">
        <v>0</v>
      </c>
      <c r="D41" s="28" t="inlineStr">
        <is>
          <t>Pour chaque plat</t>
        </is>
      </c>
    </row>
    <row r="42">
      <c r="A42" s="28" t="inlineStr">
        <is>
          <t>Accompagnement</t>
        </is>
      </c>
      <c r="B42" s="28" t="inlineStr">
        <is>
          <t>Frites</t>
        </is>
      </c>
      <c r="C42" s="28" t="n">
        <v>0</v>
      </c>
      <c r="D42" s="28" t="inlineStr">
        <is>
          <t>Pour chaque plat</t>
        </is>
      </c>
    </row>
    <row r="43">
      <c r="A43" s="28" t="inlineStr">
        <is>
          <t>Accompagnement</t>
        </is>
      </c>
      <c r="B43" s="28" t="inlineStr">
        <is>
          <t>Plantain</t>
        </is>
      </c>
      <c r="C43" s="28" t="n">
        <v>0</v>
      </c>
      <c r="D43" s="28" t="inlineStr">
        <is>
          <t>Pour chaque plat</t>
        </is>
      </c>
    </row>
    <row r="44">
      <c r="A44" s="28" t="inlineStr">
        <is>
          <t>Accompagnement</t>
        </is>
      </c>
      <c r="B44" s="28" t="inlineStr">
        <is>
          <t>Miondo</t>
        </is>
      </c>
      <c r="C44" s="28" t="n">
        <v>0</v>
      </c>
      <c r="D44" s="28" t="inlineStr">
        <is>
          <t>Pour chaque plat</t>
        </is>
      </c>
    </row>
    <row r="52">
      <c r="A52" s="29" t="inlineStr">
        <is>
          <t>Ajouter un Plat</t>
        </is>
      </c>
    </row>
    <row r="54">
      <c r="B54" s="28" t="inlineStr">
        <is>
          <t>Nom du plat:</t>
        </is>
      </c>
    </row>
    <row r="55">
      <c r="B55" s="28" t="inlineStr">
        <is>
          <t>Variante:</t>
        </is>
      </c>
    </row>
    <row r="56">
      <c r="B56" s="28" t="inlineStr">
        <is>
          <t>Prix:</t>
        </is>
      </c>
    </row>
    <row r="57">
      <c r="B57" s="28" t="inlineStr">
        <is>
          <t>Observation:</t>
        </is>
      </c>
    </row>
    <row r="62">
      <c r="B62" s="30" t="inlineStr">
        <is>
          <t>Ajouter</t>
        </is>
      </c>
    </row>
    <row r="64">
      <c r="A64" s="22" t="inlineStr">
        <is>
          <t>PACKS</t>
        </is>
      </c>
    </row>
    <row r="66">
      <c r="A66" s="19" t="inlineStr">
        <is>
          <t>Pack</t>
        </is>
      </c>
      <c r="B66" s="19" t="inlineStr">
        <is>
          <t>Composition</t>
        </is>
      </c>
      <c r="C66" s="19" t="inlineStr">
        <is>
          <t>Prix (FCFA)</t>
        </is>
      </c>
    </row>
    <row r="67">
      <c r="A67" s="28" t="inlineStr">
        <is>
          <t>Pack Brise Snack</t>
        </is>
      </c>
      <c r="B67" s="28" t="inlineStr">
        <is>
          <t>Deux morceaux de poulet, portion de frit, un verre de jus</t>
        </is>
      </c>
      <c r="C67" s="28" t="n">
        <v>4000</v>
      </c>
    </row>
    <row r="68">
      <c r="A68" s="28" t="inlineStr">
        <is>
          <t>Pack Sunset Combo</t>
        </is>
      </c>
      <c r="B68" s="28" t="inlineStr">
        <is>
          <t>Un burger, un morceau de poulet, portion de frit, un verre de fruit</t>
        </is>
      </c>
      <c r="C68" s="28" t="n">
        <v>6000</v>
      </c>
    </row>
    <row r="69">
      <c r="A69" s="28" t="inlineStr">
        <is>
          <t>Pack Ocean Duo</t>
        </is>
      </c>
      <c r="B69" s="28" t="inlineStr">
        <is>
          <t>Double cheese burger, un tacos, portion de frit, jus Top</t>
        </is>
      </c>
      <c r="C69" s="28" t="n">
        <v>8500</v>
      </c>
    </row>
    <row r="70">
      <c r="A70" s="28" t="inlineStr">
        <is>
          <t>Pack Bonita Family</t>
        </is>
      </c>
      <c r="B70" s="28" t="inlineStr">
        <is>
          <t>Un demi poulet pané, deux burgers, un litre de jus, deux portions de frit</t>
        </is>
      </c>
      <c r="C70" s="28" t="n">
        <v>15000</v>
      </c>
    </row>
    <row r="74">
      <c r="A74" s="22" t="inlineStr">
        <is>
          <t>PLANCHES</t>
        </is>
      </c>
    </row>
    <row r="76">
      <c r="A76" s="19" t="inlineStr">
        <is>
          <t>Prix (FCFA)</t>
        </is>
      </c>
      <c r="B76" s="19" t="inlineStr">
        <is>
          <t>Nom recommandé</t>
        </is>
      </c>
    </row>
    <row r="77">
      <c r="A77" s="28" t="n">
        <v>10000</v>
      </c>
      <c r="B77" s="28" t="inlineStr">
        <is>
          <t>Planche Brise Marine</t>
        </is>
      </c>
    </row>
    <row r="78">
      <c r="A78" s="28" t="n">
        <v>25000</v>
      </c>
      <c r="B78" s="28" t="inlineStr">
        <is>
          <t>Planche Sunset</t>
        </is>
      </c>
    </row>
    <row r="79">
      <c r="A79" s="28" t="n">
        <v>50000</v>
      </c>
      <c r="B79" s="28" t="inlineStr">
        <is>
          <t>Planche Océan Royale</t>
        </is>
      </c>
    </row>
    <row r="80">
      <c r="A80" s="28" t="n">
        <v>75000</v>
      </c>
      <c r="B80" s="28" t="inlineStr">
        <is>
          <t>Planche Paradise</t>
        </is>
      </c>
    </row>
    <row r="81">
      <c r="A81" s="28" t="n">
        <v>100000</v>
      </c>
      <c r="B81" s="28" t="inlineStr">
        <is>
          <t>Planche Isla Prestige</t>
        </is>
      </c>
    </row>
    <row r="82">
      <c r="A82" s="28" t="n">
        <v>200000</v>
      </c>
      <c r="B82" s="28" t="inlineStr">
        <is>
          <t>Planche Bonita Supreme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❓ GUIDE D'UTILISATION RAPIDE</t>
        </is>
      </c>
    </row>
    <row r="3">
      <c r="A3" s="5" t="inlineStr">
        <is>
          <t>1. COMMENCER :</t>
        </is>
      </c>
    </row>
    <row r="4">
      <c r="A4" s="2" t="inlineStr">
        <is>
          <t>- Allez dans l'onglet 'CATEGORIES' pour vérifier vos catégories.</t>
        </is>
      </c>
    </row>
    <row r="5">
      <c r="A5" s="2" t="inlineStr">
        <is>
          <t>- Allez dans 'PRODUITS' : Vos plats sont déjà pré-enregistrés ! Vérifiez les prix.</t>
        </is>
      </c>
    </row>
    <row r="6">
      <c r="A6" s="2" t="inlineStr">
        <is>
          <t>- Allez dans 'MATIERES_PREMIERES' : Saisissez vos stocks initiaux et coûts unitaires.</t>
        </is>
      </c>
    </row>
    <row r="7">
      <c r="A7" s="2" t="inlineStr"/>
    </row>
    <row r="8">
      <c r="A8" s="5" t="inlineStr">
        <is>
          <t>2. QUOTIDIEN :</t>
        </is>
      </c>
    </row>
    <row r="9">
      <c r="A9" s="2" t="inlineStr">
        <is>
          <t>- Enregistrement des achats : Mettez à jour les 'Entrées' dans 'MATIERES_PREMIERES'.</t>
        </is>
      </c>
    </row>
    <row r="10">
      <c r="A10" s="2" t="inlineStr">
        <is>
          <t>- Enregistrement des ventes : Utilisez l'onglet 'VENTES'. Sélectionnez le plat, la quantité se calcule seule.</t>
        </is>
      </c>
    </row>
    <row r="11">
      <c r="A11" s="2" t="inlineStr"/>
    </row>
    <row r="12">
      <c r="A12" s="5" t="inlineStr">
        <is>
          <t>3. SUIVI :</t>
        </is>
      </c>
    </row>
    <row r="13">
      <c r="A13" s="2" t="inlineStr">
        <is>
          <t>- Consultez le 'DASHBOARD' pour les totaux du jour.</t>
        </is>
      </c>
    </row>
    <row r="14">
      <c r="A14" s="2" t="inlineStr">
        <is>
          <t>- Faites l'inventaire dans 'INVENTAIRES' en fin de semaine/mois.</t>
        </is>
      </c>
    </row>
    <row r="15">
      <c r="A15" s="2" t="inlineStr"/>
    </row>
    <row r="16">
      <c r="A16" s="5" t="inlineStr">
        <is>
          <t>4. ASTUCES :</t>
        </is>
      </c>
    </row>
    <row r="17">
      <c r="A17" s="2" t="inlineStr">
        <is>
          <t>- Les listes déroulantes vous aident à ne pas faire d'erreur de frappe.</t>
        </is>
      </c>
    </row>
    <row r="18">
      <c r="A18" s="2" t="inlineStr">
        <is>
          <t>- Ne modifiez pas les colonnes avec des formules (texte en gris ou calcul automatique).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3:J108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2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5" customWidth="1" min="10" max="10"/>
  </cols>
  <sheetData>
    <row r="3">
      <c r="A3" s="6" t="inlineStr">
        <is>
          <t>ID</t>
        </is>
      </c>
      <c r="B3" s="6" t="inlineStr">
        <is>
          <t>Catégorie</t>
        </is>
      </c>
      <c r="C3" s="6" t="inlineStr">
        <is>
          <t>Sous-Catégorie</t>
        </is>
      </c>
      <c r="D3" s="6" t="inlineStr">
        <is>
          <t>Unité</t>
        </is>
      </c>
      <c r="E3" s="6" t="inlineStr">
        <is>
          <t>Stock Initial</t>
        </is>
      </c>
      <c r="F3" s="6" t="inlineStr">
        <is>
          <t>Entrées</t>
        </is>
      </c>
      <c r="G3" s="6" t="inlineStr">
        <is>
          <t>Sorties</t>
        </is>
      </c>
      <c r="H3" s="6" t="inlineStr">
        <is>
          <t>Stock Final</t>
        </is>
      </c>
      <c r="I3" s="6" t="inlineStr">
        <is>
          <t>Coût Unitaire</t>
        </is>
      </c>
      <c r="J3" s="6" t="inlineStr">
        <is>
          <t>Valeur Totale</t>
        </is>
      </c>
    </row>
    <row r="4">
      <c r="A4" t="n">
        <v>1</v>
      </c>
      <c r="B4" t="inlineStr">
        <is>
          <t>Viandes</t>
        </is>
      </c>
      <c r="C4" t="inlineStr">
        <is>
          <t>Poulet entier</t>
        </is>
      </c>
      <c r="D4" t="inlineStr">
        <is>
          <t>Morceau</t>
        </is>
      </c>
      <c r="E4" s="7" t="n">
        <v>0</v>
      </c>
      <c r="F4" s="7" t="n">
        <v>0</v>
      </c>
      <c r="G4" s="7" t="n">
        <v>0</v>
      </c>
      <c r="H4" s="7">
        <f>E4+F4-G4</f>
        <v/>
      </c>
      <c r="I4" s="7" t="n">
        <v>0</v>
      </c>
      <c r="J4" s="7">
        <f>H4*I4</f>
        <v/>
      </c>
    </row>
    <row r="5">
      <c r="A5" t="n">
        <v>2</v>
      </c>
      <c r="B5" t="inlineStr">
        <is>
          <t>Viandes</t>
        </is>
      </c>
      <c r="C5" t="inlineStr">
        <is>
          <t>Aile de Poulet</t>
        </is>
      </c>
      <c r="D5" t="inlineStr">
        <is>
          <t>Morceau</t>
        </is>
      </c>
      <c r="E5" s="7" t="n">
        <v>0</v>
      </c>
      <c r="F5" s="7" t="n">
        <v>0</v>
      </c>
      <c r="G5" s="7" t="n">
        <v>0</v>
      </c>
      <c r="H5" s="7">
        <f>E5+F5-G5</f>
        <v/>
      </c>
      <c r="I5" s="7" t="n">
        <v>0</v>
      </c>
      <c r="J5" s="7">
        <f>H5*I5</f>
        <v/>
      </c>
    </row>
    <row r="6">
      <c r="A6" t="n">
        <v>3</v>
      </c>
      <c r="B6" t="inlineStr">
        <is>
          <t>Viandes</t>
        </is>
      </c>
      <c r="C6" t="inlineStr">
        <is>
          <t>Cuisse de poulet</t>
        </is>
      </c>
      <c r="D6" t="inlineStr">
        <is>
          <t>Morceau</t>
        </is>
      </c>
      <c r="E6" s="7" t="n">
        <v>0</v>
      </c>
      <c r="F6" s="7" t="n">
        <v>0</v>
      </c>
      <c r="G6" s="7" t="n">
        <v>0</v>
      </c>
      <c r="H6" s="7">
        <f>E6+F6-G6</f>
        <v/>
      </c>
      <c r="I6" s="7" t="n">
        <v>0</v>
      </c>
      <c r="J6" s="7">
        <f>H6*I6</f>
        <v/>
      </c>
    </row>
    <row r="7">
      <c r="A7" t="n">
        <v>4</v>
      </c>
      <c r="B7" t="inlineStr">
        <is>
          <t>Viandes</t>
        </is>
      </c>
      <c r="C7" t="inlineStr">
        <is>
          <t>Bœuf</t>
        </is>
      </c>
      <c r="D7" t="inlineStr">
        <is>
          <t>Morceau</t>
        </is>
      </c>
      <c r="E7" s="7" t="n">
        <v>0</v>
      </c>
      <c r="F7" s="7" t="n">
        <v>0</v>
      </c>
      <c r="G7" s="7" t="n">
        <v>0</v>
      </c>
      <c r="H7" s="7">
        <f>E7+F7-G7</f>
        <v/>
      </c>
      <c r="I7" s="7" t="n">
        <v>0</v>
      </c>
      <c r="J7" s="7">
        <f>H7*I7</f>
        <v/>
      </c>
    </row>
    <row r="8">
      <c r="A8" t="n">
        <v>5</v>
      </c>
      <c r="B8" t="inlineStr">
        <is>
          <t>Viandes</t>
        </is>
      </c>
      <c r="C8" t="inlineStr">
        <is>
          <t>Saucisse</t>
        </is>
      </c>
      <c r="D8" t="inlineStr">
        <is>
          <t>Pièce</t>
        </is>
      </c>
      <c r="E8" s="7" t="n">
        <v>0</v>
      </c>
      <c r="F8" s="7" t="n">
        <v>0</v>
      </c>
      <c r="G8" s="7" t="n">
        <v>0</v>
      </c>
      <c r="H8" s="7">
        <f>E8+F8-G8</f>
        <v/>
      </c>
      <c r="I8" s="7" t="n">
        <v>0</v>
      </c>
      <c r="J8" s="7">
        <f>H8*I8</f>
        <v/>
      </c>
    </row>
    <row r="9">
      <c r="A9" t="n">
        <v>6</v>
      </c>
      <c r="B9" t="inlineStr">
        <is>
          <t>Viandes</t>
        </is>
      </c>
      <c r="C9" t="inlineStr">
        <is>
          <t>Porc</t>
        </is>
      </c>
      <c r="D9" t="inlineStr">
        <is>
          <t>Morceau</t>
        </is>
      </c>
      <c r="E9" s="7" t="n">
        <v>0</v>
      </c>
      <c r="F9" s="7" t="n">
        <v>0</v>
      </c>
      <c r="G9" s="7" t="n">
        <v>0</v>
      </c>
      <c r="H9" s="7">
        <f>E9+F9-G9</f>
        <v/>
      </c>
      <c r="I9" s="7" t="n">
        <v>0</v>
      </c>
      <c r="J9" s="7">
        <f>H9*I9</f>
        <v/>
      </c>
    </row>
    <row r="10">
      <c r="A10" t="n">
        <v>7</v>
      </c>
      <c r="B10" t="inlineStr">
        <is>
          <t>Viandes</t>
        </is>
      </c>
      <c r="C10" t="inlineStr">
        <is>
          <t>Œuf</t>
        </is>
      </c>
      <c r="D10" t="inlineStr">
        <is>
          <t>Alvéole</t>
        </is>
      </c>
      <c r="E10" s="7" t="n">
        <v>0</v>
      </c>
      <c r="F10" s="7" t="n">
        <v>0</v>
      </c>
      <c r="G10" s="7" t="n">
        <v>0</v>
      </c>
      <c r="H10" s="7">
        <f>E10+F10-G10</f>
        <v/>
      </c>
      <c r="I10" s="7" t="n">
        <v>0</v>
      </c>
      <c r="J10" s="7">
        <f>H10*I10</f>
        <v/>
      </c>
    </row>
    <row r="11">
      <c r="A11" t="n">
        <v>8</v>
      </c>
      <c r="B11" t="inlineStr">
        <is>
          <t>Viandes</t>
        </is>
      </c>
      <c r="C11" t="inlineStr">
        <is>
          <t>Viandes hachées</t>
        </is>
      </c>
      <c r="D11" t="inlineStr">
        <is>
          <t>Pièce</t>
        </is>
      </c>
      <c r="E11" s="7" t="n">
        <v>0</v>
      </c>
      <c r="F11" s="7" t="n">
        <v>0</v>
      </c>
      <c r="G11" s="7" t="n">
        <v>0</v>
      </c>
      <c r="H11" s="7">
        <f>E11+F11-G11</f>
        <v/>
      </c>
      <c r="I11" s="7" t="n">
        <v>0</v>
      </c>
      <c r="J11" s="7">
        <f>H11*I11</f>
        <v/>
      </c>
    </row>
    <row r="12">
      <c r="A12" t="n">
        <v>9</v>
      </c>
      <c r="B12" t="inlineStr">
        <is>
          <t>Poissons &amp; Fruits de mer</t>
        </is>
      </c>
      <c r="C12" t="inlineStr">
        <is>
          <t>Carpe</t>
        </is>
      </c>
      <c r="D12" t="inlineStr">
        <is>
          <t>Pièce</t>
        </is>
      </c>
      <c r="E12" s="7" t="n">
        <v>0</v>
      </c>
      <c r="F12" s="7" t="n">
        <v>0</v>
      </c>
      <c r="G12" s="7" t="n">
        <v>0</v>
      </c>
      <c r="H12" s="7">
        <f>E12+F12-G12</f>
        <v/>
      </c>
      <c r="I12" s="7" t="n">
        <v>0</v>
      </c>
      <c r="J12" s="7">
        <f>H12*I12</f>
        <v/>
      </c>
    </row>
    <row r="13">
      <c r="A13" t="n">
        <v>10</v>
      </c>
      <c r="B13" t="inlineStr">
        <is>
          <t>Poissons &amp; Fruits de mer</t>
        </is>
      </c>
      <c r="C13" t="inlineStr">
        <is>
          <t>Sole</t>
        </is>
      </c>
      <c r="D13" t="inlineStr">
        <is>
          <t>Pièce</t>
        </is>
      </c>
      <c r="E13" s="7" t="n">
        <v>0</v>
      </c>
      <c r="F13" s="7" t="n">
        <v>0</v>
      </c>
      <c r="G13" s="7" t="n">
        <v>0</v>
      </c>
      <c r="H13" s="7">
        <f>E13+F13-G13</f>
        <v/>
      </c>
      <c r="I13" s="7" t="n">
        <v>0</v>
      </c>
      <c r="J13" s="7">
        <f>H13*I13</f>
        <v/>
      </c>
    </row>
    <row r="14">
      <c r="A14" t="n">
        <v>11</v>
      </c>
      <c r="B14" t="inlineStr">
        <is>
          <t>Poissons &amp; Fruits de mer</t>
        </is>
      </c>
      <c r="C14" t="inlineStr">
        <is>
          <t>Bar</t>
        </is>
      </c>
      <c r="D14" t="inlineStr">
        <is>
          <t>Pièce</t>
        </is>
      </c>
      <c r="E14" s="7" t="n">
        <v>0</v>
      </c>
      <c r="F14" s="7" t="n">
        <v>0</v>
      </c>
      <c r="G14" s="7" t="n">
        <v>0</v>
      </c>
      <c r="H14" s="7">
        <f>E14+F14-G14</f>
        <v/>
      </c>
      <c r="I14" s="7" t="n">
        <v>0</v>
      </c>
      <c r="J14" s="7">
        <f>H14*I14</f>
        <v/>
      </c>
    </row>
    <row r="15">
      <c r="A15" t="n">
        <v>12</v>
      </c>
      <c r="B15" t="inlineStr">
        <is>
          <t>Poissons &amp; Fruits de mer</t>
        </is>
      </c>
      <c r="C15" t="inlineStr">
        <is>
          <t>Gambas</t>
        </is>
      </c>
      <c r="D15" t="inlineStr">
        <is>
          <t>Pièce</t>
        </is>
      </c>
      <c r="E15" s="7" t="n">
        <v>0</v>
      </c>
      <c r="F15" s="7" t="n">
        <v>0</v>
      </c>
      <c r="G15" s="7" t="n">
        <v>0</v>
      </c>
      <c r="H15" s="7">
        <f>E15+F15-G15</f>
        <v/>
      </c>
      <c r="I15" s="7" t="n">
        <v>0</v>
      </c>
      <c r="J15" s="7">
        <f>H15*I15</f>
        <v/>
      </c>
    </row>
    <row r="16">
      <c r="A16" t="n">
        <v>13</v>
      </c>
      <c r="B16" t="inlineStr">
        <is>
          <t>Poissons &amp; Fruits de mer</t>
        </is>
      </c>
      <c r="C16" t="inlineStr">
        <is>
          <t>Crevette</t>
        </is>
      </c>
      <c r="D16" t="inlineStr">
        <is>
          <t>Pièce</t>
        </is>
      </c>
      <c r="E16" s="7" t="n">
        <v>0</v>
      </c>
      <c r="F16" s="7" t="n">
        <v>0</v>
      </c>
      <c r="G16" s="7" t="n">
        <v>0</v>
      </c>
      <c r="H16" s="7">
        <f>E16+F16-G16</f>
        <v/>
      </c>
      <c r="I16" s="7" t="n">
        <v>0</v>
      </c>
      <c r="J16" s="7">
        <f>H16*I16</f>
        <v/>
      </c>
    </row>
    <row r="17">
      <c r="A17" t="n">
        <v>14</v>
      </c>
      <c r="B17" t="inlineStr">
        <is>
          <t>Légumes frais</t>
        </is>
      </c>
      <c r="C17" t="inlineStr">
        <is>
          <t>Carottes</t>
        </is>
      </c>
      <c r="D17" t="inlineStr">
        <is>
          <t>Lot</t>
        </is>
      </c>
      <c r="E17" s="7" t="n">
        <v>0</v>
      </c>
      <c r="F17" s="7" t="n">
        <v>0</v>
      </c>
      <c r="G17" s="7" t="n">
        <v>0</v>
      </c>
      <c r="H17" s="7">
        <f>E17+F17-G17</f>
        <v/>
      </c>
      <c r="I17" s="7" t="n">
        <v>0</v>
      </c>
      <c r="J17" s="7">
        <f>H17*I17</f>
        <v/>
      </c>
    </row>
    <row r="18">
      <c r="A18" t="n">
        <v>15</v>
      </c>
      <c r="B18" t="inlineStr">
        <is>
          <t>Légumes frais</t>
        </is>
      </c>
      <c r="C18" t="inlineStr">
        <is>
          <t>Pommes de terre</t>
        </is>
      </c>
      <c r="D18" t="inlineStr">
        <is>
          <t>Lot</t>
        </is>
      </c>
      <c r="E18" s="7" t="n">
        <v>0</v>
      </c>
      <c r="F18" s="7" t="n">
        <v>0</v>
      </c>
      <c r="G18" s="7" t="n">
        <v>0</v>
      </c>
      <c r="H18" s="7">
        <f>E18+F18-G18</f>
        <v/>
      </c>
      <c r="I18" s="7" t="n">
        <v>0</v>
      </c>
      <c r="J18" s="7">
        <f>H18*I18</f>
        <v/>
      </c>
    </row>
    <row r="19">
      <c r="A19" t="n">
        <v>16</v>
      </c>
      <c r="B19" t="inlineStr">
        <is>
          <t>Légumes frais</t>
        </is>
      </c>
      <c r="C19" t="inlineStr">
        <is>
          <t>Gingembre</t>
        </is>
      </c>
      <c r="D19" t="inlineStr">
        <is>
          <t>Lot</t>
        </is>
      </c>
      <c r="E19" s="7" t="n">
        <v>0</v>
      </c>
      <c r="F19" s="7" t="n">
        <v>0</v>
      </c>
      <c r="G19" s="7" t="n">
        <v>0</v>
      </c>
      <c r="H19" s="7">
        <f>E19+F19-G19</f>
        <v/>
      </c>
      <c r="I19" s="7" t="n">
        <v>0</v>
      </c>
      <c r="J19" s="7">
        <f>H19*I19</f>
        <v/>
      </c>
    </row>
    <row r="20">
      <c r="A20" t="n">
        <v>17</v>
      </c>
      <c r="B20" t="inlineStr">
        <is>
          <t>Légumes frais</t>
        </is>
      </c>
      <c r="C20" t="inlineStr">
        <is>
          <t>Choux</t>
        </is>
      </c>
      <c r="D20" t="inlineStr">
        <is>
          <t>Lot</t>
        </is>
      </c>
      <c r="E20" s="7" t="n">
        <v>0</v>
      </c>
      <c r="F20" s="7" t="n">
        <v>0</v>
      </c>
      <c r="G20" s="7" t="n">
        <v>0</v>
      </c>
      <c r="H20" s="7">
        <f>E20+F20-G20</f>
        <v/>
      </c>
      <c r="I20" s="7" t="n">
        <v>0</v>
      </c>
      <c r="J20" s="7">
        <f>H20*I20</f>
        <v/>
      </c>
    </row>
    <row r="21">
      <c r="A21" t="n">
        <v>18</v>
      </c>
      <c r="B21" t="inlineStr">
        <is>
          <t>Légumes frais</t>
        </is>
      </c>
      <c r="C21" t="inlineStr">
        <is>
          <t>Salade</t>
        </is>
      </c>
      <c r="D21" t="inlineStr">
        <is>
          <t>Lot</t>
        </is>
      </c>
      <c r="E21" s="7" t="n">
        <v>0</v>
      </c>
      <c r="F21" s="7" t="n">
        <v>0</v>
      </c>
      <c r="G21" s="7" t="n">
        <v>0</v>
      </c>
      <c r="H21" s="7">
        <f>E21+F21-G21</f>
        <v/>
      </c>
      <c r="I21" s="7" t="n">
        <v>0</v>
      </c>
      <c r="J21" s="7">
        <f>H21*I21</f>
        <v/>
      </c>
    </row>
    <row r="22">
      <c r="A22" t="n">
        <v>19</v>
      </c>
      <c r="B22" t="inlineStr">
        <is>
          <t>Légumes frais</t>
        </is>
      </c>
      <c r="C22" t="inlineStr">
        <is>
          <t>Tomates</t>
        </is>
      </c>
      <c r="D22" t="inlineStr">
        <is>
          <t>Cageot</t>
        </is>
      </c>
      <c r="E22" s="7" t="n">
        <v>0</v>
      </c>
      <c r="F22" s="7" t="n">
        <v>0</v>
      </c>
      <c r="G22" s="7" t="n">
        <v>0</v>
      </c>
      <c r="H22" s="7">
        <f>E22+F22-G22</f>
        <v/>
      </c>
      <c r="I22" s="7" t="n">
        <v>0</v>
      </c>
      <c r="J22" s="7">
        <f>H22*I22</f>
        <v/>
      </c>
    </row>
    <row r="23">
      <c r="A23" t="n">
        <v>20</v>
      </c>
      <c r="B23" t="inlineStr">
        <is>
          <t>Légumes frais</t>
        </is>
      </c>
      <c r="C23" t="inlineStr">
        <is>
          <t>Poivrons</t>
        </is>
      </c>
      <c r="D23" t="inlineStr">
        <is>
          <t>Lot</t>
        </is>
      </c>
      <c r="E23" s="7" t="n">
        <v>0</v>
      </c>
      <c r="F23" s="7" t="n">
        <v>0</v>
      </c>
      <c r="G23" s="7" t="n">
        <v>0</v>
      </c>
      <c r="H23" s="7">
        <f>E23+F23-G23</f>
        <v/>
      </c>
      <c r="I23" s="7" t="n">
        <v>0</v>
      </c>
      <c r="J23" s="7">
        <f>H23*I23</f>
        <v/>
      </c>
    </row>
    <row r="24">
      <c r="A24" t="n">
        <v>21</v>
      </c>
      <c r="B24" t="inlineStr">
        <is>
          <t>Légumes frais</t>
        </is>
      </c>
      <c r="C24" t="inlineStr">
        <is>
          <t>Aubergines</t>
        </is>
      </c>
      <c r="D24" t="inlineStr">
        <is>
          <t>Lot</t>
        </is>
      </c>
      <c r="E24" s="7" t="n">
        <v>0</v>
      </c>
      <c r="F24" s="7" t="n">
        <v>0</v>
      </c>
      <c r="G24" s="7" t="n">
        <v>0</v>
      </c>
      <c r="H24" s="7">
        <f>E24+F24-G24</f>
        <v/>
      </c>
      <c r="I24" s="7" t="n">
        <v>0</v>
      </c>
      <c r="J24" s="7">
        <f>H24*I24</f>
        <v/>
      </c>
    </row>
    <row r="25">
      <c r="A25" t="n">
        <v>22</v>
      </c>
      <c r="B25" t="inlineStr">
        <is>
          <t>Légumes frais</t>
        </is>
      </c>
      <c r="C25" t="inlineStr">
        <is>
          <t>Oignons</t>
        </is>
      </c>
      <c r="D25" t="inlineStr">
        <is>
          <t>Lot</t>
        </is>
      </c>
      <c r="E25" s="7" t="n">
        <v>0</v>
      </c>
      <c r="F25" s="7" t="n">
        <v>0</v>
      </c>
      <c r="G25" s="7" t="n">
        <v>0</v>
      </c>
      <c r="H25" s="7">
        <f>E25+F25-G25</f>
        <v/>
      </c>
      <c r="I25" s="7" t="n">
        <v>0</v>
      </c>
      <c r="J25" s="7">
        <f>H25*I25</f>
        <v/>
      </c>
    </row>
    <row r="26">
      <c r="A26" t="n">
        <v>23</v>
      </c>
      <c r="B26" t="inlineStr">
        <is>
          <t>Légumes frais</t>
        </is>
      </c>
      <c r="C26" t="inlineStr">
        <is>
          <t>Ail</t>
        </is>
      </c>
      <c r="D26" t="inlineStr">
        <is>
          <t>Lot</t>
        </is>
      </c>
      <c r="E26" s="7" t="n">
        <v>0</v>
      </c>
      <c r="F26" s="7" t="n">
        <v>0</v>
      </c>
      <c r="G26" s="7" t="n">
        <v>0</v>
      </c>
      <c r="H26" s="7">
        <f>E26+F26-G26</f>
        <v/>
      </c>
      <c r="I26" s="7" t="n">
        <v>0</v>
      </c>
      <c r="J26" s="7">
        <f>H26*I26</f>
        <v/>
      </c>
    </row>
    <row r="27">
      <c r="A27" t="n">
        <v>24</v>
      </c>
      <c r="B27" t="inlineStr">
        <is>
          <t>Légumes frais</t>
        </is>
      </c>
      <c r="C27" t="inlineStr">
        <is>
          <t>Poireaux</t>
        </is>
      </c>
      <c r="D27" t="inlineStr">
        <is>
          <t>Lot</t>
        </is>
      </c>
      <c r="E27" s="7" t="n">
        <v>0</v>
      </c>
      <c r="F27" s="7" t="n">
        <v>0</v>
      </c>
      <c r="G27" s="7" t="n">
        <v>0</v>
      </c>
      <c r="H27" s="7">
        <f>E27+F27-G27</f>
        <v/>
      </c>
      <c r="I27" s="7" t="n">
        <v>0</v>
      </c>
      <c r="J27" s="7">
        <f>H27*I27</f>
        <v/>
      </c>
    </row>
    <row r="28">
      <c r="A28" t="n">
        <v>25</v>
      </c>
      <c r="B28" t="inlineStr">
        <is>
          <t>Légumes frais</t>
        </is>
      </c>
      <c r="C28" t="inlineStr">
        <is>
          <t>Haricots verts</t>
        </is>
      </c>
      <c r="D28" t="inlineStr">
        <is>
          <t>Lot</t>
        </is>
      </c>
      <c r="E28" s="7" t="n">
        <v>0</v>
      </c>
      <c r="F28" s="7" t="n">
        <v>0</v>
      </c>
      <c r="G28" s="7" t="n">
        <v>0</v>
      </c>
      <c r="H28" s="7">
        <f>E28+F28-G28</f>
        <v/>
      </c>
      <c r="I28" s="7" t="n">
        <v>0</v>
      </c>
      <c r="J28" s="7">
        <f>H28*I28</f>
        <v/>
      </c>
    </row>
    <row r="29">
      <c r="A29" t="n">
        <v>26</v>
      </c>
      <c r="B29" t="inlineStr">
        <is>
          <t>Légumes frais</t>
        </is>
      </c>
      <c r="C29" t="inlineStr">
        <is>
          <t>Persil</t>
        </is>
      </c>
      <c r="D29" t="inlineStr">
        <is>
          <t>Lot</t>
        </is>
      </c>
      <c r="E29" s="7" t="n">
        <v>0</v>
      </c>
      <c r="F29" s="7" t="n">
        <v>0</v>
      </c>
      <c r="G29" s="7" t="n">
        <v>0</v>
      </c>
      <c r="H29" s="7">
        <f>E29+F29-G29</f>
        <v/>
      </c>
      <c r="I29" s="7" t="n">
        <v>0</v>
      </c>
      <c r="J29" s="7">
        <f>H29*I29</f>
        <v/>
      </c>
    </row>
    <row r="30">
      <c r="A30" t="n">
        <v>27</v>
      </c>
      <c r="B30" t="inlineStr">
        <is>
          <t>Légumes frais</t>
        </is>
      </c>
      <c r="C30" t="inlineStr">
        <is>
          <t>Curcuma</t>
        </is>
      </c>
      <c r="D30" t="inlineStr">
        <is>
          <t>Boite</t>
        </is>
      </c>
      <c r="E30" s="7" t="n">
        <v>0</v>
      </c>
      <c r="F30" s="7" t="n">
        <v>0</v>
      </c>
      <c r="G30" s="7" t="n">
        <v>0</v>
      </c>
      <c r="H30" s="7">
        <f>E30+F30-G30</f>
        <v/>
      </c>
      <c r="I30" s="7" t="n">
        <v>0</v>
      </c>
      <c r="J30" s="7">
        <f>H30*I30</f>
        <v/>
      </c>
    </row>
    <row r="31">
      <c r="A31" t="n">
        <v>28</v>
      </c>
      <c r="B31" t="inlineStr">
        <is>
          <t>Légumes frais</t>
        </is>
      </c>
      <c r="C31" t="inlineStr">
        <is>
          <t>Poivre</t>
        </is>
      </c>
      <c r="D31" t="inlineStr">
        <is>
          <t>Lot</t>
        </is>
      </c>
      <c r="E31" s="7" t="n">
        <v>0</v>
      </c>
      <c r="F31" s="7" t="n">
        <v>0</v>
      </c>
      <c r="G31" s="7" t="n">
        <v>0</v>
      </c>
      <c r="H31" s="7">
        <f>E31+F31-G31</f>
        <v/>
      </c>
      <c r="I31" s="7" t="n">
        <v>0</v>
      </c>
      <c r="J31" s="7">
        <f>H31*I31</f>
        <v/>
      </c>
    </row>
    <row r="32">
      <c r="A32" t="n">
        <v>29</v>
      </c>
      <c r="B32" t="inlineStr">
        <is>
          <t>Légumes frais</t>
        </is>
      </c>
      <c r="C32" t="inlineStr">
        <is>
          <t>Courgettes</t>
        </is>
      </c>
      <c r="D32" t="inlineStr">
        <is>
          <t>Lot</t>
        </is>
      </c>
      <c r="E32" s="7" t="n">
        <v>0</v>
      </c>
      <c r="F32" s="7" t="n">
        <v>0</v>
      </c>
      <c r="G32" s="7" t="n">
        <v>0</v>
      </c>
      <c r="H32" s="7">
        <f>E32+F32-G32</f>
        <v/>
      </c>
      <c r="I32" s="7" t="n">
        <v>0</v>
      </c>
      <c r="J32" s="7">
        <f>H32*I32</f>
        <v/>
      </c>
    </row>
    <row r="33">
      <c r="A33" t="n">
        <v>30</v>
      </c>
      <c r="B33" t="inlineStr">
        <is>
          <t>Légumes frais</t>
        </is>
      </c>
      <c r="C33" t="inlineStr">
        <is>
          <t>Piments</t>
        </is>
      </c>
      <c r="D33" t="inlineStr">
        <is>
          <t>Lot</t>
        </is>
      </c>
      <c r="E33" s="7" t="n">
        <v>0</v>
      </c>
      <c r="F33" s="7" t="n">
        <v>0</v>
      </c>
      <c r="G33" s="7" t="n">
        <v>0</v>
      </c>
      <c r="H33" s="7">
        <f>E33+F33-G33</f>
        <v/>
      </c>
      <c r="I33" s="7" t="n">
        <v>0</v>
      </c>
      <c r="J33" s="7">
        <f>H33*I33</f>
        <v/>
      </c>
    </row>
    <row r="34">
      <c r="A34" t="n">
        <v>31</v>
      </c>
      <c r="B34" t="inlineStr">
        <is>
          <t>Fruits frais</t>
        </is>
      </c>
      <c r="C34" t="inlineStr">
        <is>
          <t>Orange</t>
        </is>
      </c>
      <c r="D34" t="inlineStr">
        <is>
          <t>Pièce</t>
        </is>
      </c>
      <c r="E34" s="7" t="n">
        <v>0</v>
      </c>
      <c r="F34" s="7" t="n">
        <v>0</v>
      </c>
      <c r="G34" s="7" t="n">
        <v>0</v>
      </c>
      <c r="H34" s="7">
        <f>E34+F34-G34</f>
        <v/>
      </c>
      <c r="I34" s="7" t="n">
        <v>0</v>
      </c>
      <c r="J34" s="7">
        <f>H34*I34</f>
        <v/>
      </c>
    </row>
    <row r="35">
      <c r="A35" t="n">
        <v>32</v>
      </c>
      <c r="B35" t="inlineStr">
        <is>
          <t>Fruits frais</t>
        </is>
      </c>
      <c r="C35" t="inlineStr">
        <is>
          <t>Papaye</t>
        </is>
      </c>
      <c r="D35" t="inlineStr">
        <is>
          <t>Pièce</t>
        </is>
      </c>
      <c r="E35" s="7" t="n">
        <v>0</v>
      </c>
      <c r="F35" s="7" t="n">
        <v>0</v>
      </c>
      <c r="G35" s="7" t="n">
        <v>0</v>
      </c>
      <c r="H35" s="7">
        <f>E35+F35-G35</f>
        <v/>
      </c>
      <c r="I35" s="7" t="n">
        <v>0</v>
      </c>
      <c r="J35" s="7">
        <f>H35*I35</f>
        <v/>
      </c>
    </row>
    <row r="36">
      <c r="A36" t="n">
        <v>33</v>
      </c>
      <c r="B36" t="inlineStr">
        <is>
          <t>Fruits frais</t>
        </is>
      </c>
      <c r="C36" t="inlineStr">
        <is>
          <t>Mangue</t>
        </is>
      </c>
      <c r="D36" t="inlineStr">
        <is>
          <t>Pièce</t>
        </is>
      </c>
      <c r="E36" s="7" t="n">
        <v>0</v>
      </c>
      <c r="F36" s="7" t="n">
        <v>0</v>
      </c>
      <c r="G36" s="7" t="n">
        <v>0</v>
      </c>
      <c r="H36" s="7">
        <f>E36+F36-G36</f>
        <v/>
      </c>
      <c r="I36" s="7" t="n">
        <v>0</v>
      </c>
      <c r="J36" s="7">
        <f>H36*I36</f>
        <v/>
      </c>
    </row>
    <row r="37">
      <c r="A37" t="n">
        <v>34</v>
      </c>
      <c r="B37" t="inlineStr">
        <is>
          <t>Fruits frais</t>
        </is>
      </c>
      <c r="C37" t="inlineStr">
        <is>
          <t>Citron</t>
        </is>
      </c>
      <c r="D37" t="inlineStr">
        <is>
          <t>Pièce</t>
        </is>
      </c>
      <c r="E37" s="7" t="n">
        <v>0</v>
      </c>
      <c r="F37" s="7" t="n">
        <v>0</v>
      </c>
      <c r="G37" s="7" t="n">
        <v>0</v>
      </c>
      <c r="H37" s="7">
        <f>E37+F37-G37</f>
        <v/>
      </c>
      <c r="I37" s="7" t="n">
        <v>0</v>
      </c>
      <c r="J37" s="7">
        <f>H37*I37</f>
        <v/>
      </c>
    </row>
    <row r="38">
      <c r="A38" t="n">
        <v>35</v>
      </c>
      <c r="B38" t="inlineStr">
        <is>
          <t>Fruits frais</t>
        </is>
      </c>
      <c r="C38" t="inlineStr">
        <is>
          <t>Goyave</t>
        </is>
      </c>
      <c r="D38" t="inlineStr">
        <is>
          <t>Pièce</t>
        </is>
      </c>
      <c r="E38" s="7" t="n">
        <v>0</v>
      </c>
      <c r="F38" s="7" t="n">
        <v>0</v>
      </c>
      <c r="G38" s="7" t="n">
        <v>0</v>
      </c>
      <c r="H38" s="7">
        <f>E38+F38-G38</f>
        <v/>
      </c>
      <c r="I38" s="7" t="n">
        <v>0</v>
      </c>
      <c r="J38" s="7">
        <f>H38*I38</f>
        <v/>
      </c>
    </row>
    <row r="39">
      <c r="A39" t="n">
        <v>36</v>
      </c>
      <c r="B39" t="inlineStr">
        <is>
          <t>Fruits frais</t>
        </is>
      </c>
      <c r="C39" t="inlineStr">
        <is>
          <t>Mandarine</t>
        </is>
      </c>
      <c r="D39" t="inlineStr">
        <is>
          <t>Pièce</t>
        </is>
      </c>
      <c r="E39" s="7" t="n">
        <v>0</v>
      </c>
      <c r="F39" s="7" t="n">
        <v>0</v>
      </c>
      <c r="G39" s="7" t="n">
        <v>0</v>
      </c>
      <c r="H39" s="7">
        <f>E39+F39-G39</f>
        <v/>
      </c>
      <c r="I39" s="7" t="n">
        <v>0</v>
      </c>
      <c r="J39" s="7">
        <f>H39*I39</f>
        <v/>
      </c>
    </row>
    <row r="40">
      <c r="A40" t="n">
        <v>37</v>
      </c>
      <c r="B40" t="inlineStr">
        <is>
          <t>Fruits frais</t>
        </is>
      </c>
      <c r="C40" t="inlineStr">
        <is>
          <t>Pastèque</t>
        </is>
      </c>
      <c r="D40" t="inlineStr">
        <is>
          <t>Pièce</t>
        </is>
      </c>
      <c r="E40" s="7" t="n">
        <v>0</v>
      </c>
      <c r="F40" s="7" t="n">
        <v>0</v>
      </c>
      <c r="G40" s="7" t="n">
        <v>0</v>
      </c>
      <c r="H40" s="7">
        <f>E40+F40-G40</f>
        <v/>
      </c>
      <c r="I40" s="7" t="n">
        <v>0</v>
      </c>
      <c r="J40" s="7">
        <f>H40*I40</f>
        <v/>
      </c>
    </row>
    <row r="41">
      <c r="A41" t="n">
        <v>38</v>
      </c>
      <c r="B41" t="inlineStr">
        <is>
          <t>Fruits frais</t>
        </is>
      </c>
      <c r="C41" t="inlineStr">
        <is>
          <t>Pamplemousse</t>
        </is>
      </c>
      <c r="D41" t="inlineStr">
        <is>
          <t>Pièce</t>
        </is>
      </c>
      <c r="E41" s="7" t="n">
        <v>0</v>
      </c>
      <c r="F41" s="7" t="n">
        <v>0</v>
      </c>
      <c r="G41" s="7" t="n">
        <v>0</v>
      </c>
      <c r="H41" s="7">
        <f>E41+F41-G41</f>
        <v/>
      </c>
      <c r="I41" s="7" t="n">
        <v>0</v>
      </c>
      <c r="J41" s="7">
        <f>H41*I41</f>
        <v/>
      </c>
    </row>
    <row r="42">
      <c r="A42" t="n">
        <v>39</v>
      </c>
      <c r="B42" t="inlineStr">
        <is>
          <t>Fruits frais</t>
        </is>
      </c>
      <c r="C42" t="inlineStr">
        <is>
          <t>Fruits pour jus</t>
        </is>
      </c>
      <c r="D42" t="inlineStr">
        <is>
          <t>Pièce</t>
        </is>
      </c>
      <c r="E42" s="7" t="n">
        <v>0</v>
      </c>
      <c r="F42" s="7" t="n">
        <v>0</v>
      </c>
      <c r="G42" s="7" t="n">
        <v>0</v>
      </c>
      <c r="H42" s="7">
        <f>E42+F42-G42</f>
        <v/>
      </c>
      <c r="I42" s="7" t="n">
        <v>0</v>
      </c>
      <c r="J42" s="7">
        <f>H42*I42</f>
        <v/>
      </c>
    </row>
    <row r="43">
      <c r="A43" t="n">
        <v>40</v>
      </c>
      <c r="B43" t="inlineStr">
        <is>
          <t>Produits secs &amp; épicerie</t>
        </is>
      </c>
      <c r="C43" t="inlineStr">
        <is>
          <t>Riz</t>
        </is>
      </c>
      <c r="D43" t="inlineStr">
        <is>
          <t>Kg</t>
        </is>
      </c>
      <c r="E43" s="7" t="n">
        <v>0</v>
      </c>
      <c r="F43" s="7" t="n">
        <v>0</v>
      </c>
      <c r="G43" s="7" t="n">
        <v>0</v>
      </c>
      <c r="H43" s="7">
        <f>E43+F43-G43</f>
        <v/>
      </c>
      <c r="I43" s="7" t="n">
        <v>0</v>
      </c>
      <c r="J43" s="7">
        <f>H43*I43</f>
        <v/>
      </c>
    </row>
    <row r="44">
      <c r="A44" t="n">
        <v>41</v>
      </c>
      <c r="B44" t="inlineStr">
        <is>
          <t>Produits secs &amp; épicerie</t>
        </is>
      </c>
      <c r="C44" t="inlineStr">
        <is>
          <t>Pâtes</t>
        </is>
      </c>
      <c r="D44" t="inlineStr">
        <is>
          <t>gm</t>
        </is>
      </c>
      <c r="E44" s="7" t="n">
        <v>0</v>
      </c>
      <c r="F44" s="7" t="n">
        <v>0</v>
      </c>
      <c r="G44" s="7" t="n">
        <v>0</v>
      </c>
      <c r="H44" s="7">
        <f>E44+F44-G44</f>
        <v/>
      </c>
      <c r="I44" s="7" t="n">
        <v>0</v>
      </c>
      <c r="J44" s="7">
        <f>H44*I44</f>
        <v/>
      </c>
    </row>
    <row r="45">
      <c r="A45" t="n">
        <v>42</v>
      </c>
      <c r="B45" t="inlineStr">
        <is>
          <t>Produits secs &amp; épicerie</t>
        </is>
      </c>
      <c r="C45" t="inlineStr">
        <is>
          <t>Haricots</t>
        </is>
      </c>
      <c r="D45" t="inlineStr">
        <is>
          <t>Kg</t>
        </is>
      </c>
      <c r="E45" s="7" t="n">
        <v>0</v>
      </c>
      <c r="F45" s="7" t="n">
        <v>0</v>
      </c>
      <c r="G45" s="7" t="n">
        <v>0</v>
      </c>
      <c r="H45" s="7">
        <f>E45+F45-G45</f>
        <v/>
      </c>
      <c r="I45" s="7" t="n">
        <v>0</v>
      </c>
      <c r="J45" s="7">
        <f>H45*I45</f>
        <v/>
      </c>
    </row>
    <row r="46">
      <c r="A46" t="n">
        <v>43</v>
      </c>
      <c r="B46" t="inlineStr">
        <is>
          <t>Produits secs &amp; épicerie</t>
        </is>
      </c>
      <c r="C46" t="inlineStr">
        <is>
          <t>Farines</t>
        </is>
      </c>
      <c r="D46" t="inlineStr">
        <is>
          <t>Kg</t>
        </is>
      </c>
      <c r="E46" s="7" t="n">
        <v>0</v>
      </c>
      <c r="F46" s="7" t="n">
        <v>0</v>
      </c>
      <c r="G46" s="7" t="n">
        <v>0</v>
      </c>
      <c r="H46" s="7">
        <f>E46+F46-G46</f>
        <v/>
      </c>
      <c r="I46" s="7" t="n">
        <v>0</v>
      </c>
      <c r="J46" s="7">
        <f>H46*I46</f>
        <v/>
      </c>
    </row>
    <row r="47">
      <c r="A47" t="n">
        <v>44</v>
      </c>
      <c r="B47" t="inlineStr">
        <is>
          <t>Produits secs &amp; épicerie</t>
        </is>
      </c>
      <c r="C47" t="inlineStr">
        <is>
          <t>Sucres</t>
        </is>
      </c>
      <c r="D47" t="inlineStr">
        <is>
          <t>Kg</t>
        </is>
      </c>
      <c r="E47" s="7" t="n">
        <v>0</v>
      </c>
      <c r="F47" s="7" t="n">
        <v>0</v>
      </c>
      <c r="G47" s="7" t="n">
        <v>0</v>
      </c>
      <c r="H47" s="7">
        <f>E47+F47-G47</f>
        <v/>
      </c>
      <c r="I47" s="7" t="n">
        <v>0</v>
      </c>
      <c r="J47" s="7">
        <f>H47*I47</f>
        <v/>
      </c>
    </row>
    <row r="48">
      <c r="A48" t="n">
        <v>45</v>
      </c>
      <c r="B48" t="inlineStr">
        <is>
          <t>Produits secs &amp; épicerie</t>
        </is>
      </c>
      <c r="C48" t="inlineStr">
        <is>
          <t>Sel</t>
        </is>
      </c>
      <c r="D48" t="inlineStr">
        <is>
          <t>Kg</t>
        </is>
      </c>
      <c r="E48" s="7" t="n">
        <v>0</v>
      </c>
      <c r="F48" s="7" t="n">
        <v>0</v>
      </c>
      <c r="G48" s="7" t="n">
        <v>0</v>
      </c>
      <c r="H48" s="7">
        <f>E48+F48-G48</f>
        <v/>
      </c>
      <c r="I48" s="7" t="n">
        <v>0</v>
      </c>
      <c r="J48" s="7">
        <f>H48*I48</f>
        <v/>
      </c>
    </row>
    <row r="49">
      <c r="A49" t="n">
        <v>46</v>
      </c>
      <c r="B49" t="inlineStr">
        <is>
          <t>Produits secs &amp; épicerie</t>
        </is>
      </c>
      <c r="C49" t="inlineStr">
        <is>
          <t>Bouillons &amp; cubes</t>
        </is>
      </c>
      <c r="D49" t="inlineStr">
        <is>
          <t>Paquet</t>
        </is>
      </c>
      <c r="E49" s="7" t="n">
        <v>0</v>
      </c>
      <c r="F49" s="7" t="n">
        <v>0</v>
      </c>
      <c r="G49" s="7" t="n">
        <v>0</v>
      </c>
      <c r="H49" s="7">
        <f>E49+F49-G49</f>
        <v/>
      </c>
      <c r="I49" s="7" t="n">
        <v>0</v>
      </c>
      <c r="J49" s="7">
        <f>H49*I49</f>
        <v/>
      </c>
    </row>
    <row r="50">
      <c r="A50" t="n">
        <v>47</v>
      </c>
      <c r="B50" t="inlineStr">
        <is>
          <t>Produits secs &amp; épicerie</t>
        </is>
      </c>
      <c r="C50" t="inlineStr">
        <is>
          <t>Levure</t>
        </is>
      </c>
      <c r="D50" t="inlineStr">
        <is>
          <t>Boite</t>
        </is>
      </c>
      <c r="E50" s="7" t="n">
        <v>0</v>
      </c>
      <c r="F50" s="7" t="n">
        <v>0</v>
      </c>
      <c r="G50" s="7" t="n">
        <v>0</v>
      </c>
      <c r="H50" s="7">
        <f>E50+F50-G50</f>
        <v/>
      </c>
      <c r="I50" s="7" t="n">
        <v>0</v>
      </c>
      <c r="J50" s="7">
        <f>H50*I50</f>
        <v/>
      </c>
    </row>
    <row r="51">
      <c r="A51" t="n">
        <v>48</v>
      </c>
      <c r="B51" t="inlineStr">
        <is>
          <t>Produits laitiers &amp; fromages</t>
        </is>
      </c>
      <c r="C51" t="inlineStr">
        <is>
          <t>Lait &amp; crème</t>
        </is>
      </c>
      <c r="D51" t="inlineStr">
        <is>
          <t>Litre</t>
        </is>
      </c>
      <c r="E51" s="7" t="n">
        <v>0</v>
      </c>
      <c r="F51" s="7" t="n">
        <v>0</v>
      </c>
      <c r="G51" s="7" t="n">
        <v>0</v>
      </c>
      <c r="H51" s="7">
        <f>E51+F51-G51</f>
        <v/>
      </c>
      <c r="I51" s="7" t="n">
        <v>0</v>
      </c>
      <c r="J51" s="7">
        <f>H51*I51</f>
        <v/>
      </c>
    </row>
    <row r="52">
      <c r="A52" t="n">
        <v>49</v>
      </c>
      <c r="B52" t="inlineStr">
        <is>
          <t>Produits laitiers &amp; fromages</t>
        </is>
      </c>
      <c r="C52" t="inlineStr">
        <is>
          <t>Beurres &amp; margarines</t>
        </is>
      </c>
      <c r="D52" t="inlineStr">
        <is>
          <t>Boite</t>
        </is>
      </c>
      <c r="E52" s="7" t="n">
        <v>0</v>
      </c>
      <c r="F52" s="7" t="n">
        <v>0</v>
      </c>
      <c r="G52" s="7" t="n">
        <v>0</v>
      </c>
      <c r="H52" s="7">
        <f>E52+F52-G52</f>
        <v/>
      </c>
      <c r="I52" s="7" t="n">
        <v>0</v>
      </c>
      <c r="J52" s="7">
        <f>H52*I52</f>
        <v/>
      </c>
    </row>
    <row r="53">
      <c r="A53" t="n">
        <v>50</v>
      </c>
      <c r="B53" t="inlineStr">
        <is>
          <t>Produits laitiers &amp; fromages</t>
        </is>
      </c>
      <c r="C53" t="inlineStr">
        <is>
          <t>Fromages tranchés</t>
        </is>
      </c>
      <c r="D53" t="inlineStr">
        <is>
          <t>Pièces</t>
        </is>
      </c>
      <c r="E53" s="7" t="n">
        <v>0</v>
      </c>
      <c r="F53" s="7" t="n">
        <v>0</v>
      </c>
      <c r="G53" s="7" t="n">
        <v>0</v>
      </c>
      <c r="H53" s="7">
        <f>E53+F53-G53</f>
        <v/>
      </c>
      <c r="I53" s="7" t="n">
        <v>0</v>
      </c>
      <c r="J53" s="7">
        <f>H53*I53</f>
        <v/>
      </c>
    </row>
    <row r="54">
      <c r="A54" t="n">
        <v>51</v>
      </c>
      <c r="B54" t="inlineStr">
        <is>
          <t>Produits laitiers &amp; fromages</t>
        </is>
      </c>
      <c r="C54" t="inlineStr">
        <is>
          <t>Fromages râpés</t>
        </is>
      </c>
      <c r="D54" t="inlineStr">
        <is>
          <t>Pièces</t>
        </is>
      </c>
      <c r="E54" s="7" t="n">
        <v>0</v>
      </c>
      <c r="F54" s="7" t="n">
        <v>0</v>
      </c>
      <c r="G54" s="7" t="n">
        <v>0</v>
      </c>
      <c r="H54" s="7">
        <f>E54+F54-G54</f>
        <v/>
      </c>
      <c r="I54" s="7" t="n">
        <v>0</v>
      </c>
      <c r="J54" s="7">
        <f>H54*I54</f>
        <v/>
      </c>
    </row>
    <row r="55">
      <c r="A55" t="n">
        <v>52</v>
      </c>
      <c r="B55" t="inlineStr">
        <is>
          <t>Produits laitiers &amp; fromages</t>
        </is>
      </c>
      <c r="C55" t="inlineStr">
        <is>
          <t>Fromages en bloc</t>
        </is>
      </c>
      <c r="D55" t="inlineStr">
        <is>
          <t>Pièces</t>
        </is>
      </c>
      <c r="E55" s="7" t="n">
        <v>0</v>
      </c>
      <c r="F55" s="7" t="n">
        <v>0</v>
      </c>
      <c r="G55" s="7" t="n">
        <v>0</v>
      </c>
      <c r="H55" s="7">
        <f>E55+F55-G55</f>
        <v/>
      </c>
      <c r="I55" s="7" t="n">
        <v>0</v>
      </c>
      <c r="J55" s="7">
        <f>H55*I55</f>
        <v/>
      </c>
    </row>
    <row r="56">
      <c r="A56" t="n">
        <v>53</v>
      </c>
      <c r="B56" t="inlineStr">
        <is>
          <t>Produits laitiers &amp; fromages</t>
        </is>
      </c>
      <c r="C56" t="inlineStr">
        <is>
          <t>Yaourts</t>
        </is>
      </c>
      <c r="D56" t="inlineStr">
        <is>
          <t>Litre</t>
        </is>
      </c>
      <c r="E56" s="7" t="n">
        <v>0</v>
      </c>
      <c r="F56" s="7" t="n">
        <v>0</v>
      </c>
      <c r="G56" s="7" t="n">
        <v>0</v>
      </c>
      <c r="H56" s="7">
        <f>E56+F56-G56</f>
        <v/>
      </c>
      <c r="I56" s="7" t="n">
        <v>0</v>
      </c>
      <c r="J56" s="7">
        <f>H56*I56</f>
        <v/>
      </c>
    </row>
    <row r="57">
      <c r="A57" t="n">
        <v>54</v>
      </c>
      <c r="B57" t="inlineStr">
        <is>
          <t>Charcuterie</t>
        </is>
      </c>
      <c r="C57" t="inlineStr">
        <is>
          <t>Jambons</t>
        </is>
      </c>
      <c r="D57" t="inlineStr">
        <is>
          <t>Tranche</t>
        </is>
      </c>
      <c r="E57" s="7" t="n">
        <v>0</v>
      </c>
      <c r="F57" s="7" t="n">
        <v>0</v>
      </c>
      <c r="G57" s="7" t="n">
        <v>0</v>
      </c>
      <c r="H57" s="7">
        <f>E57+F57-G57</f>
        <v/>
      </c>
      <c r="I57" s="7" t="n">
        <v>0</v>
      </c>
      <c r="J57" s="7">
        <f>H57*I57</f>
        <v/>
      </c>
    </row>
    <row r="58">
      <c r="A58" t="n">
        <v>55</v>
      </c>
      <c r="B58" t="inlineStr">
        <is>
          <t>Charcuterie</t>
        </is>
      </c>
      <c r="C58" t="inlineStr">
        <is>
          <t>Bacons</t>
        </is>
      </c>
      <c r="D58" t="inlineStr">
        <is>
          <t>Tranche</t>
        </is>
      </c>
      <c r="E58" s="7" t="n">
        <v>0</v>
      </c>
      <c r="F58" s="7" t="n">
        <v>0</v>
      </c>
      <c r="G58" s="7" t="n">
        <v>0</v>
      </c>
      <c r="H58" s="7">
        <f>E58+F58-G58</f>
        <v/>
      </c>
      <c r="I58" s="7" t="n">
        <v>0</v>
      </c>
      <c r="J58" s="7">
        <f>H58*I58</f>
        <v/>
      </c>
    </row>
    <row r="59">
      <c r="A59" t="n">
        <v>56</v>
      </c>
      <c r="B59" t="inlineStr">
        <is>
          <t>Charcuterie</t>
        </is>
      </c>
      <c r="C59" t="inlineStr">
        <is>
          <t>Saucissons</t>
        </is>
      </c>
      <c r="D59" t="inlineStr">
        <is>
          <t>Tranche</t>
        </is>
      </c>
      <c r="E59" s="7" t="n">
        <v>0</v>
      </c>
      <c r="F59" s="7" t="n">
        <v>0</v>
      </c>
      <c r="G59" s="7" t="n">
        <v>0</v>
      </c>
      <c r="H59" s="7">
        <f>E59+F59-G59</f>
        <v/>
      </c>
      <c r="I59" s="7" t="n">
        <v>0</v>
      </c>
      <c r="J59" s="7">
        <f>H59*I59</f>
        <v/>
      </c>
    </row>
    <row r="60">
      <c r="A60" t="n">
        <v>57</v>
      </c>
      <c r="B60" t="inlineStr">
        <is>
          <t>Charcuterie</t>
        </is>
      </c>
      <c r="C60" t="inlineStr">
        <is>
          <t>Pepperoni</t>
        </is>
      </c>
      <c r="D60" t="inlineStr">
        <is>
          <t>Tranche</t>
        </is>
      </c>
      <c r="E60" s="7" t="n">
        <v>0</v>
      </c>
      <c r="F60" s="7" t="n">
        <v>0</v>
      </c>
      <c r="G60" s="7" t="n">
        <v>0</v>
      </c>
      <c r="H60" s="7">
        <f>E60+F60-G60</f>
        <v/>
      </c>
      <c r="I60" s="7" t="n">
        <v>0</v>
      </c>
      <c r="J60" s="7">
        <f>H60*I60</f>
        <v/>
      </c>
    </row>
    <row r="61">
      <c r="A61" t="n">
        <v>58</v>
      </c>
      <c r="B61" t="inlineStr">
        <is>
          <t>Charcuterie</t>
        </is>
      </c>
      <c r="C61" t="inlineStr">
        <is>
          <t>Charcuterie cuite</t>
        </is>
      </c>
      <c r="D61" t="inlineStr">
        <is>
          <t>Tranche</t>
        </is>
      </c>
      <c r="E61" s="7" t="n">
        <v>0</v>
      </c>
      <c r="F61" s="7" t="n">
        <v>0</v>
      </c>
      <c r="G61" s="7" t="n">
        <v>0</v>
      </c>
      <c r="H61" s="7">
        <f>E61+F61-G61</f>
        <v/>
      </c>
      <c r="I61" s="7" t="n">
        <v>0</v>
      </c>
      <c r="J61" s="7">
        <f>H61*I61</f>
        <v/>
      </c>
    </row>
    <row r="62">
      <c r="A62" t="n">
        <v>59</v>
      </c>
      <c r="B62" t="inlineStr">
        <is>
          <t>Charcuterie</t>
        </is>
      </c>
      <c r="C62" t="inlineStr">
        <is>
          <t>Charcuterie fumée</t>
        </is>
      </c>
      <c r="D62" t="inlineStr">
        <is>
          <t>Tranche</t>
        </is>
      </c>
      <c r="E62" s="7" t="n">
        <v>0</v>
      </c>
      <c r="F62" s="7" t="n">
        <v>0</v>
      </c>
      <c r="G62" s="7" t="n">
        <v>0</v>
      </c>
      <c r="H62" s="7">
        <f>E62+F62-G62</f>
        <v/>
      </c>
      <c r="I62" s="7" t="n">
        <v>0</v>
      </c>
      <c r="J62" s="7">
        <f>H62*I62</f>
        <v/>
      </c>
    </row>
    <row r="63">
      <c r="A63" t="n">
        <v>60</v>
      </c>
      <c r="B63" t="inlineStr">
        <is>
          <t>Surgelés</t>
        </is>
      </c>
      <c r="C63" t="inlineStr">
        <is>
          <t>Frites surgelées</t>
        </is>
      </c>
      <c r="D63" t="inlineStr">
        <is>
          <t>Paquet</t>
        </is>
      </c>
      <c r="E63" s="7" t="n">
        <v>0</v>
      </c>
      <c r="F63" s="7" t="n">
        <v>0</v>
      </c>
      <c r="G63" s="7" t="n">
        <v>0</v>
      </c>
      <c r="H63" s="7">
        <f>E63+F63-G63</f>
        <v/>
      </c>
      <c r="I63" s="7" t="n">
        <v>0</v>
      </c>
      <c r="J63" s="7">
        <f>H63*I63</f>
        <v/>
      </c>
    </row>
    <row r="64">
      <c r="A64" t="n">
        <v>61</v>
      </c>
      <c r="B64" t="inlineStr">
        <is>
          <t>Surgelés</t>
        </is>
      </c>
      <c r="C64" t="inlineStr">
        <is>
          <t>Légumes surgelés</t>
        </is>
      </c>
      <c r="D64" t="inlineStr">
        <is>
          <t>Paquet</t>
        </is>
      </c>
      <c r="E64" s="7" t="n">
        <v>0</v>
      </c>
      <c r="F64" s="7" t="n">
        <v>0</v>
      </c>
      <c r="G64" s="7" t="n">
        <v>0</v>
      </c>
      <c r="H64" s="7">
        <f>E64+F64-G64</f>
        <v/>
      </c>
      <c r="I64" s="7" t="n">
        <v>0</v>
      </c>
      <c r="J64" s="7">
        <f>H64*I64</f>
        <v/>
      </c>
    </row>
    <row r="65">
      <c r="A65" t="n">
        <v>62</v>
      </c>
      <c r="B65" t="inlineStr">
        <is>
          <t>Surgelés</t>
        </is>
      </c>
      <c r="C65" t="inlineStr">
        <is>
          <t>Viandes surgelées</t>
        </is>
      </c>
      <c r="D65" t="inlineStr">
        <is>
          <t>Paquet</t>
        </is>
      </c>
      <c r="E65" s="7" t="n">
        <v>0</v>
      </c>
      <c r="F65" s="7" t="n">
        <v>0</v>
      </c>
      <c r="G65" s="7" t="n">
        <v>0</v>
      </c>
      <c r="H65" s="7">
        <f>E65+F65-G65</f>
        <v/>
      </c>
      <c r="I65" s="7" t="n">
        <v>0</v>
      </c>
      <c r="J65" s="7">
        <f>H65*I65</f>
        <v/>
      </c>
    </row>
    <row r="66">
      <c r="A66" t="n">
        <v>63</v>
      </c>
      <c r="B66" t="inlineStr">
        <is>
          <t>Surgelés</t>
        </is>
      </c>
      <c r="C66" t="inlineStr">
        <is>
          <t>Poissons surgelés</t>
        </is>
      </c>
      <c r="D66" t="inlineStr">
        <is>
          <t>Paquet</t>
        </is>
      </c>
      <c r="E66" s="7" t="n">
        <v>0</v>
      </c>
      <c r="F66" s="7" t="n">
        <v>0</v>
      </c>
      <c r="G66" s="7" t="n">
        <v>0</v>
      </c>
      <c r="H66" s="7">
        <f>E66+F66-G66</f>
        <v/>
      </c>
      <c r="I66" s="7" t="n">
        <v>0</v>
      </c>
      <c r="J66" s="7">
        <f>H66*I66</f>
        <v/>
      </c>
    </row>
    <row r="67">
      <c r="A67" t="n">
        <v>64</v>
      </c>
      <c r="B67" t="inlineStr">
        <is>
          <t>Surgelés</t>
        </is>
      </c>
      <c r="C67" t="inlineStr">
        <is>
          <t>Produits panés</t>
        </is>
      </c>
      <c r="D67" t="inlineStr">
        <is>
          <t>Paquet</t>
        </is>
      </c>
      <c r="E67" s="7" t="n">
        <v>0</v>
      </c>
      <c r="F67" s="7" t="n">
        <v>0</v>
      </c>
      <c r="G67" s="7" t="n">
        <v>0</v>
      </c>
      <c r="H67" s="7">
        <f>E67+F67-G67</f>
        <v/>
      </c>
      <c r="I67" s="7" t="n">
        <v>0</v>
      </c>
      <c r="J67" s="7">
        <f>H67*I67</f>
        <v/>
      </c>
    </row>
    <row r="68">
      <c r="A68" t="n">
        <v>65</v>
      </c>
      <c r="B68" t="inlineStr">
        <is>
          <t>Surgelés</t>
        </is>
      </c>
      <c r="C68" t="inlineStr">
        <is>
          <t>Pâtes surgelées</t>
        </is>
      </c>
      <c r="D68" t="inlineStr">
        <is>
          <t>Paquet</t>
        </is>
      </c>
      <c r="E68" s="7" t="n">
        <v>0</v>
      </c>
      <c r="F68" s="7" t="n">
        <v>0</v>
      </c>
      <c r="G68" s="7" t="n">
        <v>0</v>
      </c>
      <c r="H68" s="7">
        <f>E68+F68-G68</f>
        <v/>
      </c>
      <c r="I68" s="7" t="n">
        <v>0</v>
      </c>
      <c r="J68" s="7">
        <f>H68*I68</f>
        <v/>
      </c>
    </row>
    <row r="69">
      <c r="A69" t="n">
        <v>66</v>
      </c>
      <c r="B69" t="inlineStr">
        <is>
          <t>Sauces &amp; condiments</t>
        </is>
      </c>
      <c r="C69" t="inlineStr">
        <is>
          <t>Ketchup</t>
        </is>
      </c>
      <c r="D69" t="inlineStr">
        <is>
          <t>Bouteille</t>
        </is>
      </c>
      <c r="E69" s="7" t="n">
        <v>0</v>
      </c>
      <c r="F69" s="7" t="n">
        <v>0</v>
      </c>
      <c r="G69" s="7" t="n">
        <v>0</v>
      </c>
      <c r="H69" s="7">
        <f>E69+F69-G69</f>
        <v/>
      </c>
      <c r="I69" s="7" t="n">
        <v>0</v>
      </c>
      <c r="J69" s="7">
        <f>H69*I69</f>
        <v/>
      </c>
    </row>
    <row r="70">
      <c r="A70" t="n">
        <v>67</v>
      </c>
      <c r="B70" t="inlineStr">
        <is>
          <t>Sauces &amp; condiments</t>
        </is>
      </c>
      <c r="C70" t="inlineStr">
        <is>
          <t>Mayonnaise</t>
        </is>
      </c>
      <c r="D70" t="inlineStr">
        <is>
          <t>Bouteille</t>
        </is>
      </c>
      <c r="E70" s="7" t="n">
        <v>0</v>
      </c>
      <c r="F70" s="7" t="n">
        <v>0</v>
      </c>
      <c r="G70" s="7" t="n">
        <v>0</v>
      </c>
      <c r="H70" s="7">
        <f>E70+F70-G70</f>
        <v/>
      </c>
      <c r="I70" s="7" t="n">
        <v>0</v>
      </c>
      <c r="J70" s="7">
        <f>H70*I70</f>
        <v/>
      </c>
    </row>
    <row r="71">
      <c r="A71" t="n">
        <v>68</v>
      </c>
      <c r="B71" t="inlineStr">
        <is>
          <t>Sauces &amp; condiments</t>
        </is>
      </c>
      <c r="C71" t="inlineStr">
        <is>
          <t>Moutarde</t>
        </is>
      </c>
      <c r="D71" t="inlineStr">
        <is>
          <t>Bouteille</t>
        </is>
      </c>
      <c r="E71" s="7" t="n">
        <v>0</v>
      </c>
      <c r="F71" s="7" t="n">
        <v>0</v>
      </c>
      <c r="G71" s="7" t="n">
        <v>0</v>
      </c>
      <c r="H71" s="7">
        <f>E71+F71-G71</f>
        <v/>
      </c>
      <c r="I71" s="7" t="n">
        <v>0</v>
      </c>
      <c r="J71" s="7">
        <f>H71*I71</f>
        <v/>
      </c>
    </row>
    <row r="72">
      <c r="A72" t="n">
        <v>69</v>
      </c>
      <c r="B72" t="inlineStr">
        <is>
          <t>Sauces &amp; condiments</t>
        </is>
      </c>
      <c r="C72" t="inlineStr">
        <is>
          <t>Vinaigres</t>
        </is>
      </c>
      <c r="D72" t="inlineStr">
        <is>
          <t>Bouteille</t>
        </is>
      </c>
      <c r="E72" s="7" t="n">
        <v>0</v>
      </c>
      <c r="F72" s="7" t="n">
        <v>0</v>
      </c>
      <c r="G72" s="7" t="n">
        <v>0</v>
      </c>
      <c r="H72" s="7">
        <f>E72+F72-G72</f>
        <v/>
      </c>
      <c r="I72" s="7" t="n">
        <v>0</v>
      </c>
      <c r="J72" s="7">
        <f>H72*I72</f>
        <v/>
      </c>
    </row>
    <row r="73">
      <c r="A73" t="n">
        <v>70</v>
      </c>
      <c r="B73" t="inlineStr">
        <is>
          <t>Sauces &amp; condiments</t>
        </is>
      </c>
      <c r="C73" t="inlineStr">
        <is>
          <t>Marinades</t>
        </is>
      </c>
      <c r="D73" t="inlineStr">
        <is>
          <t>Bouteille</t>
        </is>
      </c>
      <c r="E73" s="7" t="n">
        <v>0</v>
      </c>
      <c r="F73" s="7" t="n">
        <v>0</v>
      </c>
      <c r="G73" s="7" t="n">
        <v>0</v>
      </c>
      <c r="H73" s="7">
        <f>E73+F73-G73</f>
        <v/>
      </c>
      <c r="I73" s="7" t="n">
        <v>0</v>
      </c>
      <c r="J73" s="7">
        <f>H73*I73</f>
        <v/>
      </c>
    </row>
    <row r="74">
      <c r="A74" t="n">
        <v>71</v>
      </c>
      <c r="B74" t="inlineStr">
        <is>
          <t>Sauces &amp; condiments</t>
        </is>
      </c>
      <c r="C74" t="inlineStr">
        <is>
          <t>Bouillons liquides</t>
        </is>
      </c>
      <c r="D74" t="inlineStr">
        <is>
          <t>Bouteille</t>
        </is>
      </c>
      <c r="E74" s="7" t="n">
        <v>0</v>
      </c>
      <c r="F74" s="7" t="n">
        <v>0</v>
      </c>
      <c r="G74" s="7" t="n">
        <v>0</v>
      </c>
      <c r="H74" s="7">
        <f>E74+F74-G74</f>
        <v/>
      </c>
      <c r="I74" s="7" t="n">
        <v>0</v>
      </c>
      <c r="J74" s="7">
        <f>H74*I74</f>
        <v/>
      </c>
    </row>
    <row r="75">
      <c r="A75" t="n">
        <v>72</v>
      </c>
      <c r="B75" t="inlineStr">
        <is>
          <t>Boulangerie &amp; pains</t>
        </is>
      </c>
      <c r="C75" t="inlineStr">
        <is>
          <t>Pains burgers</t>
        </is>
      </c>
      <c r="D75" t="inlineStr">
        <is>
          <t>Nombre</t>
        </is>
      </c>
      <c r="E75" s="7" t="n">
        <v>0</v>
      </c>
      <c r="F75" s="7" t="n">
        <v>0</v>
      </c>
      <c r="G75" s="7" t="n">
        <v>0</v>
      </c>
      <c r="H75" s="7">
        <f>E75+F75-G75</f>
        <v/>
      </c>
      <c r="I75" s="7" t="n">
        <v>0</v>
      </c>
      <c r="J75" s="7">
        <f>H75*I75</f>
        <v/>
      </c>
    </row>
    <row r="76">
      <c r="A76" t="n">
        <v>73</v>
      </c>
      <c r="B76" t="inlineStr">
        <is>
          <t>Boulangerie &amp; pains</t>
        </is>
      </c>
      <c r="C76" t="inlineStr">
        <is>
          <t>Pains hot-dog</t>
        </is>
      </c>
      <c r="D76" t="inlineStr">
        <is>
          <t>Nombre</t>
        </is>
      </c>
      <c r="E76" s="7" t="n">
        <v>0</v>
      </c>
      <c r="F76" s="7" t="n">
        <v>0</v>
      </c>
      <c r="G76" s="7" t="n">
        <v>0</v>
      </c>
      <c r="H76" s="7">
        <f>E76+F76-G76</f>
        <v/>
      </c>
      <c r="I76" s="7" t="n">
        <v>0</v>
      </c>
      <c r="J76" s="7">
        <f>H76*I76</f>
        <v/>
      </c>
    </row>
    <row r="77">
      <c r="A77" t="n">
        <v>74</v>
      </c>
      <c r="B77" t="inlineStr">
        <is>
          <t>Boulangerie &amp; pains</t>
        </is>
      </c>
      <c r="C77" t="inlineStr">
        <is>
          <t>Pains sandwich</t>
        </is>
      </c>
      <c r="D77" t="inlineStr">
        <is>
          <t>Nombre</t>
        </is>
      </c>
      <c r="E77" s="7" t="n">
        <v>0</v>
      </c>
      <c r="F77" s="7" t="n">
        <v>0</v>
      </c>
      <c r="G77" s="7" t="n">
        <v>0</v>
      </c>
      <c r="H77" s="7">
        <f>E77+F77-G77</f>
        <v/>
      </c>
      <c r="I77" s="7" t="n">
        <v>0</v>
      </c>
      <c r="J77" s="7">
        <f>H77*I77</f>
        <v/>
      </c>
    </row>
    <row r="78">
      <c r="A78" t="n">
        <v>75</v>
      </c>
      <c r="B78" t="inlineStr">
        <is>
          <t>Boulangerie &amp; pains</t>
        </is>
      </c>
      <c r="C78" t="inlineStr">
        <is>
          <t>Baguettes</t>
        </is>
      </c>
      <c r="D78" t="inlineStr">
        <is>
          <t>Nombre</t>
        </is>
      </c>
      <c r="E78" s="7" t="n">
        <v>0</v>
      </c>
      <c r="F78" s="7" t="n">
        <v>0</v>
      </c>
      <c r="G78" s="7" t="n">
        <v>0</v>
      </c>
      <c r="H78" s="7">
        <f>E78+F78-G78</f>
        <v/>
      </c>
      <c r="I78" s="7" t="n">
        <v>0</v>
      </c>
      <c r="J78" s="7">
        <f>H78*I78</f>
        <v/>
      </c>
    </row>
    <row r="79">
      <c r="A79" t="n">
        <v>76</v>
      </c>
      <c r="B79" t="inlineStr">
        <is>
          <t>Boulangerie &amp; pains</t>
        </is>
      </c>
      <c r="C79" t="inlineStr">
        <is>
          <t>Tortillas / wraps</t>
        </is>
      </c>
      <c r="D79" t="inlineStr">
        <is>
          <t>Nombre</t>
        </is>
      </c>
      <c r="E79" s="7" t="n">
        <v>0</v>
      </c>
      <c r="F79" s="7" t="n">
        <v>0</v>
      </c>
      <c r="G79" s="7" t="n">
        <v>0</v>
      </c>
      <c r="H79" s="7">
        <f>E79+F79-G79</f>
        <v/>
      </c>
      <c r="I79" s="7" t="n">
        <v>0</v>
      </c>
      <c r="J79" s="7">
        <f>H79*I79</f>
        <v/>
      </c>
    </row>
    <row r="80">
      <c r="A80" t="n">
        <v>77</v>
      </c>
      <c r="B80" t="inlineStr">
        <is>
          <t>Boulangerie &amp; pains</t>
        </is>
      </c>
      <c r="C80" t="inlineStr">
        <is>
          <t>Pain spécial</t>
        </is>
      </c>
      <c r="D80" t="inlineStr">
        <is>
          <t>Nombre</t>
        </is>
      </c>
      <c r="E80" s="7" t="n">
        <v>0</v>
      </c>
      <c r="F80" s="7" t="n">
        <v>0</v>
      </c>
      <c r="G80" s="7" t="n">
        <v>0</v>
      </c>
      <c r="H80" s="7">
        <f>E80+F80-G80</f>
        <v/>
      </c>
      <c r="I80" s="7" t="n">
        <v>0</v>
      </c>
      <c r="J80" s="7">
        <f>H80*I80</f>
        <v/>
      </c>
    </row>
    <row r="81">
      <c r="A81" t="n">
        <v>78</v>
      </c>
      <c r="B81" t="inlineStr">
        <is>
          <t>Herbes &amp; épices</t>
        </is>
      </c>
      <c r="C81" t="inlineStr">
        <is>
          <t>Herbes fraîches</t>
        </is>
      </c>
      <c r="D81" t="inlineStr">
        <is>
          <t>Bouquet</t>
        </is>
      </c>
      <c r="E81" s="7" t="n">
        <v>0</v>
      </c>
      <c r="F81" s="7" t="n">
        <v>0</v>
      </c>
      <c r="G81" s="7" t="n">
        <v>0</v>
      </c>
      <c r="H81" s="7">
        <f>E81+F81-G81</f>
        <v/>
      </c>
      <c r="I81" s="7" t="n">
        <v>0</v>
      </c>
      <c r="J81" s="7">
        <f>H81*I81</f>
        <v/>
      </c>
    </row>
    <row r="82">
      <c r="A82" t="n">
        <v>79</v>
      </c>
      <c r="B82" t="inlineStr">
        <is>
          <t>Herbes &amp; épices</t>
        </is>
      </c>
      <c r="C82" t="inlineStr">
        <is>
          <t>Herbes sèches</t>
        </is>
      </c>
      <c r="D82" t="inlineStr">
        <is>
          <t>Bouquet</t>
        </is>
      </c>
      <c r="E82" s="7" t="n">
        <v>0</v>
      </c>
      <c r="F82" s="7" t="n">
        <v>0</v>
      </c>
      <c r="G82" s="7" t="n">
        <v>0</v>
      </c>
      <c r="H82" s="7">
        <f>E82+F82-G82</f>
        <v/>
      </c>
      <c r="I82" s="7" t="n">
        <v>0</v>
      </c>
      <c r="J82" s="7">
        <f>H82*I82</f>
        <v/>
      </c>
    </row>
    <row r="83">
      <c r="A83" t="n">
        <v>80</v>
      </c>
      <c r="B83" t="inlineStr">
        <is>
          <t>Herbes &amp; épices</t>
        </is>
      </c>
      <c r="C83" t="inlineStr">
        <is>
          <t>Épices moulues</t>
        </is>
      </c>
      <c r="D83" t="inlineStr">
        <is>
          <t>Sachet</t>
        </is>
      </c>
      <c r="E83" s="7" t="n">
        <v>0</v>
      </c>
      <c r="F83" s="7" t="n">
        <v>0</v>
      </c>
      <c r="G83" s="7" t="n">
        <v>0</v>
      </c>
      <c r="H83" s="7">
        <f>E83+F83-G83</f>
        <v/>
      </c>
      <c r="I83" s="7" t="n">
        <v>0</v>
      </c>
      <c r="J83" s="7">
        <f>H83*I83</f>
        <v/>
      </c>
    </row>
    <row r="84">
      <c r="A84" t="n">
        <v>81</v>
      </c>
      <c r="B84" t="inlineStr">
        <is>
          <t>Herbes &amp; épices</t>
        </is>
      </c>
      <c r="C84" t="inlineStr">
        <is>
          <t>Épices entières</t>
        </is>
      </c>
      <c r="D84" t="inlineStr">
        <is>
          <t>Sachet</t>
        </is>
      </c>
      <c r="E84" s="7" t="n">
        <v>0</v>
      </c>
      <c r="F84" s="7" t="n">
        <v>0</v>
      </c>
      <c r="G84" s="7" t="n">
        <v>0</v>
      </c>
      <c r="H84" s="7">
        <f>E84+F84-G84</f>
        <v/>
      </c>
      <c r="I84" s="7" t="n">
        <v>0</v>
      </c>
      <c r="J84" s="7">
        <f>H84*I84</f>
        <v/>
      </c>
    </row>
    <row r="85">
      <c r="A85" t="n">
        <v>82</v>
      </c>
      <c r="B85" t="inlineStr">
        <is>
          <t>Herbes &amp; épices</t>
        </is>
      </c>
      <c r="C85" t="inlineStr">
        <is>
          <t>Mélanges d'épices</t>
        </is>
      </c>
      <c r="D85" t="inlineStr">
        <is>
          <t>Sachet</t>
        </is>
      </c>
      <c r="E85" s="7" t="n">
        <v>0</v>
      </c>
      <c r="F85" s="7" t="n">
        <v>0</v>
      </c>
      <c r="G85" s="7" t="n">
        <v>0</v>
      </c>
      <c r="H85" s="7">
        <f>E85+F85-G85</f>
        <v/>
      </c>
      <c r="I85" s="7" t="n">
        <v>0</v>
      </c>
      <c r="J85" s="7">
        <f>H85*I85</f>
        <v/>
      </c>
    </row>
    <row r="86">
      <c r="A86" t="n">
        <v>83</v>
      </c>
      <c r="B86" t="inlineStr">
        <is>
          <t>Produits de pâtisserie</t>
        </is>
      </c>
      <c r="C86" t="inlineStr">
        <is>
          <t>Chocolats</t>
        </is>
      </c>
      <c r="D86" t="inlineStr">
        <is>
          <t>Boite</t>
        </is>
      </c>
      <c r="E86" s="7" t="n">
        <v>0</v>
      </c>
      <c r="F86" s="7" t="n">
        <v>0</v>
      </c>
      <c r="G86" s="7" t="n">
        <v>0</v>
      </c>
      <c r="H86" s="7">
        <f>E86+F86-G86</f>
        <v/>
      </c>
      <c r="I86" s="7" t="n">
        <v>0</v>
      </c>
      <c r="J86" s="7">
        <f>H86*I86</f>
        <v/>
      </c>
    </row>
    <row r="87">
      <c r="A87" t="n">
        <v>84</v>
      </c>
      <c r="B87" t="inlineStr">
        <is>
          <t>Produits de pâtisserie</t>
        </is>
      </c>
      <c r="C87" t="inlineStr">
        <is>
          <t>Levures</t>
        </is>
      </c>
      <c r="D87" t="inlineStr">
        <is>
          <t>Sachet</t>
        </is>
      </c>
      <c r="E87" s="7" t="n">
        <v>0</v>
      </c>
      <c r="F87" s="7" t="n">
        <v>0</v>
      </c>
      <c r="G87" s="7" t="n">
        <v>0</v>
      </c>
      <c r="H87" s="7">
        <f>E87+F87-G87</f>
        <v/>
      </c>
      <c r="I87" s="7" t="n">
        <v>0</v>
      </c>
      <c r="J87" s="7">
        <f>H87*I87</f>
        <v/>
      </c>
    </row>
    <row r="88">
      <c r="A88" t="n">
        <v>85</v>
      </c>
      <c r="B88" t="inlineStr">
        <is>
          <t>Produits de pâtisserie</t>
        </is>
      </c>
      <c r="C88" t="inlineStr">
        <is>
          <t>Arômes</t>
        </is>
      </c>
      <c r="D88" t="inlineStr">
        <is>
          <t>Bouteille</t>
        </is>
      </c>
      <c r="E88" s="7" t="n">
        <v>0</v>
      </c>
      <c r="F88" s="7" t="n">
        <v>0</v>
      </c>
      <c r="G88" s="7" t="n">
        <v>0</v>
      </c>
      <c r="H88" s="7">
        <f>E88+F88-G88</f>
        <v/>
      </c>
      <c r="I88" s="7" t="n">
        <v>0</v>
      </c>
      <c r="J88" s="7">
        <f>H88*I88</f>
        <v/>
      </c>
    </row>
    <row r="89">
      <c r="A89" t="n">
        <v>86</v>
      </c>
      <c r="B89" t="inlineStr">
        <is>
          <t>Produits de pâtisserie</t>
        </is>
      </c>
      <c r="C89" t="inlineStr">
        <is>
          <t>Sucre glace</t>
        </is>
      </c>
      <c r="D89" t="inlineStr">
        <is>
          <t>Kg</t>
        </is>
      </c>
      <c r="E89" s="7" t="n">
        <v>0</v>
      </c>
      <c r="F89" s="7" t="n">
        <v>0</v>
      </c>
      <c r="G89" s="7" t="n">
        <v>0</v>
      </c>
      <c r="H89" s="7">
        <f>E89+F89-G89</f>
        <v/>
      </c>
      <c r="I89" s="7" t="n">
        <v>0</v>
      </c>
      <c r="J89" s="7">
        <f>H89*I89</f>
        <v/>
      </c>
    </row>
    <row r="90">
      <c r="A90" t="n">
        <v>87</v>
      </c>
      <c r="B90" t="inlineStr">
        <is>
          <t>Produits de pâtisserie</t>
        </is>
      </c>
      <c r="C90" t="inlineStr">
        <is>
          <t>Cacao</t>
        </is>
      </c>
      <c r="D90" t="inlineStr">
        <is>
          <t>Boite</t>
        </is>
      </c>
      <c r="E90" s="7" t="n">
        <v>0</v>
      </c>
      <c r="F90" s="7" t="n">
        <v>0</v>
      </c>
      <c r="G90" s="7" t="n">
        <v>0</v>
      </c>
      <c r="H90" s="7">
        <f>E90+F90-G90</f>
        <v/>
      </c>
      <c r="I90" s="7" t="n">
        <v>0</v>
      </c>
      <c r="J90" s="7">
        <f>H90*I90</f>
        <v/>
      </c>
    </row>
    <row r="91">
      <c r="A91" t="n">
        <v>88</v>
      </c>
      <c r="B91" t="inlineStr">
        <is>
          <t>Produits de pâtisserie</t>
        </is>
      </c>
      <c r="C91" t="inlineStr">
        <is>
          <t>Fruits secs</t>
        </is>
      </c>
      <c r="D91" t="inlineStr">
        <is>
          <t>Kg</t>
        </is>
      </c>
      <c r="E91" s="7" t="n">
        <v>0</v>
      </c>
      <c r="F91" s="7" t="n">
        <v>0</v>
      </c>
      <c r="G91" s="7" t="n">
        <v>0</v>
      </c>
      <c r="H91" s="7">
        <f>E91+F91-G91</f>
        <v/>
      </c>
      <c r="I91" s="7" t="n">
        <v>0</v>
      </c>
      <c r="J91" s="7">
        <f>H91*I91</f>
        <v/>
      </c>
    </row>
    <row r="92">
      <c r="A92" t="n">
        <v>89</v>
      </c>
      <c r="B92" t="inlineStr">
        <is>
          <t>Huiles &amp; matières grasses</t>
        </is>
      </c>
      <c r="C92" t="inlineStr">
        <is>
          <t>Huiles végétales</t>
        </is>
      </c>
      <c r="D92" t="inlineStr">
        <is>
          <t>Litre</t>
        </is>
      </c>
      <c r="E92" s="7" t="n">
        <v>0</v>
      </c>
      <c r="F92" s="7" t="n">
        <v>0</v>
      </c>
      <c r="G92" s="7" t="n">
        <v>0</v>
      </c>
      <c r="H92" s="7">
        <f>E92+F92-G92</f>
        <v/>
      </c>
      <c r="I92" s="7" t="n">
        <v>0</v>
      </c>
      <c r="J92" s="7">
        <f>H92*I92</f>
        <v/>
      </c>
    </row>
    <row r="93">
      <c r="A93" t="n">
        <v>90</v>
      </c>
      <c r="B93" t="inlineStr">
        <is>
          <t>Huiles &amp; matières grasses</t>
        </is>
      </c>
      <c r="C93" t="inlineStr">
        <is>
          <t>Huiles spéciales</t>
        </is>
      </c>
      <c r="D93" t="inlineStr">
        <is>
          <t>Litre</t>
        </is>
      </c>
      <c r="E93" s="7" t="n">
        <v>0</v>
      </c>
      <c r="F93" s="7" t="n">
        <v>0</v>
      </c>
      <c r="G93" s="7" t="n">
        <v>0</v>
      </c>
      <c r="H93" s="7">
        <f>E93+F93-G93</f>
        <v/>
      </c>
      <c r="I93" s="7" t="n">
        <v>0</v>
      </c>
      <c r="J93" s="7">
        <f>H93*I93</f>
        <v/>
      </c>
    </row>
    <row r="94">
      <c r="A94" t="n">
        <v>91</v>
      </c>
      <c r="B94" t="inlineStr">
        <is>
          <t>Huiles &amp; matières grasses</t>
        </is>
      </c>
      <c r="C94" t="inlineStr">
        <is>
          <t>Beurres</t>
        </is>
      </c>
      <c r="D94" t="inlineStr">
        <is>
          <t>Kg</t>
        </is>
      </c>
      <c r="E94" s="7" t="n">
        <v>0</v>
      </c>
      <c r="F94" s="7" t="n">
        <v>0</v>
      </c>
      <c r="G94" s="7" t="n">
        <v>0</v>
      </c>
      <c r="H94" s="7">
        <f>E94+F94-G94</f>
        <v/>
      </c>
      <c r="I94" s="7" t="n">
        <v>0</v>
      </c>
      <c r="J94" s="7">
        <f>H94*I94</f>
        <v/>
      </c>
    </row>
    <row r="95">
      <c r="A95" t="n">
        <v>92</v>
      </c>
      <c r="B95" t="inlineStr">
        <is>
          <t>Huiles &amp; matières grasses</t>
        </is>
      </c>
      <c r="C95" t="inlineStr">
        <is>
          <t>Margarines</t>
        </is>
      </c>
      <c r="D95" t="inlineStr">
        <is>
          <t>Kg</t>
        </is>
      </c>
      <c r="E95" s="7" t="n">
        <v>0</v>
      </c>
      <c r="F95" s="7" t="n">
        <v>0</v>
      </c>
      <c r="G95" s="7" t="n">
        <v>0</v>
      </c>
      <c r="H95" s="7">
        <f>E95+F95-G95</f>
        <v/>
      </c>
      <c r="I95" s="7" t="n">
        <v>0</v>
      </c>
      <c r="J95" s="7">
        <f>H95*I95</f>
        <v/>
      </c>
    </row>
    <row r="96">
      <c r="A96" t="n">
        <v>93</v>
      </c>
      <c r="B96" t="inlineStr">
        <is>
          <t>Huiles &amp; matières grasses</t>
        </is>
      </c>
      <c r="C96" t="inlineStr">
        <is>
          <t>Graisses de friture</t>
        </is>
      </c>
      <c r="D96" t="inlineStr">
        <is>
          <t>Litre</t>
        </is>
      </c>
      <c r="E96" s="7" t="n">
        <v>0</v>
      </c>
      <c r="F96" s="7" t="n">
        <v>0</v>
      </c>
      <c r="G96" s="7" t="n">
        <v>0</v>
      </c>
      <c r="H96" s="7">
        <f>E96+F96-G96</f>
        <v/>
      </c>
      <c r="I96" s="7" t="n">
        <v>0</v>
      </c>
      <c r="J96" s="7">
        <f>H96*I96</f>
        <v/>
      </c>
    </row>
    <row r="97">
      <c r="A97" t="n">
        <v>94</v>
      </c>
      <c r="B97" t="inlineStr">
        <is>
          <t>Produits de nettoyage</t>
        </is>
      </c>
      <c r="C97" t="inlineStr">
        <is>
          <t>Détergents</t>
        </is>
      </c>
      <c r="D97" t="inlineStr">
        <is>
          <t>Bouteille</t>
        </is>
      </c>
      <c r="E97" s="7" t="n">
        <v>0</v>
      </c>
      <c r="F97" s="7" t="n">
        <v>0</v>
      </c>
      <c r="G97" s="7" t="n">
        <v>0</v>
      </c>
      <c r="H97" s="7">
        <f>E97+F97-G97</f>
        <v/>
      </c>
      <c r="I97" s="7" t="n">
        <v>0</v>
      </c>
      <c r="J97" s="7">
        <f>H97*I97</f>
        <v/>
      </c>
    </row>
    <row r="98">
      <c r="A98" t="n">
        <v>95</v>
      </c>
      <c r="B98" t="inlineStr">
        <is>
          <t>Produits de nettoyage</t>
        </is>
      </c>
      <c r="C98" t="inlineStr">
        <is>
          <t>Désinfectants</t>
        </is>
      </c>
      <c r="D98" t="inlineStr">
        <is>
          <t>Bouteille</t>
        </is>
      </c>
      <c r="E98" s="7" t="n">
        <v>0</v>
      </c>
      <c r="F98" s="7" t="n">
        <v>0</v>
      </c>
      <c r="G98" s="7" t="n">
        <v>0</v>
      </c>
      <c r="H98" s="7">
        <f>E98+F98-G98</f>
        <v/>
      </c>
      <c r="I98" s="7" t="n">
        <v>0</v>
      </c>
      <c r="J98" s="7">
        <f>H98*I98</f>
        <v/>
      </c>
    </row>
    <row r="99">
      <c r="A99" t="n">
        <v>96</v>
      </c>
      <c r="B99" t="inlineStr">
        <is>
          <t>Produits de nettoyage</t>
        </is>
      </c>
      <c r="C99" t="inlineStr">
        <is>
          <t>Produits vaisselle</t>
        </is>
      </c>
      <c r="D99" t="inlineStr">
        <is>
          <t>Bouteille</t>
        </is>
      </c>
      <c r="E99" s="7" t="n">
        <v>0</v>
      </c>
      <c r="F99" s="7" t="n">
        <v>0</v>
      </c>
      <c r="G99" s="7" t="n">
        <v>0</v>
      </c>
      <c r="H99" s="7">
        <f>E99+F99-G99</f>
        <v/>
      </c>
      <c r="I99" s="7" t="n">
        <v>0</v>
      </c>
      <c r="J99" s="7">
        <f>H99*I99</f>
        <v/>
      </c>
    </row>
    <row r="100">
      <c r="A100" t="n">
        <v>97</v>
      </c>
      <c r="B100" t="inlineStr">
        <is>
          <t>Produits de nettoyage</t>
        </is>
      </c>
      <c r="C100" t="inlineStr">
        <is>
          <t>Produits sol</t>
        </is>
      </c>
      <c r="D100" t="inlineStr">
        <is>
          <t>Bouteille</t>
        </is>
      </c>
      <c r="E100" s="7" t="n">
        <v>0</v>
      </c>
      <c r="F100" s="7" t="n">
        <v>0</v>
      </c>
      <c r="G100" s="7" t="n">
        <v>0</v>
      </c>
      <c r="H100" s="7">
        <f>E100+F100-G100</f>
        <v/>
      </c>
      <c r="I100" s="7" t="n">
        <v>0</v>
      </c>
      <c r="J100" s="7">
        <f>H100*I100</f>
        <v/>
      </c>
    </row>
    <row r="101">
      <c r="A101" t="n">
        <v>98</v>
      </c>
      <c r="B101" t="inlineStr">
        <is>
          <t>Produits de nettoyage</t>
        </is>
      </c>
      <c r="C101" t="inlineStr">
        <is>
          <t>Accessoires (éponges, gants)</t>
        </is>
      </c>
      <c r="D101" t="inlineStr">
        <is>
          <t>Lot</t>
        </is>
      </c>
      <c r="E101" s="7" t="n">
        <v>0</v>
      </c>
      <c r="F101" s="7" t="n">
        <v>0</v>
      </c>
      <c r="G101" s="7" t="n">
        <v>0</v>
      </c>
      <c r="H101" s="7">
        <f>E101+F101-G101</f>
        <v/>
      </c>
      <c r="I101" s="7" t="n">
        <v>0</v>
      </c>
      <c r="J101" s="7">
        <f>H101*I101</f>
        <v/>
      </c>
    </row>
    <row r="102">
      <c r="A102" t="n">
        <v>99</v>
      </c>
      <c r="B102" t="inlineStr">
        <is>
          <t>Emballages cuisine</t>
        </is>
      </c>
      <c r="C102" t="inlineStr">
        <is>
          <t>Barquettes</t>
        </is>
      </c>
      <c r="D102" t="inlineStr">
        <is>
          <t>Lot</t>
        </is>
      </c>
      <c r="E102" s="7" t="n">
        <v>0</v>
      </c>
      <c r="F102" s="7" t="n">
        <v>0</v>
      </c>
      <c r="G102" s="7" t="n">
        <v>0</v>
      </c>
      <c r="H102" s="7">
        <f>E102+F102-G102</f>
        <v/>
      </c>
      <c r="I102" s="7" t="n">
        <v>0</v>
      </c>
      <c r="J102" s="7">
        <f>H102*I102</f>
        <v/>
      </c>
    </row>
    <row r="103">
      <c r="A103" t="n">
        <v>100</v>
      </c>
      <c r="B103" t="inlineStr">
        <is>
          <t>Emballages cuisine</t>
        </is>
      </c>
      <c r="C103" t="inlineStr">
        <is>
          <t>Boîtes</t>
        </is>
      </c>
      <c r="D103" t="inlineStr">
        <is>
          <t>Lot</t>
        </is>
      </c>
      <c r="E103" s="7" t="n">
        <v>0</v>
      </c>
      <c r="F103" s="7" t="n">
        <v>0</v>
      </c>
      <c r="G103" s="7" t="n">
        <v>0</v>
      </c>
      <c r="H103" s="7">
        <f>E103+F103-G103</f>
        <v/>
      </c>
      <c r="I103" s="7" t="n">
        <v>0</v>
      </c>
      <c r="J103" s="7">
        <f>H103*I103</f>
        <v/>
      </c>
    </row>
    <row r="104">
      <c r="A104" t="n">
        <v>101</v>
      </c>
      <c r="B104" t="inlineStr">
        <is>
          <t>Emballages cuisine</t>
        </is>
      </c>
      <c r="C104" t="inlineStr">
        <is>
          <t>Films alimentaires</t>
        </is>
      </c>
      <c r="D104" t="inlineStr">
        <is>
          <t>Rouleau</t>
        </is>
      </c>
      <c r="E104" s="7" t="n">
        <v>0</v>
      </c>
      <c r="F104" s="7" t="n">
        <v>0</v>
      </c>
      <c r="G104" s="7" t="n">
        <v>0</v>
      </c>
      <c r="H104" s="7">
        <f>E104+F104-G104</f>
        <v/>
      </c>
      <c r="I104" s="7" t="n">
        <v>0</v>
      </c>
      <c r="J104" s="7">
        <f>H104*I104</f>
        <v/>
      </c>
    </row>
    <row r="105">
      <c r="A105" t="n">
        <v>102</v>
      </c>
      <c r="B105" t="inlineStr">
        <is>
          <t>Emballages cuisine</t>
        </is>
      </c>
      <c r="C105" t="inlineStr">
        <is>
          <t>Sacs kraft</t>
        </is>
      </c>
      <c r="D105" t="inlineStr">
        <is>
          <t>Lot</t>
        </is>
      </c>
      <c r="E105" s="7" t="n">
        <v>0</v>
      </c>
      <c r="F105" s="7" t="n">
        <v>0</v>
      </c>
      <c r="G105" s="7" t="n">
        <v>0</v>
      </c>
      <c r="H105" s="7">
        <f>E105+F105-G105</f>
        <v/>
      </c>
      <c r="I105" s="7" t="n">
        <v>0</v>
      </c>
      <c r="J105" s="7">
        <f>H105*I105</f>
        <v/>
      </c>
    </row>
    <row r="106">
      <c r="A106" t="n">
        <v>103</v>
      </c>
      <c r="B106" t="inlineStr">
        <is>
          <t>Emballages cuisine</t>
        </is>
      </c>
      <c r="C106" t="inlineStr">
        <is>
          <t>Bouteille de Gaz</t>
        </is>
      </c>
      <c r="D106" t="inlineStr">
        <is>
          <t>Pièce</t>
        </is>
      </c>
      <c r="E106" s="7" t="n">
        <v>0</v>
      </c>
      <c r="F106" s="7" t="n">
        <v>0</v>
      </c>
      <c r="G106" s="7" t="n">
        <v>0</v>
      </c>
      <c r="H106" s="7">
        <f>E106+F106-G106</f>
        <v/>
      </c>
      <c r="I106" s="7" t="n">
        <v>0</v>
      </c>
      <c r="J106" s="7">
        <f>H106*I106</f>
        <v/>
      </c>
    </row>
    <row r="107">
      <c r="A107" t="n">
        <v>104</v>
      </c>
      <c r="B107" t="inlineStr">
        <is>
          <t>Emballages cuisine</t>
        </is>
      </c>
      <c r="C107" t="inlineStr">
        <is>
          <t>Couverts jetables</t>
        </is>
      </c>
      <c r="D107" t="inlineStr">
        <is>
          <t>Lot</t>
        </is>
      </c>
      <c r="E107" s="7" t="n">
        <v>0</v>
      </c>
      <c r="F107" s="7" t="n">
        <v>0</v>
      </c>
      <c r="G107" s="7" t="n">
        <v>0</v>
      </c>
      <c r="H107" s="7">
        <f>E107+F107-G107</f>
        <v/>
      </c>
      <c r="I107" s="7" t="n">
        <v>0</v>
      </c>
      <c r="J107" s="7">
        <f>H107*I107</f>
        <v/>
      </c>
    </row>
    <row r="108">
      <c r="A108" t="n">
        <v>105</v>
      </c>
      <c r="B108" t="inlineStr">
        <is>
          <t>Emballages cuisine</t>
        </is>
      </c>
      <c r="C108" t="inlineStr">
        <is>
          <t>Charbon</t>
        </is>
      </c>
      <c r="D108" t="inlineStr">
        <is>
          <t>Sac</t>
        </is>
      </c>
      <c r="E108" s="7" t="n">
        <v>0</v>
      </c>
      <c r="F108" s="7" t="n">
        <v>0</v>
      </c>
      <c r="G108" s="7" t="n">
        <v>0</v>
      </c>
      <c r="H108" s="7">
        <f>E108+F108-G108</f>
        <v/>
      </c>
      <c r="I108" s="7" t="n">
        <v>0</v>
      </c>
      <c r="J108" s="7">
        <f>H108*I108</f>
        <v/>
      </c>
    </row>
  </sheetData>
  <conditionalFormatting sqref="H4:H108">
    <cfRule type="cellIs" priority="1" operator="lessThan" dxfId="0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📈 ANALYTIQUES AVANCÉS</t>
        </is>
      </c>
    </row>
    <row r="3">
      <c r="A3" s="2" t="inlineStr">
        <is>
          <t>Les tableaux croisés dynamiques seront générés ici une fois les données saisies.</t>
        </is>
      </c>
    </row>
    <row r="4">
      <c r="A4" s="2" t="inlineStr">
        <is>
          <t>Allez dans Insertion &gt; Tableau Croisé Dynamique pour analyser les ventes et stocks.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3:D18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40" customWidth="1" min="3" max="3"/>
    <col width="15" customWidth="1" min="4" max="4"/>
  </cols>
  <sheetData>
    <row r="3">
      <c r="A3" s="6" t="inlineStr">
        <is>
          <t>ID</t>
        </is>
      </c>
      <c r="B3" s="6" t="inlineStr">
        <is>
          <t>Nom de la Catégorie</t>
        </is>
      </c>
      <c r="C3" s="6" t="inlineStr">
        <is>
          <t>Description</t>
        </is>
      </c>
      <c r="D3" s="6" t="inlineStr">
        <is>
          <t>Nombre de Produits</t>
        </is>
      </c>
    </row>
    <row r="4">
      <c r="A4" t="n">
        <v>1</v>
      </c>
      <c r="B4" t="inlineStr">
        <is>
          <t>Accompagnement</t>
        </is>
      </c>
      <c r="C4" t="inlineStr">
        <is>
          <t>Gestion de Accompagnement</t>
        </is>
      </c>
      <c r="D4">
        <f>NB.SI(PRODUITS!C:C; "Accompagnement")</f>
        <v/>
      </c>
    </row>
    <row r="5">
      <c r="A5" t="n">
        <v>2</v>
      </c>
      <c r="B5" t="inlineStr">
        <is>
          <t>Boisson</t>
        </is>
      </c>
      <c r="C5" t="inlineStr">
        <is>
          <t>Gestion de Boisson</t>
        </is>
      </c>
      <c r="D5">
        <f>NB.SI(PRODUITS!C:C; "Boisson")</f>
        <v/>
      </c>
    </row>
    <row r="6">
      <c r="A6" t="n">
        <v>3</v>
      </c>
      <c r="B6" t="inlineStr">
        <is>
          <t>Brochette</t>
        </is>
      </c>
      <c r="C6" t="inlineStr">
        <is>
          <t>Gestion de Brochette</t>
        </is>
      </c>
      <c r="D6">
        <f>NB.SI(PRODUITS!C:C; "Brochette")</f>
        <v/>
      </c>
    </row>
    <row r="7">
      <c r="A7" t="n">
        <v>4</v>
      </c>
      <c r="B7" t="inlineStr">
        <is>
          <t>Burger</t>
        </is>
      </c>
      <c r="C7" t="inlineStr">
        <is>
          <t>Gestion de Burger</t>
        </is>
      </c>
      <c r="D7">
        <f>NB.SI(PRODUITS!C:C; "Burger")</f>
        <v/>
      </c>
    </row>
    <row r="8">
      <c r="A8" t="n">
        <v>5</v>
      </c>
      <c r="B8" t="inlineStr">
        <is>
          <t>Charcuterie</t>
        </is>
      </c>
      <c r="C8" t="inlineStr">
        <is>
          <t>Gestion de Charcuterie</t>
        </is>
      </c>
      <c r="D8">
        <f>NB.SI(PRODUITS!C:C; "Charcuterie")</f>
        <v/>
      </c>
    </row>
    <row r="9">
      <c r="A9" t="n">
        <v>6</v>
      </c>
      <c r="B9" t="inlineStr">
        <is>
          <t>Fruits de mer</t>
        </is>
      </c>
      <c r="C9" t="inlineStr">
        <is>
          <t>Gestion de Fruits de mer</t>
        </is>
      </c>
      <c r="D9">
        <f>NB.SI(PRODUITS!C:C; "Fruits de mer")</f>
        <v/>
      </c>
    </row>
    <row r="10">
      <c r="A10" t="n">
        <v>7</v>
      </c>
      <c r="B10" t="inlineStr">
        <is>
          <t>Pack</t>
        </is>
      </c>
      <c r="C10" t="inlineStr">
        <is>
          <t>Gestion de Pack</t>
        </is>
      </c>
      <c r="D10">
        <f>NB.SI(PRODUITS!C:C; "Pack")</f>
        <v/>
      </c>
    </row>
    <row r="11">
      <c r="A11" t="n">
        <v>8</v>
      </c>
      <c r="B11" t="inlineStr">
        <is>
          <t>Pizza</t>
        </is>
      </c>
      <c r="C11" t="inlineStr">
        <is>
          <t>Gestion de Pizza</t>
        </is>
      </c>
      <c r="D11">
        <f>NB.SI(PRODUITS!C:C; "Pizza")</f>
        <v/>
      </c>
    </row>
    <row r="12">
      <c r="A12" t="n">
        <v>9</v>
      </c>
      <c r="B12" t="inlineStr">
        <is>
          <t>Planche</t>
        </is>
      </c>
      <c r="C12" t="inlineStr">
        <is>
          <t>Gestion de Planche</t>
        </is>
      </c>
      <c r="D12">
        <f>NB.SI(PRODUITS!C:C; "Planche")</f>
        <v/>
      </c>
    </row>
    <row r="13">
      <c r="A13" t="n">
        <v>10</v>
      </c>
      <c r="B13" t="inlineStr">
        <is>
          <t>Plat Principal</t>
        </is>
      </c>
      <c r="C13" t="inlineStr">
        <is>
          <t>Gestion de Plat Principal</t>
        </is>
      </c>
      <c r="D13">
        <f>NB.SI(PRODUITS!C:C; "Plat Principal")</f>
        <v/>
      </c>
    </row>
    <row r="14">
      <c r="A14" t="n">
        <v>11</v>
      </c>
      <c r="B14" t="inlineStr">
        <is>
          <t>Poisson</t>
        </is>
      </c>
      <c r="C14" t="inlineStr">
        <is>
          <t>Gestion de Poisson</t>
        </is>
      </c>
      <c r="D14">
        <f>NB.SI(PRODUITS!C:C; "Poisson")</f>
        <v/>
      </c>
    </row>
    <row r="15">
      <c r="A15" t="n">
        <v>12</v>
      </c>
      <c r="B15" t="inlineStr">
        <is>
          <t>Porc</t>
        </is>
      </c>
      <c r="C15" t="inlineStr">
        <is>
          <t>Gestion de Porc</t>
        </is>
      </c>
      <c r="D15">
        <f>NB.SI(PRODUITS!C:C; "Porc")</f>
        <v/>
      </c>
    </row>
    <row r="16">
      <c r="A16" t="n">
        <v>13</v>
      </c>
      <c r="B16" t="inlineStr">
        <is>
          <t>Poulet</t>
        </is>
      </c>
      <c r="C16" t="inlineStr">
        <is>
          <t>Gestion de Poulet</t>
        </is>
      </c>
      <c r="D16">
        <f>NB.SI(PRODUITS!C:C; "Poulet")</f>
        <v/>
      </c>
    </row>
    <row r="17">
      <c r="A17" t="n">
        <v>14</v>
      </c>
      <c r="B17" t="inlineStr">
        <is>
          <t>Riz Accompagné</t>
        </is>
      </c>
      <c r="C17" t="inlineStr">
        <is>
          <t>Gestion de Riz Accompagné</t>
        </is>
      </c>
      <c r="D17">
        <f>NB.SI(PRODUITS!C:C; "Riz Accompagné")</f>
        <v/>
      </c>
    </row>
    <row r="18">
      <c r="A18" t="n">
        <v>15</v>
      </c>
      <c r="B18" t="inlineStr">
        <is>
          <t>Tacos</t>
        </is>
      </c>
      <c r="C18" t="inlineStr">
        <is>
          <t>Gestion de Tacos</t>
        </is>
      </c>
      <c r="D18">
        <f>NB.SI(PRODUITS!C:C; "Tacos")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3:H5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25" customWidth="1" min="4" max="4"/>
    <col width="15" customWidth="1" min="5" max="5"/>
    <col width="30" customWidth="1" min="6" max="6"/>
  </cols>
  <sheetData>
    <row r="3">
      <c r="A3" s="6" t="inlineStr">
        <is>
          <t>ID</t>
        </is>
      </c>
      <c r="B3" s="6" t="inlineStr">
        <is>
          <t>Nom du Plat</t>
        </is>
      </c>
      <c r="C3" s="6" t="inlineStr">
        <is>
          <t>Catégorie</t>
        </is>
      </c>
      <c r="D3" s="6" t="inlineStr">
        <is>
          <t>Variante/Détail</t>
        </is>
      </c>
      <c r="E3" s="6" t="inlineStr">
        <is>
          <t>Prix Vente (FCFA)</t>
        </is>
      </c>
      <c r="F3" s="6" t="inlineStr">
        <is>
          <t>Observation</t>
        </is>
      </c>
      <c r="G3" s="6" t="inlineStr">
        <is>
          <t>Statut</t>
        </is>
      </c>
      <c r="H3" s="6" t="inlineStr">
        <is>
          <t>Date Maj</t>
        </is>
      </c>
    </row>
    <row r="4">
      <c r="A4" t="n">
        <v>1</v>
      </c>
      <c r="B4" t="inlineStr">
        <is>
          <t>Chicken Burger</t>
        </is>
      </c>
      <c r="C4" t="inlineStr">
        <is>
          <t>Burger</t>
        </is>
      </c>
      <c r="E4" s="7" t="n">
        <v>3500</v>
      </c>
      <c r="G4" t="inlineStr">
        <is>
          <t>Actif</t>
        </is>
      </c>
      <c r="H4" s="8" t="n">
        <v>46168</v>
      </c>
    </row>
    <row r="5">
      <c r="A5" t="n">
        <v>2</v>
      </c>
      <c r="B5" t="inlineStr">
        <is>
          <t>Burger Normal</t>
        </is>
      </c>
      <c r="C5" t="inlineStr">
        <is>
          <t>Burger</t>
        </is>
      </c>
      <c r="E5" s="7" t="n">
        <v>3500</v>
      </c>
      <c r="G5" t="inlineStr">
        <is>
          <t>Actif</t>
        </is>
      </c>
      <c r="H5" s="8" t="n">
        <v>46168</v>
      </c>
    </row>
    <row r="6">
      <c r="A6" t="n">
        <v>3</v>
      </c>
      <c r="B6" t="inlineStr">
        <is>
          <t>Brochette de porc</t>
        </is>
      </c>
      <c r="C6" t="inlineStr">
        <is>
          <t>Brochette</t>
        </is>
      </c>
      <c r="E6" s="7" t="n">
        <v>3000</v>
      </c>
      <c r="F6" t="inlineStr">
        <is>
          <t>Trois Brochettes</t>
        </is>
      </c>
      <c r="G6" t="inlineStr">
        <is>
          <t>Actif</t>
        </is>
      </c>
      <c r="H6" s="8" t="n">
        <v>46168</v>
      </c>
    </row>
    <row r="7">
      <c r="A7" t="n">
        <v>4</v>
      </c>
      <c r="B7" t="inlineStr">
        <is>
          <t>Ndole Royal (Viande/Poisson/Crevette)</t>
        </is>
      </c>
      <c r="C7" t="inlineStr">
        <is>
          <t>Plat Principal</t>
        </is>
      </c>
      <c r="E7" s="7" t="n">
        <v>3500</v>
      </c>
      <c r="G7" t="inlineStr">
        <is>
          <t>Actif</t>
        </is>
      </c>
      <c r="H7" s="8" t="n">
        <v>46168</v>
      </c>
    </row>
    <row r="8">
      <c r="A8" t="n">
        <v>5</v>
      </c>
      <c r="B8" t="inlineStr">
        <is>
          <t>Portion Ndole</t>
        </is>
      </c>
      <c r="C8" t="inlineStr">
        <is>
          <t>Plat Principal</t>
        </is>
      </c>
      <c r="E8" s="7" t="n">
        <v>1000</v>
      </c>
      <c r="G8" t="inlineStr">
        <is>
          <t>Actif</t>
        </is>
      </c>
      <c r="H8" s="8" t="n">
        <v>46168</v>
      </c>
    </row>
    <row r="9">
      <c r="A9" t="n">
        <v>6</v>
      </c>
      <c r="B9" t="inlineStr">
        <is>
          <t>Free Rice Crevette</t>
        </is>
      </c>
      <c r="C9" t="inlineStr">
        <is>
          <t>Riz Accompagné</t>
        </is>
      </c>
      <c r="E9" s="7" t="n">
        <v>4000</v>
      </c>
      <c r="G9" t="inlineStr">
        <is>
          <t>Actif</t>
        </is>
      </c>
      <c r="H9" s="8" t="n">
        <v>46168</v>
      </c>
    </row>
    <row r="10">
      <c r="A10" t="n">
        <v>7</v>
      </c>
      <c r="B10" t="inlineStr">
        <is>
          <t>Free Rice Poulet</t>
        </is>
      </c>
      <c r="C10" t="inlineStr">
        <is>
          <t>Riz Accompagné</t>
        </is>
      </c>
      <c r="E10" s="7" t="n">
        <v>3500</v>
      </c>
      <c r="G10" t="inlineStr">
        <is>
          <t>Actif</t>
        </is>
      </c>
      <c r="H10" s="8" t="n">
        <v>46168</v>
      </c>
    </row>
    <row r="11">
      <c r="A11" t="n">
        <v>8</v>
      </c>
      <c r="B11" t="inlineStr">
        <is>
          <t>Poulet Pané (1/4)</t>
        </is>
      </c>
      <c r="C11" t="inlineStr">
        <is>
          <t>Poulet</t>
        </is>
      </c>
      <c r="E11" s="7" t="n">
        <v>3500</v>
      </c>
      <c r="F11" t="inlineStr">
        <is>
          <t>un quart</t>
        </is>
      </c>
      <c r="G11" t="inlineStr">
        <is>
          <t>Actif</t>
        </is>
      </c>
      <c r="H11" s="8" t="n">
        <v>46168</v>
      </c>
    </row>
    <row r="12">
      <c r="A12" t="n">
        <v>9</v>
      </c>
      <c r="B12" t="inlineStr">
        <is>
          <t>Poulet Braisé (1/4)</t>
        </is>
      </c>
      <c r="C12" t="inlineStr">
        <is>
          <t>Poulet</t>
        </is>
      </c>
      <c r="E12" s="7" t="n">
        <v>3000</v>
      </c>
      <c r="F12" t="inlineStr">
        <is>
          <t>un quart</t>
        </is>
      </c>
      <c r="G12" t="inlineStr">
        <is>
          <t>Actif</t>
        </is>
      </c>
      <c r="H12" s="8" t="n">
        <v>46168</v>
      </c>
    </row>
    <row r="13">
      <c r="A13" t="n">
        <v>10</v>
      </c>
      <c r="B13" t="inlineStr">
        <is>
          <t>Porc Moutarde</t>
        </is>
      </c>
      <c r="C13" t="inlineStr">
        <is>
          <t>Porc</t>
        </is>
      </c>
      <c r="E13" s="7" t="n">
        <v>3500</v>
      </c>
      <c r="G13" t="inlineStr">
        <is>
          <t>Actif</t>
        </is>
      </c>
      <c r="H13" s="8" t="n">
        <v>46168</v>
      </c>
    </row>
    <row r="14">
      <c r="A14" t="n">
        <v>11</v>
      </c>
      <c r="B14" t="inlineStr">
        <is>
          <t>Porc Braisé</t>
        </is>
      </c>
      <c r="C14" t="inlineStr">
        <is>
          <t>Porc</t>
        </is>
      </c>
      <c r="E14" s="7" t="n">
        <v>3000</v>
      </c>
      <c r="G14" t="inlineStr">
        <is>
          <t>Actif</t>
        </is>
      </c>
      <c r="H14" s="8" t="n">
        <v>46168</v>
      </c>
    </row>
    <row r="15">
      <c r="A15" t="n">
        <v>12</v>
      </c>
      <c r="B15" t="inlineStr">
        <is>
          <t>Gambas à l'ail (Petit)</t>
        </is>
      </c>
      <c r="C15" t="inlineStr">
        <is>
          <t>Fruits de mer</t>
        </is>
      </c>
      <c r="E15" s="7" t="n">
        <v>6500</v>
      </c>
      <c r="G15" t="inlineStr">
        <is>
          <t>Actif</t>
        </is>
      </c>
      <c r="H15" s="8" t="n">
        <v>46168</v>
      </c>
    </row>
    <row r="16">
      <c r="A16" t="n">
        <v>13</v>
      </c>
      <c r="B16" t="inlineStr">
        <is>
          <t>Gambas à l'ail (Grand)</t>
        </is>
      </c>
      <c r="C16" t="inlineStr">
        <is>
          <t>Fruits de mer</t>
        </is>
      </c>
      <c r="E16" s="7" t="n">
        <v>10000</v>
      </c>
      <c r="G16" t="inlineStr">
        <is>
          <t>Actif</t>
        </is>
      </c>
      <c r="H16" s="8" t="n">
        <v>46168</v>
      </c>
    </row>
    <row r="17">
      <c r="A17" t="n">
        <v>14</v>
      </c>
      <c r="B17" t="inlineStr">
        <is>
          <t>Gambas Braisées (Petit)</t>
        </is>
      </c>
      <c r="C17" t="inlineStr">
        <is>
          <t>Fruits de mer</t>
        </is>
      </c>
      <c r="E17" s="7" t="n">
        <v>6500</v>
      </c>
      <c r="G17" t="inlineStr">
        <is>
          <t>Actif</t>
        </is>
      </c>
      <c r="H17" s="8" t="n">
        <v>46168</v>
      </c>
    </row>
    <row r="18">
      <c r="A18" t="n">
        <v>15</v>
      </c>
      <c r="B18" t="inlineStr">
        <is>
          <t>Gambas Braisées (Grand)</t>
        </is>
      </c>
      <c r="C18" t="inlineStr">
        <is>
          <t>Fruits de mer</t>
        </is>
      </c>
      <c r="E18" s="7" t="n">
        <v>10000</v>
      </c>
      <c r="G18" t="inlineStr">
        <is>
          <t>Actif</t>
        </is>
      </c>
      <c r="H18" s="8" t="n">
        <v>46168</v>
      </c>
    </row>
    <row r="19">
      <c r="A19" t="n">
        <v>16</v>
      </c>
      <c r="B19" t="inlineStr">
        <is>
          <t>Saucisse (x2)</t>
        </is>
      </c>
      <c r="C19" t="inlineStr">
        <is>
          <t>Charcuterie</t>
        </is>
      </c>
      <c r="E19" s="7" t="n">
        <v>3500</v>
      </c>
      <c r="F19" t="inlineStr">
        <is>
          <t>x 2</t>
        </is>
      </c>
      <c r="G19" t="inlineStr">
        <is>
          <t>Actif</t>
        </is>
      </c>
      <c r="H19" s="8" t="n">
        <v>46168</v>
      </c>
    </row>
    <row r="20">
      <c r="A20" t="n">
        <v>17</v>
      </c>
      <c r="B20" t="inlineStr">
        <is>
          <t>Tacos Poulet</t>
        </is>
      </c>
      <c r="C20" t="inlineStr">
        <is>
          <t>Tacos</t>
        </is>
      </c>
      <c r="E20" s="7" t="n">
        <v>4000</v>
      </c>
      <c r="G20" t="inlineStr">
        <is>
          <t>Actif</t>
        </is>
      </c>
      <c r="H20" s="8" t="n">
        <v>46168</v>
      </c>
    </row>
    <row r="21">
      <c r="A21" t="n">
        <v>18</v>
      </c>
      <c r="B21" t="inlineStr">
        <is>
          <t>Tacos Viande</t>
        </is>
      </c>
      <c r="C21" t="inlineStr">
        <is>
          <t>Tacos</t>
        </is>
      </c>
      <c r="E21" s="7" t="n">
        <v>3500</v>
      </c>
      <c r="G21" t="inlineStr">
        <is>
          <t>Actif</t>
        </is>
      </c>
      <c r="H21" s="8" t="n">
        <v>46168</v>
      </c>
    </row>
    <row r="22">
      <c r="A22" t="n">
        <v>19</v>
      </c>
      <c r="B22" t="inlineStr">
        <is>
          <t>Pizza Saeven (Solo)</t>
        </is>
      </c>
      <c r="C22" t="inlineStr">
        <is>
          <t>Pizza</t>
        </is>
      </c>
      <c r="E22" s="7" t="n">
        <v>3500</v>
      </c>
      <c r="G22" t="inlineStr">
        <is>
          <t>Actif</t>
        </is>
      </c>
      <c r="H22" s="8" t="n">
        <v>46168</v>
      </c>
    </row>
    <row r="23">
      <c r="A23" t="n">
        <v>20</v>
      </c>
      <c r="B23" t="inlineStr">
        <is>
          <t>Pizza Spices Bonita (Solo)</t>
        </is>
      </c>
      <c r="C23" t="inlineStr">
        <is>
          <t>Pizza</t>
        </is>
      </c>
      <c r="E23" s="7" t="n">
        <v>3000</v>
      </c>
      <c r="G23" t="inlineStr">
        <is>
          <t>Actif</t>
        </is>
      </c>
      <c r="H23" s="8" t="n">
        <v>46168</v>
      </c>
    </row>
    <row r="24">
      <c r="A24" t="n">
        <v>21</v>
      </c>
      <c r="B24" t="inlineStr">
        <is>
          <t>Pizza Bimbia Cheese (Solo)</t>
        </is>
      </c>
      <c r="C24" t="inlineStr">
        <is>
          <t>Pizza</t>
        </is>
      </c>
      <c r="E24" s="7" t="n">
        <v>2500</v>
      </c>
      <c r="G24" t="inlineStr">
        <is>
          <t>Actif</t>
        </is>
      </c>
      <c r="H24" s="8" t="n">
        <v>46168</v>
      </c>
    </row>
    <row r="25">
      <c r="A25" t="n">
        <v>22</v>
      </c>
      <c r="B25" t="inlineStr">
        <is>
          <t>Pizza Végétarienne (Solo)</t>
        </is>
      </c>
      <c r="C25" t="inlineStr">
        <is>
          <t>Pizza</t>
        </is>
      </c>
      <c r="E25" s="7" t="n">
        <v>2500</v>
      </c>
      <c r="G25" t="inlineStr">
        <is>
          <t>Actif</t>
        </is>
      </c>
      <c r="H25" s="8" t="n">
        <v>46168</v>
      </c>
    </row>
    <row r="26">
      <c r="A26" t="n">
        <v>23</v>
      </c>
      <c r="B26" t="inlineStr">
        <is>
          <t>Pizza Saeven (Duo)</t>
        </is>
      </c>
      <c r="C26" t="inlineStr">
        <is>
          <t>Pizza</t>
        </is>
      </c>
      <c r="E26" s="7" t="n">
        <v>7000</v>
      </c>
      <c r="G26" t="inlineStr">
        <is>
          <t>Actif</t>
        </is>
      </c>
      <c r="H26" s="8" t="n">
        <v>46168</v>
      </c>
    </row>
    <row r="27">
      <c r="A27" t="n">
        <v>24</v>
      </c>
      <c r="B27" t="inlineStr">
        <is>
          <t>Pizza Spices Bonita (Duo)</t>
        </is>
      </c>
      <c r="C27" t="inlineStr">
        <is>
          <t>Pizza</t>
        </is>
      </c>
      <c r="E27" s="7" t="n">
        <v>6000</v>
      </c>
      <c r="G27" t="inlineStr">
        <is>
          <t>Actif</t>
        </is>
      </c>
      <c r="H27" s="8" t="n">
        <v>46168</v>
      </c>
    </row>
    <row r="28">
      <c r="A28" t="n">
        <v>25</v>
      </c>
      <c r="B28" t="inlineStr">
        <is>
          <t>Pizza Bimbia Cheese (Duo)</t>
        </is>
      </c>
      <c r="C28" t="inlineStr">
        <is>
          <t>Pizza</t>
        </is>
      </c>
      <c r="E28" s="7" t="n">
        <v>4500</v>
      </c>
      <c r="G28" t="inlineStr">
        <is>
          <t>Actif</t>
        </is>
      </c>
      <c r="H28" s="8" t="n">
        <v>46168</v>
      </c>
    </row>
    <row r="29">
      <c r="A29" t="n">
        <v>26</v>
      </c>
      <c r="B29" t="inlineStr">
        <is>
          <t>Pizza Végétarienne (Duo)</t>
        </is>
      </c>
      <c r="C29" t="inlineStr">
        <is>
          <t>Pizza</t>
        </is>
      </c>
      <c r="E29" s="7" t="n">
        <v>5000</v>
      </c>
      <c r="G29" t="inlineStr">
        <is>
          <t>Actif</t>
        </is>
      </c>
      <c r="H29" s="8" t="n">
        <v>46168</v>
      </c>
    </row>
    <row r="30">
      <c r="A30" t="n">
        <v>27</v>
      </c>
      <c r="B30" t="inlineStr">
        <is>
          <t>Pizza Saeven (Familiale)</t>
        </is>
      </c>
      <c r="C30" t="inlineStr">
        <is>
          <t>Pizza</t>
        </is>
      </c>
      <c r="E30" s="7" t="n">
        <v>13500</v>
      </c>
      <c r="G30" t="inlineStr">
        <is>
          <t>Actif</t>
        </is>
      </c>
      <c r="H30" s="8" t="n">
        <v>46168</v>
      </c>
    </row>
    <row r="31">
      <c r="A31" t="n">
        <v>28</v>
      </c>
      <c r="B31" t="inlineStr">
        <is>
          <t>Pizza Spices Bonita (Familiale)</t>
        </is>
      </c>
      <c r="C31" t="inlineStr">
        <is>
          <t>Pizza</t>
        </is>
      </c>
      <c r="E31" s="7" t="n">
        <v>12000</v>
      </c>
      <c r="G31" t="inlineStr">
        <is>
          <t>Actif</t>
        </is>
      </c>
      <c r="H31" s="8" t="n">
        <v>46168</v>
      </c>
    </row>
    <row r="32">
      <c r="A32" t="n">
        <v>29</v>
      </c>
      <c r="B32" t="inlineStr">
        <is>
          <t>Pizza Bimbia Cheese (Familiale)</t>
        </is>
      </c>
      <c r="C32" t="inlineStr">
        <is>
          <t>Pizza</t>
        </is>
      </c>
      <c r="E32" s="7" t="n">
        <v>10000</v>
      </c>
      <c r="G32" t="inlineStr">
        <is>
          <t>Actif</t>
        </is>
      </c>
      <c r="H32" s="8" t="n">
        <v>46168</v>
      </c>
    </row>
    <row r="33">
      <c r="A33" t="n">
        <v>30</v>
      </c>
      <c r="B33" t="inlineStr">
        <is>
          <t>Pizza Végétarienne (Familiale)</t>
        </is>
      </c>
      <c r="C33" t="inlineStr">
        <is>
          <t>Pizza</t>
        </is>
      </c>
      <c r="E33" s="7" t="n">
        <v>11000</v>
      </c>
      <c r="G33" t="inlineStr">
        <is>
          <t>Actif</t>
        </is>
      </c>
      <c r="H33" s="8" t="n">
        <v>46168</v>
      </c>
    </row>
    <row r="34">
      <c r="A34" t="n">
        <v>31</v>
      </c>
      <c r="B34" t="inlineStr">
        <is>
          <t>Carpe (Petit)</t>
        </is>
      </c>
      <c r="C34" t="inlineStr">
        <is>
          <t>Poisson</t>
        </is>
      </c>
      <c r="E34" s="7" t="n">
        <v>5000</v>
      </c>
      <c r="G34" t="inlineStr">
        <is>
          <t>Actif</t>
        </is>
      </c>
      <c r="H34" s="8" t="n">
        <v>46168</v>
      </c>
    </row>
    <row r="35">
      <c r="A35" t="n">
        <v>32</v>
      </c>
      <c r="B35" t="inlineStr">
        <is>
          <t>Carpe (Grand)</t>
        </is>
      </c>
      <c r="C35" t="inlineStr">
        <is>
          <t>Poisson</t>
        </is>
      </c>
      <c r="E35" s="7" t="n">
        <v>8000</v>
      </c>
      <c r="G35" t="inlineStr">
        <is>
          <t>Actif</t>
        </is>
      </c>
      <c r="H35" s="8" t="n">
        <v>46168</v>
      </c>
    </row>
    <row r="36">
      <c r="A36" t="n">
        <v>33</v>
      </c>
      <c r="B36" t="inlineStr">
        <is>
          <t>Sol (Petit)</t>
        </is>
      </c>
      <c r="C36" t="inlineStr">
        <is>
          <t>Poisson</t>
        </is>
      </c>
      <c r="E36" s="7" t="n">
        <v>9000</v>
      </c>
      <c r="G36" t="inlineStr">
        <is>
          <t>Actif</t>
        </is>
      </c>
      <c r="H36" s="8" t="n">
        <v>46168</v>
      </c>
    </row>
    <row r="37">
      <c r="A37" t="n">
        <v>34</v>
      </c>
      <c r="B37" t="inlineStr">
        <is>
          <t>Sol (Grand)</t>
        </is>
      </c>
      <c r="C37" t="inlineStr">
        <is>
          <t>Poisson</t>
        </is>
      </c>
      <c r="E37" s="7" t="n">
        <v>11000</v>
      </c>
      <c r="G37" t="inlineStr">
        <is>
          <t>Actif</t>
        </is>
      </c>
      <c r="H37" s="8" t="n">
        <v>46168</v>
      </c>
    </row>
    <row r="38">
      <c r="A38" t="n">
        <v>35</v>
      </c>
      <c r="B38" t="inlineStr">
        <is>
          <t>Bar (Petit)</t>
        </is>
      </c>
      <c r="C38" t="inlineStr">
        <is>
          <t>Poisson</t>
        </is>
      </c>
      <c r="E38" s="7" t="n">
        <v>7000</v>
      </c>
      <c r="G38" t="inlineStr">
        <is>
          <t>Actif</t>
        </is>
      </c>
      <c r="H38" s="8" t="n">
        <v>46168</v>
      </c>
    </row>
    <row r="39">
      <c r="A39" t="n">
        <v>36</v>
      </c>
      <c r="B39" t="inlineStr">
        <is>
          <t>Bar (Grand)</t>
        </is>
      </c>
      <c r="C39" t="inlineStr">
        <is>
          <t>Poisson</t>
        </is>
      </c>
      <c r="E39" s="7" t="n">
        <v>10000</v>
      </c>
      <c r="G39" t="inlineStr">
        <is>
          <t>Actif</t>
        </is>
      </c>
      <c r="H39" s="8" t="n">
        <v>46168</v>
      </c>
    </row>
    <row r="40">
      <c r="A40" t="n">
        <v>37</v>
      </c>
      <c r="B40" t="inlineStr">
        <is>
          <t>Jus Naturel / Bisap (Litre)</t>
        </is>
      </c>
      <c r="C40" t="inlineStr">
        <is>
          <t>Boisson</t>
        </is>
      </c>
      <c r="E40" s="7" t="n">
        <v>2000</v>
      </c>
      <c r="F40" t="inlineStr">
        <is>
          <t>Conso à 1000</t>
        </is>
      </c>
      <c r="G40" t="inlineStr">
        <is>
          <t>Actif</t>
        </is>
      </c>
      <c r="H40" s="8" t="n">
        <v>46168</v>
      </c>
    </row>
    <row r="41">
      <c r="A41" t="n">
        <v>38</v>
      </c>
      <c r="B41" t="inlineStr">
        <is>
          <t>Jus de Saison (Verre)</t>
        </is>
      </c>
      <c r="C41" t="inlineStr">
        <is>
          <t>Boisson</t>
        </is>
      </c>
      <c r="E41" s="7" t="n">
        <v>3500</v>
      </c>
      <c r="G41" t="inlineStr">
        <is>
          <t>Actif</t>
        </is>
      </c>
      <c r="H41" s="8" t="n">
        <v>46168</v>
      </c>
    </row>
    <row r="42">
      <c r="A42" t="n">
        <v>39</v>
      </c>
      <c r="B42" t="inlineStr">
        <is>
          <t>Jus de Saison (Litre)</t>
        </is>
      </c>
      <c r="C42" t="inlineStr">
        <is>
          <t>Boisson</t>
        </is>
      </c>
      <c r="E42" s="7" t="n">
        <v>2000</v>
      </c>
      <c r="G42" t="inlineStr">
        <is>
          <t>Actif</t>
        </is>
      </c>
      <c r="H42" s="8" t="n">
        <v>46168</v>
      </c>
    </row>
    <row r="43">
      <c r="A43" t="n">
        <v>40</v>
      </c>
      <c r="B43" t="inlineStr">
        <is>
          <t>Riz</t>
        </is>
      </c>
      <c r="C43" t="inlineStr">
        <is>
          <t>Accompagnement</t>
        </is>
      </c>
      <c r="E43" s="7" t="n">
        <v>0</v>
      </c>
      <c r="F43" t="inlineStr">
        <is>
          <t>Inclus ou à définir</t>
        </is>
      </c>
      <c r="G43" t="inlineStr">
        <is>
          <t>Actif</t>
        </is>
      </c>
      <c r="H43" s="8" t="n">
        <v>46168</v>
      </c>
    </row>
    <row r="44">
      <c r="A44" t="n">
        <v>41</v>
      </c>
      <c r="B44" t="inlineStr">
        <is>
          <t>Frites de pomme de terre</t>
        </is>
      </c>
      <c r="C44" t="inlineStr">
        <is>
          <t>Accompagnement</t>
        </is>
      </c>
      <c r="E44" s="7" t="n">
        <v>0</v>
      </c>
      <c r="G44" t="inlineStr">
        <is>
          <t>Actif</t>
        </is>
      </c>
      <c r="H44" s="8" t="n">
        <v>46168</v>
      </c>
    </row>
    <row r="45">
      <c r="A45" t="n">
        <v>42</v>
      </c>
      <c r="B45" t="inlineStr">
        <is>
          <t>Frites de plantain</t>
        </is>
      </c>
      <c r="C45" t="inlineStr">
        <is>
          <t>Accompagnement</t>
        </is>
      </c>
      <c r="E45" s="7" t="n">
        <v>0</v>
      </c>
      <c r="G45" t="inlineStr">
        <is>
          <t>Actif</t>
        </is>
      </c>
      <c r="H45" s="8" t="n">
        <v>46168</v>
      </c>
    </row>
    <row r="46">
      <c r="A46" t="n">
        <v>43</v>
      </c>
      <c r="B46" t="inlineStr">
        <is>
          <t>Miondo</t>
        </is>
      </c>
      <c r="C46" t="inlineStr">
        <is>
          <t>Accompagnement</t>
        </is>
      </c>
      <c r="E46" s="7" t="n">
        <v>0</v>
      </c>
      <c r="G46" t="inlineStr">
        <is>
          <t>Actif</t>
        </is>
      </c>
      <c r="H46" s="8" t="n">
        <v>46168</v>
      </c>
    </row>
    <row r="47">
      <c r="A47" t="n">
        <v>44</v>
      </c>
      <c r="B47" t="inlineStr">
        <is>
          <t>Pack Brise Snack</t>
        </is>
      </c>
      <c r="C47" t="inlineStr">
        <is>
          <t>Pack</t>
        </is>
      </c>
      <c r="E47" s="7" t="n">
        <v>4000</v>
      </c>
      <c r="F47" t="inlineStr">
        <is>
          <t>2 poulet, frit, jus</t>
        </is>
      </c>
      <c r="G47" t="inlineStr">
        <is>
          <t>Actif</t>
        </is>
      </c>
      <c r="H47" s="8" t="n">
        <v>46168</v>
      </c>
    </row>
    <row r="48">
      <c r="A48" t="n">
        <v>45</v>
      </c>
      <c r="B48" t="inlineStr">
        <is>
          <t>Pack Sunset Combo</t>
        </is>
      </c>
      <c r="C48" t="inlineStr">
        <is>
          <t>Pack</t>
        </is>
      </c>
      <c r="E48" s="7" t="n">
        <v>6000</v>
      </c>
      <c r="F48" t="inlineStr">
        <is>
          <t>Burger, poulet, frit, jus</t>
        </is>
      </c>
      <c r="G48" t="inlineStr">
        <is>
          <t>Actif</t>
        </is>
      </c>
      <c r="H48" s="8" t="n">
        <v>46168</v>
      </c>
    </row>
    <row r="49">
      <c r="A49" t="n">
        <v>46</v>
      </c>
      <c r="B49" t="inlineStr">
        <is>
          <t>Pack Ocean Duo</t>
        </is>
      </c>
      <c r="C49" t="inlineStr">
        <is>
          <t>Pack</t>
        </is>
      </c>
      <c r="E49" s="7" t="n">
        <v>8500</v>
      </c>
      <c r="F49" t="inlineStr">
        <is>
          <t>2 burger, tacos, frit, jus</t>
        </is>
      </c>
      <c r="G49" t="inlineStr">
        <is>
          <t>Actif</t>
        </is>
      </c>
      <c r="H49" s="8" t="n">
        <v>46168</v>
      </c>
    </row>
    <row r="50">
      <c r="A50" t="n">
        <v>47</v>
      </c>
      <c r="B50" t="inlineStr">
        <is>
          <t>Pack Bonita Family</t>
        </is>
      </c>
      <c r="C50" t="inlineStr">
        <is>
          <t>Pack</t>
        </is>
      </c>
      <c r="E50" s="7" t="n">
        <v>15000</v>
      </c>
      <c r="F50" t="inlineStr">
        <is>
          <t>1/2 poulet, 2 burger, litre jus, 2 frit</t>
        </is>
      </c>
      <c r="G50" t="inlineStr">
        <is>
          <t>Actif</t>
        </is>
      </c>
      <c r="H50" s="8" t="n">
        <v>46168</v>
      </c>
    </row>
    <row r="51">
      <c r="A51" t="n">
        <v>48</v>
      </c>
      <c r="B51" t="inlineStr">
        <is>
          <t>Planche Brise Marine</t>
        </is>
      </c>
      <c r="C51" t="inlineStr">
        <is>
          <t>Planche</t>
        </is>
      </c>
      <c r="E51" s="7" t="n">
        <v>10000</v>
      </c>
      <c r="G51" t="inlineStr">
        <is>
          <t>Actif</t>
        </is>
      </c>
      <c r="H51" s="8" t="n">
        <v>46168</v>
      </c>
    </row>
    <row r="52">
      <c r="A52" t="n">
        <v>49</v>
      </c>
      <c r="B52" t="inlineStr">
        <is>
          <t>Planche Sunset</t>
        </is>
      </c>
      <c r="C52" t="inlineStr">
        <is>
          <t>Planche</t>
        </is>
      </c>
      <c r="E52" s="7" t="n">
        <v>25000</v>
      </c>
      <c r="G52" t="inlineStr">
        <is>
          <t>Actif</t>
        </is>
      </c>
      <c r="H52" s="8" t="n">
        <v>46168</v>
      </c>
    </row>
    <row r="53">
      <c r="A53" t="n">
        <v>50</v>
      </c>
      <c r="B53" t="inlineStr">
        <is>
          <t>Planche Océan Royale</t>
        </is>
      </c>
      <c r="C53" t="inlineStr">
        <is>
          <t>Planche</t>
        </is>
      </c>
      <c r="E53" s="7" t="n">
        <v>50000</v>
      </c>
      <c r="G53" t="inlineStr">
        <is>
          <t>Actif</t>
        </is>
      </c>
      <c r="H53" s="8" t="n">
        <v>46168</v>
      </c>
    </row>
    <row r="54">
      <c r="A54" t="n">
        <v>51</v>
      </c>
      <c r="B54" t="inlineStr">
        <is>
          <t>Planche Paradise</t>
        </is>
      </c>
      <c r="C54" t="inlineStr">
        <is>
          <t>Planche</t>
        </is>
      </c>
      <c r="E54" s="7" t="n">
        <v>75000</v>
      </c>
      <c r="G54" t="inlineStr">
        <is>
          <t>Actif</t>
        </is>
      </c>
      <c r="H54" s="8" t="n">
        <v>46168</v>
      </c>
    </row>
    <row r="55">
      <c r="A55" t="n">
        <v>52</v>
      </c>
      <c r="B55" t="inlineStr">
        <is>
          <t>Planche Isla Prestige</t>
        </is>
      </c>
      <c r="C55" t="inlineStr">
        <is>
          <t>Planche</t>
        </is>
      </c>
      <c r="E55" s="7" t="n">
        <v>100000</v>
      </c>
      <c r="G55" t="inlineStr">
        <is>
          <t>Actif</t>
        </is>
      </c>
      <c r="H55" s="8" t="n">
        <v>46168</v>
      </c>
    </row>
    <row r="56">
      <c r="A56" t="n">
        <v>53</v>
      </c>
      <c r="B56" t="inlineStr">
        <is>
          <t>Planche Bonita Supreme</t>
        </is>
      </c>
      <c r="C56" t="inlineStr">
        <is>
          <t>Planche</t>
        </is>
      </c>
      <c r="E56" s="7" t="n">
        <v>200000</v>
      </c>
      <c r="G56" t="inlineStr">
        <is>
          <t>Actif</t>
        </is>
      </c>
      <c r="H56" s="8" t="n">
        <v>46168</v>
      </c>
    </row>
  </sheetData>
  <dataValidations count="1">
    <dataValidation sqref="C4" showDropDown="0" showInputMessage="0" showErrorMessage="0" allowBlank="1" error="Veuillez sélectionner une catégorie existante." type="list">
      <formula1>CATEGORIES!$B$4:$B$18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2026-05-26T11:20:11Z</dcterms:created>
  <dcterms:modified xmlns:dcterms="http://purl.org/dc/terms/" xmlns:xsi="http://www.w3.org/2001/XMLSchema-instance" xsi:type="dcterms:W3CDTF">2026-05-26T11:36:12Z</dcterms:modified>
</cp:coreProperties>
</file>